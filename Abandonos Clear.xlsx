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pf-my.sharepoint.com/personal/y155636_grupo_ypf_com/Documents/Escritorio/"/>
    </mc:Choice>
  </mc:AlternateContent>
  <xr:revisionPtr revIDLastSave="0" documentId="8_{C21C25D0-2D8C-48DB-8113-27B473429ECF}" xr6:coauthVersionLast="47" xr6:coauthVersionMax="47" xr10:uidLastSave="{00000000-0000-0000-0000-000000000000}"/>
  <bookViews>
    <workbookView xWindow="53880" yWindow="495" windowWidth="25440" windowHeight="15270" xr2:uid="{A2969B32-5B8B-4EE6-AACE-31A8B9EB2487}"/>
  </bookViews>
  <sheets>
    <sheet name="Leer Comentarios" sheetId="2" r:id="rId1"/>
    <sheet name="Tabla General" sheetId="7" r:id="rId2"/>
    <sheet name="E #1" sheetId="8" r:id="rId3"/>
    <sheet name="E #2" sheetId="10" r:id="rId4"/>
    <sheet name="E #3" sheetId="11" r:id="rId5"/>
    <sheet name="Lista" sheetId="1" r:id="rId6"/>
    <sheet name="Lista YPF" sheetId="3" r:id="rId7"/>
    <sheet name="Lista Oportunidades" sheetId="4" r:id="rId8"/>
    <sheet name="Controles" sheetId="6" r:id="rId9"/>
  </sheets>
  <definedNames>
    <definedName name="DatosExternos_1" localSheetId="8" hidden="1">Controles!$A$1:$I$2668</definedName>
    <definedName name="DatosExternos_1" localSheetId="5" hidden="1">Lista!$B$2:$H$2986</definedName>
  </definedNames>
  <calcPr calcId="191029"/>
  <pivotCaches>
    <pivotCache cacheId="1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3" i="4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ABC965-0E50-461B-B2B8-6DF48F1E1ADD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  <connection id="2" xr16:uid="{FF9F2794-B754-4858-A571-BE6644B93189}" keepAlive="1" name="Consulta - Consulta2" description="Conexión a la consulta 'Consulta2' en el libro." type="5" refreshedVersion="8" background="1" saveData="1">
    <dbPr connection="Provider=Microsoft.Mashup.OleDb.1;Data Source=$Workbook$;Location=Consulta2;Extended Properties=&quot;&quot;" command="SELECT * FROM [Consulta2]"/>
  </connection>
</connections>
</file>

<file path=xl/sharedStrings.xml><?xml version="1.0" encoding="utf-8"?>
<sst xmlns="http://schemas.openxmlformats.org/spreadsheetml/2006/main" count="35404" uniqueCount="11398">
  <si>
    <t>COMP_NAME</t>
  </si>
  <si>
    <t>COMP_S_NAME</t>
  </si>
  <si>
    <t>Accion</t>
  </si>
  <si>
    <t>YPF.SC.CnE-1284</t>
  </si>
  <si>
    <t>CnE-1284[00]</t>
  </si>
  <si>
    <t>Las Heras CG - Canadon Escondida</t>
  </si>
  <si>
    <t>Espera Equipo Reparación</t>
  </si>
  <si>
    <t>Bombeo Mecánico</t>
  </si>
  <si>
    <t>ABANDONAR</t>
  </si>
  <si>
    <t>Barranca Baya Bloque 30</t>
  </si>
  <si>
    <t>YPF.SC.CnE-1373</t>
  </si>
  <si>
    <t>CnE-1373[00]</t>
  </si>
  <si>
    <t>Produciendo</t>
  </si>
  <si>
    <t>NO ABANDONAR</t>
  </si>
  <si>
    <t>YPF.SC.CG-985</t>
  </si>
  <si>
    <t>CG-985</t>
  </si>
  <si>
    <t>Barranca Baya Cerro Grande Noroeste</t>
  </si>
  <si>
    <t>YPF.SC.CnE-1464</t>
  </si>
  <si>
    <t>CnE-1464[00]a</t>
  </si>
  <si>
    <t>YPF.SC.CnE-329</t>
  </si>
  <si>
    <t>CnE-329[00]</t>
  </si>
  <si>
    <t>Barranca Baya Bloque 36</t>
  </si>
  <si>
    <t>YPF.SC.CnE.a-371</t>
  </si>
  <si>
    <t>CnE-371[00]</t>
  </si>
  <si>
    <t>Reserva Recuperación Secundaria</t>
  </si>
  <si>
    <t>Pistoneo</t>
  </si>
  <si>
    <t>YPF.SC.CnE.a-373</t>
  </si>
  <si>
    <t>CnE-373[00]</t>
  </si>
  <si>
    <t>Inyección</t>
  </si>
  <si>
    <t>YPF.SC.CnE.a-477</t>
  </si>
  <si>
    <t>Abandono Permanente</t>
  </si>
  <si>
    <t>No Posee</t>
  </si>
  <si>
    <t>ABANDONADO</t>
  </si>
  <si>
    <t>Barranca Baya Bloque 37</t>
  </si>
  <si>
    <t>YPF.SC.CnE.a-496</t>
  </si>
  <si>
    <t>CnE-496[00]</t>
  </si>
  <si>
    <t>Barranca Baya</t>
  </si>
  <si>
    <t>YPF.SC.CnE-506</t>
  </si>
  <si>
    <t>CnE-506[00]</t>
  </si>
  <si>
    <t>YPF.SC.CnE-554</t>
  </si>
  <si>
    <t>CnE-554[00]</t>
  </si>
  <si>
    <t>YPF.SC.CnE.a-599</t>
  </si>
  <si>
    <t>CnE-599[00]</t>
  </si>
  <si>
    <t>YPF.SC.CnE-634</t>
  </si>
  <si>
    <t>CnE-634[00]</t>
  </si>
  <si>
    <t>YPF.SC.CnE-679</t>
  </si>
  <si>
    <t>CnE-679[00]</t>
  </si>
  <si>
    <t>YPF.SC.CnE-712</t>
  </si>
  <si>
    <t>CnE-712[00]</t>
  </si>
  <si>
    <t>YPF.SC.BB-20</t>
  </si>
  <si>
    <t>BB-20[00]</t>
  </si>
  <si>
    <t>YPF.SC.BB-45</t>
  </si>
  <si>
    <t>BB-45[00]</t>
  </si>
  <si>
    <t>YPF.SC.BB-46</t>
  </si>
  <si>
    <t>BB-46[00]</t>
  </si>
  <si>
    <t>YPF.SC.BB-64</t>
  </si>
  <si>
    <t>BB-64[00]</t>
  </si>
  <si>
    <t>En Estudio</t>
  </si>
  <si>
    <t>YPF.SC.BB.a-76</t>
  </si>
  <si>
    <t>BB-76[00]</t>
  </si>
  <si>
    <t>YPF.SC.BB-84</t>
  </si>
  <si>
    <t>BB-84[00]</t>
  </si>
  <si>
    <t>YPF.SC.BB-90</t>
  </si>
  <si>
    <t>BB-90[00]</t>
  </si>
  <si>
    <t>YPF.SC.ELChE.x-1</t>
  </si>
  <si>
    <t>ELChE-1[00]</t>
  </si>
  <si>
    <t>Lomas del Cuy- Cerro Grande Noroeste</t>
  </si>
  <si>
    <t>YPF.SC.BB-24</t>
  </si>
  <si>
    <t>BB-24[00]</t>
  </si>
  <si>
    <t>YPF.SC.CnE-67</t>
  </si>
  <si>
    <t>CnE-67[00]</t>
  </si>
  <si>
    <t>Barranca Baya Bloque 26</t>
  </si>
  <si>
    <t>YPF.SC.CnE.a-203</t>
  </si>
  <si>
    <t>YPF.SC.CG-200</t>
  </si>
  <si>
    <t>Cerro Grande Noreste</t>
  </si>
  <si>
    <t>YPF.SC.LC.a-4</t>
  </si>
  <si>
    <t>Parado Por Alta Rgp</t>
  </si>
  <si>
    <t>Lomas del Cuy- Cerro Grande Norte</t>
  </si>
  <si>
    <t>YPF.SC.LH-52</t>
  </si>
  <si>
    <t>LH-52[00]</t>
  </si>
  <si>
    <t>Las Heras Las Heras Bloque 3</t>
  </si>
  <si>
    <t>YPF.SC.LH-58</t>
  </si>
  <si>
    <t>LH-58[00]</t>
  </si>
  <si>
    <t>Cavidad Progresiva</t>
  </si>
  <si>
    <t>Las Heras Cerro Grande Sur</t>
  </si>
  <si>
    <t>YPF.SC.LH.a-66</t>
  </si>
  <si>
    <t>Las Heras Central Sur</t>
  </si>
  <si>
    <t>YPF.SC.LH-95</t>
  </si>
  <si>
    <t>LH-95[00]</t>
  </si>
  <si>
    <t>CR-1[00]</t>
  </si>
  <si>
    <t>YPF.SC.LH-204</t>
  </si>
  <si>
    <t>Las Heras Bloque 2</t>
  </si>
  <si>
    <t>YPF.SC.LH-298</t>
  </si>
  <si>
    <t>YPF.SC.LH-471</t>
  </si>
  <si>
    <t>YPF.SC.LH-472</t>
  </si>
  <si>
    <t>LH-472[00]</t>
  </si>
  <si>
    <t>YPF.SC.CG-92</t>
  </si>
  <si>
    <t>CG-92[00]</t>
  </si>
  <si>
    <t>YPF.SC.CnE-869</t>
  </si>
  <si>
    <t>CnE-869[00]</t>
  </si>
  <si>
    <t>YPF.SC.LC-630</t>
  </si>
  <si>
    <t>LC-630[00]a</t>
  </si>
  <si>
    <t>YPF.SC.LH-972</t>
  </si>
  <si>
    <t>LH-972[00]a</t>
  </si>
  <si>
    <t>YPF.SC.CnE-1112</t>
  </si>
  <si>
    <t>CnE-1112[00]</t>
  </si>
  <si>
    <t>YPF.SC.CnE-1111</t>
  </si>
  <si>
    <t>CnE-1111[00]</t>
  </si>
  <si>
    <t>YPF.SC.CnE-1217</t>
  </si>
  <si>
    <t>CnE-1217[00]</t>
  </si>
  <si>
    <t>YPF.SC.CnE-1176</t>
  </si>
  <si>
    <t>CnE-1176[00]</t>
  </si>
  <si>
    <t>YPF.SC.LH-1054</t>
  </si>
  <si>
    <t>LH-1054[00]a</t>
  </si>
  <si>
    <t>YPF.SC.CnE-892</t>
  </si>
  <si>
    <t>CnE-892[00]a</t>
  </si>
  <si>
    <t>YPF.SC.LH-1088</t>
  </si>
  <si>
    <t>LH-1088[00]a</t>
  </si>
  <si>
    <t>YPF.SC.LH-215</t>
  </si>
  <si>
    <t>YPF.SC.LH-251</t>
  </si>
  <si>
    <t>LH-251[00]</t>
  </si>
  <si>
    <t>YPF.SC.LH-485</t>
  </si>
  <si>
    <t>LH-485[00]</t>
  </si>
  <si>
    <t>YPF.SC.LH-572</t>
  </si>
  <si>
    <t>LH-572[00]</t>
  </si>
  <si>
    <t>YPF.SC.LH-712</t>
  </si>
  <si>
    <t>LH-712[00]</t>
  </si>
  <si>
    <t>YPF.SC.LH-736</t>
  </si>
  <si>
    <t>LH-736[00]</t>
  </si>
  <si>
    <t>YPF.SC.LH-793</t>
  </si>
  <si>
    <t>LH-793[00]</t>
  </si>
  <si>
    <t>YPF.SC.LH-821</t>
  </si>
  <si>
    <t>LH-821[00]</t>
  </si>
  <si>
    <t>YPF.SC.LH-918</t>
  </si>
  <si>
    <t>LH-918[00]</t>
  </si>
  <si>
    <t>YPF.SC.CG-27</t>
  </si>
  <si>
    <t>CG-27[00]</t>
  </si>
  <si>
    <t>YPF.SC.CG-93</t>
  </si>
  <si>
    <t>CG-93[00]</t>
  </si>
  <si>
    <t>YPF.SC.CG-387</t>
  </si>
  <si>
    <t>CG-387[00]</t>
  </si>
  <si>
    <t>Barranca Baya Cerro Grande Norte</t>
  </si>
  <si>
    <t>YPF.SC.CG-460</t>
  </si>
  <si>
    <t>CG-460[00]</t>
  </si>
  <si>
    <t>YPF.SC.CG.a-474</t>
  </si>
  <si>
    <t>CG-474[00]</t>
  </si>
  <si>
    <t>Barranca Baya Las Heras Bloque 3</t>
  </si>
  <si>
    <t>YPF.SC.ECa.x-1</t>
  </si>
  <si>
    <t>YPF.SC.N-40</t>
  </si>
  <si>
    <t>Barranca Baya Bloque 40</t>
  </si>
  <si>
    <t>YPF.SC.CnE-285</t>
  </si>
  <si>
    <t>CnE-285[00]</t>
  </si>
  <si>
    <t>YPF.SC.CnE.a-292</t>
  </si>
  <si>
    <t>CnE-292[00]</t>
  </si>
  <si>
    <t>YPF.SC.CnE-370</t>
  </si>
  <si>
    <t>CnE-370[00]</t>
  </si>
  <si>
    <t>Abandonado Por Razones Técnicas</t>
  </si>
  <si>
    <t>Abandonar</t>
  </si>
  <si>
    <t>YPF.SC.LH.a-537</t>
  </si>
  <si>
    <t>LH-537[00]</t>
  </si>
  <si>
    <t>YPF.SC.LH-610</t>
  </si>
  <si>
    <t>LH-610[00]</t>
  </si>
  <si>
    <t>YPF.SC.LH-772</t>
  </si>
  <si>
    <t>LH-772[00]</t>
  </si>
  <si>
    <t>YPF.SC.LH.xp-850</t>
  </si>
  <si>
    <t>LH-850[00]</t>
  </si>
  <si>
    <t>YPF.SC.LH-886</t>
  </si>
  <si>
    <t>LH-886[00]</t>
  </si>
  <si>
    <t>YPF.SC.LH-909</t>
  </si>
  <si>
    <t>LH-909[00]</t>
  </si>
  <si>
    <t>YPF.SC.LH-912</t>
  </si>
  <si>
    <t>LH-912[00]</t>
  </si>
  <si>
    <t>YPF.SC.LH-926</t>
  </si>
  <si>
    <t>LH-926[00]</t>
  </si>
  <si>
    <t>YPF.SC.CG-95</t>
  </si>
  <si>
    <t>CG-95[00]</t>
  </si>
  <si>
    <t>YPF.SC.CG-113</t>
  </si>
  <si>
    <t>CG-113[00]</t>
  </si>
  <si>
    <t>YPF.SC.CG.a-186</t>
  </si>
  <si>
    <t>CG.a-186[00]</t>
  </si>
  <si>
    <t>YPF.SC.CG-213</t>
  </si>
  <si>
    <t>YPF.SC.CG-244</t>
  </si>
  <si>
    <t>CG-244[00]</t>
  </si>
  <si>
    <t>YPF.SC.CG-327</t>
  </si>
  <si>
    <t>CG-327[00]</t>
  </si>
  <si>
    <t>Cerro Grande Central</t>
  </si>
  <si>
    <t>YPF.SC.CG-338</t>
  </si>
  <si>
    <t>CG-338[00]</t>
  </si>
  <si>
    <t>YPF.SC.CG-376</t>
  </si>
  <si>
    <t>CG-376[00]</t>
  </si>
  <si>
    <t>YPF.SC.CG-451</t>
  </si>
  <si>
    <t>CG-451[00]</t>
  </si>
  <si>
    <t>YPF.SC.CG-459</t>
  </si>
  <si>
    <t>CG-459[00]</t>
  </si>
  <si>
    <t>Abandono Temporal</t>
  </si>
  <si>
    <t>FALTA ABA DEFINITIVO</t>
  </si>
  <si>
    <t>YPF.SC.CG.a-494</t>
  </si>
  <si>
    <t>CG-494[00]</t>
  </si>
  <si>
    <t>YPF.SC.N-56</t>
  </si>
  <si>
    <t>YPF.SC.CnE-89</t>
  </si>
  <si>
    <t>CnE-89[00]</t>
  </si>
  <si>
    <t>YPF.SC.CnE-148</t>
  </si>
  <si>
    <t>CnE-148[00]</t>
  </si>
  <si>
    <t>YPF.SC.CnE-160</t>
  </si>
  <si>
    <t>CnE-160[00]</t>
  </si>
  <si>
    <t>YPF.SC.CnE-223</t>
  </si>
  <si>
    <t>YPF.SC.CnE-239</t>
  </si>
  <si>
    <t>CnE-239[00]</t>
  </si>
  <si>
    <t>YPF.SC.CnE-321</t>
  </si>
  <si>
    <t>CnE-321[00]</t>
  </si>
  <si>
    <t>YPF.SC.LH-83</t>
  </si>
  <si>
    <t>LH-83[00]</t>
  </si>
  <si>
    <t>YPF.SC.LH-147</t>
  </si>
  <si>
    <t>LH-147[00]</t>
  </si>
  <si>
    <t>YPF.SC.LH-676</t>
  </si>
  <si>
    <t>LH-676[00]</t>
  </si>
  <si>
    <t>YPF.SC.LH-901</t>
  </si>
  <si>
    <t>LH-901[00]</t>
  </si>
  <si>
    <t>YPF.SC.CG-105</t>
  </si>
  <si>
    <t>CG-105[00]</t>
  </si>
  <si>
    <t>YPF.SC.CG-135</t>
  </si>
  <si>
    <t>CG-135[00]</t>
  </si>
  <si>
    <t>YPF.SC.CG-342</t>
  </si>
  <si>
    <t>CG-342[00]</t>
  </si>
  <si>
    <t>YPF.SC.CnE-97</t>
  </si>
  <si>
    <t>CnE-97[00]</t>
  </si>
  <si>
    <t>YPF.SC.CnE-119</t>
  </si>
  <si>
    <t>CnE-119[00]</t>
  </si>
  <si>
    <t>YPF.SC.CnE-169</t>
  </si>
  <si>
    <t>CnE-169[00]</t>
  </si>
  <si>
    <t>YPF.SC.CnE-421</t>
  </si>
  <si>
    <t>CnE-421[00]</t>
  </si>
  <si>
    <t>YPF.SC.CnE-543</t>
  </si>
  <si>
    <t>CnE-543[00]</t>
  </si>
  <si>
    <t>YPF.SC.CnE.a-610(I)</t>
  </si>
  <si>
    <t>CnE-610(I)[00]</t>
  </si>
  <si>
    <t>YPF.SC.CnE-723</t>
  </si>
  <si>
    <t>CnE-723[00]</t>
  </si>
  <si>
    <t>Electro Sumergible</t>
  </si>
  <si>
    <t>YPF.SC.CnE-791</t>
  </si>
  <si>
    <t>CnE-791[00]</t>
  </si>
  <si>
    <t>YPF.SC.CnE-827</t>
  </si>
  <si>
    <t>CnE-827[00]</t>
  </si>
  <si>
    <t>YPF.SC.BB-52</t>
  </si>
  <si>
    <t>BB-52[00]</t>
  </si>
  <si>
    <t>YPF.SC.BB-56</t>
  </si>
  <si>
    <t>BB-56[00]</t>
  </si>
  <si>
    <t>YPF.SC.BB-79</t>
  </si>
  <si>
    <t>BB-79[00]</t>
  </si>
  <si>
    <t>YPF.SC.BB-23</t>
  </si>
  <si>
    <t>BB-23[00]</t>
  </si>
  <si>
    <t>YPF.SC.BB.a-37</t>
  </si>
  <si>
    <t>YPF.SC.BB-59</t>
  </si>
  <si>
    <t>YPF.SC.CnE.a-564</t>
  </si>
  <si>
    <t>Barranca Baya Bloque 38</t>
  </si>
  <si>
    <t>YPF.SC.LH-242</t>
  </si>
  <si>
    <t>LH-242[00]</t>
  </si>
  <si>
    <t>YPF.SC.CG.a-15</t>
  </si>
  <si>
    <t>YPF.SC.CG-51</t>
  </si>
  <si>
    <t>CG-51[00]</t>
  </si>
  <si>
    <t>Barranca Baya Cerro Grande Sur</t>
  </si>
  <si>
    <t>YPF.SC.LH.a-973</t>
  </si>
  <si>
    <t>LH-973[00]a</t>
  </si>
  <si>
    <t>YPF.SC.BB.a-107</t>
  </si>
  <si>
    <t>YPF.SC.LH-133</t>
  </si>
  <si>
    <t>LH-133[00]</t>
  </si>
  <si>
    <t>YPF.SC.LH-142</t>
  </si>
  <si>
    <t>LH-142[00]</t>
  </si>
  <si>
    <t>YPF.SC.LH-169</t>
  </si>
  <si>
    <t>LH-169[00]</t>
  </si>
  <si>
    <t>YPF.SC.LH-191</t>
  </si>
  <si>
    <t>LH-191[00]</t>
  </si>
  <si>
    <t>YPF.SC.LH-616</t>
  </si>
  <si>
    <t>YPF.SC.LH-741</t>
  </si>
  <si>
    <t>YPF.SC.LH-766</t>
  </si>
  <si>
    <t>LH-766[00]</t>
  </si>
  <si>
    <t>YPF.SC.LH.a-842</t>
  </si>
  <si>
    <t>LH-842[00]</t>
  </si>
  <si>
    <t>YPF.SC.LH-846</t>
  </si>
  <si>
    <t>LH-846[00]</t>
  </si>
  <si>
    <t>YPF.SC.LH-852</t>
  </si>
  <si>
    <t>LH-852[00]</t>
  </si>
  <si>
    <t>YPF.SC.CG.a-107</t>
  </si>
  <si>
    <t>CG-107[00]</t>
  </si>
  <si>
    <t>YPF.SC.CG.a-183</t>
  </si>
  <si>
    <t>CG-183[00]</t>
  </si>
  <si>
    <t>YPF.SC.CG-490</t>
  </si>
  <si>
    <t>CG-490[00]</t>
  </si>
  <si>
    <t>YPF.SC.LC-431</t>
  </si>
  <si>
    <t>LC-431[00]</t>
  </si>
  <si>
    <t>Lomas del Cuy- Cerro Grande Sur</t>
  </si>
  <si>
    <t>YPF.SC.CnE-53</t>
  </si>
  <si>
    <t>CnE-53[00]</t>
  </si>
  <si>
    <t>YPF.SC.CnE-213</t>
  </si>
  <si>
    <t>CnE-213[00]</t>
  </si>
  <si>
    <t>YPF.SC.CnE-305</t>
  </si>
  <si>
    <t>CnE-305[00]</t>
  </si>
  <si>
    <t>YPF.SC.CnE-387</t>
  </si>
  <si>
    <t>CnE-387[00]</t>
  </si>
  <si>
    <t>YPF.SC.CnE-400</t>
  </si>
  <si>
    <t>CnE-400[00]</t>
  </si>
  <si>
    <t>YPF.SC.CnE-402</t>
  </si>
  <si>
    <t>CnE-402[00]</t>
  </si>
  <si>
    <t>YPF.SC.CnE-420</t>
  </si>
  <si>
    <t>CnE-420[00]</t>
  </si>
  <si>
    <t>YPF.SC.CnE-555</t>
  </si>
  <si>
    <t>CnE-555[00]</t>
  </si>
  <si>
    <t>YPF.SC.CnE.a-592</t>
  </si>
  <si>
    <t>CnE-592[00]</t>
  </si>
  <si>
    <t>A Abandonar</t>
  </si>
  <si>
    <t>YPF.SC.CnE-796</t>
  </si>
  <si>
    <t>CnE-796[00]</t>
  </si>
  <si>
    <t>YPF.SC.EaSJ.x-2</t>
  </si>
  <si>
    <t>EaSJ-2[00]</t>
  </si>
  <si>
    <t>YPF.SC.CnE.a-7</t>
  </si>
  <si>
    <t>YPF.SC.CnE.a-126</t>
  </si>
  <si>
    <t>CnE-126[00]</t>
  </si>
  <si>
    <t>YPF.SC.LH-47</t>
  </si>
  <si>
    <t>LH-47[00]</t>
  </si>
  <si>
    <t>YPF.SC.LH-487</t>
  </si>
  <si>
    <t>LH-487[00]</t>
  </si>
  <si>
    <t>YPF.SC.LH-124</t>
  </si>
  <si>
    <t>LH-124[00]</t>
  </si>
  <si>
    <t>YPF.SC.LH-237</t>
  </si>
  <si>
    <t>YPF.SC.LH-275</t>
  </si>
  <si>
    <t>LH-275[00]</t>
  </si>
  <si>
    <t>YPF.SC.LH-490</t>
  </si>
  <si>
    <t>LH-490[00]</t>
  </si>
  <si>
    <t>YPF.SC.LH-503</t>
  </si>
  <si>
    <t>LH-503[00]</t>
  </si>
  <si>
    <t>YPF.SC.LH-569</t>
  </si>
  <si>
    <t>LH-569[00]</t>
  </si>
  <si>
    <t>YPF.SC.CG.a-128</t>
  </si>
  <si>
    <t>YPF.SC.CG-465</t>
  </si>
  <si>
    <t>CG-465[00]a</t>
  </si>
  <si>
    <t>YPF.SC.CG-468</t>
  </si>
  <si>
    <t>CG-468[00]a</t>
  </si>
  <si>
    <t>YPF.SC.LH.a-1027</t>
  </si>
  <si>
    <t>LH-1027[00]a</t>
  </si>
  <si>
    <t>YPF.SC.LH-1082</t>
  </si>
  <si>
    <t>LH-1082[00]a</t>
  </si>
  <si>
    <t>YPF.SC.LH-1124</t>
  </si>
  <si>
    <t>LH-1124[00]a</t>
  </si>
  <si>
    <t>YPF.SC.CnE-945</t>
  </si>
  <si>
    <t>CnE-945[00]a</t>
  </si>
  <si>
    <t>YPF.SC.CG-626</t>
  </si>
  <si>
    <t>CG-626[00]</t>
  </si>
  <si>
    <t>YPF.SC.CnE-993</t>
  </si>
  <si>
    <t>CnE-993[00]</t>
  </si>
  <si>
    <t>YPF.SC.CnE-1044</t>
  </si>
  <si>
    <t>CnE-1044[00]</t>
  </si>
  <si>
    <t>YPF.SC.BB-127</t>
  </si>
  <si>
    <t>BB-127[00]</t>
  </si>
  <si>
    <t>YPF.SC.LH-1232</t>
  </si>
  <si>
    <t>LH-1232[00]</t>
  </si>
  <si>
    <t>YPF.SC.CnE-1352</t>
  </si>
  <si>
    <t>CnE-1352[00]</t>
  </si>
  <si>
    <t>YPF.SC.CnE-1418</t>
  </si>
  <si>
    <t>CnE-1418[00]</t>
  </si>
  <si>
    <t>YPF.SC.CnE-902</t>
  </si>
  <si>
    <t>YPF.SC.LH-1080</t>
  </si>
  <si>
    <t>LH-1080[00]a</t>
  </si>
  <si>
    <t>YPF.SC.CG-553</t>
  </si>
  <si>
    <t>CG-553[00]a</t>
  </si>
  <si>
    <t>YPF.SC.LH-1065</t>
  </si>
  <si>
    <t>LH-1065[00]a</t>
  </si>
  <si>
    <t>YPF.SC.BB-47</t>
  </si>
  <si>
    <t>BB-47[00]</t>
  </si>
  <si>
    <t>YPF.SC.LH-1100</t>
  </si>
  <si>
    <t>LH-1100[00]a</t>
  </si>
  <si>
    <t>YPF.SC.CG-575</t>
  </si>
  <si>
    <t>CG-575[00]a</t>
  </si>
  <si>
    <t>YPF.SC.CnE-944</t>
  </si>
  <si>
    <t>CnE-944[00]a</t>
  </si>
  <si>
    <t>YPF.SC.CnE.a-953</t>
  </si>
  <si>
    <t>CnE-953[00]a</t>
  </si>
  <si>
    <t>YPF.SC.CnE-974</t>
  </si>
  <si>
    <t>CnE-974[00]</t>
  </si>
  <si>
    <t>YPF.SC.CnE-980</t>
  </si>
  <si>
    <t>CnE-980[00]</t>
  </si>
  <si>
    <t>YPF.SC.LH-1180</t>
  </si>
  <si>
    <t>LH-1180[00]</t>
  </si>
  <si>
    <t>YPF.SC.CG-639</t>
  </si>
  <si>
    <t>CG-639[00]</t>
  </si>
  <si>
    <t>YPF.SC.CG-699</t>
  </si>
  <si>
    <t>CG-699[00]</t>
  </si>
  <si>
    <t>YPF.SC.CG-737</t>
  </si>
  <si>
    <t>CG-737[00]</t>
  </si>
  <si>
    <t>YPF.SC.CG-754</t>
  </si>
  <si>
    <t>CG-754[00]</t>
  </si>
  <si>
    <t>YPF.SC.CG-811</t>
  </si>
  <si>
    <t>CG-811[00]</t>
  </si>
  <si>
    <t>YPF.SC.CnE-1215(d)</t>
  </si>
  <si>
    <t>CnE-1215[00](d)</t>
  </si>
  <si>
    <t>YPF.SC.CnE-1218</t>
  </si>
  <si>
    <t>CnE-1218[00]</t>
  </si>
  <si>
    <t>YPF.SC.LH-1240</t>
  </si>
  <si>
    <t>LH-1240[00]</t>
  </si>
  <si>
    <t>YPF.SC.CnE-1273</t>
  </si>
  <si>
    <t>CnE-1273[00]</t>
  </si>
  <si>
    <t>YPF.SC.CnE-1274(d)</t>
  </si>
  <si>
    <t>CnE-1274(d)[00]</t>
  </si>
  <si>
    <t>YPF.SC.CG-915</t>
  </si>
  <si>
    <t>CG-915[00]</t>
  </si>
  <si>
    <t>YPF.SC.LH-1254</t>
  </si>
  <si>
    <t>LH-1254[00]</t>
  </si>
  <si>
    <t>YPF.SC.LH-1256</t>
  </si>
  <si>
    <t>LH-1256[00]</t>
  </si>
  <si>
    <t>YPF.SC.BB.a-7</t>
  </si>
  <si>
    <t>BB-7[00]</t>
  </si>
  <si>
    <t>YPF.SC.LH-241(I)</t>
  </si>
  <si>
    <t>LH-241(I)[00]</t>
  </si>
  <si>
    <t>YPF.SC.LH.a-7</t>
  </si>
  <si>
    <t>LH-7[00]</t>
  </si>
  <si>
    <t>YPF.SC.LH.a-437</t>
  </si>
  <si>
    <t>LH-437[00]</t>
  </si>
  <si>
    <t>YPF.SC.LH-507</t>
  </si>
  <si>
    <t>LH-507[00]</t>
  </si>
  <si>
    <t>YPF.SC.CG-48</t>
  </si>
  <si>
    <t>CG-48[00]</t>
  </si>
  <si>
    <t>YPF.SC.CG-199</t>
  </si>
  <si>
    <t>YPF.SC.CnE.a-880</t>
  </si>
  <si>
    <t>CnE-880[00]a</t>
  </si>
  <si>
    <t>YPF.SC.LH-1011</t>
  </si>
  <si>
    <t>LH-1011[00]a</t>
  </si>
  <si>
    <t>YPF.SC.LH.a-979</t>
  </si>
  <si>
    <t>YPF.SC.CG.a-532</t>
  </si>
  <si>
    <t>CG-532[00]a</t>
  </si>
  <si>
    <t>YPF.SC.LH-1009</t>
  </si>
  <si>
    <t>LH-1009[00]a</t>
  </si>
  <si>
    <t>Parado Alta Rap</t>
  </si>
  <si>
    <t>YPF.SC.CnE-894</t>
  </si>
  <si>
    <t>CnE-894[00]a</t>
  </si>
  <si>
    <t>YPF.SC.LH-1079</t>
  </si>
  <si>
    <t>LH-1079[00]a</t>
  </si>
  <si>
    <t>YPF.SC.LH-1113</t>
  </si>
  <si>
    <t>LH-1113[00]a</t>
  </si>
  <si>
    <t>YPF.SC.CG-610</t>
  </si>
  <si>
    <t>CG-610[00]a</t>
  </si>
  <si>
    <t>YPF.SC.CG-584</t>
  </si>
  <si>
    <t>CG-584[00]a</t>
  </si>
  <si>
    <t>YPF.SC.CG-585</t>
  </si>
  <si>
    <t>CG-585[00]a</t>
  </si>
  <si>
    <t>YPF.SC.LH-1112</t>
  </si>
  <si>
    <t>LH-1112[00]a</t>
  </si>
  <si>
    <t>YPF.SC.LH-1107</t>
  </si>
  <si>
    <t>LH-1107[00]a</t>
  </si>
  <si>
    <t>YPF.SC.CnE-957</t>
  </si>
  <si>
    <t>CnE-957[00]a</t>
  </si>
  <si>
    <t>YPF.SC.CnE-962</t>
  </si>
  <si>
    <t>CnE-962[00]a</t>
  </si>
  <si>
    <t>YPF.SC.CG-653</t>
  </si>
  <si>
    <t>CG-653[00]</t>
  </si>
  <si>
    <t>YPF.SC.CnE-1000</t>
  </si>
  <si>
    <t>CnE-1000[00]</t>
  </si>
  <si>
    <t>YPF.SC.CG-716</t>
  </si>
  <si>
    <t>CG-716[00]</t>
  </si>
  <si>
    <t>YPF.SC.CnE-1260</t>
  </si>
  <si>
    <t>CnE-1260[00]</t>
  </si>
  <si>
    <t>YPF.SC.CG-857</t>
  </si>
  <si>
    <t>CG-857[00]</t>
  </si>
  <si>
    <t>YPF.SC.CnE-1234</t>
  </si>
  <si>
    <t>CnE-1234[00]a</t>
  </si>
  <si>
    <t>YPF.SC.LH-1252</t>
  </si>
  <si>
    <t>LH-1252[00]</t>
  </si>
  <si>
    <t>YPF.SC.CnE-994</t>
  </si>
  <si>
    <t>CnE-994</t>
  </si>
  <si>
    <t>YPF.SC.CnE.a-1430</t>
  </si>
  <si>
    <t>CnE.a-1430[00]a</t>
  </si>
  <si>
    <t>YPF.SC.LH-1048</t>
  </si>
  <si>
    <t>LH-1048[00]a</t>
  </si>
  <si>
    <t>YPF.SC.LH.a-1028</t>
  </si>
  <si>
    <t>YPF.SC.LH-1095</t>
  </si>
  <si>
    <t>LH-1095[00]a</t>
  </si>
  <si>
    <t>YPF.SC.CG-609</t>
  </si>
  <si>
    <t>CG-609[00]a</t>
  </si>
  <si>
    <t>YPF.SC.CG-625</t>
  </si>
  <si>
    <t>CG-625[00]</t>
  </si>
  <si>
    <t>YPF.SC.CnE-964</t>
  </si>
  <si>
    <t>CnE-964[00]</t>
  </si>
  <si>
    <t>YPF.SC.CG-637</t>
  </si>
  <si>
    <t>CG-637[00]</t>
  </si>
  <si>
    <t>YPF.SC.CG-672</t>
  </si>
  <si>
    <t>CG-672[00]</t>
  </si>
  <si>
    <t>YPF.SC.CG-663</t>
  </si>
  <si>
    <t>CG-663[00]</t>
  </si>
  <si>
    <t>YPF.SC.CG-682</t>
  </si>
  <si>
    <t>CG-682[00]</t>
  </si>
  <si>
    <t>YPF.SC.CG-797</t>
  </si>
  <si>
    <t>CG-797[00]</t>
  </si>
  <si>
    <t>YPF.SC.CnE-1216</t>
  </si>
  <si>
    <t>CnE-1216[00]</t>
  </si>
  <si>
    <t>YPF.SC.CnE-1200(d)</t>
  </si>
  <si>
    <t>CnE-1200[00](d)</t>
  </si>
  <si>
    <t>YPF.SC.CnE-1207</t>
  </si>
  <si>
    <t>CnE-1207[00]</t>
  </si>
  <si>
    <t>YPF.SC.CG-869</t>
  </si>
  <si>
    <t>CG-869[00]a</t>
  </si>
  <si>
    <t>YPF.SC.CnE-1228</t>
  </si>
  <si>
    <t>CnE-1228[00]</t>
  </si>
  <si>
    <t>YPF.SC.CnE-1348</t>
  </si>
  <si>
    <t>CnE-1348[00]</t>
  </si>
  <si>
    <t>YPF.SC.CnE-1366</t>
  </si>
  <si>
    <t>CnE-1366[00]</t>
  </si>
  <si>
    <t>YPF.SC.CnE.xp-1401</t>
  </si>
  <si>
    <t>CnE.xp-1401[00]</t>
  </si>
  <si>
    <t>YPF.SC.CnE-991</t>
  </si>
  <si>
    <t>CnE-991[00]a</t>
  </si>
  <si>
    <t>YPF.SC.CG-768</t>
  </si>
  <si>
    <t>CG-768[00]</t>
  </si>
  <si>
    <t>YPF.SC.LH-205</t>
  </si>
  <si>
    <t>YPF.SC.LH-247</t>
  </si>
  <si>
    <t>LH-247[00]</t>
  </si>
  <si>
    <t>YPF.SC.LH-482</t>
  </si>
  <si>
    <t>LH-482[00]</t>
  </si>
  <si>
    <t>YPF.SC.LH-549</t>
  </si>
  <si>
    <t>LH-549[00]</t>
  </si>
  <si>
    <t>YPF.SC.LH-606</t>
  </si>
  <si>
    <t>LH-606[00]</t>
  </si>
  <si>
    <t>YPF.SC.LH-825</t>
  </si>
  <si>
    <t>LH-825[00]</t>
  </si>
  <si>
    <t>YPF.SC.CG-10</t>
  </si>
  <si>
    <t>CG-10[00]</t>
  </si>
  <si>
    <t>YPF.SC.CG-232</t>
  </si>
  <si>
    <t>CG-232[00]</t>
  </si>
  <si>
    <t>YPF.SC.CG-267</t>
  </si>
  <si>
    <t>CG-267[00]</t>
  </si>
  <si>
    <t>YPF.SC.CG-364</t>
  </si>
  <si>
    <t>CG-364[00]</t>
  </si>
  <si>
    <t>YPF.SC.CG-396</t>
  </si>
  <si>
    <t>CG-396[00]</t>
  </si>
  <si>
    <t>YPF.SC.CG.a-409</t>
  </si>
  <si>
    <t>CG-409[00]</t>
  </si>
  <si>
    <t>YPF.SC.CG-448</t>
  </si>
  <si>
    <t>CG-448[00]</t>
  </si>
  <si>
    <t>YPF.SC.LC.a-11</t>
  </si>
  <si>
    <t>LC-11[00]</t>
  </si>
  <si>
    <t>YPF.SC.LC-89</t>
  </si>
  <si>
    <t>LC-89[00]</t>
  </si>
  <si>
    <t>YPF.SC.LC-578</t>
  </si>
  <si>
    <t>LC-578[00]</t>
  </si>
  <si>
    <t>YPF.SC.CnE-82</t>
  </si>
  <si>
    <t>CnE-82[00]</t>
  </si>
  <si>
    <t>YPF.SC.CnE-177</t>
  </si>
  <si>
    <t>YPF.SC.CnE-254</t>
  </si>
  <si>
    <t>CnE-254[00]</t>
  </si>
  <si>
    <t>YPF.SC.CnE-294</t>
  </si>
  <si>
    <t>CnE-294[00]</t>
  </si>
  <si>
    <t>YPF.SC.CnE-356</t>
  </si>
  <si>
    <t>CnE-356[00]</t>
  </si>
  <si>
    <t>YPF.SC.CnE.a-389</t>
  </si>
  <si>
    <t>CnE-389[00]</t>
  </si>
  <si>
    <t>YPF.SC.CnE-636</t>
  </si>
  <si>
    <t>CnE-636[00]</t>
  </si>
  <si>
    <t>YPF.SC.CnE-691</t>
  </si>
  <si>
    <t>CnE-691[00]</t>
  </si>
  <si>
    <t>YPF.SC.CnE-799</t>
  </si>
  <si>
    <t>YPF.SC.BB-100</t>
  </si>
  <si>
    <t>BB-100[00]</t>
  </si>
  <si>
    <t>YPF.SC.LH-241</t>
  </si>
  <si>
    <t>YPF.SC.CnE-442</t>
  </si>
  <si>
    <t>CnE-442[00]</t>
  </si>
  <si>
    <t>YPF.SC.CnE-499</t>
  </si>
  <si>
    <t>CnE-499[00]</t>
  </si>
  <si>
    <t>YPF.SC.CnE-502</t>
  </si>
  <si>
    <t>CnE-502[00]</t>
  </si>
  <si>
    <t>En Reparación</t>
  </si>
  <si>
    <t>YPF.SC.CnE.a-588</t>
  </si>
  <si>
    <t>CnE-588[00]</t>
  </si>
  <si>
    <t>YPF.SC.CnE-689</t>
  </si>
  <si>
    <t>CnE-689[00]</t>
  </si>
  <si>
    <t>YPF.SC.CnE-696</t>
  </si>
  <si>
    <t>CnE-696[00]</t>
  </si>
  <si>
    <t>YPF.SC.LH-293</t>
  </si>
  <si>
    <t>LH-293[00]</t>
  </si>
  <si>
    <t>YPF.SC.LH.a-11</t>
  </si>
  <si>
    <t>YPF.SC.LH-45</t>
  </si>
  <si>
    <t>LH-45[00]</t>
  </si>
  <si>
    <t>YPF.SC.CG.a-303</t>
  </si>
  <si>
    <t>YPF.SC.LH-402</t>
  </si>
  <si>
    <t>LH-402[00]</t>
  </si>
  <si>
    <t>YPF.SC.LH-489</t>
  </si>
  <si>
    <t>LH-489[00]</t>
  </si>
  <si>
    <t>YPF.SC.CnE-881</t>
  </si>
  <si>
    <t>YPF.SC.CG.a-583</t>
  </si>
  <si>
    <t>CG-583[00]a</t>
  </si>
  <si>
    <t>YPF.SC.LH-1142</t>
  </si>
  <si>
    <t>LH-1142[00]a</t>
  </si>
  <si>
    <t>YPF.SC.LH-1172</t>
  </si>
  <si>
    <t>LH-1172[00]</t>
  </si>
  <si>
    <t>YPF.SC.CG-627</t>
  </si>
  <si>
    <t>CG-627[00]</t>
  </si>
  <si>
    <t>YPF.SC.CG-670</t>
  </si>
  <si>
    <t>CG-670[00]</t>
  </si>
  <si>
    <t>YPF.SC.LH-1169</t>
  </si>
  <si>
    <t>LH-1169[00]</t>
  </si>
  <si>
    <t>YPF.SC.CnE-1064</t>
  </si>
  <si>
    <t>CnE-1064[00]</t>
  </si>
  <si>
    <t>YPF.SC.CG-785</t>
  </si>
  <si>
    <t>CG-785[00]</t>
  </si>
  <si>
    <t>YPF.SC.CnE-1114</t>
  </si>
  <si>
    <t>CnE-1114[00]</t>
  </si>
  <si>
    <t>YPF.SC.CnE-1188</t>
  </si>
  <si>
    <t>CnE-1188[00]</t>
  </si>
  <si>
    <t>YPF.SC.LH-1229</t>
  </si>
  <si>
    <t>LH-1229[00]</t>
  </si>
  <si>
    <t>YPF.SC.CG-870</t>
  </si>
  <si>
    <t>CG-870[00]a</t>
  </si>
  <si>
    <t>YPF.SC.CG-876</t>
  </si>
  <si>
    <t>CG-876[00]</t>
  </si>
  <si>
    <t>YPF.SC.CnE-1387</t>
  </si>
  <si>
    <t>CnE-1387[00]</t>
  </si>
  <si>
    <t>YPF.SC.LH-1300</t>
  </si>
  <si>
    <t>LH-1300</t>
  </si>
  <si>
    <t>YPF.SC.CnE-1433</t>
  </si>
  <si>
    <t>CnE-1433[00]a</t>
  </si>
  <si>
    <t>YPF.SC.CG-804</t>
  </si>
  <si>
    <t>CG-804[00]</t>
  </si>
  <si>
    <t>YPF.SC.CG-733</t>
  </si>
  <si>
    <t>CG-733[00]</t>
  </si>
  <si>
    <t>YPF.SC.CnE-1119</t>
  </si>
  <si>
    <t>CnE-1119[00]</t>
  </si>
  <si>
    <t>YPF.SC.CnE-904</t>
  </si>
  <si>
    <t>CnE-904[00]a</t>
  </si>
  <si>
    <t>YPF.SC.CnE-914</t>
  </si>
  <si>
    <t>CnE-914[00]a</t>
  </si>
  <si>
    <t>YPF.SC.LH-1092</t>
  </si>
  <si>
    <t>LH-1092[00]a</t>
  </si>
  <si>
    <t>YPF.SC.CnE.a-1343</t>
  </si>
  <si>
    <t>CnE.a-1343[00]</t>
  </si>
  <si>
    <t>YPF.SC.CG-951</t>
  </si>
  <si>
    <t>CG-951[00]</t>
  </si>
  <si>
    <t>YPF.SC.LH-1255</t>
  </si>
  <si>
    <t>LH-1255[00]</t>
  </si>
  <si>
    <t>YPF.SC.BB-174</t>
  </si>
  <si>
    <t>BB-174[00]</t>
  </si>
  <si>
    <t>YPF.SC.O-200</t>
  </si>
  <si>
    <t>YPF.SC.LH-89</t>
  </si>
  <si>
    <t>LH-89[00]</t>
  </si>
  <si>
    <t>YPF.SC.LH-208</t>
  </si>
  <si>
    <t>YPF.SC.LH-575</t>
  </si>
  <si>
    <t>LH-575[00]</t>
  </si>
  <si>
    <t>YPF.SC.LH-636</t>
  </si>
  <si>
    <t>LH-636[00]</t>
  </si>
  <si>
    <t>YPF.SC.LH-647</t>
  </si>
  <si>
    <t>LH-647[00]</t>
  </si>
  <si>
    <t>YPF.SC.LH-680</t>
  </si>
  <si>
    <t>LH-680[00]</t>
  </si>
  <si>
    <t>YPF.SC.LH-807</t>
  </si>
  <si>
    <t>YPF.SC.LH-931</t>
  </si>
  <si>
    <t>LH-931[00]</t>
  </si>
  <si>
    <t>YPF.SC.CG-360</t>
  </si>
  <si>
    <t>CG-360[00]</t>
  </si>
  <si>
    <t>YPF.SC.CG-367</t>
  </si>
  <si>
    <t>CG-367[00]</t>
  </si>
  <si>
    <t>YPF.SC.CG-395</t>
  </si>
  <si>
    <t>CG-395[00]</t>
  </si>
  <si>
    <t>YPF.SC.CG-437</t>
  </si>
  <si>
    <t>CG-437[00]</t>
  </si>
  <si>
    <t>YPF.SC.CG-489</t>
  </si>
  <si>
    <t>CG-489[00]</t>
  </si>
  <si>
    <t>YPF.SC.CnE-72</t>
  </si>
  <si>
    <t>CnE-72[00]</t>
  </si>
  <si>
    <t>YPF.SC.CnE-123</t>
  </si>
  <si>
    <t>YPF.SC.CnE-279</t>
  </si>
  <si>
    <t>CnE-279[00]</t>
  </si>
  <si>
    <t>YPF.SC.CnE-397</t>
  </si>
  <si>
    <t>CnE-397[00]</t>
  </si>
  <si>
    <t>YPF.SC.CnE-427</t>
  </si>
  <si>
    <t>CnE-427[00]</t>
  </si>
  <si>
    <t>YPF.SC.CnE-433</t>
  </si>
  <si>
    <t>CnE-433[00]</t>
  </si>
  <si>
    <t>YPF.SC.CnE-470</t>
  </si>
  <si>
    <t>CnE-470[00]</t>
  </si>
  <si>
    <t>YPF.SC.CnE-548</t>
  </si>
  <si>
    <t>CnE-548[00]</t>
  </si>
  <si>
    <t>YPF.SC.CnE-579</t>
  </si>
  <si>
    <t>CnE-579[00]</t>
  </si>
  <si>
    <t>YPF.SC.CnE-618</t>
  </si>
  <si>
    <t>CnE-618[00]</t>
  </si>
  <si>
    <t>YPF.SC.CnE-630</t>
  </si>
  <si>
    <t>CnE-630[00]</t>
  </si>
  <si>
    <t>YPF.SC.CnE-756</t>
  </si>
  <si>
    <t>CnE-756[00]</t>
  </si>
  <si>
    <t>YPF.SC.CnE-785</t>
  </si>
  <si>
    <t>CnE-785[00]</t>
  </si>
  <si>
    <t>YPF.SC.CnE-851</t>
  </si>
  <si>
    <t>CnE-851[00]</t>
  </si>
  <si>
    <t>YPF.SC.BB.a-68</t>
  </si>
  <si>
    <t>BB-68[00]</t>
  </si>
  <si>
    <t>YPF.SC.LH-492</t>
  </si>
  <si>
    <t>LH-492[00]</t>
  </si>
  <si>
    <t>YPF.SC.LH-255</t>
  </si>
  <si>
    <t>LH-255[00]</t>
  </si>
  <si>
    <t>YPF.SC.CG.a-519</t>
  </si>
  <si>
    <t>CG-519[00]</t>
  </si>
  <si>
    <t>YPF.SC.CG-110</t>
  </si>
  <si>
    <t>CG-110[00]</t>
  </si>
  <si>
    <t>YPF.SC.O-201</t>
  </si>
  <si>
    <t>O-201[00]</t>
  </si>
  <si>
    <t>YPF.SC.LH-146</t>
  </si>
  <si>
    <t>LH-146[00]</t>
  </si>
  <si>
    <t>YPF.SC.LH-721</t>
  </si>
  <si>
    <t>LH-721[00]</t>
  </si>
  <si>
    <t>YPF.SC.LH-771</t>
  </si>
  <si>
    <t>YPF.SC.LH-786</t>
  </si>
  <si>
    <t>LH-786[00]</t>
  </si>
  <si>
    <t>YPF.SC.CG-111</t>
  </si>
  <si>
    <t>CG-111[00]</t>
  </si>
  <si>
    <t>YPF.SC.CG.a-153</t>
  </si>
  <si>
    <t>CG-153[00]</t>
  </si>
  <si>
    <t>YPF.SC.CG-240</t>
  </si>
  <si>
    <t>CG-240[00]</t>
  </si>
  <si>
    <t>YPF.SC.CG-306</t>
  </si>
  <si>
    <t>CG-306[00]</t>
  </si>
  <si>
    <t>YPF.SC.CG-366</t>
  </si>
  <si>
    <t>CG-366[00]</t>
  </si>
  <si>
    <t>YPF.SC.CG-368</t>
  </si>
  <si>
    <t>CG-368[00]</t>
  </si>
  <si>
    <t>YPF.SC.CG-399</t>
  </si>
  <si>
    <t>CG-399[00]</t>
  </si>
  <si>
    <t>YPF.SC.CG-464</t>
  </si>
  <si>
    <t>YPF.SC.CG-516</t>
  </si>
  <si>
    <t>YPF.SC.CnE.a-8</t>
  </si>
  <si>
    <t>CnE-8[00]</t>
  </si>
  <si>
    <t>YPF.SC.CnE-310</t>
  </si>
  <si>
    <t>CnE-310[00]</t>
  </si>
  <si>
    <t>YPF.SC.CnE-330</t>
  </si>
  <si>
    <t>CnE-330[00]</t>
  </si>
  <si>
    <t>YPF.SC.CnE.a-346</t>
  </si>
  <si>
    <t>CnE-346[00]</t>
  </si>
  <si>
    <t>YPF.SC.CnE-403</t>
  </si>
  <si>
    <t>CnE-403[00]</t>
  </si>
  <si>
    <t>YPF.SC.CnE-563</t>
  </si>
  <si>
    <t>CnE-563[00]</t>
  </si>
  <si>
    <t>YPF.SC.CnE.a-586</t>
  </si>
  <si>
    <t>CnE-586[00]</t>
  </si>
  <si>
    <t>YPF.SC.CnE.a-596</t>
  </si>
  <si>
    <t>CnE-596[00]</t>
  </si>
  <si>
    <t>YPF.SC.CnE-660</t>
  </si>
  <si>
    <t>CnE-660[00]</t>
  </si>
  <si>
    <t>YPF.SC.CnE-667</t>
  </si>
  <si>
    <t>CnE-667[00]</t>
  </si>
  <si>
    <t>YPF.SC.CnE-680</t>
  </si>
  <si>
    <t>CnE-680[00]</t>
  </si>
  <si>
    <t>YPF.SC.CnE-682</t>
  </si>
  <si>
    <t>CnE-682[00]</t>
  </si>
  <si>
    <t>YPF.SC.CnE-713</t>
  </si>
  <si>
    <t>CnE-713[00]</t>
  </si>
  <si>
    <t>YPF.SC.CnE-769</t>
  </si>
  <si>
    <t>CnE-769[00]</t>
  </si>
  <si>
    <t>YPF.SC.BB.a-29</t>
  </si>
  <si>
    <t>BB-29[00]</t>
  </si>
  <si>
    <t>YPF.SC.LH-170</t>
  </si>
  <si>
    <t>YPF.SC.LH-541</t>
  </si>
  <si>
    <t>YPF.SC.CG.a-7</t>
  </si>
  <si>
    <t>CG-7[00]</t>
  </si>
  <si>
    <t>YPF.SC.CnE-888</t>
  </si>
  <si>
    <t>CnE-888[00]a</t>
  </si>
  <si>
    <t>YPF.SC.CG-557</t>
  </si>
  <si>
    <t>CG-557[00]a</t>
  </si>
  <si>
    <t>YPF.SC.CnE-941</t>
  </si>
  <si>
    <t>CnE-941[00]a</t>
  </si>
  <si>
    <t>YPF.SC.LH-1161</t>
  </si>
  <si>
    <t>LH-1161[00]a</t>
  </si>
  <si>
    <t>YPF.SC.CG-618</t>
  </si>
  <si>
    <t>CG-618[00]</t>
  </si>
  <si>
    <t>YPF.SC.CG-642</t>
  </si>
  <si>
    <t>CG-642[00]</t>
  </si>
  <si>
    <t>YPF.SC.CG-787</t>
  </si>
  <si>
    <t>CG-787[00]</t>
  </si>
  <si>
    <t>YPF.SC.O-111</t>
  </si>
  <si>
    <t>YPF.SC.LH-129</t>
  </si>
  <si>
    <t>LH-129[00]</t>
  </si>
  <si>
    <t>YPF.SC.LH-620</t>
  </si>
  <si>
    <t>LH-620[00]</t>
  </si>
  <si>
    <t>YPF.SC.LH-625</t>
  </si>
  <si>
    <t>LH-625[00]</t>
  </si>
  <si>
    <t>YPF.SC.LH-629</t>
  </si>
  <si>
    <t>LH-629[00]</t>
  </si>
  <si>
    <t>YPF.SC.CG-63</t>
  </si>
  <si>
    <t>CG-63[00]</t>
  </si>
  <si>
    <t>YPF.SC.CG-159</t>
  </si>
  <si>
    <t>CG-159[00]</t>
  </si>
  <si>
    <t>YPF.SC.CG-247</t>
  </si>
  <si>
    <t>CG-247[00]</t>
  </si>
  <si>
    <t>YPF.SC.CG.a-277</t>
  </si>
  <si>
    <t>CG-277[00]</t>
  </si>
  <si>
    <t>YPF.SC.CG-318</t>
  </si>
  <si>
    <t>CG-318[00]</t>
  </si>
  <si>
    <t>YPF.SC.CG-356</t>
  </si>
  <si>
    <t>CG-356[00]</t>
  </si>
  <si>
    <t>YPF.SC.CG.a-480</t>
  </si>
  <si>
    <t>CG-480[00]</t>
  </si>
  <si>
    <t>YPF.SC.BB-58</t>
  </si>
  <si>
    <t>BB-58[00]</t>
  </si>
  <si>
    <t>YPF.SC.BB-78</t>
  </si>
  <si>
    <t>YPF.SC.CnE-30</t>
  </si>
  <si>
    <t>CnE-30[00]</t>
  </si>
  <si>
    <t>YPF.SC.CnE.a-117</t>
  </si>
  <si>
    <t>CnE-117[00]</t>
  </si>
  <si>
    <t>YPF.SC.CG-492</t>
  </si>
  <si>
    <t>CG-492[00]</t>
  </si>
  <si>
    <t>YPF.SC.LH.a-46</t>
  </si>
  <si>
    <t>LH-46[00]</t>
  </si>
  <si>
    <t>YPF.SC.LH-50</t>
  </si>
  <si>
    <t>LH-50[00]</t>
  </si>
  <si>
    <t>YPF.SC.CnE.a-476</t>
  </si>
  <si>
    <t>YPF.SC.LH-435</t>
  </si>
  <si>
    <t>LH-435[00]</t>
  </si>
  <si>
    <t>YPF.SC.LH-235</t>
  </si>
  <si>
    <t>YPF.SC.CG.a-129</t>
  </si>
  <si>
    <t>CG-129[00]</t>
  </si>
  <si>
    <t>YPF.SC.CG-154</t>
  </si>
  <si>
    <t>CG-154[00]</t>
  </si>
  <si>
    <t>YPF.SC.CG.a-77</t>
  </si>
  <si>
    <t>CG-77[00]</t>
  </si>
  <si>
    <t>YPF.SC.LH-76</t>
  </si>
  <si>
    <t>LH-76[00]</t>
  </si>
  <si>
    <t>YPF.SC.LH-55</t>
  </si>
  <si>
    <t>YPF.SC.LH-193</t>
  </si>
  <si>
    <t>LH-193[00]</t>
  </si>
  <si>
    <t>YPF.SC.LH-570</t>
  </si>
  <si>
    <t>LH-570[00]</t>
  </si>
  <si>
    <t>YPF.SC.LH-689</t>
  </si>
  <si>
    <t>LH-689[00]</t>
  </si>
  <si>
    <t>A Abandonar Por Razones Técnicas</t>
  </si>
  <si>
    <t>YPF.SC.LH-816</t>
  </si>
  <si>
    <t>LH-816[00]</t>
  </si>
  <si>
    <t>YPF.SC.CG-86</t>
  </si>
  <si>
    <t>CG-86[00]</t>
  </si>
  <si>
    <t>YPF.SC.CG.a-142</t>
  </si>
  <si>
    <t>CG-142[00]</t>
  </si>
  <si>
    <t>YPF.SC.CG-168</t>
  </si>
  <si>
    <t>CG-168[00]</t>
  </si>
  <si>
    <t>YPF.SC.CG-237</t>
  </si>
  <si>
    <t>CG-237[00]</t>
  </si>
  <si>
    <t>YPF.SC.CG.a-302</t>
  </si>
  <si>
    <t>CG-302[00]</t>
  </si>
  <si>
    <t>YPF.SC.CG-462</t>
  </si>
  <si>
    <t>CG-462[00]</t>
  </si>
  <si>
    <t>YPF.SC.CG-503</t>
  </si>
  <si>
    <t>CG-503[00]</t>
  </si>
  <si>
    <t>YPF.SC.CnE-212</t>
  </si>
  <si>
    <t>CnE-212[00]</t>
  </si>
  <si>
    <t>YPF.SC.CnE-214</t>
  </si>
  <si>
    <t>CnE-214[00]</t>
  </si>
  <si>
    <t>YPF.SC.CnE-353</t>
  </si>
  <si>
    <t>CnE-353[00]</t>
  </si>
  <si>
    <t>YPF.SC.CnE.a-391</t>
  </si>
  <si>
    <t>CnE-391[00]</t>
  </si>
  <si>
    <t>YPF.SC.CnE-404</t>
  </si>
  <si>
    <t>CnE-404[00]</t>
  </si>
  <si>
    <t>YPF.SC.CnE-411</t>
  </si>
  <si>
    <t>CnE-411[00]</t>
  </si>
  <si>
    <t>YPF.SC.CnE-444</t>
  </si>
  <si>
    <t>CnE-444[00]</t>
  </si>
  <si>
    <t>YPF.SC.CnE-462</t>
  </si>
  <si>
    <t>CnE-462[00]</t>
  </si>
  <si>
    <t>YPF.SC.CnE-551</t>
  </si>
  <si>
    <t>CnE-551[00]</t>
  </si>
  <si>
    <t>YPF.SC.CnE-576</t>
  </si>
  <si>
    <t>CnE-576[00]</t>
  </si>
  <si>
    <t>YPF.SC.CnE-627</t>
  </si>
  <si>
    <t>CnE-627[00]</t>
  </si>
  <si>
    <t>YPF.SC.CnE-733</t>
  </si>
  <si>
    <t>CnE-733[00]</t>
  </si>
  <si>
    <t>YPF.SC.BB.a-11</t>
  </si>
  <si>
    <t>BB-11[00]</t>
  </si>
  <si>
    <t>YPF.SC.BB-93</t>
  </si>
  <si>
    <t>BB-93[00]</t>
  </si>
  <si>
    <t>YPF.SC.BB-98</t>
  </si>
  <si>
    <t>BB-98[00]</t>
  </si>
  <si>
    <t>YPF.SC.LHS.x-2</t>
  </si>
  <si>
    <t>YPF.SC.LH-287</t>
  </si>
  <si>
    <t>LH-287[00]</t>
  </si>
  <si>
    <t>YPF.SC.LH-120</t>
  </si>
  <si>
    <t>LH-120[00]</t>
  </si>
  <si>
    <t>YPF.SC.CG.a-80</t>
  </si>
  <si>
    <t>CG-80[00]</t>
  </si>
  <si>
    <t>YPF.SC.CG-106</t>
  </si>
  <si>
    <t>CG-106[00]</t>
  </si>
  <si>
    <t>En Reserva De Gas</t>
  </si>
  <si>
    <t>YPF.SC.LH-996</t>
  </si>
  <si>
    <t>LH-996[00]a</t>
  </si>
  <si>
    <t>YPF.SC.LH-1013</t>
  </si>
  <si>
    <t>LH-1013[00]a</t>
  </si>
  <si>
    <t>YPF.SC.LH-1006</t>
  </si>
  <si>
    <t>LH-1006[00]a</t>
  </si>
  <si>
    <t>YPF.SC.CnE-895</t>
  </si>
  <si>
    <t>CnE-895[00]a</t>
  </si>
  <si>
    <t>YPF.SC.LH-1046</t>
  </si>
  <si>
    <t>LH-1046[00]a</t>
  </si>
  <si>
    <t>YPF.SC.CnE-873</t>
  </si>
  <si>
    <t>CnE-873[00]a</t>
  </si>
  <si>
    <t>YPF.SC.LH-1081</t>
  </si>
  <si>
    <t>LH-1081[00]a</t>
  </si>
  <si>
    <t>YPF.SC.CG-537</t>
  </si>
  <si>
    <t>CG-537[00]a</t>
  </si>
  <si>
    <t>YPF.SC.LH-1091</t>
  </si>
  <si>
    <t>LH-1091[00]a</t>
  </si>
  <si>
    <t>YPF.SC.LH-1094</t>
  </si>
  <si>
    <t>LH-1094[00]a</t>
  </si>
  <si>
    <t>YPF.SC.CnE-920</t>
  </si>
  <si>
    <t>CnE-920[00]a</t>
  </si>
  <si>
    <t>YPF.SC.CG.a-574</t>
  </si>
  <si>
    <t>CG-574[00]a</t>
  </si>
  <si>
    <t>YPF.SC.CG.a-582</t>
  </si>
  <si>
    <t>CG-582[00]a</t>
  </si>
  <si>
    <t>YPF.SC.LH-1135</t>
  </si>
  <si>
    <t>LH-1135[00]a</t>
  </si>
  <si>
    <t>YPF.SC.LH-1159</t>
  </si>
  <si>
    <t>LH-1159[00]a</t>
  </si>
  <si>
    <t>YPF.SC.CnE-972</t>
  </si>
  <si>
    <t>CnE-972[00]</t>
  </si>
  <si>
    <t>YPF.SC.LH-1174</t>
  </si>
  <si>
    <t>LH-1174[00]</t>
  </si>
  <si>
    <t>YPF.SC.CG-713</t>
  </si>
  <si>
    <t>CG-713[00]</t>
  </si>
  <si>
    <t>YPF.SC.CnE-1090</t>
  </si>
  <si>
    <t>CnE-1090[00]</t>
  </si>
  <si>
    <t>YPF.SC.CG-793</t>
  </si>
  <si>
    <t>CG-793[00]</t>
  </si>
  <si>
    <t>YPF.SC.LH-1215</t>
  </si>
  <si>
    <t>LH-1215[00]</t>
  </si>
  <si>
    <t>YPF.SC.CnE-1154</t>
  </si>
  <si>
    <t>CnE-1154[00]</t>
  </si>
  <si>
    <t>YPF.SC.CnE-1104</t>
  </si>
  <si>
    <t>CnE-1104[00]</t>
  </si>
  <si>
    <t>YPF.SC.LH-1228</t>
  </si>
  <si>
    <t>LH-1228[00]</t>
  </si>
  <si>
    <t>YPF.SC.CG-875</t>
  </si>
  <si>
    <t>CG-875[00]</t>
  </si>
  <si>
    <t>YPF.SC.CG-958</t>
  </si>
  <si>
    <t>CG-958[00]</t>
  </si>
  <si>
    <t>YPF.SC.LH-1</t>
  </si>
  <si>
    <t>LH-1[00]</t>
  </si>
  <si>
    <t>YPF.SC.LH-116</t>
  </si>
  <si>
    <t>LH-116[00]</t>
  </si>
  <si>
    <t>YPF.SC.LH-190</t>
  </si>
  <si>
    <t>LH-190[00]</t>
  </si>
  <si>
    <t>YPF.SC.LH-218</t>
  </si>
  <si>
    <t>YPF.SC.LH-528</t>
  </si>
  <si>
    <t>LH-528[00]</t>
  </si>
  <si>
    <t>YPF.SC.LH-530</t>
  </si>
  <si>
    <t>LH-530[00]</t>
  </si>
  <si>
    <t>YPF.SC.LH-551</t>
  </si>
  <si>
    <t>LH-551[00]</t>
  </si>
  <si>
    <t>YPF.SC.LH-590</t>
  </si>
  <si>
    <t>LH-590[00]</t>
  </si>
  <si>
    <t>YPF.SC.LH-667</t>
  </si>
  <si>
    <t>LH-667[00]</t>
  </si>
  <si>
    <t>YPF.SC.LH-678</t>
  </si>
  <si>
    <t>YPF.SC.LH-742</t>
  </si>
  <si>
    <t>LH-742[00]</t>
  </si>
  <si>
    <t>YPF.SC.LH-794</t>
  </si>
  <si>
    <t>LH-794[00]</t>
  </si>
  <si>
    <t>YPF.SC.LH-813</t>
  </si>
  <si>
    <t>LH-813[00]</t>
  </si>
  <si>
    <t>YPF.SC.LH-891</t>
  </si>
  <si>
    <t>LH-891[00]</t>
  </si>
  <si>
    <t>YPF.SC.LH-897</t>
  </si>
  <si>
    <t>LH-897[00]</t>
  </si>
  <si>
    <t>YPF.SC.LH-960</t>
  </si>
  <si>
    <t>LH-960[00]</t>
  </si>
  <si>
    <t>YPF.SC.CG-117</t>
  </si>
  <si>
    <t>CG-117[00]</t>
  </si>
  <si>
    <t>YPF.SC.CG-171</t>
  </si>
  <si>
    <t>CG-171[00]</t>
  </si>
  <si>
    <t>YPF.SC.CG-204</t>
  </si>
  <si>
    <t>YPF.SC.CG-287</t>
  </si>
  <si>
    <t>CG-287[00]</t>
  </si>
  <si>
    <t>YPF.SC.CG-316</t>
  </si>
  <si>
    <t>CG-316[00]</t>
  </si>
  <si>
    <t>YPF.SC.CG-353</t>
  </si>
  <si>
    <t>CG-353[00]</t>
  </si>
  <si>
    <t>YPF.SC.CG-420</t>
  </si>
  <si>
    <t>CG-420[00]</t>
  </si>
  <si>
    <t>YPF.SC.CG-458</t>
  </si>
  <si>
    <t>CG-458[00]</t>
  </si>
  <si>
    <t>YPF.SC.CG-487</t>
  </si>
  <si>
    <t>CG-487[00]</t>
  </si>
  <si>
    <t>YPF.SC.CG-501</t>
  </si>
  <si>
    <t>CG-501[00]</t>
  </si>
  <si>
    <t>YPF.SC.LC-65</t>
  </si>
  <si>
    <t>LC-65[00]</t>
  </si>
  <si>
    <t>YPF.SC.N-52</t>
  </si>
  <si>
    <t>YPF.SC.CnE.a-34</t>
  </si>
  <si>
    <t>CnE-34[00]</t>
  </si>
  <si>
    <t>YPF.SC.CnE-50</t>
  </si>
  <si>
    <t>CnE-50[00]</t>
  </si>
  <si>
    <t>YPF.SC.CnE.a-93</t>
  </si>
  <si>
    <t>CnE-93[00]</t>
  </si>
  <si>
    <t>YPF.SC.CnE-99</t>
  </si>
  <si>
    <t>CnE-99[00]</t>
  </si>
  <si>
    <t>YPF.SC.CnE-118</t>
  </si>
  <si>
    <t>CnE-118[00]</t>
  </si>
  <si>
    <t>YPF.SC.CnE-149</t>
  </si>
  <si>
    <t>CnE-149[00]</t>
  </si>
  <si>
    <t>YPF.SC.CnE-233</t>
  </si>
  <si>
    <t>CnE-233[00]</t>
  </si>
  <si>
    <t>YPF.SC.CnE-252</t>
  </si>
  <si>
    <t>CnE-252[00]</t>
  </si>
  <si>
    <t>YPF.SC.CnE.a-340</t>
  </si>
  <si>
    <t>CnE-340[00]</t>
  </si>
  <si>
    <t>YPF.SC.CnE-361</t>
  </si>
  <si>
    <t>CnE-361[00]</t>
  </si>
  <si>
    <t>YPF.SC.CnE-369</t>
  </si>
  <si>
    <t>CnE-369[00]</t>
  </si>
  <si>
    <t>YPF.SC.CnE-472</t>
  </si>
  <si>
    <t>CnE-472[00]</t>
  </si>
  <si>
    <t>YPF.SC.CnE-515</t>
  </si>
  <si>
    <t>CnE-515[00]</t>
  </si>
  <si>
    <t>YPF.SC.CnE-518</t>
  </si>
  <si>
    <t>CnE-518[00]</t>
  </si>
  <si>
    <t>YPF.SC.CnE-550</t>
  </si>
  <si>
    <t>CnE-550[00]</t>
  </si>
  <si>
    <t>YPF.SC.CnE.a-569</t>
  </si>
  <si>
    <t>CnE-569[00]</t>
  </si>
  <si>
    <t>YPF.SC.CnE.a-605</t>
  </si>
  <si>
    <t>CnE-605[00]</t>
  </si>
  <si>
    <t>YPF.SC.CnE-678</t>
  </si>
  <si>
    <t>CnE-678[00]</t>
  </si>
  <si>
    <t>YPF.SC.CnE-694</t>
  </si>
  <si>
    <t>CnE-694[00]</t>
  </si>
  <si>
    <t>YPF.SC.CnE-773</t>
  </si>
  <si>
    <t>YPF.SC.CnE-787</t>
  </si>
  <si>
    <t>CnE-787[00]</t>
  </si>
  <si>
    <t>YPF.SC.CnE-805</t>
  </si>
  <si>
    <t>CnE-805[00]</t>
  </si>
  <si>
    <t>YPF.SC.CnE-839</t>
  </si>
  <si>
    <t>CnE-839[00]</t>
  </si>
  <si>
    <t>YPF.SC.CnE-850</t>
  </si>
  <si>
    <t>YPF.SC.LH-226</t>
  </si>
  <si>
    <t>LH-226[00]</t>
  </si>
  <si>
    <t>YPF.SC.LH-229</t>
  </si>
  <si>
    <t>LH-229[00]</t>
  </si>
  <si>
    <t>YPF.SC.LH-631</t>
  </si>
  <si>
    <t>LH-631[00]</t>
  </si>
  <si>
    <t>YPF.SC.LH-815</t>
  </si>
  <si>
    <t>LH-815[00]</t>
  </si>
  <si>
    <t>YPF.SC.LH-859</t>
  </si>
  <si>
    <t>LH-859[00]</t>
  </si>
  <si>
    <t>YPF.SC.LH-923</t>
  </si>
  <si>
    <t>LH-923[00]</t>
  </si>
  <si>
    <t>YPF.SC.LH-942</t>
  </si>
  <si>
    <t>LH-942[00]</t>
  </si>
  <si>
    <t>YPF.SC.LH-943</t>
  </si>
  <si>
    <t>LH-943[00]</t>
  </si>
  <si>
    <t>YPF.SC.CG-102</t>
  </si>
  <si>
    <t>CG-102[00]</t>
  </si>
  <si>
    <t>YPF.SC.CG-147</t>
  </si>
  <si>
    <t>CG-147[00]</t>
  </si>
  <si>
    <t>YPF.SC.CG-163</t>
  </si>
  <si>
    <t>CG-163[00]</t>
  </si>
  <si>
    <t>YPF.SC.CG-216</t>
  </si>
  <si>
    <t>YPF.SC.CG-238</t>
  </si>
  <si>
    <t>CG-238[00]</t>
  </si>
  <si>
    <t>YPF.SC.CG-484</t>
  </si>
  <si>
    <t>CG-484[00]</t>
  </si>
  <si>
    <t>YPF.SC.CnE-66</t>
  </si>
  <si>
    <t>CnE-66[00]</t>
  </si>
  <si>
    <t>YPF.SC.CnE-235</t>
  </si>
  <si>
    <t>YPF.SC.CnE-249</t>
  </si>
  <si>
    <t>CnE-249[00]</t>
  </si>
  <si>
    <t>YPF.SC.CnE-263</t>
  </si>
  <si>
    <t>CnE-263[00]</t>
  </si>
  <si>
    <t>YPF.SC.CnE-275</t>
  </si>
  <si>
    <t>CnE-275[00]</t>
  </si>
  <si>
    <t>YPF.SC.CnE.a-345</t>
  </si>
  <si>
    <t>CnE-345[00]</t>
  </si>
  <si>
    <t>YPF.SC.CnE.a-372</t>
  </si>
  <si>
    <t>CnE-372[00]</t>
  </si>
  <si>
    <t>YPF.SC.CnE.a-590</t>
  </si>
  <si>
    <t>CnE-590[00]</t>
  </si>
  <si>
    <t>YPF.SC.CnE-643</t>
  </si>
  <si>
    <t>CnE-643[00]</t>
  </si>
  <si>
    <t>YPF.SC.CnE-653</t>
  </si>
  <si>
    <t>CnE-653[00]</t>
  </si>
  <si>
    <t>YPF.SC.BB.a-69</t>
  </si>
  <si>
    <t>BB-69[00]</t>
  </si>
  <si>
    <t>YPF.SC.BB-86</t>
  </si>
  <si>
    <t>BB-86[00]</t>
  </si>
  <si>
    <t>YPF.SC.LH.a-40</t>
  </si>
  <si>
    <t>LH-40[00]</t>
  </si>
  <si>
    <t>YPF.SC.LC-13</t>
  </si>
  <si>
    <t>LC-13[00]</t>
  </si>
  <si>
    <t>YPF.SC.CG.a-416</t>
  </si>
  <si>
    <t>YPF.SC.CG-497</t>
  </si>
  <si>
    <t>CG-497[00]</t>
  </si>
  <si>
    <t>YPF.SC.LH.a-152</t>
  </si>
  <si>
    <t>YPF.SC.LH.a-159</t>
  </si>
  <si>
    <t>LH-159[00]</t>
  </si>
  <si>
    <t>YPF.SC.LH-239</t>
  </si>
  <si>
    <t>YPF.SC.CG.a-20</t>
  </si>
  <si>
    <t>YPF.SC.CnE-29</t>
  </si>
  <si>
    <t>YPF.SC.CnE-865</t>
  </si>
  <si>
    <t>CnE-865[00]</t>
  </si>
  <si>
    <t>YPF.SC.CnE-871</t>
  </si>
  <si>
    <t>CnE-871[00]a</t>
  </si>
  <si>
    <t>YPF.SC.CG-544</t>
  </si>
  <si>
    <t>CG-544[00]a</t>
  </si>
  <si>
    <t>YPF.SC.LH-1016</t>
  </si>
  <si>
    <t>LH-1016[00]a</t>
  </si>
  <si>
    <t>YPF.SC.LH-1014</t>
  </si>
  <si>
    <t>LH-1014[00]</t>
  </si>
  <si>
    <t>YPF.SC.LH-1058</t>
  </si>
  <si>
    <t>LH-1058[00]a</t>
  </si>
  <si>
    <t>YPF.SC.CG-539</t>
  </si>
  <si>
    <t>CG-539[00]a</t>
  </si>
  <si>
    <t>YPF.SC.CG-705</t>
  </si>
  <si>
    <t>CG-705[00]</t>
  </si>
  <si>
    <t>YPF.SC.LH-989</t>
  </si>
  <si>
    <t>LH-989[00]a</t>
  </si>
  <si>
    <t>Surgente</t>
  </si>
  <si>
    <t>YPF.SC.CnE-890</t>
  </si>
  <si>
    <t>CnE-890[00]a</t>
  </si>
  <si>
    <t>YPF.SC.CG-495</t>
  </si>
  <si>
    <t>CG-495[00]a</t>
  </si>
  <si>
    <t>YPF.SC.LH-1050</t>
  </si>
  <si>
    <t>LH-1050[00]a</t>
  </si>
  <si>
    <t>YPF.SC.CG-552</t>
  </si>
  <si>
    <t>CG-552[00]a</t>
  </si>
  <si>
    <t>YPF.SC.LH-1106</t>
  </si>
  <si>
    <t>LH-1106[00]a</t>
  </si>
  <si>
    <t>YPF.SC.LH-1125</t>
  </si>
  <si>
    <t>LH-1125[00]a</t>
  </si>
  <si>
    <t>YPF.SC.CnE.a-935</t>
  </si>
  <si>
    <t>CnE-935[00]a</t>
  </si>
  <si>
    <t>YPF.SC.CnE-973</t>
  </si>
  <si>
    <t>CnE-973[00]</t>
  </si>
  <si>
    <t>YPF.SC.CnE-1002</t>
  </si>
  <si>
    <t>CnE-1002[00]</t>
  </si>
  <si>
    <t>YPF.SC.LH-1192</t>
  </si>
  <si>
    <t>LH-1192[00]</t>
  </si>
  <si>
    <t>YPF.SC.CnE-1113</t>
  </si>
  <si>
    <t>CnE-1113[00]</t>
  </si>
  <si>
    <t>YPF.SC.CG-755</t>
  </si>
  <si>
    <t>CG-755[00]</t>
  </si>
  <si>
    <t>YPF.SC.CnE-1259</t>
  </si>
  <si>
    <t>CnE-1259[00]</t>
  </si>
  <si>
    <t>YPF.SC.CG-948</t>
  </si>
  <si>
    <t>CG-948[00]a</t>
  </si>
  <si>
    <t>YPF.SC.CG-978</t>
  </si>
  <si>
    <t>CG-978[00]a</t>
  </si>
  <si>
    <t>YPF.SC.CnE-996</t>
  </si>
  <si>
    <t>CnE-996</t>
  </si>
  <si>
    <t>YPF.SC.LH-186</t>
  </si>
  <si>
    <t>LH-186[00]</t>
  </si>
  <si>
    <t>YPF.SC.LH-192</t>
  </si>
  <si>
    <t>LH-192[00]</t>
  </si>
  <si>
    <t>Surgente por Casing</t>
  </si>
  <si>
    <t>YPF.SC.LH-587</t>
  </si>
  <si>
    <t>LH-587[00]</t>
  </si>
  <si>
    <t>YPF.SC.LH-805</t>
  </si>
  <si>
    <t>LH-805[00]</t>
  </si>
  <si>
    <t>YPF.SC.LH-812</t>
  </si>
  <si>
    <t>LH-812[00]</t>
  </si>
  <si>
    <t>YPF.SC.LH-830</t>
  </si>
  <si>
    <t>LH-830[00]</t>
  </si>
  <si>
    <t>YPF.SC.LH-955</t>
  </si>
  <si>
    <t>LH-955[00]</t>
  </si>
  <si>
    <t>YPF.SC.LH-961</t>
  </si>
  <si>
    <t>LH-961[00]</t>
  </si>
  <si>
    <t>YPF.SC.CG-87</t>
  </si>
  <si>
    <t>CG-87[00]</t>
  </si>
  <si>
    <t>YPF.SC.CG-104</t>
  </si>
  <si>
    <t>CG-104[00]</t>
  </si>
  <si>
    <t>YPF.SC.CG-136</t>
  </si>
  <si>
    <t>CG-136[00]</t>
  </si>
  <si>
    <t>YPF.SC.CG.a-140</t>
  </si>
  <si>
    <t>CG-140[00]</t>
  </si>
  <si>
    <t>YPF.SC.CG-436</t>
  </si>
  <si>
    <t>CG-436[00]</t>
  </si>
  <si>
    <t>YPF.SC.CG.a-479</t>
  </si>
  <si>
    <t>CG-479[00]</t>
  </si>
  <si>
    <t>YPF.SC.CG-481</t>
  </si>
  <si>
    <t>CG-481[00]</t>
  </si>
  <si>
    <t>YPF.SC.LC-29</t>
  </si>
  <si>
    <t>LC-29[00]</t>
  </si>
  <si>
    <t>YPF.SC.LH.a-39</t>
  </si>
  <si>
    <t>LH-39[00]</t>
  </si>
  <si>
    <t>YPF.SC.LH-48</t>
  </si>
  <si>
    <t>LH-48[00]</t>
  </si>
  <si>
    <t>YPF.SC.LH-141</t>
  </si>
  <si>
    <t>LH-141[00]</t>
  </si>
  <si>
    <t>YPF.SC.LH-145</t>
  </si>
  <si>
    <t>LH-145[00]</t>
  </si>
  <si>
    <t>YPF.SC.LH-594</t>
  </si>
  <si>
    <t>LH-594[00]</t>
  </si>
  <si>
    <t>YPF.SC.LH-652</t>
  </si>
  <si>
    <t>LH-652[00]</t>
  </si>
  <si>
    <t>YPF.SC.LH-653</t>
  </si>
  <si>
    <t>LH-653[00]</t>
  </si>
  <si>
    <t>YPF.SC.LH-668</t>
  </si>
  <si>
    <t>LH-668[00]</t>
  </si>
  <si>
    <t>YPF.SC.LH-949</t>
  </si>
  <si>
    <t>LH-949[00]</t>
  </si>
  <si>
    <t>YPF.SC.CG-164</t>
  </si>
  <si>
    <t>CG-164[00]</t>
  </si>
  <si>
    <t>YPF.SC.CG-297</t>
  </si>
  <si>
    <t>CG-297[00]</t>
  </si>
  <si>
    <t>YPF.SC.CG-314</t>
  </si>
  <si>
    <t>CG-314[00]</t>
  </si>
  <si>
    <t>YPF.SC.CG-373</t>
  </si>
  <si>
    <t>CG-373[00]</t>
  </si>
  <si>
    <t>YPF.SC.CG-454</t>
  </si>
  <si>
    <t>CG-454[00]</t>
  </si>
  <si>
    <t>YPF.SC.CG-456</t>
  </si>
  <si>
    <t>CG-456[00]</t>
  </si>
  <si>
    <t>YPF.SC.CG-461</t>
  </si>
  <si>
    <t>CG-461[00]</t>
  </si>
  <si>
    <t>YPF.SC.CG-483</t>
  </si>
  <si>
    <t>CG-483[00]</t>
  </si>
  <si>
    <t>YPF.SC.CG-509</t>
  </si>
  <si>
    <t>CG-509[00]</t>
  </si>
  <si>
    <t>YPF.SC.CnE-43</t>
  </si>
  <si>
    <t>CnE-43[00]</t>
  </si>
  <si>
    <t>YPF.SC.CnE-55</t>
  </si>
  <si>
    <t>CnE-55[00]</t>
  </si>
  <si>
    <t>YPF.SC.CnE-70</t>
  </si>
  <si>
    <t>CnE-70[00]</t>
  </si>
  <si>
    <t>YPF.SC.CnE.a-92</t>
  </si>
  <si>
    <t>CnE-92[00]</t>
  </si>
  <si>
    <t>YPF.SC.CnE.a-342</t>
  </si>
  <si>
    <t>CnE-342[00]</t>
  </si>
  <si>
    <t>YPF.SC.CnE-358</t>
  </si>
  <si>
    <t>CnE-358[00]</t>
  </si>
  <si>
    <t>YPF.SC.CnE-440</t>
  </si>
  <si>
    <t>YPF.SC.CnE-475</t>
  </si>
  <si>
    <t>CnE-475[00]</t>
  </si>
  <si>
    <t>YPF.SC.CnE-493</t>
  </si>
  <si>
    <t>CnE-493[00]</t>
  </si>
  <si>
    <t>YPF.SC.CnE.a-584</t>
  </si>
  <si>
    <t>CnE-584[00]</t>
  </si>
  <si>
    <t>YPF.SC.CnE-620</t>
  </si>
  <si>
    <t>CnE-620[00]</t>
  </si>
  <si>
    <t>YPF.SC.CnE-668</t>
  </si>
  <si>
    <t>CnE-668[00]</t>
  </si>
  <si>
    <t>YPF.SC.CnE-688</t>
  </si>
  <si>
    <t>CnE-688[00]</t>
  </si>
  <si>
    <t>YPF.SC.CnE-739</t>
  </si>
  <si>
    <t>CnE-739[00]</t>
  </si>
  <si>
    <t>YPF.SC.CnE-755</t>
  </si>
  <si>
    <t>CnE-755[00]</t>
  </si>
  <si>
    <t>YPF.SC.CnE-808</t>
  </si>
  <si>
    <t>CnE-808[00]</t>
  </si>
  <si>
    <t>YPF.SC.CnE-817</t>
  </si>
  <si>
    <t>CnE-817[00]</t>
  </si>
  <si>
    <t>YPF.SC.CnE.a-831</t>
  </si>
  <si>
    <t>YPF.SC.BB-57</t>
  </si>
  <si>
    <t>BB-57[00]</t>
  </si>
  <si>
    <t>YPF.SC.BB-81</t>
  </si>
  <si>
    <t>BB-81[00]</t>
  </si>
  <si>
    <t>YPF.SC.N-10</t>
  </si>
  <si>
    <t>N-10[00]</t>
  </si>
  <si>
    <t>YPF.SC.CnE-152</t>
  </si>
  <si>
    <t>CnE-152[00]</t>
  </si>
  <si>
    <t>YPF.SC.CnE-256</t>
  </si>
  <si>
    <t>CnE-256[00]</t>
  </si>
  <si>
    <t>YPF.SC.CnE-260</t>
  </si>
  <si>
    <t>CnE-260[00]</t>
  </si>
  <si>
    <t>YPF.SC.CnE-448</t>
  </si>
  <si>
    <t>CnE-448[00]</t>
  </si>
  <si>
    <t>YPF.SC.CnE-455</t>
  </si>
  <si>
    <t>CnE-455[00]</t>
  </si>
  <si>
    <t>YPF.SC.CnE-469</t>
  </si>
  <si>
    <t>CnE-469[00]</t>
  </si>
  <si>
    <t>YPF.SC.CnE-658</t>
  </si>
  <si>
    <t>CnE-658[00]</t>
  </si>
  <si>
    <t>YPF.SC.CnE-662</t>
  </si>
  <si>
    <t>CnE-662[00]</t>
  </si>
  <si>
    <t>YPF.SC.CnE-701</t>
  </si>
  <si>
    <t>CnE-701[00]</t>
  </si>
  <si>
    <t>YPF.SC.CnE.a-825</t>
  </si>
  <si>
    <t>CnE-825[00]</t>
  </si>
  <si>
    <t>YPF.SC.CnE.a-9</t>
  </si>
  <si>
    <t>YPF.SC.CnE-81</t>
  </si>
  <si>
    <t>CnE-81[00]</t>
  </si>
  <si>
    <t>YPF.SC.CnE.a-225</t>
  </si>
  <si>
    <t>YPF.SC.LH-273</t>
  </si>
  <si>
    <t>YPF.SC.LH-538</t>
  </si>
  <si>
    <t>LH-538[00]</t>
  </si>
  <si>
    <t>YPF.SC.LH-567</t>
  </si>
  <si>
    <t>YPF.SC.CG.a-130</t>
  </si>
  <si>
    <t>YPF.SC.CG-524</t>
  </si>
  <si>
    <t>CG-524[00]</t>
  </si>
  <si>
    <t>YPF.SC.LH.a-975</t>
  </si>
  <si>
    <t>LH-975[00]a</t>
  </si>
  <si>
    <t>YPF.SC.LH-1020</t>
  </si>
  <si>
    <t>LH-1020[00]a</t>
  </si>
  <si>
    <t>YPF.SC.LH-1053</t>
  </si>
  <si>
    <t>LH-1053[00]a</t>
  </si>
  <si>
    <t>YPF.SC.LH-1103</t>
  </si>
  <si>
    <t>LH-1103[00]a</t>
  </si>
  <si>
    <t>YPF.SC.LH-1109</t>
  </si>
  <si>
    <t>LH-1109[00]a</t>
  </si>
  <si>
    <t>YPF.SC.LH-1157</t>
  </si>
  <si>
    <t>LH-1157[00]a</t>
  </si>
  <si>
    <t>YPF.SC.CnE-967</t>
  </si>
  <si>
    <t>CnE-967[00]</t>
  </si>
  <si>
    <t>YPF.SC.CG-635</t>
  </si>
  <si>
    <t>CG-635[00]</t>
  </si>
  <si>
    <t>YPF.SC.CG-654</t>
  </si>
  <si>
    <t>CG-654[00]</t>
  </si>
  <si>
    <t>YPF.SC.CnE-1043</t>
  </si>
  <si>
    <t>CnE-1043[00]</t>
  </si>
  <si>
    <t>YPF.SC.CG-695</t>
  </si>
  <si>
    <t>CG-695[00]</t>
  </si>
  <si>
    <t>YPF.SC.CG-794</t>
  </si>
  <si>
    <t>CG-794[00]</t>
  </si>
  <si>
    <t>YPF.SC.CG-831</t>
  </si>
  <si>
    <t>CG-831[00]</t>
  </si>
  <si>
    <t>YPF.SC.LH-1226</t>
  </si>
  <si>
    <t>LH-1226[00]</t>
  </si>
  <si>
    <t>YPF.SC.CG-895</t>
  </si>
  <si>
    <t>CG-895[00]</t>
  </si>
  <si>
    <t>YPF.SC.CnE-1318</t>
  </si>
  <si>
    <t>CnE-1318[00]</t>
  </si>
  <si>
    <t>YPF.SC.LH-1251</t>
  </si>
  <si>
    <t>LH-1251[00]</t>
  </si>
  <si>
    <t>YPF.SC.BB-137</t>
  </si>
  <si>
    <t>BB-137[00]</t>
  </si>
  <si>
    <t>YPF.SC.LH-1200</t>
  </si>
  <si>
    <t>LH-1200[00]</t>
  </si>
  <si>
    <t>YPF.SC.CG-902</t>
  </si>
  <si>
    <t>CG-902[00]</t>
  </si>
  <si>
    <t>YPF.SC.CnE-1420</t>
  </si>
  <si>
    <t>CnE-1420[00]</t>
  </si>
  <si>
    <t>YPF.SC.CnE-995</t>
  </si>
  <si>
    <t>CnE-995</t>
  </si>
  <si>
    <t>YPF.SC.LH-316</t>
  </si>
  <si>
    <t>YPF.SC.LH-525</t>
  </si>
  <si>
    <t>LH-525[00]</t>
  </si>
  <si>
    <t>YPF.SC.LH-683</t>
  </si>
  <si>
    <t>LH-683[00]</t>
  </si>
  <si>
    <t>YPF.SC.LH-730</t>
  </si>
  <si>
    <t>LH-730[00]</t>
  </si>
  <si>
    <t>YPF.SC.LH-829</t>
  </si>
  <si>
    <t>LH-829[00]</t>
  </si>
  <si>
    <t>YPF.SC.LH-844</t>
  </si>
  <si>
    <t>LH-844[00]</t>
  </si>
  <si>
    <t>YPF.SC.LH-860</t>
  </si>
  <si>
    <t>LH-860[00]</t>
  </si>
  <si>
    <t>YPF.SC.LH-885</t>
  </si>
  <si>
    <t>LH-885[00]</t>
  </si>
  <si>
    <t>YPF.SC.LH-954</t>
  </si>
  <si>
    <t>LH-954[00]</t>
  </si>
  <si>
    <t>YPF.SC.CG-112</t>
  </si>
  <si>
    <t>CG-112[00]</t>
  </si>
  <si>
    <t>YPF.SC.CnE-164</t>
  </si>
  <si>
    <t>YPF.SC.CnE-202</t>
  </si>
  <si>
    <t>CnE-202[00]</t>
  </si>
  <si>
    <t>YPF.SC.CnE.a-226</t>
  </si>
  <si>
    <t>CnE-226[00]</t>
  </si>
  <si>
    <t>YPF.SC.CnE-276</t>
  </si>
  <si>
    <t>CnE-276[00]</t>
  </si>
  <si>
    <t>YPF.SC.CnE-332</t>
  </si>
  <si>
    <t>CnE-332[00]</t>
  </si>
  <si>
    <t>YPF.SC.CnE-405</t>
  </si>
  <si>
    <t>CnE-405[00]</t>
  </si>
  <si>
    <t>YPF.SC.CnE-454</t>
  </si>
  <si>
    <t>CnE-454[00]</t>
  </si>
  <si>
    <t>YPF.SC.CnE-485</t>
  </si>
  <si>
    <t>CnE-485[00]</t>
  </si>
  <si>
    <t>YPF.SC.CnE.a-497</t>
  </si>
  <si>
    <t>CnE-497[00]</t>
  </si>
  <si>
    <t>YPF.SC.CnE.a-610</t>
  </si>
  <si>
    <t>YPF.SC.CnE-632</t>
  </si>
  <si>
    <t>CnE-632[00]</t>
  </si>
  <si>
    <t>YPF.SC.CnE-710</t>
  </si>
  <si>
    <t>CnE-710[00]</t>
  </si>
  <si>
    <t>YPF.SC.CnE.a-780</t>
  </si>
  <si>
    <t>CnE-780[00]</t>
  </si>
  <si>
    <t>YPF.SC.LH-234</t>
  </si>
  <si>
    <t>LH-234[00]</t>
  </si>
  <si>
    <t>YPF.SC.CnE.a-6</t>
  </si>
  <si>
    <t>YPF.SC.CnE-27</t>
  </si>
  <si>
    <t>CnE-27[00]</t>
  </si>
  <si>
    <t>YPF.SC.CnE-57</t>
  </si>
  <si>
    <t>CnE-57[00]</t>
  </si>
  <si>
    <t>YPF.SC.CnE.a-192</t>
  </si>
  <si>
    <t>YPF.SC.CnE-271</t>
  </si>
  <si>
    <t>YPF.SC.LH.a-67</t>
  </si>
  <si>
    <t>YPF.SC.LH-500</t>
  </si>
  <si>
    <t>LH-500[00]</t>
  </si>
  <si>
    <t>YPF.SC.LH-992</t>
  </si>
  <si>
    <t>LH-992[00]a</t>
  </si>
  <si>
    <t>YPF.SC.CG.a-548</t>
  </si>
  <si>
    <t>CG-548[00]a</t>
  </si>
  <si>
    <t>YPF.SC.CG-565</t>
  </si>
  <si>
    <t>CG-565[00]a</t>
  </si>
  <si>
    <t>YPF.SC.CG-568</t>
  </si>
  <si>
    <t>CG-568[00]a</t>
  </si>
  <si>
    <t>YPF.SC.CG-588</t>
  </si>
  <si>
    <t>CG-588[00]a</t>
  </si>
  <si>
    <t>YPF.SC.CnE-108</t>
  </si>
  <si>
    <t>YPF.SC.CnE.a-858</t>
  </si>
  <si>
    <t>CnE-858[00]</t>
  </si>
  <si>
    <t>YPF.SC.CnE-874</t>
  </si>
  <si>
    <t>CnE-874[00]a</t>
  </si>
  <si>
    <t>YPF.SC.CnE-918</t>
  </si>
  <si>
    <t>CnE-918[00]a</t>
  </si>
  <si>
    <t>YPF.SC.CG-611</t>
  </si>
  <si>
    <t>CG-611[00]a</t>
  </si>
  <si>
    <t>YPF.SC.LH-1171</t>
  </si>
  <si>
    <t>LH-1171[00]</t>
  </si>
  <si>
    <t>YPF.SC.CG-691</t>
  </si>
  <si>
    <t>CG-691[00]</t>
  </si>
  <si>
    <t>YPF.SC.CG-764</t>
  </si>
  <si>
    <t>CG-764[00]</t>
  </si>
  <si>
    <t>YPF.SC.CnE-1210</t>
  </si>
  <si>
    <t>CnE-1210[00]</t>
  </si>
  <si>
    <t>YPF.SC.CG-835</t>
  </si>
  <si>
    <t>CG-835[00]</t>
  </si>
  <si>
    <t>YPF.SC.CnE-1219</t>
  </si>
  <si>
    <t>CnE-1219[00]</t>
  </si>
  <si>
    <t>YPF.SC.CnE-1249</t>
  </si>
  <si>
    <t>CnE-1249[00]</t>
  </si>
  <si>
    <t>YPF.SC.LH-1249</t>
  </si>
  <si>
    <t>LH-1249[00]</t>
  </si>
  <si>
    <t>YPF.SC.CG-952</t>
  </si>
  <si>
    <t>CG-952[00]</t>
  </si>
  <si>
    <t>YPF.SC.CnE.a-1429</t>
  </si>
  <si>
    <t>CnE.a-1429[00]a</t>
  </si>
  <si>
    <t>YPF.SC.LH-54</t>
  </si>
  <si>
    <t>LH-54[00]</t>
  </si>
  <si>
    <t>YPF.SC.LH-91</t>
  </si>
  <si>
    <t>LH-91[00]</t>
  </si>
  <si>
    <t>YPF.SC.LH-256</t>
  </si>
  <si>
    <t>LH-256[00]</t>
  </si>
  <si>
    <t>YPF.SC.LH-321</t>
  </si>
  <si>
    <t>LH-321[00]</t>
  </si>
  <si>
    <t>YPF.SC.LH-817</t>
  </si>
  <si>
    <t>LH-817[00]</t>
  </si>
  <si>
    <t>YPF.SC.LH-847</t>
  </si>
  <si>
    <t>LH-847[00]</t>
  </si>
  <si>
    <t>YPF.SC.CG.a-50</t>
  </si>
  <si>
    <t>CG-50[00]</t>
  </si>
  <si>
    <t>YPF.SC.CG-179</t>
  </si>
  <si>
    <t>CG-179[00]</t>
  </si>
  <si>
    <t>YPF.SC.CG-224</t>
  </si>
  <si>
    <t>CG-224[00]</t>
  </si>
  <si>
    <t>YPF.SC.CG-384</t>
  </si>
  <si>
    <t>CG-384[00]</t>
  </si>
  <si>
    <t>YPF.SC.CG-386</t>
  </si>
  <si>
    <t>CG-386[00]</t>
  </si>
  <si>
    <t>YPF.SC.CG.a-405</t>
  </si>
  <si>
    <t>CG-405[00]</t>
  </si>
  <si>
    <t>YPF.SC.CnE-100</t>
  </si>
  <si>
    <t>CnE-100[00]</t>
  </si>
  <si>
    <t>YPF.SC.CnE-120</t>
  </si>
  <si>
    <t>CnE-120[00]</t>
  </si>
  <si>
    <t>YPF.SC.CnE.a-125</t>
  </si>
  <si>
    <t>CnE-125[00]</t>
  </si>
  <si>
    <t>YPF.SC.CnE.a-130</t>
  </si>
  <si>
    <t>CnE-130[00]</t>
  </si>
  <si>
    <t>YPF.SC.CnE-176</t>
  </si>
  <si>
    <t>CnE-176[00]</t>
  </si>
  <si>
    <t>YPF.SC.CnE-274</t>
  </si>
  <si>
    <t>CnE-274[00]</t>
  </si>
  <si>
    <t>YPF.SC.CnE-509</t>
  </si>
  <si>
    <t>CnE-509[00]</t>
  </si>
  <si>
    <t>YPF.SC.CnE-561</t>
  </si>
  <si>
    <t>CnE-561[00]</t>
  </si>
  <si>
    <t>YPF.SC.CnE-575</t>
  </si>
  <si>
    <t>CnE-575[00]</t>
  </si>
  <si>
    <t>YPF.SC.CnE.a-589</t>
  </si>
  <si>
    <t>CnE-589[00]</t>
  </si>
  <si>
    <t>YPF.SC.CnE.a-601</t>
  </si>
  <si>
    <t>CnE-601[00]</t>
  </si>
  <si>
    <t>YPF.SC.CnE-664</t>
  </si>
  <si>
    <t>CnE-664[00]</t>
  </si>
  <si>
    <t>YPF.SC.CnE-706</t>
  </si>
  <si>
    <t>CnE-706[00]</t>
  </si>
  <si>
    <t>YPF.SC.CnE-759</t>
  </si>
  <si>
    <t>CnE-759[00]</t>
  </si>
  <si>
    <t>YPF.SC.CnE.a-760</t>
  </si>
  <si>
    <t>CnE-760[00]</t>
  </si>
  <si>
    <t>YPF.SC.BB-83</t>
  </si>
  <si>
    <t>BB-83[00]</t>
  </si>
  <si>
    <t>YPF.SC.BB-103</t>
  </si>
  <si>
    <t>BB-103[00]</t>
  </si>
  <si>
    <t>YPF.SC.LH.a-36</t>
  </si>
  <si>
    <t>LH-36[00]</t>
  </si>
  <si>
    <t>YPF.SC.CnE.a-479</t>
  </si>
  <si>
    <t>YPF.SC.CG-469</t>
  </si>
  <si>
    <t>CG-469[00]a</t>
  </si>
  <si>
    <t>YPF.SC.CnE.a-912</t>
  </si>
  <si>
    <t>CnE-912[00]a</t>
  </si>
  <si>
    <t>YPF.SC.CnE-954</t>
  </si>
  <si>
    <t>CnE-954[00]a</t>
  </si>
  <si>
    <t>YPF.SC.CnE-955</t>
  </si>
  <si>
    <t>CnE-955[00]a</t>
  </si>
  <si>
    <t>YPF.SC.LH-1179</t>
  </si>
  <si>
    <t>LH-1179[00]</t>
  </si>
  <si>
    <t>YPF.SC.CG-629</t>
  </si>
  <si>
    <t>CG-629[00]</t>
  </si>
  <si>
    <t>YPF.SC.CG-644</t>
  </si>
  <si>
    <t>CG-644[00]</t>
  </si>
  <si>
    <t>YPF.SC.LH-1186</t>
  </si>
  <si>
    <t>LH-1186[00]</t>
  </si>
  <si>
    <t>YPF.SC.CnE-1047</t>
  </si>
  <si>
    <t>CnE-1047[00]</t>
  </si>
  <si>
    <t>YPF.SC.CnE-1160</t>
  </si>
  <si>
    <t>CnE-1160[00]</t>
  </si>
  <si>
    <t>YPF.SC.CnE-1151</t>
  </si>
  <si>
    <t>CnE-1151[00]</t>
  </si>
  <si>
    <t>YPF.SC.CnE-1248</t>
  </si>
  <si>
    <t>CnE-1248[00]</t>
  </si>
  <si>
    <t>YPF.SC.CnE-1344</t>
  </si>
  <si>
    <t>CnE-1344[00]</t>
  </si>
  <si>
    <t>YPF.SC.CnE-1369</t>
  </si>
  <si>
    <t>CnE-1369[00]</t>
  </si>
  <si>
    <t>YPF.SC.BB-166</t>
  </si>
  <si>
    <t>BB-166[00]</t>
  </si>
  <si>
    <t>YPF.SC.LH-1097</t>
  </si>
  <si>
    <t>LH-1097[00]a</t>
  </si>
  <si>
    <t>YPF.SC.CG-576</t>
  </si>
  <si>
    <t>CG-576[00]a</t>
  </si>
  <si>
    <t>YPF.SC.CG-594</t>
  </si>
  <si>
    <t>CG-594[00]a</t>
  </si>
  <si>
    <t>YPF.SC.LH-1149</t>
  </si>
  <si>
    <t>LH-1149[00]a</t>
  </si>
  <si>
    <t>YPF.SC.CG-751(d)</t>
  </si>
  <si>
    <t>CG-751[00](d)</t>
  </si>
  <si>
    <t>YPF.SC.BB-125</t>
  </si>
  <si>
    <t>BB-125[00]</t>
  </si>
  <si>
    <t>YPF.SC.BB-129</t>
  </si>
  <si>
    <t>BB-129[00]</t>
  </si>
  <si>
    <t>YPF.SC.CnE-1103</t>
  </si>
  <si>
    <t>CnE-1103[00]</t>
  </si>
  <si>
    <t>YPF.SC.CG-872</t>
  </si>
  <si>
    <t>CG-872[00]</t>
  </si>
  <si>
    <t>YPF.SC.CnE-1334</t>
  </si>
  <si>
    <t>CnE-1334[00]</t>
  </si>
  <si>
    <t>YPF.SC.BB-170</t>
  </si>
  <si>
    <t>BB-170[00]</t>
  </si>
  <si>
    <t>YPF.SC.CG-614</t>
  </si>
  <si>
    <t>CG-614[00]a</t>
  </si>
  <si>
    <t>YPF.SC.CnE-978</t>
  </si>
  <si>
    <t>CnE-978[00]</t>
  </si>
  <si>
    <t>YPF.SC.CG-647</t>
  </si>
  <si>
    <t>CG-647[00]</t>
  </si>
  <si>
    <t>YPF.SC.LH-1197</t>
  </si>
  <si>
    <t>LH-1197[00]</t>
  </si>
  <si>
    <t>YPF.SC.CG-786</t>
  </si>
  <si>
    <t>CG-786[00]</t>
  </si>
  <si>
    <t>YPF.SC.CG-789</t>
  </si>
  <si>
    <t>CG-789[00]</t>
  </si>
  <si>
    <t>YPF.SC.CnE-1162</t>
  </si>
  <si>
    <t>CnE-1162[00]</t>
  </si>
  <si>
    <t>YPF.SC.LH-1225</t>
  </si>
  <si>
    <t>LH-1225[00]</t>
  </si>
  <si>
    <t>YPF.SC.CnE-1254</t>
  </si>
  <si>
    <t>CnE-1254[00]</t>
  </si>
  <si>
    <t>YPF.SC.CG-914(d)</t>
  </si>
  <si>
    <t>CG-914[00](d)</t>
  </si>
  <si>
    <t>YPF.SC.CnE-1349</t>
  </si>
  <si>
    <t>CnE-1349[00]</t>
  </si>
  <si>
    <t>YPF.SC.CG-623</t>
  </si>
  <si>
    <t>CG-623[00]a</t>
  </si>
  <si>
    <t>YPF.SC.CnE-971</t>
  </si>
  <si>
    <t>CnE-971[00]</t>
  </si>
  <si>
    <t>YPF.SC.CG-715</t>
  </si>
  <si>
    <t>CG-715[00]</t>
  </si>
  <si>
    <t>YPF.SC.CnE-1086</t>
  </si>
  <si>
    <t>CnE-1086[00]</t>
  </si>
  <si>
    <t>YPF.SC.CG-749</t>
  </si>
  <si>
    <t>CG-749[00]</t>
  </si>
  <si>
    <t>YPF.SC.CnE-1128</t>
  </si>
  <si>
    <t>CnE-1128[00]</t>
  </si>
  <si>
    <t>YPF.SC.CG-821</t>
  </si>
  <si>
    <t>CG-821[00]</t>
  </si>
  <si>
    <t>YPF.SC.CG-846(d)</t>
  </si>
  <si>
    <t>CG-846(d)[00]a</t>
  </si>
  <si>
    <t>YPF.SC.CnE-1102</t>
  </si>
  <si>
    <t>CnE-1102[00]</t>
  </si>
  <si>
    <t>YPF.SC.CnE-1283</t>
  </si>
  <si>
    <t>CnE-1283</t>
  </si>
  <si>
    <t>YPF.SC.BB-141</t>
  </si>
  <si>
    <t>BB-141[00]</t>
  </si>
  <si>
    <t>YPF.SC.CnE-1296</t>
  </si>
  <si>
    <t>CnE-1296[00]</t>
  </si>
  <si>
    <t>YPF.SC.CnE-1302</t>
  </si>
  <si>
    <t>CnE-1302[00]</t>
  </si>
  <si>
    <t>YPF.SC.LH-1250</t>
  </si>
  <si>
    <t>LH-1250[00]</t>
  </si>
  <si>
    <t>YPF.SC.CnE.a-1427</t>
  </si>
  <si>
    <t>CnE.a-1427[00]a</t>
  </si>
  <si>
    <t>YPF.SC.LH.a-4</t>
  </si>
  <si>
    <t>LH-4[00]</t>
  </si>
  <si>
    <t>YPF.SC.LH-80</t>
  </si>
  <si>
    <t>LH-80[00]</t>
  </si>
  <si>
    <t>YPF.SC.LH-109</t>
  </si>
  <si>
    <t>LH-109[00]</t>
  </si>
  <si>
    <t>YPF.SC.LH-134</t>
  </si>
  <si>
    <t>LH-134[00]</t>
  </si>
  <si>
    <t>YPF.SC.LH-475</t>
  </si>
  <si>
    <t>LH-475[00]</t>
  </si>
  <si>
    <t>YPF.SC.LH.a-479</t>
  </si>
  <si>
    <t>LH-479[00]</t>
  </si>
  <si>
    <t>YPF.SC.LH-810</t>
  </si>
  <si>
    <t>LH-810[00]</t>
  </si>
  <si>
    <t>YPF.SC.LH-883</t>
  </si>
  <si>
    <t>LH-883[00]</t>
  </si>
  <si>
    <t>YPF.SC.LH-907</t>
  </si>
  <si>
    <t>YPF.SC.LH-929</t>
  </si>
  <si>
    <t>LH-929[00]</t>
  </si>
  <si>
    <t>YPF.SC.LH-944</t>
  </si>
  <si>
    <t>LH-944[00]</t>
  </si>
  <si>
    <t>YPF.SC.CG.a-146</t>
  </si>
  <si>
    <t>CG-146[00]</t>
  </si>
  <si>
    <t>YPF.SC.CG-192</t>
  </si>
  <si>
    <t>CG-192[00]</t>
  </si>
  <si>
    <t>YPF.SC.CG-211</t>
  </si>
  <si>
    <t>CG-211[00]</t>
  </si>
  <si>
    <t>YPF.SC.CG-212</t>
  </si>
  <si>
    <t>CG-212[00]</t>
  </si>
  <si>
    <t>YPF.SC.CG-226</t>
  </si>
  <si>
    <t>CG-226[00]</t>
  </si>
  <si>
    <t>YPF.SC.CG-307</t>
  </si>
  <si>
    <t>YPF.SC.CG-317</t>
  </si>
  <si>
    <t>CG-317[00]</t>
  </si>
  <si>
    <t>YPF.SC.CG-357</t>
  </si>
  <si>
    <t>CG-357[00]</t>
  </si>
  <si>
    <t>YPF.SC.CG-397</t>
  </si>
  <si>
    <t>CG-397[00]</t>
  </si>
  <si>
    <t>YPF.SC.CG-491</t>
  </si>
  <si>
    <t>CG-491[00]</t>
  </si>
  <si>
    <t>YPF.SC.LC-86</t>
  </si>
  <si>
    <t>LC-86[00]</t>
  </si>
  <si>
    <t>YPF.SC.N-58</t>
  </si>
  <si>
    <t>YPF.SC.CnE.a-35</t>
  </si>
  <si>
    <t>CnE-35[00]</t>
  </si>
  <si>
    <t>YPF.SC.CnE-79</t>
  </si>
  <si>
    <t>CnE-79[00]</t>
  </si>
  <si>
    <t>YPF.SC.CnE-104</t>
  </si>
  <si>
    <t>CnE-104[00]</t>
  </si>
  <si>
    <t>YPF.SC.CnE-162</t>
  </si>
  <si>
    <t>CnE-162[00]</t>
  </si>
  <si>
    <t>YPF.SC.CnE-234</t>
  </si>
  <si>
    <t>CnE-234[00]</t>
  </si>
  <si>
    <t>YPF.SC.CnE-326</t>
  </si>
  <si>
    <t>CnE-326[00]</t>
  </si>
  <si>
    <t>YPF.SC.CnE-327</t>
  </si>
  <si>
    <t>CnE-327[00]</t>
  </si>
  <si>
    <t>YPF.SC.CnE-368</t>
  </si>
  <si>
    <t>CnE-368[00]</t>
  </si>
  <si>
    <t>YPF.SC.CnE-378</t>
  </si>
  <si>
    <t>CnE-378[00]</t>
  </si>
  <si>
    <t>YPF.SC.CnE-382</t>
  </si>
  <si>
    <t>CnE-382[00]</t>
  </si>
  <si>
    <t>YPF.SC.CnE-383</t>
  </si>
  <si>
    <t>CnE-383[00]</t>
  </si>
  <si>
    <t>YPF.SC.CnE-435</t>
  </si>
  <si>
    <t>CnE-435[00]</t>
  </si>
  <si>
    <t>YPF.SC.CnE-533</t>
  </si>
  <si>
    <t>CnE-533[00]</t>
  </si>
  <si>
    <t>YPF.SC.CnE-540</t>
  </si>
  <si>
    <t>CnE-540[00]</t>
  </si>
  <si>
    <t>YPF.SC.CnE-623</t>
  </si>
  <si>
    <t>CnE-623[00]</t>
  </si>
  <si>
    <t>YPF.SC.CnE-652</t>
  </si>
  <si>
    <t>CnE-652[00]</t>
  </si>
  <si>
    <t>YPF.SC.CnE-700</t>
  </si>
  <si>
    <t>CnE-700[00]</t>
  </si>
  <si>
    <t>YPF.SC.CnE-795</t>
  </si>
  <si>
    <t>CnE-795[00]</t>
  </si>
  <si>
    <t>YPF.SC.CnE-849</t>
  </si>
  <si>
    <t>CnE-849[00]</t>
  </si>
  <si>
    <t>YPF.SC.BB.a-71</t>
  </si>
  <si>
    <t>BB-71[00]</t>
  </si>
  <si>
    <t>YPF.SC.BB.a-75</t>
  </si>
  <si>
    <t>BB-75[00]</t>
  </si>
  <si>
    <t>YPF.SC.BB-82</t>
  </si>
  <si>
    <t>BB-82[00]</t>
  </si>
  <si>
    <t>YPF.SC.LHS.x-4</t>
  </si>
  <si>
    <t>LHS-4[00]</t>
  </si>
  <si>
    <t>YPF.SC.LH-248</t>
  </si>
  <si>
    <t>LH-248[00]</t>
  </si>
  <si>
    <t>YPF.SC.BB.a-8</t>
  </si>
  <si>
    <t>BB-8[00]</t>
  </si>
  <si>
    <t>YPF.SC.LH-51</t>
  </si>
  <si>
    <t>LH-51[00]</t>
  </si>
  <si>
    <t>YPF.SC.CG.a-272</t>
  </si>
  <si>
    <t>CG-272[00]</t>
  </si>
  <si>
    <t>YPF.SC.LH-474</t>
  </si>
  <si>
    <t>LH-474[00]</t>
  </si>
  <si>
    <t>YPF.SC.LH-158</t>
  </si>
  <si>
    <t>LH-158[00]</t>
  </si>
  <si>
    <t>YPF.SC.LH-536</t>
  </si>
  <si>
    <t>LH-536[00]</t>
  </si>
  <si>
    <t>YPF.SC.CG.a-21</t>
  </si>
  <si>
    <t>CG-21[00]</t>
  </si>
  <si>
    <t>YPF.SC.CG.a-187</t>
  </si>
  <si>
    <t>YPF.SC.CnE.a-876</t>
  </si>
  <si>
    <t>CnE-876[00]a</t>
  </si>
  <si>
    <t>YPF.SC.CnE-875</t>
  </si>
  <si>
    <t>CnE-875[00]a</t>
  </si>
  <si>
    <t>YPF.SC.LH-993</t>
  </si>
  <si>
    <t>LH-993[00]a</t>
  </si>
  <si>
    <t>YPF.SC.LH-994</t>
  </si>
  <si>
    <t>LH-994[00]a</t>
  </si>
  <si>
    <t>YPF.SC.LH-1056</t>
  </si>
  <si>
    <t>LH-1056[00]a</t>
  </si>
  <si>
    <t>YPF.SC.CnE-909</t>
  </si>
  <si>
    <t>CnE-909[00]a</t>
  </si>
  <si>
    <t>YPF.SC.CnE-938</t>
  </si>
  <si>
    <t>CnE-938[00]a</t>
  </si>
  <si>
    <t>YPF.SC.LH-1141</t>
  </si>
  <si>
    <t>LH-1141[00]a</t>
  </si>
  <si>
    <t>YPF.SC.LH-1143</t>
  </si>
  <si>
    <t>LH-1143[00]a</t>
  </si>
  <si>
    <t>YPF.SC.LH-308</t>
  </si>
  <si>
    <t>LH-308[00]</t>
  </si>
  <si>
    <t>YPF.SC.LH-343</t>
  </si>
  <si>
    <t>LH-343[00]</t>
  </si>
  <si>
    <t>YPF.SC.LH-484</t>
  </si>
  <si>
    <t>LH-484[00]</t>
  </si>
  <si>
    <t>YPF.SC.LH.a-552</t>
  </si>
  <si>
    <t>LH-552[00]</t>
  </si>
  <si>
    <t>YPF.SC.LH-928</t>
  </si>
  <si>
    <t>LH-928[00]</t>
  </si>
  <si>
    <t>YPF.SC.LH-935</t>
  </si>
  <si>
    <t>LH-935[00]</t>
  </si>
  <si>
    <t>YPF.SC.CG.a-8</t>
  </si>
  <si>
    <t>CG-8[00]</t>
  </si>
  <si>
    <t>YPF.SC.CG-190</t>
  </si>
  <si>
    <t>CG-190[00]</t>
  </si>
  <si>
    <t>YPF.SC.CG-285</t>
  </si>
  <si>
    <t>CG-285[00]</t>
  </si>
  <si>
    <t>YPF.SC.CG-389</t>
  </si>
  <si>
    <t>CG-389[00]</t>
  </si>
  <si>
    <t>YPF.SC.CnE-49</t>
  </si>
  <si>
    <t>CnE-49[00]</t>
  </si>
  <si>
    <t>YPF.SC.CnE-124</t>
  </si>
  <si>
    <t>CnE-124[00]</t>
  </si>
  <si>
    <t>YPF.SC.CnE-151</t>
  </si>
  <si>
    <t>CnE-151[00]</t>
  </si>
  <si>
    <t>YPF.SC.CnE.a-343</t>
  </si>
  <si>
    <t>CnE-343[00]</t>
  </si>
  <si>
    <t>YPF.SC.CnE-350</t>
  </si>
  <si>
    <t>CnE-350[00]</t>
  </si>
  <si>
    <t>YPF.SC.CnE-424</t>
  </si>
  <si>
    <t>CnE-424[00]</t>
  </si>
  <si>
    <t>YPF.SC.CnE-512</t>
  </si>
  <si>
    <t>CnE-512[00]</t>
  </si>
  <si>
    <t>YPF.SC.CnE-690</t>
  </si>
  <si>
    <t>CnE-690[00]</t>
  </si>
  <si>
    <t>YPF.SC.CnE-752</t>
  </si>
  <si>
    <t>CnE-752[00]</t>
  </si>
  <si>
    <t>YPF.SC.CnE-852</t>
  </si>
  <si>
    <t>CnE-852[00]</t>
  </si>
  <si>
    <t>YPF.SC.BB-92</t>
  </si>
  <si>
    <t>BB-92[00]</t>
  </si>
  <si>
    <t>YPF.SC.BB-95</t>
  </si>
  <si>
    <t>YPF.SC.O-220</t>
  </si>
  <si>
    <t>YPF.SC.LH-126</t>
  </si>
  <si>
    <t>LH-126[00]</t>
  </si>
  <si>
    <t>YPF.SC.LH-207</t>
  </si>
  <si>
    <t>YPF.SC.LH-250</t>
  </si>
  <si>
    <t>LH-250[00]</t>
  </si>
  <si>
    <t>YPF.SC.LH.a-550</t>
  </si>
  <si>
    <t>LH-550[00]</t>
  </si>
  <si>
    <t>YPF.SC.LH-556</t>
  </si>
  <si>
    <t>LH-556[00]</t>
  </si>
  <si>
    <t>YPF.SC.LH-582</t>
  </si>
  <si>
    <t>LH-582[00]</t>
  </si>
  <si>
    <t>YPF.SC.LH-630</t>
  </si>
  <si>
    <t>LH-630[00]</t>
  </si>
  <si>
    <t>YPF.SC.LH-641</t>
  </si>
  <si>
    <t>LH-641[00]</t>
  </si>
  <si>
    <t>YPF.SC.LH-798</t>
  </si>
  <si>
    <t>LH-798[00]</t>
  </si>
  <si>
    <t>YPF.SC.CG-174</t>
  </si>
  <si>
    <t>CG-174[00]</t>
  </si>
  <si>
    <t>YPF.SC.CG-236</t>
  </si>
  <si>
    <t>CG-236[00]</t>
  </si>
  <si>
    <t>YPF.SC.CG-381</t>
  </si>
  <si>
    <t>CG-381[00]</t>
  </si>
  <si>
    <t>YPF.SC.CG.a-410</t>
  </si>
  <si>
    <t>CG-410[00]</t>
  </si>
  <si>
    <t>YPF.SC.CG-512</t>
  </si>
  <si>
    <t>YPF.SC.LC-12</t>
  </si>
  <si>
    <t>LC-12[00]</t>
  </si>
  <si>
    <t>YPF.SC.CnE-172</t>
  </si>
  <si>
    <t>CnE-172[00]</t>
  </si>
  <si>
    <t>YPF.SC.CnE-362</t>
  </si>
  <si>
    <t>CnE-362[00]</t>
  </si>
  <si>
    <t>YPF.SC.CnE-456</t>
  </si>
  <si>
    <t>CnE-456[00]</t>
  </si>
  <si>
    <t>YPF.SC.CnE-532</t>
  </si>
  <si>
    <t>CnE-532[00]</t>
  </si>
  <si>
    <t>YPF.SC.CnE.a-116</t>
  </si>
  <si>
    <t>YPF.SC.CnE.a-147</t>
  </si>
  <si>
    <t>CnE-147[00]</t>
  </si>
  <si>
    <t>YPF.SC.CnE.a-414</t>
  </si>
  <si>
    <t>YPF.SC.CG-282</t>
  </si>
  <si>
    <t>YPF.SC.LH-264</t>
  </si>
  <si>
    <t>YPF.SC.LH.a-400</t>
  </si>
  <si>
    <t>LH-400[00]</t>
  </si>
  <si>
    <t>YPF.SC.LH-533</t>
  </si>
  <si>
    <t>YPF.SC.CG.a-151</t>
  </si>
  <si>
    <t>CG-151[00]</t>
  </si>
  <si>
    <t>YPF.SC.CG-46</t>
  </si>
  <si>
    <t>CG-46[00]</t>
  </si>
  <si>
    <t>YPF.SC.LH-1021</t>
  </si>
  <si>
    <t>LH-1021[00]a</t>
  </si>
  <si>
    <t>YPF.SC.CnE-897</t>
  </si>
  <si>
    <t>CnE-897[00]a</t>
  </si>
  <si>
    <t>YPF.SC.LC.a-2</t>
  </si>
  <si>
    <t>YPF.SC.LH-93</t>
  </si>
  <si>
    <t>YPF.SC.CG.a-291</t>
  </si>
  <si>
    <t>YPF.SC.CR.x-3</t>
  </si>
  <si>
    <t>YPF.SC.CG-52</t>
  </si>
  <si>
    <t>CG-52[00]</t>
  </si>
  <si>
    <t>YPF.SC.CG.a-471</t>
  </si>
  <si>
    <t>CG-471[00]a</t>
  </si>
  <si>
    <t>YPF.SC.CG-543</t>
  </si>
  <si>
    <t>CG-543[00]a</t>
  </si>
  <si>
    <t>YPF.SC.LH-1005</t>
  </si>
  <si>
    <t>LH-1005[00]a</t>
  </si>
  <si>
    <t>YPF.SC.LH-1001</t>
  </si>
  <si>
    <t>LH-1001[00]a</t>
  </si>
  <si>
    <t>YPF.SC.CG-558</t>
  </si>
  <si>
    <t>CG-558[00]a</t>
  </si>
  <si>
    <t>YPF.SC.CG-569</t>
  </si>
  <si>
    <t>CG-569[00]a</t>
  </si>
  <si>
    <t>YPF.SC.LH-1130</t>
  </si>
  <si>
    <t>LH-1130[00]</t>
  </si>
  <si>
    <t>YPF.SC.LH-1144</t>
  </si>
  <si>
    <t>LH-1144[00]a</t>
  </si>
  <si>
    <t>YPF.SC.CG-634</t>
  </si>
  <si>
    <t>CG-634[00]</t>
  </si>
  <si>
    <t>YPF.SC.CnE-1033</t>
  </si>
  <si>
    <t>CnE-1033[00]</t>
  </si>
  <si>
    <t>YPF.SC.CG-684</t>
  </si>
  <si>
    <t>CG-684[00]</t>
  </si>
  <si>
    <t>YPF.SC.CnE-1009</t>
  </si>
  <si>
    <t>CnE-1009[00]</t>
  </si>
  <si>
    <t>YPF.SC.LH-1195</t>
  </si>
  <si>
    <t>LH-1195[00]</t>
  </si>
  <si>
    <t>YPF.SC.CG-803</t>
  </si>
  <si>
    <t>CG-803[00]</t>
  </si>
  <si>
    <t>YPF.SC.CG-766</t>
  </si>
  <si>
    <t>CG-766a</t>
  </si>
  <si>
    <t>YPF.SC.CnE-1308</t>
  </si>
  <si>
    <t>CnE-1308[00]</t>
  </si>
  <si>
    <t>YPF.SC.LH-1267</t>
  </si>
  <si>
    <t>LH-1267[00]a</t>
  </si>
  <si>
    <t>YPF.SC.CnE-1422</t>
  </si>
  <si>
    <t>CnE-1422[00]a</t>
  </si>
  <si>
    <t>YPF.SC.BB-21</t>
  </si>
  <si>
    <t>BB-21[00]</t>
  </si>
  <si>
    <t>YPF.SC.BB-25</t>
  </si>
  <si>
    <t>BB-25[00]</t>
  </si>
  <si>
    <t>YPF.SC.CnE-36</t>
  </si>
  <si>
    <t>CnE-36[00]</t>
  </si>
  <si>
    <t>YPF.SC.CnE-217</t>
  </si>
  <si>
    <t>YPF.SC.CnE.a-237</t>
  </si>
  <si>
    <t>YPF.SC.LC-24</t>
  </si>
  <si>
    <t>YPF.SC.LH-473</t>
  </si>
  <si>
    <t>LH-473[00]</t>
  </si>
  <si>
    <t>YPF.SC.CnE-863</t>
  </si>
  <si>
    <t>CnE-863[00]</t>
  </si>
  <si>
    <t>YPF.SC.CG-528</t>
  </si>
  <si>
    <t>CG-528[00]a</t>
  </si>
  <si>
    <t>YPF.SC.LH-997</t>
  </si>
  <si>
    <t>LH-997[00]a</t>
  </si>
  <si>
    <t>YPF.SC.CG-514</t>
  </si>
  <si>
    <t>CG-514[00]a</t>
  </si>
  <si>
    <t>YPF.SC.LH.a-1073</t>
  </si>
  <si>
    <t>LH-1073[00]a</t>
  </si>
  <si>
    <t>YPF.SC.LH-915</t>
  </si>
  <si>
    <t>LH-915[00]a</t>
  </si>
  <si>
    <t>YPF.SC.CG-550</t>
  </si>
  <si>
    <t>CG-550[00]a</t>
  </si>
  <si>
    <t>YPF.SC.CG-555</t>
  </si>
  <si>
    <t>CG-555[00]a</t>
  </si>
  <si>
    <t>YPF.SC.LH-1139</t>
  </si>
  <si>
    <t>LH-1139[00]a</t>
  </si>
  <si>
    <t>YPF.SC.LH-1163</t>
  </si>
  <si>
    <t>LH-1163[00]</t>
  </si>
  <si>
    <t>YPF.SC.CnE-975</t>
  </si>
  <si>
    <t>CnE-975[00]</t>
  </si>
  <si>
    <t>YPF.SC.CG-683</t>
  </si>
  <si>
    <t>CG-683[00]</t>
  </si>
  <si>
    <t>YPF.SC.CnE-1011</t>
  </si>
  <si>
    <t>CnE-1011[00]</t>
  </si>
  <si>
    <t>YPF.SC.CnE-1036</t>
  </si>
  <si>
    <t>CnE-1036[00]</t>
  </si>
  <si>
    <t>YPF.SC.LH-1189</t>
  </si>
  <si>
    <t>LH-1189[00]</t>
  </si>
  <si>
    <t>YPF.SC.CG-700</t>
  </si>
  <si>
    <t>CG-700[00]</t>
  </si>
  <si>
    <t>YPF.SC.CnE-1126(d)</t>
  </si>
  <si>
    <t>CnE-1126[00]</t>
  </si>
  <si>
    <t>YPF.SC.CnE-1120</t>
  </si>
  <si>
    <t>CnE-1120[00]</t>
  </si>
  <si>
    <t>YPF.SC.CnE-1258(d)</t>
  </si>
  <si>
    <t>CnE-1258(d)[00]</t>
  </si>
  <si>
    <t>YPF.SC.LH-1262</t>
  </si>
  <si>
    <t>LH-1262[00]</t>
  </si>
  <si>
    <t>YPF.SC.LH-1093</t>
  </si>
  <si>
    <t>LH-1093[00]a</t>
  </si>
  <si>
    <t>YPF.SC.CnE.a-928</t>
  </si>
  <si>
    <t>CnE-928[00]a</t>
  </si>
  <si>
    <t>YPF.SC.CG-590</t>
  </si>
  <si>
    <t>CG-590[00]a</t>
  </si>
  <si>
    <t>YPF.SC.LH-1138</t>
  </si>
  <si>
    <t>LH-1138[00]a</t>
  </si>
  <si>
    <t>YPF.SC.LH.a-1152</t>
  </si>
  <si>
    <t>LH-1152[00]a</t>
  </si>
  <si>
    <t>YPF.SC.CG-613</t>
  </si>
  <si>
    <t>CG-613[00]a</t>
  </si>
  <si>
    <t>YPF.SC.CG-619</t>
  </si>
  <si>
    <t>CG-619[00]a</t>
  </si>
  <si>
    <t>YPF.SC.CG-631</t>
  </si>
  <si>
    <t>CG-631[00]</t>
  </si>
  <si>
    <t>YPF.SC.CG-677</t>
  </si>
  <si>
    <t>CG-677[00]</t>
  </si>
  <si>
    <t>YPF.SC.CG-694</t>
  </si>
  <si>
    <t>CG-694[00]</t>
  </si>
  <si>
    <t>YPF.SC.CG-710</t>
  </si>
  <si>
    <t>CG-710[00]</t>
  </si>
  <si>
    <t>YPF.SC.CnE-1212(d)</t>
  </si>
  <si>
    <t>CnE-1212[00](d)</t>
  </si>
  <si>
    <t>YPF.SC.CnE-1339(d)</t>
  </si>
  <si>
    <t>CnE-1339[00](d)</t>
  </si>
  <si>
    <t>YPF.SC.LH-1257</t>
  </si>
  <si>
    <t>LH-1257[00]</t>
  </si>
  <si>
    <t>YPF.SC.CG-938</t>
  </si>
  <si>
    <t>CG-938[00]</t>
  </si>
  <si>
    <t>YPF.SC.CG.IA-977</t>
  </si>
  <si>
    <t>CG.IA-977</t>
  </si>
  <si>
    <t>YPF.SC.LH-165</t>
  </si>
  <si>
    <t>LH-165[00]</t>
  </si>
  <si>
    <t>YPF.SC.LH-185</t>
  </si>
  <si>
    <t>LH-185[00]</t>
  </si>
  <si>
    <t>YPF.SC.LH-203</t>
  </si>
  <si>
    <t>YPF.SC.LH-269</t>
  </si>
  <si>
    <t>LH-269[00]</t>
  </si>
  <si>
    <t>YPF.SC.LH-609</t>
  </si>
  <si>
    <t>LH-609[00]</t>
  </si>
  <si>
    <t>YPF.SC.LH-635</t>
  </si>
  <si>
    <t>LH-635[00]</t>
  </si>
  <si>
    <t>YPF.SC.LH-639</t>
  </si>
  <si>
    <t>YPF.SC.LH-856</t>
  </si>
  <si>
    <t>LH-856[00]</t>
  </si>
  <si>
    <t>YPF.SC.LH-892</t>
  </si>
  <si>
    <t>LH-892[00]</t>
  </si>
  <si>
    <t>YPF.SC.CG-337</t>
  </si>
  <si>
    <t>CG-337[00]</t>
  </si>
  <si>
    <t>YPF.SC.CG-358</t>
  </si>
  <si>
    <t>CG-358[00]</t>
  </si>
  <si>
    <t>YPF.SC.CG-508</t>
  </si>
  <si>
    <t>CG-508[00]</t>
  </si>
  <si>
    <t>YPF.SC.N-48</t>
  </si>
  <si>
    <t>YPF.SC.N-50</t>
  </si>
  <si>
    <t>N-50[00]</t>
  </si>
  <si>
    <t>YPF.SC.CnE-144</t>
  </si>
  <si>
    <t>CnE-144[00]</t>
  </si>
  <si>
    <t>YPF.SC.CnE-504</t>
  </si>
  <si>
    <t>CnE-504[00]</t>
  </si>
  <si>
    <t>YPF.SC.CnE-538</t>
  </si>
  <si>
    <t>CnE-538[00]</t>
  </si>
  <si>
    <t>YPF.SC.CnE-547</t>
  </si>
  <si>
    <t>CnE-547[00]</t>
  </si>
  <si>
    <t>YPF.SC.CnE-559</t>
  </si>
  <si>
    <t>CnE-559[00]</t>
  </si>
  <si>
    <t>YPF.SC.LH-127</t>
  </si>
  <si>
    <t>LH-127[00]</t>
  </si>
  <si>
    <t>YPF.SC.LH-178</t>
  </si>
  <si>
    <t>YPF.SC.LH-217</t>
  </si>
  <si>
    <t>YPF.SC.LH-279</t>
  </si>
  <si>
    <t>LH-279[00]</t>
  </si>
  <si>
    <t>YPF.SC.LH-576</t>
  </si>
  <si>
    <t>LH-576[00]</t>
  </si>
  <si>
    <t>YPF.SC.LH-703</t>
  </si>
  <si>
    <t>LH-703[00]</t>
  </si>
  <si>
    <t>YPF.SC.LH-820</t>
  </si>
  <si>
    <t>LH-820[00]</t>
  </si>
  <si>
    <t>YPF.SC.CG-269</t>
  </si>
  <si>
    <t>YPF.SC.CG-328</t>
  </si>
  <si>
    <t>CG-328[00]</t>
  </si>
  <si>
    <t>YPF.SC.CG-355</t>
  </si>
  <si>
    <t>CG-355[00]</t>
  </si>
  <si>
    <t>YPF.SC.CG-430</t>
  </si>
  <si>
    <t>CG-430[00]</t>
  </si>
  <si>
    <t>YPF.SC.CG-504</t>
  </si>
  <si>
    <t>CG-504[00]</t>
  </si>
  <si>
    <t>YPF.SC.LC-88</t>
  </si>
  <si>
    <t>LC-88[00]</t>
  </si>
  <si>
    <t>YPF.SC.LC-539</t>
  </si>
  <si>
    <t>LC-539[00]</t>
  </si>
  <si>
    <t>YPF.SC.CnE.a-14</t>
  </si>
  <si>
    <t>CnE-14[00]</t>
  </si>
  <si>
    <t>YPF.SC.CnE.a-23</t>
  </si>
  <si>
    <t>CnE-23[00]</t>
  </si>
  <si>
    <t>YPF.SC.CnE-88</t>
  </si>
  <si>
    <t>CnE-88[00]</t>
  </si>
  <si>
    <t>YPF.SC.CnE-219</t>
  </si>
  <si>
    <t>CnE-219[00]</t>
  </si>
  <si>
    <t>YPF.SC.CnE-355</t>
  </si>
  <si>
    <t>CnE-355[00]</t>
  </si>
  <si>
    <t>YPF.SC.CnE-359</t>
  </si>
  <si>
    <t>CnE-359[00]</t>
  </si>
  <si>
    <t>YPF.SC.CnE-422</t>
  </si>
  <si>
    <t>CnE-422[00]</t>
  </si>
  <si>
    <t>YPF.SC.CnE.a-482</t>
  </si>
  <si>
    <t>YPF.SC.CnE-489</t>
  </si>
  <si>
    <t>CnE-489[00]</t>
  </si>
  <si>
    <t>YPF.SC.CnE-534</t>
  </si>
  <si>
    <t>CnE-534[00]</t>
  </si>
  <si>
    <t>YPF.SC.CnE-656</t>
  </si>
  <si>
    <t>CnE-656[00]</t>
  </si>
  <si>
    <t>YPF.SC.CnE-692</t>
  </si>
  <si>
    <t>CnE-692[00]</t>
  </si>
  <si>
    <t>YPF.SC.CnE-698</t>
  </si>
  <si>
    <t>CnE-698[00]</t>
  </si>
  <si>
    <t>YPF.SC.CnE-729</t>
  </si>
  <si>
    <t>CnE-729[00]</t>
  </si>
  <si>
    <t>YPF.SC.CEO.x-2</t>
  </si>
  <si>
    <t>CEO-2[00]</t>
  </si>
  <si>
    <t>YPF.SC.CnE.a-1</t>
  </si>
  <si>
    <t>YPF.SC.CnE-77</t>
  </si>
  <si>
    <t>CnE-77[00]</t>
  </si>
  <si>
    <t>YPF.SC.CnE.a-412</t>
  </si>
  <si>
    <t>YPF.SC.CG.a-182</t>
  </si>
  <si>
    <t>YPF.SC.CG-523</t>
  </si>
  <si>
    <t>CG-523[00]a</t>
  </si>
  <si>
    <t>YPF.SC.CnE-886</t>
  </si>
  <si>
    <t>CnE-886[00]a</t>
  </si>
  <si>
    <t>YPF.SC.CnE-269</t>
  </si>
  <si>
    <t>CnE-269[00]</t>
  </si>
  <si>
    <t>YPF.SC.LH-122</t>
  </si>
  <si>
    <t>YPF.SC.LH.a-160</t>
  </si>
  <si>
    <t>LH-160[00]</t>
  </si>
  <si>
    <t>YPF.SC.LH-259</t>
  </si>
  <si>
    <t>YPF.SC.LH-555</t>
  </si>
  <si>
    <t>YPF.SC.CnE-861</t>
  </si>
  <si>
    <t>YPF.SC.CG.a-2</t>
  </si>
  <si>
    <t>CG-2[00]</t>
  </si>
  <si>
    <t>YPF.SC.LH-1055</t>
  </si>
  <si>
    <t>LH-1055[00]a</t>
  </si>
  <si>
    <t>YPF.SC.CG-563</t>
  </si>
  <si>
    <t>CG-563[00]a</t>
  </si>
  <si>
    <t>YPF.SC.LH-1119</t>
  </si>
  <si>
    <t>LH-1119[00]a</t>
  </si>
  <si>
    <t>YPF.SC.CG-604</t>
  </si>
  <si>
    <t>CG-604[00]a</t>
  </si>
  <si>
    <t>YPF.SC.CG-669</t>
  </si>
  <si>
    <t>CG-669[00]</t>
  </si>
  <si>
    <t>YPF.SC.CnE-1095</t>
  </si>
  <si>
    <t>CnE-1095[00]</t>
  </si>
  <si>
    <t>YPF.SC.LH-1236</t>
  </si>
  <si>
    <t>LH-1236[00]</t>
  </si>
  <si>
    <t>YPF.SC.CG-893</t>
  </si>
  <si>
    <t>CG-893[00]</t>
  </si>
  <si>
    <t>YPF.SC.BB-150</t>
  </si>
  <si>
    <t>BB-150[00]</t>
  </si>
  <si>
    <t>YPF.SC.CnE-1300(I)</t>
  </si>
  <si>
    <t>CnE-1300(I)[00]a</t>
  </si>
  <si>
    <t>YPF.SC.LH-1034</t>
  </si>
  <si>
    <t>LH-1034[00]a</t>
  </si>
  <si>
    <t>YPF.SC.LH-1070</t>
  </si>
  <si>
    <t>LH-1070[00]a</t>
  </si>
  <si>
    <t>YPF.SC.CG-556</t>
  </si>
  <si>
    <t>CG-556[00]a</t>
  </si>
  <si>
    <t>YPF.SC.CG-573</t>
  </si>
  <si>
    <t>CG-573[00]a</t>
  </si>
  <si>
    <t>YPF.SC.LH-1137</t>
  </si>
  <si>
    <t>LH-1137[00]a</t>
  </si>
  <si>
    <t>YPF.SC.CnE-977</t>
  </si>
  <si>
    <t>CnE-977[00]</t>
  </si>
  <si>
    <t>YPF.SC.CnE-1031</t>
  </si>
  <si>
    <t>CnE-1031[00]</t>
  </si>
  <si>
    <t>YPF.SC.CG-646</t>
  </si>
  <si>
    <t>CG-646[00]</t>
  </si>
  <si>
    <t>YPF.SC.LH-1183</t>
  </si>
  <si>
    <t>LH-1183[00]</t>
  </si>
  <si>
    <t>YPF.SC.CnE-1141</t>
  </si>
  <si>
    <t>CnE-1141[00]</t>
  </si>
  <si>
    <t>YPF.SC.CnE-1116</t>
  </si>
  <si>
    <t>CnE-1116[00]</t>
  </si>
  <si>
    <t>YPF.SC.CnE-1133</t>
  </si>
  <si>
    <t>CnE-1133[00]</t>
  </si>
  <si>
    <t>YPF.SC.CnE-1325</t>
  </si>
  <si>
    <t>CnE-1325[00]</t>
  </si>
  <si>
    <t>YPF.SC.CnE-1364</t>
  </si>
  <si>
    <t>CnE-1364[00]</t>
  </si>
  <si>
    <t>YPF.SC.LH-593</t>
  </si>
  <si>
    <t>YPF.SC.LH-802</t>
  </si>
  <si>
    <t>LH-802[00]</t>
  </si>
  <si>
    <t>YPF.SC.LH-826</t>
  </si>
  <si>
    <t>LH-826[00]</t>
  </si>
  <si>
    <t>YPF.SC.CG-14</t>
  </si>
  <si>
    <t>CG-14[00]</t>
  </si>
  <si>
    <t>YPF.SC.CG-431</t>
  </si>
  <si>
    <t>CG-431[00]</t>
  </si>
  <si>
    <t>YPF.SC.CG-482</t>
  </si>
  <si>
    <t>CG-482[00]</t>
  </si>
  <si>
    <t>YPF.SC.LC-453</t>
  </si>
  <si>
    <t>LC-453[00]</t>
  </si>
  <si>
    <t>YPF.SC.N-17</t>
  </si>
  <si>
    <t>YPF.SC.N-57</t>
  </si>
  <si>
    <t>N-57[00]</t>
  </si>
  <si>
    <t>YPF.SC.CnE.a-128</t>
  </si>
  <si>
    <t>CnE-128[00]</t>
  </si>
  <si>
    <t>YPF.SC.CnE-333</t>
  </si>
  <si>
    <t>CnE-333[00]</t>
  </si>
  <si>
    <t>YPF.SC.CnE-352</t>
  </si>
  <si>
    <t>CnE-352[00]</t>
  </si>
  <si>
    <t>YPF.SC.CnE.a-566</t>
  </si>
  <si>
    <t>CnE-566[00]</t>
  </si>
  <si>
    <t>YPF.SC.CnE-654</t>
  </si>
  <si>
    <t>CnE-654[00]</t>
  </si>
  <si>
    <t>YPF.SC.CnE-737</t>
  </si>
  <si>
    <t>CnE-737[00]</t>
  </si>
  <si>
    <t>YPF.SC.CnE-740</t>
  </si>
  <si>
    <t>CnE-740[00]</t>
  </si>
  <si>
    <t>YPF.SC.CnE-812</t>
  </si>
  <si>
    <t>CnE-812[00]</t>
  </si>
  <si>
    <t>YPF.SC.CnE-264</t>
  </si>
  <si>
    <t>CnE-264[00]</t>
  </si>
  <si>
    <t>YPF.SC.CnE-266</t>
  </si>
  <si>
    <t>CnE-266[00]</t>
  </si>
  <si>
    <t>YPF.SC.CnE-428</t>
  </si>
  <si>
    <t>CnE-428[00]</t>
  </si>
  <si>
    <t>YPF.SC.CnE-521</t>
  </si>
  <si>
    <t>CnE-521[00]</t>
  </si>
  <si>
    <t>YPF.SC.CnE.a-582</t>
  </si>
  <si>
    <t>CnE-582[00]</t>
  </si>
  <si>
    <t>YPF.SC.CnE-794</t>
  </si>
  <si>
    <t>CnE-794[00]</t>
  </si>
  <si>
    <t>YPF.SC.BB-60</t>
  </si>
  <si>
    <t>BB-60[00]</t>
  </si>
  <si>
    <t>YPF.SC.BB.a-65</t>
  </si>
  <si>
    <t>BB-65[00]</t>
  </si>
  <si>
    <t>YPF.SC.CES.x-2</t>
  </si>
  <si>
    <t>CES-2[00]</t>
  </si>
  <si>
    <t>YPF.SC.LH-106</t>
  </si>
  <si>
    <t>LH-106[00]</t>
  </si>
  <si>
    <t>YPF.SC.LH-123</t>
  </si>
  <si>
    <t>LH-123[00]</t>
  </si>
  <si>
    <t>YPF.SC.LH-244</t>
  </si>
  <si>
    <t>YPF.SC.LH-983</t>
  </si>
  <si>
    <t>LH-983[00]a</t>
  </si>
  <si>
    <t>YPF.SC.LH.a-978</t>
  </si>
  <si>
    <t>YPF.SC.CG.a-535</t>
  </si>
  <si>
    <t>CG-535[00]a</t>
  </si>
  <si>
    <t>YPF.SC.LH-1074</t>
  </si>
  <si>
    <t>LH-1074[00]a</t>
  </si>
  <si>
    <t>YPF.SC.LH-351</t>
  </si>
  <si>
    <t>LH-351[00]</t>
  </si>
  <si>
    <t>YPF.SC.LH-574</t>
  </si>
  <si>
    <t>LH-574[00]</t>
  </si>
  <si>
    <t>YPF.SC.LH-737</t>
  </si>
  <si>
    <t>LH-737[00]</t>
  </si>
  <si>
    <t>YPF.SC.LH-893</t>
  </si>
  <si>
    <t>LH-893[00]</t>
  </si>
  <si>
    <t>YPF.SC.CG-12</t>
  </si>
  <si>
    <t>CG-12[00]</t>
  </si>
  <si>
    <t>YPF.SC.CG-352</t>
  </si>
  <si>
    <t>CG-352[00]</t>
  </si>
  <si>
    <t>YPF.SC.CG-432</t>
  </si>
  <si>
    <t>CG-432[00]</t>
  </si>
  <si>
    <t>YPF.SC.CnE-80</t>
  </si>
  <si>
    <t>CnE-80[00]</t>
  </si>
  <si>
    <t>YPF.SC.CnE-87</t>
  </si>
  <si>
    <t>CnE-87[00]</t>
  </si>
  <si>
    <t>YPF.SC.CnE-115</t>
  </si>
  <si>
    <t>CnE-115[00]</t>
  </si>
  <si>
    <t>YPF.SC.CnE-241</t>
  </si>
  <si>
    <t>CnE-241[00]</t>
  </si>
  <si>
    <t>YPF.SC.CnE-245</t>
  </si>
  <si>
    <t>CnE-245[00]</t>
  </si>
  <si>
    <t>YPF.SC.CnE-298</t>
  </si>
  <si>
    <t>CnE-298[00]</t>
  </si>
  <si>
    <t>YPF.SC.CnE-374</t>
  </si>
  <si>
    <t>YPF.SC.CnE-443</t>
  </si>
  <si>
    <t>CnE-443[00]</t>
  </si>
  <si>
    <t>YPF.SC.CnE-536</t>
  </si>
  <si>
    <t>CnE-536[00]</t>
  </si>
  <si>
    <t>YPF.SC.CnE-734</t>
  </si>
  <si>
    <t>CnE-734[00]</t>
  </si>
  <si>
    <t>YPF.SC.CnE.a-762</t>
  </si>
  <si>
    <t>CnE-762[00]</t>
  </si>
  <si>
    <t>YPF.SC.CnE-772</t>
  </si>
  <si>
    <t>CnE-772[00]</t>
  </si>
  <si>
    <t>YPF.SC.CnE-806</t>
  </si>
  <si>
    <t>CnE-806[00]</t>
  </si>
  <si>
    <t>YPF.SC.BB.a-9</t>
  </si>
  <si>
    <t>YPF.SC.CG-201</t>
  </si>
  <si>
    <t>YPF.SC.CG-198</t>
  </si>
  <si>
    <t>YPF.SC.LH-1017</t>
  </si>
  <si>
    <t>LH-1017[00]a</t>
  </si>
  <si>
    <t>YPF.SC.LH-1018</t>
  </si>
  <si>
    <t>LH-1018[00]a</t>
  </si>
  <si>
    <t>YPF.SC.LH-1022</t>
  </si>
  <si>
    <t>LH-1022[00]a</t>
  </si>
  <si>
    <t>YPF.SC.LH-1057</t>
  </si>
  <si>
    <t>LH-1057[00]a</t>
  </si>
  <si>
    <t>YPF.SC.LH.a-1076</t>
  </si>
  <si>
    <t>LH-1076[00]a</t>
  </si>
  <si>
    <t>YPF.SC.LH-119</t>
  </si>
  <si>
    <t>LH-119[00]</t>
  </si>
  <si>
    <t>YPF.SC.LH-1198</t>
  </si>
  <si>
    <t>LH-1198[00]</t>
  </si>
  <si>
    <t>YPF.SC.CnE-1134</t>
  </si>
  <si>
    <t>CnE-1134[00]</t>
  </si>
  <si>
    <t>YPF.SC.CnE.a-1155</t>
  </si>
  <si>
    <t>CnE.a-1155[00]</t>
  </si>
  <si>
    <t>YPF.SC.CnE-1159</t>
  </si>
  <si>
    <t>CnE-1159[00]</t>
  </si>
  <si>
    <t>YPF.SC.CnE-1211</t>
  </si>
  <si>
    <t>CnE-1211[00]</t>
  </si>
  <si>
    <t>YPF.SC.CG-832</t>
  </si>
  <si>
    <t>CG-832[00]</t>
  </si>
  <si>
    <t>YPF.SC.CnE-1183</t>
  </si>
  <si>
    <t>CnE-1183[00]</t>
  </si>
  <si>
    <t>YPF.SC.BB-131</t>
  </si>
  <si>
    <t>BB-131[00]</t>
  </si>
  <si>
    <t>YPF.SC.CG-892</t>
  </si>
  <si>
    <t>CG-892[00]</t>
  </si>
  <si>
    <t>YPF.SC.CG-852(d)</t>
  </si>
  <si>
    <t>CG-852(d)[00]</t>
  </si>
  <si>
    <t>YPF.SC.CnE-1264</t>
  </si>
  <si>
    <t>CnE-1264[00]</t>
  </si>
  <si>
    <t>YPF.SC.CnE-1272</t>
  </si>
  <si>
    <t>CnE-1272[00]</t>
  </si>
  <si>
    <t>YPF.SC.CG-863</t>
  </si>
  <si>
    <t>CG-863[00]</t>
  </si>
  <si>
    <t>YPF.SC.CG-858(d)</t>
  </si>
  <si>
    <t>CG-858(00](d)</t>
  </si>
  <si>
    <t>YPF.SC.BB-138</t>
  </si>
  <si>
    <t>BB-138[00]</t>
  </si>
  <si>
    <t>YPF.SC.CG-957(d)</t>
  </si>
  <si>
    <t>CG-957[00(d)</t>
  </si>
  <si>
    <t>YPF.SC.CnE-1336</t>
  </si>
  <si>
    <t>CnE-1336[00]</t>
  </si>
  <si>
    <t>YPF.SC.CnE-1431</t>
  </si>
  <si>
    <t>CnE-1431</t>
  </si>
  <si>
    <t>YPF.SC.CnE-1454</t>
  </si>
  <si>
    <t>CnE-1454[00]a</t>
  </si>
  <si>
    <t>YPF.SC.LH-138</t>
  </si>
  <si>
    <t>LH-138[00]</t>
  </si>
  <si>
    <t>YPF.SC.LH-148</t>
  </si>
  <si>
    <t>LH-148[00]</t>
  </si>
  <si>
    <t>YPF.SC.LH-276</t>
  </si>
  <si>
    <t>LH-276[00]</t>
  </si>
  <si>
    <t>YPF.SC.LH-527</t>
  </si>
  <si>
    <t>LH-527[00]</t>
  </si>
  <si>
    <t>YPF.SC.LH-580</t>
  </si>
  <si>
    <t>LH-580[00]</t>
  </si>
  <si>
    <t>YPF.SC.LH-692</t>
  </si>
  <si>
    <t>LH-692[00]</t>
  </si>
  <si>
    <t>YPF.SC.CG-189</t>
  </si>
  <si>
    <t>CG-189[00]</t>
  </si>
  <si>
    <t>YPF.SC.CG-423</t>
  </si>
  <si>
    <t>CG-423[00]</t>
  </si>
  <si>
    <t>YPF.SC.CG-463</t>
  </si>
  <si>
    <t>CG-463[00]</t>
  </si>
  <si>
    <t>YPF.SC.CG-477</t>
  </si>
  <si>
    <t>CG-477[00]</t>
  </si>
  <si>
    <t>YPF.SC.LC-452</t>
  </si>
  <si>
    <t>LC-452[00]</t>
  </si>
  <si>
    <t>YPF.SC.CnE-78</t>
  </si>
  <si>
    <t>CnE-78[00]</t>
  </si>
  <si>
    <t>YPF.SC.CnE-102</t>
  </si>
  <si>
    <t>CnE-102[00]</t>
  </si>
  <si>
    <t>YPF.SC.CnE-153</t>
  </si>
  <si>
    <t>CnE-153[00]</t>
  </si>
  <si>
    <t>YPF.SC.CnE-242</t>
  </si>
  <si>
    <t>CnE-242[00]</t>
  </si>
  <si>
    <t>YPF.SC.CnE-247</t>
  </si>
  <si>
    <t>CnE-247[00]</t>
  </si>
  <si>
    <t>YPF.SC.CnE-300</t>
  </si>
  <si>
    <t>CnE-300[00]</t>
  </si>
  <si>
    <t>YPF.SC.CnE.a-344</t>
  </si>
  <si>
    <t>CnE-344[00]</t>
  </si>
  <si>
    <t>YPF.SC.CnE-393</t>
  </si>
  <si>
    <t>CnE-393[00]</t>
  </si>
  <si>
    <t>YPF.SC.CnE-408</t>
  </si>
  <si>
    <t>CnE-408[00]</t>
  </si>
  <si>
    <t>YPF.SC.CnE-426</t>
  </si>
  <si>
    <t>CnE-426[00]</t>
  </si>
  <si>
    <t>YPF.SC.CnE-460</t>
  </si>
  <si>
    <t>CnE-460[00]</t>
  </si>
  <si>
    <t>YPF.SC.CnE-535</t>
  </si>
  <si>
    <t>CnE-535[00]</t>
  </si>
  <si>
    <t>YPF.SC.CnE.a-565</t>
  </si>
  <si>
    <t>CnE-565[00]</t>
  </si>
  <si>
    <t>YPF.SC.CnE-578</t>
  </si>
  <si>
    <t>CnE-578[00]</t>
  </si>
  <si>
    <t>YPF.SC.CnE.a-593</t>
  </si>
  <si>
    <t>CnE.a-593[00]</t>
  </si>
  <si>
    <t>YPF.SC.CnE-671</t>
  </si>
  <si>
    <t>CnE-671[00]</t>
  </si>
  <si>
    <t>YPF.SC.CnE-677</t>
  </si>
  <si>
    <t>YPF.SC.CnE-716</t>
  </si>
  <si>
    <t>CnE-716[00]</t>
  </si>
  <si>
    <t>YPF.SC.CnE-722</t>
  </si>
  <si>
    <t>CnE-722[00]</t>
  </si>
  <si>
    <t>YPF.SC.CnE-744</t>
  </si>
  <si>
    <t>CnE-744[00]</t>
  </si>
  <si>
    <t>YPF.SC.CnE-779</t>
  </si>
  <si>
    <t>CnE-779[00]</t>
  </si>
  <si>
    <t>YPF.SC.CnE-819</t>
  </si>
  <si>
    <t>CnE-819[00]</t>
  </si>
  <si>
    <t>YPF.SC.CnE-822</t>
  </si>
  <si>
    <t>CnE-822[00]</t>
  </si>
  <si>
    <t>YPF.SC.CnE-833</t>
  </si>
  <si>
    <t>CnE-833[00]</t>
  </si>
  <si>
    <t>YPF.SC.BB.a-74</t>
  </si>
  <si>
    <t>BB-74[00]</t>
  </si>
  <si>
    <t>YPF.SC.BB-80</t>
  </si>
  <si>
    <t>BB-80[00]</t>
  </si>
  <si>
    <t>YPF.SC.BBO.x-2</t>
  </si>
  <si>
    <t>YPF.SC.CES.x-3</t>
  </si>
  <si>
    <t>CES-3[00]</t>
  </si>
  <si>
    <t>YPF.SC.BB.a-34</t>
  </si>
  <si>
    <t>YPF.SC.CnE.a-240</t>
  </si>
  <si>
    <t>YPF.SC.CnE-641</t>
  </si>
  <si>
    <t>CnE-641[00]</t>
  </si>
  <si>
    <t>YPF.SC.CnE-370(I)</t>
  </si>
  <si>
    <t>CnE-370(I)[00]</t>
  </si>
  <si>
    <t>YPF.SC.LC-15</t>
  </si>
  <si>
    <t>LC-15[00]</t>
  </si>
  <si>
    <t>YPF.SC.LH-456</t>
  </si>
  <si>
    <t>LH-456[00]</t>
  </si>
  <si>
    <t>YPF.SC.LC.a-1</t>
  </si>
  <si>
    <t>YPF.SC.LH-75</t>
  </si>
  <si>
    <t>YPF.SC.LH-245</t>
  </si>
  <si>
    <t>YPF.SC.LH-295</t>
  </si>
  <si>
    <t>YPF.SC.LH-504</t>
  </si>
  <si>
    <t>LH-504[00]</t>
  </si>
  <si>
    <t>YPF.SC.LH.a-57</t>
  </si>
  <si>
    <t>YPF.SC.CG-521</t>
  </si>
  <si>
    <t>CG-521[00]a</t>
  </si>
  <si>
    <t>YPF.SC.LH.a-977</t>
  </si>
  <si>
    <t>YPF.SC.CnE-891</t>
  </si>
  <si>
    <t>CnE-891[00]a</t>
  </si>
  <si>
    <t>YPF.SC.LH-1003</t>
  </si>
  <si>
    <t>LH-1003[00]a</t>
  </si>
  <si>
    <t>YPF.SC.LH-1012</t>
  </si>
  <si>
    <t>LH-1012[00]a</t>
  </si>
  <si>
    <t>YPF.SC.LH-1033</t>
  </si>
  <si>
    <t>LH-1033[00]a</t>
  </si>
  <si>
    <t>YPF.SC.CnE-898</t>
  </si>
  <si>
    <t>CnE-898[00]a</t>
  </si>
  <si>
    <t>YPF.SC.CnE.a-913</t>
  </si>
  <si>
    <t>CnE-913[00]a</t>
  </si>
  <si>
    <t>YPF.SC.CnE-916</t>
  </si>
  <si>
    <t>CnE-916[00]a</t>
  </si>
  <si>
    <t>YPF.SC.LH-1098</t>
  </si>
  <si>
    <t>LH-1098[00]a</t>
  </si>
  <si>
    <t>YPF.SC.LH-1101</t>
  </si>
  <si>
    <t>LH-1101[00]a</t>
  </si>
  <si>
    <t>YPF.SC.CnE-925</t>
  </si>
  <si>
    <t>YPF.SC.LH-1123</t>
  </si>
  <si>
    <t>LH-1123[00]a</t>
  </si>
  <si>
    <t>YPF.SC.CG-596</t>
  </si>
  <si>
    <t>CG-596[00]a</t>
  </si>
  <si>
    <t>YPF.SC.CG-602</t>
  </si>
  <si>
    <t>CG-602[00]a</t>
  </si>
  <si>
    <t>YPF.SC.LH-1150</t>
  </si>
  <si>
    <t>LH-1150[00]a</t>
  </si>
  <si>
    <t>YPF.SC.CG-607</t>
  </si>
  <si>
    <t>CG-607[00]a</t>
  </si>
  <si>
    <t>YPF.SC.CnE.a-960</t>
  </si>
  <si>
    <t>CnE.a-960[00]</t>
  </si>
  <si>
    <t>YPF.SC.CnE-1032</t>
  </si>
  <si>
    <t>CnE-1032[00]</t>
  </si>
  <si>
    <t>YPF.SC.CnE-1023</t>
  </si>
  <si>
    <t>CnE-1023[00]</t>
  </si>
  <si>
    <t>YPF.SC.CnE-1046</t>
  </si>
  <si>
    <t>CnE-1046[00]</t>
  </si>
  <si>
    <t>YPF.SC.CnE-1084</t>
  </si>
  <si>
    <t>CnE-1084[00]</t>
  </si>
  <si>
    <t>YPF.SC.CnE-1092</t>
  </si>
  <si>
    <t>CnE-1092[00]</t>
  </si>
  <si>
    <t>YPF.SC.CnE-1091</t>
  </si>
  <si>
    <t>CnE-1091[00]</t>
  </si>
  <si>
    <t>YPF.SC.CG-919(d)</t>
  </si>
  <si>
    <t>YPF.SC.CnE-1371</t>
  </si>
  <si>
    <t>CnE-1371[00]</t>
  </si>
  <si>
    <t>YPF.SC.LH-1246</t>
  </si>
  <si>
    <t>LH-1246[00]</t>
  </si>
  <si>
    <t>YPF.SC.LH-211</t>
  </si>
  <si>
    <t>LH-211[00]</t>
  </si>
  <si>
    <t>YPF.SC.LH-508</t>
  </si>
  <si>
    <t>LH-508[00]</t>
  </si>
  <si>
    <t>YPF.SC.LH-601</t>
  </si>
  <si>
    <t>LH-601[00]</t>
  </si>
  <si>
    <t>YPF.SC.LH-634</t>
  </si>
  <si>
    <t>LH-634[00]</t>
  </si>
  <si>
    <t>YPF.SC.LH-695</t>
  </si>
  <si>
    <t>LH-695[00]</t>
  </si>
  <si>
    <t>YPF.SC.LH-704</t>
  </si>
  <si>
    <t>LH-704[00]</t>
  </si>
  <si>
    <t>YPF.SC.LH-827</t>
  </si>
  <si>
    <t>LH-827[00]</t>
  </si>
  <si>
    <t>YPF.SC.LH.a-835</t>
  </si>
  <si>
    <t>LH-835[00]a</t>
  </si>
  <si>
    <t>YPF.SC.LH.a-836</t>
  </si>
  <si>
    <t>LH-836[00]</t>
  </si>
  <si>
    <t>YPF.SC.LH-930</t>
  </si>
  <si>
    <t>YPF.SC.LH-946</t>
  </si>
  <si>
    <t>LH-946[00]</t>
  </si>
  <si>
    <t>YPF.SC.LH-962</t>
  </si>
  <si>
    <t>LH-962[00]</t>
  </si>
  <si>
    <t>YPF.SC.CG-363</t>
  </si>
  <si>
    <t>CG-363[00]</t>
  </si>
  <si>
    <t>YPF.SC.CG.a-407</t>
  </si>
  <si>
    <t>CG-407[00]</t>
  </si>
  <si>
    <t>YPF.SC.CG-452</t>
  </si>
  <si>
    <t>CG-452[00]</t>
  </si>
  <si>
    <t>YPF.SC.LC-85</t>
  </si>
  <si>
    <t>LC-85[00]</t>
  </si>
  <si>
    <t>YPF.SC.CnE-75</t>
  </si>
  <si>
    <t>CnE-75[00]</t>
  </si>
  <si>
    <t>YPF.SC.CnE-101</t>
  </si>
  <si>
    <t>CnE-101[00]</t>
  </si>
  <si>
    <t>YPF.SC.CnE-474</t>
  </si>
  <si>
    <t>CnE-474[00]</t>
  </si>
  <si>
    <t>YPF.SC.CnE.a-585</t>
  </si>
  <si>
    <t>CnE-585[00]</t>
  </si>
  <si>
    <t>YPF.SC.CnE-725</t>
  </si>
  <si>
    <t>CnE-725[00]</t>
  </si>
  <si>
    <t>YPF.SC.LH-98</t>
  </si>
  <si>
    <t>YPF.SC.LH.a-539</t>
  </si>
  <si>
    <t>YPF.SC.LH-985</t>
  </si>
  <si>
    <t>LH-985[00]a</t>
  </si>
  <si>
    <t>YPF.SC.LH-1023</t>
  </si>
  <si>
    <t>LH-1023[00]a</t>
  </si>
  <si>
    <t>YPF.SC.LH-1059</t>
  </si>
  <si>
    <t>LH-1059[00]a</t>
  </si>
  <si>
    <t>YPF.SC.CG-551</t>
  </si>
  <si>
    <t>CG-551[00]a</t>
  </si>
  <si>
    <t>YPF.SC.CnE-932</t>
  </si>
  <si>
    <t>CnE-932[00]a</t>
  </si>
  <si>
    <t>YPF.SC.LH-1108</t>
  </si>
  <si>
    <t>LH-1108[00]a</t>
  </si>
  <si>
    <t>YPF.SC.LH-1168</t>
  </si>
  <si>
    <t>LH-1168[00]</t>
  </si>
  <si>
    <t>YPF.SC.LH-1219</t>
  </si>
  <si>
    <t>LH-1219[00]</t>
  </si>
  <si>
    <t>YPF.SC.LH-1220</t>
  </si>
  <si>
    <t>LH-1220[00]</t>
  </si>
  <si>
    <t>YPF.SC.CG-845(d)</t>
  </si>
  <si>
    <t>CG-845[00](d)</t>
  </si>
  <si>
    <t>YPF.SC.CnE-1223</t>
  </si>
  <si>
    <t>CnE-1223[00]</t>
  </si>
  <si>
    <t>YPF.SC.LH-1218</t>
  </si>
  <si>
    <t>LH-1218[00]</t>
  </si>
  <si>
    <t>YPF.SC.LH-1040</t>
  </si>
  <si>
    <t>LH-1040[00]a</t>
  </si>
  <si>
    <t>YPF.SC.LH-1044</t>
  </si>
  <si>
    <t>LH-1044[00]a</t>
  </si>
  <si>
    <t>YPF.SC.CG.a-499</t>
  </si>
  <si>
    <t>CG-499[00]a</t>
  </si>
  <si>
    <t>YPF.SC.LH-62</t>
  </si>
  <si>
    <t>LH-62[00]a</t>
  </si>
  <si>
    <t>YPF.SC.CnE-951</t>
  </si>
  <si>
    <t>CnE-951[00]a</t>
  </si>
  <si>
    <t>YPF.SC.LH-1153</t>
  </si>
  <si>
    <t>LH-1153[00]a</t>
  </si>
  <si>
    <t>YPF.SC.CG-621</t>
  </si>
  <si>
    <t>CG-621[00]</t>
  </si>
  <si>
    <t>YPF.SC.LH-61</t>
  </si>
  <si>
    <t>LH-61[00]a</t>
  </si>
  <si>
    <t>YPF.SC.LH-1071</t>
  </si>
  <si>
    <t>LH-1071[00]a</t>
  </si>
  <si>
    <t>YPF.SC.LH-1085</t>
  </si>
  <si>
    <t>LH-1085[00]a</t>
  </si>
  <si>
    <t>YPF.SC.CG-586</t>
  </si>
  <si>
    <t>CG-586[00]a</t>
  </si>
  <si>
    <t>YPF.SC.LH-1154</t>
  </si>
  <si>
    <t>LH-1154[00]a</t>
  </si>
  <si>
    <t>YPF.SC.CnE-981</t>
  </si>
  <si>
    <t>CnE-981[00]</t>
  </si>
  <si>
    <t>YPF.SC.CnE-1022</t>
  </si>
  <si>
    <t>CnE-1022[00]</t>
  </si>
  <si>
    <t>YPF.SC.CG-717</t>
  </si>
  <si>
    <t>CG-717[00]</t>
  </si>
  <si>
    <t>YPF.SC.CnE-1115</t>
  </si>
  <si>
    <t>CnE-1115[00]</t>
  </si>
  <si>
    <t>YPF.SC.CnE-1330</t>
  </si>
  <si>
    <t>CnE-1330[00]</t>
  </si>
  <si>
    <t>YPF.SC.CnE-1301</t>
  </si>
  <si>
    <t>CnE-1301[00]</t>
  </si>
  <si>
    <t>YPF.SC.LC.IA-976</t>
  </si>
  <si>
    <t>LC.IA-976</t>
  </si>
  <si>
    <t>YPF.SC.LH-1302</t>
  </si>
  <si>
    <t>LH-1302[00]a</t>
  </si>
  <si>
    <t>YPF.SC.LH-1304</t>
  </si>
  <si>
    <t>LH-1304[00]a</t>
  </si>
  <si>
    <t>YPF.SC.LH-1307</t>
  </si>
  <si>
    <t>LH-1307</t>
  </si>
  <si>
    <t>YPF.SC.LH-1196</t>
  </si>
  <si>
    <t>LH-1196[00]</t>
  </si>
  <si>
    <t>YPF.SC.BB-120</t>
  </si>
  <si>
    <t>BB-120[00]</t>
  </si>
  <si>
    <t>YPF.SC.CnE-1285</t>
  </si>
  <si>
    <t>CnE-1285[00]</t>
  </si>
  <si>
    <t>YPF.SC.CnE-1314</t>
  </si>
  <si>
    <t>CnE-1314[00]a</t>
  </si>
  <si>
    <t>YPF.SC.CnE-1399</t>
  </si>
  <si>
    <t>CnE-1399[00]</t>
  </si>
  <si>
    <t>YPF.SC.LH-1303</t>
  </si>
  <si>
    <t>LH-1303[00]a</t>
  </si>
  <si>
    <t>YPF.SC.LH-132</t>
  </si>
  <si>
    <t>LH-132[00]</t>
  </si>
  <si>
    <t>YPF.SC.LH-231</t>
  </si>
  <si>
    <t>YPF.SC.LH-286</t>
  </si>
  <si>
    <t>LH-286[00]</t>
  </si>
  <si>
    <t>YPF.SC.LH-526</t>
  </si>
  <si>
    <t>LH-526[00]</t>
  </si>
  <si>
    <t>YPF.SC.LH-586</t>
  </si>
  <si>
    <t>LH-586[00]</t>
  </si>
  <si>
    <t>YPF.SC.LH-596</t>
  </si>
  <si>
    <t>LH-596[00]</t>
  </si>
  <si>
    <t>YPF.SC.LH-738</t>
  </si>
  <si>
    <t>LH-738[00]</t>
  </si>
  <si>
    <t>YPF.SC.LH-947</t>
  </si>
  <si>
    <t>LH-947[00]</t>
  </si>
  <si>
    <t>YPF.SC.CG-11</t>
  </si>
  <si>
    <t>CG-11[00]</t>
  </si>
  <si>
    <t>YPF.SC.CG-99</t>
  </si>
  <si>
    <t>CG-99[00]</t>
  </si>
  <si>
    <t>YPF.SC.CG-100</t>
  </si>
  <si>
    <t>CG-100[00]</t>
  </si>
  <si>
    <t>YPF.SC.CG-271</t>
  </si>
  <si>
    <t>CG-271[00]</t>
  </si>
  <si>
    <t>YPF.SC.CG-390</t>
  </si>
  <si>
    <t>CG-390[00]</t>
  </si>
  <si>
    <t>YPF.SC.CG-422</t>
  </si>
  <si>
    <t>CG-422[00]</t>
  </si>
  <si>
    <t>YPF.SC.CG-429</t>
  </si>
  <si>
    <t>CG-429[00]</t>
  </si>
  <si>
    <t>YPF.SC.CG-518</t>
  </si>
  <si>
    <t>CG-518[00]</t>
  </si>
  <si>
    <t>YPF.SC.CnE-90</t>
  </si>
  <si>
    <t>CnE-90[00]</t>
  </si>
  <si>
    <t>YPF.SC.CnE-106</t>
  </si>
  <si>
    <t>CnE-106[00]</t>
  </si>
  <si>
    <t>YPF.SC.CnE.a-135</t>
  </si>
  <si>
    <t>CnE-135[00]</t>
  </si>
  <si>
    <t>YPF.SC.CnE-157</t>
  </si>
  <si>
    <t>CnE-157[00]</t>
  </si>
  <si>
    <t>YPF.SC.CnE-191</t>
  </si>
  <si>
    <t>CnE-191[00]</t>
  </si>
  <si>
    <t>YPF.SC.CnE-199</t>
  </si>
  <si>
    <t>CnE-199[00]</t>
  </si>
  <si>
    <t>YPF.SC.CnE-248</t>
  </si>
  <si>
    <t>CnE-248[00]</t>
  </si>
  <si>
    <t>YPF.SC.CnE-259</t>
  </si>
  <si>
    <t>CnE-259[00]</t>
  </si>
  <si>
    <t>YPF.SC.CnE-296</t>
  </si>
  <si>
    <t>CnE-296[00]</t>
  </si>
  <si>
    <t>YPF.SC.CnE-314</t>
  </si>
  <si>
    <t>YPF.SC.CnE-458</t>
  </si>
  <si>
    <t>CnE-458[00]</t>
  </si>
  <si>
    <t>YPF.SC.CnE-486</t>
  </si>
  <si>
    <t>CnE-486[00]</t>
  </si>
  <si>
    <t>YPF.SC.CnE-488</t>
  </si>
  <si>
    <t>CnE-488[00]</t>
  </si>
  <si>
    <t>YPF.SC.CnE.a-495</t>
  </si>
  <si>
    <t>CnE-495[00]</t>
  </si>
  <si>
    <t>YPF.SC.CnE.a-595</t>
  </si>
  <si>
    <t>YPF.SC.CnE-616</t>
  </si>
  <si>
    <t>CnE-616[00]</t>
  </si>
  <si>
    <t>YPF.SC.CnE-703</t>
  </si>
  <si>
    <t>CnE-703[00]</t>
  </si>
  <si>
    <t>YPF.SC.CnE.a-830</t>
  </si>
  <si>
    <t>CnE-830[00]</t>
  </si>
  <si>
    <t>YPF.SC.BB.a-72</t>
  </si>
  <si>
    <t>BB-72[00]</t>
  </si>
  <si>
    <t>YPF.SC.CnE-56</t>
  </si>
  <si>
    <t>CnE-56[00]</t>
  </si>
  <si>
    <t>YPF.SC.LH-44</t>
  </si>
  <si>
    <t>YPF.SC.LC-69</t>
  </si>
  <si>
    <t>LC-69[00]</t>
  </si>
  <si>
    <t>YPF.SC.LH-268</t>
  </si>
  <si>
    <t>YPF.SC.LH-554</t>
  </si>
  <si>
    <t>LH-554[00]</t>
  </si>
  <si>
    <t>YPF.SC.LH-565</t>
  </si>
  <si>
    <t>LH-565[00]</t>
  </si>
  <si>
    <t>YPF.SC.CG.a-144</t>
  </si>
  <si>
    <t>CG-144[00]</t>
  </si>
  <si>
    <t>YPF.SC.LH-986</t>
  </si>
  <si>
    <t>LH-986[00]a</t>
  </si>
  <si>
    <t>YPF.SC.O-203</t>
  </si>
  <si>
    <t>YPF.SC.EaM.x-1</t>
  </si>
  <si>
    <t>YPF.SC.LH.a-5</t>
  </si>
  <si>
    <t>LH-5[00]</t>
  </si>
  <si>
    <t>YPF.SC.LH-171</t>
  </si>
  <si>
    <t>LH-171[00]</t>
  </si>
  <si>
    <t>YPF.SC.LH-266</t>
  </si>
  <si>
    <t>LH-266[00]</t>
  </si>
  <si>
    <t>YPF.SC.LH.a-399</t>
  </si>
  <si>
    <t>LH-399[00]</t>
  </si>
  <si>
    <t>YPF.SC.LH-560</t>
  </si>
  <si>
    <t>LH-560[00]</t>
  </si>
  <si>
    <t>YPF.SC.LH-718</t>
  </si>
  <si>
    <t>LH-718[00]</t>
  </si>
  <si>
    <t>YPF.SC.LH-849</t>
  </si>
  <si>
    <t>LH-849[00]</t>
  </si>
  <si>
    <t>YPF.SC.LH-913</t>
  </si>
  <si>
    <t>LH-913[00]</t>
  </si>
  <si>
    <t>YPF.SC.CG.a-195</t>
  </si>
  <si>
    <t>CG-195[00]</t>
  </si>
  <si>
    <t>YPF.SC.CG-246</t>
  </si>
  <si>
    <t>CG-246[00]</t>
  </si>
  <si>
    <t>YPF.SC.CG-517</t>
  </si>
  <si>
    <t>CG-517[00]</t>
  </si>
  <si>
    <t>YPF.SC.LC-14</t>
  </si>
  <si>
    <t>YPF.SC.N-12</t>
  </si>
  <si>
    <t>YPF.SC.CnE-59</t>
  </si>
  <si>
    <t>CnE-59[00]</t>
  </si>
  <si>
    <t>YPF.SC.CnE-112</t>
  </si>
  <si>
    <t>CnE-112[00]</t>
  </si>
  <si>
    <t>YPF.SC.CnE.a-607</t>
  </si>
  <si>
    <t>CnE-607[00]</t>
  </si>
  <si>
    <t>YPF.SC.CnE-639</t>
  </si>
  <si>
    <t>CnE-639[00]</t>
  </si>
  <si>
    <t>YPF.SC.CnE-646</t>
  </si>
  <si>
    <t>CnE-646[00]</t>
  </si>
  <si>
    <t>YPF.SC.CnE-717</t>
  </si>
  <si>
    <t>CnE-717[00]</t>
  </si>
  <si>
    <t>YPF.SC.CnE-742</t>
  </si>
  <si>
    <t>CnE-742[00]</t>
  </si>
  <si>
    <t>YPF.SC.CnE.a-815</t>
  </si>
  <si>
    <t>CnE-815[00]</t>
  </si>
  <si>
    <t>YPF.SC.BB.a-4</t>
  </si>
  <si>
    <t>YPF.SC.CnE.a-137</t>
  </si>
  <si>
    <t>CnE-137[00]</t>
  </si>
  <si>
    <t>YPF.SC.ECE.x-1</t>
  </si>
  <si>
    <t>ECE-1[00]</t>
  </si>
  <si>
    <t>YPF.SC.CnE.a-480</t>
  </si>
  <si>
    <t>YPF.SC.LH-491</t>
  </si>
  <si>
    <t>LH-491[00]</t>
  </si>
  <si>
    <t>YPF.SC.CG.a-196</t>
  </si>
  <si>
    <t>YPF.SC.CG-526</t>
  </si>
  <si>
    <t>CG-526[00]a</t>
  </si>
  <si>
    <t>YPF.SC.LH.a-12</t>
  </si>
  <si>
    <t>YPF.SC.LH-385</t>
  </si>
  <si>
    <t>YPF.SC.LH-701</t>
  </si>
  <si>
    <t>LH-701[00]</t>
  </si>
  <si>
    <t>YPF.SC.LH-875</t>
  </si>
  <si>
    <t>LH-875[00]</t>
  </si>
  <si>
    <t>YPF.SC.CG-270</t>
  </si>
  <si>
    <t>YPF.SC.CG.a-301</t>
  </si>
  <si>
    <t>CG-301[00]</t>
  </si>
  <si>
    <t>YPF.SC.CG-424</t>
  </si>
  <si>
    <t>CG-424[00]</t>
  </si>
  <si>
    <t>YPF.SC.CG-466</t>
  </si>
  <si>
    <t>CG-466[00]</t>
  </si>
  <si>
    <t>YPF.SC.CnE-490</t>
  </si>
  <si>
    <t>CnE-490[00]</t>
  </si>
  <si>
    <t>YPF.SC.CnE-621</t>
  </si>
  <si>
    <t>CnE-621[00]</t>
  </si>
  <si>
    <t>YPF.SC.CnE-768</t>
  </si>
  <si>
    <t>CnE-768[00]</t>
  </si>
  <si>
    <t>YPF.SC.BB-62</t>
  </si>
  <si>
    <t>BB-62[00]</t>
  </si>
  <si>
    <t>YPF.SC.BB-102</t>
  </si>
  <si>
    <t>BB-102[00]</t>
  </si>
  <si>
    <t>YPF.SC.LH.a-8</t>
  </si>
  <si>
    <t>LH-8[00]</t>
  </si>
  <si>
    <t>YPF.SC.LH-588</t>
  </si>
  <si>
    <t>LH-588[00]</t>
  </si>
  <si>
    <t>YPF.SC.LH.a-70</t>
  </si>
  <si>
    <t>LH-70[00]</t>
  </si>
  <si>
    <t>YPF.SC.CG.a-143</t>
  </si>
  <si>
    <t>CG-143[00]</t>
  </si>
  <si>
    <t>YPF.SC.CG-116</t>
  </si>
  <si>
    <t>CG-116[00]</t>
  </si>
  <si>
    <t>YPF.SC.LH-982</t>
  </si>
  <si>
    <t>LH-982[00]a</t>
  </si>
  <si>
    <t>YPF.SC.CG-529</t>
  </si>
  <si>
    <t>CG-529[00]a</t>
  </si>
  <si>
    <t>YPF.SC.LH-1002</t>
  </si>
  <si>
    <t>LH-1002[00]a</t>
  </si>
  <si>
    <t>YPF.SC.LH-1083</t>
  </si>
  <si>
    <t>LH-1083[00]a</t>
  </si>
  <si>
    <t>YPF.SC.LH-1086</t>
  </si>
  <si>
    <t>LH-1086[00]a</t>
  </si>
  <si>
    <t>YPF.SC.CnE.a-930</t>
  </si>
  <si>
    <t>YPF.SC.BB-109</t>
  </si>
  <si>
    <t>BB-109[00]</t>
  </si>
  <si>
    <t>YPF.SC.CG-820</t>
  </si>
  <si>
    <t>CG-820[00]</t>
  </si>
  <si>
    <t>YPF.SC.BB-121</t>
  </si>
  <si>
    <t>BB-121[00]</t>
  </si>
  <si>
    <t>YPF.SC.LH-1239</t>
  </si>
  <si>
    <t>LH-1239[00]</t>
  </si>
  <si>
    <t>YPF.SC.CnE-1342</t>
  </si>
  <si>
    <t>CnE-1342[00]</t>
  </si>
  <si>
    <t>YPF.SC.CnE-1414</t>
  </si>
  <si>
    <t>CnE-1414[00]</t>
  </si>
  <si>
    <t>YPF.SC.CnE-1386</t>
  </si>
  <si>
    <t>CnE-1386[00]</t>
  </si>
  <si>
    <t>YPF.SC.LH-1131</t>
  </si>
  <si>
    <t>LH-1131[00]a</t>
  </si>
  <si>
    <t>YPF.SC.CG-605</t>
  </si>
  <si>
    <t>CG-605[00]a</t>
  </si>
  <si>
    <t>YPF.SC.CnE-1127</t>
  </si>
  <si>
    <t>CnE-1127[00]</t>
  </si>
  <si>
    <t>YPF.SC.CG-750</t>
  </si>
  <si>
    <t>CG-750[00]</t>
  </si>
  <si>
    <t>YPF.SC.CG.a-812</t>
  </si>
  <si>
    <t>CG.a-812[00]</t>
  </si>
  <si>
    <t>YPF.SC.CnE-1194</t>
  </si>
  <si>
    <t>CnE-1194[00]</t>
  </si>
  <si>
    <t>YPF.SC.LH-1248</t>
  </si>
  <si>
    <t>LH-1248[00]</t>
  </si>
  <si>
    <t>YPF.SC.LH-1260</t>
  </si>
  <si>
    <t>LH-1260[00]</t>
  </si>
  <si>
    <t>YPF.SC.CnE-1384</t>
  </si>
  <si>
    <t>CnE-1384[00]</t>
  </si>
  <si>
    <t>YPF.SC.CnE-1421</t>
  </si>
  <si>
    <t>CnE-1421[00]a</t>
  </si>
  <si>
    <t>YPF.SC.CG-983</t>
  </si>
  <si>
    <t>CG-983[00]a</t>
  </si>
  <si>
    <t>YPF.SC.CnE-1432</t>
  </si>
  <si>
    <t>CnE-1432</t>
  </si>
  <si>
    <t>YPF.SC.CnE.a-1125</t>
  </si>
  <si>
    <t>CnE-1125[00]</t>
  </si>
  <si>
    <t>YPF.SC.LH-1234</t>
  </si>
  <si>
    <t>LH-1234[00]</t>
  </si>
  <si>
    <t>YPF.SC.CnE-1227(d)</t>
  </si>
  <si>
    <t>CnE-1227(d)[00]a</t>
  </si>
  <si>
    <t>YPF.SC.CnE-1240</t>
  </si>
  <si>
    <t>CnE-1240[00]</t>
  </si>
  <si>
    <t>YPF.SC.CnE-1237</t>
  </si>
  <si>
    <t>CnE-1237[00]</t>
  </si>
  <si>
    <t>YPF.SC.LH-1247</t>
  </si>
  <si>
    <t>LH-1247[00]</t>
  </si>
  <si>
    <t>YPF.SC.CG-727</t>
  </si>
  <si>
    <t>CG-727[00]</t>
  </si>
  <si>
    <t>YPF.SC.CG-765</t>
  </si>
  <si>
    <t>CG-765[00]</t>
  </si>
  <si>
    <t>YPF.SC.CG-798</t>
  </si>
  <si>
    <t>CG-798[00]</t>
  </si>
  <si>
    <t>YPF.SC.CnE.a-1282</t>
  </si>
  <si>
    <t>CnE.a-1282[00]</t>
  </si>
  <si>
    <t>YPF.SC.CnE-1345</t>
  </si>
  <si>
    <t>CnE-1345[00]</t>
  </si>
  <si>
    <t>YPF.SC.CnE-1393</t>
  </si>
  <si>
    <t>CnE-1393[00]a</t>
  </si>
  <si>
    <t>YPF.SC.CnE-1413</t>
  </si>
  <si>
    <t>CnE-1413[00]a</t>
  </si>
  <si>
    <t>YPF.SC.BB-160</t>
  </si>
  <si>
    <t>BB-160[00]</t>
  </si>
  <si>
    <t>YPF.SC.CG-784</t>
  </si>
  <si>
    <t>CG-784[00]</t>
  </si>
  <si>
    <t>YPF.SC.CnE.a-1096</t>
  </si>
  <si>
    <t>CnE.a-1096[00]</t>
  </si>
  <si>
    <t>YPF.SC.CG-725</t>
  </si>
  <si>
    <t>CG-725[00]</t>
  </si>
  <si>
    <t>YPF.SC.BB-116</t>
  </si>
  <si>
    <t>BB-116[00]</t>
  </si>
  <si>
    <t>YPF.SC.CG-822</t>
  </si>
  <si>
    <t>CG-822[00]</t>
  </si>
  <si>
    <t>YPF.SC.CnE-1186</t>
  </si>
  <si>
    <t>CnE-1186[00]</t>
  </si>
  <si>
    <t>YPF.SC.CnE-1226</t>
  </si>
  <si>
    <t>CnE-1226[00]</t>
  </si>
  <si>
    <t>YPF.SC.CnE-1300</t>
  </si>
  <si>
    <t>CnE-1300[00]</t>
  </si>
  <si>
    <t>YPF.SC.BB-143(d)</t>
  </si>
  <si>
    <t>BB-143[00](d)</t>
  </si>
  <si>
    <t>YPF.SC.CnE-1280</t>
  </si>
  <si>
    <t>CnE-1280[00]</t>
  </si>
  <si>
    <t>YPF.SC.LC-983</t>
  </si>
  <si>
    <t>LC-983[00]a</t>
  </si>
  <si>
    <t>YPF.SC.CG-905</t>
  </si>
  <si>
    <t>CG-905[00]</t>
  </si>
  <si>
    <t>YPF.SC.CG-580</t>
  </si>
  <si>
    <t>CG-580[00]a</t>
  </si>
  <si>
    <t>YPF.SC.LH-1145</t>
  </si>
  <si>
    <t>LH-1145[00]a</t>
  </si>
  <si>
    <t>YPF.SC.CnE-1310(d)</t>
  </si>
  <si>
    <t>CnE-1310[00](d)</t>
  </si>
  <si>
    <t>YPF.SC.CnE-1311</t>
  </si>
  <si>
    <t>CnE-1311[00]</t>
  </si>
  <si>
    <t>YPF.SC.CG-953(d)</t>
  </si>
  <si>
    <t>CG-953[00](d)</t>
  </si>
  <si>
    <t>YPF.SC.CnE-156</t>
  </si>
  <si>
    <t>CnE-156[00]</t>
  </si>
  <si>
    <t>YPF.SC.CnE.a-196</t>
  </si>
  <si>
    <t>CnE-196[00]</t>
  </si>
  <si>
    <t>YPF.SC.CnE-349</t>
  </si>
  <si>
    <t>CnE-349[00]</t>
  </si>
  <si>
    <t>YPF.SC.CnE-471</t>
  </si>
  <si>
    <t>CnE-471[00]</t>
  </si>
  <si>
    <t>YPF.SC.CnE.a-484</t>
  </si>
  <si>
    <t>CnE-484[00]</t>
  </si>
  <si>
    <t>YPF.SC.CnE-686</t>
  </si>
  <si>
    <t>CnE-686[00]</t>
  </si>
  <si>
    <t>YPF.SC.CnE-814</t>
  </si>
  <si>
    <t>CnE-814[00]</t>
  </si>
  <si>
    <t>YPF.SC.CES.x-4</t>
  </si>
  <si>
    <t>CES-4[00]</t>
  </si>
  <si>
    <t>YPF.SC.CnE-29(I)</t>
  </si>
  <si>
    <t>CnE-29(I)[00]</t>
  </si>
  <si>
    <t>YPF.SC.CnE-32</t>
  </si>
  <si>
    <t>CnE-32[00]</t>
  </si>
  <si>
    <t>YPF.SC.CnE-48</t>
  </si>
  <si>
    <t>YPF.SC.CnE-855</t>
  </si>
  <si>
    <t>CnE-855[00]</t>
  </si>
  <si>
    <t>YPF.SC.CnE.a-567</t>
  </si>
  <si>
    <t>YPF.SC.LH-101</t>
  </si>
  <si>
    <t>LH-101[00]</t>
  </si>
  <si>
    <t>YPF.SC.LH-262</t>
  </si>
  <si>
    <t>YPF.SC.LH.a-401</t>
  </si>
  <si>
    <t>YPF.SC.LH.a-436</t>
  </si>
  <si>
    <t>LH-436[00]</t>
  </si>
  <si>
    <t>YPF.SC.CG.a-141</t>
  </si>
  <si>
    <t>YPF.SC.CG-9</t>
  </si>
  <si>
    <t>YPF.SC.CG-84</t>
  </si>
  <si>
    <t>CG-84[00]</t>
  </si>
  <si>
    <t>YPF.SC.CG-101</t>
  </si>
  <si>
    <t>CG-101[00]</t>
  </si>
  <si>
    <t>YPF.SC.CG-612</t>
  </si>
  <si>
    <t>CG-612[00]a</t>
  </si>
  <si>
    <t>YPF.SC.CnE-970</t>
  </si>
  <si>
    <t>CnE-970[00]</t>
  </si>
  <si>
    <t>YPF.SC.CG-769</t>
  </si>
  <si>
    <t>CG-769[00]</t>
  </si>
  <si>
    <t>YPF.SC.CG-810</t>
  </si>
  <si>
    <t>CG-810[00]</t>
  </si>
  <si>
    <t>YPF.SC.CG-830</t>
  </si>
  <si>
    <t>CG-830[00]</t>
  </si>
  <si>
    <t>YPF.SC.CnE-1246(d)</t>
  </si>
  <si>
    <t>CnE-1246[00](d)</t>
  </si>
  <si>
    <t>YPF.SC.CnE-1270</t>
  </si>
  <si>
    <t>CnE-1270[00]a</t>
  </si>
  <si>
    <t>YPF.SC.CnE-1239</t>
  </si>
  <si>
    <t>CnE-1239[00]</t>
  </si>
  <si>
    <t>YPF.SC.CnE-1319</t>
  </si>
  <si>
    <t>CnE-1319[00]</t>
  </si>
  <si>
    <t>YPF.SC.CnE-1329(d)</t>
  </si>
  <si>
    <t>CnE-1329[00](d)</t>
  </si>
  <si>
    <t>YPF.SC.LH-135</t>
  </si>
  <si>
    <t>LH-135[00]</t>
  </si>
  <si>
    <t>YPF.SC.LH-214</t>
  </si>
  <si>
    <t>LH-214[00]</t>
  </si>
  <si>
    <t>YPF.SC.LH-608</t>
  </si>
  <si>
    <t>LH-608[00]</t>
  </si>
  <si>
    <t>YPF.SC.LH-632</t>
  </si>
  <si>
    <t>LH-632[00]</t>
  </si>
  <si>
    <t>YPF.SC.LH-650</t>
  </si>
  <si>
    <t>LH-650[00]</t>
  </si>
  <si>
    <t>YPF.SC.LH-717</t>
  </si>
  <si>
    <t>LH-717[00]</t>
  </si>
  <si>
    <t>YPF.SC.CG-90</t>
  </si>
  <si>
    <t>CG-90[00]</t>
  </si>
  <si>
    <t>YPF.SC.CG-150</t>
  </si>
  <si>
    <t>CG-150[00]</t>
  </si>
  <si>
    <t>YPF.SC.CG-218</t>
  </si>
  <si>
    <t>CG-218[00]</t>
  </si>
  <si>
    <t>YPF.SC.CG.a-414</t>
  </si>
  <si>
    <t>CG-414[00]</t>
  </si>
  <si>
    <t>YPF.SC.CG-438</t>
  </si>
  <si>
    <t>CG-438[00]</t>
  </si>
  <si>
    <t>YPF.SC.CG-450</t>
  </si>
  <si>
    <t>CG-450[00]</t>
  </si>
  <si>
    <t>YPF.SC.ECa.x-4</t>
  </si>
  <si>
    <t>ECa-4[00]</t>
  </si>
  <si>
    <t>YPF.SC.CnE-215</t>
  </si>
  <si>
    <t>CnE-215[00]</t>
  </si>
  <si>
    <t>YPF.SC.CnE-449</t>
  </si>
  <si>
    <t>CnE-449[00]</t>
  </si>
  <si>
    <t>YPF.SC.CnE-510</t>
  </si>
  <si>
    <t>CnE-510[00]</t>
  </si>
  <si>
    <t>YPF.SC.CnE-644</t>
  </si>
  <si>
    <t>CnE-644[00]</t>
  </si>
  <si>
    <t>YPF.SC.CnE-676</t>
  </si>
  <si>
    <t>CnE-676[00]</t>
  </si>
  <si>
    <t>YPF.SC.CnE.a-782</t>
  </si>
  <si>
    <t>CnE-782[00]</t>
  </si>
  <si>
    <t>YPF.SC.CnE-797</t>
  </si>
  <si>
    <t>CnE-797[00]</t>
  </si>
  <si>
    <t>YPF.SC.CnE-847</t>
  </si>
  <si>
    <t>CnE-847[00]</t>
  </si>
  <si>
    <t>YPF.SC.BB-50</t>
  </si>
  <si>
    <t>BB-50[00]</t>
  </si>
  <si>
    <t>YPF.SC.BB-99</t>
  </si>
  <si>
    <t>BB-99[00]</t>
  </si>
  <si>
    <t>YPF.SC.BB-101</t>
  </si>
  <si>
    <t>BB-101[00]</t>
  </si>
  <si>
    <t>YPF.SC.CES.x-1</t>
  </si>
  <si>
    <t>CES-1[00]</t>
  </si>
  <si>
    <t>YPF.SC.CnE-842(I)</t>
  </si>
  <si>
    <t>CnE-842(I)[00]</t>
  </si>
  <si>
    <t>YPF.SC.BB.a-36</t>
  </si>
  <si>
    <t>YPF.SC.CG-496</t>
  </si>
  <si>
    <t>CG-496[00]</t>
  </si>
  <si>
    <t>YPF.SC.LH-110</t>
  </si>
  <si>
    <t>LH-110[00]</t>
  </si>
  <si>
    <t>YPF.SC.CG.a-23</t>
  </si>
  <si>
    <t>YPF.SC.CG.a-124</t>
  </si>
  <si>
    <t>YPF.SC.CG.a-131</t>
  </si>
  <si>
    <t>YPF.SC.CG-45</t>
  </si>
  <si>
    <t>CG-45[00]</t>
  </si>
  <si>
    <t>YPF.SC.CG.a-126</t>
  </si>
  <si>
    <t>CG-126[00]</t>
  </si>
  <si>
    <t>YPF.SC.LH-213</t>
  </si>
  <si>
    <t>LH-213[00]</t>
  </si>
  <si>
    <t>YPF.SC.LH-221</t>
  </si>
  <si>
    <t>LH-221[00]</t>
  </si>
  <si>
    <t>YPF.SC.LH-271</t>
  </si>
  <si>
    <t>LH-271[00]</t>
  </si>
  <si>
    <t>YPF.SC.LH-509</t>
  </si>
  <si>
    <t>LH-509[00]</t>
  </si>
  <si>
    <t>YPF.SC.LH-585</t>
  </si>
  <si>
    <t>LH-585[00]</t>
  </si>
  <si>
    <t>YPF.SC.LH-855</t>
  </si>
  <si>
    <t>LH-855[00]</t>
  </si>
  <si>
    <t>YPF.SC.CG-88</t>
  </si>
  <si>
    <t>CG-88[00]</t>
  </si>
  <si>
    <t>YPF.SC.CG-229</t>
  </si>
  <si>
    <t>YPF.SC.CG.a-290</t>
  </si>
  <si>
    <t>CG-290[00]</t>
  </si>
  <si>
    <t>YPF.SC.CG-485</t>
  </si>
  <si>
    <t>CG-485[00]</t>
  </si>
  <si>
    <t>YPF.SC.ECa.x-2</t>
  </si>
  <si>
    <t>Parado Zona Alejada</t>
  </si>
  <si>
    <t>YPF.SC.CnE-287</t>
  </si>
  <si>
    <t>YPF.SC.CnE.a-483</t>
  </si>
  <si>
    <t>CnE-483[00]</t>
  </si>
  <si>
    <t>YPF.SC.CnE.a-591</t>
  </si>
  <si>
    <t>CnE-591[00]</t>
  </si>
  <si>
    <t>YPF.SC.CnE.a-612</t>
  </si>
  <si>
    <t>CnE-612[00]</t>
  </si>
  <si>
    <t>YPF.SC.CnE-638</t>
  </si>
  <si>
    <t>CnE-638[00]</t>
  </si>
  <si>
    <t>YPF.SC.CnE-674</t>
  </si>
  <si>
    <t>CnE-674[00]</t>
  </si>
  <si>
    <t>YPF.SC.CnE-738</t>
  </si>
  <si>
    <t>CnE-738[00]</t>
  </si>
  <si>
    <t>YPF.SC.LH.a-1026</t>
  </si>
  <si>
    <t>YPF.SC.LH-1052</t>
  </si>
  <si>
    <t>LH-1052[00]a</t>
  </si>
  <si>
    <t>YPF.SC.LH-1064</t>
  </si>
  <si>
    <t>LH-1064[00]a</t>
  </si>
  <si>
    <t>YPF.SC.CG-559</t>
  </si>
  <si>
    <t>CG-559[00]a</t>
  </si>
  <si>
    <t>A Abandonar Por Alta Rap</t>
  </si>
  <si>
    <t>YPF.SC.LH-1146</t>
  </si>
  <si>
    <t>LH-1146[00]a</t>
  </si>
  <si>
    <t>YPF.SC.CnE.a-952</t>
  </si>
  <si>
    <t>CnE-952[00]a</t>
  </si>
  <si>
    <t>YPF.SC.LH-1173</t>
  </si>
  <si>
    <t>LH-1173[00]</t>
  </si>
  <si>
    <t>YPF.SC.CnE-1038</t>
  </si>
  <si>
    <t>CnE-1038[00]</t>
  </si>
  <si>
    <t>YPF.SC.BB-110</t>
  </si>
  <si>
    <t>BB-110</t>
  </si>
  <si>
    <t>YPF.SC.CG.a-814</t>
  </si>
  <si>
    <t>CG.a-814[00]</t>
  </si>
  <si>
    <t>YPF.SC.CG-871</t>
  </si>
  <si>
    <t>CG-871[00]</t>
  </si>
  <si>
    <t>YPF.SC.CnE-1255</t>
  </si>
  <si>
    <t>CnE-1255[00]</t>
  </si>
  <si>
    <t>YPF.SC.CnE-1225</t>
  </si>
  <si>
    <t>CnE-1225[00]a</t>
  </si>
  <si>
    <t>YPF.SC.CnE-1291</t>
  </si>
  <si>
    <t>CnE-1291[00]</t>
  </si>
  <si>
    <t>YPF.SC.CnE-1292</t>
  </si>
  <si>
    <t>CnE-1292[00]</t>
  </si>
  <si>
    <t>YPF.SC.LC-975</t>
  </si>
  <si>
    <t>LC-975[00]a</t>
  </si>
  <si>
    <t>YPF.SC.LH-1160</t>
  </si>
  <si>
    <t>LH-1160[00]</t>
  </si>
  <si>
    <t>YPF.SC.O-202</t>
  </si>
  <si>
    <t>YPF.SC.LH-216</t>
  </si>
  <si>
    <t>LH-216[00]</t>
  </si>
  <si>
    <t>YPF.SC.LH-246</t>
  </si>
  <si>
    <t>LH-246[00]</t>
  </si>
  <si>
    <t>YPF.SC.LH-644</t>
  </si>
  <si>
    <t>LH-644[00]</t>
  </si>
  <si>
    <t>YPF.SC.LH-799</t>
  </si>
  <si>
    <t>LH-799[00]</t>
  </si>
  <si>
    <t>YPF.SC.LH-863</t>
  </si>
  <si>
    <t>LH-863[00]</t>
  </si>
  <si>
    <t>YPF.SC.LH-904</t>
  </si>
  <si>
    <t>LH-904[00]</t>
  </si>
  <si>
    <t>YPF.SC.CG-193</t>
  </si>
  <si>
    <t>CG-193[00]</t>
  </si>
  <si>
    <t>YPF.SC.CG-203</t>
  </si>
  <si>
    <t>CG-203[00]</t>
  </si>
  <si>
    <t>YPF.SC.CG-214</t>
  </si>
  <si>
    <t>YPF.SC.N-42</t>
  </si>
  <si>
    <t>YPF.SC.CnE-51</t>
  </si>
  <si>
    <t>CnE-51[00]</t>
  </si>
  <si>
    <t>YPF.SC.CnE-170</t>
  </si>
  <si>
    <t>CnE-170[00]</t>
  </si>
  <si>
    <t>YPF.SC.CnE-224</t>
  </si>
  <si>
    <t>YPF.SC.CnE-230</t>
  </si>
  <si>
    <t>CnE-230[00]</t>
  </si>
  <si>
    <t>YPF.SC.CnE-267</t>
  </si>
  <si>
    <t>CnE-267[00]</t>
  </si>
  <si>
    <t>YPF.SC.CnE-311</t>
  </si>
  <si>
    <t>CnE-311[00]</t>
  </si>
  <si>
    <t>YPF.SC.CnE.a-347</t>
  </si>
  <si>
    <t>CnE-347[00]</t>
  </si>
  <si>
    <t>YPF.SC.CnE-520</t>
  </si>
  <si>
    <t>CnE-520[00]</t>
  </si>
  <si>
    <t>YPF.SC.CnE-633</t>
  </si>
  <si>
    <t>CnE-633[00]</t>
  </si>
  <si>
    <t>YPF.SC.CnE-826</t>
  </si>
  <si>
    <t>CnE-826[00]</t>
  </si>
  <si>
    <t>YPF.SC.LH-963</t>
  </si>
  <si>
    <t>LH-963[00]</t>
  </si>
  <si>
    <t>YPF.SC.BB.a-1</t>
  </si>
  <si>
    <t>YPF.SC.LH-280</t>
  </si>
  <si>
    <t>LH-280[00]</t>
  </si>
  <si>
    <t>YPF.SC.CG.a-298</t>
  </si>
  <si>
    <t>CG-298[00]</t>
  </si>
  <si>
    <t>YPF.SC.CG.a-38</t>
  </si>
  <si>
    <t>YPF.SC.CG-522</t>
  </si>
  <si>
    <t>CG-522[00]a</t>
  </si>
  <si>
    <t>YPF.SC.LH-988</t>
  </si>
  <si>
    <t>LH-988[00]a</t>
  </si>
  <si>
    <t>YPF.SC.CG-592</t>
  </si>
  <si>
    <t>CG-592[00]a</t>
  </si>
  <si>
    <t>YPF.SC.LH-1121</t>
  </si>
  <si>
    <t>LH-1121[00]a</t>
  </si>
  <si>
    <t>YPF.SC.CG-675</t>
  </si>
  <si>
    <t>CG-675[00]</t>
  </si>
  <si>
    <t>YPF.SC.CG-698</t>
  </si>
  <si>
    <t>CG-698[00]</t>
  </si>
  <si>
    <t>YPF.SC.CnE-1049</t>
  </si>
  <si>
    <t>CnE-1049[00]</t>
  </si>
  <si>
    <t>YPF.SC.CnE-1057</t>
  </si>
  <si>
    <t>CnE-1057[00]</t>
  </si>
  <si>
    <t>YPF.SC.CnE-1135</t>
  </si>
  <si>
    <t>CnE-1135[00]</t>
  </si>
  <si>
    <t>YPF.SC.CnE-1203</t>
  </si>
  <si>
    <t>CnE-1203[00]</t>
  </si>
  <si>
    <t>YPF.SC.BB-132</t>
  </si>
  <si>
    <t>BB-132[00]</t>
  </si>
  <si>
    <t>YPF.SC.CnE-1229</t>
  </si>
  <si>
    <t>CnE-1229[00]a</t>
  </si>
  <si>
    <t>YPF.SC.BB-136</t>
  </si>
  <si>
    <t>BB-136[00]</t>
  </si>
  <si>
    <t>YPF.SC.BB-175</t>
  </si>
  <si>
    <t>BB-175[00]</t>
  </si>
  <si>
    <t>YPF.SC.BB-177</t>
  </si>
  <si>
    <t>BB-177[00]</t>
  </si>
  <si>
    <t>YPF.SC.LH-103</t>
  </si>
  <si>
    <t>LH-103[00]</t>
  </si>
  <si>
    <t>YPF.SC.LH-270</t>
  </si>
  <si>
    <t>YPF.SC.CG.a-24</t>
  </si>
  <si>
    <t>CG-24[00]</t>
  </si>
  <si>
    <t>YPF.SC.CnE-885</t>
  </si>
  <si>
    <t>CnE-885[00]a</t>
  </si>
  <si>
    <t>YPF.SC.CnE-887</t>
  </si>
  <si>
    <t>CnE-887[00]</t>
  </si>
  <si>
    <t>YPF.SC.CG-562</t>
  </si>
  <si>
    <t>CG-562[00]a</t>
  </si>
  <si>
    <t>YPF.SC.LH-1126</t>
  </si>
  <si>
    <t>LH-1126[00]a</t>
  </si>
  <si>
    <t>YPF.SC.CG-678</t>
  </si>
  <si>
    <t>CG-678[00]</t>
  </si>
  <si>
    <t>YPF.SC.CnE-1045</t>
  </si>
  <si>
    <t>CnE-1045[00]</t>
  </si>
  <si>
    <t>YPF.SC.LH-1211</t>
  </si>
  <si>
    <t>LH-1211[00]</t>
  </si>
  <si>
    <t>YPF.SC.CG-867</t>
  </si>
  <si>
    <t>CG-867[00]</t>
  </si>
  <si>
    <t>YPF.SC.CnE-1286</t>
  </si>
  <si>
    <t>CnE-1286[00]a</t>
  </si>
  <si>
    <t>YPF.SC.CG-826</t>
  </si>
  <si>
    <t>CG-826[00]a</t>
  </si>
  <si>
    <t>YPF.SC.CnE-1320(d)</t>
  </si>
  <si>
    <t>CnE-1320(d)[]a</t>
  </si>
  <si>
    <t>YPF.SC.CnE-1332</t>
  </si>
  <si>
    <t>CnE-1332[00]</t>
  </si>
  <si>
    <t>YPF.SC.LH-621</t>
  </si>
  <si>
    <t>LH-621[00]</t>
  </si>
  <si>
    <t>YPF.SC.LH-627</t>
  </si>
  <si>
    <t>LH-627[00]</t>
  </si>
  <si>
    <t>YPF.SC.LH-804</t>
  </si>
  <si>
    <t>LH-804[00]</t>
  </si>
  <si>
    <t>YPF.SC.LH-881</t>
  </si>
  <si>
    <t>LH-881[00]</t>
  </si>
  <si>
    <t>YPF.SC.LH-890</t>
  </si>
  <si>
    <t>LH-890[00]</t>
  </si>
  <si>
    <t>YPF.SC.LH-938</t>
  </si>
  <si>
    <t>LH-938[00]</t>
  </si>
  <si>
    <t>YPF.SC.CG-60</t>
  </si>
  <si>
    <t>CG-60[00]</t>
  </si>
  <si>
    <t>YPF.SC.CG-391</t>
  </si>
  <si>
    <t>CG-391[00]</t>
  </si>
  <si>
    <t>YPF.SC.CG-398</t>
  </si>
  <si>
    <t>CG-398[00]</t>
  </si>
  <si>
    <t>YPF.SC.CG-444</t>
  </si>
  <si>
    <t>CG-444[00]</t>
  </si>
  <si>
    <t>YPF.SC.CG-488</t>
  </si>
  <si>
    <t>CG-488[00]</t>
  </si>
  <si>
    <t>YPF.SC.LC-20</t>
  </si>
  <si>
    <t>LC-20[00]</t>
  </si>
  <si>
    <t>YPF.SC.LH-144</t>
  </si>
  <si>
    <t>LH-144[00]</t>
  </si>
  <si>
    <t>YPF.SC.LH-254</t>
  </si>
  <si>
    <t>LH-254[00]</t>
  </si>
  <si>
    <t>YPF.SC.LH-776</t>
  </si>
  <si>
    <t>LH-776[00]</t>
  </si>
  <si>
    <t>YPF.SC.LH.a-839</t>
  </si>
  <si>
    <t>LH-839[00]</t>
  </si>
  <si>
    <t>YPF.SC.LH-876</t>
  </si>
  <si>
    <t>LH-876[00]</t>
  </si>
  <si>
    <t>YPF.SC.CG.a-3</t>
  </si>
  <si>
    <t>YPF.SC.CG-83</t>
  </si>
  <si>
    <t>CG-83[00]</t>
  </si>
  <si>
    <t>YPF.SC.CG.a-185</t>
  </si>
  <si>
    <t>CG-185[00]</t>
  </si>
  <si>
    <t>YPF.SC.CG-365</t>
  </si>
  <si>
    <t>CG-365[00]</t>
  </si>
  <si>
    <t>YPF.SC.CG.a-413</t>
  </si>
  <si>
    <t>YPF.SC.CG-719</t>
  </si>
  <si>
    <t>CG-719[00]</t>
  </si>
  <si>
    <t>YPF.SC.CG-839</t>
  </si>
  <si>
    <t>CG-839[00]</t>
  </si>
  <si>
    <t>YPF.SC.CG-894</t>
  </si>
  <si>
    <t>CG-894[00]</t>
  </si>
  <si>
    <t>YPF.SC.CG-917(d)</t>
  </si>
  <si>
    <t>CG-917[00](d)</t>
  </si>
  <si>
    <t>YPF.SC.CnE-1337</t>
  </si>
  <si>
    <t>CnE-1337[00]</t>
  </si>
  <si>
    <t>YPF.SC.CnE.a-1438</t>
  </si>
  <si>
    <t>CnE.a-1438[00]a</t>
  </si>
  <si>
    <t>YPF.SC.LH.a-30</t>
  </si>
  <si>
    <t>YPF.SC.CnE-919</t>
  </si>
  <si>
    <t>CnE-919[00]a</t>
  </si>
  <si>
    <t>YPF.SC.LH-1118</t>
  </si>
  <si>
    <t>LH-1118[00]a</t>
  </si>
  <si>
    <t>YPF.SC.LH-1111</t>
  </si>
  <si>
    <t>LH-1111[00]a</t>
  </si>
  <si>
    <t>YPF.SC.CnE-948</t>
  </si>
  <si>
    <t>CnE-948[00]a</t>
  </si>
  <si>
    <t>YPF.SC.LH-1156</t>
  </si>
  <si>
    <t>LH-1156[00]a</t>
  </si>
  <si>
    <t>YPF.SC.CnE-968</t>
  </si>
  <si>
    <t>CnE-968[00]</t>
  </si>
  <si>
    <t>YPF.SC.CG-674</t>
  </si>
  <si>
    <t>CG-674[00]</t>
  </si>
  <si>
    <t>YPF.SC.CnE-997</t>
  </si>
  <si>
    <t>CnE-997[00]</t>
  </si>
  <si>
    <t>YPF.SC.LH-1191</t>
  </si>
  <si>
    <t>LH-1191[00]</t>
  </si>
  <si>
    <t>YPF.SC.CG-701</t>
  </si>
  <si>
    <t>CG-701[00]</t>
  </si>
  <si>
    <t>YPF.SC.CnE-1085</t>
  </si>
  <si>
    <t>CnE-1085[00]a</t>
  </si>
  <si>
    <t>YPF.SC.CnE-1093</t>
  </si>
  <si>
    <t>CnE-1093[00]</t>
  </si>
  <si>
    <t>YPF.SC.CG-722</t>
  </si>
  <si>
    <t>CG-722[00]</t>
  </si>
  <si>
    <t>YPF.SC.LH-1206</t>
  </si>
  <si>
    <t>LH-1206[00]</t>
  </si>
  <si>
    <t>YPF.SC.CG-801</t>
  </si>
  <si>
    <t>CG-801[00]</t>
  </si>
  <si>
    <t>YPF.SC.LH-1216</t>
  </si>
  <si>
    <t>LH-1216[00]</t>
  </si>
  <si>
    <t>YPF.SC.CG-837</t>
  </si>
  <si>
    <t>CG-837[00]</t>
  </si>
  <si>
    <t>YPF.SC.CnE-1100</t>
  </si>
  <si>
    <t>CnE-1100[00]</t>
  </si>
  <si>
    <t>YPF.SC.CnE-1187</t>
  </si>
  <si>
    <t>CnE-1187[00]</t>
  </si>
  <si>
    <t>YPF.SC.CnE-1220</t>
  </si>
  <si>
    <t>CnE-1220[00]</t>
  </si>
  <si>
    <t>YPF.SC.CG-864</t>
  </si>
  <si>
    <t>CG-864[00]</t>
  </si>
  <si>
    <t>YPF.SC.LH-1128</t>
  </si>
  <si>
    <t>LH-1128[00]a</t>
  </si>
  <si>
    <t>YPF.SC.CG-616</t>
  </si>
  <si>
    <t>CG-616[00]</t>
  </si>
  <si>
    <t>YPF.SC.CnE-992</t>
  </si>
  <si>
    <t>CnE-992[00]</t>
  </si>
  <si>
    <t>YPF.SC.CG-645</t>
  </si>
  <si>
    <t>CG-645[00]</t>
  </si>
  <si>
    <t>YPF.SC.CG-660</t>
  </si>
  <si>
    <t>CG-660[00]</t>
  </si>
  <si>
    <t>YPF.SC.CG-676</t>
  </si>
  <si>
    <t>CG-676[00]</t>
  </si>
  <si>
    <t>YPF.SC.CnE-1051</t>
  </si>
  <si>
    <t>CnE-1051[00]</t>
  </si>
  <si>
    <t>YPF.SC.CG-746</t>
  </si>
  <si>
    <t>CG-746[00]</t>
  </si>
  <si>
    <t>YPF.SC.CG.a-760</t>
  </si>
  <si>
    <t>CG.a-760[00]</t>
  </si>
  <si>
    <t>YPF.SC.BB-111</t>
  </si>
  <si>
    <t>BB-111[00]</t>
  </si>
  <si>
    <t>YPF.SC.CG-744</t>
  </si>
  <si>
    <t>CG-744[00]</t>
  </si>
  <si>
    <t>YPF.SC.CG-898</t>
  </si>
  <si>
    <t>CG-898[00]a</t>
  </si>
  <si>
    <t>YPF.SC.CnE-1278</t>
  </si>
  <si>
    <t>CnE-1278[00]</t>
  </si>
  <si>
    <t>YPF.SC.CnE-1293</t>
  </si>
  <si>
    <t>CnE-1293[00]</t>
  </si>
  <si>
    <t>YPF.SC.CG-907</t>
  </si>
  <si>
    <t>CG-907[00]</t>
  </si>
  <si>
    <t>YPF.SC.CnE-1370</t>
  </si>
  <si>
    <t>CnE-1370[00]</t>
  </si>
  <si>
    <t>YPF.SC.CG-975</t>
  </si>
  <si>
    <t>CG-975[00]a</t>
  </si>
  <si>
    <t>YPF.SC.LH-523</t>
  </si>
  <si>
    <t>LH-523[00]</t>
  </si>
  <si>
    <t>YPF.SC.LH-535</t>
  </si>
  <si>
    <t>YPF.SC.CG.a-6</t>
  </si>
  <si>
    <t>CG-6[00]</t>
  </si>
  <si>
    <t>YPF.SC.CG-191</t>
  </si>
  <si>
    <t>CG-191[00]</t>
  </si>
  <si>
    <t>YPF.SC.LC-634</t>
  </si>
  <si>
    <t>LC-634[00]a</t>
  </si>
  <si>
    <t>YPF.SC.CnE-39</t>
  </si>
  <si>
    <t>CnE-39[00]</t>
  </si>
  <si>
    <t>YPF.SC.CnE-110</t>
  </si>
  <si>
    <t>CnE-110[00]</t>
  </si>
  <si>
    <t>YPF.SC.CnE-141</t>
  </si>
  <si>
    <t>CnE-141[00]</t>
  </si>
  <si>
    <t>YPF.SC.CnE-220</t>
  </si>
  <si>
    <t>CnE-220[00]</t>
  </si>
  <si>
    <t>YPF.SC.CnE-255</t>
  </si>
  <si>
    <t>CnE-255[00]</t>
  </si>
  <si>
    <t>YPF.SC.CnE-257</t>
  </si>
  <si>
    <t>CnE-257[00]</t>
  </si>
  <si>
    <t>YPF.SC.CnE-323</t>
  </si>
  <si>
    <t>CnE-323[00]</t>
  </si>
  <si>
    <t>YPF.SC.CnE-407</t>
  </si>
  <si>
    <t>CnE-407[00]</t>
  </si>
  <si>
    <t>YPF.SC.CnE-410</t>
  </si>
  <si>
    <t>CnE-410[00]</t>
  </si>
  <si>
    <t>YPF.SC.CnE-445</t>
  </si>
  <si>
    <t>CnE-445[00]</t>
  </si>
  <si>
    <t>YPF.SC.LH.a-2</t>
  </si>
  <si>
    <t>LH.a-2[00]</t>
  </si>
  <si>
    <t>YPF.SC.LH-100</t>
  </si>
  <si>
    <t>LH-100[00]</t>
  </si>
  <si>
    <t>YPF.SC.LH.a-506</t>
  </si>
  <si>
    <t>LH-506[00]</t>
  </si>
  <si>
    <t>YPF.SC.LH-584</t>
  </si>
  <si>
    <t>LH-584[00]</t>
  </si>
  <si>
    <t>YPF.SC.LH-604</t>
  </si>
  <si>
    <t>LH-604[00]</t>
  </si>
  <si>
    <t>YPF.SC.LH-702</t>
  </si>
  <si>
    <t>LH-702[00]</t>
  </si>
  <si>
    <t>YPF.SC.LH.a-872</t>
  </si>
  <si>
    <t>LH-872[00]</t>
  </si>
  <si>
    <t>YPF.SC.LH-877</t>
  </si>
  <si>
    <t>LH-877[00]</t>
  </si>
  <si>
    <t>YPF.SC.CG-114</t>
  </si>
  <si>
    <t>CG-114[00]</t>
  </si>
  <si>
    <t>YPF.SC.CG-181</t>
  </si>
  <si>
    <t>CG-181[00]</t>
  </si>
  <si>
    <t>YPF.SC.CG-227</t>
  </si>
  <si>
    <t>CG-227[00]</t>
  </si>
  <si>
    <t>YPF.SC.CG-242</t>
  </si>
  <si>
    <t>CG-242[00]</t>
  </si>
  <si>
    <t>YPF.SC.CG-378</t>
  </si>
  <si>
    <t>CG-378[00]</t>
  </si>
  <si>
    <t>YPF.SC.CG-425</t>
  </si>
  <si>
    <t>CG-425[00]</t>
  </si>
  <si>
    <t>YPF.SC.CG-428</t>
  </si>
  <si>
    <t>CG-428[00]</t>
  </si>
  <si>
    <t>YPF.SC.CG-446</t>
  </si>
  <si>
    <t>CG-446[00]</t>
  </si>
  <si>
    <t>YPF.SC.N-51</t>
  </si>
  <si>
    <t>N-51[00]</t>
  </si>
  <si>
    <t>YPF.SC.CnE-54</t>
  </si>
  <si>
    <t>CnE-54[00]</t>
  </si>
  <si>
    <t>YPF.SC.CnE-133</t>
  </si>
  <si>
    <t>CnE-133[00]</t>
  </si>
  <si>
    <t>YPF.SC.CnE-357</t>
  </si>
  <si>
    <t>CnE-357[00]</t>
  </si>
  <si>
    <t>YPF.SC.CnE-542</t>
  </si>
  <si>
    <t>CnE-542[00]</t>
  </si>
  <si>
    <t>YPF.SC.CnE-648</t>
  </si>
  <si>
    <t>CnE-648[00]</t>
  </si>
  <si>
    <t>YPF.SC.N-53</t>
  </si>
  <si>
    <t>YPF.SC.CnE-12</t>
  </si>
  <si>
    <t>CnE-12[00]</t>
  </si>
  <si>
    <t>YPF.SC.CnE-37</t>
  </si>
  <si>
    <t>CnE-37[00]</t>
  </si>
  <si>
    <t>YPF.SC.CnE-68</t>
  </si>
  <si>
    <t>CnE-68[00]</t>
  </si>
  <si>
    <t>YPF.SC.CnE-111</t>
  </si>
  <si>
    <t>CnE-111[00]</t>
  </si>
  <si>
    <t>YPF.SC.CnE-114</t>
  </si>
  <si>
    <t>YPF.SC.CnE-322</t>
  </si>
  <si>
    <t>CnE-322[00]</t>
  </si>
  <si>
    <t>YPF.SC.CnE-328</t>
  </si>
  <si>
    <t>CnE-328[00]</t>
  </si>
  <si>
    <t>YPF.SC.CnE-335</t>
  </si>
  <si>
    <t>CnE-335[00]</t>
  </si>
  <si>
    <t>YPF.SC.CnE-336</t>
  </si>
  <si>
    <t>CnE-336[00]</t>
  </si>
  <si>
    <t>YPF.SC.CnE-363</t>
  </si>
  <si>
    <t>CnE-363[00]</t>
  </si>
  <si>
    <t>YPF.SC.CnE-425</t>
  </si>
  <si>
    <t>CnE-425[00]</t>
  </si>
  <si>
    <t>YPF.SC.CnE-545</t>
  </si>
  <si>
    <t>CnE-545[00]</t>
  </si>
  <si>
    <t>YPF.SC.CnE-546</t>
  </si>
  <si>
    <t>CnE-546[00]</t>
  </si>
  <si>
    <t>YPF.SC.CnE-619</t>
  </si>
  <si>
    <t>CnE-619[00]</t>
  </si>
  <si>
    <t>YPF.SC.CnE-659</t>
  </si>
  <si>
    <t>CnE-659[00]</t>
  </si>
  <si>
    <t>YPF.SC.CnE-743</t>
  </si>
  <si>
    <t>CnE-743[00]</t>
  </si>
  <si>
    <t>YPF.SC.CnE-841</t>
  </si>
  <si>
    <t>CnE-841[00]</t>
  </si>
  <si>
    <t>YPF.SC.CnE-457</t>
  </si>
  <si>
    <t>CnE-457[00]</t>
  </si>
  <si>
    <t>YPF.SC.CnE-517</t>
  </si>
  <si>
    <t>CnE-517[00]</t>
  </si>
  <si>
    <t>YPF.SC.CnE-637</t>
  </si>
  <si>
    <t>CnE-637[00]</t>
  </si>
  <si>
    <t>YPF.SC.CnE-684</t>
  </si>
  <si>
    <t>YPF.SC.CnE-726</t>
  </si>
  <si>
    <t>CnE-726[00]</t>
  </si>
  <si>
    <t>YPF.SC.CnE-751</t>
  </si>
  <si>
    <t>CnE-751[00]</t>
  </si>
  <si>
    <t>YPF.SC.CnE-777</t>
  </si>
  <si>
    <t>CnE-777[00]</t>
  </si>
  <si>
    <t>YPF.SC.CnE-784</t>
  </si>
  <si>
    <t>CnE-784[00]</t>
  </si>
  <si>
    <t>YPF.SC.CnE-818</t>
  </si>
  <si>
    <t>CnE-818[00]</t>
  </si>
  <si>
    <t>YPF.SC.LH.a-43</t>
  </si>
  <si>
    <t>YPF.SC.CnE-857</t>
  </si>
  <si>
    <t>CnE-857[00]</t>
  </si>
  <si>
    <t>YPF.SC.LH.a-97</t>
  </si>
  <si>
    <t>LH-97[00]</t>
  </si>
  <si>
    <t>YPF.SC.LH-238</t>
  </si>
  <si>
    <t>YPF.SC.BO.x-1</t>
  </si>
  <si>
    <t>YPF.SC.CnE-866</t>
  </si>
  <si>
    <t>CnE-866[00]</t>
  </si>
  <si>
    <t>YPF.SC.LC-635</t>
  </si>
  <si>
    <t>YPF.SC.CnE-731</t>
  </si>
  <si>
    <t>CnE-731[00]</t>
  </si>
  <si>
    <t>YPF.SC.CnE.a-788</t>
  </si>
  <si>
    <t>CnE-788[00]</t>
  </si>
  <si>
    <t>YPF.SC.CnE-820</t>
  </si>
  <si>
    <t>CnE-820[00]</t>
  </si>
  <si>
    <t>YPF.SC.BB.a-35</t>
  </si>
  <si>
    <t>BB-35[00]</t>
  </si>
  <si>
    <t>YPF.SC.CnE.a-127</t>
  </si>
  <si>
    <t>CnE-127[00]</t>
  </si>
  <si>
    <t>YPF.SC.CnE.a-289</t>
  </si>
  <si>
    <t>YPF.SC.LH-112</t>
  </si>
  <si>
    <t>YPF.SC.LH-544</t>
  </si>
  <si>
    <t>LH-544[00]</t>
  </si>
  <si>
    <t>YPF.SC.CnE.a-4</t>
  </si>
  <si>
    <t>YPF.SC.LH-965</t>
  </si>
  <si>
    <t>LH-965[00]</t>
  </si>
  <si>
    <t>YPF.SC.LH-199</t>
  </si>
  <si>
    <t>YPF.SC.LH-697</t>
  </si>
  <si>
    <t>LH-697[00]</t>
  </si>
  <si>
    <t>YPF.SC.LH-828</t>
  </si>
  <si>
    <t>LH-828[00]</t>
  </si>
  <si>
    <t>YPF.SC.LH-920</t>
  </si>
  <si>
    <t>LH-920[00]</t>
  </si>
  <si>
    <t>YPF.SC.LH-927</t>
  </si>
  <si>
    <t>LH-927[00]</t>
  </si>
  <si>
    <t>YPF.SC.CG-72</t>
  </si>
  <si>
    <t>CG-72[00]</t>
  </si>
  <si>
    <t>YPF.SC.CG-91</t>
  </si>
  <si>
    <t>CG-91[00]</t>
  </si>
  <si>
    <t>YPF.SC.CG-215</t>
  </si>
  <si>
    <t>CG-215[00]</t>
  </si>
  <si>
    <t>YPF.SC.CG-385</t>
  </si>
  <si>
    <t>CG-385[00]</t>
  </si>
  <si>
    <t>YPF.SC.CG-442</t>
  </si>
  <si>
    <t>CG-442[00]</t>
  </si>
  <si>
    <t>YPF.SC.CG-506</t>
  </si>
  <si>
    <t>CG-506[00]</t>
  </si>
  <si>
    <t>YPF.SC.LC-454</t>
  </si>
  <si>
    <t>LC-454[00]</t>
  </si>
  <si>
    <t>YPF.SC.N-43</t>
  </si>
  <si>
    <t>YPF.SC.CnE-105</t>
  </si>
  <si>
    <t>CnE-105[00]</t>
  </si>
  <si>
    <t>YPF.SC.CnE-142</t>
  </si>
  <si>
    <t>YPF.SC.CnE.a-291</t>
  </si>
  <si>
    <t>CnE-291[00]</t>
  </si>
  <si>
    <t>YPF.SC.CnE-334</t>
  </si>
  <si>
    <t>CnE-334[00]</t>
  </si>
  <si>
    <t>YPF.SC.CnE-399</t>
  </si>
  <si>
    <t>CnE-399[00]</t>
  </si>
  <si>
    <t>YPF.SC.CnE-526</t>
  </si>
  <si>
    <t>CnE-526[00]</t>
  </si>
  <si>
    <t>YPF.SC.CnE-557</t>
  </si>
  <si>
    <t>CnE-557[00]</t>
  </si>
  <si>
    <t>YPF.SC.CnE.a-606</t>
  </si>
  <si>
    <t>CnE-606[00]</t>
  </si>
  <si>
    <t>YPF.SC.CnE-687</t>
  </si>
  <si>
    <t>CnE-687[00]</t>
  </si>
  <si>
    <t>YPF.SC.CnE-708</t>
  </si>
  <si>
    <t>CnE-708[00]</t>
  </si>
  <si>
    <t>YPF.SC.CnE-793</t>
  </si>
  <si>
    <t>CnE-793[00]</t>
  </si>
  <si>
    <t>YPF.SC.BB-53</t>
  </si>
  <si>
    <t>BB-53[00]</t>
  </si>
  <si>
    <t>YPF.SC.LH-128</t>
  </si>
  <si>
    <t>LH-128[00]</t>
  </si>
  <si>
    <t>YPF.SC.LH-310</t>
  </si>
  <si>
    <t>YPF.SC.LH-531</t>
  </si>
  <si>
    <t>LH-531[00]</t>
  </si>
  <si>
    <t>YPF.SC.LH-577</t>
  </si>
  <si>
    <t>LH-577[00]</t>
  </si>
  <si>
    <t>YPF.SC.LH-607</t>
  </si>
  <si>
    <t>LH-607[00]</t>
  </si>
  <si>
    <t>YPF.SC.LH-673</t>
  </si>
  <si>
    <t>LH-673[00]</t>
  </si>
  <si>
    <t>YPF.SC.LH-694</t>
  </si>
  <si>
    <t>LH-694[00]</t>
  </si>
  <si>
    <t>YPF.SC.LH-845</t>
  </si>
  <si>
    <t>LH-845[00]</t>
  </si>
  <si>
    <t>YPF.SC.CG-161</t>
  </si>
  <si>
    <t>CG-161[00]</t>
  </si>
  <si>
    <t>YPF.SC.CG-354</t>
  </si>
  <si>
    <t>CG-354[00]</t>
  </si>
  <si>
    <t>YPF.SC.LC-451</t>
  </si>
  <si>
    <t>LC-451[00]</t>
  </si>
  <si>
    <t>YPF.SC.CnE-154</t>
  </si>
  <si>
    <t>CnE-154[00]</t>
  </si>
  <si>
    <t>YPF.SC.CnE-221</t>
  </si>
  <si>
    <t>CnE-221[00]</t>
  </si>
  <si>
    <t>YPF.SC.CnE-467</t>
  </si>
  <si>
    <t>CnE-467[00]</t>
  </si>
  <si>
    <t>YPF.SC.CnE-473</t>
  </si>
  <si>
    <t>CnE-473[00]</t>
  </si>
  <si>
    <t>YPF.SC.CnE-553</t>
  </si>
  <si>
    <t>CnE-553[00]</t>
  </si>
  <si>
    <t>YPF.SC.CnE-651</t>
  </si>
  <si>
    <t>CnE-651[00]</t>
  </si>
  <si>
    <t>YPF.SC.CnE-730</t>
  </si>
  <si>
    <t>CnE-730[00]</t>
  </si>
  <si>
    <t>YPF.SC.CnE-848</t>
  </si>
  <si>
    <t>CnE-848[00]</t>
  </si>
  <si>
    <t>YPF.SC.BB-55</t>
  </si>
  <si>
    <t>BB-55[00]</t>
  </si>
  <si>
    <t>YPF.SC.BB-91</t>
  </si>
  <si>
    <t>BB-91[00]</t>
  </si>
  <si>
    <t>YPF.SC.CnE.a-204</t>
  </si>
  <si>
    <t>YPF.SC.LH-675</t>
  </si>
  <si>
    <t>LH-675[00]</t>
  </si>
  <si>
    <t>YPF.SC.LH-691</t>
  </si>
  <si>
    <t>LH-691[00]</t>
  </si>
  <si>
    <t>YPF.SC.CG.a-81</t>
  </si>
  <si>
    <t>YPF.SC.LC-627</t>
  </si>
  <si>
    <t>LC-627[00]</t>
  </si>
  <si>
    <t>YPF.SC.LH.a-1077</t>
  </si>
  <si>
    <t>LH-1077[00]</t>
  </si>
  <si>
    <t>YPF.SC.LH-1089</t>
  </si>
  <si>
    <t>LH-1089[00]a</t>
  </si>
  <si>
    <t>YPF.SC.CnE-915</t>
  </si>
  <si>
    <t>CnE-915[00]a</t>
  </si>
  <si>
    <t>YPF.SC.LH-1096</t>
  </si>
  <si>
    <t>LH-1096[00]a</t>
  </si>
  <si>
    <t>YPF.SC.CnE.a-934</t>
  </si>
  <si>
    <t>CnE.a-934[00]</t>
  </si>
  <si>
    <t>YPF.SC.CnE-943</t>
  </si>
  <si>
    <t>CnE-943[00]a</t>
  </si>
  <si>
    <t>YPF.SC.CG-617</t>
  </si>
  <si>
    <t>CG-617[00]</t>
  </si>
  <si>
    <t>YPF.SC.CG-668</t>
  </si>
  <si>
    <t>CG-668[00]</t>
  </si>
  <si>
    <t>YPF.SC.CnE-1021</t>
  </si>
  <si>
    <t>CnE-1021[00]</t>
  </si>
  <si>
    <t>YPF.SC.CnE-1138</t>
  </si>
  <si>
    <t>CnE-1138[00]</t>
  </si>
  <si>
    <t>YPF.SC.CG.a-873</t>
  </si>
  <si>
    <t>CG.a-873[00]</t>
  </si>
  <si>
    <t>YPF.SC.LH-1241</t>
  </si>
  <si>
    <t>LH-1241[00]a</t>
  </si>
  <si>
    <t>YPF.SC.CG-942</t>
  </si>
  <si>
    <t>CG-942[00]</t>
  </si>
  <si>
    <t>YPF.SC.BB-161</t>
  </si>
  <si>
    <t>BB-161[00]</t>
  </si>
  <si>
    <t>YPF.SC.CnE.a-893</t>
  </si>
  <si>
    <t>CnE-893[00]a</t>
  </si>
  <si>
    <t>YPF.SC.CnE-910</t>
  </si>
  <si>
    <t>CnE-910[00]a</t>
  </si>
  <si>
    <t>YPF.SC.LH-1116</t>
  </si>
  <si>
    <t>LH-1116[00]a</t>
  </si>
  <si>
    <t>YPF.SC.LH-1133</t>
  </si>
  <si>
    <t>YPF.SC.CnE.a-961</t>
  </si>
  <si>
    <t>CnE.a-961[00]</t>
  </si>
  <si>
    <t>YPF.SC.CG-679</t>
  </si>
  <si>
    <t>CG-679[00]</t>
  </si>
  <si>
    <t>YPF.SC.CnE-1056</t>
  </si>
  <si>
    <t>CnE-1056[00]</t>
  </si>
  <si>
    <t>YPF.SC.CnE-1083</t>
  </si>
  <si>
    <t>CnE-1083[00]</t>
  </si>
  <si>
    <t>YPF.SC.CnE-1140</t>
  </si>
  <si>
    <t>CnE-1140[00]</t>
  </si>
  <si>
    <t>YPF.SC.CG-783</t>
  </si>
  <si>
    <t>CG-783[00]</t>
  </si>
  <si>
    <t>YPF.SC.CnE-1313</t>
  </si>
  <si>
    <t>CnE-1313[00]</t>
  </si>
  <si>
    <t>YPF.SC.CnE-1375</t>
  </si>
  <si>
    <t>CnE-1375[00]</t>
  </si>
  <si>
    <t>YPF.SC.LH.a-9</t>
  </si>
  <si>
    <t>LH-9[00]</t>
  </si>
  <si>
    <t>YPF.SC.CnE.a-290</t>
  </si>
  <si>
    <t>YPF.SC.LH-206</t>
  </si>
  <si>
    <t>YPF.SC.LH-534</t>
  </si>
  <si>
    <t>YPF.SC.CG-94</t>
  </si>
  <si>
    <t>YPF.SC.CG-527</t>
  </si>
  <si>
    <t>CG-527[00]a</t>
  </si>
  <si>
    <t>YPF.SC.BB.a-104</t>
  </si>
  <si>
    <t>BB-104[00]a</t>
  </si>
  <si>
    <t>YPF.SC.CnE-883</t>
  </si>
  <si>
    <t>CnE-883[00]a</t>
  </si>
  <si>
    <t>YPF.SC.LH-1049</t>
  </si>
  <si>
    <t>LH-1049[00]a</t>
  </si>
  <si>
    <t>YPF.SC.CnE-899</t>
  </si>
  <si>
    <t>CnE-899[00]a</t>
  </si>
  <si>
    <t>YPF.SC.CG-571</t>
  </si>
  <si>
    <t>CG-571[00]a</t>
  </si>
  <si>
    <t>YPF.SC.CG-589</t>
  </si>
  <si>
    <t>CG-589[00]a</t>
  </si>
  <si>
    <t>YPF.SC.LH-967</t>
  </si>
  <si>
    <t>LH-967[00]</t>
  </si>
  <si>
    <t>YPF.SC.CG-493</t>
  </si>
  <si>
    <t>CG-493[00]</t>
  </si>
  <si>
    <t>YPF.SC.LC-67</t>
  </si>
  <si>
    <t>YPF.SC.LH-589</t>
  </si>
  <si>
    <t>LH-589[00]</t>
  </si>
  <si>
    <t>YPF.SC.LH-105</t>
  </si>
  <si>
    <t>LH-105[00]</t>
  </si>
  <si>
    <t>YPF.SC.LH-108</t>
  </si>
  <si>
    <t>LH-108[00]</t>
  </si>
  <si>
    <t>YPF.SC.CG.a-202</t>
  </si>
  <si>
    <t>CG-202[00]</t>
  </si>
  <si>
    <t>YPF.SC.CG.a-304</t>
  </si>
  <si>
    <t>YPF.SC.LH-198</t>
  </si>
  <si>
    <t>YPF.SC.LH-236</t>
  </si>
  <si>
    <t>YPF.SC.LH-249</t>
  </si>
  <si>
    <t>YPF.SC.LH-455</t>
  </si>
  <si>
    <t>LH-455[00]</t>
  </si>
  <si>
    <t>YPF.SC.LH-524</t>
  </si>
  <si>
    <t>LH-524[00]</t>
  </si>
  <si>
    <t>YPF.SC.LH-682</t>
  </si>
  <si>
    <t>LH-682[00]</t>
  </si>
  <si>
    <t>YPF.SC.LH-990</t>
  </si>
  <si>
    <t>LH-990[00]a</t>
  </si>
  <si>
    <t>YPF.SC.CnE-1139</t>
  </si>
  <si>
    <t>CnE-1139[00]</t>
  </si>
  <si>
    <t>YPF.SC.CG-796</t>
  </si>
  <si>
    <t>CG-796[00]</t>
  </si>
  <si>
    <t>YPF.SC.LH-1210</t>
  </si>
  <si>
    <t>LH-1210[00]</t>
  </si>
  <si>
    <t>YPF.SC.LH-1209</t>
  </si>
  <si>
    <t>LH-1209[00]</t>
  </si>
  <si>
    <t>YPF.SC.CnE-1241(d)</t>
  </si>
  <si>
    <t>CnE-1241(d)[00]</t>
  </si>
  <si>
    <t>YPF.SC.CnE-1257</t>
  </si>
  <si>
    <t>CnE-1257[00]</t>
  </si>
  <si>
    <t>YPF.SC.CnE-1279</t>
  </si>
  <si>
    <t>CnE-1279[00]</t>
  </si>
  <si>
    <t>YPF.SC.CnE-1312</t>
  </si>
  <si>
    <t>CnE-1312[00]</t>
  </si>
  <si>
    <t>YPF.SC.CnE-1327</t>
  </si>
  <si>
    <t>CnE-1327[00]</t>
  </si>
  <si>
    <t>YPF.SC.LH-1134</t>
  </si>
  <si>
    <t>LH-1134[00]a</t>
  </si>
  <si>
    <t>YPF.SC.CnE-965</t>
  </si>
  <si>
    <t>CnE-965[00]</t>
  </si>
  <si>
    <t>YPF.SC.CG-688</t>
  </si>
  <si>
    <t>CG-688[00]</t>
  </si>
  <si>
    <t>YPF.SC.CG-665</t>
  </si>
  <si>
    <t>CG-665[00]</t>
  </si>
  <si>
    <t>YPF.SC.CnE-1035</t>
  </si>
  <si>
    <t>CnE-1035[00]</t>
  </si>
  <si>
    <t>YPF.SC.CnE-1060</t>
  </si>
  <si>
    <t>CnE-1060[00]</t>
  </si>
  <si>
    <t>YPF.SC.LH-1203</t>
  </si>
  <si>
    <t>LH-1203[00]</t>
  </si>
  <si>
    <t>YPF.SC.CnE-1118</t>
  </si>
  <si>
    <t>CnE-1118[00]</t>
  </si>
  <si>
    <t>YPF.SC.CnE-1117</t>
  </si>
  <si>
    <t>CnE-1117[00]</t>
  </si>
  <si>
    <t>YPF.SC.CG-805</t>
  </si>
  <si>
    <t>CG-805[00]</t>
  </si>
  <si>
    <t>YPF.SC.CnE-1193</t>
  </si>
  <si>
    <t>CnE-1193[00]</t>
  </si>
  <si>
    <t>YPF.SC.CnE.xp-1250</t>
  </si>
  <si>
    <t>CnE.xp-1250[00]</t>
  </si>
  <si>
    <t>YPF.SC.CnE-1347</t>
  </si>
  <si>
    <t>CnE-1347[00]</t>
  </si>
  <si>
    <t>YPF.SC.CnE-1390</t>
  </si>
  <si>
    <t>CnE-1390[00]</t>
  </si>
  <si>
    <t>YPF.SC.CG-540</t>
  </si>
  <si>
    <t>YPF.SC.LH-980</t>
  </si>
  <si>
    <t>LH-980[00]a</t>
  </si>
  <si>
    <t>YPF.SC.LH-60</t>
  </si>
  <si>
    <t>LH-60[00]a</t>
  </si>
  <si>
    <t>YPF.SC.LH.a-1025</t>
  </si>
  <si>
    <t>LH-1025[00]a</t>
  </si>
  <si>
    <t>YPF.SC.CG-593</t>
  </si>
  <si>
    <t>CG-593[00]</t>
  </si>
  <si>
    <t>YPF.SC.CnE-956</t>
  </si>
  <si>
    <t>CnE-956[00]a</t>
  </si>
  <si>
    <t>YPF.SC.CnE-1037</t>
  </si>
  <si>
    <t>CnE-1037[00]</t>
  </si>
  <si>
    <t>YPF.SC.CG-661</t>
  </si>
  <si>
    <t>CG-661[00]</t>
  </si>
  <si>
    <t>YPF.SC.CnE-1007</t>
  </si>
  <si>
    <t>CnE-1007[00]</t>
  </si>
  <si>
    <t>YPF.SC.CnE-998</t>
  </si>
  <si>
    <t>CnE-998[00]</t>
  </si>
  <si>
    <t>YPF.SC.CG-649</t>
  </si>
  <si>
    <t>CG-649[00]</t>
  </si>
  <si>
    <t>YPF.SC.CG-687</t>
  </si>
  <si>
    <t>CG-687[00]</t>
  </si>
  <si>
    <t>YPF.SC.CnE-1094</t>
  </si>
  <si>
    <t>CnE-1094[00]</t>
  </si>
  <si>
    <t>YPF.SC.CnE-1153</t>
  </si>
  <si>
    <t>CnE-1153[00]</t>
  </si>
  <si>
    <t>YPF.SC.LH-1235</t>
  </si>
  <si>
    <t>LH-1235[00]</t>
  </si>
  <si>
    <t>YPF.SC.BB-135</t>
  </si>
  <si>
    <t>BB-135[00]</t>
  </si>
  <si>
    <t>YPF.SC.CnE-1230</t>
  </si>
  <si>
    <t>CnE-1230[00]</t>
  </si>
  <si>
    <t>YPF.SC.CnE-1331</t>
  </si>
  <si>
    <t>CnE-1331[00]</t>
  </si>
  <si>
    <t>YPF.SC.CG-939</t>
  </si>
  <si>
    <t>CG-939[00]</t>
  </si>
  <si>
    <t>YPF.SC.LH-1259</t>
  </si>
  <si>
    <t>LH-1259[00]</t>
  </si>
  <si>
    <t>YPF.SC.CnE-1457</t>
  </si>
  <si>
    <t>CnE-1457[00]a</t>
  </si>
  <si>
    <t>YPF.SC.LH.a-41</t>
  </si>
  <si>
    <t>LH-41[00]</t>
  </si>
  <si>
    <t>YPF.SC.LH-599</t>
  </si>
  <si>
    <t>LH-599[00]</t>
  </si>
  <si>
    <t>YPF.SC.LH-622</t>
  </si>
  <si>
    <t>LH-622[00]</t>
  </si>
  <si>
    <t>YPF.SC.LH-623</t>
  </si>
  <si>
    <t>LH-623[00]</t>
  </si>
  <si>
    <t>YPF.SC.LH-640</t>
  </si>
  <si>
    <t>LH-640[00]</t>
  </si>
  <si>
    <t>YPF.SC.LH-713</t>
  </si>
  <si>
    <t>LH-713[00]</t>
  </si>
  <si>
    <t>YPF.SC.CG.a-122</t>
  </si>
  <si>
    <t>CG-122[00]</t>
  </si>
  <si>
    <t>YPF.SC.CG-160</t>
  </si>
  <si>
    <t>CG-160[00]</t>
  </si>
  <si>
    <t>YPF.SC.CG-165</t>
  </si>
  <si>
    <t>CG-165[00]</t>
  </si>
  <si>
    <t>YPF.SC.CG-245</t>
  </si>
  <si>
    <t>CG-245[00]</t>
  </si>
  <si>
    <t>YPF.SC.CG-278</t>
  </si>
  <si>
    <t>CG-278[00]</t>
  </si>
  <si>
    <t>YPF.SC.CG.a-404</t>
  </si>
  <si>
    <t>YPF.SC.LC.a-73</t>
  </si>
  <si>
    <t>YPF.SC.LC-537</t>
  </si>
  <si>
    <t>LC-537[00]</t>
  </si>
  <si>
    <t>YPF.SC.CnE-132</t>
  </si>
  <si>
    <t>YPF.SC.CnE-140</t>
  </si>
  <si>
    <t>YPF.SC.CnE-466</t>
  </si>
  <si>
    <t>CnE-466[00]</t>
  </si>
  <si>
    <t>YPF.SC.CnE-571</t>
  </si>
  <si>
    <t>CnE-571[00]</t>
  </si>
  <si>
    <t>YPF.SC.CnE.a-583</t>
  </si>
  <si>
    <t>CnE-583[00]</t>
  </si>
  <si>
    <t>YPF.SC.CnE-685</t>
  </si>
  <si>
    <t>CnE-685[00]</t>
  </si>
  <si>
    <t>YPF.SC.CnE-753</t>
  </si>
  <si>
    <t>CnE-753[00]</t>
  </si>
  <si>
    <t>YPF.SC.CnE-804</t>
  </si>
  <si>
    <t>CnE-804[00]</t>
  </si>
  <si>
    <t>YPF.SC.LH-1045</t>
  </si>
  <si>
    <t>LH-1045[00]a</t>
  </si>
  <si>
    <t>YPF.SC.CnE-896</t>
  </si>
  <si>
    <t>CnE-896[00]</t>
  </si>
  <si>
    <t>YPF.SC.CnE-906</t>
  </si>
  <si>
    <t>CnE-906[00]a</t>
  </si>
  <si>
    <t>YPF.SC.LH-1087</t>
  </si>
  <si>
    <t>LH-1087[00]a</t>
  </si>
  <si>
    <t>YPF.SC.CnE-979</t>
  </si>
  <si>
    <t>CnE-979[00]</t>
  </si>
  <si>
    <t>YPF.SC.CnE-1024</t>
  </si>
  <si>
    <t>CnE-1024[00]</t>
  </si>
  <si>
    <t>YPF.SC.CG-671</t>
  </si>
  <si>
    <t>CG-671[00]</t>
  </si>
  <si>
    <t>YPF.SC.CnE-1042</t>
  </si>
  <si>
    <t>CnE-1042[00]</t>
  </si>
  <si>
    <t>YPF.SC.CnE-1157</t>
  </si>
  <si>
    <t>CnE-1157[00]</t>
  </si>
  <si>
    <t>YPF.SC.CG-941</t>
  </si>
  <si>
    <t>CG-941[00]</t>
  </si>
  <si>
    <t>YPF.SC.CnE-1381</t>
  </si>
  <si>
    <t>CnE-1381[00]</t>
  </si>
  <si>
    <t>YPF.SC.CnE-1423</t>
  </si>
  <si>
    <t>CnE-1423[00]a</t>
  </si>
  <si>
    <t>YPF.SC.CnE-884</t>
  </si>
  <si>
    <t>CnE-884[00]a</t>
  </si>
  <si>
    <t>YPF.SC.LH-86</t>
  </si>
  <si>
    <t>LH-86[00]</t>
  </si>
  <si>
    <t>YPF.SC.LH-88</t>
  </si>
  <si>
    <t>LH-88[00]</t>
  </si>
  <si>
    <t>YPF.SC.LH-748</t>
  </si>
  <si>
    <t>LH-748[00]</t>
  </si>
  <si>
    <t>YPF.SC.LH-831</t>
  </si>
  <si>
    <t>LH-831[00]</t>
  </si>
  <si>
    <t>YPF.SC.LH-861</t>
  </si>
  <si>
    <t>LH-861[00]</t>
  </si>
  <si>
    <t>YPF.SC.LH-905</t>
  </si>
  <si>
    <t>LH-905[00]</t>
  </si>
  <si>
    <t>YPF.SC.LH-924</t>
  </si>
  <si>
    <t>LH-924[00]</t>
  </si>
  <si>
    <t>YPF.SC.CG.a-42</t>
  </si>
  <si>
    <t>CG-42[00]</t>
  </si>
  <si>
    <t>YPF.SC.CG-155</t>
  </si>
  <si>
    <t>CG-155[00]</t>
  </si>
  <si>
    <t>YPF.SC.CG-241</t>
  </si>
  <si>
    <t>YPF.SC.CG.a-289</t>
  </si>
  <si>
    <t>CG.a-289[00]</t>
  </si>
  <si>
    <t>YPF.SC.CnE-325</t>
  </si>
  <si>
    <t>CnE-325[00]</t>
  </si>
  <si>
    <t>YPF.SC.LH-111</t>
  </si>
  <si>
    <t>LH-111[00]</t>
  </si>
  <si>
    <t>YPF.SC.LH-243</t>
  </si>
  <si>
    <t>LH-243[00]</t>
  </si>
  <si>
    <t>YPF.SC.LH-285</t>
  </si>
  <si>
    <t>LH-285[00]</t>
  </si>
  <si>
    <t>YPF.SC.LH-294</t>
  </si>
  <si>
    <t>YPF.SC.LH-166</t>
  </si>
  <si>
    <t>LH-166[00]</t>
  </si>
  <si>
    <t>YPF.SC.LH-511</t>
  </si>
  <si>
    <t>LH-511[00]</t>
  </si>
  <si>
    <t>YPF.SC.LH.a-553</t>
  </si>
  <si>
    <t>LH.a-553[00]</t>
  </si>
  <si>
    <t>YPF.SC.LH-637</t>
  </si>
  <si>
    <t>LH-637[00]</t>
  </si>
  <si>
    <t>YPF.SC.LH-686</t>
  </si>
  <si>
    <t>YPF.SC.LH-735</t>
  </si>
  <si>
    <t>LH-735[00]</t>
  </si>
  <si>
    <t>YPF.SC.LH-899</t>
  </si>
  <si>
    <t>LH-899[00]</t>
  </si>
  <si>
    <t>YPF.SC.LH-951</t>
  </si>
  <si>
    <t>LH-951[00]</t>
  </si>
  <si>
    <t>YPF.SC.CG-169</t>
  </si>
  <si>
    <t>YPF.SC.CG-233</t>
  </si>
  <si>
    <t>YPF.SC.CG-400</t>
  </si>
  <si>
    <t>CG-400[00]</t>
  </si>
  <si>
    <t>YPF.SC.CG.a-478</t>
  </si>
  <si>
    <t>CG-478[00]</t>
  </si>
  <si>
    <t>YPF.SC.LC-535</t>
  </si>
  <si>
    <t>LC-535[00]</t>
  </si>
  <si>
    <t>YPF.SC.CnE-295</t>
  </si>
  <si>
    <t>CnE-295[00]</t>
  </si>
  <si>
    <t>YPF.SC.CnE-431</t>
  </si>
  <si>
    <t>CnE-431[00]</t>
  </si>
  <si>
    <t>YPF.SC.CnE-434</t>
  </si>
  <si>
    <t>CnE-434[00]</t>
  </si>
  <si>
    <t>YPF.SC.CnE-541</t>
  </si>
  <si>
    <t>CnE-541[00]</t>
  </si>
  <si>
    <t>YPF.SC.CnE-665</t>
  </si>
  <si>
    <t>CnE-665[00]</t>
  </si>
  <si>
    <t>YPF.SC.CnE-693</t>
  </si>
  <si>
    <t>CnE-693[00]</t>
  </si>
  <si>
    <t>YPF.SC.CnE-709</t>
  </si>
  <si>
    <t>CnE-709[00]</t>
  </si>
  <si>
    <t>YPF.SC.CnE-758</t>
  </si>
  <si>
    <t>CnE-758[00]</t>
  </si>
  <si>
    <t>YPF.SC.CnE.a-766</t>
  </si>
  <si>
    <t>CnE-766[00]</t>
  </si>
  <si>
    <t>YPF.SC.BB.a-30</t>
  </si>
  <si>
    <t>BB-30[00]</t>
  </si>
  <si>
    <t>YPF.SC.BB-94</t>
  </si>
  <si>
    <t>BB-94[00]</t>
  </si>
  <si>
    <t>YPF.SC.CnE.a-853</t>
  </si>
  <si>
    <t>CnE-853[00]</t>
  </si>
  <si>
    <t>YPF.SC.LH.a-3</t>
  </si>
  <si>
    <t>LH-3[00]</t>
  </si>
  <si>
    <t>YPF.SC.LH-59</t>
  </si>
  <si>
    <t>LH-59[00]</t>
  </si>
  <si>
    <t>YPF.SC.LC.a-632</t>
  </si>
  <si>
    <t>YPF.SC.N-11</t>
  </si>
  <si>
    <t>YPF.SC.CnE-73</t>
  </si>
  <si>
    <t>CnE-73[00]</t>
  </si>
  <si>
    <t>YPF.SC.CnE-272</t>
  </si>
  <si>
    <t>CnE-272[00]</t>
  </si>
  <si>
    <t>YPF.SC.CnE-348</t>
  </si>
  <si>
    <t>CnE-348[00]</t>
  </si>
  <si>
    <t>YPF.SC.CnE.a-375</t>
  </si>
  <si>
    <t>YPF.SC.CnE-380</t>
  </si>
  <si>
    <t>CnE-380[00]</t>
  </si>
  <si>
    <t>YPF.SC.CnE-396</t>
  </si>
  <si>
    <t>CnE-396[00]</t>
  </si>
  <si>
    <t>YPF.SC.CnE-430</t>
  </si>
  <si>
    <t>CnE-430[00]</t>
  </si>
  <si>
    <t>YPF.SC.CnE-519</t>
  </si>
  <si>
    <t>CnE-519[00]</t>
  </si>
  <si>
    <t>YPF.SC.CnE-529</t>
  </si>
  <si>
    <t>CnE-529[00]</t>
  </si>
  <si>
    <t>YPF.SC.CnE-757</t>
  </si>
  <si>
    <t>CnE-757[00]</t>
  </si>
  <si>
    <t>YPF.SC.LH-99</t>
  </si>
  <si>
    <t>LH-99[00]</t>
  </si>
  <si>
    <t>YPF.SC.LH-117</t>
  </si>
  <si>
    <t>LH-117[00]</t>
  </si>
  <si>
    <t>YPF.SC.CG.a-281</t>
  </si>
  <si>
    <t>YPF.SC.LH-188</t>
  </si>
  <si>
    <t>YPF.SC.CG.a-194</t>
  </si>
  <si>
    <t>CG-194[00]</t>
  </si>
  <si>
    <t>YPF.SC.CG-53</t>
  </si>
  <si>
    <t>CG-53[00]</t>
  </si>
  <si>
    <t>YPF.SC.LH-1008</t>
  </si>
  <si>
    <t>LH-1008[00]a</t>
  </si>
  <si>
    <t>YPF.SC.LH-1024</t>
  </si>
  <si>
    <t>LH-1024[00]a</t>
  </si>
  <si>
    <t>YPF.SC.LH-1060</t>
  </si>
  <si>
    <t>LH-1060[00]a</t>
  </si>
  <si>
    <t>YPF.SC.CG-564</t>
  </si>
  <si>
    <t>CG-564[00]a</t>
  </si>
  <si>
    <t>YPF.SC.LH-1120</t>
  </si>
  <si>
    <t>LH-1120[00]</t>
  </si>
  <si>
    <t>YPF.SC.CnE-1277</t>
  </si>
  <si>
    <t>CnE-1277[00]</t>
  </si>
  <si>
    <t>YPF.SC.CnE.a-1340</t>
  </si>
  <si>
    <t>CnE.a-1340[00]</t>
  </si>
  <si>
    <t>YPF.SC.LH.a-96</t>
  </si>
  <si>
    <t>LH-96[00]</t>
  </si>
  <si>
    <t>YPF.SC.LH-187</t>
  </si>
  <si>
    <t>LH-187[00]</t>
  </si>
  <si>
    <t>YPF.SC.LH-486</t>
  </si>
  <si>
    <t>LH-486[00]</t>
  </si>
  <si>
    <t>YPF.SC.LH.a-65</t>
  </si>
  <si>
    <t>LH-65[00]</t>
  </si>
  <si>
    <t>YPF.SC.LH-114</t>
  </si>
  <si>
    <t>LH-114[00]</t>
  </si>
  <si>
    <t>YPF.SC.LH-139</t>
  </si>
  <si>
    <t>LH-139[00]</t>
  </si>
  <si>
    <t>YPF.SC.LH-164</t>
  </si>
  <si>
    <t>LH-164[00]</t>
  </si>
  <si>
    <t>YPF.SC.LH-277</t>
  </si>
  <si>
    <t>LH-277[00]</t>
  </si>
  <si>
    <t>YPF.SC.LH-283</t>
  </si>
  <si>
    <t>LH-283[00]</t>
  </si>
  <si>
    <t>YPF.SC.LH-732</t>
  </si>
  <si>
    <t>LH-732[00]</t>
  </si>
  <si>
    <t>YPF.SC.LH-734</t>
  </si>
  <si>
    <t>LH-734[00]</t>
  </si>
  <si>
    <t>YPF.SC.LH-818</t>
  </si>
  <si>
    <t>LH-818[00]</t>
  </si>
  <si>
    <t>YPF.SC.CG.a-127</t>
  </si>
  <si>
    <t>CG-127[00]</t>
  </si>
  <si>
    <t>YPF.SC.CG-394</t>
  </si>
  <si>
    <t>CG-394[00]</t>
  </si>
  <si>
    <t>YPF.SC.CG-445</t>
  </si>
  <si>
    <t>CG-445[00]</t>
  </si>
  <si>
    <t>YPF.SC.LC-116</t>
  </si>
  <si>
    <t>LC-116[00]</t>
  </si>
  <si>
    <t>YPF.SC.CnE-96</t>
  </si>
  <si>
    <t>CnE-96[00]</t>
  </si>
  <si>
    <t>YPF.SC.CnE-122</t>
  </si>
  <si>
    <t>CnE-122[00]</t>
  </si>
  <si>
    <t>YPF.SC.CnE-194</t>
  </si>
  <si>
    <t>CnE-194[00]</t>
  </si>
  <si>
    <t>YPF.SC.CnE-228</t>
  </si>
  <si>
    <t>CnE-228[00]</t>
  </si>
  <si>
    <t>YPF.SC.CnE-231</t>
  </si>
  <si>
    <t>CnE-231[00]</t>
  </si>
  <si>
    <t>YPF.SC.CnE-270</t>
  </si>
  <si>
    <t>CnE-270[00]</t>
  </si>
  <si>
    <t>YPF.SC.CnE-301</t>
  </si>
  <si>
    <t>CnE-301[00]</t>
  </si>
  <si>
    <t>YPF.SC.CnE.a-415</t>
  </si>
  <si>
    <t>CnE-415[00]</t>
  </si>
  <si>
    <t>YPF.SC.CnE-494</t>
  </si>
  <si>
    <t>YPF.SC.CnE-537</t>
  </si>
  <si>
    <t>CnE-537[00]</t>
  </si>
  <si>
    <t>YPF.SC.CnE-714</t>
  </si>
  <si>
    <t>CnE-714[00]</t>
  </si>
  <si>
    <t>YPF.SC.CnE-811</t>
  </si>
  <si>
    <t>CnE-811[00]</t>
  </si>
  <si>
    <t>YPF.SC.BB.a-33</t>
  </si>
  <si>
    <t>BB-33[00]</t>
  </si>
  <si>
    <t>YPF.SC.BB-88</t>
  </si>
  <si>
    <t>BB-88[00]</t>
  </si>
  <si>
    <t>YPF.SC.CES.x-5</t>
  </si>
  <si>
    <t>YPF.SC.CnE-47</t>
  </si>
  <si>
    <t>CnE-47[00]</t>
  </si>
  <si>
    <t>YPF.SC.LH-289</t>
  </si>
  <si>
    <t>LH-289[00]</t>
  </si>
  <si>
    <t>YPF.SC.LH-540</t>
  </si>
  <si>
    <t>YPF.SC.CG.a-139</t>
  </si>
  <si>
    <t>CG-139[00]</t>
  </si>
  <si>
    <t>YPF.SC.CG-98</t>
  </si>
  <si>
    <t>CG-98[00]</t>
  </si>
  <si>
    <t>YPF.SC.CG-520</t>
  </si>
  <si>
    <t>CG-520[00]</t>
  </si>
  <si>
    <t>YPF.SC.LH-1000</t>
  </si>
  <si>
    <t>LH-1000[00]a</t>
  </si>
  <si>
    <t>YPF.SC.LH-1061</t>
  </si>
  <si>
    <t>LH-1061[00]a</t>
  </si>
  <si>
    <t>YPF.SC.CG.a-561</t>
  </si>
  <si>
    <t>YPF.SC.CG-587</t>
  </si>
  <si>
    <t>CG-587[00]a</t>
  </si>
  <si>
    <t>YPF.SC.CG-579</t>
  </si>
  <si>
    <t>CG-579[00]a</t>
  </si>
  <si>
    <t>YPF.SC.CG-591</t>
  </si>
  <si>
    <t>CG-591[00]a</t>
  </si>
  <si>
    <t>YPF.SC.LH-1132</t>
  </si>
  <si>
    <t>LH-1132[00]a</t>
  </si>
  <si>
    <t>YPF.SC.LH-1166</t>
  </si>
  <si>
    <t>LH-1166[00]</t>
  </si>
  <si>
    <t>YPF.SC.LH-1181</t>
  </si>
  <si>
    <t>LH-1181[00]</t>
  </si>
  <si>
    <t>YPF.SC.CnE-1025</t>
  </si>
  <si>
    <t>CnE-1025[00]</t>
  </si>
  <si>
    <t>YPF.SC.LH-1184</t>
  </si>
  <si>
    <t>LH-1184[00]</t>
  </si>
  <si>
    <t>YPF.SC.CG-712</t>
  </si>
  <si>
    <t>CG-712[00]</t>
  </si>
  <si>
    <t>YPF.SC.CnE-1089</t>
  </si>
  <si>
    <t>CnE-1089[00]</t>
  </si>
  <si>
    <t>YPF.SC.LC-636</t>
  </si>
  <si>
    <t>LC-636[00]a</t>
  </si>
  <si>
    <t>YPF.SC.LH-1015</t>
  </si>
  <si>
    <t>LH-1015[00]a</t>
  </si>
  <si>
    <t>YPF.SC.CnE-905</t>
  </si>
  <si>
    <t>CnE-905[00]</t>
  </si>
  <si>
    <t>YPF.SC.CnE.a-907</t>
  </si>
  <si>
    <t>CnE-907[00]a</t>
  </si>
  <si>
    <t>YPF.SC.CnE-976</t>
  </si>
  <si>
    <t>CnE-976[00]</t>
  </si>
  <si>
    <t>YPF.SC.CnE-1026</t>
  </si>
  <si>
    <t>CnE-1026[00]</t>
  </si>
  <si>
    <t>YPF.SC.CnE-1087</t>
  </si>
  <si>
    <t>CnE-1087[00]</t>
  </si>
  <si>
    <t>YPF.SC.CG-723</t>
  </si>
  <si>
    <t>CG-723[00]</t>
  </si>
  <si>
    <t>YPF.SC.CG-718</t>
  </si>
  <si>
    <t>CG-718[00]</t>
  </si>
  <si>
    <t>YPF.SC.CnE-1147</t>
  </si>
  <si>
    <t>CnE-1147[00]</t>
  </si>
  <si>
    <t>YPF.SC.BB-113</t>
  </si>
  <si>
    <t>BB-113[00]</t>
  </si>
  <si>
    <t>YPF.SC.CG-840</t>
  </si>
  <si>
    <t>CG-840[00]</t>
  </si>
  <si>
    <t>YPF.SC.BB-133</t>
  </si>
  <si>
    <t>BB-133[00]</t>
  </si>
  <si>
    <t>YPF.SC.CnE-1299</t>
  </si>
  <si>
    <t>CnE-1299[00]</t>
  </si>
  <si>
    <t>YPF.SC.CG-950</t>
  </si>
  <si>
    <t>CG-950[00]</t>
  </si>
  <si>
    <t>YPF.SC.LC.IA-977</t>
  </si>
  <si>
    <t>LC.IA-977[00]a</t>
  </si>
  <si>
    <t>YPF.SC.CG-980</t>
  </si>
  <si>
    <t>CG-980[00]a</t>
  </si>
  <si>
    <t>YPF.SC.CnE-1458</t>
  </si>
  <si>
    <t>CnE-1458[00]a</t>
  </si>
  <si>
    <t>YPF.SC.CnE-1321</t>
  </si>
  <si>
    <t>CnE-1321[00]</t>
  </si>
  <si>
    <t>YPF.SC.LH-559</t>
  </si>
  <si>
    <t>YPF.SC.LH-690</t>
  </si>
  <si>
    <t>LH-690[00]</t>
  </si>
  <si>
    <t>YPF.SC.LH-819</t>
  </si>
  <si>
    <t>LH-819[00]</t>
  </si>
  <si>
    <t>YPF.SC.LH-903</t>
  </si>
  <si>
    <t>LH-903[00]</t>
  </si>
  <si>
    <t>YPF.SC.LH-945</t>
  </si>
  <si>
    <t>LH-945[00]</t>
  </si>
  <si>
    <t>YPF.SC.CG-66</t>
  </si>
  <si>
    <t>CG-66[00]</t>
  </si>
  <si>
    <t>YPF.SC.CG-132</t>
  </si>
  <si>
    <t>CG-132[00]</t>
  </si>
  <si>
    <t>YPF.SC.CG-369</t>
  </si>
  <si>
    <t>CG-369[00]</t>
  </si>
  <si>
    <t>YPF.SC.LC-22</t>
  </si>
  <si>
    <t>LC-22[00]</t>
  </si>
  <si>
    <t>YPF.SC.CnE-165</t>
  </si>
  <si>
    <t>CnE-165[00]</t>
  </si>
  <si>
    <t>YPF.SC.CnE-210</t>
  </si>
  <si>
    <t>CnE-210[00]</t>
  </si>
  <si>
    <t>YPF.SC.CnE.a-216</t>
  </si>
  <si>
    <t>CnE-216[00]</t>
  </si>
  <si>
    <t>YPF.SC.CnE-365</t>
  </si>
  <si>
    <t>CnE-365[00]</t>
  </si>
  <si>
    <t>YPF.SC.CnE-385</t>
  </si>
  <si>
    <t>YPF.SC.CnE-549</t>
  </si>
  <si>
    <t>CnE-549[00]</t>
  </si>
  <si>
    <t>YPF.SC.CnE-558</t>
  </si>
  <si>
    <t>CnE-558[00]</t>
  </si>
  <si>
    <t>YPF.SC.CnE-615</t>
  </si>
  <si>
    <t>CnE-615[00]</t>
  </si>
  <si>
    <t>YPF.SC.CnE-673</t>
  </si>
  <si>
    <t>CnE-673[00]</t>
  </si>
  <si>
    <t>YPF.SC.CnE-774</t>
  </si>
  <si>
    <t>CnE-774[00]</t>
  </si>
  <si>
    <t>YPF.SC.CnE-838</t>
  </si>
  <si>
    <t>CnE-838[00]</t>
  </si>
  <si>
    <t>YPF.SC.LH-175</t>
  </si>
  <si>
    <t>LH-175[00]</t>
  </si>
  <si>
    <t>YPF.SC.LH-176</t>
  </si>
  <si>
    <t>LH-176[00]</t>
  </si>
  <si>
    <t>YPF.SC.LH-260</t>
  </si>
  <si>
    <t>LH-260[00]</t>
  </si>
  <si>
    <t>YPF.SC.LH-325</t>
  </si>
  <si>
    <t>LH-325[00]</t>
  </si>
  <si>
    <t>YPF.SC.LH-501</t>
  </si>
  <si>
    <t>LH-501[00]</t>
  </si>
  <si>
    <t>YPF.SC.LH.a-510</t>
  </si>
  <si>
    <t>LH-510[00]</t>
  </si>
  <si>
    <t>YPF.SC.LH-618</t>
  </si>
  <si>
    <t>LH-618[00]</t>
  </si>
  <si>
    <t>YPF.SC.LH-768</t>
  </si>
  <si>
    <t>LH-768[00]</t>
  </si>
  <si>
    <t>YPF.SC.LH-775</t>
  </si>
  <si>
    <t>LH-775[00]</t>
  </si>
  <si>
    <t>YPF.SC.LH-887</t>
  </si>
  <si>
    <t>LH-887[00]</t>
  </si>
  <si>
    <t>YPF.SC.LH-902</t>
  </si>
  <si>
    <t>LH-902[00]</t>
  </si>
  <si>
    <t>YPF.SC.LH-906</t>
  </si>
  <si>
    <t>LH-906[00]</t>
  </si>
  <si>
    <t>YPF.SC.LH-958</t>
  </si>
  <si>
    <t>LH-958[00]</t>
  </si>
  <si>
    <t>YPF.SC.CG.a-13</t>
  </si>
  <si>
    <t>CG-13[00]</t>
  </si>
  <si>
    <t>YPF.SC.CG-16</t>
  </si>
  <si>
    <t>CG-16[00]</t>
  </si>
  <si>
    <t>YPF.SC.CG-157</t>
  </si>
  <si>
    <t>CG-157[00]</t>
  </si>
  <si>
    <t>YPF.SC.CG-239</t>
  </si>
  <si>
    <t>CG-239[00]</t>
  </si>
  <si>
    <t>YPF.SC.CG-284</t>
  </si>
  <si>
    <t>CG-284[00]</t>
  </si>
  <si>
    <t>YPF.SC.CG-393</t>
  </si>
  <si>
    <t>CG-393[00]</t>
  </si>
  <si>
    <t>YPF.SC.CG.a-411</t>
  </si>
  <si>
    <t>CG-411[00]</t>
  </si>
  <si>
    <t>YPF.SC.CnE.a-11</t>
  </si>
  <si>
    <t>CnE-11[00]</t>
  </si>
  <si>
    <t>YPF.SC.CnE-38</t>
  </si>
  <si>
    <t>CnE-38[00]</t>
  </si>
  <si>
    <t>YPF.SC.CnE-42</t>
  </si>
  <si>
    <t>CnE-42[00]</t>
  </si>
  <si>
    <t>YPF.SC.CnE-69</t>
  </si>
  <si>
    <t>CnE-69[00]</t>
  </si>
  <si>
    <t>YPF.SC.CG-606</t>
  </si>
  <si>
    <t>CG-606[00]a</t>
  </si>
  <si>
    <t>YPF.SC.LH-1175</t>
  </si>
  <si>
    <t>LH-1175[00]</t>
  </si>
  <si>
    <t>YPF.SC.CG-633</t>
  </si>
  <si>
    <t>CG-633[00]</t>
  </si>
  <si>
    <t>YPF.SC.CG-706</t>
  </si>
  <si>
    <t>CG-706[00]</t>
  </si>
  <si>
    <t>YPF.SC.LH-1212</t>
  </si>
  <si>
    <t>LH-1212[00]</t>
  </si>
  <si>
    <t>YPF.SC.CnE-1148</t>
  </si>
  <si>
    <t>CnE-1148[00]</t>
  </si>
  <si>
    <t>YPF.SC.CG-767</t>
  </si>
  <si>
    <t>CG-767[00]</t>
  </si>
  <si>
    <t>YPF.SC.CG.xp-910</t>
  </si>
  <si>
    <t>CG.xp-910[00]</t>
  </si>
  <si>
    <t>YPF.SC.CnE-1287</t>
  </si>
  <si>
    <t>CnE-1287[00]</t>
  </si>
  <si>
    <t>YPF.SC.BB-176</t>
  </si>
  <si>
    <t>BB-176[00]</t>
  </si>
  <si>
    <t>YPF.SC.LC-984</t>
  </si>
  <si>
    <t>LC-984</t>
  </si>
  <si>
    <t>YPF.SC.BBO.x-1</t>
  </si>
  <si>
    <t>YPF.SC.CnE-21</t>
  </si>
  <si>
    <t>YPF.SC.CnE.a-134</t>
  </si>
  <si>
    <t>CnE-134[00]</t>
  </si>
  <si>
    <t>YPF.SC.CG.a-531</t>
  </si>
  <si>
    <t>YPF.SC.LH-991</t>
  </si>
  <si>
    <t>LH-991[00]a</t>
  </si>
  <si>
    <t>YPF.SC.LH-1007</t>
  </si>
  <si>
    <t>LH-1007[00]a</t>
  </si>
  <si>
    <t>YPF.SC.CnE-903</t>
  </si>
  <si>
    <t>CnE-903[00]a</t>
  </si>
  <si>
    <t>YPF.SC.LH-182</t>
  </si>
  <si>
    <t>LH-182[00]a</t>
  </si>
  <si>
    <t>YPF.SC.LH-1066</t>
  </si>
  <si>
    <t>LH-1066[00]a</t>
  </si>
  <si>
    <t>YPF.SC.CnE.a-926</t>
  </si>
  <si>
    <t>CnE-926[00]a</t>
  </si>
  <si>
    <t>YPF.SC.LH-1155</t>
  </si>
  <si>
    <t>LH-1155[00]a</t>
  </si>
  <si>
    <t>YPF.SC.CnE-963</t>
  </si>
  <si>
    <t>CnE-963[00]</t>
  </si>
  <si>
    <t>YPF.SC.CG-636</t>
  </si>
  <si>
    <t>CG-636[00]</t>
  </si>
  <si>
    <t>YPF.SC.CnE-1050</t>
  </si>
  <si>
    <t>CnE-1050[00]</t>
  </si>
  <si>
    <t>YPF.SC.CnE-1059</t>
  </si>
  <si>
    <t>CnE-1059[00]</t>
  </si>
  <si>
    <t>YPF.SC.LH-1207</t>
  </si>
  <si>
    <t>LH-1207[00]</t>
  </si>
  <si>
    <t>YPF.SC.CnE.a-1136</t>
  </si>
  <si>
    <t>CnE.a-1136[00]</t>
  </si>
  <si>
    <t>YPF.SC.LH-102</t>
  </si>
  <si>
    <t>YPF.SC.LH-201</t>
  </si>
  <si>
    <t>LH-201[00]</t>
  </si>
  <si>
    <t>YPF.SC.LH-288</t>
  </si>
  <si>
    <t>LH-288[00]</t>
  </si>
  <si>
    <t>YPF.SC.LH-488</t>
  </si>
  <si>
    <t>LH-488[00]</t>
  </si>
  <si>
    <t>YPF.SC.LH-532</t>
  </si>
  <si>
    <t>LH-532[00]</t>
  </si>
  <si>
    <t>YPF.SC.LH-564</t>
  </si>
  <si>
    <t>LH-564[00]</t>
  </si>
  <si>
    <t>YPF.SC.LH-638</t>
  </si>
  <si>
    <t>LH-638[00]</t>
  </si>
  <si>
    <t>YPF.SC.LH-642</t>
  </si>
  <si>
    <t>LH-642[00]</t>
  </si>
  <si>
    <t>YPF.SC.LH-779</t>
  </si>
  <si>
    <t>LH-779[00]</t>
  </si>
  <si>
    <t>YPF.SC.CG-435</t>
  </si>
  <si>
    <t>CG-435[00]</t>
  </si>
  <si>
    <t>YPF.SC.CG.a-473</t>
  </si>
  <si>
    <t>CG-473[00]</t>
  </si>
  <si>
    <t>YPF.SC.CG-507</t>
  </si>
  <si>
    <t>CG-507[00]</t>
  </si>
  <si>
    <t>YPF.SC.CnE.a-193</t>
  </si>
  <si>
    <t>YPF.SC.LH-261</t>
  </si>
  <si>
    <t>YPF.SC.CG-120</t>
  </si>
  <si>
    <t>CG-120[00]</t>
  </si>
  <si>
    <t>YPF.SC.CnE-879</t>
  </si>
  <si>
    <t>CnE-879[00]a</t>
  </si>
  <si>
    <t>YPF.SC.LH-68</t>
  </si>
  <si>
    <t>LH-68[00]a</t>
  </si>
  <si>
    <t>YPF.SC.CnE-74</t>
  </si>
  <si>
    <t>CnE-74[00]</t>
  </si>
  <si>
    <t>YPF.SC.CnE-103</t>
  </si>
  <si>
    <t>CnE-103[00]</t>
  </si>
  <si>
    <t>YPF.SC.CnE-190</t>
  </si>
  <si>
    <t>CnE-190[00]</t>
  </si>
  <si>
    <t>YPF.SC.CnE-360</t>
  </si>
  <si>
    <t>CnE-360[00]</t>
  </si>
  <si>
    <t>YPF.SC.CnE-364</t>
  </si>
  <si>
    <t>CnE-364[00]</t>
  </si>
  <si>
    <t>YPF.SC.CnE-367</t>
  </si>
  <si>
    <t>CnE-367[00]</t>
  </si>
  <si>
    <t>YPF.SC.CnE-381</t>
  </si>
  <si>
    <t>CnE-381[00]</t>
  </si>
  <si>
    <t>YPF.SC.CnE-409</t>
  </si>
  <si>
    <t>CnE-409[00]</t>
  </si>
  <si>
    <t>YPF.SC.CnE.a-417</t>
  </si>
  <si>
    <t>CnE-417[00]</t>
  </si>
  <si>
    <t>YPF.SC.CnE-439</t>
  </si>
  <si>
    <t>CnE-439[00]</t>
  </si>
  <si>
    <t>YPF.SC.CnE-451</t>
  </si>
  <si>
    <t>CnE-451[00]</t>
  </si>
  <si>
    <t>YPF.SC.CnE-452</t>
  </si>
  <si>
    <t>CnE-452[00]</t>
  </si>
  <si>
    <t>YPF.SC.CnE-507</t>
  </si>
  <si>
    <t>CnE-507[00]</t>
  </si>
  <si>
    <t>YPF.SC.CnE-527</t>
  </si>
  <si>
    <t>CnE-527[00]</t>
  </si>
  <si>
    <t>YPF.SC.CnE-528</t>
  </si>
  <si>
    <t>CnE-528[00]</t>
  </si>
  <si>
    <t>YPF.SC.CnE-530</t>
  </si>
  <si>
    <t>CnE-530[00]</t>
  </si>
  <si>
    <t>YPF.SC.CnE-577</t>
  </si>
  <si>
    <t>CnE-577[00]</t>
  </si>
  <si>
    <t>YPF.SC.CnE.a-594</t>
  </si>
  <si>
    <t>CnE-594[00]</t>
  </si>
  <si>
    <t>YPF.SC.CnE-617</t>
  </si>
  <si>
    <t>CnE-617[00]</t>
  </si>
  <si>
    <t>YPF.SC.CnE-625</t>
  </si>
  <si>
    <t>CnE-625[00]</t>
  </si>
  <si>
    <t>YPF.SC.CnE-635</t>
  </si>
  <si>
    <t>CnE-635[00]</t>
  </si>
  <si>
    <t>YPF.SC.CnE-647</t>
  </si>
  <si>
    <t>CnE-647[00]</t>
  </si>
  <si>
    <t>YPF.SC.CnE-650</t>
  </si>
  <si>
    <t>CnE-650[00]</t>
  </si>
  <si>
    <t>YPF.SC.CnE-702</t>
  </si>
  <si>
    <t>CnE-702[00]</t>
  </si>
  <si>
    <t>YPF.SC.CnE-715</t>
  </si>
  <si>
    <t>CnE-715[00]</t>
  </si>
  <si>
    <t>YPF.SC.CnE-754</t>
  </si>
  <si>
    <t>CnE-754[00]</t>
  </si>
  <si>
    <t>YPF.SC.CnE.a-765</t>
  </si>
  <si>
    <t>CnE-765[00]</t>
  </si>
  <si>
    <t>YPF.SC.CnE-800</t>
  </si>
  <si>
    <t>CnE-800[00]</t>
  </si>
  <si>
    <t>YPF.SC.CnE-835</t>
  </si>
  <si>
    <t>CnE-835[00]</t>
  </si>
  <si>
    <t>YPF.SC.CnE-842</t>
  </si>
  <si>
    <t>CnE-842[00]</t>
  </si>
  <si>
    <t>YPF.SC.LH-1084</t>
  </si>
  <si>
    <t>YPF.SC.CG-608</t>
  </si>
  <si>
    <t>CG-608[00]a</t>
  </si>
  <si>
    <t>YPF.SC.LH-1217</t>
  </si>
  <si>
    <t>LH-1217[00]</t>
  </si>
  <si>
    <t>YPF.SC.CG-825</t>
  </si>
  <si>
    <t>CG-825[00]</t>
  </si>
  <si>
    <t>YPF.SC.CG-816</t>
  </si>
  <si>
    <t>CG-816[00]</t>
  </si>
  <si>
    <t>YPF.SC.CnE-1130</t>
  </si>
  <si>
    <t>CnE-1130[00]</t>
  </si>
  <si>
    <t>YPF.SC.CnE-1196</t>
  </si>
  <si>
    <t>CnE-1196[00]</t>
  </si>
  <si>
    <t>YPF.SC.CnE-1271</t>
  </si>
  <si>
    <t>CnE-1271[00]</t>
  </si>
  <si>
    <t>YPF.SC.BB-145</t>
  </si>
  <si>
    <t>BB-145[00]</t>
  </si>
  <si>
    <t>YPF.SC.CnE-1306</t>
  </si>
  <si>
    <t>CnE-1306[00]</t>
  </si>
  <si>
    <t>YPF.SC.CG-874</t>
  </si>
  <si>
    <t>CG-874[00]</t>
  </si>
  <si>
    <t>YPF.SC.CG-955</t>
  </si>
  <si>
    <t>YPF.SC.O-171</t>
  </si>
  <si>
    <t>YPF.SC.LH-90</t>
  </si>
  <si>
    <t>YPF.SC.LH-240</t>
  </si>
  <si>
    <t>LH-240[00]</t>
  </si>
  <si>
    <t>YPF.SC.LH-662</t>
  </si>
  <si>
    <t>YPF.SC.LH-674</t>
  </si>
  <si>
    <t>YPF.SC.LH-698</t>
  </si>
  <si>
    <t>LH-698[00]</t>
  </si>
  <si>
    <t>YPF.SC.LH-719</t>
  </si>
  <si>
    <t>LH-719[00]</t>
  </si>
  <si>
    <t>YPF.SC.LH-789</t>
  </si>
  <si>
    <t>LH-789[00]</t>
  </si>
  <si>
    <t>YPF.SC.LH-795</t>
  </si>
  <si>
    <t>LH-795[00]</t>
  </si>
  <si>
    <t>YPF.SC.LH-809</t>
  </si>
  <si>
    <t>LH-809[00]</t>
  </si>
  <si>
    <t>YPF.SC.LH-857</t>
  </si>
  <si>
    <t>LH-857[00]</t>
  </si>
  <si>
    <t>YPF.SC.LH-934</t>
  </si>
  <si>
    <t>LH-934[00]</t>
  </si>
  <si>
    <t>YPF.SC.CG.a-49</t>
  </si>
  <si>
    <t>CG-49[00]</t>
  </si>
  <si>
    <t>YPF.SC.CG.a-85</t>
  </si>
  <si>
    <t>CG-85[00]</t>
  </si>
  <si>
    <t>YPF.SC.CG-248</t>
  </si>
  <si>
    <t>CG-248[00]</t>
  </si>
  <si>
    <t>YPF.SC.CG.a-292</t>
  </si>
  <si>
    <t>CG-292[00]</t>
  </si>
  <si>
    <t>YPF.SC.CG-377</t>
  </si>
  <si>
    <t>CG-377[00]</t>
  </si>
  <si>
    <t>YPF.SC.CG-505</t>
  </si>
  <si>
    <t>CG-505[00]</t>
  </si>
  <si>
    <t>YPF.SC.LC-171</t>
  </si>
  <si>
    <t>LC-171[00]</t>
  </si>
  <si>
    <t>YPF.SC.CnE.a-15</t>
  </si>
  <si>
    <t>CnE-15[00]</t>
  </si>
  <si>
    <t>YPF.SC.CnE-58</t>
  </si>
  <si>
    <t>CnE-58[00]</t>
  </si>
  <si>
    <t>YPF.SC.CnE-552</t>
  </si>
  <si>
    <t>CnE-552[00]</t>
  </si>
  <si>
    <t>YPF.SC.CnE-622</t>
  </si>
  <si>
    <t>CnE-622[00]</t>
  </si>
  <si>
    <t>YPF.SC.CnE-727</t>
  </si>
  <si>
    <t>CnE-727[00]</t>
  </si>
  <si>
    <t>YPF.SC.CnE-778</t>
  </si>
  <si>
    <t>CnE-778[00]</t>
  </si>
  <si>
    <t>YPF.SC.BB.a-2</t>
  </si>
  <si>
    <t>YPF.SC.CnE.a-5</t>
  </si>
  <si>
    <t>YPF.SC.CnE.a-91</t>
  </si>
  <si>
    <t>YPF.SC.LC-54</t>
  </si>
  <si>
    <t>YPF.SC.CnE-86</t>
  </si>
  <si>
    <t>CnE-86[00]</t>
  </si>
  <si>
    <t>YPF.SC.CnE.a-129</t>
  </si>
  <si>
    <t>CnE-129[00]</t>
  </si>
  <si>
    <t>YPF.SC.CnE-150</t>
  </si>
  <si>
    <t>CnE-150[00]</t>
  </si>
  <si>
    <t>YPF.SC.CnE-282</t>
  </si>
  <si>
    <t>CnE-282[00]</t>
  </si>
  <si>
    <t>YPF.SC.CnE-284</t>
  </si>
  <si>
    <t>CnE-284[00]</t>
  </si>
  <si>
    <t>YPF.SC.CnE.a-418</t>
  </si>
  <si>
    <t>CnE-418[00]</t>
  </si>
  <si>
    <t>YPF.SC.CnE-461</t>
  </si>
  <si>
    <t>CnE-461[00]</t>
  </si>
  <si>
    <t>YPF.SC.CnE-492</t>
  </si>
  <si>
    <t>CnE-492[00]</t>
  </si>
  <si>
    <t>YPF.SC.CnE-657</t>
  </si>
  <si>
    <t>CnE-657[00]</t>
  </si>
  <si>
    <t>YPF.SC.CnE-666</t>
  </si>
  <si>
    <t>CnE-666[00]</t>
  </si>
  <si>
    <t>YPF.SC.CnE-732</t>
  </si>
  <si>
    <t>CnE-732[00]</t>
  </si>
  <si>
    <t>YPF.SC.LH-53</t>
  </si>
  <si>
    <t>LH-53[00]</t>
  </si>
  <si>
    <t>YPF.SC.LH-143</t>
  </si>
  <si>
    <t>LH-143[00]</t>
  </si>
  <si>
    <t>YPF.SC.LH-174</t>
  </si>
  <si>
    <t>LH-174[00]</t>
  </si>
  <si>
    <t>YPF.SC.LH-483</t>
  </si>
  <si>
    <t>LH-483[00]</t>
  </si>
  <si>
    <t>YPF.SC.LH-571</t>
  </si>
  <si>
    <t>LH-571[00]</t>
  </si>
  <si>
    <t>YPF.SC.LH-617</t>
  </si>
  <si>
    <t>LH-617[00]</t>
  </si>
  <si>
    <t>YPF.SC.LH-648</t>
  </si>
  <si>
    <t>LH-648[00]</t>
  </si>
  <si>
    <t>YPF.SC.LH-832</t>
  </si>
  <si>
    <t>LH-832[00]</t>
  </si>
  <si>
    <t>YPF.SC.LH.a-841</t>
  </si>
  <si>
    <t>LH-841[00]</t>
  </si>
  <si>
    <t>YPF.SC.LH-882</t>
  </si>
  <si>
    <t>LH-882[00]</t>
  </si>
  <si>
    <t>YPF.SC.LH-933</t>
  </si>
  <si>
    <t>LH-933[00]</t>
  </si>
  <si>
    <t>YPF.SC.LH-937</t>
  </si>
  <si>
    <t>YPF.SC.CG-17</t>
  </si>
  <si>
    <t>CG-17[00]</t>
  </si>
  <si>
    <t>YPF.SC.CG.a-108</t>
  </si>
  <si>
    <t>CG-108[00]</t>
  </si>
  <si>
    <t>YPF.SC.CG-294</t>
  </si>
  <si>
    <t>CG-294[00]</t>
  </si>
  <si>
    <t>YPF.SC.CG-370</t>
  </si>
  <si>
    <t>CG-370[00]</t>
  </si>
  <si>
    <t>YPF.SC.CG.a-403</t>
  </si>
  <si>
    <t>CG-403[00]</t>
  </si>
  <si>
    <t>YPF.SC.CG-418</t>
  </si>
  <si>
    <t>CG-418[00]</t>
  </si>
  <si>
    <t>YPF.SC.CG-433</t>
  </si>
  <si>
    <t>CG-433[00]</t>
  </si>
  <si>
    <t>YPF.SC.CG-434</t>
  </si>
  <si>
    <t>CG-434[00]</t>
  </si>
  <si>
    <t>YPF.SC.CG-439</t>
  </si>
  <si>
    <t>CG-439[00]</t>
  </si>
  <si>
    <t>YPF.SC.CG-449</t>
  </si>
  <si>
    <t>CG-449[00]</t>
  </si>
  <si>
    <t>YPF.SC.CG-467</t>
  </si>
  <si>
    <t>CG-467[00]</t>
  </si>
  <si>
    <t>YPF.SC.CG-511</t>
  </si>
  <si>
    <t>CG-511[00]</t>
  </si>
  <si>
    <t>YPF.SC.LC-30</t>
  </si>
  <si>
    <t>LC-30[00]</t>
  </si>
  <si>
    <t>YPF.SC.LC-91</t>
  </si>
  <si>
    <t>LC-91[00]</t>
  </si>
  <si>
    <t>YPF.SC.N-30</t>
  </si>
  <si>
    <t>N-30[00]</t>
  </si>
  <si>
    <t>Recoil</t>
  </si>
  <si>
    <t>YPF.SC.CnE.a-31</t>
  </si>
  <si>
    <t>CnE-31[00]</t>
  </si>
  <si>
    <t>YPF.SC.CnE-198</t>
  </si>
  <si>
    <t>CnE-198[00]</t>
  </si>
  <si>
    <t>YPF.SC.CnE-206</t>
  </si>
  <si>
    <t>CnE-206[00]</t>
  </si>
  <si>
    <t>YPF.SC.CnE-244</t>
  </si>
  <si>
    <t>CnE-244[00]</t>
  </si>
  <si>
    <t>YPF.SC.CnE-317</t>
  </si>
  <si>
    <t>CnE-317[00]</t>
  </si>
  <si>
    <t>YPF.SC.CnE.a-337</t>
  </si>
  <si>
    <t>CnE-337[00]</t>
  </si>
  <si>
    <t>YPF.SC.CnE-432</t>
  </si>
  <si>
    <t>CnE-432[00]</t>
  </si>
  <si>
    <t>YPF.SC.CnE-446</t>
  </si>
  <si>
    <t>CnE-446[00]</t>
  </si>
  <si>
    <t>YPF.SC.CnE-464</t>
  </si>
  <si>
    <t>CnE-464[00]</t>
  </si>
  <si>
    <t>YPF.SC.CnE-562</t>
  </si>
  <si>
    <t>CnE-562[00]</t>
  </si>
  <si>
    <t>YPF.SC.CnE-572</t>
  </si>
  <si>
    <t>CnE-572[00]</t>
  </si>
  <si>
    <t>YPF.SC.CnE.a-581</t>
  </si>
  <si>
    <t>CnE-581[00]</t>
  </si>
  <si>
    <t>YPF.SC.CnE-697</t>
  </si>
  <si>
    <t>CnE-697[00]</t>
  </si>
  <si>
    <t>YPF.SC.CnE-828</t>
  </si>
  <si>
    <t>CnE-828[00]</t>
  </si>
  <si>
    <t>Completado / Esperando Producción</t>
  </si>
  <si>
    <t>YPF.SC.CG-640</t>
  </si>
  <si>
    <t>CG-640[00]</t>
  </si>
  <si>
    <t>YPF.SC.BB.a-67</t>
  </si>
  <si>
    <t>BB-67[00]</t>
  </si>
  <si>
    <t>YPF.SC.BB.a-70</t>
  </si>
  <si>
    <t>BB-70[00]</t>
  </si>
  <si>
    <t>YPF.SC.LHS.x-3</t>
  </si>
  <si>
    <t>LHS-3[00]</t>
  </si>
  <si>
    <t>YPF.SC.LH-263</t>
  </si>
  <si>
    <t>LH-263[00]</t>
  </si>
  <si>
    <t>YPF.SC.CnE.a-13</t>
  </si>
  <si>
    <t>YPF.SC.LC-64</t>
  </si>
  <si>
    <t>LC-64[00]</t>
  </si>
  <si>
    <t>YPF.SC.LC-27</t>
  </si>
  <si>
    <t>LC-27[00]</t>
  </si>
  <si>
    <t>YPF.SC.CG.a-293</t>
  </si>
  <si>
    <t>YPF.SC.LH-177</t>
  </si>
  <si>
    <t>YPF.SC.LH-233</t>
  </si>
  <si>
    <t>LH-233[00]</t>
  </si>
  <si>
    <t>YPF.SC.LH-265</t>
  </si>
  <si>
    <t>LH-265[00]</t>
  </si>
  <si>
    <t>YPF.SC.LH-466</t>
  </si>
  <si>
    <t>LH-466[00]</t>
  </si>
  <si>
    <t>YPF.SC.CG-89</t>
  </si>
  <si>
    <t>CG-89[00]</t>
  </si>
  <si>
    <t>YPF.SC.LC.a-631</t>
  </si>
  <si>
    <t>LC-631[00]a</t>
  </si>
  <si>
    <t>YPF.SC.LH-87</t>
  </si>
  <si>
    <t>LH-87[00]</t>
  </si>
  <si>
    <t>YPF.SC.LH-232</t>
  </si>
  <si>
    <t>LH-232[00]</t>
  </si>
  <si>
    <t>YPF.SC.LH-299</t>
  </si>
  <si>
    <t>LH-299[00]</t>
  </si>
  <si>
    <t>YPF.SC.LH-628</t>
  </si>
  <si>
    <t>LH-628[00]</t>
  </si>
  <si>
    <t>YPF.SC.LH-666</t>
  </si>
  <si>
    <t>LH-666[00]</t>
  </si>
  <si>
    <t>YPF.SC.LH-803</t>
  </si>
  <si>
    <t>LH-803[00]</t>
  </si>
  <si>
    <t>YPF.SC.LH.a-843</t>
  </si>
  <si>
    <t>LH.a-843[00]</t>
  </si>
  <si>
    <t>YPF.SC.LH-921</t>
  </si>
  <si>
    <t>LH-921[00]</t>
  </si>
  <si>
    <t>YPF.SC.CG.a-138</t>
  </si>
  <si>
    <t>CG-138[00]</t>
  </si>
  <si>
    <t>YPF.SC.CG-162</t>
  </si>
  <si>
    <t>CG-162[00]</t>
  </si>
  <si>
    <t>YPF.SC.CG-231</t>
  </si>
  <si>
    <t>CG-231[00]</t>
  </si>
  <si>
    <t>YPF.SC.CG-252</t>
  </si>
  <si>
    <t>CG-252[00]</t>
  </si>
  <si>
    <t>YPF.SC.CG-359</t>
  </si>
  <si>
    <t>CG-359[00]</t>
  </si>
  <si>
    <t>YPF.SC.CG-419</t>
  </si>
  <si>
    <t>CG-419[00]</t>
  </si>
  <si>
    <t>YPF.SC.CG-421</t>
  </si>
  <si>
    <t>CG-421[00]</t>
  </si>
  <si>
    <t>YPF.SC.LC-119</t>
  </si>
  <si>
    <t>LC-119[00]</t>
  </si>
  <si>
    <t>YPF.SC.CnE-41</t>
  </si>
  <si>
    <t>CnE-41[00]</t>
  </si>
  <si>
    <t>YPF.SC.CnE-161</t>
  </si>
  <si>
    <t>CnE-161[00]</t>
  </si>
  <si>
    <t>YPF.SC.CnE-208</t>
  </si>
  <si>
    <t>CnE-208[00]</t>
  </si>
  <si>
    <t>YPF.SC.CnE-222</t>
  </si>
  <si>
    <t>YPF.SC.CnE-243</t>
  </si>
  <si>
    <t>CnE-243[00]</t>
  </si>
  <si>
    <t>YPF.SC.CnE-303</t>
  </si>
  <si>
    <t>CnE-303[00]</t>
  </si>
  <si>
    <t>YPF.SC.CnE-331</t>
  </si>
  <si>
    <t>CnE-331[00]</t>
  </si>
  <si>
    <t>YPF.SC.CnE-354</t>
  </si>
  <si>
    <t>CnE-354[00]</t>
  </si>
  <si>
    <t>YPF.SC.CnE-614</t>
  </si>
  <si>
    <t>CnE-614[00]</t>
  </si>
  <si>
    <t>YPF.SC.CnE-624</t>
  </si>
  <si>
    <t>CnE-624[00]</t>
  </si>
  <si>
    <t>YPF.SC.CnE-663</t>
  </si>
  <si>
    <t>CnE-663[00]</t>
  </si>
  <si>
    <t>YPF.SC.CnE-670</t>
  </si>
  <si>
    <t>CnE-670[00]</t>
  </si>
  <si>
    <t>YPF.SC.CnE-675</t>
  </si>
  <si>
    <t>CnE-675[00]</t>
  </si>
  <si>
    <t>YPF.SC.CnE-681</t>
  </si>
  <si>
    <t>CnE-681[00]</t>
  </si>
  <si>
    <t>YPF.SC.CnE-720</t>
  </si>
  <si>
    <t>CnE-720[00]</t>
  </si>
  <si>
    <t>YPF.SC.CnE-736</t>
  </si>
  <si>
    <t>CnE-736[00]</t>
  </si>
  <si>
    <t>YPF.SC.CnE-781</t>
  </si>
  <si>
    <t>CnE-781[00]</t>
  </si>
  <si>
    <t>YPF.SC.CG-603</t>
  </si>
  <si>
    <t>CG-603[00]a</t>
  </si>
  <si>
    <t>YPF.SC.LH-1188</t>
  </si>
  <si>
    <t>LH-1188[00]</t>
  </si>
  <si>
    <t>YPF.SC.LH-1193</t>
  </si>
  <si>
    <t>LH-1193[00]</t>
  </si>
  <si>
    <t>YPF.SC.LH-1199</t>
  </si>
  <si>
    <t>LH-1199[00]</t>
  </si>
  <si>
    <t>YPF.SC.CG-724(d)</t>
  </si>
  <si>
    <t>CG-724[00]</t>
  </si>
  <si>
    <t>YPF.SC.CnE-1142</t>
  </si>
  <si>
    <t>CnE-1142[00]</t>
  </si>
  <si>
    <t>YPF.SC.CnE-1245</t>
  </si>
  <si>
    <t>CnE-1245[00]</t>
  </si>
  <si>
    <t>YPF.SC.CG-949</t>
  </si>
  <si>
    <t>CG-949[00]</t>
  </si>
  <si>
    <t>YPF.SC.CG-981</t>
  </si>
  <si>
    <t>CG-981[00]a</t>
  </si>
  <si>
    <t>YPF.SC.CnE-1463</t>
  </si>
  <si>
    <t>CnE-1463[00]a</t>
  </si>
  <si>
    <t>YPF.SC.CnE-1124</t>
  </si>
  <si>
    <t>CnE-1124[00]</t>
  </si>
  <si>
    <t>YPF.SC.CnE-1143</t>
  </si>
  <si>
    <t>CnE-1143[00]</t>
  </si>
  <si>
    <t>YPF.SC.LH-1227</t>
  </si>
  <si>
    <t>LH-1227[00]</t>
  </si>
  <si>
    <t>YPF.SC.CnE-1252(d)</t>
  </si>
  <si>
    <t>CnE-1252[00](d)</t>
  </si>
  <si>
    <t>YPF.SC.BB.xp-183</t>
  </si>
  <si>
    <t>YPF.SC.LH-1310</t>
  </si>
  <si>
    <t>LH-1310</t>
  </si>
  <si>
    <t>YPF.SC.BB.a-73</t>
  </si>
  <si>
    <t>BB-73[00]</t>
  </si>
  <si>
    <t>YPF.SC.LH.a-92</t>
  </si>
  <si>
    <t>YPF.SC.LH-125</t>
  </si>
  <si>
    <t>LH-125[00]</t>
  </si>
  <si>
    <t>YPF.SC.LH-296</t>
  </si>
  <si>
    <t>YPF.SC.CnE-878</t>
  </si>
  <si>
    <t>CnE-878[00]a</t>
  </si>
  <si>
    <t>YPF.SC.LH-981</t>
  </si>
  <si>
    <t>LH-981[00]a</t>
  </si>
  <si>
    <t>YPF.SC.CG-545</t>
  </si>
  <si>
    <t>CG-545[00]a</t>
  </si>
  <si>
    <t>YPF.SC.LH-1051</t>
  </si>
  <si>
    <t>LH-1051[00]a</t>
  </si>
  <si>
    <t>YPF.SC.LH.a-1072</t>
  </si>
  <si>
    <t>LH-1072[00]a</t>
  </si>
  <si>
    <t>YPF.SC.LH-1067</t>
  </si>
  <si>
    <t>LH-1067[00]a</t>
  </si>
  <si>
    <t>YPF.SC.CG-554</t>
  </si>
  <si>
    <t>CG-554[00]a</t>
  </si>
  <si>
    <t>YPF.SC.LH-1102</t>
  </si>
  <si>
    <t>LH-1102[00]a</t>
  </si>
  <si>
    <t>YPF.SC.CnE-937</t>
  </si>
  <si>
    <t>CnE-937[00]a</t>
  </si>
  <si>
    <t>YPF.SC.CnE-1006</t>
  </si>
  <si>
    <t>CnE-1006[00]</t>
  </si>
  <si>
    <t>YPF.SC.CnE-1110</t>
  </si>
  <si>
    <t>CnE-1110[00]</t>
  </si>
  <si>
    <t>YPF.SC.CnE-1224(d)</t>
  </si>
  <si>
    <t>CnE-1224[00](d)</t>
  </si>
  <si>
    <t>YPF.SC.CG-880</t>
  </si>
  <si>
    <t>CG-880[00]</t>
  </si>
  <si>
    <t>YPF.SC.BB-61</t>
  </si>
  <si>
    <t>BB-61[00]</t>
  </si>
  <si>
    <t>YPF.SC.CG-752(d)</t>
  </si>
  <si>
    <t>CG-752[00]</t>
  </si>
  <si>
    <t>YPF.SC.CG-747</t>
  </si>
  <si>
    <t>CG-747[00]</t>
  </si>
  <si>
    <t>YPF.SC.CG-800</t>
  </si>
  <si>
    <t>CG-800[00]</t>
  </si>
  <si>
    <t>YPF.SC.CG-834</t>
  </si>
  <si>
    <t>CG-834[00]</t>
  </si>
  <si>
    <t>YPF.SC.LH-1231</t>
  </si>
  <si>
    <t>LH-1231[00]</t>
  </si>
  <si>
    <t>YPF.SC.CG-815</t>
  </si>
  <si>
    <t>CG-815[00]</t>
  </si>
  <si>
    <t>YPF.SC.CG-896</t>
  </si>
  <si>
    <t>CG-896[00]</t>
  </si>
  <si>
    <t>YPF.SC.CG-877</t>
  </si>
  <si>
    <t>CG-877[00]</t>
  </si>
  <si>
    <t>YPF.SC.CnE-1322</t>
  </si>
  <si>
    <t>CnE-1322[00]a</t>
  </si>
  <si>
    <t>YPF.SC.BB-151</t>
  </si>
  <si>
    <t>BB-151[00]</t>
  </si>
  <si>
    <t>YPF.SC.LH.a-974</t>
  </si>
  <si>
    <t>LH-974[00]a</t>
  </si>
  <si>
    <t>YPF.SC.BB-106</t>
  </si>
  <si>
    <t>BB-106[00]a</t>
  </si>
  <si>
    <t>YPF.SC.BB-10</t>
  </si>
  <si>
    <t>BB-10[00]</t>
  </si>
  <si>
    <t>YPF.SC.LH-197</t>
  </si>
  <si>
    <t>LH-197[00]</t>
  </si>
  <si>
    <t>YPF.SC.CnE-862</t>
  </si>
  <si>
    <t>CnE-862[00]</t>
  </si>
  <si>
    <t>YPF.SC.CG.a-152</t>
  </si>
  <si>
    <t>CG-152[00]</t>
  </si>
  <si>
    <t>YPF.SC.CnE-868</t>
  </si>
  <si>
    <t>CnE-868[00]</t>
  </si>
  <si>
    <t>YPF.SC.CnE-870</t>
  </si>
  <si>
    <t>YPF.SC.CnE-882</t>
  </si>
  <si>
    <t>CnE-882[00]a</t>
  </si>
  <si>
    <t>YPF.SC.LH-987</t>
  </si>
  <si>
    <t>LH-987[00]a</t>
  </si>
  <si>
    <t>YPF.SC.CnE-1144</t>
  </si>
  <si>
    <t>CnE-1144[00]</t>
  </si>
  <si>
    <t>YPF.SC.BB-128</t>
  </si>
  <si>
    <t>BB-128[00]</t>
  </si>
  <si>
    <t>YPF.SC.CnE-1199(d)</t>
  </si>
  <si>
    <t>CnE-1199[00](d)</t>
  </si>
  <si>
    <t>YPF.SC.LH-1242</t>
  </si>
  <si>
    <t>LH-1242[00]</t>
  </si>
  <si>
    <t>YPF.SC.CG-868</t>
  </si>
  <si>
    <t>CG-868[00]</t>
  </si>
  <si>
    <t>YPF.SC.CnE-1315(d)</t>
  </si>
  <si>
    <t>CnE-1315[00](d)</t>
  </si>
  <si>
    <t>YPF.SC.CnE-1385</t>
  </si>
  <si>
    <t>CnE-1385[00]</t>
  </si>
  <si>
    <t>YPF.SC.CnE-1411</t>
  </si>
  <si>
    <t>CnE-1411[00]</t>
  </si>
  <si>
    <t>YPF.SC.LH-995</t>
  </si>
  <si>
    <t>LH-995[00]a</t>
  </si>
  <si>
    <t>YPF.SC.LH-999</t>
  </si>
  <si>
    <t>LH-999[00]a</t>
  </si>
  <si>
    <t>YPF.SC.LH-1042</t>
  </si>
  <si>
    <t>LH-1042[00]a</t>
  </si>
  <si>
    <t>YPF.SC.LH-1035</t>
  </si>
  <si>
    <t>LH-1035[00]a</t>
  </si>
  <si>
    <t>YPF.SC.CnE-911</t>
  </si>
  <si>
    <t>CnE-911[00]a</t>
  </si>
  <si>
    <t>YPF.SC.LH-1090</t>
  </si>
  <si>
    <t>LH-1090[00]a</t>
  </si>
  <si>
    <t>LH-1[00]a</t>
  </si>
  <si>
    <t>En Proyecto</t>
  </si>
  <si>
    <t>YPF.SC.LH-1122</t>
  </si>
  <si>
    <t>LH-1122[00]a</t>
  </si>
  <si>
    <t>YPF.SC.LH-77</t>
  </si>
  <si>
    <t>LH-77[00]</t>
  </si>
  <si>
    <t>YPF.SC.LH-267</t>
  </si>
  <si>
    <t>LH-267[00]</t>
  </si>
  <si>
    <t>YPF.SC.LH-282</t>
  </si>
  <si>
    <t>LH-282[00]</t>
  </si>
  <si>
    <t>YPF.SC.LH-292</t>
  </si>
  <si>
    <t>LH-292[00]</t>
  </si>
  <si>
    <t>YPF.SC.LH-542</t>
  </si>
  <si>
    <t>LH-542[00]</t>
  </si>
  <si>
    <t>YPF.SC.LH-568</t>
  </si>
  <si>
    <t>LH-568[00]</t>
  </si>
  <si>
    <t>YPF.SC.LH-626</t>
  </si>
  <si>
    <t>LH-626[00]</t>
  </si>
  <si>
    <t>YPF.SC.LH-687</t>
  </si>
  <si>
    <t>LH-687[00]</t>
  </si>
  <si>
    <t>YPF.SC.LH-693</t>
  </si>
  <si>
    <t>LH-693[00]</t>
  </si>
  <si>
    <t>YPF.SC.LH-716</t>
  </si>
  <si>
    <t>LH-716[00]</t>
  </si>
  <si>
    <t>YPF.SC.LH-752</t>
  </si>
  <si>
    <t>LH-752[00]</t>
  </si>
  <si>
    <t>YPF.SC.LH-753</t>
  </si>
  <si>
    <t>LH-753[00]</t>
  </si>
  <si>
    <t>YPF.SC.LH-808</t>
  </si>
  <si>
    <t>LH-808[00]</t>
  </si>
  <si>
    <t>YPF.SC.BB-48</t>
  </si>
  <si>
    <t>BB-48[00]</t>
  </si>
  <si>
    <t>YPF.SC.LH-966</t>
  </si>
  <si>
    <t>LH-966[00]</t>
  </si>
  <si>
    <t>YPF.SC.BB.a-66</t>
  </si>
  <si>
    <t>YPF.SC.CnE.a-3</t>
  </si>
  <si>
    <t>YPF.SC.CnE.a-10</t>
  </si>
  <si>
    <t>YPF.SC.CnE-95</t>
  </si>
  <si>
    <t>CnE-95[00]</t>
  </si>
  <si>
    <t>YPF.SC.CnE.a-195</t>
  </si>
  <si>
    <t>CnE-195[00]</t>
  </si>
  <si>
    <t>YPF.SC.LH.a-10</t>
  </si>
  <si>
    <t>LH-10[00]</t>
  </si>
  <si>
    <t>YPF.SC.CnE.a-339</t>
  </si>
  <si>
    <t>CnE-339[00]</t>
  </si>
  <si>
    <t>YPF.SC.LH-115</t>
  </si>
  <si>
    <t>LH-115[00]</t>
  </si>
  <si>
    <t>YPF.SC.LH-257</t>
  </si>
  <si>
    <t>YPF.SC.CG.a-125</t>
  </si>
  <si>
    <t>CG-125[00]</t>
  </si>
  <si>
    <t>YPF.SC.CG.a-624</t>
  </si>
  <si>
    <t>CG.a-624[00]</t>
  </si>
  <si>
    <t>YPF.SC.LH-1182</t>
  </si>
  <si>
    <t>LH-1182[00]</t>
  </si>
  <si>
    <t>YPF.SC.CG-622</t>
  </si>
  <si>
    <t>CG-622[00]</t>
  </si>
  <si>
    <t>YPF.SC.LH-1176</t>
  </si>
  <si>
    <t>LH-1176[00]</t>
  </si>
  <si>
    <t>YPF.SC.CG-648</t>
  </si>
  <si>
    <t>CG-648[00]</t>
  </si>
  <si>
    <t>YPF.SC.LH-1194</t>
  </si>
  <si>
    <t>LH-1194[00]</t>
  </si>
  <si>
    <t>YPF.SC.CG-709</t>
  </si>
  <si>
    <t>CG-709[00]</t>
  </si>
  <si>
    <t>YPF.SC.CnE-1088</t>
  </si>
  <si>
    <t>CnE-1088[00]</t>
  </si>
  <si>
    <t>YPF.SC.LH-1129</t>
  </si>
  <si>
    <t>LH-1129[00]</t>
  </si>
  <si>
    <t>YPF.SC.LH-1062</t>
  </si>
  <si>
    <t>YPF.SC.CnE-908</t>
  </si>
  <si>
    <t>CnE-908[00]a</t>
  </si>
  <si>
    <t>YPF.SC.CnE-917</t>
  </si>
  <si>
    <t>CnE-917[00]a</t>
  </si>
  <si>
    <t>YPF.SC.CG-566</t>
  </si>
  <si>
    <t>CG-566[00]a</t>
  </si>
  <si>
    <t>YPF.SC.CnE-949</t>
  </si>
  <si>
    <t>CnE-949[00]a</t>
  </si>
  <si>
    <t>YPF.SC.CG-628</t>
  </si>
  <si>
    <t>CG-628[00]</t>
  </si>
  <si>
    <t>YPF.SC.CG-632</t>
  </si>
  <si>
    <t>CG-632[00]</t>
  </si>
  <si>
    <t>YPF.SC.CG-638</t>
  </si>
  <si>
    <t>CG-638[00]</t>
  </si>
  <si>
    <t>YPF.SC.CG-714</t>
  </si>
  <si>
    <t>CG-714[00]</t>
  </si>
  <si>
    <t>YPF.SC.CnE-1055</t>
  </si>
  <si>
    <t>CnE-1055[00]</t>
  </si>
  <si>
    <t>YPF.SC.CnE-1063</t>
  </si>
  <si>
    <t>CnE-1063[00]</t>
  </si>
  <si>
    <t>YPF.SC.CnE-966</t>
  </si>
  <si>
    <t>CnE-966[00]</t>
  </si>
  <si>
    <t>YPF.SC.CG-630</t>
  </si>
  <si>
    <t>CG-630[00]</t>
  </si>
  <si>
    <t>YPF.SC.CG-686</t>
  </si>
  <si>
    <t>CG-686[00]</t>
  </si>
  <si>
    <t>YPF.SC.CG-685</t>
  </si>
  <si>
    <t>CG-685[00]</t>
  </si>
  <si>
    <t>YPF.SC.CG-711</t>
  </si>
  <si>
    <t>CG-711[00]</t>
  </si>
  <si>
    <t>YPF.SC.CnE-1058</t>
  </si>
  <si>
    <t>CnE-1058[00]</t>
  </si>
  <si>
    <t>YPF.SC.LH-1205</t>
  </si>
  <si>
    <t>LH-1205[00]</t>
  </si>
  <si>
    <t>YPF.SC.LH-1204</t>
  </si>
  <si>
    <t>LH-1204[00]</t>
  </si>
  <si>
    <t>YPF.SC.CG-802</t>
  </si>
  <si>
    <t>CG-802[00]</t>
  </si>
  <si>
    <t>YPF.SC.CnE-1121</t>
  </si>
  <si>
    <t>CnE-1121[00]</t>
  </si>
  <si>
    <t>YPF.SC.CnE-1213</t>
  </si>
  <si>
    <t>CnE-1213[00]</t>
  </si>
  <si>
    <t>YPF.SC.CnE-1192</t>
  </si>
  <si>
    <t>CnE-1192[00]</t>
  </si>
  <si>
    <t>YPF.SC.CnE-1206</t>
  </si>
  <si>
    <t>CnE-1206[00]</t>
  </si>
  <si>
    <t>YPF.SC.LH-1233</t>
  </si>
  <si>
    <t>LH-1233[00]</t>
  </si>
  <si>
    <t>YPF.SC.CG-943</t>
  </si>
  <si>
    <t>CG-943[00]</t>
  </si>
  <si>
    <t>YPF.SC.LH-862</t>
  </si>
  <si>
    <t>LH-862[00]</t>
  </si>
  <si>
    <t>YPF.SC.LH.a-871</t>
  </si>
  <si>
    <t>LH-871[00]</t>
  </si>
  <si>
    <t>YPF.SC.CG-118</t>
  </si>
  <si>
    <t>CG-118[00]</t>
  </si>
  <si>
    <t>YPF.SC.CG-313</t>
  </si>
  <si>
    <t>CG-313[00]</t>
  </si>
  <si>
    <t>YPF.SC.CG-362</t>
  </si>
  <si>
    <t>CG-362[00]</t>
  </si>
  <si>
    <t>YPF.SC.CG-388</t>
  </si>
  <si>
    <t>CG-388[00]</t>
  </si>
  <si>
    <t>YPF.SC.CG.a-402</t>
  </si>
  <si>
    <t>CG-402[00]</t>
  </si>
  <si>
    <t>YPF.SC.CG.a-417</t>
  </si>
  <si>
    <t>YPF.SC.LC-120</t>
  </si>
  <si>
    <t>LC-120[00]</t>
  </si>
  <si>
    <t>YPF.SC.N-19</t>
  </si>
  <si>
    <t>N-19[00]</t>
  </si>
  <si>
    <t>YPF.SC.CnE-146</t>
  </si>
  <si>
    <t>CnE-146[00]</t>
  </si>
  <si>
    <t>YPF.SC.CnE.a-227</t>
  </si>
  <si>
    <t>CnE-227[00]</t>
  </si>
  <si>
    <t>YPF.SC.CnE-232</t>
  </si>
  <si>
    <t>CnE-232[00]</t>
  </si>
  <si>
    <t>YPF.SC.CnE-278</t>
  </si>
  <si>
    <t>CnE-278[00]</t>
  </si>
  <si>
    <t>YPF.SC.CnE.a-413</t>
  </si>
  <si>
    <t>CnE-413[00]</t>
  </si>
  <si>
    <t>YPF.SC.CnE-498</t>
  </si>
  <si>
    <t>CnE-498[00]</t>
  </si>
  <si>
    <t>YPF.SC.CnE.a-568</t>
  </si>
  <si>
    <t>CnE-568[00]</t>
  </si>
  <si>
    <t>YPF.SC.CnE-642</t>
  </si>
  <si>
    <t>CnE-642[00]</t>
  </si>
  <si>
    <t>YPF.SC.CnE-669</t>
  </si>
  <si>
    <t>CnE-669[00]</t>
  </si>
  <si>
    <t>YPF.SC.CnE-724</t>
  </si>
  <si>
    <t>CnE-724[00]</t>
  </si>
  <si>
    <t>YPF.SC.BB-89</t>
  </si>
  <si>
    <t>BB-89[00]</t>
  </si>
  <si>
    <t>YPF.SC.LH.a-73</t>
  </si>
  <si>
    <t>LH-73[00]</t>
  </si>
  <si>
    <t>YPF.SC.LH-118</t>
  </si>
  <si>
    <t>LH-118[00]</t>
  </si>
  <si>
    <t>YPF.SC.LH.a-156</t>
  </si>
  <si>
    <t>LH-156[00]</t>
  </si>
  <si>
    <t>YPF.SC.CG-205</t>
  </si>
  <si>
    <t>YPF.SC.LH.a-457</t>
  </si>
  <si>
    <t>YPF.SC.CnE-877</t>
  </si>
  <si>
    <t>YPF.SC.CG-513</t>
  </si>
  <si>
    <t>CG-513[00]a</t>
  </si>
  <si>
    <t>YPF.SC.CnE-942</t>
  </si>
  <si>
    <t>CnE-942[00]a</t>
  </si>
  <si>
    <t>YPF.SC.CnE-946</t>
  </si>
  <si>
    <t>CnE-946[00]a</t>
  </si>
  <si>
    <t>YPF.SC.LH-1147</t>
  </si>
  <si>
    <t>LH-1147[00]a</t>
  </si>
  <si>
    <t>YPF.SC.CG-673</t>
  </si>
  <si>
    <t>CG-673[00]</t>
  </si>
  <si>
    <t>YPF.SC.LH.a-37</t>
  </si>
  <si>
    <t>LH-37[00]</t>
  </si>
  <si>
    <t>YPF.SC.LH-85</t>
  </si>
  <si>
    <t>LH-85[00]</t>
  </si>
  <si>
    <t>YPF.SC.LH-180</t>
  </si>
  <si>
    <t>LH-180[00]</t>
  </si>
  <si>
    <t>YPF.SC.LH-200</t>
  </si>
  <si>
    <t>YPF.SC.LH-212</t>
  </si>
  <si>
    <t>YPF.SC.LH-529</t>
  </si>
  <si>
    <t>LH-529[00]</t>
  </si>
  <si>
    <t>YPF.SC.LH-700</t>
  </si>
  <si>
    <t>LH-700[00]</t>
  </si>
  <si>
    <t>YPF.SC.LH-707</t>
  </si>
  <si>
    <t>LH-707[00]</t>
  </si>
  <si>
    <t>YPF.SC.LH-714</t>
  </si>
  <si>
    <t>LH-714[00]</t>
  </si>
  <si>
    <t>YPF.SC.LH-833</t>
  </si>
  <si>
    <t>LH-833[00]</t>
  </si>
  <si>
    <t>YPF.SC.LH-910</t>
  </si>
  <si>
    <t>LH-910[00]</t>
  </si>
  <si>
    <t>YPF.SC.CG-18</t>
  </si>
  <si>
    <t>CG-18[00]</t>
  </si>
  <si>
    <t>YPF.SC.CG-149</t>
  </si>
  <si>
    <t>CG-149[00]</t>
  </si>
  <si>
    <t>YPF.SC.CG-158</t>
  </si>
  <si>
    <t>CG-158[00]</t>
  </si>
  <si>
    <t>YPF.SC.CG-230</t>
  </si>
  <si>
    <t>CG-230[00]</t>
  </si>
  <si>
    <t>YPF.SC.CG.a-273</t>
  </si>
  <si>
    <t>YPF.SC.CG-325</t>
  </si>
  <si>
    <t>CG-325[00]</t>
  </si>
  <si>
    <t>YPF.SC.CG-443</t>
  </si>
  <si>
    <t>CG-443[00]</t>
  </si>
  <si>
    <t>YPF.SC.CnE-109</t>
  </si>
  <si>
    <t>CnE-109[00]</t>
  </si>
  <si>
    <t>YPF.SC.CnE-155</t>
  </si>
  <si>
    <t>CnE-155[00]</t>
  </si>
  <si>
    <t>YPF.SC.CnE-218</t>
  </si>
  <si>
    <t>CnE-218[00]</t>
  </si>
  <si>
    <t>YPF.SC.CnE-238</t>
  </si>
  <si>
    <t>CnE-238[00]</t>
  </si>
  <si>
    <t>YPF.SC.CnE-262</t>
  </si>
  <si>
    <t>CnE-262[00]</t>
  </si>
  <si>
    <t>YPF.SC.CnE-388</t>
  </si>
  <si>
    <t>YPF.SC.CnE-395</t>
  </si>
  <si>
    <t>CnE-395[00]</t>
  </si>
  <si>
    <t>YPF.SC.CnE-419</t>
  </si>
  <si>
    <t>YPF.SC.CnE-437</t>
  </si>
  <si>
    <t>CnE-437[00]</t>
  </si>
  <si>
    <t>YPF.SC.CnE-447</t>
  </si>
  <si>
    <t>CnE-447[00]</t>
  </si>
  <si>
    <t>YPF.SC.CnE-450</t>
  </si>
  <si>
    <t>CnE-450[00]</t>
  </si>
  <si>
    <t>YPF.SC.CnE.a-597</t>
  </si>
  <si>
    <t>CnE-597[00]</t>
  </si>
  <si>
    <t>YPF.SC.CnE.a-613</t>
  </si>
  <si>
    <t>CnE-613[00]</t>
  </si>
  <si>
    <t>YPF.SC.CnE-631</t>
  </si>
  <si>
    <t>CnE-631[00]</t>
  </si>
  <si>
    <t>YPF.SC.CnE-767</t>
  </si>
  <si>
    <t>CnE-767[00]</t>
  </si>
  <si>
    <t>YPF.SC.CnE-829</t>
  </si>
  <si>
    <t>CnE-829[00]</t>
  </si>
  <si>
    <t>YPF.SC.CnE-843</t>
  </si>
  <si>
    <t>CnE-843[00]</t>
  </si>
  <si>
    <t>YPF.SC.CnE-889</t>
  </si>
  <si>
    <t>CnE-889[00]a</t>
  </si>
  <si>
    <t>YPF.SC.LH-998</t>
  </si>
  <si>
    <t>LH-998[00]a</t>
  </si>
  <si>
    <t>YPF.SC.CnE.a-900</t>
  </si>
  <si>
    <t>CnE-900[00]a</t>
  </si>
  <si>
    <t>YPF.SC.LC-974</t>
  </si>
  <si>
    <t>LC-974[00]a</t>
  </si>
  <si>
    <t>YPF.SC.LH-1301</t>
  </si>
  <si>
    <t>LH-1301[00]</t>
  </si>
  <si>
    <t>YPF.SC.CG-795</t>
  </si>
  <si>
    <t>CG-795[00]</t>
  </si>
  <si>
    <t>YPF.SC.CG-791</t>
  </si>
  <si>
    <t>CG-791[00]</t>
  </si>
  <si>
    <t>YPF.SC.CG-748</t>
  </si>
  <si>
    <t>CG-748[00]</t>
  </si>
  <si>
    <t>YPF.SC.CnE-1145</t>
  </si>
  <si>
    <t>YPF.SC.BB-130</t>
  </si>
  <si>
    <t>BB-130[00]</t>
  </si>
  <si>
    <t>YPF.SC.LH-1222</t>
  </si>
  <si>
    <t>LH-1222[00]</t>
  </si>
  <si>
    <t>YPF.SC.CG-833</t>
  </si>
  <si>
    <t>CG-833[00]</t>
  </si>
  <si>
    <t>YPF.SC.LH-1261</t>
  </si>
  <si>
    <t>LH-1261[00]</t>
  </si>
  <si>
    <t>YPF.SC.CnE-1326</t>
  </si>
  <si>
    <t>CnE-1326[00]</t>
  </si>
  <si>
    <t>YPF.SC.BB.a-32</t>
  </si>
  <si>
    <t>BB-32[00]</t>
  </si>
  <si>
    <t>YPF.SC.CEO.x-1</t>
  </si>
  <si>
    <t>YPF.SC.BB-49</t>
  </si>
  <si>
    <t>BB-49[00]</t>
  </si>
  <si>
    <t>YPF.SC.CnE.a-341</t>
  </si>
  <si>
    <t>YPF.SC.LH-167</t>
  </si>
  <si>
    <t>LH-167[00]</t>
  </si>
  <si>
    <t>YPF.SC.LH.a-493</t>
  </si>
  <si>
    <t>YPF.SC.CG-145</t>
  </si>
  <si>
    <t>YPF.SC.CnE-867</t>
  </si>
  <si>
    <t>CnE-867[00]</t>
  </si>
  <si>
    <t>YPF.SC.CG-536</t>
  </si>
  <si>
    <t>YPF.SC.CG.a-542</t>
  </si>
  <si>
    <t>CG-542[00]a</t>
  </si>
  <si>
    <t>YPF.SC.CG-538</t>
  </si>
  <si>
    <t>CG-538[00]a</t>
  </si>
  <si>
    <t>YPF.SC.BB-13</t>
  </si>
  <si>
    <t>BB-13[00]</t>
  </si>
  <si>
    <t>YPF.SC.BB-63</t>
  </si>
  <si>
    <t>BB-63[00]</t>
  </si>
  <si>
    <t>YPF.SC.LHS.x-1</t>
  </si>
  <si>
    <t>LHS-1[00]</t>
  </si>
  <si>
    <t>YPF.SC.BB-22</t>
  </si>
  <si>
    <t>BB-22[00]</t>
  </si>
  <si>
    <t>YPF.SC.BB-51</t>
  </si>
  <si>
    <t>YPF.SC.CnE.a-2</t>
  </si>
  <si>
    <t>CnE-2[00]</t>
  </si>
  <si>
    <t>YPF.SC.LH-200(I)</t>
  </si>
  <si>
    <t>LH-200(I)[00]</t>
  </si>
  <si>
    <t>YPF.SC.LC-39</t>
  </si>
  <si>
    <t>LC-39[00]</t>
  </si>
  <si>
    <t>YPF.SC.CnE.a-481</t>
  </si>
  <si>
    <t>CnE-481[00]</t>
  </si>
  <si>
    <t>YPF.SC.LH-74</t>
  </si>
  <si>
    <t>LH-74[00]</t>
  </si>
  <si>
    <t>YPF.SC.LH-121</t>
  </si>
  <si>
    <t>YPF.SC.CG.a-221</t>
  </si>
  <si>
    <t>YPF.SC.CG.a-222</t>
  </si>
  <si>
    <t>YPF.SC.LH-202</t>
  </si>
  <si>
    <t>YPF.SC.LH-505</t>
  </si>
  <si>
    <t>LH-505[00]</t>
  </si>
  <si>
    <t>YPF.SC.LH-591</t>
  </si>
  <si>
    <t>LH-591[00]</t>
  </si>
  <si>
    <t>YPF.SC.CnE.a-860</t>
  </si>
  <si>
    <t>CnE-860[00]</t>
  </si>
  <si>
    <t>YPF.SC.CG.a-22</t>
  </si>
  <si>
    <t>YPF.SC.CG-25</t>
  </si>
  <si>
    <t>CG-25[00]</t>
  </si>
  <si>
    <t>YPF.SC.CG-67</t>
  </si>
  <si>
    <t>CG-67[00]</t>
  </si>
  <si>
    <t>YPF.SC.LC-628</t>
  </si>
  <si>
    <t>YPF.SC.LH.a-1010</t>
  </si>
  <si>
    <t>LH-1010[00]a</t>
  </si>
  <si>
    <t>YPF.SC.O-2</t>
  </si>
  <si>
    <t>YPF.SC.LH-253</t>
  </si>
  <si>
    <t>LH-253[00]</t>
  </si>
  <si>
    <t>YPF.SC.LH-322</t>
  </si>
  <si>
    <t>LH-322[00]</t>
  </si>
  <si>
    <t>YPF.SC.LH-481</t>
  </si>
  <si>
    <t>LH-481[00]</t>
  </si>
  <si>
    <t>YPF.SC.LH-578</t>
  </si>
  <si>
    <t>LH-578[00]</t>
  </si>
  <si>
    <t>YPF.SC.LH-600</t>
  </si>
  <si>
    <t>LH-600[00]</t>
  </si>
  <si>
    <t>YPF.SC.LH-643</t>
  </si>
  <si>
    <t>LH-643[00]</t>
  </si>
  <si>
    <t>YPF.SC.LH-656</t>
  </si>
  <si>
    <t>LH-656[00]</t>
  </si>
  <si>
    <t>YPF.SC.LH-681</t>
  </si>
  <si>
    <t>LH-681[00]</t>
  </si>
  <si>
    <t>YPF.SC.LH-800</t>
  </si>
  <si>
    <t>LH-800[00]</t>
  </si>
  <si>
    <t>YPF.SC.LH-801</t>
  </si>
  <si>
    <t>LH-801[00]</t>
  </si>
  <si>
    <t>YPF.SC.LH-806</t>
  </si>
  <si>
    <t>LH-806[00]</t>
  </si>
  <si>
    <t>YPF.SC.LH-848</t>
  </si>
  <si>
    <t>LH-848[00]</t>
  </si>
  <si>
    <t>YPF.SC.LH-880</t>
  </si>
  <si>
    <t>LH-880[00]</t>
  </si>
  <si>
    <t>YPF.SC.LH-889</t>
  </si>
  <si>
    <t>LH-889[00]</t>
  </si>
  <si>
    <t>YPF.SC.LH-894</t>
  </si>
  <si>
    <t>LH-894[00]</t>
  </si>
  <si>
    <t>YPF.SC.LH-911</t>
  </si>
  <si>
    <t>LH-911[00]</t>
  </si>
  <si>
    <t>YPF.SC.LH-914</t>
  </si>
  <si>
    <t>LH-914[00]</t>
  </si>
  <si>
    <t>YPF.SC.LH-940</t>
  </si>
  <si>
    <t>LH-940[00]</t>
  </si>
  <si>
    <t>YPF.SC.LH-953</t>
  </si>
  <si>
    <t>LH-953[00]</t>
  </si>
  <si>
    <t>YPF.SC.CG-123</t>
  </si>
  <si>
    <t>CG-123[00]</t>
  </si>
  <si>
    <t>YPF.SC.CG.a-184</t>
  </si>
  <si>
    <t>CG-184[00]</t>
  </si>
  <si>
    <t>YPF.SC.CG-217</t>
  </si>
  <si>
    <t>YPF.SC.CG-234</t>
  </si>
  <si>
    <t>CG-234[00]</t>
  </si>
  <si>
    <t>YPF.SC.CG-268</t>
  </si>
  <si>
    <t>CG-268[00]</t>
  </si>
  <si>
    <t>YPF.SC.CG-371</t>
  </si>
  <si>
    <t>CG-371[00]</t>
  </si>
  <si>
    <t>YPF.SC.CG-380</t>
  </si>
  <si>
    <t>CG-380[00]</t>
  </si>
  <si>
    <t>YPF.SC.CG.a-408</t>
  </si>
  <si>
    <t>CG-408[00]</t>
  </si>
  <si>
    <t>YPF.SC.LC-76</t>
  </si>
  <si>
    <t>LC-76[00]</t>
  </si>
  <si>
    <t>YPF.SC.LC-455</t>
  </si>
  <si>
    <t>LC-455[00]</t>
  </si>
  <si>
    <t>YPF.SC.ECa.x-3</t>
  </si>
  <si>
    <t>YPF.SC.CnE-46</t>
  </si>
  <si>
    <t>CnE-46[00]</t>
  </si>
  <si>
    <t>YPF.SC.CnE-71</t>
  </si>
  <si>
    <t>CnE-71[00]</t>
  </si>
  <si>
    <t>YPF.SC.CnE-131</t>
  </si>
  <si>
    <t>CnE-131[00]</t>
  </si>
  <si>
    <t>YPF.SC.CnE-207</t>
  </si>
  <si>
    <t>CnE-207[00]</t>
  </si>
  <si>
    <t>YPF.SC.CnE-246</t>
  </si>
  <si>
    <t>CnE-246[00]</t>
  </si>
  <si>
    <t>YPF.SC.CnE-299</t>
  </si>
  <si>
    <t>CnE-299[00]</t>
  </si>
  <si>
    <t>YPF.SC.CnE-309</t>
  </si>
  <si>
    <t>CnE-309[00]</t>
  </si>
  <si>
    <t>YPF.SC.CnE.a-338</t>
  </si>
  <si>
    <t>CnE-338[00]</t>
  </si>
  <si>
    <t>YPF.SC.CnE.a-376</t>
  </si>
  <si>
    <t>CnE-376[00]</t>
  </si>
  <si>
    <t>YPF.SC.CnE-401</t>
  </si>
  <si>
    <t>CnE-401[00]</t>
  </si>
  <si>
    <t>YPF.SC.CnE-416</t>
  </si>
  <si>
    <t>CnE-416[00]</t>
  </si>
  <si>
    <t>YPF.SC.CnE-423</t>
  </si>
  <si>
    <t>CnE-423[00]</t>
  </si>
  <si>
    <t>YPF.SC.CnE-429</t>
  </si>
  <si>
    <t>CnE-429[00]</t>
  </si>
  <si>
    <t>YPF.SC.CnE-436</t>
  </si>
  <si>
    <t>CnE-436[00]</t>
  </si>
  <si>
    <t>YPF.SC.CnE-453</t>
  </si>
  <si>
    <t>CnE-453[00]</t>
  </si>
  <si>
    <t>YPF.SC.CnE.a-580</t>
  </si>
  <si>
    <t>CnE-580[00]</t>
  </si>
  <si>
    <t>YPF.SC.CnE-629</t>
  </si>
  <si>
    <t>CnE-629[00]</t>
  </si>
  <si>
    <t>YPF.SC.CnE-770</t>
  </si>
  <si>
    <t>CnE-770[00]</t>
  </si>
  <si>
    <t>YPF.SC.LH-1004</t>
  </si>
  <si>
    <t>LH-1004[00]a</t>
  </si>
  <si>
    <t>YPF.SC.LH.a-69</t>
  </si>
  <si>
    <t>LH-69[00]</t>
  </si>
  <si>
    <t>YPF.SC.LH-140</t>
  </si>
  <si>
    <t>YPF.SC.LH-149</t>
  </si>
  <si>
    <t>LH-149[00]</t>
  </si>
  <si>
    <t>YPF.SC.LH-172</t>
  </si>
  <si>
    <t>LH-172[00]</t>
  </si>
  <si>
    <t>YPF.SC.LH-181</t>
  </si>
  <si>
    <t>LH-181[00]</t>
  </si>
  <si>
    <t>YPF.SC.LH-573</t>
  </si>
  <si>
    <t>LH-573[00]</t>
  </si>
  <si>
    <t>YPF.SC.LH-665</t>
  </si>
  <si>
    <t>LH-665[00]</t>
  </si>
  <si>
    <t>YPF.SC.LH-853</t>
  </si>
  <si>
    <t>LH-853[00]</t>
  </si>
  <si>
    <t>YPF.SC.LH-858</t>
  </si>
  <si>
    <t>LH-858[00]</t>
  </si>
  <si>
    <t>YPF.SC.LH-895</t>
  </si>
  <si>
    <t>LH-895[00]</t>
  </si>
  <si>
    <t>YPF.SC.LH-950</t>
  </si>
  <si>
    <t>LH-950[00]</t>
  </si>
  <si>
    <t>YPF.SC.CG.a-78</t>
  </si>
  <si>
    <t>CG.a-78[00]</t>
  </si>
  <si>
    <t>YPF.SC.CG-119</t>
  </si>
  <si>
    <t>CG-119[00]</t>
  </si>
  <si>
    <t>YPF.SC.CG-235</t>
  </si>
  <si>
    <t>CG-235[00]</t>
  </si>
  <si>
    <t>YPF.SC.CG.a-470</t>
  </si>
  <si>
    <t>CG-470[00]</t>
  </si>
  <si>
    <t>YPF.SC.CG.a-472</t>
  </si>
  <si>
    <t>CG-472[00]</t>
  </si>
  <si>
    <t>YPF.SC.LH-633</t>
  </si>
  <si>
    <t>LH-633[00]</t>
  </si>
  <si>
    <t>YPF.SC.LH-688</t>
  </si>
  <si>
    <t>LH-688[00]</t>
  </si>
  <si>
    <t>YPF.SC.LH-696</t>
  </si>
  <si>
    <t>LH-696[00]</t>
  </si>
  <si>
    <t>YPF.SC.LH-756</t>
  </si>
  <si>
    <t>LH-756[00]</t>
  </si>
  <si>
    <t>YPF.SC.LH-896</t>
  </si>
  <si>
    <t>LH-896[00]</t>
  </si>
  <si>
    <t>YPF.SC.LH-916</t>
  </si>
  <si>
    <t>LH-916[00]</t>
  </si>
  <si>
    <t>YPF.SC.LH-917</t>
  </si>
  <si>
    <t>LH-917[00]</t>
  </si>
  <si>
    <t>YPF.SC.CG-133</t>
  </si>
  <si>
    <t>CG-133[00]</t>
  </si>
  <si>
    <t>YPF.SC.CG-295</t>
  </si>
  <si>
    <t>CG-295[00]</t>
  </si>
  <si>
    <t>YPF.SC.LC.a-362</t>
  </si>
  <si>
    <t>LC-362[00]</t>
  </si>
  <si>
    <t>YPF.SC.LC-534</t>
  </si>
  <si>
    <t>LC-534[00]</t>
  </si>
  <si>
    <t>YPF.SC.N-47</t>
  </si>
  <si>
    <t>YPF.SC.CnE-107</t>
  </si>
  <si>
    <t>CnE-107[00]</t>
  </si>
  <si>
    <t>YPF.SC.CnE-211</t>
  </si>
  <si>
    <t>CnE-211[00]</t>
  </si>
  <si>
    <t>YPF.SC.CnE-280</t>
  </si>
  <si>
    <t>CnE-280[00]</t>
  </si>
  <si>
    <t>YPF.SC.CnE-281</t>
  </si>
  <si>
    <t>CnE-281[00]</t>
  </si>
  <si>
    <t>YPF.SC.CnE-320</t>
  </si>
  <si>
    <t>CnE-320[00]</t>
  </si>
  <si>
    <t>YPF.SC.CnE-366</t>
  </si>
  <si>
    <t>CnE-366[00]</t>
  </si>
  <si>
    <t>YPF.SC.CnE-438</t>
  </si>
  <si>
    <t>CnE-438[00]</t>
  </si>
  <si>
    <t>YPF.SC.CnE-465</t>
  </si>
  <si>
    <t>CnE-465[00]</t>
  </si>
  <si>
    <t>YPF.SC.CnE-505</t>
  </si>
  <si>
    <t>CnE-505[00]</t>
  </si>
  <si>
    <t>YPF.SC.CnE-840</t>
  </si>
  <si>
    <t>CnE-840[00]</t>
  </si>
  <si>
    <t>YPF.SC.LH-581</t>
  </si>
  <si>
    <t>LH-581[00]</t>
  </si>
  <si>
    <t>YPF.SC.LH-605</t>
  </si>
  <si>
    <t>LH-605[00]</t>
  </si>
  <si>
    <t>YPF.SC.LH-651</t>
  </si>
  <si>
    <t>LH-651[00]</t>
  </si>
  <si>
    <t>YPF.SC.LH-792</t>
  </si>
  <si>
    <t>LH-792[00]</t>
  </si>
  <si>
    <t>YPF.SC.LH.a-840</t>
  </si>
  <si>
    <t>LH-840[00]</t>
  </si>
  <si>
    <t>YPF.SC.LH-936</t>
  </si>
  <si>
    <t>YPF.SC.LH-959</t>
  </si>
  <si>
    <t>LH-959[00]</t>
  </si>
  <si>
    <t>YPF.SC.CG-58</t>
  </si>
  <si>
    <t>CG-58[00]</t>
  </si>
  <si>
    <t>YPF.SC.CG-170</t>
  </si>
  <si>
    <t>CG-170[00]</t>
  </si>
  <si>
    <t>YPF.SC.CG-210</t>
  </si>
  <si>
    <t>CG-210[00]</t>
  </si>
  <si>
    <t>YPF.SC.CG-250</t>
  </si>
  <si>
    <t>CG-250[00]</t>
  </si>
  <si>
    <t>YPF.SC.CG-343</t>
  </si>
  <si>
    <t>CG-343[00]</t>
  </si>
  <si>
    <t>YPF.SC.CG-379</t>
  </si>
  <si>
    <t>CG-379[00]</t>
  </si>
  <si>
    <t>YPF.SC.CG-440</t>
  </si>
  <si>
    <t>CG-440[00]</t>
  </si>
  <si>
    <t>YPF.SC.CG-500</t>
  </si>
  <si>
    <t>CG-500[00]</t>
  </si>
  <si>
    <t>YPF.SC.LC-21</t>
  </si>
  <si>
    <t>LC-21[00]</t>
  </si>
  <si>
    <t>YPF.SC.N-4</t>
  </si>
  <si>
    <t>YPF.SC.N-38</t>
  </si>
  <si>
    <t>YPF.SC.CnE-33</t>
  </si>
  <si>
    <t>CnE-33[00]</t>
  </si>
  <si>
    <t>YPF.SC.CnE-201</t>
  </si>
  <si>
    <t>CnE-201[00]</t>
  </si>
  <si>
    <t>YPF.SC.CnE-251</t>
  </si>
  <si>
    <t>CnE-251[00]</t>
  </si>
  <si>
    <t>YPF.SC.CnE-379</t>
  </si>
  <si>
    <t>CnE-379[00]</t>
  </si>
  <si>
    <t>YPF.SC.CnE-406</t>
  </si>
  <si>
    <t>CnE-406[00]</t>
  </si>
  <si>
    <t>YPF.SC.CnE.a-478</t>
  </si>
  <si>
    <t>CnE-478[00]</t>
  </si>
  <si>
    <t>YPF.SC.CnE-514</t>
  </si>
  <si>
    <t>CnE-514[00]</t>
  </si>
  <si>
    <t>YPF.SC.CnE-531</t>
  </si>
  <si>
    <t>CnE-531[00]</t>
  </si>
  <si>
    <t>YPF.SC.CnE-661</t>
  </si>
  <si>
    <t>CnE-661[00]</t>
  </si>
  <si>
    <t>YPF.SC.CnE-728</t>
  </si>
  <si>
    <t>CnE-728[00]</t>
  </si>
  <si>
    <t>YPF.SC.CnE-786</t>
  </si>
  <si>
    <t>CnE-786[00]</t>
  </si>
  <si>
    <t>YPF.SC.CnE-792</t>
  </si>
  <si>
    <t>CnE-792[00]</t>
  </si>
  <si>
    <t>YPF.SC.PSA.x-1</t>
  </si>
  <si>
    <t>PSA-1[00]</t>
  </si>
  <si>
    <t>YPF.SC.CG-498</t>
  </si>
  <si>
    <t>CG-498[00]a</t>
  </si>
  <si>
    <t>YPF.SC.LH-1127</t>
  </si>
  <si>
    <t>LH-1127[00]a</t>
  </si>
  <si>
    <t>YPF.SC.LH-1164</t>
  </si>
  <si>
    <t>LH-1164[00]</t>
  </si>
  <si>
    <t>YPF.SC.LH-1170</t>
  </si>
  <si>
    <t>LH-1170[00]</t>
  </si>
  <si>
    <t>YPF.SC.LH-1177</t>
  </si>
  <si>
    <t>LH-1177[00]</t>
  </si>
  <si>
    <t>YPF.SC.CG-659</t>
  </si>
  <si>
    <t>CG-659[00]</t>
  </si>
  <si>
    <t>YPF.SC.CnE-1001</t>
  </si>
  <si>
    <t>CnE-1001[00]</t>
  </si>
  <si>
    <t>YPF.SC.LH-1187</t>
  </si>
  <si>
    <t>LH-1187[00]</t>
  </si>
  <si>
    <t>YPF.SC.CnE-1052</t>
  </si>
  <si>
    <t>CnE-1052[00]</t>
  </si>
  <si>
    <t>YPF.SC.CnE.a-1137</t>
  </si>
  <si>
    <t>CnE.a-1137[00]</t>
  </si>
  <si>
    <t>YPF.SC.CG-788</t>
  </si>
  <si>
    <t>CG-788[00]</t>
  </si>
  <si>
    <t>YPF.SC.CnE-1197</t>
  </si>
  <si>
    <t>CnE-1197[00]</t>
  </si>
  <si>
    <t>YPF.SC.LH-1224</t>
  </si>
  <si>
    <t>LH-1224[00]</t>
  </si>
  <si>
    <t>YPF.SC.LH-1230</t>
  </si>
  <si>
    <t>LH-1230[00]</t>
  </si>
  <si>
    <t>YPF.SC.LH-1253</t>
  </si>
  <si>
    <t>LH-1253[00]a</t>
  </si>
  <si>
    <t>YPF.SC.CnE-1377</t>
  </si>
  <si>
    <t>CnE-1377[00]</t>
  </si>
  <si>
    <t>YPF.SC.LH-113</t>
  </si>
  <si>
    <t>LH-113[00]</t>
  </si>
  <si>
    <t>YPF.SC.LH-209</t>
  </si>
  <si>
    <t>YPF.SC.LH-331</t>
  </si>
  <si>
    <t>LH-331[00]</t>
  </si>
  <si>
    <t>YPF.SC.LH-583</t>
  </si>
  <si>
    <t>YPF.SC.LH-624</t>
  </si>
  <si>
    <t>LH-624[00]</t>
  </si>
  <si>
    <t>YPF.SC.LH-664</t>
  </si>
  <si>
    <t>YPF.SC.LH-814</t>
  </si>
  <si>
    <t>LH-814[00]</t>
  </si>
  <si>
    <t>YPF.SC.LH-884</t>
  </si>
  <si>
    <t>LH-884[00]</t>
  </si>
  <si>
    <t>YPF.SC.LH-932</t>
  </si>
  <si>
    <t>LH-932[00]</t>
  </si>
  <si>
    <t>YPF.SC.CG-243</t>
  </si>
  <si>
    <t>YPF.SC.CG-296</t>
  </si>
  <si>
    <t>CG-296[00]</t>
  </si>
  <si>
    <t>YPF.SC.CG-447</t>
  </si>
  <si>
    <t>CG-447[00]</t>
  </si>
  <si>
    <t>YPF.SC.CG.a-475</t>
  </si>
  <si>
    <t>CG-475[00]</t>
  </si>
  <si>
    <t>YPF.SC.CG-486</t>
  </si>
  <si>
    <t>CG-486[00]</t>
  </si>
  <si>
    <t>YPF.SC.CG-510</t>
  </si>
  <si>
    <t>CG-510[00]</t>
  </si>
  <si>
    <t>YPF.SC.LC-533</t>
  </si>
  <si>
    <t>LC-533[00]</t>
  </si>
  <si>
    <t>YPF.SC.CnE-175</t>
  </si>
  <si>
    <t>CnE-175[00]</t>
  </si>
  <si>
    <t>YPF.SC.CnE-324</t>
  </si>
  <si>
    <t>CnE-324[00]</t>
  </si>
  <si>
    <t>YPF.SC.CnE.a-377</t>
  </si>
  <si>
    <t>CnE-377[00]</t>
  </si>
  <si>
    <t>YPF.SC.CnE-508</t>
  </si>
  <si>
    <t>CnE-508[00]</t>
  </si>
  <si>
    <t>YPF.SC.CnE-626</t>
  </si>
  <si>
    <t>CnE-626[00]</t>
  </si>
  <si>
    <t>YPF.SC.CnE-640</t>
  </si>
  <si>
    <t>CnE-640[00]</t>
  </si>
  <si>
    <t>YPF.SC.CnE-707</t>
  </si>
  <si>
    <t>CnE-707[00]</t>
  </si>
  <si>
    <t>YPF.SC.CnE-711</t>
  </si>
  <si>
    <t>CnE-711[00]</t>
  </si>
  <si>
    <t>YPF.SC.CnE-803</t>
  </si>
  <si>
    <t>CnE-803[00]</t>
  </si>
  <si>
    <t>YPF.SC.CG-283</t>
  </si>
  <si>
    <t>YPF.SC.LH-438</t>
  </si>
  <si>
    <t>LH-438[00]</t>
  </si>
  <si>
    <t>YPF.SC.CGN.x-1</t>
  </si>
  <si>
    <t>YPF.SC.CnE-26</t>
  </si>
  <si>
    <t>CnE-26[00]</t>
  </si>
  <si>
    <t>YPF.SC.LH-566</t>
  </si>
  <si>
    <t>LH-566[00]</t>
  </si>
  <si>
    <t>YPF.SC.CG.a-533</t>
  </si>
  <si>
    <t>CG-533[00]a</t>
  </si>
  <si>
    <t>YPF.SC.CG.a-534</t>
  </si>
  <si>
    <t>CG-534[00]a</t>
  </si>
  <si>
    <t>YPF.SC.LH.a-6</t>
  </si>
  <si>
    <t>LH-6[00]</t>
  </si>
  <si>
    <t>YPF.SC.LH-597</t>
  </si>
  <si>
    <t>LH-597[00]</t>
  </si>
  <si>
    <t>YPF.SC.LH-619</t>
  </si>
  <si>
    <t>LH-619[00]</t>
  </si>
  <si>
    <t>YPF.SC.LH-739</t>
  </si>
  <si>
    <t>YPF.SC.LH-778</t>
  </si>
  <si>
    <t>YPF.SC.LH.a-837</t>
  </si>
  <si>
    <t>LH-837[00]</t>
  </si>
  <si>
    <t>YPF.SC.CG-115</t>
  </si>
  <si>
    <t>CG-115[00]</t>
  </si>
  <si>
    <t>YPF.SC.CG-178</t>
  </si>
  <si>
    <t>CG-178[00]</t>
  </si>
  <si>
    <t>YPF.SC.CG-209</t>
  </si>
  <si>
    <t>CG-209[00]</t>
  </si>
  <si>
    <t>YPF.SC.CG-228</t>
  </si>
  <si>
    <t>CG-228[00]</t>
  </si>
  <si>
    <t>YPF.SC.CG-254</t>
  </si>
  <si>
    <t>CG-254[00]</t>
  </si>
  <si>
    <t>YPF.SC.CG.a-406</t>
  </si>
  <si>
    <t>CG-406[00]</t>
  </si>
  <si>
    <t>YPF.SC.CG.a-412</t>
  </si>
  <si>
    <t>YPF.SC.CG-453</t>
  </si>
  <si>
    <t>CG-453[00]</t>
  </si>
  <si>
    <t>YPF.SC.CG-502</t>
  </si>
  <si>
    <t>CG-502[00]</t>
  </si>
  <si>
    <t>YPF.SC.N-59</t>
  </si>
  <si>
    <t>YPF.SC.CnE-121</t>
  </si>
  <si>
    <t>CnE-121[00]</t>
  </si>
  <si>
    <t>YPF.SC.CnE-200</t>
  </si>
  <si>
    <t>CnE-200[00]</t>
  </si>
  <si>
    <t>YPF.SC.CnE-205</t>
  </si>
  <si>
    <t>CnE-205[00]</t>
  </si>
  <si>
    <t>YPF.SC.CnE-250</t>
  </si>
  <si>
    <t>CnE-250[00]</t>
  </si>
  <si>
    <t>YPF.SC.CnE.a-288</t>
  </si>
  <si>
    <t>CnE-288[00]</t>
  </si>
  <si>
    <t>YPF.SC.CnE-513</t>
  </si>
  <si>
    <t>CnE-513[00]</t>
  </si>
  <si>
    <t>YPF.SC.CnE-645</t>
  </si>
  <si>
    <t>CnE-645[00]</t>
  </si>
  <si>
    <t>YPF.SC.CnE-704</t>
  </si>
  <si>
    <t>CnE-704[00]</t>
  </si>
  <si>
    <t>YPF.SC.N-9</t>
  </si>
  <si>
    <t>YPF.SC.N-28</t>
  </si>
  <si>
    <t>N-28[00]</t>
  </si>
  <si>
    <t>YPF.SC.CnE-98</t>
  </si>
  <si>
    <t>CnE-98[00]</t>
  </si>
  <si>
    <t>YPF.SC.CnE-229</t>
  </si>
  <si>
    <t>CnE-229[00]</t>
  </si>
  <si>
    <t>YPF.SC.CnE-253</t>
  </si>
  <si>
    <t>CnE-253[00]</t>
  </si>
  <si>
    <t>YPF.SC.CnE-265</t>
  </si>
  <si>
    <t>CnE-265[00]</t>
  </si>
  <si>
    <t>YPF.SC.CnE-463</t>
  </si>
  <si>
    <t>CnE-463[00]</t>
  </si>
  <si>
    <t>YPF.SC.CnE-525</t>
  </si>
  <si>
    <t>CnE-525[00]</t>
  </si>
  <si>
    <t>YPF.SC.CnE-570</t>
  </si>
  <si>
    <t>CnE-570[00]</t>
  </si>
  <si>
    <t>YPF.SC.CnE-649</t>
  </si>
  <si>
    <t>CnE-649[00]</t>
  </si>
  <si>
    <t>YPF.SC.CnE-721</t>
  </si>
  <si>
    <t>CnE-721[00]</t>
  </si>
  <si>
    <t>YPF.SC.CnE-771</t>
  </si>
  <si>
    <t>CnE-771[00]</t>
  </si>
  <si>
    <t>YPF.SC.CnE-844</t>
  </si>
  <si>
    <t>CnE-844[00]</t>
  </si>
  <si>
    <t>YPF.SC.BB-54</t>
  </si>
  <si>
    <t>BB-54[00]</t>
  </si>
  <si>
    <t>YPF.SC.BB-96</t>
  </si>
  <si>
    <t>BB-96[00]</t>
  </si>
  <si>
    <t>YPF.SC.LH-79</t>
  </si>
  <si>
    <t>LH-79[00]</t>
  </si>
  <si>
    <t>YPF.SC.LH-284</t>
  </si>
  <si>
    <t>LH-284[00]</t>
  </si>
  <si>
    <t>YPF.SC.LC-625</t>
  </si>
  <si>
    <t>LC-625[00]</t>
  </si>
  <si>
    <t>YPF.SC.CnE-864</t>
  </si>
  <si>
    <t>CnE-864[00]</t>
  </si>
  <si>
    <t>YPF.SC.LH-1019</t>
  </si>
  <si>
    <t>LH-1019[00]a</t>
  </si>
  <si>
    <t>YPF.SC.CnE-901</t>
  </si>
  <si>
    <t>CnE-901[00]a</t>
  </si>
  <si>
    <t>YPF.SC.LH-1078</t>
  </si>
  <si>
    <t>LH-1078[00]a</t>
  </si>
  <si>
    <t>YPF.SC.CG-560</t>
  </si>
  <si>
    <t>CG-560[00]a</t>
  </si>
  <si>
    <t>YPF.SC.CnE-922</t>
  </si>
  <si>
    <t>CnE-922[00]a</t>
  </si>
  <si>
    <t>YPF.SC.BB-97</t>
  </si>
  <si>
    <t>BB-97[00]</t>
  </si>
  <si>
    <t>YPF.SC.LH.a-13</t>
  </si>
  <si>
    <t>LH-13[00]</t>
  </si>
  <si>
    <t>YPF.SC.LH.a-42</t>
  </si>
  <si>
    <t>LH-42[00]</t>
  </si>
  <si>
    <t>YPF.SC.LH.a-281</t>
  </si>
  <si>
    <t>LH-281[00]</t>
  </si>
  <si>
    <t>YPF.SC.LH-543</t>
  </si>
  <si>
    <t>LH-543[00]</t>
  </si>
  <si>
    <t>YPF.SC.CnE-859</t>
  </si>
  <si>
    <t>CnE-859[00]</t>
  </si>
  <si>
    <t>YPF.SC.CG.a-5</t>
  </si>
  <si>
    <t>CG-5[00]</t>
  </si>
  <si>
    <t>YPF.SC.O-173</t>
  </si>
  <si>
    <t>YPF.SC.LH-130</t>
  </si>
  <si>
    <t>LH-130[00]</t>
  </si>
  <si>
    <t>YPF.SC.LH-131</t>
  </si>
  <si>
    <t>LH-131[00]</t>
  </si>
  <si>
    <t>YPF.SC.LH-168</t>
  </si>
  <si>
    <t>LH-168[00]</t>
  </si>
  <si>
    <t>YPF.SC.LH-274</t>
  </si>
  <si>
    <t>LH-274[00]</t>
  </si>
  <si>
    <t>YPF.SC.LH-332</t>
  </si>
  <si>
    <t>LH-332[00]</t>
  </si>
  <si>
    <t>YPF.SC.LH-598</t>
  </si>
  <si>
    <t>LH-598[00]</t>
  </si>
  <si>
    <t>YPF.SC.LH-767</t>
  </si>
  <si>
    <t>LH-767[00]</t>
  </si>
  <si>
    <t>YPF.SC.LH-834</t>
  </si>
  <si>
    <t>LH-834[00]</t>
  </si>
  <si>
    <t>YPF.SC.LH-919</t>
  </si>
  <si>
    <t>LH-919[00]</t>
  </si>
  <si>
    <t>YPF.SC.CG-19</t>
  </si>
  <si>
    <t>CG-19[00]</t>
  </si>
  <si>
    <t>YPF.SC.CG-109</t>
  </si>
  <si>
    <t>CG-109[00]</t>
  </si>
  <si>
    <t>YPF.SC.CG.a-121</t>
  </si>
  <si>
    <t>CG-121[00]</t>
  </si>
  <si>
    <t>YPF.SC.CG-156</t>
  </si>
  <si>
    <t>CG-156[00]</t>
  </si>
  <si>
    <t>YPF.SC.CG-180</t>
  </si>
  <si>
    <t>CG-180[00]</t>
  </si>
  <si>
    <t>YPF.SC.CG-375</t>
  </si>
  <si>
    <t>CG-375[00]</t>
  </si>
  <si>
    <t>YPF.SC.CG-427</t>
  </si>
  <si>
    <t>CG-427[00]</t>
  </si>
  <si>
    <t>YPF.SC.LC-167</t>
  </si>
  <si>
    <t>LC-167[00]</t>
  </si>
  <si>
    <t>YPF.SC.LC-538</t>
  </si>
  <si>
    <t>LC-538[00]</t>
  </si>
  <si>
    <t>YPF.SC.CnE-16</t>
  </si>
  <si>
    <t>CnE-16[00]</t>
  </si>
  <si>
    <t>YPF.SC.CnE-45</t>
  </si>
  <si>
    <t>CnE-45[00]</t>
  </si>
  <si>
    <t>YPF.SC.CnE-197</t>
  </si>
  <si>
    <t>CnE-197[00]</t>
  </si>
  <si>
    <t>YPF.SC.CnE-258</t>
  </si>
  <si>
    <t>CnE-258[00]</t>
  </si>
  <si>
    <t>YPF.SC.CnE-308</t>
  </si>
  <si>
    <t>CnE-308[00]</t>
  </si>
  <si>
    <t>YPF.SC.CnE-351</t>
  </si>
  <si>
    <t>CnE-351[00]</t>
  </si>
  <si>
    <t>YPF.SC.CnE-392</t>
  </si>
  <si>
    <t>CnE-392[00]</t>
  </si>
  <si>
    <t>YPF.SC.CnE-441</t>
  </si>
  <si>
    <t>CnE-441[00]</t>
  </si>
  <si>
    <t>YPF.SC.SCa.x-1</t>
  </si>
  <si>
    <t>SCa-1[00]</t>
  </si>
  <si>
    <t>YPF.SC.CnE.a-854</t>
  </si>
  <si>
    <t>CnE-854[00]</t>
  </si>
  <si>
    <t>YPF.SC.CnE.a-136</t>
  </si>
  <si>
    <t>CnE-136[00]</t>
  </si>
  <si>
    <t>YPF.SC.CEO.x-3</t>
  </si>
  <si>
    <t>YPF.SC.CEO.x-4</t>
  </si>
  <si>
    <t>YPF.SC.CG-374</t>
  </si>
  <si>
    <t>CG-374[00]</t>
  </si>
  <si>
    <t>YPF.SC.LH-480</t>
  </si>
  <si>
    <t>LH-480[00]</t>
  </si>
  <si>
    <t>YPF.SC.CG.a-299</t>
  </si>
  <si>
    <t>YPF.SC.LH-179</t>
  </si>
  <si>
    <t>YPF.SC.CG-43</t>
  </si>
  <si>
    <t>CG-43[00]</t>
  </si>
  <si>
    <t>YPF.SC.BB-105</t>
  </si>
  <si>
    <t>BB-105[00]a</t>
  </si>
  <si>
    <t>YPF.SC.LH-49</t>
  </si>
  <si>
    <t>LH-49[00]</t>
  </si>
  <si>
    <t>YPF.SC.LH.a-155</t>
  </si>
  <si>
    <t>LH-155[00]</t>
  </si>
  <si>
    <t>YPF.SC.LH-157</t>
  </si>
  <si>
    <t>LH-157[00]</t>
  </si>
  <si>
    <t>YPF.SC.LH-252</t>
  </si>
  <si>
    <t>LH-252[00]</t>
  </si>
  <si>
    <t>YPF.SC.LH-558</t>
  </si>
  <si>
    <t>LH-558[00]</t>
  </si>
  <si>
    <t>YPF.SC.LH-579</t>
  </si>
  <si>
    <t>LH-579[00]</t>
  </si>
  <si>
    <t>YPF.SC.LH-699</t>
  </si>
  <si>
    <t>LH-699[00]</t>
  </si>
  <si>
    <t>YPF.SC.LH-854</t>
  </si>
  <si>
    <t>YPF.SC.LH-878</t>
  </si>
  <si>
    <t>LH-878[00]</t>
  </si>
  <si>
    <t>YPF.SC.LH-939</t>
  </si>
  <si>
    <t>LH-939[00]</t>
  </si>
  <si>
    <t>YPF.SC.LH-941</t>
  </si>
  <si>
    <t>LH-941[00]</t>
  </si>
  <si>
    <t>YPF.SC.CG-26</t>
  </si>
  <si>
    <t>CG-26[00]</t>
  </si>
  <si>
    <t>YPF.SC.CG.a-79</t>
  </si>
  <si>
    <t>CG-79[00]</t>
  </si>
  <si>
    <t>YPF.SC.CG-82</t>
  </si>
  <si>
    <t>CG-82[00]</t>
  </si>
  <si>
    <t>YPF.SC.CG-103</t>
  </si>
  <si>
    <t>CG-103[00]</t>
  </si>
  <si>
    <t>YPF.SC.CG-219</t>
  </si>
  <si>
    <t>CG-219[00]</t>
  </si>
  <si>
    <t>YPF.SC.CG-225</t>
  </si>
  <si>
    <t>CG-225[00]</t>
  </si>
  <si>
    <t>YPF.SC.CG-256</t>
  </si>
  <si>
    <t>YPF.SC.CG-279</t>
  </si>
  <si>
    <t>CG-279[00]</t>
  </si>
  <si>
    <t>YPF.SC.CG-280</t>
  </si>
  <si>
    <t>CG-280[00]</t>
  </si>
  <si>
    <t>YPF.SC.CG-426</t>
  </si>
  <si>
    <t>CG-426[00]</t>
  </si>
  <si>
    <t>YPF.SC.CG-441</t>
  </si>
  <si>
    <t>CG-441[00]</t>
  </si>
  <si>
    <t>YPF.SC.CG-455</t>
  </si>
  <si>
    <t>CG-455[00]</t>
  </si>
  <si>
    <t>YPF.SC.CnE-40</t>
  </si>
  <si>
    <t>CnE-40[00]</t>
  </si>
  <si>
    <t>YPF.SC.CnE-44</t>
  </si>
  <si>
    <t>CnE-44[00]</t>
  </si>
  <si>
    <t>YPF.SC.CnE-163</t>
  </si>
  <si>
    <t>CnE-163[00]</t>
  </si>
  <si>
    <t>YPF.SC.CnE-261</t>
  </si>
  <si>
    <t>CnE-261[00]</t>
  </si>
  <si>
    <t>YPF.SC.CnE-283</t>
  </si>
  <si>
    <t>CnE-283[00]</t>
  </si>
  <si>
    <t>YPF.SC.CnE-394</t>
  </si>
  <si>
    <t>CnE-394[00]</t>
  </si>
  <si>
    <t>YPF.SC.CnE-468</t>
  </si>
  <si>
    <t>CnE-468[00]</t>
  </si>
  <si>
    <t>YPF.SC.CnE-487</t>
  </si>
  <si>
    <t>CnE-487[00]</t>
  </si>
  <si>
    <t>YPF.SC.CnE-500</t>
  </si>
  <si>
    <t>CnE-500[00]</t>
  </si>
  <si>
    <t>YPF.SC.CnE-628</t>
  </si>
  <si>
    <t>CnE-628[00]</t>
  </si>
  <si>
    <t>YPF.SC.CnE-655</t>
  </si>
  <si>
    <t>CnE-655[00]</t>
  </si>
  <si>
    <t>YPF.SC.CnE-672</t>
  </si>
  <si>
    <t>CnE-672[00]</t>
  </si>
  <si>
    <t>YPF.SC.CnE-699</t>
  </si>
  <si>
    <t>CnE-699[00]</t>
  </si>
  <si>
    <t>YPF.SC.CnE-705</t>
  </si>
  <si>
    <t>CnE-705[00]</t>
  </si>
  <si>
    <t>YPF.SC.CnE-718</t>
  </si>
  <si>
    <t>CnE-718[00]</t>
  </si>
  <si>
    <t>YPF.SC.CnE-719</t>
  </si>
  <si>
    <t>CnE-719[00]</t>
  </si>
  <si>
    <t>A Abandonar Por Baja Producción</t>
  </si>
  <si>
    <t>YPF.SC.CnE-750</t>
  </si>
  <si>
    <t>CnE-750[00]</t>
  </si>
  <si>
    <t>YPF.SC.CnE.a-761</t>
  </si>
  <si>
    <t>CnE-761[00]</t>
  </si>
  <si>
    <t>YPF.SC.CnE.a-845</t>
  </si>
  <si>
    <t>CnE-845[00]</t>
  </si>
  <si>
    <t>YPF.SC.BB-149</t>
  </si>
  <si>
    <t>BB-149[00]</t>
  </si>
  <si>
    <t>YPF.SC.CG.IA-976</t>
  </si>
  <si>
    <t>CG.IA-976[00]</t>
  </si>
  <si>
    <t>YPF.SC.LH-1043</t>
  </si>
  <si>
    <t>LH-1043[00]a</t>
  </si>
  <si>
    <t>YPF.SC.CG-570</t>
  </si>
  <si>
    <t>CG-570[00]a</t>
  </si>
  <si>
    <t>YPF.SC.CG-567</t>
  </si>
  <si>
    <t>CG-567[00]a</t>
  </si>
  <si>
    <t>YPF.SC.CnE-921</t>
  </si>
  <si>
    <t>YPF.SC.CG-578</t>
  </si>
  <si>
    <t>CG-578[00]a</t>
  </si>
  <si>
    <t>YPF.SC.CnE.a-927</t>
  </si>
  <si>
    <t>CnE-927[00]a</t>
  </si>
  <si>
    <t>YPF.SC.CnE-933</t>
  </si>
  <si>
    <t>CnE-933[00]a</t>
  </si>
  <si>
    <t>YPF.SC.CG-620</t>
  </si>
  <si>
    <t>CG-620[00]</t>
  </si>
  <si>
    <t>YPF.SC.LH-1167</t>
  </si>
  <si>
    <t>LH-1167[00]</t>
  </si>
  <si>
    <t>YPF.SC.LH-1178</t>
  </si>
  <si>
    <t>LH-1178[00]</t>
  </si>
  <si>
    <t>YPF.SC.CG-615</t>
  </si>
  <si>
    <t>CG-615[00]</t>
  </si>
  <si>
    <t>YPF.SC.CnE-1008</t>
  </si>
  <si>
    <t>CnE-1008[00]</t>
  </si>
  <si>
    <t>YPF.SC.CG-697</t>
  </si>
  <si>
    <t>CG-697[00]</t>
  </si>
  <si>
    <t>YPF.SC.CG-702</t>
  </si>
  <si>
    <t>CG-702[00]</t>
  </si>
  <si>
    <t>YPF.SC.CG-728</t>
  </si>
  <si>
    <t>CG-728[00]</t>
  </si>
  <si>
    <t>YPF.SC.LH-1208</t>
  </si>
  <si>
    <t>LH-1208[00]</t>
  </si>
  <si>
    <t>YPF.SC.CnE-1150</t>
  </si>
  <si>
    <t>CnE-1150[00]</t>
  </si>
  <si>
    <t>YPF.SC.CnE-1231(d)</t>
  </si>
  <si>
    <t>CnE-1231(d)[00]a</t>
  </si>
  <si>
    <t>YPF.SC.CG-859(d)</t>
  </si>
  <si>
    <t>CG-859[00](d)</t>
  </si>
  <si>
    <t>YPF.SC.CnE-1238(d)</t>
  </si>
  <si>
    <t>CnE-1238[00](d)</t>
  </si>
  <si>
    <t>YPF.SC.CG-967</t>
  </si>
  <si>
    <t>CG-967[00]</t>
  </si>
  <si>
    <t>YPF.SC.BB-144</t>
  </si>
  <si>
    <t>BB-144[00]</t>
  </si>
  <si>
    <t>YPF.SC.CnE-1298(d)</t>
  </si>
  <si>
    <t>CnE-1298[00](d)</t>
  </si>
  <si>
    <t>YPF.SC.CnE-1425</t>
  </si>
  <si>
    <t>CnE-1425[00]a</t>
  </si>
  <si>
    <t>YPF.SC.LH-969</t>
  </si>
  <si>
    <t>LH-969[00]a</t>
  </si>
  <si>
    <t>YPF.SC.LH-970</t>
  </si>
  <si>
    <t>LH-970[00]a</t>
  </si>
  <si>
    <t>YPF.SC.LH-183</t>
  </si>
  <si>
    <t>LH-183[00]a</t>
  </si>
  <si>
    <t>YPF.SC.LH-1063</t>
  </si>
  <si>
    <t>LH-1063[00]a</t>
  </si>
  <si>
    <t>YPF.SC.CnE-923</t>
  </si>
  <si>
    <t>CnE-923[00]a</t>
  </si>
  <si>
    <t>YPF.SC.LH-1136</t>
  </si>
  <si>
    <t>LH-1136[00]a</t>
  </si>
  <si>
    <t>YPF.SC.LH-1151</t>
  </si>
  <si>
    <t>LH-1151[00]a</t>
  </si>
  <si>
    <t>YPF.SC.LH.a-1029</t>
  </si>
  <si>
    <t>LH-1029[00]a</t>
  </si>
  <si>
    <t>YPF.SC.LH-1068</t>
  </si>
  <si>
    <t>LH-1068[00]a</t>
  </si>
  <si>
    <t>YPF.SC.LH-78</t>
  </si>
  <si>
    <t>LH-78[00]a</t>
  </si>
  <si>
    <t>YPF.SC.LH-1099</t>
  </si>
  <si>
    <t>LH-1099[00]a</t>
  </si>
  <si>
    <t>YPF.SC.LH-1115</t>
  </si>
  <si>
    <t>LH-1115[00]a</t>
  </si>
  <si>
    <t>YPF.SC.CnE-947</t>
  </si>
  <si>
    <t>CnE-947[00]a</t>
  </si>
  <si>
    <t>YPF.SC.LH-1162</t>
  </si>
  <si>
    <t>LH-1162[00]a</t>
  </si>
  <si>
    <t>YPF.SC.LH-1165</t>
  </si>
  <si>
    <t>LH-1165[00]</t>
  </si>
  <si>
    <t>YPF.SC.CnE-969</t>
  </si>
  <si>
    <t>CnE-969[00]</t>
  </si>
  <si>
    <t>YPF.SC.LH-1047</t>
  </si>
  <si>
    <t>LH-1047[00]a</t>
  </si>
  <si>
    <t>YPF.SC.LH-1069</t>
  </si>
  <si>
    <t>LH-1069[00]a</t>
  </si>
  <si>
    <t>YPF.SC.CG.a-549</t>
  </si>
  <si>
    <t>CG-549[00]a</t>
  </si>
  <si>
    <t>YPF.SC.CG-572</t>
  </si>
  <si>
    <t>CG-572[00]a</t>
  </si>
  <si>
    <t>YPF.SC.CnE-924</t>
  </si>
  <si>
    <t>CnE-924[00]a</t>
  </si>
  <si>
    <t>YPF.SC.CG.a-577</t>
  </si>
  <si>
    <t>CG-577[00]a</t>
  </si>
  <si>
    <t>YPF.SC.CnE-936</t>
  </si>
  <si>
    <t>CnE-936[00]a</t>
  </si>
  <si>
    <t>YPF.SC.CnE-939</t>
  </si>
  <si>
    <t>CnE-939[00]a</t>
  </si>
  <si>
    <t>YPF.SC.LH-1110</t>
  </si>
  <si>
    <t>LH-1110[00]a</t>
  </si>
  <si>
    <t>YPF.SC.LH-1148</t>
  </si>
  <si>
    <t>LH-1148[00]a</t>
  </si>
  <si>
    <t>YPF.SC.CG-664</t>
  </si>
  <si>
    <t>CG-664[00]</t>
  </si>
  <si>
    <t>YPF.SC.CG-662</t>
  </si>
  <si>
    <t>CG-662[00]</t>
  </si>
  <si>
    <t>YPF.SC.CnE-1010</t>
  </si>
  <si>
    <t>CnE-1010[00]</t>
  </si>
  <si>
    <t>YPF.SC.CnE-560</t>
  </si>
  <si>
    <t>CnE-560[00]</t>
  </si>
  <si>
    <t>YPF.SC.CnE-573</t>
  </si>
  <si>
    <t>CnE-573[00]</t>
  </si>
  <si>
    <t>YPF.SC.CnE-574</t>
  </si>
  <si>
    <t>CnE-574[00]</t>
  </si>
  <si>
    <t>YPF.SC.BB.a-31</t>
  </si>
  <si>
    <t>BB-31[00]</t>
  </si>
  <si>
    <t>YPF.SC.BB-87</t>
  </si>
  <si>
    <t>BB-87[00]</t>
  </si>
  <si>
    <t>YPF.SC.CnE.a-286</t>
  </si>
  <si>
    <t>YPF.SC.LH-548</t>
  </si>
  <si>
    <t>LH-548[00]</t>
  </si>
  <si>
    <t>YPF.SC.CnE-459</t>
  </si>
  <si>
    <t>CnE-459[00]</t>
  </si>
  <si>
    <t>YPF.SC.LH-258</t>
  </si>
  <si>
    <t>YPF.SC.LH-272</t>
  </si>
  <si>
    <t>YPF.SC.LH.a-649</t>
  </si>
  <si>
    <t>LH-649[00]</t>
  </si>
  <si>
    <t>YPF.SC.CG-54</t>
  </si>
  <si>
    <t>CG-54[00]</t>
  </si>
  <si>
    <t>YPF.SC.CG.a-47</t>
  </si>
  <si>
    <t>CG-47[00]</t>
  </si>
  <si>
    <t>YPF.SC.CnE.a-872</t>
  </si>
  <si>
    <t>YPF.SC.LH-1105</t>
  </si>
  <si>
    <t>LH-1105[00]a</t>
  </si>
  <si>
    <t>YPF.SC.CnE-950</t>
  </si>
  <si>
    <t>CnE-950[00]a</t>
  </si>
  <si>
    <t>YPF.SC.LH-1158</t>
  </si>
  <si>
    <t>LH-1158[00]a</t>
  </si>
  <si>
    <t>YPF.SC.LH-1185</t>
  </si>
  <si>
    <t>LH-1185[00]</t>
  </si>
  <si>
    <t>YPF.SC.LH-1221</t>
  </si>
  <si>
    <t>LH-1221[00]</t>
  </si>
  <si>
    <t>YPF.SC.CnE-1149</t>
  </si>
  <si>
    <t>CnE-1149[00]</t>
  </si>
  <si>
    <t>YPF.SC.CnE-1146</t>
  </si>
  <si>
    <t>CnE-1146[00]</t>
  </si>
  <si>
    <t>YPF.SC.LH-1223</t>
  </si>
  <si>
    <t>LH-1223[00]</t>
  </si>
  <si>
    <t>YPF.SC.CG-806</t>
  </si>
  <si>
    <t>CG-806[00]</t>
  </si>
  <si>
    <t>YPF.SC.BB-134</t>
  </si>
  <si>
    <t>BB-134[00]</t>
  </si>
  <si>
    <t>YPF.SC.CnE-1268(d)</t>
  </si>
  <si>
    <t>YPF.SC.CG-856</t>
  </si>
  <si>
    <t>CG-856[00]</t>
  </si>
  <si>
    <t>YPF.SC.CG-720(d)</t>
  </si>
  <si>
    <t>CG-720[00](d)</t>
  </si>
  <si>
    <t>YPF.SC.LH-136</t>
  </si>
  <si>
    <t>LH-136[00]</t>
  </si>
  <si>
    <t>YPF.SC.LH-278</t>
  </si>
  <si>
    <t>LH-278[00]</t>
  </si>
  <si>
    <t>YPF.SC.LH-879</t>
  </si>
  <si>
    <t>LH-879[00]</t>
  </si>
  <si>
    <t>YPF.SC.LH-900</t>
  </si>
  <si>
    <t>LH-900[00]</t>
  </si>
  <si>
    <t>YPF.SC.LH-908</t>
  </si>
  <si>
    <t>LH-908[00]</t>
  </si>
  <si>
    <t>YPF.SC.LH-948</t>
  </si>
  <si>
    <t>LH-948[00]</t>
  </si>
  <si>
    <t>YPF.SC.LH-957</t>
  </si>
  <si>
    <t>LH-957[00]</t>
  </si>
  <si>
    <t>YPF.SC.CG.a-1</t>
  </si>
  <si>
    <t>CG-1[00]</t>
  </si>
  <si>
    <t>YPF.SC.CG-134</t>
  </si>
  <si>
    <t>CG-134[00]</t>
  </si>
  <si>
    <t>YPF.SC.CG-177</t>
  </si>
  <si>
    <t>CG-177[00]</t>
  </si>
  <si>
    <t>YPF.SC.CG.a-197</t>
  </si>
  <si>
    <t>CG-197[00]</t>
  </si>
  <si>
    <t>YPF.SC.CG-220</t>
  </si>
  <si>
    <t>CG-220[00]</t>
  </si>
  <si>
    <t>YPF.SC.CG-288</t>
  </si>
  <si>
    <t>CG-288[00]</t>
  </si>
  <si>
    <t>YPF.SC.CG-305</t>
  </si>
  <si>
    <t>CG-305[00]</t>
  </si>
  <si>
    <t>YPF.SC.CG-361</t>
  </si>
  <si>
    <t>CG-361[00]</t>
  </si>
  <si>
    <t>YPF.SC.CG-457</t>
  </si>
  <si>
    <t>CG-457[00]</t>
  </si>
  <si>
    <t>YPF.SC.LH-968</t>
  </si>
  <si>
    <t>LH-968[00]a</t>
  </si>
  <si>
    <t>YPF.SC.LH-976</t>
  </si>
  <si>
    <t>LH-976[00]a</t>
  </si>
  <si>
    <t>YPF.SC.LH-1041</t>
  </si>
  <si>
    <t>LH-1041[00]a</t>
  </si>
  <si>
    <t>CnE-940[00]a</t>
  </si>
  <si>
    <t>LH-291[00]</t>
  </si>
  <si>
    <t>CR-2[00]</t>
  </si>
  <si>
    <t>LH-1114[00]a</t>
  </si>
  <si>
    <t>BO-3[00]</t>
  </si>
  <si>
    <t>CG-595[00]a</t>
  </si>
  <si>
    <t>CG-595a</t>
  </si>
  <si>
    <t xml:space="preserve">Bloque </t>
  </si>
  <si>
    <t>SE</t>
  </si>
  <si>
    <t>Estado TOW</t>
  </si>
  <si>
    <t>Activo</t>
  </si>
  <si>
    <t>Pozo</t>
  </si>
  <si>
    <t>Pozo largo</t>
  </si>
  <si>
    <t>En lista de Abandono</t>
  </si>
  <si>
    <t>Lista YPF</t>
  </si>
  <si>
    <t>356 pozos en la lista de YPF</t>
  </si>
  <si>
    <t>LISTA YPF</t>
  </si>
  <si>
    <t>Saque los pozos en reserva de gas</t>
  </si>
  <si>
    <t>CnE-1219</t>
  </si>
  <si>
    <t>LH-694</t>
  </si>
  <si>
    <t>CnE-1279</t>
  </si>
  <si>
    <t>LH-1254</t>
  </si>
  <si>
    <t>CnE-652</t>
  </si>
  <si>
    <t>CG-941</t>
  </si>
  <si>
    <t>CnE-806</t>
  </si>
  <si>
    <t>CnE-118</t>
  </si>
  <si>
    <t>CnE-620</t>
  </si>
  <si>
    <t>CG-45</t>
  </si>
  <si>
    <t>CG-67</t>
  </si>
  <si>
    <t>CnE-992</t>
  </si>
  <si>
    <t>LH-187</t>
  </si>
  <si>
    <t>CnE-1325</t>
  </si>
  <si>
    <t>LH-1169</t>
  </si>
  <si>
    <t>CnE-40</t>
  </si>
  <si>
    <t>CG-106</t>
  </si>
  <si>
    <t>CnE-614</t>
  </si>
  <si>
    <t>LH-106</t>
  </si>
  <si>
    <t>CG-63</t>
  </si>
  <si>
    <t>CG-218</t>
  </si>
  <si>
    <t>LH-713</t>
  </si>
  <si>
    <t>CG-72</t>
  </si>
  <si>
    <t>BB-87</t>
  </si>
  <si>
    <t>CnE-149</t>
  </si>
  <si>
    <t>CnE-1011</t>
  </si>
  <si>
    <t>CnE-707</t>
  </si>
  <si>
    <t>CnE-1384</t>
  </si>
  <si>
    <t>BB-24</t>
  </si>
  <si>
    <t>CnE-637</t>
  </si>
  <si>
    <t>CnE-311</t>
  </si>
  <si>
    <t>CnE-553</t>
  </si>
  <si>
    <t>CnE-771</t>
  </si>
  <si>
    <t>CG-489</t>
  </si>
  <si>
    <t>CG-487</t>
  </si>
  <si>
    <t>CG-868</t>
  </si>
  <si>
    <t>CnE-1373</t>
  </si>
  <si>
    <t>LH-1239</t>
  </si>
  <si>
    <t>CnE-1326</t>
  </si>
  <si>
    <t>CnE-787</t>
  </si>
  <si>
    <t>CnE-1025</t>
  </si>
  <si>
    <t>CnE-576</t>
  </si>
  <si>
    <t>CnE-215</t>
  </si>
  <si>
    <t>CnE-324</t>
  </si>
  <si>
    <t>CnE-474</t>
  </si>
  <si>
    <t>CnE-769</t>
  </si>
  <si>
    <t>Oportunidad</t>
  </si>
  <si>
    <t>CnE-1284</t>
  </si>
  <si>
    <t>CnE-1464a</t>
  </si>
  <si>
    <t>CnE-329</t>
  </si>
  <si>
    <t>CnE-371</t>
  </si>
  <si>
    <t>CnE-373</t>
  </si>
  <si>
    <t>CnE-477</t>
  </si>
  <si>
    <t>CnE-496</t>
  </si>
  <si>
    <t>CnE-506</t>
  </si>
  <si>
    <t>CnE-554</t>
  </si>
  <si>
    <t>CnE-599</t>
  </si>
  <si>
    <t>CnE-634</t>
  </si>
  <si>
    <t>CnE-679</t>
  </si>
  <si>
    <t>CnE-712</t>
  </si>
  <si>
    <t>BB-20</t>
  </si>
  <si>
    <t>BB-45</t>
  </si>
  <si>
    <t>BB-46</t>
  </si>
  <si>
    <t>BB-64</t>
  </si>
  <si>
    <t>BB-76</t>
  </si>
  <si>
    <t>BB-84</t>
  </si>
  <si>
    <t>BB-90</t>
  </si>
  <si>
    <t>ELChE-1</t>
  </si>
  <si>
    <t>CnE-67</t>
  </si>
  <si>
    <t>CnE-203</t>
  </si>
  <si>
    <t>CG-200</t>
  </si>
  <si>
    <t>LC-4</t>
  </si>
  <si>
    <t>LH-52</t>
  </si>
  <si>
    <t>LH-58</t>
  </si>
  <si>
    <t>LH-66</t>
  </si>
  <si>
    <t>LH-95</t>
  </si>
  <si>
    <t>CR-1</t>
  </si>
  <si>
    <t>LH-204</t>
  </si>
  <si>
    <t>LH-298</t>
  </si>
  <si>
    <t>LH-471</t>
  </si>
  <si>
    <t>LH-472</t>
  </si>
  <si>
    <t>CG-92</t>
  </si>
  <si>
    <t>CnE-869</t>
  </si>
  <si>
    <t>LC-630a</t>
  </si>
  <si>
    <t>LH-972a</t>
  </si>
  <si>
    <t>CnE-1112</t>
  </si>
  <si>
    <t>CnE-1111</t>
  </si>
  <si>
    <t>CnE-1217</t>
  </si>
  <si>
    <t>CnE-1176</t>
  </si>
  <si>
    <t>LH-1054a</t>
  </si>
  <si>
    <t>CnE-892a</t>
  </si>
  <si>
    <t>LH-1088a</t>
  </si>
  <si>
    <t>LH-215</t>
  </si>
  <si>
    <t>LH-251</t>
  </si>
  <si>
    <t>LH-485</t>
  </si>
  <si>
    <t>LH-572</t>
  </si>
  <si>
    <t>LH-712</t>
  </si>
  <si>
    <t>LH-736</t>
  </si>
  <si>
    <t>LH-793</t>
  </si>
  <si>
    <t>LH-821</t>
  </si>
  <si>
    <t>LH-918</t>
  </si>
  <si>
    <t>CG-27</t>
  </si>
  <si>
    <t>CG-93</t>
  </si>
  <si>
    <t>CG-387</t>
  </si>
  <si>
    <t>CG-460</t>
  </si>
  <si>
    <t>CG-474</t>
  </si>
  <si>
    <t>ECa-1</t>
  </si>
  <si>
    <t>N-40</t>
  </si>
  <si>
    <t>CnE-285</t>
  </si>
  <si>
    <t>CnE-292</t>
  </si>
  <si>
    <t>CnE-370</t>
  </si>
  <si>
    <t>LH-537</t>
  </si>
  <si>
    <t>LH-610</t>
  </si>
  <si>
    <t>LH-772</t>
  </si>
  <si>
    <t>LH-850</t>
  </si>
  <si>
    <t>LH-886</t>
  </si>
  <si>
    <t>LH-909</t>
  </si>
  <si>
    <t>LH-912</t>
  </si>
  <si>
    <t>LH-926</t>
  </si>
  <si>
    <t>CG-95</t>
  </si>
  <si>
    <t>CG-113</t>
  </si>
  <si>
    <t>CG.a-186</t>
  </si>
  <si>
    <t>CG-213</t>
  </si>
  <si>
    <t>CG-244</t>
  </si>
  <si>
    <t>CG-327</t>
  </si>
  <si>
    <t>CG-338</t>
  </si>
  <si>
    <t>CG-376</t>
  </si>
  <si>
    <t>CG-451</t>
  </si>
  <si>
    <t>CG-459</t>
  </si>
  <si>
    <t>CG-494</t>
  </si>
  <si>
    <t>N-56</t>
  </si>
  <si>
    <t>CnE-89</t>
  </si>
  <si>
    <t>CnE-148</t>
  </si>
  <si>
    <t>CnE-160</t>
  </si>
  <si>
    <t>CnE-223</t>
  </si>
  <si>
    <t>CnE-239</t>
  </si>
  <si>
    <t>CnE-321</t>
  </si>
  <si>
    <t>LH-83</t>
  </si>
  <si>
    <t>LH-147</t>
  </si>
  <si>
    <t>LH-676</t>
  </si>
  <si>
    <t>LH-901</t>
  </si>
  <si>
    <t>CG-105</t>
  </si>
  <si>
    <t>CG-135</t>
  </si>
  <si>
    <t>CG-342</t>
  </si>
  <si>
    <t>CnE-97</t>
  </si>
  <si>
    <t>CnE-119</t>
  </si>
  <si>
    <t>CnE-169</t>
  </si>
  <si>
    <t>CnE-421</t>
  </si>
  <si>
    <t>CnE-543</t>
  </si>
  <si>
    <t>CnE-610(I)</t>
  </si>
  <si>
    <t>CnE-723</t>
  </si>
  <si>
    <t>CnE-791</t>
  </si>
  <si>
    <t>CnE-827</t>
  </si>
  <si>
    <t>BB-52</t>
  </si>
  <si>
    <t>BB-56</t>
  </si>
  <si>
    <t>BB-79</t>
  </si>
  <si>
    <t>BB-23</t>
  </si>
  <si>
    <t>BB-37</t>
  </si>
  <si>
    <t>BB-59</t>
  </si>
  <si>
    <t>CnE-564</t>
  </si>
  <si>
    <t>LH-242</t>
  </si>
  <si>
    <t>CG-15</t>
  </si>
  <si>
    <t>CG-51</t>
  </si>
  <si>
    <t>LH-973a</t>
  </si>
  <si>
    <t>BB-107a</t>
  </si>
  <si>
    <t>LH-133</t>
  </si>
  <si>
    <t>LH-142</t>
  </si>
  <si>
    <t>LH-169</t>
  </si>
  <si>
    <t>LH-191</t>
  </si>
  <si>
    <t>LH-616</t>
  </si>
  <si>
    <t>LH-741</t>
  </si>
  <si>
    <t>LH-766</t>
  </si>
  <si>
    <t>LH-842</t>
  </si>
  <si>
    <t>LH-846</t>
  </si>
  <si>
    <t>LH-852</t>
  </si>
  <si>
    <t>CG-107</t>
  </si>
  <si>
    <t>CG-183</t>
  </si>
  <si>
    <t>CG-490</t>
  </si>
  <si>
    <t>LC-431</t>
  </si>
  <si>
    <t>CnE-53</t>
  </si>
  <si>
    <t>CnE-213</t>
  </si>
  <si>
    <t>CnE-305</t>
  </si>
  <si>
    <t>CnE-387</t>
  </si>
  <si>
    <t>CnE-400</t>
  </si>
  <si>
    <t>CnE-402</t>
  </si>
  <si>
    <t>CnE-420</t>
  </si>
  <si>
    <t>CnE-555</t>
  </si>
  <si>
    <t>CnE-592</t>
  </si>
  <si>
    <t>CnE-796</t>
  </si>
  <si>
    <t>EaSJ-2</t>
  </si>
  <si>
    <t>CnE-7</t>
  </si>
  <si>
    <t>CnE-126</t>
  </si>
  <si>
    <t>LH-47</t>
  </si>
  <si>
    <t>LH-487</t>
  </si>
  <si>
    <t>LH-124</t>
  </si>
  <si>
    <t>LH-237</t>
  </si>
  <si>
    <t>LH-275</t>
  </si>
  <si>
    <t>LH-490</t>
  </si>
  <si>
    <t>LH-503</t>
  </si>
  <si>
    <t>LH-569</t>
  </si>
  <si>
    <t>CG-128</t>
  </si>
  <si>
    <t>CG-465a</t>
  </si>
  <si>
    <t>CG-468a</t>
  </si>
  <si>
    <t>LH-1027a</t>
  </si>
  <si>
    <t>LH-1082a</t>
  </si>
  <si>
    <t>LH-1124a</t>
  </si>
  <si>
    <t>CnE-945a</t>
  </si>
  <si>
    <t>CG-626</t>
  </si>
  <si>
    <t>CnE-993</t>
  </si>
  <si>
    <t>CnE-1044</t>
  </si>
  <si>
    <t>BB-127</t>
  </si>
  <si>
    <t>LH-1232</t>
  </si>
  <si>
    <t>CnE-1352</t>
  </si>
  <si>
    <t>CnE-1418</t>
  </si>
  <si>
    <t>CnE-902a</t>
  </si>
  <si>
    <t>LH-1080a</t>
  </si>
  <si>
    <t>CG-553a</t>
  </si>
  <si>
    <t>LH-1065a</t>
  </si>
  <si>
    <t>BB-47</t>
  </si>
  <si>
    <t>LH-1100a</t>
  </si>
  <si>
    <t>CG-575a</t>
  </si>
  <si>
    <t>CnE-944a</t>
  </si>
  <si>
    <t>CnE-953a</t>
  </si>
  <si>
    <t>CnE-974</t>
  </si>
  <si>
    <t>CnE-980</t>
  </si>
  <si>
    <t>LH-1180</t>
  </si>
  <si>
    <t>CG-639</t>
  </si>
  <si>
    <t>CG-699</t>
  </si>
  <si>
    <t>CG-737</t>
  </si>
  <si>
    <t>CG-754</t>
  </si>
  <si>
    <t>CG-811</t>
  </si>
  <si>
    <t>CnE-1215(d)</t>
  </si>
  <si>
    <t>CnE-1218</t>
  </si>
  <si>
    <t>LH-1240</t>
  </si>
  <si>
    <t>CnE-1273</t>
  </si>
  <si>
    <t>CnE-1274(d)</t>
  </si>
  <si>
    <t>CG-915</t>
  </si>
  <si>
    <t>LH-1256</t>
  </si>
  <si>
    <t>BB-7</t>
  </si>
  <si>
    <t>LH-241(I)</t>
  </si>
  <si>
    <t>LH-7</t>
  </si>
  <si>
    <t>LH-437</t>
  </si>
  <si>
    <t>LH-507</t>
  </si>
  <si>
    <t>CG-48</t>
  </si>
  <si>
    <t>CG-199</t>
  </si>
  <si>
    <t>CnE-880a</t>
  </si>
  <si>
    <t>LH-1011a</t>
  </si>
  <si>
    <t>LH-979a</t>
  </si>
  <si>
    <t>CG-532a</t>
  </si>
  <si>
    <t>LH-1009a</t>
  </si>
  <si>
    <t>CnE-894a</t>
  </si>
  <si>
    <t>LH-1079a</t>
  </si>
  <si>
    <t>LH-1113a</t>
  </si>
  <si>
    <t>CG-610a</t>
  </si>
  <si>
    <t>CG-584a</t>
  </si>
  <si>
    <t>CG-585a</t>
  </si>
  <si>
    <t>LH-1112a</t>
  </si>
  <si>
    <t>LH-1107a</t>
  </si>
  <si>
    <t>CnE-957a</t>
  </si>
  <si>
    <t>CnE-962a</t>
  </si>
  <si>
    <t>CG-653</t>
  </si>
  <si>
    <t>CnE-1000</t>
  </si>
  <si>
    <t>CG-716</t>
  </si>
  <si>
    <t>CnE-1260</t>
  </si>
  <si>
    <t>CG-857</t>
  </si>
  <si>
    <t>CnE-1234a</t>
  </si>
  <si>
    <t>LH-1252</t>
  </si>
  <si>
    <t>CnE.a-1430a</t>
  </si>
  <si>
    <t>LH-1048a</t>
  </si>
  <si>
    <t>LH-1028a</t>
  </si>
  <si>
    <t>LH-1095a</t>
  </si>
  <si>
    <t>CG-609a</t>
  </si>
  <si>
    <t>CG-625</t>
  </si>
  <si>
    <t>CnE-964</t>
  </si>
  <si>
    <t>CG-637</t>
  </si>
  <si>
    <t>CG-672</t>
  </si>
  <si>
    <t>CG-663</t>
  </si>
  <si>
    <t>CG-682</t>
  </si>
  <si>
    <t>CG-797</t>
  </si>
  <si>
    <t>CnE-1216</t>
  </si>
  <si>
    <t>CnE-1200(d)</t>
  </si>
  <si>
    <t>CnE-1207</t>
  </si>
  <si>
    <t>CG-869a</t>
  </si>
  <si>
    <t>CnE-1228</t>
  </si>
  <si>
    <t>CnE-1348</t>
  </si>
  <si>
    <t>CnE-1366</t>
  </si>
  <si>
    <t>CnE.xp-1401</t>
  </si>
  <si>
    <t>CnE-991a</t>
  </si>
  <si>
    <t>CG-768</t>
  </si>
  <si>
    <t>LH-205</t>
  </si>
  <si>
    <t>LH-247</t>
  </si>
  <si>
    <t>LH-482</t>
  </si>
  <si>
    <t>LH-549</t>
  </si>
  <si>
    <t>LH-606</t>
  </si>
  <si>
    <t>LH-825</t>
  </si>
  <si>
    <t>CG-10</t>
  </si>
  <si>
    <t>CG-232</t>
  </si>
  <si>
    <t>CG-267</t>
  </si>
  <si>
    <t>CG-364</t>
  </si>
  <si>
    <t>CG-396</t>
  </si>
  <si>
    <t>CG-409</t>
  </si>
  <si>
    <t>CG-448</t>
  </si>
  <si>
    <t>LC-11</t>
  </si>
  <si>
    <t>LC-89</t>
  </si>
  <si>
    <t>LC-578</t>
  </si>
  <si>
    <t>CnE-82</t>
  </si>
  <si>
    <t>CnE-177</t>
  </si>
  <si>
    <t>CnE-254</t>
  </si>
  <si>
    <t>CnE-294</t>
  </si>
  <si>
    <t>CnE-356</t>
  </si>
  <si>
    <t>CnE-389</t>
  </si>
  <si>
    <t>CnE-636</t>
  </si>
  <si>
    <t>CnE-691</t>
  </si>
  <si>
    <t>CnE-799</t>
  </si>
  <si>
    <t>BB-100</t>
  </si>
  <si>
    <t>LH-241</t>
  </si>
  <si>
    <t>CnE-442</t>
  </si>
  <si>
    <t>CnE-499</t>
  </si>
  <si>
    <t>CnE-502</t>
  </si>
  <si>
    <t>CnE-588</t>
  </si>
  <si>
    <t>CnE-689</t>
  </si>
  <si>
    <t>CnE-696</t>
  </si>
  <si>
    <t>LH-293</t>
  </si>
  <si>
    <t>LH-11</t>
  </si>
  <si>
    <t>LH-45</t>
  </si>
  <si>
    <t>CG-303</t>
  </si>
  <si>
    <t>LH-402</t>
  </si>
  <si>
    <t>LH-489</t>
  </si>
  <si>
    <t>CnE-881a</t>
  </si>
  <si>
    <t>CG-583a</t>
  </si>
  <si>
    <t>LH-1142a</t>
  </si>
  <si>
    <t>LH-1172</t>
  </si>
  <si>
    <t>CG-627</t>
  </si>
  <si>
    <t>CG-670</t>
  </si>
  <si>
    <t>CnE-1064</t>
  </si>
  <si>
    <t>CG-785</t>
  </si>
  <si>
    <t>CnE-1114</t>
  </si>
  <si>
    <t>CnE-1188</t>
  </si>
  <si>
    <t>LH-1229</t>
  </si>
  <si>
    <t>CG-870a</t>
  </si>
  <si>
    <t>CG-876</t>
  </si>
  <si>
    <t>CnE-1387</t>
  </si>
  <si>
    <t>CnE-1433a</t>
  </si>
  <si>
    <t>CG-804</t>
  </si>
  <si>
    <t>CG-733</t>
  </si>
  <si>
    <t>CnE-1119</t>
  </si>
  <si>
    <t>CnE-904a</t>
  </si>
  <si>
    <t>CnE-914a</t>
  </si>
  <si>
    <t>LH-1092a</t>
  </si>
  <si>
    <t>CnE.a-1343</t>
  </si>
  <si>
    <t>CG-951</t>
  </si>
  <si>
    <t>LH-1255</t>
  </si>
  <si>
    <t>BB-174</t>
  </si>
  <si>
    <t>O-200</t>
  </si>
  <si>
    <t>LH-89</t>
  </si>
  <si>
    <t>LH-208</t>
  </si>
  <si>
    <t>LH-575</t>
  </si>
  <si>
    <t>LH-636</t>
  </si>
  <si>
    <t>LH-647</t>
  </si>
  <si>
    <t>LH-680</t>
  </si>
  <si>
    <t>LH-807</t>
  </si>
  <si>
    <t>LH-931</t>
  </si>
  <si>
    <t>CG-360</t>
  </si>
  <si>
    <t>CG-367</t>
  </si>
  <si>
    <t>CG-395</t>
  </si>
  <si>
    <t>CG-437</t>
  </si>
  <si>
    <t>CnE-72</t>
  </si>
  <si>
    <t>CnE-123</t>
  </si>
  <si>
    <t>CnE-279</t>
  </si>
  <si>
    <t>CnE-397</t>
  </si>
  <si>
    <t>CnE-427</t>
  </si>
  <si>
    <t>CnE-433</t>
  </si>
  <si>
    <t>CnE-470</t>
  </si>
  <si>
    <t>CnE-548</t>
  </si>
  <si>
    <t>CnE-579</t>
  </si>
  <si>
    <t>CnE-618</t>
  </si>
  <si>
    <t>CnE-630</t>
  </si>
  <si>
    <t>CnE-756</t>
  </si>
  <si>
    <t>CnE-785</t>
  </si>
  <si>
    <t>CnE-851</t>
  </si>
  <si>
    <t>BB-68</t>
  </si>
  <si>
    <t>LH-492</t>
  </si>
  <si>
    <t>LH-255</t>
  </si>
  <si>
    <t>CG-519</t>
  </si>
  <si>
    <t>CG-110</t>
  </si>
  <si>
    <t>O-201</t>
  </si>
  <si>
    <t>LH-146</t>
  </si>
  <si>
    <t>LH-721</t>
  </si>
  <si>
    <t>LH-771</t>
  </si>
  <si>
    <t>LH-786</t>
  </si>
  <si>
    <t>CG-111</t>
  </si>
  <si>
    <t>CG-153</t>
  </si>
  <si>
    <t>CG-240</t>
  </si>
  <si>
    <t>CG-306</t>
  </si>
  <si>
    <t>CG-366</t>
  </si>
  <si>
    <t>CG-368</t>
  </si>
  <si>
    <t>CG-399</t>
  </si>
  <si>
    <t>CG-464</t>
  </si>
  <si>
    <t>CG-516</t>
  </si>
  <si>
    <t>CnE-8</t>
  </si>
  <si>
    <t>CnE-310</t>
  </si>
  <si>
    <t>CnE-330</t>
  </si>
  <si>
    <t>CnE-346</t>
  </si>
  <si>
    <t>CnE-403</t>
  </si>
  <si>
    <t>CnE-563</t>
  </si>
  <si>
    <t>CnE-586</t>
  </si>
  <si>
    <t>CnE-596</t>
  </si>
  <si>
    <t>CnE-660</t>
  </si>
  <si>
    <t>CnE-667</t>
  </si>
  <si>
    <t>CnE-680</t>
  </si>
  <si>
    <t>CnE-682</t>
  </si>
  <si>
    <t>CnE-713</t>
  </si>
  <si>
    <t>BB-29</t>
  </si>
  <si>
    <t>LH-170</t>
  </si>
  <si>
    <t>LH-541</t>
  </si>
  <si>
    <t>CG-7</t>
  </si>
  <si>
    <t>CnE-888a</t>
  </si>
  <si>
    <t>CG-557a</t>
  </si>
  <si>
    <t>CnE-941a</t>
  </si>
  <si>
    <t>LH-1161a</t>
  </si>
  <si>
    <t>CG-618</t>
  </si>
  <si>
    <t>CG-642</t>
  </si>
  <si>
    <t>CG-787</t>
  </si>
  <si>
    <t>O-111</t>
  </si>
  <si>
    <t>LH-129</t>
  </si>
  <si>
    <t>LH-620</t>
  </si>
  <si>
    <t>LH-625</t>
  </si>
  <si>
    <t>LH-629</t>
  </si>
  <si>
    <t>CG-159</t>
  </si>
  <si>
    <t>CG-247</t>
  </si>
  <si>
    <t>CG-277</t>
  </si>
  <si>
    <t>CG-318</t>
  </si>
  <si>
    <t>CG-356</t>
  </si>
  <si>
    <t>CG-480</t>
  </si>
  <si>
    <t>BB-58</t>
  </si>
  <si>
    <t>BB-78</t>
  </si>
  <si>
    <t>CnE-30</t>
  </si>
  <si>
    <t>CnE-117</t>
  </si>
  <si>
    <t>CG-492</t>
  </si>
  <si>
    <t>LH-46</t>
  </si>
  <si>
    <t>LH-50</t>
  </si>
  <si>
    <t>CnE-476</t>
  </si>
  <si>
    <t>LH-435</t>
  </si>
  <si>
    <t>LH-235</t>
  </si>
  <si>
    <t>CG-129</t>
  </si>
  <si>
    <t>CG-154</t>
  </si>
  <si>
    <t>CG-77</t>
  </si>
  <si>
    <t>LH-76</t>
  </si>
  <si>
    <t>LH-55</t>
  </si>
  <si>
    <t>LH-193</t>
  </si>
  <si>
    <t>LH-570</t>
  </si>
  <si>
    <t>LH-689</t>
  </si>
  <si>
    <t>LH-816</t>
  </si>
  <si>
    <t>CG-86</t>
  </si>
  <si>
    <t>CG-142</t>
  </si>
  <si>
    <t>CG-168</t>
  </si>
  <si>
    <t>CG-237</t>
  </si>
  <si>
    <t>CG-302</t>
  </si>
  <si>
    <t>CG-462</t>
  </si>
  <si>
    <t>CG-503</t>
  </si>
  <si>
    <t>CnE-212</t>
  </si>
  <si>
    <t>CnE-214</t>
  </si>
  <si>
    <t>CnE-353</t>
  </si>
  <si>
    <t>CnE-391</t>
  </si>
  <si>
    <t>CnE-404</t>
  </si>
  <si>
    <t>CnE-411</t>
  </si>
  <si>
    <t>CnE-444</t>
  </si>
  <si>
    <t>CnE-462</t>
  </si>
  <si>
    <t>CnE-551</t>
  </si>
  <si>
    <t>CnE-627</t>
  </si>
  <si>
    <t>CnE-733</t>
  </si>
  <si>
    <t>BB-11</t>
  </si>
  <si>
    <t>BB-93</t>
  </si>
  <si>
    <t>BB-98</t>
  </si>
  <si>
    <t>LHS-2</t>
  </si>
  <si>
    <t>LH-287</t>
  </si>
  <si>
    <t>LH-120</t>
  </si>
  <si>
    <t>CG-80</t>
  </si>
  <si>
    <t>LH-996a</t>
  </si>
  <si>
    <t>LH-1013a</t>
  </si>
  <si>
    <t>LH-1006a</t>
  </si>
  <si>
    <t>CnE-895a</t>
  </si>
  <si>
    <t>LH-1046a</t>
  </si>
  <si>
    <t>CnE-873a</t>
  </si>
  <si>
    <t>LH-1081a</t>
  </si>
  <si>
    <t>CG-537a</t>
  </si>
  <si>
    <t>LH-1091a</t>
  </si>
  <si>
    <t>LH-1094a</t>
  </si>
  <si>
    <t>CnE-920a</t>
  </si>
  <si>
    <t>CG-574a</t>
  </si>
  <si>
    <t>CG-582a</t>
  </si>
  <si>
    <t>LH-1135a</t>
  </si>
  <si>
    <t>LH-1159a</t>
  </si>
  <si>
    <t>CnE-972</t>
  </si>
  <si>
    <t>LH-1174</t>
  </si>
  <si>
    <t>CG-713</t>
  </si>
  <si>
    <t>CnE-1090</t>
  </si>
  <si>
    <t>CG-793</t>
  </si>
  <si>
    <t>LH-1215</t>
  </si>
  <si>
    <t>CnE-1154</t>
  </si>
  <si>
    <t>CnE-1104</t>
  </si>
  <si>
    <t>LH-1228</t>
  </si>
  <si>
    <t>CG-875</t>
  </si>
  <si>
    <t>CG-958</t>
  </si>
  <si>
    <t>LH-1</t>
  </si>
  <si>
    <t>LH-116</t>
  </si>
  <si>
    <t>LH-190</t>
  </si>
  <si>
    <t>LH-218</t>
  </si>
  <si>
    <t>LH-528</t>
  </si>
  <si>
    <t>LH-530</t>
  </si>
  <si>
    <t>LH-551</t>
  </si>
  <si>
    <t>LH-590</t>
  </si>
  <si>
    <t>LH-667</t>
  </si>
  <si>
    <t>LH-678</t>
  </si>
  <si>
    <t>LH-742</t>
  </si>
  <si>
    <t>LH-794</t>
  </si>
  <si>
    <t>LH-813</t>
  </si>
  <si>
    <t>LH-891</t>
  </si>
  <si>
    <t>LH-897</t>
  </si>
  <si>
    <t>LH-960</t>
  </si>
  <si>
    <t>CG-117</t>
  </si>
  <si>
    <t>CG-171</t>
  </si>
  <si>
    <t>CG-204</t>
  </si>
  <si>
    <t>CG-287</t>
  </si>
  <si>
    <t>CG-316</t>
  </si>
  <si>
    <t>CG-353</t>
  </si>
  <si>
    <t>CG-420</t>
  </si>
  <si>
    <t>CG-458</t>
  </si>
  <si>
    <t>CG-501</t>
  </si>
  <si>
    <t>LC-65</t>
  </si>
  <si>
    <t>N-52</t>
  </si>
  <si>
    <t>CnE-34</t>
  </si>
  <si>
    <t>CnE-50</t>
  </si>
  <si>
    <t>CnE-93</t>
  </si>
  <si>
    <t>CnE-99</t>
  </si>
  <si>
    <t>CnE-233</t>
  </si>
  <si>
    <t>CnE-252</t>
  </si>
  <si>
    <t>CnE-340</t>
  </si>
  <si>
    <t>CnE-361</t>
  </si>
  <si>
    <t>CnE-369</t>
  </si>
  <si>
    <t>CnE-472</t>
  </si>
  <si>
    <t>CnE-515</t>
  </si>
  <si>
    <t>CnE-518</t>
  </si>
  <si>
    <t>CnE-550</t>
  </si>
  <si>
    <t>CnE-569</t>
  </si>
  <si>
    <t>CnE-605</t>
  </si>
  <si>
    <t>CnE-678</t>
  </si>
  <si>
    <t>CnE-694</t>
  </si>
  <si>
    <t>CnE-773</t>
  </si>
  <si>
    <t>CnE-805</t>
  </si>
  <si>
    <t>CnE-839</t>
  </si>
  <si>
    <t>CnE-850</t>
  </si>
  <si>
    <t>LH-226</t>
  </si>
  <si>
    <t>LH-229</t>
  </si>
  <si>
    <t>LH-631</t>
  </si>
  <si>
    <t>LH-815</t>
  </si>
  <si>
    <t>LH-859</t>
  </si>
  <si>
    <t>LH-923</t>
  </si>
  <si>
    <t>LH-942</t>
  </si>
  <si>
    <t>LH-943</t>
  </si>
  <si>
    <t>CG-102</t>
  </si>
  <si>
    <t>CG-147</t>
  </si>
  <si>
    <t>CG-163</t>
  </si>
  <si>
    <t>CG-216</t>
  </si>
  <si>
    <t>CG-238</t>
  </si>
  <si>
    <t>CG-484</t>
  </si>
  <si>
    <t>CnE-66</t>
  </si>
  <si>
    <t>CnE-235</t>
  </si>
  <si>
    <t>CnE-249</t>
  </si>
  <si>
    <t>CnE-263</t>
  </si>
  <si>
    <t>CnE-275</t>
  </si>
  <si>
    <t>CnE-345</t>
  </si>
  <si>
    <t>CnE-372</t>
  </si>
  <si>
    <t>CnE-590</t>
  </si>
  <si>
    <t>CnE-643</t>
  </si>
  <si>
    <t>CnE-653</t>
  </si>
  <si>
    <t>BB-69</t>
  </si>
  <si>
    <t>BB-86</t>
  </si>
  <si>
    <t>LH-40</t>
  </si>
  <si>
    <t>LC-13</t>
  </si>
  <si>
    <t>CG-416</t>
  </si>
  <si>
    <t>CG-497</t>
  </si>
  <si>
    <t>LH-152</t>
  </si>
  <si>
    <t>LH-159</t>
  </si>
  <si>
    <t>LH-239</t>
  </si>
  <si>
    <t>CG-20</t>
  </si>
  <si>
    <t>CnE-29</t>
  </si>
  <si>
    <t>CnE-865</t>
  </si>
  <si>
    <t>CnE-871a</t>
  </si>
  <si>
    <t>CG-544a</t>
  </si>
  <si>
    <t>LH-1016a</t>
  </si>
  <si>
    <t>LH-1014</t>
  </si>
  <si>
    <t>LH-1058a</t>
  </si>
  <si>
    <t>CG-539a</t>
  </si>
  <si>
    <t>CG-705</t>
  </si>
  <si>
    <t>LH-989a</t>
  </si>
  <si>
    <t>CnE-890a</t>
  </si>
  <si>
    <t>CG-495a</t>
  </si>
  <si>
    <t>LH-1050a</t>
  </si>
  <si>
    <t>CG-552a</t>
  </si>
  <si>
    <t>LH-1106a</t>
  </si>
  <si>
    <t>LH-1125a</t>
  </si>
  <si>
    <t>CnE-935a</t>
  </si>
  <si>
    <t>CnE-973</t>
  </si>
  <si>
    <t>CnE-1002</t>
  </si>
  <si>
    <t>LH-1192</t>
  </si>
  <si>
    <t>CnE-1113</t>
  </si>
  <si>
    <t>CG-755</t>
  </si>
  <si>
    <t>CnE-1259</t>
  </si>
  <si>
    <t>CG-948a</t>
  </si>
  <si>
    <t>CG-978a</t>
  </si>
  <si>
    <t>LH-186</t>
  </si>
  <si>
    <t>LH-192</t>
  </si>
  <si>
    <t>LH-587</t>
  </si>
  <si>
    <t>LH-805</t>
  </si>
  <si>
    <t>LH-812</t>
  </si>
  <si>
    <t>LH-830</t>
  </si>
  <si>
    <t>LH-955</t>
  </si>
  <si>
    <t>LH-961</t>
  </si>
  <si>
    <t>CG-87</t>
  </si>
  <si>
    <t>CG-104</t>
  </si>
  <si>
    <t>CG-136</t>
  </si>
  <si>
    <t>CG-140</t>
  </si>
  <si>
    <t>CG-436</t>
  </si>
  <si>
    <t>CG-479</t>
  </si>
  <si>
    <t>CG-481</t>
  </si>
  <si>
    <t>LC-29</t>
  </si>
  <si>
    <t>LH-39</t>
  </si>
  <si>
    <t>LH-48</t>
  </si>
  <si>
    <t>LH-141</t>
  </si>
  <si>
    <t>LH-145</t>
  </si>
  <si>
    <t>LH-594</t>
  </si>
  <si>
    <t>LH-652</t>
  </si>
  <si>
    <t>LH-653</t>
  </si>
  <si>
    <t>LH-668</t>
  </si>
  <si>
    <t>LH-949</t>
  </si>
  <si>
    <t>CG-164</t>
  </si>
  <si>
    <t>CG-297</t>
  </si>
  <si>
    <t>CG-314</t>
  </si>
  <si>
    <t>CG-373</t>
  </si>
  <si>
    <t>CG-454</t>
  </si>
  <si>
    <t>CG-456</t>
  </si>
  <si>
    <t>CG-461</t>
  </si>
  <si>
    <t>CG-483</t>
  </si>
  <si>
    <t>CG-509</t>
  </si>
  <si>
    <t>CnE-43</t>
  </si>
  <si>
    <t>CnE-55</t>
  </si>
  <si>
    <t>CnE-70</t>
  </si>
  <si>
    <t>CnE-92</t>
  </si>
  <si>
    <t>CnE-342</t>
  </si>
  <si>
    <t>CnE-358</t>
  </si>
  <si>
    <t>CnE-440</t>
  </si>
  <si>
    <t>CnE-475</t>
  </si>
  <si>
    <t>CnE-493</t>
  </si>
  <si>
    <t>CnE-584</t>
  </si>
  <si>
    <t>CnE-668</t>
  </si>
  <si>
    <t>CnE-688</t>
  </si>
  <si>
    <t>CnE-739</t>
  </si>
  <si>
    <t>CnE-755</t>
  </si>
  <si>
    <t>CnE-808</t>
  </si>
  <si>
    <t>CnE-817</t>
  </si>
  <si>
    <t>CnE-831</t>
  </si>
  <si>
    <t>BB-57</t>
  </si>
  <si>
    <t>BB-81</t>
  </si>
  <si>
    <t>N-10</t>
  </si>
  <si>
    <t>CnE-152</t>
  </si>
  <si>
    <t>CnE-256</t>
  </si>
  <si>
    <t>CnE-260</t>
  </si>
  <si>
    <t>CnE-448</t>
  </si>
  <si>
    <t>CnE-455</t>
  </si>
  <si>
    <t>CnE-469</t>
  </si>
  <si>
    <t>CnE-658</t>
  </si>
  <si>
    <t>CnE-662</t>
  </si>
  <si>
    <t>CnE-701</t>
  </si>
  <si>
    <t>CnE-825</t>
  </si>
  <si>
    <t>CnE-9</t>
  </si>
  <si>
    <t>CnE-81</t>
  </si>
  <si>
    <t>CnE-225</t>
  </si>
  <si>
    <t>LH-273</t>
  </si>
  <si>
    <t>LH-538</t>
  </si>
  <si>
    <t>LH-567</t>
  </si>
  <si>
    <t>CG-130</t>
  </si>
  <si>
    <t>CG-524</t>
  </si>
  <si>
    <t>LH-975a</t>
  </si>
  <si>
    <t>LH-1020a</t>
  </si>
  <si>
    <t>LH-1053a</t>
  </si>
  <si>
    <t>LH-1103a</t>
  </si>
  <si>
    <t>LH-1109a</t>
  </si>
  <si>
    <t>LH-1157a</t>
  </si>
  <si>
    <t>CnE-967</t>
  </si>
  <si>
    <t>CG-635</t>
  </si>
  <si>
    <t>CG-654</t>
  </si>
  <si>
    <t>CnE-1043</t>
  </si>
  <si>
    <t>CG-695</t>
  </si>
  <si>
    <t>CG-794</t>
  </si>
  <si>
    <t>CG-831</t>
  </si>
  <si>
    <t>LH-1226</t>
  </si>
  <si>
    <t>CG-895</t>
  </si>
  <si>
    <t>CnE-1318</t>
  </si>
  <si>
    <t>LH-1251</t>
  </si>
  <si>
    <t>BB-137</t>
  </si>
  <si>
    <t>LH-1200</t>
  </si>
  <si>
    <t>CG-902</t>
  </si>
  <si>
    <t>CnE-1420</t>
  </si>
  <si>
    <t>LH-316</t>
  </si>
  <si>
    <t>LH-525</t>
  </si>
  <si>
    <t>LH-683</t>
  </si>
  <si>
    <t>LH-730</t>
  </si>
  <si>
    <t>LH-829</t>
  </si>
  <si>
    <t>LH-844</t>
  </si>
  <si>
    <t>LH-860</t>
  </si>
  <si>
    <t>LH-885</t>
  </si>
  <si>
    <t>LH-954</t>
  </si>
  <si>
    <t>CG-112</t>
  </si>
  <si>
    <t>CnE-164</t>
  </si>
  <si>
    <t>CnE-202</t>
  </si>
  <si>
    <t>CnE-226</t>
  </si>
  <si>
    <t>CnE-276</t>
  </si>
  <si>
    <t>CnE-332</t>
  </si>
  <si>
    <t>CnE-405</t>
  </si>
  <si>
    <t>CnE-454</t>
  </si>
  <si>
    <t>CnE-485</t>
  </si>
  <si>
    <t>CnE-497</t>
  </si>
  <si>
    <t>CnE-610</t>
  </si>
  <si>
    <t>CnE-632</t>
  </si>
  <si>
    <t>CnE-710</t>
  </si>
  <si>
    <t>CnE-780</t>
  </si>
  <si>
    <t>LH-234</t>
  </si>
  <si>
    <t>CnE-6</t>
  </si>
  <si>
    <t>CnE-27</t>
  </si>
  <si>
    <t>CnE-57</t>
  </si>
  <si>
    <t>CnE-192</t>
  </si>
  <si>
    <t>CnE-271</t>
  </si>
  <si>
    <t>LH-67</t>
  </si>
  <si>
    <t>LH-500</t>
  </si>
  <si>
    <t>LH-992a</t>
  </si>
  <si>
    <t>CG-548a</t>
  </si>
  <si>
    <t>CG-565a</t>
  </si>
  <si>
    <t>CG-568a</t>
  </si>
  <si>
    <t>CG-588a</t>
  </si>
  <si>
    <t>CnE-108</t>
  </si>
  <si>
    <t>CnE-858</t>
  </si>
  <si>
    <t>CnE-874a</t>
  </si>
  <si>
    <t>CnE-918a</t>
  </si>
  <si>
    <t>CG-611a</t>
  </si>
  <si>
    <t>LH-1171</t>
  </si>
  <si>
    <t>CG-691</t>
  </si>
  <si>
    <t>CG-764</t>
  </si>
  <si>
    <t>CnE-1210</t>
  </si>
  <si>
    <t>CG-835</t>
  </si>
  <si>
    <t>CnE-1249</t>
  </si>
  <si>
    <t>LH-1249</t>
  </si>
  <si>
    <t>CG-952</t>
  </si>
  <si>
    <t>CnE.a-1429a</t>
  </si>
  <si>
    <t>LH-54</t>
  </si>
  <si>
    <t>LH-91</t>
  </si>
  <si>
    <t>LH-256</t>
  </si>
  <si>
    <t>LH-321</t>
  </si>
  <si>
    <t>LH-817</t>
  </si>
  <si>
    <t>LH-847</t>
  </si>
  <si>
    <t>CG-50</t>
  </si>
  <si>
    <t>CG-179</t>
  </si>
  <si>
    <t>CG-224</t>
  </si>
  <si>
    <t>CG-384</t>
  </si>
  <si>
    <t>CG-386</t>
  </si>
  <si>
    <t>CG-405</t>
  </si>
  <si>
    <t>CnE-100</t>
  </si>
  <si>
    <t>CnE-120</t>
  </si>
  <si>
    <t>CnE-125</t>
  </si>
  <si>
    <t>CnE-130</t>
  </si>
  <si>
    <t>CnE-176</t>
  </si>
  <si>
    <t>CnE-274</t>
  </si>
  <si>
    <t>CnE-509</t>
  </si>
  <si>
    <t>CnE-561</t>
  </si>
  <si>
    <t>CnE-575</t>
  </si>
  <si>
    <t>CnE-589</t>
  </si>
  <si>
    <t>CnE-601</t>
  </si>
  <si>
    <t>CnE-664</t>
  </si>
  <si>
    <t>CnE-706</t>
  </si>
  <si>
    <t>CnE-759</t>
  </si>
  <si>
    <t>CnE-760</t>
  </si>
  <si>
    <t>BB-83</t>
  </si>
  <si>
    <t>BB-103</t>
  </si>
  <si>
    <t>LH-36</t>
  </si>
  <si>
    <t>CnE-479</t>
  </si>
  <si>
    <t>CG-469a</t>
  </si>
  <si>
    <t>CnE-912a</t>
  </si>
  <si>
    <t>CnE-954a</t>
  </si>
  <si>
    <t>CnE-955a</t>
  </si>
  <si>
    <t>LH-1179</t>
  </si>
  <si>
    <t>CG-629</t>
  </si>
  <si>
    <t>CG-644</t>
  </si>
  <si>
    <t>LH-1186</t>
  </si>
  <si>
    <t>CnE-1047</t>
  </si>
  <si>
    <t>CnE-1160</t>
  </si>
  <si>
    <t>CnE-1151</t>
  </si>
  <si>
    <t>CnE-1248</t>
  </si>
  <si>
    <t>CnE-1344</t>
  </si>
  <si>
    <t>CnE-1369</t>
  </si>
  <si>
    <t>BB-166</t>
  </si>
  <si>
    <t>LH-1097a</t>
  </si>
  <si>
    <t>CG-576a</t>
  </si>
  <si>
    <t>CG-594a</t>
  </si>
  <si>
    <t>LH-1149a</t>
  </si>
  <si>
    <t>CG-751(d)</t>
  </si>
  <si>
    <t>BB-125</t>
  </si>
  <si>
    <t>BB-129</t>
  </si>
  <si>
    <t>CnE-1103</t>
  </si>
  <si>
    <t>CG-872</t>
  </si>
  <si>
    <t>CnE-1334</t>
  </si>
  <si>
    <t>BB-170</t>
  </si>
  <si>
    <t>CG-614a</t>
  </si>
  <si>
    <t>CnE-978</t>
  </si>
  <si>
    <t>CG-647</t>
  </si>
  <si>
    <t>LH-1197</t>
  </si>
  <si>
    <t>CG-786</t>
  </si>
  <si>
    <t>CG-789</t>
  </si>
  <si>
    <t>CnE-1162</t>
  </si>
  <si>
    <t>LH-1225</t>
  </si>
  <si>
    <t>CnE-1254</t>
  </si>
  <si>
    <t>CG-914(d)</t>
  </si>
  <si>
    <t>CnE-1349</t>
  </si>
  <si>
    <t>CG-623a</t>
  </si>
  <si>
    <t>CnE-971</t>
  </si>
  <si>
    <t>CG-715</t>
  </si>
  <si>
    <t>CnE-1086</t>
  </si>
  <si>
    <t>CG-749</t>
  </si>
  <si>
    <t>CnE-1128</t>
  </si>
  <si>
    <t>CG-821</t>
  </si>
  <si>
    <t>CG-846(d)a</t>
  </si>
  <si>
    <t>CnE-1102</t>
  </si>
  <si>
    <t>BB-141</t>
  </si>
  <si>
    <t>CnE-1296</t>
  </si>
  <si>
    <t>CnE-1302</t>
  </si>
  <si>
    <t>LH-1250</t>
  </si>
  <si>
    <t>CnE.a-1427a</t>
  </si>
  <si>
    <t>LH-4</t>
  </si>
  <si>
    <t>LH-80</t>
  </si>
  <si>
    <t>LH-109</t>
  </si>
  <si>
    <t>LH-134</t>
  </si>
  <si>
    <t>LH-475</t>
  </si>
  <si>
    <t>LH-479</t>
  </si>
  <si>
    <t>LH-810</t>
  </si>
  <si>
    <t>LH-883</t>
  </si>
  <si>
    <t>LH-907</t>
  </si>
  <si>
    <t>LH-929</t>
  </si>
  <si>
    <t>LH-944</t>
  </si>
  <si>
    <t>CG-146</t>
  </si>
  <si>
    <t>CG-192</t>
  </si>
  <si>
    <t>CG-211</t>
  </si>
  <si>
    <t>CG-212</t>
  </si>
  <si>
    <t>CG-226</t>
  </si>
  <si>
    <t>CG-307</t>
  </si>
  <si>
    <t>CG-317</t>
  </si>
  <si>
    <t>CG-357</t>
  </si>
  <si>
    <t>CG-397</t>
  </si>
  <si>
    <t>CG-491</t>
  </si>
  <si>
    <t>LC-86</t>
  </si>
  <si>
    <t>N-58</t>
  </si>
  <si>
    <t>CnE-35</t>
  </si>
  <si>
    <t>CnE-79</t>
  </si>
  <si>
    <t>CnE-104</t>
  </si>
  <si>
    <t>CnE-162</t>
  </si>
  <si>
    <t>CnE-234</t>
  </si>
  <si>
    <t>CnE-326</t>
  </si>
  <si>
    <t>CnE-327</t>
  </si>
  <si>
    <t>CnE-368</t>
  </si>
  <si>
    <t>CnE-378</t>
  </si>
  <si>
    <t>CnE-382</t>
  </si>
  <si>
    <t>CnE-383</t>
  </si>
  <si>
    <t>CnE-435</t>
  </si>
  <si>
    <t>CnE-533</t>
  </si>
  <si>
    <t>CnE-540</t>
  </si>
  <si>
    <t>CnE-623</t>
  </si>
  <si>
    <t>CnE-700</t>
  </si>
  <si>
    <t>CnE-795</t>
  </si>
  <si>
    <t>CnE-849</t>
  </si>
  <si>
    <t>BB-71</t>
  </si>
  <si>
    <t>BB-75</t>
  </si>
  <si>
    <t>BB-82</t>
  </si>
  <si>
    <t>LHS-4</t>
  </si>
  <si>
    <t>LH-248</t>
  </si>
  <si>
    <t>BB-8</t>
  </si>
  <si>
    <t>LH-51</t>
  </si>
  <si>
    <t>CG-272</t>
  </si>
  <si>
    <t>LH-474</t>
  </si>
  <si>
    <t>LH-158</t>
  </si>
  <si>
    <t>LH-536</t>
  </si>
  <si>
    <t>CG-21</t>
  </si>
  <si>
    <t>CG-187</t>
  </si>
  <si>
    <t>CnE-876a</t>
  </si>
  <si>
    <t>CnE-875a</t>
  </si>
  <si>
    <t>LH-993a</t>
  </si>
  <si>
    <t>LH-994a</t>
  </si>
  <si>
    <t>LH-1056a</t>
  </si>
  <si>
    <t>CnE-909a</t>
  </si>
  <si>
    <t>CnE-938a</t>
  </si>
  <si>
    <t>LH-1141a</t>
  </si>
  <si>
    <t>LH-1143a</t>
  </si>
  <si>
    <t>LH-308</t>
  </si>
  <si>
    <t>LH-343</t>
  </si>
  <si>
    <t>LH-484</t>
  </si>
  <si>
    <t>LH-552</t>
  </si>
  <si>
    <t>LH-928</t>
  </si>
  <si>
    <t>LH-935</t>
  </si>
  <si>
    <t>CG-8</t>
  </si>
  <si>
    <t>CG-190</t>
  </si>
  <si>
    <t>CG-285</t>
  </si>
  <si>
    <t>CG-389</t>
  </si>
  <si>
    <t>CnE-49</t>
  </si>
  <si>
    <t>CnE-124</t>
  </si>
  <si>
    <t>CnE-151</t>
  </si>
  <si>
    <t>CnE-343</t>
  </si>
  <si>
    <t>CnE-350</t>
  </si>
  <si>
    <t>CnE-424</t>
  </si>
  <si>
    <t>CnE-512</t>
  </si>
  <si>
    <t>CnE-690</t>
  </si>
  <si>
    <t>CnE-752</t>
  </si>
  <si>
    <t>CnE-852</t>
  </si>
  <si>
    <t>BB-92</t>
  </si>
  <si>
    <t>BB-95</t>
  </si>
  <si>
    <t>O-220</t>
  </si>
  <si>
    <t>LH-126</t>
  </si>
  <si>
    <t>LH-207</t>
  </si>
  <si>
    <t>LH-250</t>
  </si>
  <si>
    <t>LH-550</t>
  </si>
  <si>
    <t>LH-556</t>
  </si>
  <si>
    <t>LH-582</t>
  </si>
  <si>
    <t>LH-630</t>
  </si>
  <si>
    <t>LH-641</t>
  </si>
  <si>
    <t>LH-798</t>
  </si>
  <si>
    <t>CG-174</t>
  </si>
  <si>
    <t>CG-236</t>
  </si>
  <si>
    <t>CG-381</t>
  </si>
  <si>
    <t>CG-410</t>
  </si>
  <si>
    <t>CG-512</t>
  </si>
  <si>
    <t>LC-12</t>
  </si>
  <si>
    <t>CnE-172</t>
  </si>
  <si>
    <t>CnE-362</t>
  </si>
  <si>
    <t>CnE-456</t>
  </si>
  <si>
    <t>CnE-532</t>
  </si>
  <si>
    <t>CnE-116</t>
  </si>
  <si>
    <t>CnE-147</t>
  </si>
  <si>
    <t>CnE-414</t>
  </si>
  <si>
    <t>CG-282</t>
  </si>
  <si>
    <t>LH-264</t>
  </si>
  <si>
    <t>LH-400</t>
  </si>
  <si>
    <t>LH-533</t>
  </si>
  <si>
    <t>CG-151</t>
  </si>
  <si>
    <t>CG-46</t>
  </si>
  <si>
    <t>LH-1021a</t>
  </si>
  <si>
    <t>CnE-897a</t>
  </si>
  <si>
    <t>LC-2</t>
  </si>
  <si>
    <t>LH-93</t>
  </si>
  <si>
    <t>CG-291</t>
  </si>
  <si>
    <t>CR-3</t>
  </si>
  <si>
    <t>CG-52</t>
  </si>
  <si>
    <t>CG-471a</t>
  </si>
  <si>
    <t>CG-543a</t>
  </si>
  <si>
    <t>LH-1005a</t>
  </si>
  <si>
    <t>LH-1001a</t>
  </si>
  <si>
    <t>CG-558a</t>
  </si>
  <si>
    <t>CG-569a</t>
  </si>
  <si>
    <t>LH-1130</t>
  </si>
  <si>
    <t>LH-1144a</t>
  </si>
  <si>
    <t>CG-634</t>
  </si>
  <si>
    <t>CnE-1033</t>
  </si>
  <si>
    <t>CG-684</t>
  </si>
  <si>
    <t>CnE-1009</t>
  </si>
  <si>
    <t>LH-1195</t>
  </si>
  <si>
    <t>CG-803</t>
  </si>
  <si>
    <t>CnE-1308</t>
  </si>
  <si>
    <t>LH-1267a</t>
  </si>
  <si>
    <t>CnE-1422a</t>
  </si>
  <si>
    <t>BB-21</t>
  </si>
  <si>
    <t>BB-25</t>
  </si>
  <si>
    <t>CnE-36</t>
  </si>
  <si>
    <t>CnE-217</t>
  </si>
  <si>
    <t>CnE-237</t>
  </si>
  <si>
    <t>LC-24</t>
  </si>
  <si>
    <t>LH-473</t>
  </si>
  <si>
    <t>CnE-863</t>
  </si>
  <si>
    <t>CG-528a</t>
  </si>
  <si>
    <t>LH-997a</t>
  </si>
  <si>
    <t>CG-514a</t>
  </si>
  <si>
    <t>LH-1073a</t>
  </si>
  <si>
    <t>LH-915a</t>
  </si>
  <si>
    <t>CG-550a</t>
  </si>
  <si>
    <t>CG-555a</t>
  </si>
  <si>
    <t>LH-1139a</t>
  </si>
  <si>
    <t>LH-1163</t>
  </si>
  <si>
    <t>CnE-975</t>
  </si>
  <si>
    <t>CG-683</t>
  </si>
  <si>
    <t>CnE-1036</t>
  </si>
  <si>
    <t>LH-1189</t>
  </si>
  <si>
    <t>CG-700</t>
  </si>
  <si>
    <t>CnE-1126</t>
  </si>
  <si>
    <t>CnE-1120</t>
  </si>
  <si>
    <t>CnE-1258(d)</t>
  </si>
  <si>
    <t>LH-1262</t>
  </si>
  <si>
    <t>LH-1093a</t>
  </si>
  <si>
    <t>CnE-928a</t>
  </si>
  <si>
    <t>CG-590a</t>
  </si>
  <si>
    <t>LH-1138a</t>
  </si>
  <si>
    <t>LH-1152a</t>
  </si>
  <si>
    <t>CG-613a</t>
  </si>
  <si>
    <t>CG-619a</t>
  </si>
  <si>
    <t>CG-631</t>
  </si>
  <si>
    <t>CG-677</t>
  </si>
  <si>
    <t>CG-694</t>
  </si>
  <si>
    <t>CG-710</t>
  </si>
  <si>
    <t>CnE-1212(d)</t>
  </si>
  <si>
    <t>CnE-1339(d)</t>
  </si>
  <si>
    <t>LH-1257</t>
  </si>
  <si>
    <t>CG-938</t>
  </si>
  <si>
    <t>LH-165</t>
  </si>
  <si>
    <t>LH-185</t>
  </si>
  <si>
    <t>LH-203</t>
  </si>
  <si>
    <t>LH-269</t>
  </si>
  <si>
    <t>LH-609</t>
  </si>
  <si>
    <t>LH-635</t>
  </si>
  <si>
    <t>LH-639</t>
  </si>
  <si>
    <t>LH-856</t>
  </si>
  <si>
    <t>LH-892</t>
  </si>
  <si>
    <t>CG-337</t>
  </si>
  <si>
    <t>CG-358</t>
  </si>
  <si>
    <t>CG-508</t>
  </si>
  <si>
    <t>N-48</t>
  </si>
  <si>
    <t>N-50</t>
  </si>
  <si>
    <t>CnE-144</t>
  </si>
  <si>
    <t>CnE-504</t>
  </si>
  <si>
    <t>CnE-538</t>
  </si>
  <si>
    <t>CnE-547</t>
  </si>
  <si>
    <t>CnE-559</t>
  </si>
  <si>
    <t>LH-127</t>
  </si>
  <si>
    <t>LH-178</t>
  </si>
  <si>
    <t>LH-217</t>
  </si>
  <si>
    <t>LH-279</t>
  </si>
  <si>
    <t>LH-576</t>
  </si>
  <si>
    <t>LH-703</t>
  </si>
  <si>
    <t>LH-820</t>
  </si>
  <si>
    <t>CG-269</t>
  </si>
  <si>
    <t>CG-328</t>
  </si>
  <si>
    <t>CG-355</t>
  </si>
  <si>
    <t>CG-430</t>
  </si>
  <si>
    <t>CG-504</t>
  </si>
  <si>
    <t>LC-88</t>
  </si>
  <si>
    <t>LC-539</t>
  </si>
  <si>
    <t>CnE-14</t>
  </si>
  <si>
    <t>CnE-23</t>
  </si>
  <si>
    <t>CnE-88</t>
  </si>
  <si>
    <t>CnE-219</t>
  </si>
  <si>
    <t>CnE-355</t>
  </si>
  <si>
    <t>CnE-359</t>
  </si>
  <si>
    <t>CnE-422</t>
  </si>
  <si>
    <t>CnE-482</t>
  </si>
  <si>
    <t>CnE-489</t>
  </si>
  <si>
    <t>CnE-534</t>
  </si>
  <si>
    <t>CnE-656</t>
  </si>
  <si>
    <t>CnE-692</t>
  </si>
  <si>
    <t>CnE-698</t>
  </si>
  <si>
    <t>CnE-729</t>
  </si>
  <si>
    <t>CEO-2</t>
  </si>
  <si>
    <t>CnE-1</t>
  </si>
  <si>
    <t>CnE-77</t>
  </si>
  <si>
    <t>CnE-412</t>
  </si>
  <si>
    <t>CG-182</t>
  </si>
  <si>
    <t>CG-523a</t>
  </si>
  <si>
    <t>CnE-886a</t>
  </si>
  <si>
    <t>CnE-269</t>
  </si>
  <si>
    <t>LH-122</t>
  </si>
  <si>
    <t>LH-160</t>
  </si>
  <si>
    <t>LH-259</t>
  </si>
  <si>
    <t>LH-555</t>
  </si>
  <si>
    <t>CnE-861</t>
  </si>
  <si>
    <t>CG-2</t>
  </si>
  <si>
    <t>LH-1055a</t>
  </si>
  <si>
    <t>CG-563a</t>
  </si>
  <si>
    <t>LH-1119a</t>
  </si>
  <si>
    <t>CG-604a</t>
  </si>
  <si>
    <t>CG-669</t>
  </si>
  <si>
    <t>CnE-1095</t>
  </si>
  <si>
    <t>LH-1236</t>
  </si>
  <si>
    <t>CG-893</t>
  </si>
  <si>
    <t>BB-150</t>
  </si>
  <si>
    <t>CnE-1300(I)a</t>
  </si>
  <si>
    <t>LH-1034a</t>
  </si>
  <si>
    <t>LH-1070a</t>
  </si>
  <si>
    <t>CG-556a</t>
  </si>
  <si>
    <t>CG-573a</t>
  </si>
  <si>
    <t>LH-1137a</t>
  </si>
  <si>
    <t>CnE-977</t>
  </si>
  <si>
    <t>CnE-1031</t>
  </si>
  <si>
    <t>CG-646</t>
  </si>
  <si>
    <t>LH-1183</t>
  </si>
  <si>
    <t>CnE-1141</t>
  </si>
  <si>
    <t>CnE-1116</t>
  </si>
  <si>
    <t>CnE-1133</t>
  </si>
  <si>
    <t>CnE-1364</t>
  </si>
  <si>
    <t>LH-593</t>
  </si>
  <si>
    <t>LH-802</t>
  </si>
  <si>
    <t>LH-826</t>
  </si>
  <si>
    <t>CG-14</t>
  </si>
  <si>
    <t>CG-431</t>
  </si>
  <si>
    <t>CG-482</t>
  </si>
  <si>
    <t>LC-453</t>
  </si>
  <si>
    <t>N-17</t>
  </si>
  <si>
    <t>N-57</t>
  </si>
  <si>
    <t>CnE-128</t>
  </si>
  <si>
    <t>CnE-333</t>
  </si>
  <si>
    <t>CnE-352</t>
  </si>
  <si>
    <t>CnE-566</t>
  </si>
  <si>
    <t>CnE-654</t>
  </si>
  <si>
    <t>CnE-737</t>
  </si>
  <si>
    <t>CnE-740</t>
  </si>
  <si>
    <t>CnE-812</t>
  </si>
  <si>
    <t>CnE-264</t>
  </si>
  <si>
    <t>CnE-266</t>
  </si>
  <si>
    <t>CnE-428</t>
  </si>
  <si>
    <t>CnE-521</t>
  </si>
  <si>
    <t>CnE-582</t>
  </si>
  <si>
    <t>CnE-794</t>
  </si>
  <si>
    <t>BB-60</t>
  </si>
  <si>
    <t>BB-65</t>
  </si>
  <si>
    <t>CES-2</t>
  </si>
  <si>
    <t>LH-123</t>
  </si>
  <si>
    <t>LH-244</t>
  </si>
  <si>
    <t>LH-983a</t>
  </si>
  <si>
    <t>LH-978a</t>
  </si>
  <si>
    <t>CG-535a</t>
  </si>
  <si>
    <t>LH-1074a</t>
  </si>
  <si>
    <t>LH-351</t>
  </si>
  <si>
    <t>LH-574</t>
  </si>
  <si>
    <t>LH-737</t>
  </si>
  <si>
    <t>LH-893</t>
  </si>
  <si>
    <t>CG-12</t>
  </si>
  <si>
    <t>CG-352</t>
  </si>
  <si>
    <t>CG-432</t>
  </si>
  <si>
    <t>CnE-80</t>
  </si>
  <si>
    <t>CnE-87</t>
  </si>
  <si>
    <t>CnE-115</t>
  </si>
  <si>
    <t>CnE-241</t>
  </si>
  <si>
    <t>CnE-245</t>
  </si>
  <si>
    <t>CnE-298</t>
  </si>
  <si>
    <t>CnE-374</t>
  </si>
  <si>
    <t>CnE-443</t>
  </si>
  <si>
    <t>CnE-536</t>
  </si>
  <si>
    <t>CnE-734</t>
  </si>
  <si>
    <t>CnE-762</t>
  </si>
  <si>
    <t>CnE-772</t>
  </si>
  <si>
    <t>BB-9</t>
  </si>
  <si>
    <t>CG-201</t>
  </si>
  <si>
    <t>CG-198</t>
  </si>
  <si>
    <t>LH-1017a</t>
  </si>
  <si>
    <t>LH-1018a</t>
  </si>
  <si>
    <t>LH-1022a</t>
  </si>
  <si>
    <t>LH-1057a</t>
  </si>
  <si>
    <t>LH-1076a</t>
  </si>
  <si>
    <t>LH-119</t>
  </si>
  <si>
    <t>LH-1198</t>
  </si>
  <si>
    <t>CnE-1134</t>
  </si>
  <si>
    <t>CnE.a-1155</t>
  </si>
  <si>
    <t>CnE-1159</t>
  </si>
  <si>
    <t>CnE-1211</t>
  </si>
  <si>
    <t>CG-832</t>
  </si>
  <si>
    <t>CnE-1183</t>
  </si>
  <si>
    <t>BB-131</t>
  </si>
  <si>
    <t>CG-892</t>
  </si>
  <si>
    <t>CG-852(d)</t>
  </si>
  <si>
    <t>CnE-1264</t>
  </si>
  <si>
    <t>CnE-1272</t>
  </si>
  <si>
    <t>CG-863</t>
  </si>
  <si>
    <t>BB-138</t>
  </si>
  <si>
    <t>CnE-1336</t>
  </si>
  <si>
    <t>CnE-1454a</t>
  </si>
  <si>
    <t>LH-138</t>
  </si>
  <si>
    <t>LH-148</t>
  </si>
  <si>
    <t>LH-276</t>
  </si>
  <si>
    <t>LH-527</t>
  </si>
  <si>
    <t>LH-580</t>
  </si>
  <si>
    <t>LH-692</t>
  </si>
  <si>
    <t>CG-189</t>
  </si>
  <si>
    <t>CG-423</t>
  </si>
  <si>
    <t>CG-463</t>
  </si>
  <si>
    <t>CG-477</t>
  </si>
  <si>
    <t>LC-452</t>
  </si>
  <si>
    <t>CnE-78</t>
  </si>
  <si>
    <t>CnE-102</t>
  </si>
  <si>
    <t>CnE-153</t>
  </si>
  <si>
    <t>CnE-242</t>
  </si>
  <si>
    <t>CnE-247</t>
  </si>
  <si>
    <t>CnE-300</t>
  </si>
  <si>
    <t>CnE-344</t>
  </si>
  <si>
    <t>CnE-393</t>
  </si>
  <si>
    <t>CnE-408</t>
  </si>
  <si>
    <t>CnE-426</t>
  </si>
  <si>
    <t>CnE-460</t>
  </si>
  <si>
    <t>CnE-535</t>
  </si>
  <si>
    <t>CnE-565</t>
  </si>
  <si>
    <t>CnE-578</t>
  </si>
  <si>
    <t>CnE.a-593</t>
  </si>
  <si>
    <t>CnE-671</t>
  </si>
  <si>
    <t>CnE-677</t>
  </si>
  <si>
    <t>CnE-716</t>
  </si>
  <si>
    <t>CnE-722</t>
  </si>
  <si>
    <t>CnE-744</t>
  </si>
  <si>
    <t>CnE-779</t>
  </si>
  <si>
    <t>CnE-819</t>
  </si>
  <si>
    <t>CnE-822</t>
  </si>
  <si>
    <t>CnE-833</t>
  </si>
  <si>
    <t>BB-74</t>
  </si>
  <si>
    <t>BB-80</t>
  </si>
  <si>
    <t>BBO-2</t>
  </si>
  <si>
    <t>CES-3</t>
  </si>
  <si>
    <t>BB-34</t>
  </si>
  <si>
    <t>CnE-240</t>
  </si>
  <si>
    <t>CnE-641</t>
  </si>
  <si>
    <t>CnE-370(I)</t>
  </si>
  <si>
    <t>LC-15</t>
  </si>
  <si>
    <t>LH-456</t>
  </si>
  <si>
    <t>LC-1</t>
  </si>
  <si>
    <t>LH-75</t>
  </si>
  <si>
    <t>LH-245</t>
  </si>
  <si>
    <t>LH-295</t>
  </si>
  <si>
    <t>LH-504</t>
  </si>
  <si>
    <t>LH-57</t>
  </si>
  <si>
    <t>CG-521a</t>
  </si>
  <si>
    <t>LH-977a</t>
  </si>
  <si>
    <t>CnE-891a</t>
  </si>
  <si>
    <t>LH-1003a</t>
  </si>
  <si>
    <t>LH-1012a</t>
  </si>
  <si>
    <t>LH-1033a</t>
  </si>
  <si>
    <t>CnE-898a</t>
  </si>
  <si>
    <t>CnE-913a</t>
  </si>
  <si>
    <t>CnE-916a</t>
  </si>
  <si>
    <t>LH-1098a</t>
  </si>
  <si>
    <t>LH-1101a</t>
  </si>
  <si>
    <t>CnE-925a</t>
  </si>
  <si>
    <t>LH-1123a</t>
  </si>
  <si>
    <t>CG-596a</t>
  </si>
  <si>
    <t>CG-602a</t>
  </si>
  <si>
    <t>LH-1150a</t>
  </si>
  <si>
    <t>CG-607a</t>
  </si>
  <si>
    <t>CnE.a-960</t>
  </si>
  <si>
    <t>CnE-1032</t>
  </si>
  <si>
    <t>CnE-1023</t>
  </si>
  <si>
    <t>CnE-1046</t>
  </si>
  <si>
    <t>CnE-1084</t>
  </si>
  <si>
    <t>CnE-1092</t>
  </si>
  <si>
    <t>CnE-1091</t>
  </si>
  <si>
    <t>CG-919(d)</t>
  </si>
  <si>
    <t>CnE-1371</t>
  </si>
  <si>
    <t>LH-1246</t>
  </si>
  <si>
    <t>LH-211</t>
  </si>
  <si>
    <t>LH-508</t>
  </si>
  <si>
    <t>LH-601</t>
  </si>
  <si>
    <t>LH-634</t>
  </si>
  <si>
    <t>LH-695</t>
  </si>
  <si>
    <t>LH-704</t>
  </si>
  <si>
    <t>LH-827</t>
  </si>
  <si>
    <t>LH-835a</t>
  </si>
  <si>
    <t>LH-836</t>
  </si>
  <si>
    <t>LH-930</t>
  </si>
  <si>
    <t>LH-946</t>
  </si>
  <si>
    <t>LH-962</t>
  </si>
  <si>
    <t>CG-363</t>
  </si>
  <si>
    <t>CG-407</t>
  </si>
  <si>
    <t>CG-452</t>
  </si>
  <si>
    <t>LC-85</t>
  </si>
  <si>
    <t>CnE-75</t>
  </si>
  <si>
    <t>CnE-101</t>
  </si>
  <si>
    <t>CnE-585</t>
  </si>
  <si>
    <t>CnE-725</t>
  </si>
  <si>
    <t>LH-98</t>
  </si>
  <si>
    <t>LH-539</t>
  </si>
  <si>
    <t>LH-985a</t>
  </si>
  <si>
    <t>LH-1023a</t>
  </si>
  <si>
    <t>LH-1059a</t>
  </si>
  <si>
    <t>CG-551a</t>
  </si>
  <si>
    <t>CnE-932a</t>
  </si>
  <si>
    <t>LH-1108a</t>
  </si>
  <si>
    <t>LH-1168</t>
  </si>
  <si>
    <t>LH-1219</t>
  </si>
  <si>
    <t>LH-1220</t>
  </si>
  <si>
    <t>CG-845(d)</t>
  </si>
  <si>
    <t>CnE-1223</t>
  </si>
  <si>
    <t>LH-1218</t>
  </si>
  <si>
    <t>LH-1040a</t>
  </si>
  <si>
    <t>LH-1044a</t>
  </si>
  <si>
    <t>CG-499a</t>
  </si>
  <si>
    <t>LH-62a</t>
  </si>
  <si>
    <t>CnE-951a</t>
  </si>
  <si>
    <t>LH-1153a</t>
  </si>
  <si>
    <t>CG-621</t>
  </si>
  <si>
    <t>LH-61a</t>
  </si>
  <si>
    <t>LH-1071a</t>
  </si>
  <si>
    <t>LH-1085a</t>
  </si>
  <si>
    <t>CG-586a</t>
  </si>
  <si>
    <t>LH-1154a</t>
  </si>
  <si>
    <t>CnE-981</t>
  </si>
  <si>
    <t>CnE-1022</t>
  </si>
  <si>
    <t>CG-717</t>
  </si>
  <si>
    <t>CnE-1115</t>
  </si>
  <si>
    <t>CnE-1330</t>
  </si>
  <si>
    <t>CnE-1301</t>
  </si>
  <si>
    <t>LH-1302a</t>
  </si>
  <si>
    <t>LH-1304a</t>
  </si>
  <si>
    <t>LH-1196</t>
  </si>
  <si>
    <t>BB-120</t>
  </si>
  <si>
    <t>CnE-1285</t>
  </si>
  <si>
    <t>CnE-1314a</t>
  </si>
  <si>
    <t>CnE-1399</t>
  </si>
  <si>
    <t>LH-1303a</t>
  </si>
  <si>
    <t>LH-132</t>
  </si>
  <si>
    <t>LH-231</t>
  </si>
  <si>
    <t>LH-286</t>
  </si>
  <si>
    <t>LH-526</t>
  </si>
  <si>
    <t>LH-586</t>
  </si>
  <si>
    <t>LH-596</t>
  </si>
  <si>
    <t>LH-738</t>
  </si>
  <si>
    <t>LH-947</t>
  </si>
  <si>
    <t>CG-11</t>
  </si>
  <si>
    <t>CG-99</t>
  </si>
  <si>
    <t>CG-100</t>
  </si>
  <si>
    <t>CG-271</t>
  </si>
  <si>
    <t>CG-390</t>
  </si>
  <si>
    <t>CG-422</t>
  </si>
  <si>
    <t>CG-429</t>
  </si>
  <si>
    <t>CG-518</t>
  </si>
  <si>
    <t>CnE-90</t>
  </si>
  <si>
    <t>CnE-106</t>
  </si>
  <si>
    <t>CnE-135</t>
  </si>
  <si>
    <t>CnE-157</t>
  </si>
  <si>
    <t>CnE-191</t>
  </si>
  <si>
    <t>CnE-199</t>
  </si>
  <si>
    <t>CnE-248</t>
  </si>
  <si>
    <t>CnE-259</t>
  </si>
  <si>
    <t>CnE-296</t>
  </si>
  <si>
    <t>CnE-314</t>
  </si>
  <si>
    <t>CnE-458</t>
  </si>
  <si>
    <t>CnE-486</t>
  </si>
  <si>
    <t>CnE-488</t>
  </si>
  <si>
    <t>CnE-495</t>
  </si>
  <si>
    <t>CnE-595</t>
  </si>
  <si>
    <t>CnE-616</t>
  </si>
  <si>
    <t>CnE-703</t>
  </si>
  <si>
    <t>CnE-830</t>
  </si>
  <si>
    <t>BB-72</t>
  </si>
  <si>
    <t>CnE-56</t>
  </si>
  <si>
    <t>LH-44</t>
  </si>
  <si>
    <t>LC-69</t>
  </si>
  <si>
    <t>LH-268</t>
  </si>
  <si>
    <t>LH-554</t>
  </si>
  <si>
    <t>LH-565</t>
  </si>
  <si>
    <t>CG-144</t>
  </si>
  <si>
    <t>LH-986a</t>
  </si>
  <si>
    <t>O-203</t>
  </si>
  <si>
    <t>EaM-1</t>
  </si>
  <si>
    <t>LH-5</t>
  </si>
  <si>
    <t>LH-171</t>
  </si>
  <si>
    <t>LH-266</t>
  </si>
  <si>
    <t>LH-399</t>
  </si>
  <si>
    <t>LH-560</t>
  </si>
  <si>
    <t>LH-718</t>
  </si>
  <si>
    <t>LH-849</t>
  </si>
  <si>
    <t>LH-913</t>
  </si>
  <si>
    <t>CG-195</t>
  </si>
  <si>
    <t>CG-246</t>
  </si>
  <si>
    <t>CG-517</t>
  </si>
  <si>
    <t>LC-14</t>
  </si>
  <si>
    <t>N-12</t>
  </si>
  <si>
    <t>CnE-59</t>
  </si>
  <si>
    <t>CnE-112</t>
  </si>
  <si>
    <t>CnE-607</t>
  </si>
  <si>
    <t>CnE-639</t>
  </si>
  <si>
    <t>CnE-646</t>
  </si>
  <si>
    <t>CnE-717</t>
  </si>
  <si>
    <t>CnE-742</t>
  </si>
  <si>
    <t>CnE-815</t>
  </si>
  <si>
    <t>BB-4</t>
  </si>
  <si>
    <t>CnE-137</t>
  </si>
  <si>
    <t>ECE-1</t>
  </si>
  <si>
    <t>CnE-480</t>
  </si>
  <si>
    <t>LH-491</t>
  </si>
  <si>
    <t>CG-196</t>
  </si>
  <si>
    <t>CG-526a</t>
  </si>
  <si>
    <t>LH-12</t>
  </si>
  <si>
    <t>LH-385</t>
  </si>
  <si>
    <t>LH-701</t>
  </si>
  <si>
    <t>LH-875</t>
  </si>
  <si>
    <t>CG-270</t>
  </si>
  <si>
    <t>CG-301</t>
  </si>
  <si>
    <t>CG-424</t>
  </si>
  <si>
    <t>CG-466</t>
  </si>
  <si>
    <t>CnE-490</t>
  </si>
  <si>
    <t>CnE-621</t>
  </si>
  <si>
    <t>CnE-768</t>
  </si>
  <si>
    <t>BB-62</t>
  </si>
  <si>
    <t>BB-102</t>
  </si>
  <si>
    <t>LH-8</t>
  </si>
  <si>
    <t>LH-588</t>
  </si>
  <si>
    <t>LH-70</t>
  </si>
  <si>
    <t>CG-143</t>
  </si>
  <si>
    <t>CG-116</t>
  </si>
  <si>
    <t>LH-982a</t>
  </si>
  <si>
    <t>CG-529a</t>
  </si>
  <si>
    <t>LH-1002a</t>
  </si>
  <si>
    <t>LH-1083a</t>
  </si>
  <si>
    <t>LH-1086a</t>
  </si>
  <si>
    <t>CnE-930a</t>
  </si>
  <si>
    <t>BB-109</t>
  </si>
  <si>
    <t>CG-820</t>
  </si>
  <si>
    <t>BB-121</t>
  </si>
  <si>
    <t>CnE-1342</t>
  </si>
  <si>
    <t>CnE-1414</t>
  </si>
  <si>
    <t>CnE-1386</t>
  </si>
  <si>
    <t>LH-1131a</t>
  </si>
  <si>
    <t>CG-605a</t>
  </si>
  <si>
    <t>CnE-1127</t>
  </si>
  <si>
    <t>CG-750</t>
  </si>
  <si>
    <t>CG.a-812</t>
  </si>
  <si>
    <t>CnE-1194</t>
  </si>
  <si>
    <t>LH-1248</t>
  </si>
  <si>
    <t>LH-1260</t>
  </si>
  <si>
    <t>CnE-1421a</t>
  </si>
  <si>
    <t>CG-983a</t>
  </si>
  <si>
    <t>CnE-1125</t>
  </si>
  <si>
    <t>LH-1234</t>
  </si>
  <si>
    <t>CnE-1227(d)a</t>
  </si>
  <si>
    <t>CnE-1240</t>
  </si>
  <si>
    <t>CnE-1237</t>
  </si>
  <si>
    <t>LH-1247</t>
  </si>
  <si>
    <t>CG-727</t>
  </si>
  <si>
    <t>CG-765</t>
  </si>
  <si>
    <t>CG-798</t>
  </si>
  <si>
    <t>CnE.a-1282</t>
  </si>
  <si>
    <t>CnE-1345</t>
  </si>
  <si>
    <t>CnE-1393a</t>
  </si>
  <si>
    <t>CnE-1413a</t>
  </si>
  <si>
    <t>BB-160</t>
  </si>
  <si>
    <t>CG-784</t>
  </si>
  <si>
    <t>CnE.a-1096</t>
  </si>
  <si>
    <t>CG-725</t>
  </si>
  <si>
    <t>BB-116</t>
  </si>
  <si>
    <t>CG-822</t>
  </si>
  <si>
    <t>CnE-1186</t>
  </si>
  <si>
    <t>CnE-1226</t>
  </si>
  <si>
    <t>CnE-1300</t>
  </si>
  <si>
    <t>BB-143(d)</t>
  </si>
  <si>
    <t>CnE-1280</t>
  </si>
  <si>
    <t>LC-983a</t>
  </si>
  <si>
    <t>CG-905</t>
  </si>
  <si>
    <t>CG-580a</t>
  </si>
  <si>
    <t>LH-1145a</t>
  </si>
  <si>
    <t>CnE-1310(d)</t>
  </si>
  <si>
    <t>CnE-1311</t>
  </si>
  <si>
    <t>CG-953(d)</t>
  </si>
  <si>
    <t>CnE-156</t>
  </si>
  <si>
    <t>CnE-196</t>
  </si>
  <si>
    <t>CnE-349</t>
  </si>
  <si>
    <t>CnE-471</t>
  </si>
  <si>
    <t>CnE-484</t>
  </si>
  <si>
    <t>CnE-686</t>
  </si>
  <si>
    <t>CnE-814</t>
  </si>
  <si>
    <t>CES-4</t>
  </si>
  <si>
    <t>CnE-29(I)</t>
  </si>
  <si>
    <t>CnE-32</t>
  </si>
  <si>
    <t>CnE-48</t>
  </si>
  <si>
    <t>CnE-855</t>
  </si>
  <si>
    <t>CnE-567</t>
  </si>
  <si>
    <t>LH-101</t>
  </si>
  <si>
    <t>LH-262</t>
  </si>
  <si>
    <t>LH-401</t>
  </si>
  <si>
    <t>LH-436</t>
  </si>
  <si>
    <t>CG-141</t>
  </si>
  <si>
    <t>CG-9</t>
  </si>
  <si>
    <t>CG-84</t>
  </si>
  <si>
    <t>CG-101</t>
  </si>
  <si>
    <t>CG-612a</t>
  </si>
  <si>
    <t>CnE-970</t>
  </si>
  <si>
    <t>CG-769</t>
  </si>
  <si>
    <t>CG-810</t>
  </si>
  <si>
    <t>CG-830</t>
  </si>
  <si>
    <t>CnE-1246(d)</t>
  </si>
  <si>
    <t>CnE-1270a</t>
  </si>
  <si>
    <t>CnE-1239</t>
  </si>
  <si>
    <t>CnE-1319</t>
  </si>
  <si>
    <t>CnE-1329(d)</t>
  </si>
  <si>
    <t>LH-135</t>
  </si>
  <si>
    <t>LH-214</t>
  </si>
  <si>
    <t>LH-608</t>
  </si>
  <si>
    <t>LH-632</t>
  </si>
  <si>
    <t>LH-650</t>
  </si>
  <si>
    <t>LH-717</t>
  </si>
  <si>
    <t>CG-90</t>
  </si>
  <si>
    <t>CG-150</t>
  </si>
  <si>
    <t>CG-414</t>
  </si>
  <si>
    <t>CG-438</t>
  </si>
  <si>
    <t>CG-450</t>
  </si>
  <si>
    <t>ECa-4</t>
  </si>
  <si>
    <t>CnE-449</t>
  </si>
  <si>
    <t>CnE-510</t>
  </si>
  <si>
    <t>CnE-644</t>
  </si>
  <si>
    <t>CnE-676</t>
  </si>
  <si>
    <t>CnE-782</t>
  </si>
  <si>
    <t>CnE-797</t>
  </si>
  <si>
    <t>CnE-847</t>
  </si>
  <si>
    <t>BB-50</t>
  </si>
  <si>
    <t>BB-99</t>
  </si>
  <si>
    <t>BB-101</t>
  </si>
  <si>
    <t>CES-1</t>
  </si>
  <si>
    <t>CnE-842(I)</t>
  </si>
  <si>
    <t>BB-36</t>
  </si>
  <si>
    <t>CG-496</t>
  </si>
  <si>
    <t>LH-110</t>
  </si>
  <si>
    <t>CG-23</t>
  </si>
  <si>
    <t>CG-124</t>
  </si>
  <si>
    <t>CG-131</t>
  </si>
  <si>
    <t>CG-126</t>
  </si>
  <si>
    <t>LH-213</t>
  </si>
  <si>
    <t>LH-221</t>
  </si>
  <si>
    <t>LH-271</t>
  </si>
  <si>
    <t>LH-509</t>
  </si>
  <si>
    <t>LH-585</t>
  </si>
  <si>
    <t>LH-855</t>
  </si>
  <si>
    <t>CG-88</t>
  </si>
  <si>
    <t>CG-229</t>
  </si>
  <si>
    <t>CG-290</t>
  </si>
  <si>
    <t>CG-485</t>
  </si>
  <si>
    <t>ECa-2</t>
  </si>
  <si>
    <t>CnE-287</t>
  </si>
  <si>
    <t>CnE-483</t>
  </si>
  <si>
    <t>CnE-591</t>
  </si>
  <si>
    <t>CnE-612</t>
  </si>
  <si>
    <t>CnE-638</t>
  </si>
  <si>
    <t>CnE-674</t>
  </si>
  <si>
    <t>CnE-738</t>
  </si>
  <si>
    <t>LH-1026a</t>
  </si>
  <si>
    <t>LH-1052a</t>
  </si>
  <si>
    <t>LH-1064a</t>
  </si>
  <si>
    <t>CG-559a</t>
  </si>
  <si>
    <t>LH-1146a</t>
  </si>
  <si>
    <t>CnE-952a</t>
  </si>
  <si>
    <t>LH-1173</t>
  </si>
  <si>
    <t>CnE-1038</t>
  </si>
  <si>
    <t>CG.a-814</t>
  </si>
  <si>
    <t>CG-871</t>
  </si>
  <si>
    <t>CnE-1255</t>
  </si>
  <si>
    <t>CnE-1225a</t>
  </si>
  <si>
    <t>CnE-1291</t>
  </si>
  <si>
    <t>CnE-1292</t>
  </si>
  <si>
    <t>LC-975a</t>
  </si>
  <si>
    <t>LH-1160</t>
  </si>
  <si>
    <t>O-202</t>
  </si>
  <si>
    <t>LH-216</t>
  </si>
  <si>
    <t>LH-246</t>
  </si>
  <si>
    <t>LH-644</t>
  </si>
  <si>
    <t>LH-799</t>
  </si>
  <si>
    <t>LH-863</t>
  </si>
  <si>
    <t>LH-904</t>
  </si>
  <si>
    <t>CG-193</t>
  </si>
  <si>
    <t>CG-203</t>
  </si>
  <si>
    <t>CG-214</t>
  </si>
  <si>
    <t>N-42</t>
  </si>
  <si>
    <t>CnE-51</t>
  </si>
  <si>
    <t>CnE-170</t>
  </si>
  <si>
    <t>CnE-224</t>
  </si>
  <si>
    <t>CnE-230</t>
  </si>
  <si>
    <t>CnE-267</t>
  </si>
  <si>
    <t>CnE-347</t>
  </si>
  <si>
    <t>CnE-520</t>
  </si>
  <si>
    <t>CnE-633</t>
  </si>
  <si>
    <t>CnE-826</t>
  </si>
  <si>
    <t>LH-963</t>
  </si>
  <si>
    <t>BB-1</t>
  </si>
  <si>
    <t>LH-280</t>
  </si>
  <si>
    <t>CG-298</t>
  </si>
  <si>
    <t>CG-38</t>
  </si>
  <si>
    <t>CG-522a</t>
  </si>
  <si>
    <t>LH-988a</t>
  </si>
  <si>
    <t>CG-592a</t>
  </si>
  <si>
    <t>LH-1121a</t>
  </si>
  <si>
    <t>CG-675</t>
  </si>
  <si>
    <t>CG-698</t>
  </si>
  <si>
    <t>CnE-1049</t>
  </si>
  <si>
    <t>CnE-1057</t>
  </si>
  <si>
    <t>CnE-1135</t>
  </si>
  <si>
    <t>CnE-1203</t>
  </si>
  <si>
    <t>BB-132</t>
  </si>
  <si>
    <t>CnE-1229a</t>
  </si>
  <si>
    <t>BB-136</t>
  </si>
  <si>
    <t>BB-175</t>
  </si>
  <si>
    <t>BB-177</t>
  </si>
  <si>
    <t>LH-103</t>
  </si>
  <si>
    <t>LH-270</t>
  </si>
  <si>
    <t>CG-24</t>
  </si>
  <si>
    <t>CnE-885a</t>
  </si>
  <si>
    <t>CnE-887</t>
  </si>
  <si>
    <t>CG-562a</t>
  </si>
  <si>
    <t>LH-1126a</t>
  </si>
  <si>
    <t>CG-678</t>
  </si>
  <si>
    <t>CnE-1045</t>
  </si>
  <si>
    <t>LH-1211</t>
  </si>
  <si>
    <t>CG-867</t>
  </si>
  <si>
    <t>CnE-1286a</t>
  </si>
  <si>
    <t>CG-826a</t>
  </si>
  <si>
    <t>CnE-1332</t>
  </si>
  <si>
    <t>LH-621</t>
  </si>
  <si>
    <t>LH-627</t>
  </si>
  <si>
    <t>LH-804</t>
  </si>
  <si>
    <t>LH-881</t>
  </si>
  <si>
    <t>LH-890</t>
  </si>
  <si>
    <t>LH-938</t>
  </si>
  <si>
    <t>CG-60</t>
  </si>
  <si>
    <t>CG-391</t>
  </si>
  <si>
    <t>CG-398</t>
  </si>
  <si>
    <t>CG-444</t>
  </si>
  <si>
    <t>CG-488</t>
  </si>
  <si>
    <t>LC-20</t>
  </si>
  <si>
    <t>LH-144</t>
  </si>
  <si>
    <t>LH-254</t>
  </si>
  <si>
    <t>LH-776</t>
  </si>
  <si>
    <t>LH-839</t>
  </si>
  <si>
    <t>LH-876</t>
  </si>
  <si>
    <t>CG-3</t>
  </si>
  <si>
    <t>CG-83</t>
  </si>
  <si>
    <t>CG-185</t>
  </si>
  <si>
    <t>CG-365</t>
  </si>
  <si>
    <t>CG-413</t>
  </si>
  <si>
    <t>CG-719</t>
  </si>
  <si>
    <t>CG-839</t>
  </si>
  <si>
    <t>CG-894</t>
  </si>
  <si>
    <t>CG-917(d)</t>
  </si>
  <si>
    <t>CnE-1337</t>
  </si>
  <si>
    <t>CnE.a-1438a</t>
  </si>
  <si>
    <t>LH-30a</t>
  </si>
  <si>
    <t>CnE-919a</t>
  </si>
  <si>
    <t>LH-1118a</t>
  </si>
  <si>
    <t>LH-1111a</t>
  </si>
  <si>
    <t>CnE-948a</t>
  </si>
  <si>
    <t>LH-1156a</t>
  </si>
  <si>
    <t>CnE-968</t>
  </si>
  <si>
    <t>CG-674</t>
  </si>
  <si>
    <t>CnE-997</t>
  </si>
  <si>
    <t>LH-1191</t>
  </si>
  <si>
    <t>CG-701</t>
  </si>
  <si>
    <t>CnE-1085a</t>
  </si>
  <si>
    <t>CnE-1093</t>
  </si>
  <si>
    <t>CG-722</t>
  </si>
  <si>
    <t>LH-1206</t>
  </si>
  <si>
    <t>CG-801</t>
  </si>
  <si>
    <t>LH-1216</t>
  </si>
  <si>
    <t>CG-837</t>
  </si>
  <si>
    <t>CnE-1100</t>
  </si>
  <si>
    <t>CnE-1187</t>
  </si>
  <si>
    <t>CnE-1220</t>
  </si>
  <si>
    <t>CG-864</t>
  </si>
  <si>
    <t>LH-1128a</t>
  </si>
  <si>
    <t>CG-616</t>
  </si>
  <si>
    <t>CG-645</t>
  </si>
  <si>
    <t>CG-660</t>
  </si>
  <si>
    <t>CG-676</t>
  </si>
  <si>
    <t>CnE-1051</t>
  </si>
  <si>
    <t>CG-746</t>
  </si>
  <si>
    <t>CG.a-760</t>
  </si>
  <si>
    <t>BB-111</t>
  </si>
  <si>
    <t>CG-744</t>
  </si>
  <si>
    <t>CG-898a</t>
  </si>
  <si>
    <t>CnE-1278</t>
  </si>
  <si>
    <t>CnE-1293</t>
  </si>
  <si>
    <t>CG-907</t>
  </si>
  <si>
    <t>CnE-1370</t>
  </si>
  <si>
    <t>CG-975a</t>
  </si>
  <si>
    <t>LH-523</t>
  </si>
  <si>
    <t>LH-535</t>
  </si>
  <si>
    <t>CG-6</t>
  </si>
  <si>
    <t>CG-191</t>
  </si>
  <si>
    <t>LC-634a</t>
  </si>
  <si>
    <t>CnE-39</t>
  </si>
  <si>
    <t>CnE-110</t>
  </si>
  <si>
    <t>CnE-141</t>
  </si>
  <si>
    <t>CnE-220</t>
  </si>
  <si>
    <t>CnE-255</t>
  </si>
  <si>
    <t>CnE-257</t>
  </si>
  <si>
    <t>CnE-323</t>
  </si>
  <si>
    <t>CnE-407</t>
  </si>
  <si>
    <t>CnE-410</t>
  </si>
  <si>
    <t>CnE-445</t>
  </si>
  <si>
    <t>LH.a-2</t>
  </si>
  <si>
    <t>LH-100</t>
  </si>
  <si>
    <t>LH-506</t>
  </si>
  <si>
    <t>LH-584</t>
  </si>
  <si>
    <t>LH-604</t>
  </si>
  <si>
    <t>LH-702</t>
  </si>
  <si>
    <t>LH-872</t>
  </si>
  <si>
    <t>LH-877</t>
  </si>
  <si>
    <t>CG-114</t>
  </si>
  <si>
    <t>CG-181</t>
  </si>
  <si>
    <t>CG-227</t>
  </si>
  <si>
    <t>CG-242</t>
  </si>
  <si>
    <t>CG-378</t>
  </si>
  <si>
    <t>CG-425</t>
  </si>
  <si>
    <t>CG-428</t>
  </si>
  <si>
    <t>CG-446</t>
  </si>
  <si>
    <t>N-51</t>
  </si>
  <si>
    <t>CnE-54</t>
  </si>
  <si>
    <t>CnE-133</t>
  </si>
  <si>
    <t>CnE-357</t>
  </si>
  <si>
    <t>CnE-542</t>
  </si>
  <si>
    <t>CnE-648</t>
  </si>
  <si>
    <t>N-53</t>
  </si>
  <si>
    <t>CnE-12</t>
  </si>
  <si>
    <t>CnE-37</t>
  </si>
  <si>
    <t>CnE-68</t>
  </si>
  <si>
    <t>CnE-111</t>
  </si>
  <si>
    <t>CnE-114</t>
  </si>
  <si>
    <t>CnE-322</t>
  </si>
  <si>
    <t>CnE-328</t>
  </si>
  <si>
    <t>CnE-335</t>
  </si>
  <si>
    <t>CnE-336</t>
  </si>
  <si>
    <t>CnE-363</t>
  </si>
  <si>
    <t>CnE-425</t>
  </si>
  <si>
    <t>CnE-545</t>
  </si>
  <si>
    <t>CnE-546</t>
  </si>
  <si>
    <t>CnE-619</t>
  </si>
  <si>
    <t>CnE-659</t>
  </si>
  <si>
    <t>CnE-743</t>
  </si>
  <si>
    <t>CnE-841</t>
  </si>
  <si>
    <t>CnE-457</t>
  </si>
  <si>
    <t>CnE-517</t>
  </si>
  <si>
    <t>CnE-684</t>
  </si>
  <si>
    <t>CnE-726</t>
  </si>
  <si>
    <t>CnE-751</t>
  </si>
  <si>
    <t>CnE-777</t>
  </si>
  <si>
    <t>CnE-784</t>
  </si>
  <si>
    <t>CnE-818</t>
  </si>
  <si>
    <t>LH-43</t>
  </si>
  <si>
    <t>CnE-857</t>
  </si>
  <si>
    <t>LH-97</t>
  </si>
  <si>
    <t>LH-238</t>
  </si>
  <si>
    <t>BO-1</t>
  </si>
  <si>
    <t>CnE-866</t>
  </si>
  <si>
    <t>LC-635a</t>
  </si>
  <si>
    <t>CnE-731</t>
  </si>
  <si>
    <t>CnE-788</t>
  </si>
  <si>
    <t>CnE-820</t>
  </si>
  <si>
    <t>BB-35</t>
  </si>
  <si>
    <t>CnE-127</t>
  </si>
  <si>
    <t>CnE-289</t>
  </si>
  <si>
    <t>LH-112</t>
  </si>
  <si>
    <t>LH-544</t>
  </si>
  <si>
    <t>CnE-4</t>
  </si>
  <si>
    <t>LH-965</t>
  </si>
  <si>
    <t>LH-199</t>
  </si>
  <si>
    <t>LH-697</t>
  </si>
  <si>
    <t>LH-828</t>
  </si>
  <si>
    <t>LH-920</t>
  </si>
  <si>
    <t>LH-927</t>
  </si>
  <si>
    <t>CG-91</t>
  </si>
  <si>
    <t>CG-215</t>
  </si>
  <si>
    <t>CG-385</t>
  </si>
  <si>
    <t>CG-442</t>
  </si>
  <si>
    <t>CG-506</t>
  </si>
  <si>
    <t>LC-454</t>
  </si>
  <si>
    <t>N-43</t>
  </si>
  <si>
    <t>CnE-105</t>
  </si>
  <si>
    <t>CnE-142</t>
  </si>
  <si>
    <t>CnE-291</t>
  </si>
  <si>
    <t>CnE-334</t>
  </si>
  <si>
    <t>CnE-399</t>
  </si>
  <si>
    <t>CnE-526</t>
  </si>
  <si>
    <t>CnE-557</t>
  </si>
  <si>
    <t>CnE-606</t>
  </si>
  <si>
    <t>CnE-687</t>
  </si>
  <si>
    <t>CnE-708</t>
  </si>
  <si>
    <t>CnE-793</t>
  </si>
  <si>
    <t>BB-53</t>
  </si>
  <si>
    <t>LH-128</t>
  </si>
  <si>
    <t>LH-310</t>
  </si>
  <si>
    <t>LH-531</t>
  </si>
  <si>
    <t>LH-577</t>
  </si>
  <si>
    <t>LH-607</t>
  </si>
  <si>
    <t>LH-673</t>
  </si>
  <si>
    <t>LH-845</t>
  </si>
  <si>
    <t>CG-161</t>
  </si>
  <si>
    <t>CG-354</t>
  </si>
  <si>
    <t>LC-451</t>
  </si>
  <si>
    <t>CnE-154</t>
  </si>
  <si>
    <t>CnE-221</t>
  </si>
  <si>
    <t>CnE-467</t>
  </si>
  <si>
    <t>CnE-473</t>
  </si>
  <si>
    <t>CnE-651</t>
  </si>
  <si>
    <t>CnE-730</t>
  </si>
  <si>
    <t>CnE-848</t>
  </si>
  <si>
    <t>BB-55</t>
  </si>
  <si>
    <t>BB-91</t>
  </si>
  <si>
    <t>CnE-204</t>
  </si>
  <si>
    <t>LH-675</t>
  </si>
  <si>
    <t>LH-691</t>
  </si>
  <si>
    <t>CG-81</t>
  </si>
  <si>
    <t>LC-627</t>
  </si>
  <si>
    <t>LH-1077</t>
  </si>
  <si>
    <t>LH-1089a</t>
  </si>
  <si>
    <t>CnE-915a</t>
  </si>
  <si>
    <t>LH-1096a</t>
  </si>
  <si>
    <t>CnE.a-934</t>
  </si>
  <si>
    <t>CnE-943a</t>
  </si>
  <si>
    <t>CG-617</t>
  </si>
  <si>
    <t>CG-668</t>
  </si>
  <si>
    <t>CnE-1021</t>
  </si>
  <si>
    <t>CnE-1138</t>
  </si>
  <si>
    <t>CG.a-873</t>
  </si>
  <si>
    <t>LH-1241a</t>
  </si>
  <si>
    <t>CG-942</t>
  </si>
  <si>
    <t>BB-161</t>
  </si>
  <si>
    <t>CnE-893a</t>
  </si>
  <si>
    <t>CnE-910a</t>
  </si>
  <si>
    <t>LH-1116a</t>
  </si>
  <si>
    <t>LH-1133a</t>
  </si>
  <si>
    <t>CnE.a-961</t>
  </si>
  <si>
    <t>CG-679</t>
  </si>
  <si>
    <t>CnE-1056</t>
  </si>
  <si>
    <t>CnE-1083</t>
  </si>
  <si>
    <t>CnE-1140</t>
  </si>
  <si>
    <t>CG-783</t>
  </si>
  <si>
    <t>CnE-1313</t>
  </si>
  <si>
    <t>CnE-1375</t>
  </si>
  <si>
    <t>LH-9</t>
  </si>
  <si>
    <t>CnE-290</t>
  </si>
  <si>
    <t>LH-206</t>
  </si>
  <si>
    <t>LH-534</t>
  </si>
  <si>
    <t>CG-94</t>
  </si>
  <si>
    <t>CG-527a</t>
  </si>
  <si>
    <t>BB-104a</t>
  </si>
  <si>
    <t>CnE-883a</t>
  </si>
  <si>
    <t>LH-1049a</t>
  </si>
  <si>
    <t>CnE-899a</t>
  </si>
  <si>
    <t>CG-571a</t>
  </si>
  <si>
    <t>CG-589a</t>
  </si>
  <si>
    <t>LH-967</t>
  </si>
  <si>
    <t>CG-493</t>
  </si>
  <si>
    <t>LC-67</t>
  </si>
  <si>
    <t>LH-589</t>
  </si>
  <si>
    <t>LH-105</t>
  </si>
  <si>
    <t>LH-108</t>
  </si>
  <si>
    <t>CG-202</t>
  </si>
  <si>
    <t>CG-304</t>
  </si>
  <si>
    <t>LH-198</t>
  </si>
  <si>
    <t>LH-236</t>
  </si>
  <si>
    <t>LH-249</t>
  </si>
  <si>
    <t>LH-455</t>
  </si>
  <si>
    <t>LH-524</t>
  </si>
  <si>
    <t>LH-682</t>
  </si>
  <si>
    <t>LH-990a</t>
  </si>
  <si>
    <t>CnE-1139</t>
  </si>
  <si>
    <t>CG-796</t>
  </si>
  <si>
    <t>LH-1210</t>
  </si>
  <si>
    <t>LH-1209</t>
  </si>
  <si>
    <t>CnE-1241(d)</t>
  </si>
  <si>
    <t>CnE-1257</t>
  </si>
  <si>
    <t>CnE-1312</t>
  </si>
  <si>
    <t>CnE-1327</t>
  </si>
  <si>
    <t>LH-1134a</t>
  </si>
  <si>
    <t>CnE-965</t>
  </si>
  <si>
    <t>CG-688</t>
  </si>
  <si>
    <t>CG-665</t>
  </si>
  <si>
    <t>CnE-1035</t>
  </si>
  <si>
    <t>CnE-1060</t>
  </si>
  <si>
    <t>LH-1203</t>
  </si>
  <si>
    <t>CnE-1118</t>
  </si>
  <si>
    <t>CnE-1117</t>
  </si>
  <si>
    <t>CG-805</t>
  </si>
  <si>
    <t>CnE-1193</t>
  </si>
  <si>
    <t>CnE.xp-1250</t>
  </si>
  <si>
    <t>CnE-1347</t>
  </si>
  <si>
    <t>CnE-1390</t>
  </si>
  <si>
    <t>CG-540a</t>
  </si>
  <si>
    <t>LH-980a</t>
  </si>
  <si>
    <t>LH-60a</t>
  </si>
  <si>
    <t>LH-1025a</t>
  </si>
  <si>
    <t>CG-593</t>
  </si>
  <si>
    <t>CnE-956a</t>
  </si>
  <si>
    <t>CnE-1037</t>
  </si>
  <si>
    <t>CG-661</t>
  </si>
  <si>
    <t>CnE-1007</t>
  </si>
  <si>
    <t>CnE-998</t>
  </si>
  <si>
    <t>CG-649</t>
  </si>
  <si>
    <t>CG-687</t>
  </si>
  <si>
    <t>CnE-1094</t>
  </si>
  <si>
    <t>CnE-1153</t>
  </si>
  <si>
    <t>LH-1235</t>
  </si>
  <si>
    <t>BB-135</t>
  </si>
  <si>
    <t>CnE-1230</t>
  </si>
  <si>
    <t>CnE-1331</t>
  </si>
  <si>
    <t>CG-939</t>
  </si>
  <si>
    <t>LH-1259</t>
  </si>
  <si>
    <t>CnE-1457a</t>
  </si>
  <si>
    <t>LH-41</t>
  </si>
  <si>
    <t>LH-599</t>
  </si>
  <si>
    <t>LH-622</t>
  </si>
  <si>
    <t>LH-623</t>
  </si>
  <si>
    <t>LH-640</t>
  </si>
  <si>
    <t>CG-122</t>
  </si>
  <si>
    <t>CG-160</t>
  </si>
  <si>
    <t>CG-165</t>
  </si>
  <si>
    <t>CG-245</t>
  </si>
  <si>
    <t>CG-278</t>
  </si>
  <si>
    <t>CG-404</t>
  </si>
  <si>
    <t>LC-73</t>
  </si>
  <si>
    <t>LC-537</t>
  </si>
  <si>
    <t>CnE-132</t>
  </si>
  <si>
    <t>CnE-140</t>
  </si>
  <si>
    <t>CnE-466</t>
  </si>
  <si>
    <t>CnE-571</t>
  </si>
  <si>
    <t>CnE-583</t>
  </si>
  <si>
    <t>CnE-685</t>
  </si>
  <si>
    <t>CnE-753</t>
  </si>
  <si>
    <t>CnE-804</t>
  </si>
  <si>
    <t>LH-1045a</t>
  </si>
  <si>
    <t>CnE-896</t>
  </si>
  <si>
    <t>CnE-906a</t>
  </si>
  <si>
    <t>LH-1087a</t>
  </si>
  <si>
    <t>CnE-979</t>
  </si>
  <si>
    <t>CnE-1024</t>
  </si>
  <si>
    <t>CG-671</t>
  </si>
  <si>
    <t>CnE-1042</t>
  </si>
  <si>
    <t>CnE-1157</t>
  </si>
  <si>
    <t>CnE-1381</t>
  </si>
  <si>
    <t>CnE-1423a</t>
  </si>
  <si>
    <t>CnE-884a</t>
  </si>
  <si>
    <t>LH-86</t>
  </si>
  <si>
    <t>LH-88</t>
  </si>
  <si>
    <t>LH-748</t>
  </si>
  <si>
    <t>LH-831</t>
  </si>
  <si>
    <t>LH-861</t>
  </si>
  <si>
    <t>LH-905</t>
  </si>
  <si>
    <t>LH-924</t>
  </si>
  <si>
    <t>CG-42</t>
  </si>
  <si>
    <t>CG-155</t>
  </si>
  <si>
    <t>CG-241</t>
  </si>
  <si>
    <t>CG.a-289</t>
  </si>
  <si>
    <t>CnE-325</t>
  </si>
  <si>
    <t>LH-111</t>
  </si>
  <si>
    <t>LH-243</t>
  </si>
  <si>
    <t>LH-285</t>
  </si>
  <si>
    <t>LH-294</t>
  </si>
  <si>
    <t>LH-166</t>
  </si>
  <si>
    <t>LH-511</t>
  </si>
  <si>
    <t>LH.a-553</t>
  </si>
  <si>
    <t>LH-637</t>
  </si>
  <si>
    <t>LH-686</t>
  </si>
  <si>
    <t>LH-735</t>
  </si>
  <si>
    <t>LH-899</t>
  </si>
  <si>
    <t>LH-951</t>
  </si>
  <si>
    <t>CG-169</t>
  </si>
  <si>
    <t>CG-233</t>
  </si>
  <si>
    <t>CG-400</t>
  </si>
  <si>
    <t>CG-478</t>
  </si>
  <si>
    <t>LC-535</t>
  </si>
  <si>
    <t>CnE-295</t>
  </si>
  <si>
    <t>CnE-431</t>
  </si>
  <si>
    <t>CnE-434</t>
  </si>
  <si>
    <t>CnE-541</t>
  </si>
  <si>
    <t>CnE-665</t>
  </si>
  <si>
    <t>CnE-693</t>
  </si>
  <si>
    <t>CnE-709</t>
  </si>
  <si>
    <t>CnE-758</t>
  </si>
  <si>
    <t>CnE-766</t>
  </si>
  <si>
    <t>BB-30</t>
  </si>
  <si>
    <t>BB-94</t>
  </si>
  <si>
    <t>CnE-853</t>
  </si>
  <si>
    <t>LH-3</t>
  </si>
  <si>
    <t>LH-59</t>
  </si>
  <si>
    <t>LC-632a</t>
  </si>
  <si>
    <t>N-11</t>
  </si>
  <si>
    <t>CnE-73</t>
  </si>
  <si>
    <t>CnE-272</t>
  </si>
  <si>
    <t>CnE-348</t>
  </si>
  <si>
    <t>CnE-375</t>
  </si>
  <si>
    <t>CnE-380</t>
  </si>
  <si>
    <t>CnE-396</t>
  </si>
  <si>
    <t>CnE-430</t>
  </si>
  <si>
    <t>CnE-519</t>
  </si>
  <si>
    <t>CnE-529</t>
  </si>
  <si>
    <t>CnE-757</t>
  </si>
  <si>
    <t>LH-99</t>
  </si>
  <si>
    <t>LH-117</t>
  </si>
  <si>
    <t>CG-281</t>
  </si>
  <si>
    <t>LH-188</t>
  </si>
  <si>
    <t>CG-194</t>
  </si>
  <si>
    <t>CG-53</t>
  </si>
  <si>
    <t>LH-1008a</t>
  </si>
  <si>
    <t>LH-1024a</t>
  </si>
  <si>
    <t>LH-1060a</t>
  </si>
  <si>
    <t>CG-564a</t>
  </si>
  <si>
    <t>LH-1120</t>
  </si>
  <si>
    <t>CnE-1277</t>
  </si>
  <si>
    <t>CnE.a-1340</t>
  </si>
  <si>
    <t>LH-96</t>
  </si>
  <si>
    <t>LH-486</t>
  </si>
  <si>
    <t>LH-65</t>
  </si>
  <si>
    <t>LH-114</t>
  </si>
  <si>
    <t>LH-139</t>
  </si>
  <si>
    <t>LH-164</t>
  </si>
  <si>
    <t>LH-277</t>
  </si>
  <si>
    <t>LH-283</t>
  </si>
  <si>
    <t>LH-732</t>
  </si>
  <si>
    <t>LH-734</t>
  </si>
  <si>
    <t>LH-818</t>
  </si>
  <si>
    <t>CG-127</t>
  </si>
  <si>
    <t>CG-394</t>
  </si>
  <si>
    <t>CG-445</t>
  </si>
  <si>
    <t>LC-116</t>
  </si>
  <si>
    <t>CnE-96</t>
  </si>
  <si>
    <t>CnE-122</t>
  </si>
  <si>
    <t>CnE-194</t>
  </si>
  <si>
    <t>CnE-228</t>
  </si>
  <si>
    <t>CnE-231</t>
  </si>
  <si>
    <t>CnE-270</t>
  </si>
  <si>
    <t>CnE-301</t>
  </si>
  <si>
    <t>CnE-415</t>
  </si>
  <si>
    <t>CnE-494</t>
  </si>
  <si>
    <t>CnE-537</t>
  </si>
  <si>
    <t>CnE-714</t>
  </si>
  <si>
    <t>CnE-811</t>
  </si>
  <si>
    <t>BB-33</t>
  </si>
  <si>
    <t>BB-88</t>
  </si>
  <si>
    <t>CES-5</t>
  </si>
  <si>
    <t>CnE-47</t>
  </si>
  <si>
    <t>LH-289</t>
  </si>
  <si>
    <t>LH-540</t>
  </si>
  <si>
    <t>CG-139</t>
  </si>
  <si>
    <t>CG-98</t>
  </si>
  <si>
    <t>CG-520</t>
  </si>
  <si>
    <t>LH-1000a</t>
  </si>
  <si>
    <t>LH-1061a</t>
  </si>
  <si>
    <t>CG-561a</t>
  </si>
  <si>
    <t>CG-587a</t>
  </si>
  <si>
    <t>CG-579a</t>
  </si>
  <si>
    <t>CG-591a</t>
  </si>
  <si>
    <t>LH-1132a</t>
  </si>
  <si>
    <t>LH-1166</t>
  </si>
  <si>
    <t>LH-1181</t>
  </si>
  <si>
    <t>LH-1184</t>
  </si>
  <si>
    <t>CG-712</t>
  </si>
  <si>
    <t>CnE-1089</t>
  </si>
  <si>
    <t>LC-636a</t>
  </si>
  <si>
    <t>LH-1015a</t>
  </si>
  <si>
    <t>CnE-905</t>
  </si>
  <si>
    <t>CnE-907a</t>
  </si>
  <si>
    <t>CnE-976</t>
  </si>
  <si>
    <t>CnE-1026</t>
  </si>
  <si>
    <t>CnE-1087</t>
  </si>
  <si>
    <t>CG-723</t>
  </si>
  <si>
    <t>CG-718</t>
  </si>
  <si>
    <t>CnE-1147</t>
  </si>
  <si>
    <t>BB-113</t>
  </si>
  <si>
    <t>CG-840</t>
  </si>
  <si>
    <t>BB-133</t>
  </si>
  <si>
    <t>CnE-1299</t>
  </si>
  <si>
    <t>CG-950</t>
  </si>
  <si>
    <t>LC.IA-977a</t>
  </si>
  <si>
    <t>CG-980a</t>
  </si>
  <si>
    <t>CnE-1458a</t>
  </si>
  <si>
    <t>CnE-1321</t>
  </si>
  <si>
    <t>LH-559</t>
  </si>
  <si>
    <t>LH-690</t>
  </si>
  <si>
    <t>LH-819</t>
  </si>
  <si>
    <t>LH-903</t>
  </si>
  <si>
    <t>LH-945</t>
  </si>
  <si>
    <t>CG-66</t>
  </si>
  <si>
    <t>CG-132</t>
  </si>
  <si>
    <t>CG-369</t>
  </si>
  <si>
    <t>LC-22</t>
  </si>
  <si>
    <t>CnE-165</t>
  </si>
  <si>
    <t>CnE-210</t>
  </si>
  <si>
    <t>CnE-216</t>
  </si>
  <si>
    <t>CnE-365</t>
  </si>
  <si>
    <t>CnE-385</t>
  </si>
  <si>
    <t>CnE-549</t>
  </si>
  <si>
    <t>CnE-558</t>
  </si>
  <si>
    <t>CnE-615</t>
  </si>
  <si>
    <t>CnE-673</t>
  </si>
  <si>
    <t>CnE-774</t>
  </si>
  <si>
    <t>CnE-838</t>
  </si>
  <si>
    <t>LH-175</t>
  </si>
  <si>
    <t>LH-176</t>
  </si>
  <si>
    <t>LH-260</t>
  </si>
  <si>
    <t>LH-325</t>
  </si>
  <si>
    <t>LH-501</t>
  </si>
  <si>
    <t>LH-510</t>
  </si>
  <si>
    <t>LH-618</t>
  </si>
  <si>
    <t>LH-768</t>
  </si>
  <si>
    <t>LH-775</t>
  </si>
  <si>
    <t>LH-887</t>
  </si>
  <si>
    <t>LH-902</t>
  </si>
  <si>
    <t>LH-906</t>
  </si>
  <si>
    <t>LH-958</t>
  </si>
  <si>
    <t>CG-13</t>
  </si>
  <si>
    <t>CG-16</t>
  </si>
  <si>
    <t>CG-157</t>
  </si>
  <si>
    <t>CG-239</t>
  </si>
  <si>
    <t>CG-284</t>
  </si>
  <si>
    <t>CG-393</t>
  </si>
  <si>
    <t>CG-411</t>
  </si>
  <si>
    <t>CnE-11</t>
  </si>
  <si>
    <t>CnE-38</t>
  </si>
  <si>
    <t>CnE-42</t>
  </si>
  <si>
    <t>CnE-69</t>
  </si>
  <si>
    <t>CG-606a</t>
  </si>
  <si>
    <t>LH-1175</t>
  </si>
  <si>
    <t>CG-633</t>
  </si>
  <si>
    <t>CG-706</t>
  </si>
  <si>
    <t>LH-1212</t>
  </si>
  <si>
    <t>CnE-1148</t>
  </si>
  <si>
    <t>CG-767</t>
  </si>
  <si>
    <t>CG.xp-910</t>
  </si>
  <si>
    <t>CnE-1287</t>
  </si>
  <si>
    <t>BB-176</t>
  </si>
  <si>
    <t>BBO-1</t>
  </si>
  <si>
    <t>CnE-21</t>
  </si>
  <si>
    <t>CnE-134</t>
  </si>
  <si>
    <t>CG-531a</t>
  </si>
  <si>
    <t>LH-991a</t>
  </si>
  <si>
    <t>LH-1007a</t>
  </si>
  <si>
    <t>CnE-903a</t>
  </si>
  <si>
    <t>LH-182a</t>
  </si>
  <si>
    <t>LH-1066a</t>
  </si>
  <si>
    <t>CnE-926a</t>
  </si>
  <si>
    <t>LH-1155a</t>
  </si>
  <si>
    <t>CnE-963</t>
  </si>
  <si>
    <t>CG-636</t>
  </si>
  <si>
    <t>CnE-1050</t>
  </si>
  <si>
    <t>CnE-1059</t>
  </si>
  <si>
    <t>LH-1207</t>
  </si>
  <si>
    <t>CnE.a-1136</t>
  </si>
  <si>
    <t>LH-102</t>
  </si>
  <si>
    <t>LH-201</t>
  </si>
  <si>
    <t>LH-288</t>
  </si>
  <si>
    <t>LH-488</t>
  </si>
  <si>
    <t>LH-532</t>
  </si>
  <si>
    <t>LH-564</t>
  </si>
  <si>
    <t>LH-638</t>
  </si>
  <si>
    <t>LH-642</t>
  </si>
  <si>
    <t>LH-779</t>
  </si>
  <si>
    <t>CG-435</t>
  </si>
  <si>
    <t>CG-473</t>
  </si>
  <si>
    <t>CG-507</t>
  </si>
  <si>
    <t>CnE-193</t>
  </si>
  <si>
    <t>LH-261</t>
  </si>
  <si>
    <t>CG-120</t>
  </si>
  <si>
    <t>CnE-879a</t>
  </si>
  <si>
    <t>LH-68a</t>
  </si>
  <si>
    <t>CnE-74</t>
  </si>
  <si>
    <t>CnE-103</t>
  </si>
  <si>
    <t>CnE-190</t>
  </si>
  <si>
    <t>CnE-360</t>
  </si>
  <si>
    <t>CnE-364</t>
  </si>
  <si>
    <t>CnE-367</t>
  </si>
  <si>
    <t>CnE-381</t>
  </si>
  <si>
    <t>CnE-409</t>
  </si>
  <si>
    <t>CnE-417</t>
  </si>
  <si>
    <t>CnE-439</t>
  </si>
  <si>
    <t>CnE-451</t>
  </si>
  <si>
    <t>CnE-452</t>
  </si>
  <si>
    <t>CnE-507</t>
  </si>
  <si>
    <t>CnE-527</t>
  </si>
  <si>
    <t>CnE-528</t>
  </si>
  <si>
    <t>CnE-530</t>
  </si>
  <si>
    <t>CnE-577</t>
  </si>
  <si>
    <t>CnE-594</t>
  </si>
  <si>
    <t>CnE-617</t>
  </si>
  <si>
    <t>CnE-625</t>
  </si>
  <si>
    <t>CnE-635</t>
  </si>
  <si>
    <t>CnE-647</t>
  </si>
  <si>
    <t>CnE-650</t>
  </si>
  <si>
    <t>CnE-702</t>
  </si>
  <si>
    <t>CnE-715</t>
  </si>
  <si>
    <t>CnE-754</t>
  </si>
  <si>
    <t>CnE-765</t>
  </si>
  <si>
    <t>CnE-800</t>
  </si>
  <si>
    <t>CnE-835</t>
  </si>
  <si>
    <t>CnE-842</t>
  </si>
  <si>
    <t>LH-1084a</t>
  </si>
  <si>
    <t>CG-608a</t>
  </si>
  <si>
    <t>LH-1217</t>
  </si>
  <si>
    <t>CG-825</t>
  </si>
  <si>
    <t>CG-816</t>
  </si>
  <si>
    <t>CnE-1130</t>
  </si>
  <si>
    <t>CnE-1196</t>
  </si>
  <si>
    <t>CnE-1271</t>
  </si>
  <si>
    <t>BB-145</t>
  </si>
  <si>
    <t>CnE-1306</t>
  </si>
  <si>
    <t>CG-874</t>
  </si>
  <si>
    <t>CG-955</t>
  </si>
  <si>
    <t>O-171</t>
  </si>
  <si>
    <t>LH-90</t>
  </si>
  <si>
    <t>LH-240</t>
  </si>
  <si>
    <t>LH-662</t>
  </si>
  <si>
    <t>LH-674</t>
  </si>
  <si>
    <t>LH-698</t>
  </si>
  <si>
    <t>LH-719</t>
  </si>
  <si>
    <t>LH-789</t>
  </si>
  <si>
    <t>LH-795</t>
  </si>
  <si>
    <t>LH-809</t>
  </si>
  <si>
    <t>LH-857</t>
  </si>
  <si>
    <t>LH-934</t>
  </si>
  <si>
    <t>CG-49</t>
  </si>
  <si>
    <t>CG-85</t>
  </si>
  <si>
    <t>CG-248</t>
  </si>
  <si>
    <t>CG-292</t>
  </si>
  <si>
    <t>CG-377</t>
  </si>
  <si>
    <t>CG-505</t>
  </si>
  <si>
    <t>LC-171</t>
  </si>
  <si>
    <t>CnE-15</t>
  </si>
  <si>
    <t>CnE-58</t>
  </si>
  <si>
    <t>CnE-552</t>
  </si>
  <si>
    <t>CnE-622</t>
  </si>
  <si>
    <t>CnE-727</t>
  </si>
  <si>
    <t>CnE-778</t>
  </si>
  <si>
    <t>BB-2</t>
  </si>
  <si>
    <t>CnE-5</t>
  </si>
  <si>
    <t>CnE-91</t>
  </si>
  <si>
    <t>LC-54</t>
  </si>
  <si>
    <t>CnE-86</t>
  </si>
  <si>
    <t>CnE-129</t>
  </si>
  <si>
    <t>CnE-150</t>
  </si>
  <si>
    <t>CnE-282</t>
  </si>
  <si>
    <t>CnE-284</t>
  </si>
  <si>
    <t>CnE-418</t>
  </si>
  <si>
    <t>CnE-461</t>
  </si>
  <si>
    <t>CnE-492</t>
  </si>
  <si>
    <t>CnE-657</t>
  </si>
  <si>
    <t>CnE-666</t>
  </si>
  <si>
    <t>CnE-732</t>
  </si>
  <si>
    <t>LH-53</t>
  </si>
  <si>
    <t>LH-143</t>
  </si>
  <si>
    <t>LH-174</t>
  </si>
  <si>
    <t>LH-483</t>
  </si>
  <si>
    <t>LH-571</t>
  </si>
  <si>
    <t>LH-617</t>
  </si>
  <si>
    <t>LH-648</t>
  </si>
  <si>
    <t>LH-832</t>
  </si>
  <si>
    <t>LH-841</t>
  </si>
  <si>
    <t>LH-882</t>
  </si>
  <si>
    <t>LH-933</t>
  </si>
  <si>
    <t>LH-937</t>
  </si>
  <si>
    <t>CG-17</t>
  </si>
  <si>
    <t>CG-108</t>
  </si>
  <si>
    <t>CG-294</t>
  </si>
  <si>
    <t>CG-370</t>
  </si>
  <si>
    <t>CG-403</t>
  </si>
  <si>
    <t>CG-418</t>
  </si>
  <si>
    <t>CG-433</t>
  </si>
  <si>
    <t>CG-434</t>
  </si>
  <si>
    <t>CG-439</t>
  </si>
  <si>
    <t>CG-449</t>
  </si>
  <si>
    <t>CG-467</t>
  </si>
  <si>
    <t>CG-511</t>
  </si>
  <si>
    <t>LC-30</t>
  </si>
  <si>
    <t>LC-91</t>
  </si>
  <si>
    <t>N-30</t>
  </si>
  <si>
    <t>CnE-31</t>
  </si>
  <si>
    <t>CnE-198</t>
  </si>
  <si>
    <t>CnE-206</t>
  </si>
  <si>
    <t>CnE-244</t>
  </si>
  <si>
    <t>CnE-317</t>
  </si>
  <si>
    <t>CnE-337</t>
  </si>
  <si>
    <t>CnE-432</t>
  </si>
  <si>
    <t>CnE-446</t>
  </si>
  <si>
    <t>CnE-464</t>
  </si>
  <si>
    <t>CnE-562</t>
  </si>
  <si>
    <t>CnE-572</t>
  </si>
  <si>
    <t>CnE-581</t>
  </si>
  <si>
    <t>CnE-697</t>
  </si>
  <si>
    <t>CnE-828</t>
  </si>
  <si>
    <t>CG-640</t>
  </si>
  <si>
    <t>BB-67</t>
  </si>
  <si>
    <t>BB-70</t>
  </si>
  <si>
    <t>LHS-3</t>
  </si>
  <si>
    <t>LH-263</t>
  </si>
  <si>
    <t>CnE-13</t>
  </si>
  <si>
    <t>LC-64</t>
  </si>
  <si>
    <t>LC-27</t>
  </si>
  <si>
    <t>CG-293</t>
  </si>
  <si>
    <t>LH-177</t>
  </si>
  <si>
    <t>LH-233</t>
  </si>
  <si>
    <t>LH-265</t>
  </si>
  <si>
    <t>LH-466</t>
  </si>
  <si>
    <t>CG-89</t>
  </si>
  <si>
    <t>LC-631a</t>
  </si>
  <si>
    <t>LH-87</t>
  </si>
  <si>
    <t>LH-232</t>
  </si>
  <si>
    <t>LH-299</t>
  </si>
  <si>
    <t>LH-628</t>
  </si>
  <si>
    <t>LH-666</t>
  </si>
  <si>
    <t>LH-803</t>
  </si>
  <si>
    <t>LH.a-843</t>
  </si>
  <si>
    <t>LH-921</t>
  </si>
  <si>
    <t>CG-138</t>
  </si>
  <si>
    <t>CG-162</t>
  </si>
  <si>
    <t>CG-231</t>
  </si>
  <si>
    <t>CG-252</t>
  </si>
  <si>
    <t>CG-359</t>
  </si>
  <si>
    <t>CG-419</t>
  </si>
  <si>
    <t>CG-421</t>
  </si>
  <si>
    <t>LC-119</t>
  </si>
  <si>
    <t>CnE-41</t>
  </si>
  <si>
    <t>CnE-161</t>
  </si>
  <si>
    <t>CnE-208</t>
  </si>
  <si>
    <t>CnE-222</t>
  </si>
  <si>
    <t>CnE-243</t>
  </si>
  <si>
    <t>CnE-303</t>
  </si>
  <si>
    <t>CnE-331</t>
  </si>
  <si>
    <t>CnE-354</t>
  </si>
  <si>
    <t>CnE-624</t>
  </si>
  <si>
    <t>CnE-663</t>
  </si>
  <si>
    <t>CnE-670</t>
  </si>
  <si>
    <t>CnE-675</t>
  </si>
  <si>
    <t>CnE-681</t>
  </si>
  <si>
    <t>CnE-720</t>
  </si>
  <si>
    <t>CnE-736</t>
  </si>
  <si>
    <t>CnE-781</t>
  </si>
  <si>
    <t>CG-603a</t>
  </si>
  <si>
    <t>LH-1188</t>
  </si>
  <si>
    <t>LH-1193</t>
  </si>
  <si>
    <t>LH-1199</t>
  </si>
  <si>
    <t>CG-724</t>
  </si>
  <si>
    <t>CnE-1142</t>
  </si>
  <si>
    <t>CnE-1245</t>
  </si>
  <si>
    <t>CG-949</t>
  </si>
  <si>
    <t>CG-981a</t>
  </si>
  <si>
    <t>CnE-1463a</t>
  </si>
  <si>
    <t>CnE-1124</t>
  </si>
  <si>
    <t>CnE-1143</t>
  </si>
  <si>
    <t>LH-1227</t>
  </si>
  <si>
    <t>CnE-1252(d)</t>
  </si>
  <si>
    <t>BB.xp-183a</t>
  </si>
  <si>
    <t>BB-73</t>
  </si>
  <si>
    <t>LH-92</t>
  </si>
  <si>
    <t>LH-125</t>
  </si>
  <si>
    <t>LH-296</t>
  </si>
  <si>
    <t>CnE-878a</t>
  </si>
  <si>
    <t>LH-981a</t>
  </si>
  <si>
    <t>CG-545a</t>
  </si>
  <si>
    <t>LH-1051a</t>
  </si>
  <si>
    <t>LH-1072a</t>
  </si>
  <si>
    <t>LH-1067a</t>
  </si>
  <si>
    <t>CG-554a</t>
  </si>
  <si>
    <t>LH-1102a</t>
  </si>
  <si>
    <t>CnE-937a</t>
  </si>
  <si>
    <t>CnE-1006</t>
  </si>
  <si>
    <t>CnE-1110</t>
  </si>
  <si>
    <t>CnE-1224(d)</t>
  </si>
  <si>
    <t>CG-880</t>
  </si>
  <si>
    <t>BB-61</t>
  </si>
  <si>
    <t>CG-752</t>
  </si>
  <si>
    <t>CG-747</t>
  </si>
  <si>
    <t>CG-800</t>
  </si>
  <si>
    <t>CG-834</t>
  </si>
  <si>
    <t>LH-1231</t>
  </si>
  <si>
    <t>CG-815</t>
  </si>
  <si>
    <t>CG-896</t>
  </si>
  <si>
    <t>CG-877</t>
  </si>
  <si>
    <t>CnE-1322a</t>
  </si>
  <si>
    <t>BB-151</t>
  </si>
  <si>
    <t>LH-974a</t>
  </si>
  <si>
    <t>BB-106a</t>
  </si>
  <si>
    <t>BB-10</t>
  </si>
  <si>
    <t>LH-197</t>
  </si>
  <si>
    <t>CnE-862</t>
  </si>
  <si>
    <t>CG-152</t>
  </si>
  <si>
    <t>CnE-868</t>
  </si>
  <si>
    <t>CnE-870</t>
  </si>
  <si>
    <t>CnE-882a</t>
  </si>
  <si>
    <t>LH-987a</t>
  </si>
  <si>
    <t>CnE-1144</t>
  </si>
  <si>
    <t>BB-128</t>
  </si>
  <si>
    <t>CnE-1199(d)</t>
  </si>
  <si>
    <t>LH-1242</t>
  </si>
  <si>
    <t>CnE-1315(d)</t>
  </si>
  <si>
    <t>CnE-1385</t>
  </si>
  <si>
    <t>CnE-1411</t>
  </si>
  <si>
    <t>LH-995a</t>
  </si>
  <si>
    <t>LH-999a</t>
  </si>
  <si>
    <t>LH-1042a</t>
  </si>
  <si>
    <t>LH-1035a</t>
  </si>
  <si>
    <t>CnE-911a</t>
  </si>
  <si>
    <t>LH-1090a</t>
  </si>
  <si>
    <t>LH-1a</t>
  </si>
  <si>
    <t>LH-1122a</t>
  </si>
  <si>
    <t>LH-77</t>
  </si>
  <si>
    <t>LH-267</t>
  </si>
  <si>
    <t>LH-282</t>
  </si>
  <si>
    <t>LH-292</t>
  </si>
  <si>
    <t>LH-542</t>
  </si>
  <si>
    <t>LH-568</t>
  </si>
  <si>
    <t>LH-626</t>
  </si>
  <si>
    <t>LH-687</t>
  </si>
  <si>
    <t>LH-693</t>
  </si>
  <si>
    <t>LH-716</t>
  </si>
  <si>
    <t>LH-752</t>
  </si>
  <si>
    <t>LH-753</t>
  </si>
  <si>
    <t>LH-808</t>
  </si>
  <si>
    <t>BB-48</t>
  </si>
  <si>
    <t>LH-966</t>
  </si>
  <si>
    <t>BB-66</t>
  </si>
  <si>
    <t>CnE-3</t>
  </si>
  <si>
    <t>CnE-10</t>
  </si>
  <si>
    <t>CnE-95</t>
  </si>
  <si>
    <t>CnE-195</t>
  </si>
  <si>
    <t>LH-10</t>
  </si>
  <si>
    <t>CnE-339</t>
  </si>
  <si>
    <t>LH-115</t>
  </si>
  <si>
    <t>LH-257</t>
  </si>
  <si>
    <t>CG-125</t>
  </si>
  <si>
    <t>CG.a-624</t>
  </si>
  <si>
    <t>LH-1182</t>
  </si>
  <si>
    <t>CG-622</t>
  </si>
  <si>
    <t>LH-1176</t>
  </si>
  <si>
    <t>CG-648</t>
  </si>
  <si>
    <t>LH-1194</t>
  </si>
  <si>
    <t>CG-709</t>
  </si>
  <si>
    <t>CnE-1088</t>
  </si>
  <si>
    <t>LH-1129</t>
  </si>
  <si>
    <t>LH-1062a</t>
  </si>
  <si>
    <t>CnE-908a</t>
  </si>
  <si>
    <t>CnE-917a</t>
  </si>
  <si>
    <t>CG-566a</t>
  </si>
  <si>
    <t>CnE-949a</t>
  </si>
  <si>
    <t>CG-628</t>
  </si>
  <si>
    <t>CG-632</t>
  </si>
  <si>
    <t>CG-638</t>
  </si>
  <si>
    <t>CG-714</t>
  </si>
  <si>
    <t>CnE-1055</t>
  </si>
  <si>
    <t>CnE-1063</t>
  </si>
  <si>
    <t>CnE-966</t>
  </si>
  <si>
    <t>CG-630</t>
  </si>
  <si>
    <t>CG-686</t>
  </si>
  <si>
    <t>CG-685</t>
  </si>
  <si>
    <t>CG-711</t>
  </si>
  <si>
    <t>CnE-1058</t>
  </si>
  <si>
    <t>LH-1205</t>
  </si>
  <si>
    <t>LH-1204</t>
  </si>
  <si>
    <t>CG-802</t>
  </si>
  <si>
    <t>CnE-1121</t>
  </si>
  <si>
    <t>CnE-1213</t>
  </si>
  <si>
    <t>CnE-1192</t>
  </si>
  <si>
    <t>CnE-1206</t>
  </si>
  <si>
    <t>LH-1233</t>
  </si>
  <si>
    <t>CG-943</t>
  </si>
  <si>
    <t>LH-862</t>
  </si>
  <si>
    <t>LH-871</t>
  </si>
  <si>
    <t>CG-118</t>
  </si>
  <si>
    <t>CG-313</t>
  </si>
  <si>
    <t>CG-362</t>
  </si>
  <si>
    <t>CG-388</t>
  </si>
  <si>
    <t>CG-402</t>
  </si>
  <si>
    <t>CG-417</t>
  </si>
  <si>
    <t>LC-120</t>
  </si>
  <si>
    <t>N-19</t>
  </si>
  <si>
    <t>CnE-146</t>
  </si>
  <si>
    <t>CnE-227</t>
  </si>
  <si>
    <t>CnE-232</t>
  </si>
  <si>
    <t>CnE-278</t>
  </si>
  <si>
    <t>CnE-413</t>
  </si>
  <si>
    <t>CnE-498</t>
  </si>
  <si>
    <t>CnE-568</t>
  </si>
  <si>
    <t>CnE-642</t>
  </si>
  <si>
    <t>CnE-669</t>
  </si>
  <si>
    <t>CnE-724</t>
  </si>
  <si>
    <t>BB-89</t>
  </si>
  <si>
    <t>LH-73</t>
  </si>
  <si>
    <t>LH-118</t>
  </si>
  <si>
    <t>LH-156</t>
  </si>
  <si>
    <t>CG-205</t>
  </si>
  <si>
    <t>LH-457</t>
  </si>
  <si>
    <t>CnE-877a</t>
  </si>
  <si>
    <t>CG-513a</t>
  </si>
  <si>
    <t>CnE-942a</t>
  </si>
  <si>
    <t>CnE-946a</t>
  </si>
  <si>
    <t>LH-1147a</t>
  </si>
  <si>
    <t>CG-673</t>
  </si>
  <si>
    <t>LH-37</t>
  </si>
  <si>
    <t>LH-85</t>
  </si>
  <si>
    <t>LH-180</t>
  </si>
  <si>
    <t>LH-200</t>
  </si>
  <si>
    <t>LH-212</t>
  </si>
  <si>
    <t>LH-529</t>
  </si>
  <si>
    <t>LH-700</t>
  </si>
  <si>
    <t>LH-707</t>
  </si>
  <si>
    <t>LH-714</t>
  </si>
  <si>
    <t>LH-833</t>
  </si>
  <si>
    <t>LH-910</t>
  </si>
  <si>
    <t>CG-18</t>
  </si>
  <si>
    <t>CG-149</t>
  </si>
  <si>
    <t>CG-158</t>
  </si>
  <si>
    <t>CG-230</t>
  </si>
  <si>
    <t>CG-273</t>
  </si>
  <si>
    <t>CG-325</t>
  </si>
  <si>
    <t>CG-443</t>
  </si>
  <si>
    <t>CnE-109</t>
  </si>
  <si>
    <t>CnE-155</t>
  </si>
  <si>
    <t>CnE-218</t>
  </si>
  <si>
    <t>CnE-238</t>
  </si>
  <si>
    <t>CnE-262</t>
  </si>
  <si>
    <t>CnE-388</t>
  </si>
  <si>
    <t>CnE-395</t>
  </si>
  <si>
    <t>CnE-419</t>
  </si>
  <si>
    <t>CnE-437</t>
  </si>
  <si>
    <t>CnE-447</t>
  </si>
  <si>
    <t>CnE-450</t>
  </si>
  <si>
    <t>CnE-597</t>
  </si>
  <si>
    <t>CnE-613</t>
  </si>
  <si>
    <t>CnE-631</t>
  </si>
  <si>
    <t>CnE-767</t>
  </si>
  <si>
    <t>CnE-829</t>
  </si>
  <si>
    <t>CnE-843</t>
  </si>
  <si>
    <t>CnE-889a</t>
  </si>
  <si>
    <t>LH-998a</t>
  </si>
  <si>
    <t>CnE-900a</t>
  </si>
  <si>
    <t>LC-974a</t>
  </si>
  <si>
    <t>LH-1301</t>
  </si>
  <si>
    <t>CG-795</t>
  </si>
  <si>
    <t>CG-791</t>
  </si>
  <si>
    <t>CG-748</t>
  </si>
  <si>
    <t>CnE-1145</t>
  </si>
  <si>
    <t>BB-130</t>
  </si>
  <si>
    <t>LH-1222</t>
  </si>
  <si>
    <t>CG-833</t>
  </si>
  <si>
    <t>LH-1261</t>
  </si>
  <si>
    <t>BB-32</t>
  </si>
  <si>
    <t>CEO-1</t>
  </si>
  <si>
    <t>BB-49</t>
  </si>
  <si>
    <t>CnE-341</t>
  </si>
  <si>
    <t>LH-167</t>
  </si>
  <si>
    <t>LH-493</t>
  </si>
  <si>
    <t>CG-145</t>
  </si>
  <si>
    <t>CnE-867</t>
  </si>
  <si>
    <t>CG-536a</t>
  </si>
  <si>
    <t>CG-542a</t>
  </si>
  <si>
    <t>CG-538a</t>
  </si>
  <si>
    <t>BB-13</t>
  </si>
  <si>
    <t>BB-63</t>
  </si>
  <si>
    <t>LHS-1</t>
  </si>
  <si>
    <t>BB-22</t>
  </si>
  <si>
    <t>BB-51</t>
  </si>
  <si>
    <t>CnE-2</t>
  </si>
  <si>
    <t>LH-200(I)</t>
  </si>
  <si>
    <t>LC-39</t>
  </si>
  <si>
    <t>CnE-481</t>
  </si>
  <si>
    <t>LH-74</t>
  </si>
  <si>
    <t>LH-121</t>
  </si>
  <si>
    <t>CG-221</t>
  </si>
  <si>
    <t>CG-222</t>
  </si>
  <si>
    <t>LH-202</t>
  </si>
  <si>
    <t>LH-505</t>
  </si>
  <si>
    <t>LH-591</t>
  </si>
  <si>
    <t>CnE-860</t>
  </si>
  <si>
    <t>CG-22</t>
  </si>
  <si>
    <t>CG-25</t>
  </si>
  <si>
    <t>LC-628a</t>
  </si>
  <si>
    <t>LH-1010a</t>
  </si>
  <si>
    <t>O-2</t>
  </si>
  <si>
    <t>LH-253</t>
  </si>
  <si>
    <t>LH-322</t>
  </si>
  <si>
    <t>LH-481</t>
  </si>
  <si>
    <t>LH-578</t>
  </si>
  <si>
    <t>LH-600</t>
  </si>
  <si>
    <t>LH-643</t>
  </si>
  <si>
    <t>LH-656</t>
  </si>
  <si>
    <t>LH-681</t>
  </si>
  <si>
    <t>LH-800</t>
  </si>
  <si>
    <t>LH-801</t>
  </si>
  <si>
    <t>LH-806</t>
  </si>
  <si>
    <t>LH-848</t>
  </si>
  <si>
    <t>LH-880</t>
  </si>
  <si>
    <t>LH-889</t>
  </si>
  <si>
    <t>LH-894</t>
  </si>
  <si>
    <t>LH-911</t>
  </si>
  <si>
    <t>LH-914</t>
  </si>
  <si>
    <t>LH-940</t>
  </si>
  <si>
    <t>LH-953</t>
  </si>
  <si>
    <t>CG-123</t>
  </si>
  <si>
    <t>CG-184</t>
  </si>
  <si>
    <t>CG-217</t>
  </si>
  <si>
    <t>CG-234</t>
  </si>
  <si>
    <t>CG-268</t>
  </si>
  <si>
    <t>CG-371</t>
  </si>
  <si>
    <t>CG-380</t>
  </si>
  <si>
    <t>CG-408</t>
  </si>
  <si>
    <t>LC-76</t>
  </si>
  <si>
    <t>LC-455</t>
  </si>
  <si>
    <t>ECa-3</t>
  </si>
  <si>
    <t>CnE-46</t>
  </si>
  <si>
    <t>CnE-71</t>
  </si>
  <si>
    <t>CnE-131</t>
  </si>
  <si>
    <t>CnE-207</t>
  </si>
  <si>
    <t>CnE-246</t>
  </si>
  <si>
    <t>CnE-299</t>
  </si>
  <si>
    <t>CnE-309</t>
  </si>
  <si>
    <t>CnE-338</t>
  </si>
  <si>
    <t>CnE-376</t>
  </si>
  <si>
    <t>CnE-401</t>
  </si>
  <si>
    <t>CnE-416</t>
  </si>
  <si>
    <t>CnE-423</t>
  </si>
  <si>
    <t>CnE-429</t>
  </si>
  <si>
    <t>CnE-436</t>
  </si>
  <si>
    <t>CnE-453</t>
  </si>
  <si>
    <t>CnE-580</t>
  </si>
  <si>
    <t>CnE-629</t>
  </si>
  <si>
    <t>CnE-770</t>
  </si>
  <si>
    <t>LH-1004a</t>
  </si>
  <si>
    <t>LH-69</t>
  </si>
  <si>
    <t>LH-140</t>
  </si>
  <si>
    <t>LH-149</t>
  </si>
  <si>
    <t>LH-172</t>
  </si>
  <si>
    <t>LH-181</t>
  </si>
  <si>
    <t>LH-573</t>
  </si>
  <si>
    <t>LH-665</t>
  </si>
  <si>
    <t>LH-853</t>
  </si>
  <si>
    <t>LH-858</t>
  </si>
  <si>
    <t>LH-895</t>
  </si>
  <si>
    <t>LH-950</t>
  </si>
  <si>
    <t>CG.a-78</t>
  </si>
  <si>
    <t>CG-119</t>
  </si>
  <si>
    <t>CG-235</t>
  </si>
  <si>
    <t>CG-470</t>
  </si>
  <si>
    <t>CG-472</t>
  </si>
  <si>
    <t>LH-633</t>
  </si>
  <si>
    <t>LH-688</t>
  </si>
  <si>
    <t>LH-696</t>
  </si>
  <si>
    <t>LH-756</t>
  </si>
  <si>
    <t>LH-896</t>
  </si>
  <si>
    <t>LH-916</t>
  </si>
  <si>
    <t>LH-917</t>
  </si>
  <si>
    <t>CG-133</t>
  </si>
  <si>
    <t>CG-295</t>
  </si>
  <si>
    <t>LC-362</t>
  </si>
  <si>
    <t>LC-534</t>
  </si>
  <si>
    <t>N-47</t>
  </si>
  <si>
    <t>CnE-107</t>
  </si>
  <si>
    <t>CnE-211</t>
  </si>
  <si>
    <t>CnE-280</t>
  </si>
  <si>
    <t>CnE-281</t>
  </si>
  <si>
    <t>CnE-320</t>
  </si>
  <si>
    <t>CnE-366</t>
  </si>
  <si>
    <t>CnE-438</t>
  </si>
  <si>
    <t>CnE-465</t>
  </si>
  <si>
    <t>CnE-505</t>
  </si>
  <si>
    <t>CnE-840</t>
  </si>
  <si>
    <t>LH-581</t>
  </si>
  <si>
    <t>LH-605</t>
  </si>
  <si>
    <t>LH-651</t>
  </si>
  <si>
    <t>LH-792</t>
  </si>
  <si>
    <t>LH-840</t>
  </si>
  <si>
    <t>LH-936</t>
  </si>
  <si>
    <t>LH-959</t>
  </si>
  <si>
    <t>CG-58</t>
  </si>
  <si>
    <t>CG-170</t>
  </si>
  <si>
    <t>CG-210</t>
  </si>
  <si>
    <t>CG-250</t>
  </si>
  <si>
    <t>CG-343</t>
  </si>
  <si>
    <t>CG-379</t>
  </si>
  <si>
    <t>CG-440</t>
  </si>
  <si>
    <t>CG-500</t>
  </si>
  <si>
    <t>LC-21</t>
  </si>
  <si>
    <t>N-4</t>
  </si>
  <si>
    <t>N-38</t>
  </si>
  <si>
    <t>CnE-33</t>
  </si>
  <si>
    <t>CnE-201</t>
  </si>
  <si>
    <t>CnE-251</t>
  </si>
  <si>
    <t>CnE-379</t>
  </si>
  <si>
    <t>CnE-406</t>
  </si>
  <si>
    <t>CnE-478</t>
  </si>
  <si>
    <t>CnE-514</t>
  </si>
  <si>
    <t>CnE-531</t>
  </si>
  <si>
    <t>CnE-661</t>
  </si>
  <si>
    <t>CnE-728</t>
  </si>
  <si>
    <t>CnE-786</t>
  </si>
  <si>
    <t>CnE-792</t>
  </si>
  <si>
    <t>PSA-1</t>
  </si>
  <si>
    <t>CG-498a</t>
  </si>
  <si>
    <t>LH-1127a</t>
  </si>
  <si>
    <t>LH-1164</t>
  </si>
  <si>
    <t>LH-1170</t>
  </si>
  <si>
    <t>LH-1177</t>
  </si>
  <si>
    <t>CG-659</t>
  </si>
  <si>
    <t>CnE-1001</t>
  </si>
  <si>
    <t>LH-1187</t>
  </si>
  <si>
    <t>CnE-1052</t>
  </si>
  <si>
    <t>CnE.a-1137</t>
  </si>
  <si>
    <t>CG-788</t>
  </si>
  <si>
    <t>CnE-1197</t>
  </si>
  <si>
    <t>LH-1224</t>
  </si>
  <si>
    <t>LH-1230</t>
  </si>
  <si>
    <t>LH-1253a</t>
  </si>
  <si>
    <t>CnE-1377</t>
  </si>
  <si>
    <t>LH-113</t>
  </si>
  <si>
    <t>LH-209</t>
  </si>
  <si>
    <t>LH-331</t>
  </si>
  <si>
    <t>LH-583</t>
  </si>
  <si>
    <t>LH-624</t>
  </si>
  <si>
    <t>LH-664</t>
  </si>
  <si>
    <t>LH-814</t>
  </si>
  <si>
    <t>LH-884</t>
  </si>
  <si>
    <t>LH-932</t>
  </si>
  <si>
    <t>CG-243</t>
  </si>
  <si>
    <t>CG-296</t>
  </si>
  <si>
    <t>CG-447</t>
  </si>
  <si>
    <t>CG-475</t>
  </si>
  <si>
    <t>CG-486</t>
  </si>
  <si>
    <t>CG-510</t>
  </si>
  <si>
    <t>LC-533</t>
  </si>
  <si>
    <t>CnE-175</t>
  </si>
  <si>
    <t>CnE-377</t>
  </si>
  <si>
    <t>CnE-508</t>
  </si>
  <si>
    <t>CnE-626</t>
  </si>
  <si>
    <t>CnE-640</t>
  </si>
  <si>
    <t>CnE-711</t>
  </si>
  <si>
    <t>CnE-803</t>
  </si>
  <si>
    <t>CG-283</t>
  </si>
  <si>
    <t>LH-438</t>
  </si>
  <si>
    <t>CGN-1</t>
  </si>
  <si>
    <t>CnE-26</t>
  </si>
  <si>
    <t>LH-566</t>
  </si>
  <si>
    <t>CG-533a</t>
  </si>
  <si>
    <t>CG-534a</t>
  </si>
  <si>
    <t>LH-6</t>
  </si>
  <si>
    <t>LH-597</t>
  </si>
  <si>
    <t>LH-619</t>
  </si>
  <si>
    <t>LH-739</t>
  </si>
  <si>
    <t>LH-778</t>
  </si>
  <si>
    <t>LH-837</t>
  </si>
  <si>
    <t>CG-115</t>
  </si>
  <si>
    <t>CG-178</t>
  </si>
  <si>
    <t>CG-209</t>
  </si>
  <si>
    <t>CG-228</t>
  </si>
  <si>
    <t>CG-254</t>
  </si>
  <si>
    <t>CG-406</t>
  </si>
  <si>
    <t>CG-412</t>
  </si>
  <si>
    <t>CG-453</t>
  </si>
  <si>
    <t>CG-502</t>
  </si>
  <si>
    <t>N-59</t>
  </si>
  <si>
    <t>CnE-121</t>
  </si>
  <si>
    <t>CnE-200</t>
  </si>
  <si>
    <t>CnE-205</t>
  </si>
  <si>
    <t>CnE-250</t>
  </si>
  <si>
    <t>CnE-288</t>
  </si>
  <si>
    <t>CnE-513</t>
  </si>
  <si>
    <t>CnE-645</t>
  </si>
  <si>
    <t>CnE-704</t>
  </si>
  <si>
    <t>N-9</t>
  </si>
  <si>
    <t>N-28</t>
  </si>
  <si>
    <t>CnE-98</t>
  </si>
  <si>
    <t>CnE-229</t>
  </si>
  <si>
    <t>CnE-253</t>
  </si>
  <si>
    <t>CnE-265</t>
  </si>
  <si>
    <t>CnE-463</t>
  </si>
  <si>
    <t>CnE-525</t>
  </si>
  <si>
    <t>CnE-570</t>
  </si>
  <si>
    <t>CnE-649</t>
  </si>
  <si>
    <t>CnE-721</t>
  </si>
  <si>
    <t>CnE-844</t>
  </si>
  <si>
    <t>BB-54</t>
  </si>
  <si>
    <t>BB-96</t>
  </si>
  <si>
    <t>LH-79</t>
  </si>
  <si>
    <t>LH-284</t>
  </si>
  <si>
    <t>LC-625</t>
  </si>
  <si>
    <t>CnE-864</t>
  </si>
  <si>
    <t>LH-1019a</t>
  </si>
  <si>
    <t>CnE-901a</t>
  </si>
  <si>
    <t>LH-1078a</t>
  </si>
  <si>
    <t>CG-560a</t>
  </si>
  <si>
    <t>CnE-922a</t>
  </si>
  <si>
    <t>BB-97</t>
  </si>
  <si>
    <t>LH-13</t>
  </si>
  <si>
    <t>LH-42</t>
  </si>
  <si>
    <t>LH-281</t>
  </si>
  <si>
    <t>LH-543</t>
  </si>
  <si>
    <t>CnE-859</t>
  </si>
  <si>
    <t>CG-5</t>
  </si>
  <si>
    <t>O-173</t>
  </si>
  <si>
    <t>LH-130</t>
  </si>
  <si>
    <t>LH-131</t>
  </si>
  <si>
    <t>LH-168</t>
  </si>
  <si>
    <t>LH-274</t>
  </si>
  <si>
    <t>LH-332</t>
  </si>
  <si>
    <t>LH-598</t>
  </si>
  <si>
    <t>LH-767</t>
  </si>
  <si>
    <t>LH-834</t>
  </si>
  <si>
    <t>LH-919</t>
  </si>
  <si>
    <t>CG-19</t>
  </si>
  <si>
    <t>CG-109</t>
  </si>
  <si>
    <t>CG-121</t>
  </si>
  <si>
    <t>CG-156</t>
  </si>
  <si>
    <t>CG-180</t>
  </si>
  <si>
    <t>CG-375</t>
  </si>
  <si>
    <t>CG-427</t>
  </si>
  <si>
    <t>LC-167</t>
  </si>
  <si>
    <t>LC-538</t>
  </si>
  <si>
    <t>CnE-16</t>
  </si>
  <si>
    <t>CnE-45</t>
  </si>
  <si>
    <t>CnE-197</t>
  </si>
  <si>
    <t>CnE-258</t>
  </si>
  <si>
    <t>CnE-308</t>
  </si>
  <si>
    <t>CnE-351</t>
  </si>
  <si>
    <t>CnE-392</t>
  </si>
  <si>
    <t>CnE-441</t>
  </si>
  <si>
    <t>SCa-1</t>
  </si>
  <si>
    <t>CnE-854</t>
  </si>
  <si>
    <t>CnE-136</t>
  </si>
  <si>
    <t>CEO-3</t>
  </si>
  <si>
    <t>CEO-4</t>
  </si>
  <si>
    <t>CG-374</t>
  </si>
  <si>
    <t>LH-480</t>
  </si>
  <si>
    <t>CG-299</t>
  </si>
  <si>
    <t>LH-179</t>
  </si>
  <si>
    <t>CG-43</t>
  </si>
  <si>
    <t>BB-105a</t>
  </si>
  <si>
    <t>LH-49</t>
  </si>
  <si>
    <t>LH-155</t>
  </si>
  <si>
    <t>LH-157</t>
  </si>
  <si>
    <t>LH-252</t>
  </si>
  <si>
    <t>LH-558</t>
  </si>
  <si>
    <t>LH-579</t>
  </si>
  <si>
    <t>LH-699</t>
  </si>
  <si>
    <t>LH-854</t>
  </si>
  <si>
    <t>LH-878</t>
  </si>
  <si>
    <t>LH-939</t>
  </si>
  <si>
    <t>LH-941</t>
  </si>
  <si>
    <t>CG-26</t>
  </si>
  <si>
    <t>CG-79</t>
  </si>
  <si>
    <t>CG-82</t>
  </si>
  <si>
    <t>CG-103</t>
  </si>
  <si>
    <t>CG-219</t>
  </si>
  <si>
    <t>CG-225</t>
  </si>
  <si>
    <t>CG-256</t>
  </si>
  <si>
    <t>CG-279</t>
  </si>
  <si>
    <t>CG-280</t>
  </si>
  <si>
    <t>CG-426</t>
  </si>
  <si>
    <t>CG-441</t>
  </si>
  <si>
    <t>CG-455</t>
  </si>
  <si>
    <t>CnE-44</t>
  </si>
  <si>
    <t>CnE-163</t>
  </si>
  <si>
    <t>CnE-261</t>
  </si>
  <si>
    <t>CnE-283</t>
  </si>
  <si>
    <t>CnE-394</t>
  </si>
  <si>
    <t>CnE-468</t>
  </si>
  <si>
    <t>CnE-487</t>
  </si>
  <si>
    <t>CnE-500</t>
  </si>
  <si>
    <t>CnE-628</t>
  </si>
  <si>
    <t>CnE-655</t>
  </si>
  <si>
    <t>CnE-672</t>
  </si>
  <si>
    <t>CnE-699</t>
  </si>
  <si>
    <t>CnE-705</t>
  </si>
  <si>
    <t>CnE-718</t>
  </si>
  <si>
    <t>CnE-719</t>
  </si>
  <si>
    <t>CnE-750</t>
  </si>
  <si>
    <t>CnE-761</t>
  </si>
  <si>
    <t>CnE-845</t>
  </si>
  <si>
    <t>BB-149</t>
  </si>
  <si>
    <t>CG.IA-976</t>
  </si>
  <si>
    <t>LH-1043a</t>
  </si>
  <si>
    <t>CG-570a</t>
  </si>
  <si>
    <t>CG-567a</t>
  </si>
  <si>
    <t>CnE-921a</t>
  </si>
  <si>
    <t>CG-578a</t>
  </si>
  <si>
    <t>CnE-927a</t>
  </si>
  <si>
    <t>CnE-933a</t>
  </si>
  <si>
    <t>CG-620</t>
  </si>
  <si>
    <t>LH-1167</t>
  </si>
  <si>
    <t>LH-1178</t>
  </si>
  <si>
    <t>CG-615</t>
  </si>
  <si>
    <t>CnE-1008</t>
  </si>
  <si>
    <t>CG-697</t>
  </si>
  <si>
    <t>CG-702</t>
  </si>
  <si>
    <t>CG-728</t>
  </si>
  <si>
    <t>LH-1208</t>
  </si>
  <si>
    <t>CnE-1150</t>
  </si>
  <si>
    <t>CnE-1231(d)a</t>
  </si>
  <si>
    <t>CG-859(d)</t>
  </si>
  <si>
    <t>CnE-1238(d)</t>
  </si>
  <si>
    <t>CG-967</t>
  </si>
  <si>
    <t>BB-144</t>
  </si>
  <si>
    <t>CnE-1298(d)</t>
  </si>
  <si>
    <t>CnE-1425a</t>
  </si>
  <si>
    <t>LH-969a</t>
  </si>
  <si>
    <t>LH-970a</t>
  </si>
  <si>
    <t>LH-183a</t>
  </si>
  <si>
    <t>LH-1063a</t>
  </si>
  <si>
    <t>CnE-923a</t>
  </si>
  <si>
    <t>LH-1136a</t>
  </si>
  <si>
    <t>LH-1151a</t>
  </si>
  <si>
    <t>LH-1029a</t>
  </si>
  <si>
    <t>LH-1068a</t>
  </si>
  <si>
    <t>LH-78a</t>
  </si>
  <si>
    <t>LH-1099a</t>
  </si>
  <si>
    <t>LH-1115a</t>
  </si>
  <si>
    <t>CnE-947a</t>
  </si>
  <si>
    <t>LH-1162a</t>
  </si>
  <si>
    <t>LH-1165</t>
  </si>
  <si>
    <t>CnE-969</t>
  </si>
  <si>
    <t>LH-1047a</t>
  </si>
  <si>
    <t>LH-1069a</t>
  </si>
  <si>
    <t>CG-549a</t>
  </si>
  <si>
    <t>CG-572a</t>
  </si>
  <si>
    <t>CnE-924a</t>
  </si>
  <si>
    <t>CG-577a</t>
  </si>
  <si>
    <t>CnE-936a</t>
  </si>
  <si>
    <t>CnE-939a</t>
  </si>
  <si>
    <t>LH-1110a</t>
  </si>
  <si>
    <t>LH-1148a</t>
  </si>
  <si>
    <t>CG-664</t>
  </si>
  <si>
    <t>CG-662</t>
  </si>
  <si>
    <t>CnE-1010</t>
  </si>
  <si>
    <t>CnE-560</t>
  </si>
  <si>
    <t>CnE-573</t>
  </si>
  <si>
    <t>CnE-574</t>
  </si>
  <si>
    <t>BB-31</t>
  </si>
  <si>
    <t>CnE-286</t>
  </si>
  <si>
    <t>LH-548</t>
  </si>
  <si>
    <t>CnE-459</t>
  </si>
  <si>
    <t>LH-258</t>
  </si>
  <si>
    <t>LH-272</t>
  </si>
  <si>
    <t>LH-649</t>
  </si>
  <si>
    <t>CG-54</t>
  </si>
  <si>
    <t>CG-47</t>
  </si>
  <si>
    <t>CnE-872a</t>
  </si>
  <si>
    <t>LH-1105a</t>
  </si>
  <si>
    <t>CnE-950a</t>
  </si>
  <si>
    <t>LH-1158a</t>
  </si>
  <si>
    <t>LH-1185</t>
  </si>
  <si>
    <t>LH-1221</t>
  </si>
  <si>
    <t>CnE-1149</t>
  </si>
  <si>
    <t>CnE-1146</t>
  </si>
  <si>
    <t>LH-1223</t>
  </si>
  <si>
    <t>CG-806</t>
  </si>
  <si>
    <t>BB-134</t>
  </si>
  <si>
    <t>CnE-1268(d)</t>
  </si>
  <si>
    <t>CG-856</t>
  </si>
  <si>
    <t>CG-720(d)</t>
  </si>
  <si>
    <t>LH-136</t>
  </si>
  <si>
    <t>LH-278</t>
  </si>
  <si>
    <t>LH-879</t>
  </si>
  <si>
    <t>LH-900</t>
  </si>
  <si>
    <t>LH-908</t>
  </si>
  <si>
    <t>LH-948</t>
  </si>
  <si>
    <t>LH-957</t>
  </si>
  <si>
    <t>CG-1</t>
  </si>
  <si>
    <t>CG-134</t>
  </si>
  <si>
    <t>CG-177</t>
  </si>
  <si>
    <t>CG-197</t>
  </si>
  <si>
    <t>CG-220</t>
  </si>
  <si>
    <t>CG-288</t>
  </si>
  <si>
    <t>CG-305</t>
  </si>
  <si>
    <t>CG-361</t>
  </si>
  <si>
    <t>CG-457</t>
  </si>
  <si>
    <t>LH-968a</t>
  </si>
  <si>
    <t>LH-976a</t>
  </si>
  <si>
    <t>LH-1041a</t>
  </si>
  <si>
    <t>CnE-940a</t>
  </si>
  <si>
    <t>LH-291</t>
  </si>
  <si>
    <t>CR-2</t>
  </si>
  <si>
    <t>LH-1114a</t>
  </si>
  <si>
    <t>BO-3</t>
  </si>
  <si>
    <t>Motivo</t>
  </si>
  <si>
    <t>Estado</t>
  </si>
  <si>
    <t>SACAR DE LA LISTA YPF</t>
  </si>
  <si>
    <t>ABA O OPORTUNIDAD</t>
  </si>
  <si>
    <t>Se sacaron los pozos que visualizaron oportunidades (65 pozos)</t>
  </si>
  <si>
    <t>UWI_BORE</t>
  </si>
  <si>
    <t>DIASSINCONTROL</t>
  </si>
  <si>
    <t>FECHA</t>
  </si>
  <si>
    <t>QGAS</t>
  </si>
  <si>
    <t>QWAT</t>
  </si>
  <si>
    <t>QOIL</t>
  </si>
  <si>
    <t>RAZON_NOMBRE</t>
  </si>
  <si>
    <t>AR0100010274</t>
  </si>
  <si>
    <t>Sale Del Total</t>
  </si>
  <si>
    <t>AR0300007142</t>
  </si>
  <si>
    <t>Control A Batería</t>
  </si>
  <si>
    <t>AR0300034419</t>
  </si>
  <si>
    <t>Control Con Rolo</t>
  </si>
  <si>
    <t>AR0300035561</t>
  </si>
  <si>
    <t>Muestra De Laboratorio</t>
  </si>
  <si>
    <t>406020303290</t>
  </si>
  <si>
    <t>406020303710</t>
  </si>
  <si>
    <t>406020303730</t>
  </si>
  <si>
    <t>406020304960</t>
  </si>
  <si>
    <t>406020305060</t>
  </si>
  <si>
    <t>406020305540</t>
  </si>
  <si>
    <t>Pistoneo En Casing</t>
  </si>
  <si>
    <t>406020305990</t>
  </si>
  <si>
    <t>406020306340</t>
  </si>
  <si>
    <t>406020306790</t>
  </si>
  <si>
    <t>406020307120</t>
  </si>
  <si>
    <t>406020800200</t>
  </si>
  <si>
    <t>406020800450</t>
  </si>
  <si>
    <t>406020800460</t>
  </si>
  <si>
    <t>406020800640</t>
  </si>
  <si>
    <t>406020800760</t>
  </si>
  <si>
    <t>406020800840</t>
  </si>
  <si>
    <t>406020800900</t>
  </si>
  <si>
    <t>406033600010</t>
  </si>
  <si>
    <t>AR0100000615</t>
  </si>
  <si>
    <t>AR0100000655</t>
  </si>
  <si>
    <t>AR0100000887</t>
  </si>
  <si>
    <t>AR0100000888</t>
  </si>
  <si>
    <t>Merma</t>
  </si>
  <si>
    <t>AR0100000899</t>
  </si>
  <si>
    <t>AR0100000999</t>
  </si>
  <si>
    <t>AR0100001149</t>
  </si>
  <si>
    <t>AR0100001203</t>
  </si>
  <si>
    <t>AR0100002487</t>
  </si>
  <si>
    <t>AR0100002621</t>
  </si>
  <si>
    <t>AR0100009399</t>
  </si>
  <si>
    <t>AR0100009500</t>
  </si>
  <si>
    <t>Tanque Quieto / Cisterna</t>
  </si>
  <si>
    <t>AR0100009638</t>
  </si>
  <si>
    <t>AR0100009655</t>
  </si>
  <si>
    <t>AR0100004816</t>
  </si>
  <si>
    <t>AR0100004317</t>
  </si>
  <si>
    <t>AR0100005504</t>
  </si>
  <si>
    <t>406011302510</t>
  </si>
  <si>
    <t>406011304850</t>
  </si>
  <si>
    <t>406011305720</t>
  </si>
  <si>
    <t>406011307120</t>
  </si>
  <si>
    <t>406011307360</t>
  </si>
  <si>
    <t>406011307930</t>
  </si>
  <si>
    <t>406011308210</t>
  </si>
  <si>
    <t>406011309180</t>
  </si>
  <si>
    <t>406011800270</t>
  </si>
  <si>
    <t>406011800930</t>
  </si>
  <si>
    <t>406011803870</t>
  </si>
  <si>
    <t>406011804600</t>
  </si>
  <si>
    <t>Combinada (Nivel y Dina)</t>
  </si>
  <si>
    <t>406011804740</t>
  </si>
  <si>
    <t>406020302850</t>
  </si>
  <si>
    <t>406020302920</t>
  </si>
  <si>
    <t>406020303700</t>
  </si>
  <si>
    <t>406011305370</t>
  </si>
  <si>
    <t>406011306100</t>
  </si>
  <si>
    <t>406011307720</t>
  </si>
  <si>
    <t>406011308500</t>
  </si>
  <si>
    <t>406011308860</t>
  </si>
  <si>
    <t>406011309090</t>
  </si>
  <si>
    <t>406011309120</t>
  </si>
  <si>
    <t>Ingresa Al Total</t>
  </si>
  <si>
    <t>406011309260</t>
  </si>
  <si>
    <t>406011800950</t>
  </si>
  <si>
    <t>406011801130</t>
  </si>
  <si>
    <t>406011801860</t>
  </si>
  <si>
    <t>406011802440</t>
  </si>
  <si>
    <t>406011803270</t>
  </si>
  <si>
    <t>406011803380</t>
  </si>
  <si>
    <t>406011803760</t>
  </si>
  <si>
    <t>406011804510</t>
  </si>
  <si>
    <t>406011804590</t>
  </si>
  <si>
    <t>406011804940</t>
  </si>
  <si>
    <t>406020300890</t>
  </si>
  <si>
    <t>406020301480</t>
  </si>
  <si>
    <t>406020301600</t>
  </si>
  <si>
    <t>406020302390</t>
  </si>
  <si>
    <t>406020303210</t>
  </si>
  <si>
    <t>406011300830</t>
  </si>
  <si>
    <t>406011301470</t>
  </si>
  <si>
    <t>406011306760</t>
  </si>
  <si>
    <t>406011309010</t>
  </si>
  <si>
    <t>406011801050</t>
  </si>
  <si>
    <t>406011801350</t>
  </si>
  <si>
    <t>406011803420</t>
  </si>
  <si>
    <t>406020300970</t>
  </si>
  <si>
    <t>406020301190</t>
  </si>
  <si>
    <t>406020301690</t>
  </si>
  <si>
    <t>406020304210</t>
  </si>
  <si>
    <t>406020305430</t>
  </si>
  <si>
    <t>406020306101</t>
  </si>
  <si>
    <t>406020307230</t>
  </si>
  <si>
    <t>406020307910</t>
  </si>
  <si>
    <t>406020308270</t>
  </si>
  <si>
    <t>406020800520</t>
  </si>
  <si>
    <t>406020800560</t>
  </si>
  <si>
    <t>406020800790</t>
  </si>
  <si>
    <t>AR0100000614</t>
  </si>
  <si>
    <t>AR0100000964</t>
  </si>
  <si>
    <t>AR0100001101</t>
  </si>
  <si>
    <t>AR0100002666</t>
  </si>
  <si>
    <t>406011301330</t>
  </si>
  <si>
    <t>406011301420</t>
  </si>
  <si>
    <t>406011301690</t>
  </si>
  <si>
    <t>406011301910</t>
  </si>
  <si>
    <t>406011307660</t>
  </si>
  <si>
    <t>406011308420</t>
  </si>
  <si>
    <t>406011308460</t>
  </si>
  <si>
    <t>406011308520</t>
  </si>
  <si>
    <t>406011801070</t>
  </si>
  <si>
    <t>406011801830</t>
  </si>
  <si>
    <t>406011804900</t>
  </si>
  <si>
    <t>406013404310</t>
  </si>
  <si>
    <t>406020300530</t>
  </si>
  <si>
    <t>406020302130</t>
  </si>
  <si>
    <t>406020303050</t>
  </si>
  <si>
    <t>406020303870</t>
  </si>
  <si>
    <t>406020304000</t>
  </si>
  <si>
    <t>406020304020</t>
  </si>
  <si>
    <t>406020304200</t>
  </si>
  <si>
    <t>406020305550</t>
  </si>
  <si>
    <t>406020305920</t>
  </si>
  <si>
    <t>406020307960</t>
  </si>
  <si>
    <t>406029100020</t>
  </si>
  <si>
    <t>AR0100000662</t>
  </si>
  <si>
    <t>AR0100000798</t>
  </si>
  <si>
    <t>AR0100000872</t>
  </si>
  <si>
    <t>AR0100000918</t>
  </si>
  <si>
    <t>AR0100000981</t>
  </si>
  <si>
    <t>AR0100001001</t>
  </si>
  <si>
    <t>AR0100001005</t>
  </si>
  <si>
    <t>AR0100001026</t>
  </si>
  <si>
    <t>AR0100004403</t>
  </si>
  <si>
    <t>AR0100004435</t>
  </si>
  <si>
    <t>AR0100004800</t>
  </si>
  <si>
    <t>AR0100005329</t>
  </si>
  <si>
    <t>AR0100006437</t>
  </si>
  <si>
    <t>AR0100006719</t>
  </si>
  <si>
    <t>AR0100007369</t>
  </si>
  <si>
    <t>AR0100007579</t>
  </si>
  <si>
    <t>AR0100008049</t>
  </si>
  <si>
    <t>AR0100009558</t>
  </si>
  <si>
    <t>AR0100010020</t>
  </si>
  <si>
    <t>AR0300006021</t>
  </si>
  <si>
    <t>AR0300011413</t>
  </si>
  <si>
    <t>AR0100005286</t>
  </si>
  <si>
    <t>AR0100005399</t>
  </si>
  <si>
    <t>AR0100005467</t>
  </si>
  <si>
    <t>406020800470</t>
  </si>
  <si>
    <t>AR0100005977</t>
  </si>
  <si>
    <t>AR0100006063</t>
  </si>
  <si>
    <t>AR0100006718</t>
  </si>
  <si>
    <t>AR0100006970</t>
  </si>
  <si>
    <t>AR0100007570</t>
  </si>
  <si>
    <t>AR0100007576</t>
  </si>
  <si>
    <t>AR0100007592</t>
  </si>
  <si>
    <t>AR0100007642</t>
  </si>
  <si>
    <t>AR0100008146</t>
  </si>
  <si>
    <t>AR0100008794</t>
  </si>
  <si>
    <t>AR0100009425</t>
  </si>
  <si>
    <t>AR0100009502</t>
  </si>
  <si>
    <t>AR0100009632</t>
  </si>
  <si>
    <t>AR0100009668</t>
  </si>
  <si>
    <t>AR0100010257</t>
  </si>
  <si>
    <t>AR0100010266</t>
  </si>
  <si>
    <t>AR0100010269</t>
  </si>
  <si>
    <t>AR0300005922</t>
  </si>
  <si>
    <t>AR0300006039</t>
  </si>
  <si>
    <t>AR0300006907</t>
  </si>
  <si>
    <t>AR0100000609</t>
  </si>
  <si>
    <t>AR0100000718</t>
  </si>
  <si>
    <t>AR0100000785</t>
  </si>
  <si>
    <t>AR0100000993</t>
  </si>
  <si>
    <t>AR0100001008</t>
  </si>
  <si>
    <t>AR0100001144</t>
  </si>
  <si>
    <t>AR0100002610</t>
  </si>
  <si>
    <t>AR0100002904</t>
  </si>
  <si>
    <t>AR0100004521</t>
  </si>
  <si>
    <t>AR0100004613</t>
  </si>
  <si>
    <t>AR0100004673</t>
  </si>
  <si>
    <t>AR0100005357</t>
  </si>
  <si>
    <t>AR0100006418</t>
  </si>
  <si>
    <t>AR0100006785</t>
  </si>
  <si>
    <t>AR0100006268</t>
  </si>
  <si>
    <t>AR0100006269</t>
  </si>
  <si>
    <t>AR0100006369</t>
  </si>
  <si>
    <t>AR0100006421</t>
  </si>
  <si>
    <t>AR0100007084</t>
  </si>
  <si>
    <t>AR0100007460</t>
  </si>
  <si>
    <t>AR0100007858</t>
  </si>
  <si>
    <t>AR0100007898</t>
  </si>
  <si>
    <t>AR0100008160</t>
  </si>
  <si>
    <t>AR0100010216</t>
  </si>
  <si>
    <t>AR0100010285</t>
  </si>
  <si>
    <t>AR0300003430</t>
  </si>
  <si>
    <t>AR0300006068</t>
  </si>
  <si>
    <t>AR0300034426</t>
  </si>
  <si>
    <t>AR0300034624</t>
  </si>
  <si>
    <t>AR0100004795</t>
  </si>
  <si>
    <t>AR0100006064</t>
  </si>
  <si>
    <t>AR0100006784</t>
  </si>
  <si>
    <t>AR0100007368</t>
  </si>
  <si>
    <t>AR0100007449</t>
  </si>
  <si>
    <t>AR0100007682</t>
  </si>
  <si>
    <t>AR0100007777</t>
  </si>
  <si>
    <t>AR0100007781</t>
  </si>
  <si>
    <t>AR0100007785</t>
  </si>
  <si>
    <t>AR0100009503</t>
  </si>
  <si>
    <t>Control a skid de medición</t>
  </si>
  <si>
    <t>AR0100009634</t>
  </si>
  <si>
    <t>AR0100009736</t>
  </si>
  <si>
    <t>AR0100009752</t>
  </si>
  <si>
    <t>AR0100010284</t>
  </si>
  <si>
    <t>AR0300003280</t>
  </si>
  <si>
    <t>AR0300006018</t>
  </si>
  <si>
    <t>AR0300007136</t>
  </si>
  <si>
    <t>AR0300008791</t>
  </si>
  <si>
    <t>AR0300034425</t>
  </si>
  <si>
    <t>AR0100009398</t>
  </si>
  <si>
    <t>406011302470</t>
  </si>
  <si>
    <t>406011304820</t>
  </si>
  <si>
    <t>406011305490</t>
  </si>
  <si>
    <t>406011306060</t>
  </si>
  <si>
    <t>406011308250</t>
  </si>
  <si>
    <t>406011800100</t>
  </si>
  <si>
    <t>406011802320</t>
  </si>
  <si>
    <t>406011802670</t>
  </si>
  <si>
    <t>406011803640</t>
  </si>
  <si>
    <t>406011803960</t>
  </si>
  <si>
    <t>406011804090</t>
  </si>
  <si>
    <t>406011804480</t>
  </si>
  <si>
    <t>406013400110</t>
  </si>
  <si>
    <t>406013400890</t>
  </si>
  <si>
    <t>406013405780</t>
  </si>
  <si>
    <t>406020300820</t>
  </si>
  <si>
    <t>406020302540</t>
  </si>
  <si>
    <t>406020302940</t>
  </si>
  <si>
    <t>406020303560</t>
  </si>
  <si>
    <t>406020303890</t>
  </si>
  <si>
    <t>406020306360</t>
  </si>
  <si>
    <t>406020306910</t>
  </si>
  <si>
    <t>406020801000</t>
  </si>
  <si>
    <t>406020304420</t>
  </si>
  <si>
    <t>406020304990</t>
  </si>
  <si>
    <t>406020305020</t>
  </si>
  <si>
    <t>406020305880</t>
  </si>
  <si>
    <t>406020306890</t>
  </si>
  <si>
    <t>406020306960</t>
  </si>
  <si>
    <t>AR0100000758</t>
  </si>
  <si>
    <t>AR0100000796</t>
  </si>
  <si>
    <t>AR0100000991</t>
  </si>
  <si>
    <t>AR0100001000</t>
  </si>
  <si>
    <t>AR0100006565</t>
  </si>
  <si>
    <t>AR0100006772</t>
  </si>
  <si>
    <t>AR0100007283</t>
  </si>
  <si>
    <t>AR0100007607</t>
  </si>
  <si>
    <t>AR0100007779</t>
  </si>
  <si>
    <t>AR0100007282</t>
  </si>
  <si>
    <t>AR0100008178</t>
  </si>
  <si>
    <t>AR0100009035</t>
  </si>
  <si>
    <t>AR0100009484</t>
  </si>
  <si>
    <t>AR0100009669</t>
  </si>
  <si>
    <t>AR0100010017</t>
  </si>
  <si>
    <t>AR0100010288</t>
  </si>
  <si>
    <t>AR0300006034</t>
  </si>
  <si>
    <t>AR0300007173</t>
  </si>
  <si>
    <t>AR0300032672</t>
  </si>
  <si>
    <t>AR0300034627</t>
  </si>
  <si>
    <t>AR0100009313</t>
  </si>
  <si>
    <t>AR0100009436</t>
  </si>
  <si>
    <t>AR0100009466</t>
  </si>
  <si>
    <t>AR0100005020</t>
  </si>
  <si>
    <t>AR0100005672</t>
  </si>
  <si>
    <t>AR0100005755</t>
  </si>
  <si>
    <t>AR0300005932</t>
  </si>
  <si>
    <t>AR0300007106</t>
  </si>
  <si>
    <t>AR0300009480</t>
  </si>
  <si>
    <t>AR0300010384</t>
  </si>
  <si>
    <t>406011300890</t>
  </si>
  <si>
    <t>406011305750</t>
  </si>
  <si>
    <t>406011306360</t>
  </si>
  <si>
    <t>406011306470</t>
  </si>
  <si>
    <t>406011306800</t>
  </si>
  <si>
    <t>406011309310</t>
  </si>
  <si>
    <t>406011803600</t>
  </si>
  <si>
    <t>406011803670</t>
  </si>
  <si>
    <t>406011803950</t>
  </si>
  <si>
    <t>406011804370</t>
  </si>
  <si>
    <t>406011804890</t>
  </si>
  <si>
    <t>406020300720</t>
  </si>
  <si>
    <t>406020302790</t>
  </si>
  <si>
    <t>406020303970</t>
  </si>
  <si>
    <t>406020304270</t>
  </si>
  <si>
    <t>406020304330</t>
  </si>
  <si>
    <t>406020304700</t>
  </si>
  <si>
    <t>406020305480</t>
  </si>
  <si>
    <t>406020305790</t>
  </si>
  <si>
    <t>406020306180</t>
  </si>
  <si>
    <t>406020306300</t>
  </si>
  <si>
    <t>406020307560</t>
  </si>
  <si>
    <t>406020307850</t>
  </si>
  <si>
    <t>406020308510</t>
  </si>
  <si>
    <t>406020800680</t>
  </si>
  <si>
    <t>AR0100000865</t>
  </si>
  <si>
    <t>AR0100000969</t>
  </si>
  <si>
    <t>AR0100001133</t>
  </si>
  <si>
    <t>AR0100001154</t>
  </si>
  <si>
    <t>403019902010</t>
  </si>
  <si>
    <t>406011301460</t>
  </si>
  <si>
    <t>406011307210</t>
  </si>
  <si>
    <t>406011307860</t>
  </si>
  <si>
    <t>406011801110</t>
  </si>
  <si>
    <t>406011801530</t>
  </si>
  <si>
    <t>406011802400</t>
  </si>
  <si>
    <t>406011803060</t>
  </si>
  <si>
    <t>406011803660</t>
  </si>
  <si>
    <t>406011803680</t>
  </si>
  <si>
    <t>406011803990</t>
  </si>
  <si>
    <t>406020300080</t>
  </si>
  <si>
    <t>406020303100</t>
  </si>
  <si>
    <t>406020303300</t>
  </si>
  <si>
    <t>406020303460</t>
  </si>
  <si>
    <t>406020304030</t>
  </si>
  <si>
    <t>406020305630</t>
  </si>
  <si>
    <t>406020305860</t>
  </si>
  <si>
    <t>406020305960</t>
  </si>
  <si>
    <t>406020306600</t>
  </si>
  <si>
    <t>406020306670</t>
  </si>
  <si>
    <t>406020306800</t>
  </si>
  <si>
    <t>406020306820</t>
  </si>
  <si>
    <t>406020307130</t>
  </si>
  <si>
    <t>406020307690</t>
  </si>
  <si>
    <t>406020800290</t>
  </si>
  <si>
    <t>AR0100001091</t>
  </si>
  <si>
    <t>AR0100005085</t>
  </si>
  <si>
    <t>AR0100005477</t>
  </si>
  <si>
    <t>AR0100006580</t>
  </si>
  <si>
    <t>AR0100007214</t>
  </si>
  <si>
    <t>AR0100007228</t>
  </si>
  <si>
    <t>AR0100007685</t>
  </si>
  <si>
    <t>AR0100009036</t>
  </si>
  <si>
    <t>406011301290</t>
  </si>
  <si>
    <t>406011306200</t>
  </si>
  <si>
    <t>406011306250</t>
  </si>
  <si>
    <t>406011306290</t>
  </si>
  <si>
    <t>406011800630</t>
  </si>
  <si>
    <t>406011801590</t>
  </si>
  <si>
    <t>406011802470</t>
  </si>
  <si>
    <t>406011802770</t>
  </si>
  <si>
    <t>406011803180</t>
  </si>
  <si>
    <t>406011803560</t>
  </si>
  <si>
    <t>406011804800</t>
  </si>
  <si>
    <t>406020800580</t>
  </si>
  <si>
    <t>AR0100000648</t>
  </si>
  <si>
    <t>AR0100000661</t>
  </si>
  <si>
    <t>AR0100000703</t>
  </si>
  <si>
    <t>AR0100000797</t>
  </si>
  <si>
    <t>AR0100000799</t>
  </si>
  <si>
    <t>AR0100000868</t>
  </si>
  <si>
    <t>AR0100001107</t>
  </si>
  <si>
    <t>AR0100001122</t>
  </si>
  <si>
    <t>AR0100001145</t>
  </si>
  <si>
    <t>AR0100000895</t>
  </si>
  <si>
    <t>406011301930</t>
  </si>
  <si>
    <t>406011305700</t>
  </si>
  <si>
    <t>406011306890</t>
  </si>
  <si>
    <t>406011308160</t>
  </si>
  <si>
    <t>406011800860</t>
  </si>
  <si>
    <t>406011801420</t>
  </si>
  <si>
    <t>406011801680</t>
  </si>
  <si>
    <t>406011802370</t>
  </si>
  <si>
    <t>406011803020</t>
  </si>
  <si>
    <t>406011804620</t>
  </si>
  <si>
    <t>406011805030</t>
  </si>
  <si>
    <t>406020302120</t>
  </si>
  <si>
    <t>406020302140</t>
  </si>
  <si>
    <t>406020303530</t>
  </si>
  <si>
    <t>406020303910</t>
  </si>
  <si>
    <t>406020304040</t>
  </si>
  <si>
    <t>406020304110</t>
  </si>
  <si>
    <t>406020304440</t>
  </si>
  <si>
    <t>406020304620</t>
  </si>
  <si>
    <t>406020305510</t>
  </si>
  <si>
    <t>406020305760</t>
  </si>
  <si>
    <t>406020306270</t>
  </si>
  <si>
    <t>406020307330</t>
  </si>
  <si>
    <t>406020800110</t>
  </si>
  <si>
    <t>406020800930</t>
  </si>
  <si>
    <t>406020800980</t>
  </si>
  <si>
    <t>AR0100000591</t>
  </si>
  <si>
    <t>AR0100000914</t>
  </si>
  <si>
    <t>AR0100001146</t>
  </si>
  <si>
    <t>AR0100001153</t>
  </si>
  <si>
    <t>Medición De Gas</t>
  </si>
  <si>
    <t>AR0100004316</t>
  </si>
  <si>
    <t>AR0100004485</t>
  </si>
  <si>
    <t>AR0100004524</t>
  </si>
  <si>
    <t>AR0100004674</t>
  </si>
  <si>
    <t>AR0100004793</t>
  </si>
  <si>
    <t>AR0100005086</t>
  </si>
  <si>
    <t>AR0100005382</t>
  </si>
  <si>
    <t>AR0100005422</t>
  </si>
  <si>
    <t>AR0100005754</t>
  </si>
  <si>
    <t>AR0100005767</t>
  </si>
  <si>
    <t>AR0100005896</t>
  </si>
  <si>
    <t>AR0100006062</t>
  </si>
  <si>
    <t>AR0100006564</t>
  </si>
  <si>
    <t>AR0100006904</t>
  </si>
  <si>
    <t>AR0100007212</t>
  </si>
  <si>
    <t>AR0100007568</t>
  </si>
  <si>
    <t>AR0100007609</t>
  </si>
  <si>
    <t>AR0100008157</t>
  </si>
  <si>
    <t>AR0100008584</t>
  </si>
  <si>
    <t>AR0100008836</t>
  </si>
  <si>
    <t>AR0100009328</t>
  </si>
  <si>
    <t>AR0100009376</t>
  </si>
  <si>
    <t>AR0100009524</t>
  </si>
  <si>
    <t>AR0100010016</t>
  </si>
  <si>
    <t>AR0300006913</t>
  </si>
  <si>
    <t>AR0300007167</t>
  </si>
  <si>
    <t>406011300010</t>
  </si>
  <si>
    <t>406011301160</t>
  </si>
  <si>
    <t>406011301900</t>
  </si>
  <si>
    <t>406011305280</t>
  </si>
  <si>
    <t>406011305300</t>
  </si>
  <si>
    <t>406011305510</t>
  </si>
  <si>
    <t>406011305900</t>
  </si>
  <si>
    <t>406011306670</t>
  </si>
  <si>
    <t>406011307420</t>
  </si>
  <si>
    <t>406011307940</t>
  </si>
  <si>
    <t>406011308130</t>
  </si>
  <si>
    <t>406011308910</t>
  </si>
  <si>
    <t>406011308970</t>
  </si>
  <si>
    <t>406011309600</t>
  </si>
  <si>
    <t>406011801170</t>
  </si>
  <si>
    <t>406011801710</t>
  </si>
  <si>
    <t>406011802870</t>
  </si>
  <si>
    <t>406011803160</t>
  </si>
  <si>
    <t>Trabajo A Horario</t>
  </si>
  <si>
    <t>406011803530</t>
  </si>
  <si>
    <t>406011804200</t>
  </si>
  <si>
    <t>406011804580</t>
  </si>
  <si>
    <t>406011804870</t>
  </si>
  <si>
    <t>406011805010</t>
  </si>
  <si>
    <t>406013400650</t>
  </si>
  <si>
    <t>406020300340</t>
  </si>
  <si>
    <t>406020300500</t>
  </si>
  <si>
    <t>406020300930</t>
  </si>
  <si>
    <t>406020300990</t>
  </si>
  <si>
    <t>406020301180</t>
  </si>
  <si>
    <t>406020301490</t>
  </si>
  <si>
    <t>406020302330</t>
  </si>
  <si>
    <t>406020302520</t>
  </si>
  <si>
    <t>406020303400</t>
  </si>
  <si>
    <t>406020303610</t>
  </si>
  <si>
    <t>406020303690</t>
  </si>
  <si>
    <t>406020304720</t>
  </si>
  <si>
    <t>406020305150</t>
  </si>
  <si>
    <t>406020305180</t>
  </si>
  <si>
    <t>406020305500</t>
  </si>
  <si>
    <t>406020305690</t>
  </si>
  <si>
    <t>406020306050</t>
  </si>
  <si>
    <t>406020306780</t>
  </si>
  <si>
    <t>406020306940</t>
  </si>
  <si>
    <t>406020307870</t>
  </si>
  <si>
    <t>406020308050</t>
  </si>
  <si>
    <t>406020308390</t>
  </si>
  <si>
    <t>406011302260</t>
  </si>
  <si>
    <t>406011302290</t>
  </si>
  <si>
    <t>406011306310</t>
  </si>
  <si>
    <t>406011308150</t>
  </si>
  <si>
    <t>406011308590</t>
  </si>
  <si>
    <t>406011309230</t>
  </si>
  <si>
    <t>406011309420</t>
  </si>
  <si>
    <t>406011309430</t>
  </si>
  <si>
    <t>406011801020</t>
  </si>
  <si>
    <t>406011801470</t>
  </si>
  <si>
    <t>406011801630</t>
  </si>
  <si>
    <t>406011802380</t>
  </si>
  <si>
    <t>406011804840</t>
  </si>
  <si>
    <t>406020300660</t>
  </si>
  <si>
    <t>406020302490</t>
  </si>
  <si>
    <t>406020302630</t>
  </si>
  <si>
    <t>406020302750</t>
  </si>
  <si>
    <t>406020303450</t>
  </si>
  <si>
    <t>406020303720</t>
  </si>
  <si>
    <t>406020305900</t>
  </si>
  <si>
    <t>406020306430</t>
  </si>
  <si>
    <t>406020306530</t>
  </si>
  <si>
    <t>406020800690</t>
  </si>
  <si>
    <t>406020800860</t>
  </si>
  <si>
    <t>AR0100000792</t>
  </si>
  <si>
    <t>AR0100000803</t>
  </si>
  <si>
    <t>AR0100000874</t>
  </si>
  <si>
    <t>AR0100000923</t>
  </si>
  <si>
    <t>AR0100001134</t>
  </si>
  <si>
    <t>AR0100002279</t>
  </si>
  <si>
    <t>AR0100004581</t>
  </si>
  <si>
    <t>AR0100004927</t>
  </si>
  <si>
    <t>AR0100004930</t>
  </si>
  <si>
    <t>AR0100004995</t>
  </si>
  <si>
    <t>AR0100005554</t>
  </si>
  <si>
    <t>AR0100008150</t>
  </si>
  <si>
    <t>AR0100002773</t>
  </si>
  <si>
    <t>AR0100002801</t>
  </si>
  <si>
    <t>AR0100004402</t>
  </si>
  <si>
    <t>AR0100004797</t>
  </si>
  <si>
    <t>AR0100005398</t>
  </si>
  <si>
    <t>AR0100006280</t>
  </si>
  <si>
    <t>AR0100006438</t>
  </si>
  <si>
    <t>AR0100006831</t>
  </si>
  <si>
    <t>AR0100007569</t>
  </si>
  <si>
    <t>AR0100007922</t>
  </si>
  <si>
    <t>AR0100008138</t>
  </si>
  <si>
    <t>AR0100009448</t>
  </si>
  <si>
    <t>AR0100009565</t>
  </si>
  <si>
    <t>AR0100010242</t>
  </si>
  <si>
    <t>AR0300006511</t>
  </si>
  <si>
    <t>AR0300027515</t>
  </si>
  <si>
    <t>AR0300034428</t>
  </si>
  <si>
    <t>406011301860</t>
  </si>
  <si>
    <t>406011301920</t>
  </si>
  <si>
    <t>406011305870</t>
  </si>
  <si>
    <t>406011308050</t>
  </si>
  <si>
    <t>406011308120</t>
  </si>
  <si>
    <t>406011308300</t>
  </si>
  <si>
    <t>406011309550</t>
  </si>
  <si>
    <t>406011309610</t>
  </si>
  <si>
    <t>406011800870</t>
  </si>
  <si>
    <t>406011801040</t>
  </si>
  <si>
    <t>406011801360</t>
  </si>
  <si>
    <t>406011801400</t>
  </si>
  <si>
    <t>406011804360</t>
  </si>
  <si>
    <t>406011804790</t>
  </si>
  <si>
    <t>406011804810</t>
  </si>
  <si>
    <t>406013400290</t>
  </si>
  <si>
    <t>406011300390</t>
  </si>
  <si>
    <t>406011300480</t>
  </si>
  <si>
    <t>406011301410</t>
  </si>
  <si>
    <t>406011301450</t>
  </si>
  <si>
    <t>406011305940</t>
  </si>
  <si>
    <t>406011306520</t>
  </si>
  <si>
    <t>406011306530</t>
  </si>
  <si>
    <t>406011306680</t>
  </si>
  <si>
    <t>406011309490</t>
  </si>
  <si>
    <t>406011801640</t>
  </si>
  <si>
    <t>406011802970</t>
  </si>
  <si>
    <t>406011803140</t>
  </si>
  <si>
    <t>406011803730</t>
  </si>
  <si>
    <t>406011804540</t>
  </si>
  <si>
    <t>406011804560</t>
  </si>
  <si>
    <t>406011804610</t>
  </si>
  <si>
    <t>406011804830</t>
  </si>
  <si>
    <t>406011805090</t>
  </si>
  <si>
    <t>406020300430</t>
  </si>
  <si>
    <t>406020300550</t>
  </si>
  <si>
    <t>406020300700</t>
  </si>
  <si>
    <t>406020300920</t>
  </si>
  <si>
    <t>406020303420</t>
  </si>
  <si>
    <t>406020303580</t>
  </si>
  <si>
    <t>406020304750</t>
  </si>
  <si>
    <t>406020304930</t>
  </si>
  <si>
    <t>406020305840</t>
  </si>
  <si>
    <t>406020306200</t>
  </si>
  <si>
    <t>406020306680</t>
  </si>
  <si>
    <t>406020306880</t>
  </si>
  <si>
    <t>406020307390</t>
  </si>
  <si>
    <t>406020307550</t>
  </si>
  <si>
    <t>406020308080</t>
  </si>
  <si>
    <t>406020308170</t>
  </si>
  <si>
    <t>406020800570</t>
  </si>
  <si>
    <t>406020800810</t>
  </si>
  <si>
    <t>406019800100</t>
  </si>
  <si>
    <t>406020301520</t>
  </si>
  <si>
    <t>406020302560</t>
  </si>
  <si>
    <t>406020302600</t>
  </si>
  <si>
    <t>406020304480</t>
  </si>
  <si>
    <t>406020304550</t>
  </si>
  <si>
    <t>406020304690</t>
  </si>
  <si>
    <t>406020306580</t>
  </si>
  <si>
    <t>406020306620</t>
  </si>
  <si>
    <t>406020307010</t>
  </si>
  <si>
    <t>406020308250</t>
  </si>
  <si>
    <t>AR0100000657</t>
  </si>
  <si>
    <t>AR0100001016</t>
  </si>
  <si>
    <t>AR0100002240</t>
  </si>
  <si>
    <t>AR0100002856</t>
  </si>
  <si>
    <t>AR0100004286</t>
  </si>
  <si>
    <t>AR0100004815</t>
  </si>
  <si>
    <t>AR0100006127</t>
  </si>
  <si>
    <t>AR0100006282</t>
  </si>
  <si>
    <t>AR0100007138</t>
  </si>
  <si>
    <t>AR0100007370</t>
  </si>
  <si>
    <t>AR0100007640</t>
  </si>
  <si>
    <t>AR0100007859</t>
  </si>
  <si>
    <t>AR0100008048</t>
  </si>
  <si>
    <t>AR0100008142</t>
  </si>
  <si>
    <t>AR0100009447</t>
  </si>
  <si>
    <t>AR0100009590</t>
  </si>
  <si>
    <t>AR0100010014</t>
  </si>
  <si>
    <t>AR0100010196</t>
  </si>
  <si>
    <t>AR0300005999</t>
  </si>
  <si>
    <t>AR0300006067</t>
  </si>
  <si>
    <t>AR0300007094</t>
  </si>
  <si>
    <t>AR0100009056</t>
  </si>
  <si>
    <t>AR0300005917</t>
  </si>
  <si>
    <t>AR0300011414</t>
  </si>
  <si>
    <t>AR0300034427</t>
  </si>
  <si>
    <t>406011305250</t>
  </si>
  <si>
    <t>406011306830</t>
  </si>
  <si>
    <t>406011307300</t>
  </si>
  <si>
    <t>406011308290</t>
  </si>
  <si>
    <t>406011308440</t>
  </si>
  <si>
    <t>406011308600</t>
  </si>
  <si>
    <t>406011308850</t>
  </si>
  <si>
    <t>406011309540</t>
  </si>
  <si>
    <t>406011801120</t>
  </si>
  <si>
    <t>406020302020</t>
  </si>
  <si>
    <t>406020302260</t>
  </si>
  <si>
    <t>406020302760</t>
  </si>
  <si>
    <t>406020303320</t>
  </si>
  <si>
    <t>406020304050</t>
  </si>
  <si>
    <t>406020304540</t>
  </si>
  <si>
    <t>406020304850</t>
  </si>
  <si>
    <t>406020304970</t>
  </si>
  <si>
    <t>406020306320</t>
  </si>
  <si>
    <t>406020307100</t>
  </si>
  <si>
    <t>406020307800</t>
  </si>
  <si>
    <t>AR0100000504</t>
  </si>
  <si>
    <t>AR0100000646</t>
  </si>
  <si>
    <t>AR0100000654</t>
  </si>
  <si>
    <t>AR0100001004</t>
  </si>
  <si>
    <t>AR0100002776</t>
  </si>
  <si>
    <t>AR0100005424</t>
  </si>
  <si>
    <t>AR0100005756</t>
  </si>
  <si>
    <t>AR0100005759</t>
  </si>
  <si>
    <t>AR0100006272</t>
  </si>
  <si>
    <t>AR0100001045</t>
  </si>
  <si>
    <t>AR0100002409</t>
  </si>
  <si>
    <t>AR0100005760</t>
  </si>
  <si>
    <t>AR0100006922</t>
  </si>
  <si>
    <t>AR0100007420</t>
  </si>
  <si>
    <t>AR0100007996</t>
  </si>
  <si>
    <t>AR0100008813</t>
  </si>
  <si>
    <t>AR0100009581</t>
  </si>
  <si>
    <t>AR0100009603</t>
  </si>
  <si>
    <t>AR0100009675</t>
  </si>
  <si>
    <t>AR0300003473</t>
  </si>
  <si>
    <t>AR0300006065</t>
  </si>
  <si>
    <t>AR0300007107</t>
  </si>
  <si>
    <t>AR0300034623</t>
  </si>
  <si>
    <t>406011300540</t>
  </si>
  <si>
    <t>406011300910</t>
  </si>
  <si>
    <t>406011302560</t>
  </si>
  <si>
    <t>406011303210</t>
  </si>
  <si>
    <t>406011308170</t>
  </si>
  <si>
    <t>406011308470</t>
  </si>
  <si>
    <t>406011800500</t>
  </si>
  <si>
    <t>406011801790</t>
  </si>
  <si>
    <t>406011802240</t>
  </si>
  <si>
    <t>406011803840</t>
  </si>
  <si>
    <t>406011803860</t>
  </si>
  <si>
    <t>406011804050</t>
  </si>
  <si>
    <t>406020301000</t>
  </si>
  <si>
    <t>406020301200</t>
  </si>
  <si>
    <t>406020301250</t>
  </si>
  <si>
    <t>406020301300</t>
  </si>
  <si>
    <t>406020301760</t>
  </si>
  <si>
    <t>406020302740</t>
  </si>
  <si>
    <t>406020305090</t>
  </si>
  <si>
    <t>406020305610</t>
  </si>
  <si>
    <t>406020305750</t>
  </si>
  <si>
    <t>406020305890</t>
  </si>
  <si>
    <t>406020306010</t>
  </si>
  <si>
    <t>406020306640</t>
  </si>
  <si>
    <t>406020307060</t>
  </si>
  <si>
    <t>406020307590</t>
  </si>
  <si>
    <t>406020307600</t>
  </si>
  <si>
    <t>406020800830</t>
  </si>
  <si>
    <t>406020801030</t>
  </si>
  <si>
    <t>AR0100000791</t>
  </si>
  <si>
    <t>AR0100004842</t>
  </si>
  <si>
    <t>AR0100005574</t>
  </si>
  <si>
    <t>AR0100007086</t>
  </si>
  <si>
    <t>AR0100007087</t>
  </si>
  <si>
    <t>AR0100007593</t>
  </si>
  <si>
    <t>AR0100007635</t>
  </si>
  <si>
    <t>AR0100007800</t>
  </si>
  <si>
    <t>AR0100008131</t>
  </si>
  <si>
    <t>AR0100008162</t>
  </si>
  <si>
    <t>AR0100009499</t>
  </si>
  <si>
    <t>AR0100010100</t>
  </si>
  <si>
    <t>AR0100010207</t>
  </si>
  <si>
    <t>AR0300007131</t>
  </si>
  <si>
    <t>AR0300007138</t>
  </si>
  <si>
    <t>AR0300010111</t>
  </si>
  <si>
    <t>AR0100005974</t>
  </si>
  <si>
    <t>AR0100006128</t>
  </si>
  <si>
    <t>AR0100006592</t>
  </si>
  <si>
    <t>AR0100006842</t>
  </si>
  <si>
    <t>AR0100008795</t>
  </si>
  <si>
    <t>AR0100009556</t>
  </si>
  <si>
    <t>AR0100009560</t>
  </si>
  <si>
    <t>AR0100009647</t>
  </si>
  <si>
    <t>AR0100010212</t>
  </si>
  <si>
    <t>AR0300006012</t>
  </si>
  <si>
    <t>AR0300010115</t>
  </si>
  <si>
    <t>AR0100007178</t>
  </si>
  <si>
    <t>AR0100007574</t>
  </si>
  <si>
    <t>AR0100007802</t>
  </si>
  <si>
    <t>AR0100009059</t>
  </si>
  <si>
    <t>AR0100009346</t>
  </si>
  <si>
    <t>AR0100009362</t>
  </si>
  <si>
    <t>AR0100009654</t>
  </si>
  <si>
    <t>AR0100010013</t>
  </si>
  <si>
    <t>AR0100010231</t>
  </si>
  <si>
    <t>AR0300005921</t>
  </si>
  <si>
    <t>AR0300006019</t>
  </si>
  <si>
    <t>AR0100007242</t>
  </si>
  <si>
    <t>AR0100007567</t>
  </si>
  <si>
    <t>AR0100008159</t>
  </si>
  <si>
    <t>AR0100008189</t>
  </si>
  <si>
    <t>AR0100008838</t>
  </si>
  <si>
    <t>AR0100009279</t>
  </si>
  <si>
    <t>AR0100009579</t>
  </si>
  <si>
    <t>AR0100009637</t>
  </si>
  <si>
    <t>AR0100009646</t>
  </si>
  <si>
    <t>AR0100010204</t>
  </si>
  <si>
    <t>AR0300005909</t>
  </si>
  <si>
    <t>AR0300005978</t>
  </si>
  <si>
    <t>AR0300005986</t>
  </si>
  <si>
    <t>AR0300006066</t>
  </si>
  <si>
    <t>AR0300034497</t>
  </si>
  <si>
    <t>406011300040</t>
  </si>
  <si>
    <t>406011300800</t>
  </si>
  <si>
    <t>406011301090</t>
  </si>
  <si>
    <t>406011301340</t>
  </si>
  <si>
    <t>406011304750</t>
  </si>
  <si>
    <t>406011304790</t>
  </si>
  <si>
    <t>406011308100</t>
  </si>
  <si>
    <t>406011308830</t>
  </si>
  <si>
    <t>406011309290</t>
  </si>
  <si>
    <t>406011309440</t>
  </si>
  <si>
    <t>406011801460</t>
  </si>
  <si>
    <t>406011801920</t>
  </si>
  <si>
    <t>406011802110</t>
  </si>
  <si>
    <t>406011802120</t>
  </si>
  <si>
    <t>406011802260</t>
  </si>
  <si>
    <t>406011803170</t>
  </si>
  <si>
    <t>406011803570</t>
  </si>
  <si>
    <t>406011803970</t>
  </si>
  <si>
    <t>406011804910</t>
  </si>
  <si>
    <t>406013400860</t>
  </si>
  <si>
    <t>406020300350</t>
  </si>
  <si>
    <t>406020300790</t>
  </si>
  <si>
    <t>406020301040</t>
  </si>
  <si>
    <t>406020301620</t>
  </si>
  <si>
    <t>406020302340</t>
  </si>
  <si>
    <t>406020303260</t>
  </si>
  <si>
    <t>406020303270</t>
  </si>
  <si>
    <t>406020303680</t>
  </si>
  <si>
    <t>406020303780</t>
  </si>
  <si>
    <t>406020303820</t>
  </si>
  <si>
    <t>406020303830</t>
  </si>
  <si>
    <t>406020304350</t>
  </si>
  <si>
    <t>406020305330</t>
  </si>
  <si>
    <t>406020305400</t>
  </si>
  <si>
    <t>406020306230</t>
  </si>
  <si>
    <t>406020306520</t>
  </si>
  <si>
    <t>406020307000</t>
  </si>
  <si>
    <t>406020307950</t>
  </si>
  <si>
    <t>406020308490</t>
  </si>
  <si>
    <t>406020800710</t>
  </si>
  <si>
    <t>406020800750</t>
  </si>
  <si>
    <t>406020800820</t>
  </si>
  <si>
    <t>406031100040</t>
  </si>
  <si>
    <t>AR0100000563</t>
  </si>
  <si>
    <t>Variación De Potencial</t>
  </si>
  <si>
    <t>AR0100000610</t>
  </si>
  <si>
    <t>AR0100000800</t>
  </si>
  <si>
    <t>AR0100000857</t>
  </si>
  <si>
    <t>AR0100000870</t>
  </si>
  <si>
    <t>AR0100000922</t>
  </si>
  <si>
    <t>AR0100001015</t>
  </si>
  <si>
    <t>AR0100001094</t>
  </si>
  <si>
    <t>AR0100002408</t>
  </si>
  <si>
    <t>AR0100002464</t>
  </si>
  <si>
    <t>AR0100004313</t>
  </si>
  <si>
    <t>AR0100004314</t>
  </si>
  <si>
    <t>AR0100004993</t>
  </si>
  <si>
    <t>AR0100005243</t>
  </si>
  <si>
    <t>AR0100006405</t>
  </si>
  <si>
    <t>AR0100006710</t>
  </si>
  <si>
    <t>AR0100006773</t>
  </si>
  <si>
    <t>406011303080</t>
  </si>
  <si>
    <t>406011303430</t>
  </si>
  <si>
    <t>406011304840</t>
  </si>
  <si>
    <t>406011305520</t>
  </si>
  <si>
    <t>406011309280</t>
  </si>
  <si>
    <t>406011309350</t>
  </si>
  <si>
    <t>406011800080</t>
  </si>
  <si>
    <t>406011801900</t>
  </si>
  <si>
    <t>406011802850</t>
  </si>
  <si>
    <t>406011803890</t>
  </si>
  <si>
    <t>406020300490</t>
  </si>
  <si>
    <t>406020301240</t>
  </si>
  <si>
    <t>406020301510</t>
  </si>
  <si>
    <t>406020303430</t>
  </si>
  <si>
    <t>406020303500</t>
  </si>
  <si>
    <t>406020304240</t>
  </si>
  <si>
    <t>406020305120</t>
  </si>
  <si>
    <t>406020306900</t>
  </si>
  <si>
    <t>406020307520</t>
  </si>
  <si>
    <t>406020308520</t>
  </si>
  <si>
    <t>406020800920</t>
  </si>
  <si>
    <t>406011301260</t>
  </si>
  <si>
    <t>406011302500</t>
  </si>
  <si>
    <t>406011305500</t>
  </si>
  <si>
    <t>406011305560</t>
  </si>
  <si>
    <t>406011305820</t>
  </si>
  <si>
    <t>406011306300</t>
  </si>
  <si>
    <t>406011306410</t>
  </si>
  <si>
    <t>406011307980</t>
  </si>
  <si>
    <t>406011801740</t>
  </si>
  <si>
    <t>406011802360</t>
  </si>
  <si>
    <t>406011803810</t>
  </si>
  <si>
    <t>406011804100</t>
  </si>
  <si>
    <t>406013400120</t>
  </si>
  <si>
    <t>406020301720</t>
  </si>
  <si>
    <t>406020303620</t>
  </si>
  <si>
    <t>406020304560</t>
  </si>
  <si>
    <t>406020305320</t>
  </si>
  <si>
    <t>AR0100000667</t>
  </si>
  <si>
    <t>AR0100000989</t>
  </si>
  <si>
    <t>AR0100001115</t>
  </si>
  <si>
    <t>AR0100001141</t>
  </si>
  <si>
    <t>AR0100004616</t>
  </si>
  <si>
    <t>AR0100004672</t>
  </si>
  <si>
    <t>AR0100001161</t>
  </si>
  <si>
    <t>AR0100002959</t>
  </si>
  <si>
    <t>AR0100004474</t>
  </si>
  <si>
    <t>AR0100004525</t>
  </si>
  <si>
    <t>AR0100004528</t>
  </si>
  <si>
    <t>AR0100005478</t>
  </si>
  <si>
    <t>AR0100005858</t>
  </si>
  <si>
    <t>AR0100006840</t>
  </si>
  <si>
    <t>AR0100006872</t>
  </si>
  <si>
    <t>AR0100007676</t>
  </si>
  <si>
    <t>AR0100007770</t>
  </si>
  <si>
    <t>AR0100007919</t>
  </si>
  <si>
    <t>AR0100007933</t>
  </si>
  <si>
    <t>AR0100009010</t>
  </si>
  <si>
    <t>AR0100009308</t>
  </si>
  <si>
    <t>AR0100009382</t>
  </si>
  <si>
    <t>AR0300007123</t>
  </si>
  <si>
    <t>AR0300010029</t>
  </si>
  <si>
    <t>AR0300027627</t>
  </si>
  <si>
    <t>AR0100000612</t>
  </si>
  <si>
    <t>AR0100000616</t>
  </si>
  <si>
    <t>AR0100000650</t>
  </si>
  <si>
    <t>AR0100001032</t>
  </si>
  <si>
    <t>AR0100001083</t>
  </si>
  <si>
    <t>AR0100002452</t>
  </si>
  <si>
    <t>AR0100004318</t>
  </si>
  <si>
    <t>AR0100004675</t>
  </si>
  <si>
    <t>AR0100005094</t>
  </si>
  <si>
    <t>AR0100005101</t>
  </si>
  <si>
    <t>AR0100005326</t>
  </si>
  <si>
    <t>AR0100005401</t>
  </si>
  <si>
    <t>AR0100006714</t>
  </si>
  <si>
    <t>AR0100007336</t>
  </si>
  <si>
    <t>AR0100007571</t>
  </si>
  <si>
    <t>AR0100007786</t>
  </si>
  <si>
    <t>AR0100007926</t>
  </si>
  <si>
    <t>AR0100008035</t>
  </si>
  <si>
    <t>AR0100008134</t>
  </si>
  <si>
    <t>Control Corregido</t>
  </si>
  <si>
    <t>AR0100008147</t>
  </si>
  <si>
    <t>AR0100009306</t>
  </si>
  <si>
    <t>AR0100009649</t>
  </si>
  <si>
    <t>AR0100010240</t>
  </si>
  <si>
    <t>AR0300006911</t>
  </si>
  <si>
    <t>AR0100005766</t>
  </si>
  <si>
    <t>AR0100006207</t>
  </si>
  <si>
    <t>AR0100006274</t>
  </si>
  <si>
    <t>AR0100006726</t>
  </si>
  <si>
    <t>AR0100006915</t>
  </si>
  <si>
    <t>AR0100007177</t>
  </si>
  <si>
    <t>AR0100007226</t>
  </si>
  <si>
    <t>AR0100007637</t>
  </si>
  <si>
    <t>AR0100007783</t>
  </si>
  <si>
    <t>AR0100008141</t>
  </si>
  <si>
    <t>AR0100008154</t>
  </si>
  <si>
    <t>AR0100009607</t>
  </si>
  <si>
    <t>AR0300006014</t>
  </si>
  <si>
    <t>AR0300006036</t>
  </si>
  <si>
    <t>AR0300006038</t>
  </si>
  <si>
    <t>AR0300028611</t>
  </si>
  <si>
    <t>406011301650</t>
  </si>
  <si>
    <t>406011301850</t>
  </si>
  <si>
    <t>406011302690</t>
  </si>
  <si>
    <t>406011306090</t>
  </si>
  <si>
    <t>406011306350</t>
  </si>
  <si>
    <t>406011308560</t>
  </si>
  <si>
    <t>406011308920</t>
  </si>
  <si>
    <t>406011803370</t>
  </si>
  <si>
    <t>406011803580</t>
  </si>
  <si>
    <t>406011805080</t>
  </si>
  <si>
    <t>406019800500</t>
  </si>
  <si>
    <t>406020301440</t>
  </si>
  <si>
    <t>406020305040</t>
  </si>
  <si>
    <t>406020305380</t>
  </si>
  <si>
    <t>406020305470</t>
  </si>
  <si>
    <t>406020305590</t>
  </si>
  <si>
    <t>406011301270</t>
  </si>
  <si>
    <t>406011302790</t>
  </si>
  <si>
    <t>406011305760</t>
  </si>
  <si>
    <t>406011307030</t>
  </si>
  <si>
    <t>406011308200</t>
  </si>
  <si>
    <t>406011803280</t>
  </si>
  <si>
    <t>406011803550</t>
  </si>
  <si>
    <t>406011804300</t>
  </si>
  <si>
    <t>406011805040</t>
  </si>
  <si>
    <t>406013400880</t>
  </si>
  <si>
    <t>406013405390</t>
  </si>
  <si>
    <t>406020300140</t>
  </si>
  <si>
    <t>406020300230</t>
  </si>
  <si>
    <t>406020300880</t>
  </si>
  <si>
    <t>406020302190</t>
  </si>
  <si>
    <t>406020303550</t>
  </si>
  <si>
    <t>406020303590</t>
  </si>
  <si>
    <t>406020304220</t>
  </si>
  <si>
    <t>406020304890</t>
  </si>
  <si>
    <t>406020305340</t>
  </si>
  <si>
    <t>406020306560</t>
  </si>
  <si>
    <t>406020306920</t>
  </si>
  <si>
    <t>406020306980</t>
  </si>
  <si>
    <t>406020307290</t>
  </si>
  <si>
    <t>406030500020</t>
  </si>
  <si>
    <t>AR0100000656</t>
  </si>
  <si>
    <t>AR0100002458</t>
  </si>
  <si>
    <t>AR0100002804</t>
  </si>
  <si>
    <t>AR0100000677</t>
  </si>
  <si>
    <t>AR0100000924</t>
  </si>
  <si>
    <t>AR0100001088</t>
  </si>
  <si>
    <t>AR0100004992</t>
  </si>
  <si>
    <t>AR0100005665</t>
  </si>
  <si>
    <t>AR0100006475</t>
  </si>
  <si>
    <t>AR0100006730</t>
  </si>
  <si>
    <t>AR0100007890</t>
  </si>
  <si>
    <t>AR0100008725</t>
  </si>
  <si>
    <t>AR0100010024</t>
  </si>
  <si>
    <t>AR0100010194</t>
  </si>
  <si>
    <t>AR0300007097</t>
  </si>
  <si>
    <t>AR0300027632</t>
  </si>
  <si>
    <t>AR0100004832</t>
  </si>
  <si>
    <t>AR0100005305</t>
  </si>
  <si>
    <t>AR0100005476</t>
  </si>
  <si>
    <t>AR0100005901</t>
  </si>
  <si>
    <t>AR0100006725</t>
  </si>
  <si>
    <t>AR0100007573</t>
  </si>
  <si>
    <t>AR0100007768</t>
  </si>
  <si>
    <t>AR0100007801</t>
  </si>
  <si>
    <t>AR0100008128</t>
  </si>
  <si>
    <t>AR0100009048</t>
  </si>
  <si>
    <t>AR0100009361</t>
  </si>
  <si>
    <t>AR0100009378</t>
  </si>
  <si>
    <t>AR0300006004</t>
  </si>
  <si>
    <t>AR0300009264</t>
  </si>
  <si>
    <t>406011308020</t>
  </si>
  <si>
    <t>406011308260</t>
  </si>
  <si>
    <t>406011800140</t>
  </si>
  <si>
    <t>406011804310</t>
  </si>
  <si>
    <t>406011804820</t>
  </si>
  <si>
    <t>406013404530</t>
  </si>
  <si>
    <t>406019800570</t>
  </si>
  <si>
    <t>406020301280</t>
  </si>
  <si>
    <t>406020303330</t>
  </si>
  <si>
    <t>406020303520</t>
  </si>
  <si>
    <t>406020305660</t>
  </si>
  <si>
    <t>406020306540</t>
  </si>
  <si>
    <t>406020307370</t>
  </si>
  <si>
    <t>406020307400</t>
  </si>
  <si>
    <t>406020308120</t>
  </si>
  <si>
    <t>406020302640</t>
  </si>
  <si>
    <t>406020302660</t>
  </si>
  <si>
    <t>406020304280</t>
  </si>
  <si>
    <t>406020305210</t>
  </si>
  <si>
    <t>406020305820</t>
  </si>
  <si>
    <t>406020307940</t>
  </si>
  <si>
    <t>406020800600</t>
  </si>
  <si>
    <t>406020800650</t>
  </si>
  <si>
    <t>406032000020</t>
  </si>
  <si>
    <t>AR0100000906</t>
  </si>
  <si>
    <t>AR0100000917</t>
  </si>
  <si>
    <t>AR0100002768</t>
  </si>
  <si>
    <t>AR0100004394</t>
  </si>
  <si>
    <t>AR0100005578</t>
  </si>
  <si>
    <t>406011303510</t>
  </si>
  <si>
    <t>406011305740</t>
  </si>
  <si>
    <t>406011307370</t>
  </si>
  <si>
    <t>406011308930</t>
  </si>
  <si>
    <t>406011800120</t>
  </si>
  <si>
    <t>406011803520</t>
  </si>
  <si>
    <t>406011804320</t>
  </si>
  <si>
    <t>406020300800</t>
  </si>
  <si>
    <t>406020300870</t>
  </si>
  <si>
    <t>406020301150</t>
  </si>
  <si>
    <t>406020302410</t>
  </si>
  <si>
    <t>406020302450</t>
  </si>
  <si>
    <t>406020302980</t>
  </si>
  <si>
    <t>406020304430</t>
  </si>
  <si>
    <t>406020305360</t>
  </si>
  <si>
    <t>406020307340</t>
  </si>
  <si>
    <t>406020307620</t>
  </si>
  <si>
    <t>406020307720</t>
  </si>
  <si>
    <t>406020308060</t>
  </si>
  <si>
    <t>AR0100004283</t>
  </si>
  <si>
    <t>AR0100004486</t>
  </si>
  <si>
    <t>AR0100004829</t>
  </si>
  <si>
    <t>AR0100004994</t>
  </si>
  <si>
    <t>AR0100005287</t>
  </si>
  <si>
    <t>406011301190</t>
  </si>
  <si>
    <t>AR0100009058</t>
  </si>
  <si>
    <t>AR0100009334</t>
  </si>
  <si>
    <t>AR0100009446</t>
  </si>
  <si>
    <t>AR0100009465</t>
  </si>
  <si>
    <t>AR0100009588</t>
  </si>
  <si>
    <t>AR0100009595</t>
  </si>
  <si>
    <t>AR0100009657</t>
  </si>
  <si>
    <t>AR0100010186</t>
  </si>
  <si>
    <t>AR0100010193</t>
  </si>
  <si>
    <t>AR0100010205</t>
  </si>
  <si>
    <t>AR0100010225</t>
  </si>
  <si>
    <t>AR0100010262</t>
  </si>
  <si>
    <t>AR0100010300</t>
  </si>
  <si>
    <t>AR0100010361</t>
  </si>
  <si>
    <t>AR0300005907</t>
  </si>
  <si>
    <t>AR0300007111</t>
  </si>
  <si>
    <t>AR0300007129</t>
  </si>
  <si>
    <t>AR0300034625</t>
  </si>
  <si>
    <t>AR0300034843</t>
  </si>
  <si>
    <t>406011301380</t>
  </si>
  <si>
    <t>406011301480</t>
  </si>
  <si>
    <t>406011302760</t>
  </si>
  <si>
    <t>406011305270</t>
  </si>
  <si>
    <t>406011305800</t>
  </si>
  <si>
    <t>406011306920</t>
  </si>
  <si>
    <t>406011801890</t>
  </si>
  <si>
    <t>406011804230</t>
  </si>
  <si>
    <t>406011804630</t>
  </si>
  <si>
    <t>406011804770</t>
  </si>
  <si>
    <t>406013404520</t>
  </si>
  <si>
    <t>406020300780</t>
  </si>
  <si>
    <t>406020301020</t>
  </si>
  <si>
    <t>406020301530</t>
  </si>
  <si>
    <t>406020302420</t>
  </si>
  <si>
    <t>406020302470</t>
  </si>
  <si>
    <t>406020303000</t>
  </si>
  <si>
    <t>406020303440</t>
  </si>
  <si>
    <t>406020303930</t>
  </si>
  <si>
    <t>406020304080</t>
  </si>
  <si>
    <t>406020304260</t>
  </si>
  <si>
    <t>406020304600</t>
  </si>
  <si>
    <t>406020305350</t>
  </si>
  <si>
    <t>406020305650</t>
  </si>
  <si>
    <t>406020305780</t>
  </si>
  <si>
    <t>406020305930</t>
  </si>
  <si>
    <t>406020306710</t>
  </si>
  <si>
    <t>406020307160</t>
  </si>
  <si>
    <t>406020307220</t>
  </si>
  <si>
    <t>406020307440</t>
  </si>
  <si>
    <t>406020307790</t>
  </si>
  <si>
    <t>406020308190</t>
  </si>
  <si>
    <t>406020308220</t>
  </si>
  <si>
    <t>406020308330</t>
  </si>
  <si>
    <t>406020800740</t>
  </si>
  <si>
    <t>406020800800</t>
  </si>
  <si>
    <t>406032000030</t>
  </si>
  <si>
    <t>AR0100000711</t>
  </si>
  <si>
    <t>AR0100000727</t>
  </si>
  <si>
    <t>AR0100000804</t>
  </si>
  <si>
    <t>AR0100000869</t>
  </si>
  <si>
    <t>AR0100001006</t>
  </si>
  <si>
    <t>AR0100002278</t>
  </si>
  <si>
    <t>AR0100002890</t>
  </si>
  <si>
    <t>AR0100004614</t>
  </si>
  <si>
    <t>AR0100004660</t>
  </si>
  <si>
    <t>AR0100004845</t>
  </si>
  <si>
    <t>AR0100004914</t>
  </si>
  <si>
    <t>AR0100005638</t>
  </si>
  <si>
    <t>AR0100005738</t>
  </si>
  <si>
    <t>AR0100005975</t>
  </si>
  <si>
    <t>AR0100005978</t>
  </si>
  <si>
    <t>AR0100006436</t>
  </si>
  <si>
    <t>AR0100006581</t>
  </si>
  <si>
    <t>AR0100006728</t>
  </si>
  <si>
    <t>AR0100006871</t>
  </si>
  <si>
    <t>AR0100006916</t>
  </si>
  <si>
    <t>AR0100007350</t>
  </si>
  <si>
    <t>AR0100007769</t>
  </si>
  <si>
    <t>AR0100007936</t>
  </si>
  <si>
    <t>AR0100008051</t>
  </si>
  <si>
    <t>AR0100008187</t>
  </si>
  <si>
    <t>AR0100008642</t>
  </si>
  <si>
    <t>AR0100008668</t>
  </si>
  <si>
    <t>AR0300007140</t>
  </si>
  <si>
    <t>AR0300009481</t>
  </si>
  <si>
    <t>406011302110</t>
  </si>
  <si>
    <t>406011305080</t>
  </si>
  <si>
    <t>406011306010</t>
  </si>
  <si>
    <t>406011306340</t>
  </si>
  <si>
    <t>406011306950</t>
  </si>
  <si>
    <t>406011307040</t>
  </si>
  <si>
    <t>406011308270</t>
  </si>
  <si>
    <t>406011308350</t>
  </si>
  <si>
    <t>406011308360</t>
  </si>
  <si>
    <t>406011309460</t>
  </si>
  <si>
    <t>406011309620</t>
  </si>
  <si>
    <t>406011803630</t>
  </si>
  <si>
    <t>406011804070</t>
  </si>
  <si>
    <t>406011804520</t>
  </si>
  <si>
    <t>406013400850</t>
  </si>
  <si>
    <t>406020300750</t>
  </si>
  <si>
    <t>406020301010</t>
  </si>
  <si>
    <t>406020304740</t>
  </si>
  <si>
    <t>406020305850</t>
  </si>
  <si>
    <t>406020307250</t>
  </si>
  <si>
    <t>AR0100002769</t>
  </si>
  <si>
    <t>AR0100004799</t>
  </si>
  <si>
    <t>AR0100005027</t>
  </si>
  <si>
    <t>AR0100005327</t>
  </si>
  <si>
    <t>AR0100006224</t>
  </si>
  <si>
    <t>AR0100006281</t>
  </si>
  <si>
    <t>AR0100007224</t>
  </si>
  <si>
    <t>AR0100009330</t>
  </si>
  <si>
    <t>AR0100009418</t>
  </si>
  <si>
    <t>AR0100009635</t>
  </si>
  <si>
    <t>AR0100009686</t>
  </si>
  <si>
    <t>AR0100010113</t>
  </si>
  <si>
    <t>AR0100004742</t>
  </si>
  <si>
    <t>AR0100004791</t>
  </si>
  <si>
    <t>AR0100004915</t>
  </si>
  <si>
    <t>AR0100005067</t>
  </si>
  <si>
    <t>AR0100006972</t>
  </si>
  <si>
    <t>AR0100007126</t>
  </si>
  <si>
    <t>AR0100007605</t>
  </si>
  <si>
    <t>AR0100004973</t>
  </si>
  <si>
    <t>AR0100005358</t>
  </si>
  <si>
    <t>AR0100005469</t>
  </si>
  <si>
    <t>AR0100006270</t>
  </si>
  <si>
    <t>AR0100007127</t>
  </si>
  <si>
    <t>AR0100007577</t>
  </si>
  <si>
    <t>AR0100008033</t>
  </si>
  <si>
    <t>AR0100008161</t>
  </si>
  <si>
    <t>AR0100009513</t>
  </si>
  <si>
    <t>AR0300006008</t>
  </si>
  <si>
    <t>AR0300007118</t>
  </si>
  <si>
    <t>AR0300028612</t>
  </si>
  <si>
    <t>AR0300032674</t>
  </si>
  <si>
    <t>AR0300032676</t>
  </si>
  <si>
    <t>AR0300034412</t>
  </si>
  <si>
    <t>AR0100009050</t>
  </si>
  <si>
    <t>AR0100009528</t>
  </si>
  <si>
    <t>AR0100010293</t>
  </si>
  <si>
    <t>AR0300005995</t>
  </si>
  <si>
    <t>AR0300009318</t>
  </si>
  <si>
    <t>AR0300032675</t>
  </si>
  <si>
    <t>406011301320</t>
  </si>
  <si>
    <t>406011302860</t>
  </si>
  <si>
    <t>406011305260</t>
  </si>
  <si>
    <t>406011305860</t>
  </si>
  <si>
    <t>406011305960</t>
  </si>
  <si>
    <t>406011307380</t>
  </si>
  <si>
    <t>406011309470</t>
  </si>
  <si>
    <t>406011800110</t>
  </si>
  <si>
    <t>406011800990</t>
  </si>
  <si>
    <t>406011801000</t>
  </si>
  <si>
    <t>406011802710</t>
  </si>
  <si>
    <t>406011803900</t>
  </si>
  <si>
    <t>406011804220</t>
  </si>
  <si>
    <t>406011804290</t>
  </si>
  <si>
    <t>406011805180</t>
  </si>
  <si>
    <t>406020300900</t>
  </si>
  <si>
    <t>406020301060</t>
  </si>
  <si>
    <t>406020301350</t>
  </si>
  <si>
    <t>406020301570</t>
  </si>
  <si>
    <t>406020301910</t>
  </si>
  <si>
    <t>406020301990</t>
  </si>
  <si>
    <t>406020302480</t>
  </si>
  <si>
    <t>406020302590</t>
  </si>
  <si>
    <t>406020302960</t>
  </si>
  <si>
    <t>406020304580</t>
  </si>
  <si>
    <t>406020304860</t>
  </si>
  <si>
    <t>406020304880</t>
  </si>
  <si>
    <t>406020304950</t>
  </si>
  <si>
    <t>406020306160</t>
  </si>
  <si>
    <t>406020307030</t>
  </si>
  <si>
    <t>406020308300</t>
  </si>
  <si>
    <t>406020800720</t>
  </si>
  <si>
    <t>AR0100000653</t>
  </si>
  <si>
    <t>AR0100000816</t>
  </si>
  <si>
    <t>AR0100001022</t>
  </si>
  <si>
    <t>AR0100001024</t>
  </si>
  <si>
    <t>AR0100001121</t>
  </si>
  <si>
    <t>AR0100002770</t>
  </si>
  <si>
    <t>406011300050</t>
  </si>
  <si>
    <t>406011301710</t>
  </si>
  <si>
    <t>406011302660</t>
  </si>
  <si>
    <t>406011303990</t>
  </si>
  <si>
    <t>406011305600</t>
  </si>
  <si>
    <t>406011307180</t>
  </si>
  <si>
    <t>406011308490</t>
  </si>
  <si>
    <t>406011309130</t>
  </si>
  <si>
    <t>406011801950</t>
  </si>
  <si>
    <t>406011802460</t>
  </si>
  <si>
    <t>406011805170</t>
  </si>
  <si>
    <t>406020300590</t>
  </si>
  <si>
    <t>406020301120</t>
  </si>
  <si>
    <t>406020306070</t>
  </si>
  <si>
    <t>406020306390</t>
  </si>
  <si>
    <t>406020306460</t>
  </si>
  <si>
    <t>406020307170</t>
  </si>
  <si>
    <t>406020307420</t>
  </si>
  <si>
    <t>406020308150</t>
  </si>
  <si>
    <t>AR0100000666</t>
  </si>
  <si>
    <t>AR0100000753</t>
  </si>
  <si>
    <t>AR0100001002</t>
  </si>
  <si>
    <t>AR0100002290</t>
  </si>
  <si>
    <t>406011307010</t>
  </si>
  <si>
    <t>406011308750</t>
  </si>
  <si>
    <t>406011803010</t>
  </si>
  <si>
    <t>406011804240</t>
  </si>
  <si>
    <t>406011804660</t>
  </si>
  <si>
    <t>406020304900</t>
  </si>
  <si>
    <t>406020306210</t>
  </si>
  <si>
    <t>406020307680</t>
  </si>
  <si>
    <t>406020800620</t>
  </si>
  <si>
    <t>406020801020</t>
  </si>
  <si>
    <t>AR0100000786</t>
  </si>
  <si>
    <t>AR0100000829</t>
  </si>
  <si>
    <t>AR0100000891</t>
  </si>
  <si>
    <t>AR0100001116</t>
  </si>
  <si>
    <t>AR0100001155</t>
  </si>
  <si>
    <t>AR0100002767</t>
  </si>
  <si>
    <t>AR0100004393</t>
  </si>
  <si>
    <t>AR0100004527</t>
  </si>
  <si>
    <t>AR0100005383</t>
  </si>
  <si>
    <t>AR0100005502</t>
  </si>
  <si>
    <t>AR0100007432</t>
  </si>
  <si>
    <t>AR0100009549</t>
  </si>
  <si>
    <t>AR0100010121</t>
  </si>
  <si>
    <t>AR0100010255</t>
  </si>
  <si>
    <t>AR0300006015</t>
  </si>
  <si>
    <t>AR0300007121</t>
  </si>
  <si>
    <t>AR0300007150</t>
  </si>
  <si>
    <t>AR0100006712</t>
  </si>
  <si>
    <t>AR0100006824</t>
  </si>
  <si>
    <t>AR0100009221</t>
  </si>
  <si>
    <t>AR0100009292</t>
  </si>
  <si>
    <t>AR0100009479</t>
  </si>
  <si>
    <t>AR0100009713</t>
  </si>
  <si>
    <t>AR0300006063</t>
  </si>
  <si>
    <t>AR0300006909</t>
  </si>
  <si>
    <t>AR0300007149</t>
  </si>
  <si>
    <t>AR0300027626</t>
  </si>
  <si>
    <t>AR0300034408</t>
  </si>
  <si>
    <t>AR0300034626</t>
  </si>
  <si>
    <t>AR0100009042</t>
  </si>
  <si>
    <t>AR0100010022</t>
  </si>
  <si>
    <t>AR0100010727</t>
  </si>
  <si>
    <t>AR0300003432</t>
  </si>
  <si>
    <t>AR0300003433</t>
  </si>
  <si>
    <t>AR0300006061</t>
  </si>
  <si>
    <t>AR0100009006</t>
  </si>
  <si>
    <t>AR0100009300</t>
  </si>
  <si>
    <t>AR0100009518</t>
  </si>
  <si>
    <t>AR0100010203</t>
  </si>
  <si>
    <t>AR0300006016</t>
  </si>
  <si>
    <t>AR0300007155</t>
  </si>
  <si>
    <t>AR0300007168</t>
  </si>
  <si>
    <t>AR0300009491</t>
  </si>
  <si>
    <t>AR0100009037</t>
  </si>
  <si>
    <t>AR0100009065</t>
  </si>
  <si>
    <t>AR0100009282</t>
  </si>
  <si>
    <t>AR0100009514</t>
  </si>
  <si>
    <t>AR0100009583</t>
  </si>
  <si>
    <t>AR0100009659</t>
  </si>
  <si>
    <t>AR0300003281</t>
  </si>
  <si>
    <t>AR0300003475</t>
  </si>
  <si>
    <t>AR0300005911</t>
  </si>
  <si>
    <t>AR0300005940</t>
  </si>
  <si>
    <t>AR0300032669</t>
  </si>
  <si>
    <t>AR0300006453</t>
  </si>
  <si>
    <t>AR0100006265</t>
  </si>
  <si>
    <t>AR0100006841</t>
  </si>
  <si>
    <t>AR0300005991</t>
  </si>
  <si>
    <t>AR0300005992</t>
  </si>
  <si>
    <t>AR0300007108</t>
  </si>
  <si>
    <t>406020301560</t>
  </si>
  <si>
    <t>406020301960</t>
  </si>
  <si>
    <t>406020303490</t>
  </si>
  <si>
    <t>406020304710</t>
  </si>
  <si>
    <t>406020304840</t>
  </si>
  <si>
    <t>406020306860</t>
  </si>
  <si>
    <t>406020308140</t>
  </si>
  <si>
    <t>406032000040</t>
  </si>
  <si>
    <t>AR0100000647</t>
  </si>
  <si>
    <t>AR0100000649</t>
  </si>
  <si>
    <t>AR0100000826</t>
  </si>
  <si>
    <t>AR0100000903</t>
  </si>
  <si>
    <t>AR0100000992</t>
  </si>
  <si>
    <t>AR0100001147</t>
  </si>
  <si>
    <t>AR0100001152</t>
  </si>
  <si>
    <t>AR0100007176</t>
  </si>
  <si>
    <t>AR0100007566</t>
  </si>
  <si>
    <t>AR0100008811</t>
  </si>
  <si>
    <t>AR0100009478</t>
  </si>
  <si>
    <t>AR0100010101</t>
  </si>
  <si>
    <t>AR0100010217</t>
  </si>
  <si>
    <t>AR0100010235</t>
  </si>
  <si>
    <t>AR0300003308</t>
  </si>
  <si>
    <t>AR0300006000</t>
  </si>
  <si>
    <t>AR0300006007</t>
  </si>
  <si>
    <t>406011301350</t>
  </si>
  <si>
    <t>406011302140</t>
  </si>
  <si>
    <t>406011306080</t>
  </si>
  <si>
    <t>406011306320</t>
  </si>
  <si>
    <t>406011306500</t>
  </si>
  <si>
    <t>406011307170</t>
  </si>
  <si>
    <t>406011800900</t>
  </si>
  <si>
    <t>406011801500</t>
  </si>
  <si>
    <t>406011802180</t>
  </si>
  <si>
    <t>406011804140</t>
  </si>
  <si>
    <t>406011804380</t>
  </si>
  <si>
    <t>406011804500</t>
  </si>
  <si>
    <t>406014700040</t>
  </si>
  <si>
    <t>406020302150</t>
  </si>
  <si>
    <t>406020304490</t>
  </si>
  <si>
    <t>406020305100</t>
  </si>
  <si>
    <t>406020306440</t>
  </si>
  <si>
    <t>406020306760</t>
  </si>
  <si>
    <t>406020307820</t>
  </si>
  <si>
    <t>406020307970</t>
  </si>
  <si>
    <t>406020308470</t>
  </si>
  <si>
    <t>406020800500</t>
  </si>
  <si>
    <t>406020800990</t>
  </si>
  <si>
    <t>406020801010</t>
  </si>
  <si>
    <t>406032000010</t>
  </si>
  <si>
    <t>AR0100000513</t>
  </si>
  <si>
    <t>AR0100000873</t>
  </si>
  <si>
    <t>AR0100000908</t>
  </si>
  <si>
    <t>AR0100001117</t>
  </si>
  <si>
    <t>AR0100001119</t>
  </si>
  <si>
    <t>406011302130</t>
  </si>
  <si>
    <t>406011302210</t>
  </si>
  <si>
    <t>406011302710</t>
  </si>
  <si>
    <t>406011305090</t>
  </si>
  <si>
    <t>406011305850</t>
  </si>
  <si>
    <t>406011308550</t>
  </si>
  <si>
    <t>406011800880</t>
  </si>
  <si>
    <t>406011802900</t>
  </si>
  <si>
    <t>406011804850</t>
  </si>
  <si>
    <t>406020304830</t>
  </si>
  <si>
    <t>406020305910</t>
  </si>
  <si>
    <t>406020306120</t>
  </si>
  <si>
    <t>406020306380</t>
  </si>
  <si>
    <t>406020306740</t>
  </si>
  <si>
    <t>406020307380</t>
  </si>
  <si>
    <t>AR0100005088</t>
  </si>
  <si>
    <t>AR0100005381</t>
  </si>
  <si>
    <t>AR0100005616</t>
  </si>
  <si>
    <t>AR0100006914</t>
  </si>
  <si>
    <t>AR0100006982</t>
  </si>
  <si>
    <t>AR0100007608</t>
  </si>
  <si>
    <t>AR0100008037</t>
  </si>
  <si>
    <t>AR0100009522</t>
  </si>
  <si>
    <t>AR0100010211</t>
  </si>
  <si>
    <t>AR0100010233</t>
  </si>
  <si>
    <t>AR0100010729</t>
  </si>
  <si>
    <t>AR0300005974</t>
  </si>
  <si>
    <t>AR0300005976</t>
  </si>
  <si>
    <t>AR0300028615</t>
  </si>
  <si>
    <t>AR0100007213</t>
  </si>
  <si>
    <t>406011302160</t>
  </si>
  <si>
    <t>406011302460</t>
  </si>
  <si>
    <t>406011306440</t>
  </si>
  <si>
    <t>406011307990</t>
  </si>
  <si>
    <t>406011308630</t>
  </si>
  <si>
    <t>406011309040</t>
  </si>
  <si>
    <t>406011801930</t>
  </si>
  <si>
    <t>406011802030</t>
  </si>
  <si>
    <t>406020300510</t>
  </si>
  <si>
    <t>406020301700</t>
  </si>
  <si>
    <t>406020302300</t>
  </si>
  <si>
    <t>406020302670</t>
  </si>
  <si>
    <t>406020303110</t>
  </si>
  <si>
    <t>406020303470</t>
  </si>
  <si>
    <t>406020305200</t>
  </si>
  <si>
    <t>406020306330</t>
  </si>
  <si>
    <t>406020308260</t>
  </si>
  <si>
    <t>AR0100000554</t>
  </si>
  <si>
    <t>AR0100000754</t>
  </si>
  <si>
    <t>AR0100000933</t>
  </si>
  <si>
    <t>AR0100002459</t>
  </si>
  <si>
    <t>AR0100002772</t>
  </si>
  <si>
    <t>AR0100006288</t>
  </si>
  <si>
    <t>AR0100006419</t>
  </si>
  <si>
    <t>AR0100007780</t>
  </si>
  <si>
    <t>AR0100008144</t>
  </si>
  <si>
    <t>AR0100008163</t>
  </si>
  <si>
    <t>AR0100008171</t>
  </si>
  <si>
    <t>AR0100008787</t>
  </si>
  <si>
    <t>AR0100010150</t>
  </si>
  <si>
    <t>AR0100010187</t>
  </si>
  <si>
    <t>AR0100010728</t>
  </si>
  <si>
    <t>AR0300005903</t>
  </si>
  <si>
    <t>AR0300010385</t>
  </si>
  <si>
    <t>AR0300026356</t>
  </si>
  <si>
    <t>AR0100000904</t>
  </si>
  <si>
    <t>AR0100001097</t>
  </si>
  <si>
    <t>AR0100002800</t>
  </si>
  <si>
    <t>AR0100002927</t>
  </si>
  <si>
    <t>AR0100005664</t>
  </si>
  <si>
    <t>AR0100006476</t>
  </si>
  <si>
    <t>AR0100007784</t>
  </si>
  <si>
    <t>AR0100008050</t>
  </si>
  <si>
    <t>AR0100009277</t>
  </si>
  <si>
    <t>AR0100010276</t>
  </si>
  <si>
    <t>AR0100010296</t>
  </si>
  <si>
    <t>AR0100010614</t>
  </si>
  <si>
    <t>AR0300006001</t>
  </si>
  <si>
    <t>AR0300006010</t>
  </si>
  <si>
    <t>406011306210</t>
  </si>
  <si>
    <t>406011306270</t>
  </si>
  <si>
    <t>406011308040</t>
  </si>
  <si>
    <t>406011308810</t>
  </si>
  <si>
    <t>406011308900</t>
  </si>
  <si>
    <t>406011309380</t>
  </si>
  <si>
    <t>406011800600</t>
  </si>
  <si>
    <t>406011803910</t>
  </si>
  <si>
    <t>406011803980</t>
  </si>
  <si>
    <t>406011804440</t>
  </si>
  <si>
    <t>406011804880</t>
  </si>
  <si>
    <t>406013400200</t>
  </si>
  <si>
    <t>406011301440</t>
  </si>
  <si>
    <t>406011302540</t>
  </si>
  <si>
    <t>406011307760</t>
  </si>
  <si>
    <t>406011308390</t>
  </si>
  <si>
    <t>406011308760</t>
  </si>
  <si>
    <t>406011800830</t>
  </si>
  <si>
    <t>406011801850</t>
  </si>
  <si>
    <t>406011803650</t>
  </si>
  <si>
    <t>AR0100009008</t>
  </si>
  <si>
    <t>AR0100009615</t>
  </si>
  <si>
    <t>AR0100010195</t>
  </si>
  <si>
    <t>AR0300005925</t>
  </si>
  <si>
    <t>AR0300006013</t>
  </si>
  <si>
    <t>AR0300034631</t>
  </si>
  <si>
    <t>AR0100006000</t>
  </si>
  <si>
    <t>AR0100006277</t>
  </si>
  <si>
    <t>AR0100006283</t>
  </si>
  <si>
    <t>AR0100006833</t>
  </si>
  <si>
    <t>AR0100007129</t>
  </si>
  <si>
    <t>AR0100007410</t>
  </si>
  <si>
    <t>AR0100007760</t>
  </si>
  <si>
    <t>AR0100007892</t>
  </si>
  <si>
    <t>AR0100008136</t>
  </si>
  <si>
    <t>AR0100008148</t>
  </si>
  <si>
    <t>AR0100008188</t>
  </si>
  <si>
    <t>AR0100008696</t>
  </si>
  <si>
    <t>AR0100009033</t>
  </si>
  <si>
    <t>AR0100009055</t>
  </si>
  <si>
    <t>AR0100009289</t>
  </si>
  <si>
    <t>AR0100009393</t>
  </si>
  <si>
    <t>AR0100009610</t>
  </si>
  <si>
    <t>AR0100009645</t>
  </si>
  <si>
    <t>AR0100009660</t>
  </si>
  <si>
    <t>AR0100009677</t>
  </si>
  <si>
    <t>AR0100010302</t>
  </si>
  <si>
    <t>AR0100006711</t>
  </si>
  <si>
    <t>AR0100007279</t>
  </si>
  <si>
    <t>AR0100007578</t>
  </si>
  <si>
    <t>AR0100007862</t>
  </si>
  <si>
    <t>AR0100007882</t>
  </si>
  <si>
    <t>AR0100007916</t>
  </si>
  <si>
    <t>AR0100008165</t>
  </si>
  <si>
    <t>AR0100008808</t>
  </si>
  <si>
    <t>AR0100008842</t>
  </si>
  <si>
    <t>AR0100008848</t>
  </si>
  <si>
    <t>AR0100008974</t>
  </si>
  <si>
    <t>AR0100010201</t>
  </si>
  <si>
    <t>AR0100010270</t>
  </si>
  <si>
    <t>AR0300004864</t>
  </si>
  <si>
    <t>AR0300006775</t>
  </si>
  <si>
    <t>AR0300007139</t>
  </si>
  <si>
    <t>AR0300010025</t>
  </si>
  <si>
    <t>AR0100001009</t>
  </si>
  <si>
    <t>AR0100001090</t>
  </si>
  <si>
    <t>AR0100001112</t>
  </si>
  <si>
    <t>AR0100002662</t>
  </si>
  <si>
    <t>406020300390</t>
  </si>
  <si>
    <t>406020301100</t>
  </si>
  <si>
    <t>406020301410</t>
  </si>
  <si>
    <t>406020302200</t>
  </si>
  <si>
    <t>406020302550</t>
  </si>
  <si>
    <t>406020302570</t>
  </si>
  <si>
    <t>406020303230</t>
  </si>
  <si>
    <t>406020304070</t>
  </si>
  <si>
    <t>406020304100</t>
  </si>
  <si>
    <t>406020304450</t>
  </si>
  <si>
    <t>406011300020</t>
  </si>
  <si>
    <t>406011301000</t>
  </si>
  <si>
    <t>406011305060</t>
  </si>
  <si>
    <t>406011305840</t>
  </si>
  <si>
    <t>406011306040</t>
  </si>
  <si>
    <t>406011307020</t>
  </si>
  <si>
    <t>406011308720</t>
  </si>
  <si>
    <t>406011308770</t>
  </si>
  <si>
    <t>406011801140</t>
  </si>
  <si>
    <t>406011801810</t>
  </si>
  <si>
    <t>406011802270</t>
  </si>
  <si>
    <t>406011802420</t>
  </si>
  <si>
    <t>406011803780</t>
  </si>
  <si>
    <t>406011804250</t>
  </si>
  <si>
    <t>406011804280</t>
  </si>
  <si>
    <t>406011804460</t>
  </si>
  <si>
    <t>406019800510</t>
  </si>
  <si>
    <t>406020300540</t>
  </si>
  <si>
    <t>406020301330</t>
  </si>
  <si>
    <t>406020303570</t>
  </si>
  <si>
    <t>406020305420</t>
  </si>
  <si>
    <t>406020306480</t>
  </si>
  <si>
    <t>406020300120</t>
  </si>
  <si>
    <t>406020300370</t>
  </si>
  <si>
    <t>406020300680</t>
  </si>
  <si>
    <t>406020301110</t>
  </si>
  <si>
    <t>406020303220</t>
  </si>
  <si>
    <t>406020303280</t>
  </si>
  <si>
    <t>406020303350</t>
  </si>
  <si>
    <t>406020303360</t>
  </si>
  <si>
    <t>406020303630</t>
  </si>
  <si>
    <t>406020304250</t>
  </si>
  <si>
    <t>406020305450</t>
  </si>
  <si>
    <t>406020305460</t>
  </si>
  <si>
    <t>406020306190</t>
  </si>
  <si>
    <t>406020306590</t>
  </si>
  <si>
    <t>406020307430</t>
  </si>
  <si>
    <t>406020308410</t>
  </si>
  <si>
    <t>406020304570</t>
  </si>
  <si>
    <t>406020305170</t>
  </si>
  <si>
    <t>406020306370</t>
  </si>
  <si>
    <t>406020307260</t>
  </si>
  <si>
    <t>406020307510</t>
  </si>
  <si>
    <t>406020307770</t>
  </si>
  <si>
    <t>406020307840</t>
  </si>
  <si>
    <t>406020308180</t>
  </si>
  <si>
    <t>AR0100000841</t>
  </si>
  <si>
    <t>AR0100000900</t>
  </si>
  <si>
    <t>AR0100001163</t>
  </si>
  <si>
    <t>406020307310</t>
  </si>
  <si>
    <t>406020307880</t>
  </si>
  <si>
    <t>406020308200</t>
  </si>
  <si>
    <t>406020800350</t>
  </si>
  <si>
    <t>AR0100000663</t>
  </si>
  <si>
    <t>AR0100001021</t>
  </si>
  <si>
    <t>AR0100000698</t>
  </si>
  <si>
    <t>406011306970</t>
  </si>
  <si>
    <t>406011308280</t>
  </si>
  <si>
    <t>406011309200</t>
  </si>
  <si>
    <t>406011309270</t>
  </si>
  <si>
    <t>406011800720</t>
  </si>
  <si>
    <t>406011800910</t>
  </si>
  <si>
    <t>406011802150</t>
  </si>
  <si>
    <t>406011803850</t>
  </si>
  <si>
    <t>406011804420</t>
  </si>
  <si>
    <t>406011805060</t>
  </si>
  <si>
    <t>406013404540</t>
  </si>
  <si>
    <t>406020301050</t>
  </si>
  <si>
    <t>406020302910</t>
  </si>
  <si>
    <t>406020303340</t>
  </si>
  <si>
    <t>406020303990</t>
  </si>
  <si>
    <t>406020305260</t>
  </si>
  <si>
    <t>406020305570</t>
  </si>
  <si>
    <t>406020306060</t>
  </si>
  <si>
    <t>406020306870</t>
  </si>
  <si>
    <t>406020307080</t>
  </si>
  <si>
    <t>406020307930</t>
  </si>
  <si>
    <t>406020800530</t>
  </si>
  <si>
    <t>406011301280</t>
  </si>
  <si>
    <t>406011305310</t>
  </si>
  <si>
    <t>406011305770</t>
  </si>
  <si>
    <t>406011306070</t>
  </si>
  <si>
    <t>406011306730</t>
  </si>
  <si>
    <t>406011306940</t>
  </si>
  <si>
    <t>406011308450</t>
  </si>
  <si>
    <t>406011801610</t>
  </si>
  <si>
    <t>406011803540</t>
  </si>
  <si>
    <t>406013404510</t>
  </si>
  <si>
    <t>406020301540</t>
  </si>
  <si>
    <t>406020302210</t>
  </si>
  <si>
    <t>406020304670</t>
  </si>
  <si>
    <t>406020304730</t>
  </si>
  <si>
    <t>406020305530</t>
  </si>
  <si>
    <t>406020306510</t>
  </si>
  <si>
    <t>406020307300</t>
  </si>
  <si>
    <t>406020308480</t>
  </si>
  <si>
    <t>406020800550</t>
  </si>
  <si>
    <t>406020800910</t>
  </si>
  <si>
    <t>AR0100001029</t>
  </si>
  <si>
    <t>AR0100001031</t>
  </si>
  <si>
    <t>AR0100001131</t>
  </si>
  <si>
    <t>AR0100005303</t>
  </si>
  <si>
    <t>AR0100005536</t>
  </si>
  <si>
    <t>AR0100005686</t>
  </si>
  <si>
    <t>AR0100005973</t>
  </si>
  <si>
    <t>AR0100006562</t>
  </si>
  <si>
    <t>AR0100006717</t>
  </si>
  <si>
    <t>AR0100007281</t>
  </si>
  <si>
    <t>AR0100007889</t>
  </si>
  <si>
    <t>AR0100007930</t>
  </si>
  <si>
    <t>AR0100009047</t>
  </si>
  <si>
    <t>AR0100010214</t>
  </si>
  <si>
    <t>AR0100010260</t>
  </si>
  <si>
    <t>AR0300006047</t>
  </si>
  <si>
    <t>AR0300009490</t>
  </si>
  <si>
    <t>AR0100004438</t>
  </si>
  <si>
    <t>AR0100005474</t>
  </si>
  <si>
    <t>AR0100006368</t>
  </si>
  <si>
    <t>AR0100007351</t>
  </si>
  <si>
    <t>AR0100007796</t>
  </si>
  <si>
    <t>AR0100008170</t>
  </si>
  <si>
    <t>AR0100008186</t>
  </si>
  <si>
    <t>AR0100008788</t>
  </si>
  <si>
    <t>AR0100009397</t>
  </si>
  <si>
    <t>AR0300005994</t>
  </si>
  <si>
    <t>AR0300007144</t>
  </si>
  <si>
    <t>AR0100000787</t>
  </si>
  <si>
    <t>AR0100002369</t>
  </si>
  <si>
    <t>AR0100002611</t>
  </si>
  <si>
    <t>AR0100002803</t>
  </si>
  <si>
    <t>AR0100004796</t>
  </si>
  <si>
    <t>AR0100004840</t>
  </si>
  <si>
    <t>AR0100005874</t>
  </si>
  <si>
    <t>AR0100006273</t>
  </si>
  <si>
    <t>AR0100000702</t>
  </si>
  <si>
    <t>AR0100000704</t>
  </si>
  <si>
    <t>AR0100000830</t>
  </si>
  <si>
    <t>AR0100000905</t>
  </si>
  <si>
    <t>AR0100000907</t>
  </si>
  <si>
    <t>AR0100000926</t>
  </si>
  <si>
    <t>AR0100000995</t>
  </si>
  <si>
    <t>AR0100001011</t>
  </si>
  <si>
    <t>AR0100001030</t>
  </si>
  <si>
    <t>AR0100002774</t>
  </si>
  <si>
    <t>AR0100008786</t>
  </si>
  <si>
    <t>AR0100008800</t>
  </si>
  <si>
    <t>AR0100009061</t>
  </si>
  <si>
    <t>AR0100009358</t>
  </si>
  <si>
    <t>AR0100010209</t>
  </si>
  <si>
    <t>AR0100010237</t>
  </si>
  <si>
    <t>AR0300005939</t>
  </si>
  <si>
    <t>AR0300005993</t>
  </si>
  <si>
    <t>AR0300006005</t>
  </si>
  <si>
    <t>AR0100006724</t>
  </si>
  <si>
    <t>AR0100007448</t>
  </si>
  <si>
    <t>AR0100007852</t>
  </si>
  <si>
    <t>AR0100007885</t>
  </si>
  <si>
    <t>AR0100008034</t>
  </si>
  <si>
    <t>AR0100008174</t>
  </si>
  <si>
    <t>AR0100009052</t>
  </si>
  <si>
    <t>AR0100009204</t>
  </si>
  <si>
    <t>AR0100009422</t>
  </si>
  <si>
    <t>AR0100009480</t>
  </si>
  <si>
    <t>AR0100009709</t>
  </si>
  <si>
    <t>AR0100010461</t>
  </si>
  <si>
    <t>AR0300006017</t>
  </si>
  <si>
    <t>AR0300007152</t>
  </si>
  <si>
    <t>AR0100002765</t>
  </si>
  <si>
    <t>AR0100004950</t>
  </si>
  <si>
    <t>AR0100005063</t>
  </si>
  <si>
    <t>AR0100006289</t>
  </si>
  <si>
    <t>AR0100007088</t>
  </si>
  <si>
    <t>AR0100007772</t>
  </si>
  <si>
    <t>AR0100007883</t>
  </si>
  <si>
    <t>AR0100007894</t>
  </si>
  <si>
    <t>AR0100007896</t>
  </si>
  <si>
    <t>AR0100007915</t>
  </si>
  <si>
    <t>AR0100007920</t>
  </si>
  <si>
    <t>AR0100008689</t>
  </si>
  <si>
    <t>AR0100009434</t>
  </si>
  <si>
    <t>AR0100010023</t>
  </si>
  <si>
    <t>AR0100010190</t>
  </si>
  <si>
    <t>AR0100010718</t>
  </si>
  <si>
    <t>AR0300006009</t>
  </si>
  <si>
    <t>AR0300006041</t>
  </si>
  <si>
    <t>AR0300006908</t>
  </si>
  <si>
    <t>AR0300034846</t>
  </si>
  <si>
    <t>406011300410</t>
  </si>
  <si>
    <t>406011305990</t>
  </si>
  <si>
    <t>406011306220</t>
  </si>
  <si>
    <t>406011306230</t>
  </si>
  <si>
    <t>406011306400</t>
  </si>
  <si>
    <t>406011307130</t>
  </si>
  <si>
    <t>406011801220</t>
  </si>
  <si>
    <t>406011801600</t>
  </si>
  <si>
    <t>406011801650</t>
  </si>
  <si>
    <t>406011802450</t>
  </si>
  <si>
    <t>406011802780</t>
  </si>
  <si>
    <t>406013405370</t>
  </si>
  <si>
    <t>406020304660</t>
  </si>
  <si>
    <t>406020305710</t>
  </si>
  <si>
    <t>406020305830</t>
  </si>
  <si>
    <t>406020306850</t>
  </si>
  <si>
    <t>406020307530</t>
  </si>
  <si>
    <t>406020308040</t>
  </si>
  <si>
    <t>AR0100004792</t>
  </si>
  <si>
    <t>AR0100004839</t>
  </si>
  <si>
    <t>AR0100005241</t>
  </si>
  <si>
    <t>AR0100005503</t>
  </si>
  <si>
    <t>AR0100007575</t>
  </si>
  <si>
    <t>AR0100007761</t>
  </si>
  <si>
    <t>AR0100007778</t>
  </si>
  <si>
    <t>AR0100008047</t>
  </si>
  <si>
    <t>AR0100009652</t>
  </si>
  <si>
    <t>AR0300006045</t>
  </si>
  <si>
    <t>AR0300007148</t>
  </si>
  <si>
    <t>AR0300027628</t>
  </si>
  <si>
    <t>AR0100004790</t>
  </si>
  <si>
    <t>406011300860</t>
  </si>
  <si>
    <t>406011300880</t>
  </si>
  <si>
    <t>406011307480</t>
  </si>
  <si>
    <t>406011308310</t>
  </si>
  <si>
    <t>406011308610</t>
  </si>
  <si>
    <t>406011309050</t>
  </si>
  <si>
    <t>406011309240</t>
  </si>
  <si>
    <t>406011800420</t>
  </si>
  <si>
    <t>406011801550</t>
  </si>
  <si>
    <t>406011802890</t>
  </si>
  <si>
    <t>AR0100000747</t>
  </si>
  <si>
    <t>AR0100000909</t>
  </si>
  <si>
    <t>AR0100000965</t>
  </si>
  <si>
    <t>AR0100000983</t>
  </si>
  <si>
    <t>406011301660</t>
  </si>
  <si>
    <t>406011305110</t>
  </si>
  <si>
    <t>406011305530</t>
  </si>
  <si>
    <t>406011306370</t>
  </si>
  <si>
    <t>406011307350</t>
  </si>
  <si>
    <t>406011308990</t>
  </si>
  <si>
    <t>406011309510</t>
  </si>
  <si>
    <t>406011804000</t>
  </si>
  <si>
    <t>406011804780</t>
  </si>
  <si>
    <t>406013405350</t>
  </si>
  <si>
    <t>406020302950</t>
  </si>
  <si>
    <t>406020304310</t>
  </si>
  <si>
    <t>406020304340</t>
  </si>
  <si>
    <t>406020305410</t>
  </si>
  <si>
    <t>406020306650</t>
  </si>
  <si>
    <t>406020306930</t>
  </si>
  <si>
    <t>406020307090</t>
  </si>
  <si>
    <t>406020307580</t>
  </si>
  <si>
    <t>406020307660</t>
  </si>
  <si>
    <t>406020800300</t>
  </si>
  <si>
    <t>406020800940</t>
  </si>
  <si>
    <t>AR0100000575</t>
  </si>
  <si>
    <t>AR0100000784</t>
  </si>
  <si>
    <t>AR0100001034</t>
  </si>
  <si>
    <t>406020300730</t>
  </si>
  <si>
    <t>406020302720</t>
  </si>
  <si>
    <t>406020303480</t>
  </si>
  <si>
    <t>406020303800</t>
  </si>
  <si>
    <t>406020303960</t>
  </si>
  <si>
    <t>406020304300</t>
  </si>
  <si>
    <t>406020305190</t>
  </si>
  <si>
    <t>406020305290</t>
  </si>
  <si>
    <t>406020307570</t>
  </si>
  <si>
    <t>AR0100000902</t>
  </si>
  <si>
    <t>AR0100000912</t>
  </si>
  <si>
    <t>AR0100001111</t>
  </si>
  <si>
    <t>AR0100001162</t>
  </si>
  <si>
    <t>AR0100004615</t>
  </si>
  <si>
    <t>AR0100004826</t>
  </si>
  <si>
    <t>AR0100005028</t>
  </si>
  <si>
    <t>AR0100005740</t>
  </si>
  <si>
    <t>AR0100006374</t>
  </si>
  <si>
    <t>AR0300004853</t>
  </si>
  <si>
    <t>AR0300005929</t>
  </si>
  <si>
    <t>406011300960</t>
  </si>
  <si>
    <t>406011301870</t>
  </si>
  <si>
    <t>406011304860</t>
  </si>
  <si>
    <t>406011300650</t>
  </si>
  <si>
    <t>406011301140</t>
  </si>
  <si>
    <t>406011301390</t>
  </si>
  <si>
    <t>406011301640</t>
  </si>
  <si>
    <t>406011302770</t>
  </si>
  <si>
    <t>406011302830</t>
  </si>
  <si>
    <t>406011307320</t>
  </si>
  <si>
    <t>406011307340</t>
  </si>
  <si>
    <t>406011308180</t>
  </si>
  <si>
    <t>406011801270</t>
  </si>
  <si>
    <t>406011803940</t>
  </si>
  <si>
    <t>406011804450</t>
  </si>
  <si>
    <t>406013401160</t>
  </si>
  <si>
    <t>406020300960</t>
  </si>
  <si>
    <t>406020301220</t>
  </si>
  <si>
    <t>406020301940</t>
  </si>
  <si>
    <t>406020302280</t>
  </si>
  <si>
    <t>406020302310</t>
  </si>
  <si>
    <t>406020302700</t>
  </si>
  <si>
    <t>406020303010</t>
  </si>
  <si>
    <t>406020304150</t>
  </si>
  <si>
    <t>406020305370</t>
  </si>
  <si>
    <t>406020307140</t>
  </si>
  <si>
    <t>406020308110</t>
  </si>
  <si>
    <t>406020800330</t>
  </si>
  <si>
    <t>406020800880</t>
  </si>
  <si>
    <t>AR0100000651</t>
  </si>
  <si>
    <t>AR0100000984</t>
  </si>
  <si>
    <t>AR0100001120</t>
  </si>
  <si>
    <t>AR0100001151</t>
  </si>
  <si>
    <t>AR0100002239</t>
  </si>
  <si>
    <t>AR0100004529</t>
  </si>
  <si>
    <t>AR0100005306</t>
  </si>
  <si>
    <t>AR0100006271</t>
  </si>
  <si>
    <t>AR0100006264</t>
  </si>
  <si>
    <t>AR0100006275</t>
  </si>
  <si>
    <t>AR0100006797</t>
  </si>
  <si>
    <t>AR0100007421</t>
  </si>
  <si>
    <t>AR0100007591</t>
  </si>
  <si>
    <t>AR0100007762</t>
  </si>
  <si>
    <t>AR0100008129</t>
  </si>
  <si>
    <t>AR0100008156</t>
  </si>
  <si>
    <t>AR0100008588</t>
  </si>
  <si>
    <t>AR0100004392</t>
  </si>
  <si>
    <t>AR0100004870</t>
  </si>
  <si>
    <t>AR0100005240</t>
  </si>
  <si>
    <t>AR0100005617</t>
  </si>
  <si>
    <t>AR0100007572</t>
  </si>
  <si>
    <t>AR0100007763</t>
  </si>
  <si>
    <t>AR0100008190</t>
  </si>
  <si>
    <t>AR0100009007</t>
  </si>
  <si>
    <t>AR0100009009</t>
  </si>
  <si>
    <t>AR0100009468</t>
  </si>
  <si>
    <t>AR0100009554</t>
  </si>
  <si>
    <t>AR0100009618</t>
  </si>
  <si>
    <t>AR0100010188</t>
  </si>
  <si>
    <t>AR0100010228</t>
  </si>
  <si>
    <t>AR0300006513</t>
  </si>
  <si>
    <t>AR0300028613</t>
  </si>
  <si>
    <t>AR0300032666</t>
  </si>
  <si>
    <t>AR0300034424</t>
  </si>
  <si>
    <t>AR0300006002</t>
  </si>
  <si>
    <t>406011306900</t>
  </si>
  <si>
    <t>406011308190</t>
  </si>
  <si>
    <t>406011309030</t>
  </si>
  <si>
    <t>406011309450</t>
  </si>
  <si>
    <t>406011800660</t>
  </si>
  <si>
    <t>406011801320</t>
  </si>
  <si>
    <t>406011803690</t>
  </si>
  <si>
    <t>406013400220</t>
  </si>
  <si>
    <t>406020301650</t>
  </si>
  <si>
    <t>406020302100</t>
  </si>
  <si>
    <t>406020302160</t>
  </si>
  <si>
    <t>406020303650</t>
  </si>
  <si>
    <t>406020305490</t>
  </si>
  <si>
    <t>406020305580</t>
  </si>
  <si>
    <t>406020306150</t>
  </si>
  <si>
    <t>406020306730</t>
  </si>
  <si>
    <t>406020307740</t>
  </si>
  <si>
    <t>406020308380</t>
  </si>
  <si>
    <t>406011301750</t>
  </si>
  <si>
    <t>406011301760</t>
  </si>
  <si>
    <t>406011302600</t>
  </si>
  <si>
    <t>406011303250</t>
  </si>
  <si>
    <t>406011305010</t>
  </si>
  <si>
    <t>406011305100</t>
  </si>
  <si>
    <t>406011306180</t>
  </si>
  <si>
    <t>406011307680</t>
  </si>
  <si>
    <t>406011307750</t>
  </si>
  <si>
    <t>406011308870</t>
  </si>
  <si>
    <t>406011309020</t>
  </si>
  <si>
    <t>406011309060</t>
  </si>
  <si>
    <t>406011309580</t>
  </si>
  <si>
    <t>406011800130</t>
  </si>
  <si>
    <t>406011800160</t>
  </si>
  <si>
    <t>406011801570</t>
  </si>
  <si>
    <t>406011802390</t>
  </si>
  <si>
    <t>406011802840</t>
  </si>
  <si>
    <t>406011803930</t>
  </si>
  <si>
    <t>406011804110</t>
  </si>
  <si>
    <t>406020300110</t>
  </si>
  <si>
    <t>406020300380</t>
  </si>
  <si>
    <t>406020300420</t>
  </si>
  <si>
    <t>406020300690</t>
  </si>
  <si>
    <t>AR0100006731</t>
  </si>
  <si>
    <t>AR0100007610</t>
  </si>
  <si>
    <t>AR0100007639</t>
  </si>
  <si>
    <t>AR0100008152</t>
  </si>
  <si>
    <t>AR0100009273</t>
  </si>
  <si>
    <t>AR0100009467</t>
  </si>
  <si>
    <t>AR0100010117</t>
  </si>
  <si>
    <t>AR0300004826</t>
  </si>
  <si>
    <t>AR0300005973</t>
  </si>
  <si>
    <t>AR0300007103</t>
  </si>
  <si>
    <t>AR0300032670</t>
  </si>
  <si>
    <t>AR0100000664</t>
  </si>
  <si>
    <t>AR0100002775</t>
  </si>
  <si>
    <t>AR0100004612</t>
  </si>
  <si>
    <t>AR0100004670</t>
  </si>
  <si>
    <t>AR0100005227</t>
  </si>
  <si>
    <t>AR0100005304</t>
  </si>
  <si>
    <t>AR0100006156</t>
  </si>
  <si>
    <t>AR0100007128</t>
  </si>
  <si>
    <t>AR0100007372</t>
  </si>
  <si>
    <t>AR0100007641</t>
  </si>
  <si>
    <t>AR0100008164</t>
  </si>
  <si>
    <t>AR0100008173</t>
  </si>
  <si>
    <t>AR0100009013</t>
  </si>
  <si>
    <t>AR0100009040</t>
  </si>
  <si>
    <t>406011302010</t>
  </si>
  <si>
    <t>406011302880</t>
  </si>
  <si>
    <t>406011304880</t>
  </si>
  <si>
    <t>406011305320</t>
  </si>
  <si>
    <t>406011305640</t>
  </si>
  <si>
    <t>406011306380</t>
  </si>
  <si>
    <t>406011306420</t>
  </si>
  <si>
    <t>406011307790</t>
  </si>
  <si>
    <t>406011804350</t>
  </si>
  <si>
    <t>406011804730</t>
  </si>
  <si>
    <t>406011805070</t>
  </si>
  <si>
    <t>AR0100001156</t>
  </si>
  <si>
    <t>AR0100002618</t>
  </si>
  <si>
    <t>AR0100005228</t>
  </si>
  <si>
    <t>406020300740</t>
  </si>
  <si>
    <t>406020301030</t>
  </si>
  <si>
    <t>406020301900</t>
  </si>
  <si>
    <t>406020303600</t>
  </si>
  <si>
    <t>406020303640</t>
  </si>
  <si>
    <t>406020303670</t>
  </si>
  <si>
    <t>406020303810</t>
  </si>
  <si>
    <t>406020304090</t>
  </si>
  <si>
    <t>406020304170</t>
  </si>
  <si>
    <t>406020304390</t>
  </si>
  <si>
    <t>406020304510</t>
  </si>
  <si>
    <t>406020304520</t>
  </si>
  <si>
    <t>406020305070</t>
  </si>
  <si>
    <t>406020305270</t>
  </si>
  <si>
    <t>406020305280</t>
  </si>
  <si>
    <t>406020305300</t>
  </si>
  <si>
    <t>406020305770</t>
  </si>
  <si>
    <t>406020305940</t>
  </si>
  <si>
    <t>406020306170</t>
  </si>
  <si>
    <t>406020306250</t>
  </si>
  <si>
    <t>406020306350</t>
  </si>
  <si>
    <t>406020306470</t>
  </si>
  <si>
    <t>406020306500</t>
  </si>
  <si>
    <t>406020307020</t>
  </si>
  <si>
    <t>406020307150</t>
  </si>
  <si>
    <t>406020307540</t>
  </si>
  <si>
    <t>406020307650</t>
  </si>
  <si>
    <t>406020308000</t>
  </si>
  <si>
    <t>406020308350</t>
  </si>
  <si>
    <t>406020308420</t>
  </si>
  <si>
    <t>AR0100006732</t>
  </si>
  <si>
    <t>AR0100009329</t>
  </si>
  <si>
    <t>AR0100009521</t>
  </si>
  <si>
    <t>AR0100009575</t>
  </si>
  <si>
    <t>AR0100009650</t>
  </si>
  <si>
    <t>AR0100009724</t>
  </si>
  <si>
    <t>AR0100010210</t>
  </si>
  <si>
    <t>AR0300005913</t>
  </si>
  <si>
    <t>AR0300005990</t>
  </si>
  <si>
    <t>AR0300006052</t>
  </si>
  <si>
    <t>406011302400</t>
  </si>
  <si>
    <t>406011306980</t>
  </si>
  <si>
    <t>406011307190</t>
  </si>
  <si>
    <t>406011307890</t>
  </si>
  <si>
    <t>406011307950</t>
  </si>
  <si>
    <t>406011308090</t>
  </si>
  <si>
    <t>406011308570</t>
  </si>
  <si>
    <t>406011309340</t>
  </si>
  <si>
    <t>406011800490</t>
  </si>
  <si>
    <t>406011800850</t>
  </si>
  <si>
    <t>406011802480</t>
  </si>
  <si>
    <t>406011802920</t>
  </si>
  <si>
    <t>406011803770</t>
  </si>
  <si>
    <t>406011805050</t>
  </si>
  <si>
    <t>406013401710</t>
  </si>
  <si>
    <t>406020300150</t>
  </si>
  <si>
    <t>406020300580</t>
  </si>
  <si>
    <t>406020305520</t>
  </si>
  <si>
    <t>406020306220</t>
  </si>
  <si>
    <t>406020307270</t>
  </si>
  <si>
    <t>406020307780</t>
  </si>
  <si>
    <t>406020300860</t>
  </si>
  <si>
    <t>406020301290</t>
  </si>
  <si>
    <t>406020301500</t>
  </si>
  <si>
    <t>406020302820</t>
  </si>
  <si>
    <t>406020302840</t>
  </si>
  <si>
    <t>406020304180</t>
  </si>
  <si>
    <t>406020304610</t>
  </si>
  <si>
    <t>406020304920</t>
  </si>
  <si>
    <t>406020306570</t>
  </si>
  <si>
    <t>406020306660</t>
  </si>
  <si>
    <t>406020307320</t>
  </si>
  <si>
    <t>406011300530</t>
  </si>
  <si>
    <t>406011301430</t>
  </si>
  <si>
    <t>406011301740</t>
  </si>
  <si>
    <t>406011304830</t>
  </si>
  <si>
    <t>406011305710</t>
  </si>
  <si>
    <t>406011306170</t>
  </si>
  <si>
    <t>406011306480</t>
  </si>
  <si>
    <t>406011308320</t>
  </si>
  <si>
    <t>406011308410</t>
  </si>
  <si>
    <t>406011308820</t>
  </si>
  <si>
    <t>406011309330</t>
  </si>
  <si>
    <t>406011800170</t>
  </si>
  <si>
    <t>406011801080</t>
  </si>
  <si>
    <t>406011802940</t>
  </si>
  <si>
    <t>406011803700</t>
  </si>
  <si>
    <t>406011804030</t>
  </si>
  <si>
    <t>406011804180</t>
  </si>
  <si>
    <t>406011804330</t>
  </si>
  <si>
    <t>406011804340</t>
  </si>
  <si>
    <t>406011804390</t>
  </si>
  <si>
    <t>406011804490</t>
  </si>
  <si>
    <t>406011804670</t>
  </si>
  <si>
    <t>406011805110</t>
  </si>
  <si>
    <t>406013400300</t>
  </si>
  <si>
    <t>406013400910</t>
  </si>
  <si>
    <t>406019800300</t>
  </si>
  <si>
    <t>406020300310</t>
  </si>
  <si>
    <t>406020301980</t>
  </si>
  <si>
    <t>406020302060</t>
  </si>
  <si>
    <t>406020302440</t>
  </si>
  <si>
    <t>406020303170</t>
  </si>
  <si>
    <t>406020303370</t>
  </si>
  <si>
    <t>406020304320</t>
  </si>
  <si>
    <t>406020304460</t>
  </si>
  <si>
    <t>406020304640</t>
  </si>
  <si>
    <t>406020305620</t>
  </si>
  <si>
    <t>406020305720</t>
  </si>
  <si>
    <t>406020305810</t>
  </si>
  <si>
    <t>406020306970</t>
  </si>
  <si>
    <t>406020308280</t>
  </si>
  <si>
    <t>AR0100007643</t>
  </si>
  <si>
    <t>406020800670</t>
  </si>
  <si>
    <t>406020800700</t>
  </si>
  <si>
    <t>406031100030</t>
  </si>
  <si>
    <t>AR0100000590</t>
  </si>
  <si>
    <t>AR0100000813</t>
  </si>
  <si>
    <t>AR0100000867</t>
  </si>
  <si>
    <t>AR0100000958</t>
  </si>
  <si>
    <t>AR0100000976</t>
  </si>
  <si>
    <t>AR0100000997</t>
  </si>
  <si>
    <t>AR0100001148</t>
  </si>
  <si>
    <t>AR0100002488</t>
  </si>
  <si>
    <t>406011300870</t>
  </si>
  <si>
    <t>406011302320</t>
  </si>
  <si>
    <t>406011302990</t>
  </si>
  <si>
    <t>406011306280</t>
  </si>
  <si>
    <t>406011306660</t>
  </si>
  <si>
    <t>406011308030</t>
  </si>
  <si>
    <t>406011308430</t>
  </si>
  <si>
    <t>406011309210</t>
  </si>
  <si>
    <t>406011801380</t>
  </si>
  <si>
    <t>406011801620</t>
  </si>
  <si>
    <t>406011802310</t>
  </si>
  <si>
    <t>406011802520</t>
  </si>
  <si>
    <t>406011803590</t>
  </si>
  <si>
    <t>406011804190</t>
  </si>
  <si>
    <t>406011804210</t>
  </si>
  <si>
    <t>406013401190</t>
  </si>
  <si>
    <t>406020300410</t>
  </si>
  <si>
    <t>406020301610</t>
  </si>
  <si>
    <t>406020302080</t>
  </si>
  <si>
    <t>406020302430</t>
  </si>
  <si>
    <t>406020303030</t>
  </si>
  <si>
    <t>406020303310</t>
  </si>
  <si>
    <t>406020303540</t>
  </si>
  <si>
    <t>406020306140</t>
  </si>
  <si>
    <t>406020306240</t>
  </si>
  <si>
    <t>406020306630</t>
  </si>
  <si>
    <t>406020306700</t>
  </si>
  <si>
    <t>406020306750</t>
  </si>
  <si>
    <t>406020306810</t>
  </si>
  <si>
    <t>406020307200</t>
  </si>
  <si>
    <t>406020307360</t>
  </si>
  <si>
    <t>406020307810</t>
  </si>
  <si>
    <t>AR0100006729</t>
  </si>
  <si>
    <t>AR0100008133</t>
  </si>
  <si>
    <t>AR0100008139</t>
  </si>
  <si>
    <t>AR0100009053</t>
  </si>
  <si>
    <t>AR0100009374</t>
  </si>
  <si>
    <t>AR0100009417</t>
  </si>
  <si>
    <t>AR0100010215</t>
  </si>
  <si>
    <t>AR0300006512</t>
  </si>
  <si>
    <t>AR0300032667</t>
  </si>
  <si>
    <t>AR0300035560</t>
  </si>
  <si>
    <t>AR0100009046</t>
  </si>
  <si>
    <t>AR0100009352</t>
  </si>
  <si>
    <t>AR0100010015</t>
  </si>
  <si>
    <t>AR0100010220</t>
  </si>
  <si>
    <t>AR0300034416</t>
  </si>
  <si>
    <t>406020800730</t>
  </si>
  <si>
    <t>AR0100000919</t>
  </si>
  <si>
    <t>AR0100002434</t>
  </si>
  <si>
    <t>AR0100002766</t>
  </si>
  <si>
    <t>AR0100004659</t>
  </si>
  <si>
    <t>AR0100004798</t>
  </si>
  <si>
    <t>AR0100005062</t>
  </si>
  <si>
    <t>AR0100005091</t>
  </si>
  <si>
    <t>AR0100005400</t>
  </si>
  <si>
    <t>AR0100006126</t>
  </si>
  <si>
    <t>AR0100006404</t>
  </si>
  <si>
    <t>AR0100007924</t>
  </si>
  <si>
    <t>AR0100009648</t>
  </si>
  <si>
    <t>AR0100009689</t>
  </si>
  <si>
    <t>AR0100010226</t>
  </si>
  <si>
    <t>406020800610</t>
  </si>
  <si>
    <t>AR0100008796</t>
  </si>
  <si>
    <t>AR0100009327</t>
  </si>
  <si>
    <t>AR0100009571</t>
  </si>
  <si>
    <t>AR0100009600</t>
  </si>
  <si>
    <t>AR0100010019</t>
  </si>
  <si>
    <t>AR0100010124</t>
  </si>
  <si>
    <t>AR0100010197</t>
  </si>
  <si>
    <t>AR0100010221</t>
  </si>
  <si>
    <t>AR0300006003</t>
  </si>
  <si>
    <t>AR0300007098</t>
  </si>
  <si>
    <t>AR0100002777</t>
  </si>
  <si>
    <t>AR0100002960</t>
  </si>
  <si>
    <t>AR0100000862</t>
  </si>
  <si>
    <t>AR0100000953</t>
  </si>
  <si>
    <t>AR0100001076</t>
  </si>
  <si>
    <t>AR0100001124</t>
  </si>
  <si>
    <t>AR0100001202</t>
  </si>
  <si>
    <t>AR0100002672</t>
  </si>
  <si>
    <t>AR0100002771</t>
  </si>
  <si>
    <t>AR0100009354</t>
  </si>
  <si>
    <t>AR0100009559</t>
  </si>
  <si>
    <t>AR0100009735</t>
  </si>
  <si>
    <t>AR0100010261</t>
  </si>
  <si>
    <t>AR0100010282</t>
  </si>
  <si>
    <t>AR0300005996</t>
  </si>
  <si>
    <t>AR0300007172</t>
  </si>
  <si>
    <t>AR0300009482</t>
  </si>
  <si>
    <t>AR0100004315</t>
  </si>
  <si>
    <t>AR0100004530</t>
  </si>
  <si>
    <t>AR0100004744</t>
  </si>
  <si>
    <t>AR0100004831</t>
  </si>
  <si>
    <t>AR0100005475</t>
  </si>
  <si>
    <t>AR0100005537</t>
  </si>
  <si>
    <t>AR0100006420</t>
  </si>
  <si>
    <t>406011300770</t>
  </si>
  <si>
    <t>406011302670</t>
  </si>
  <si>
    <t>406011302820</t>
  </si>
  <si>
    <t>406011302920</t>
  </si>
  <si>
    <t>Nivel Calculado</t>
  </si>
  <si>
    <t>406011305420</t>
  </si>
  <si>
    <t>406011305680</t>
  </si>
  <si>
    <t>406011306260</t>
  </si>
  <si>
    <t>406011306870</t>
  </si>
  <si>
    <t>406011306930</t>
  </si>
  <si>
    <t>406011307160</t>
  </si>
  <si>
    <t>406011307520</t>
  </si>
  <si>
    <t>406011307530</t>
  </si>
  <si>
    <t>406011308080</t>
  </si>
  <si>
    <t>406020800480</t>
  </si>
  <si>
    <t>AR0100000564</t>
  </si>
  <si>
    <t>AR0100000659</t>
  </si>
  <si>
    <t>AR0100000670</t>
  </si>
  <si>
    <t>AR0100000788</t>
  </si>
  <si>
    <t>AR0100000845</t>
  </si>
  <si>
    <t>AR0100000911</t>
  </si>
  <si>
    <t>AR0100001105</t>
  </si>
  <si>
    <t>AR0100007284</t>
  </si>
  <si>
    <t>AR0100007590</t>
  </si>
  <si>
    <t>AR0100007606</t>
  </si>
  <si>
    <t>AR0100007611</t>
  </si>
  <si>
    <t>AR0100007914</t>
  </si>
  <si>
    <t>AR0100008140</t>
  </si>
  <si>
    <t>AR0100008153</t>
  </si>
  <si>
    <t>AR0100008191</t>
  </si>
  <si>
    <t>AR0100006796</t>
  </si>
  <si>
    <t>AR0100005242</t>
  </si>
  <si>
    <t>AR0100005739</t>
  </si>
  <si>
    <t>AR0100005757</t>
  </si>
  <si>
    <t>AR0100006835</t>
  </si>
  <si>
    <t>AR0100007634</t>
  </si>
  <si>
    <t>AR0100007638</t>
  </si>
  <si>
    <t>AR0100007684</t>
  </si>
  <si>
    <t>AR0100008158</t>
  </si>
  <si>
    <t>AR0100008169</t>
  </si>
  <si>
    <t>AR0100008177</t>
  </si>
  <si>
    <t>AR0100007452</t>
  </si>
  <si>
    <t>AR0100007636</t>
  </si>
  <si>
    <t>AR0100007787</t>
  </si>
  <si>
    <t>AR0100007918</t>
  </si>
  <si>
    <t>AR0100008155</t>
  </si>
  <si>
    <t>AR0100008172</t>
  </si>
  <si>
    <t>AR0100009049</t>
  </si>
  <si>
    <t>AR0100009054</t>
  </si>
  <si>
    <t>AR0100008797</t>
  </si>
  <si>
    <t>AR0100009229</t>
  </si>
  <si>
    <t>AR0100009617</t>
  </si>
  <si>
    <t>AR0100009706</t>
  </si>
  <si>
    <t>AR0100009750</t>
  </si>
  <si>
    <t>AR0100010021</t>
  </si>
  <si>
    <t>AR0300006049</t>
  </si>
  <si>
    <t>406011308620</t>
  </si>
  <si>
    <t>406011308710</t>
  </si>
  <si>
    <t>406011801180</t>
  </si>
  <si>
    <t>406011803130</t>
  </si>
  <si>
    <t>406011803620</t>
  </si>
  <si>
    <t>406011803880</t>
  </si>
  <si>
    <t>406011804020</t>
  </si>
  <si>
    <t>406013401200</t>
  </si>
  <si>
    <t>406019800190</t>
  </si>
  <si>
    <t>406020301460</t>
  </si>
  <si>
    <t>406020302270</t>
  </si>
  <si>
    <t>406020302320</t>
  </si>
  <si>
    <t>406020302780</t>
  </si>
  <si>
    <t>406020304130</t>
  </si>
  <si>
    <t>406020304980</t>
  </si>
  <si>
    <t>406020305680</t>
  </si>
  <si>
    <t>406020306420</t>
  </si>
  <si>
    <t>406020306690</t>
  </si>
  <si>
    <t>406020307240</t>
  </si>
  <si>
    <t>406020800890</t>
  </si>
  <si>
    <t>AR0100000892</t>
  </si>
  <si>
    <t>AR0100000913</t>
  </si>
  <si>
    <t>AR0100000921</t>
  </si>
  <si>
    <t>AR0100004841</t>
  </si>
  <si>
    <t>AR0100006716</t>
  </si>
  <si>
    <t>AR0100006720</t>
  </si>
  <si>
    <t>AR0100006814</t>
  </si>
  <si>
    <t>AR0100007759</t>
  </si>
  <si>
    <t>406011300370</t>
  </si>
  <si>
    <t>406011300850</t>
  </si>
  <si>
    <t>406011301800</t>
  </si>
  <si>
    <t>406011305290</t>
  </si>
  <si>
    <t>406011307000</t>
  </si>
  <si>
    <t>406011307070</t>
  </si>
  <si>
    <t>406011307140</t>
  </si>
  <si>
    <t>406011308330</t>
  </si>
  <si>
    <t>406011309100</t>
  </si>
  <si>
    <t>406011800180</t>
  </si>
  <si>
    <t>406011801490</t>
  </si>
  <si>
    <t>406011801580</t>
  </si>
  <si>
    <t>406011802300</t>
  </si>
  <si>
    <t>406011803250</t>
  </si>
  <si>
    <t>406011804430</t>
  </si>
  <si>
    <t>406020301090</t>
  </si>
  <si>
    <t>406020301550</t>
  </si>
  <si>
    <t>406020302180</t>
  </si>
  <si>
    <t>406020302380</t>
  </si>
  <si>
    <t>406020302620</t>
  </si>
  <si>
    <t>406020303950</t>
  </si>
  <si>
    <t>406020304370</t>
  </si>
  <si>
    <t>406020304470</t>
  </si>
  <si>
    <t>406020304500</t>
  </si>
  <si>
    <t>406020305970</t>
  </si>
  <si>
    <t>406020306130</t>
  </si>
  <si>
    <t>406020306310</t>
  </si>
  <si>
    <t>406020307670</t>
  </si>
  <si>
    <t>406020308290</t>
  </si>
  <si>
    <t>406020308430</t>
  </si>
  <si>
    <t>AR0100002928</t>
  </si>
  <si>
    <t>AR0100004511</t>
  </si>
  <si>
    <t>AR0100004671</t>
  </si>
  <si>
    <t>AR0300028614</t>
  </si>
  <si>
    <t>AR0300032673</t>
  </si>
  <si>
    <t>AR0100009299</t>
  </si>
  <si>
    <t>AR0100009348</t>
  </si>
  <si>
    <t>AR0100009424</t>
  </si>
  <si>
    <t>AR0100009561</t>
  </si>
  <si>
    <t>AR0100010010</t>
  </si>
  <si>
    <t>AR0100010138</t>
  </si>
  <si>
    <t>AR0300006910</t>
  </si>
  <si>
    <t>AR0300007127</t>
  </si>
  <si>
    <t>406020800320</t>
  </si>
  <si>
    <t>AR0100000628</t>
  </si>
  <si>
    <t>AR0100000925</t>
  </si>
  <si>
    <t>AR0100001164</t>
  </si>
  <si>
    <t>AR0100004519</t>
  </si>
  <si>
    <t>AR0100005423</t>
  </si>
  <si>
    <t>406020800130</t>
  </si>
  <si>
    <t>406020800630</t>
  </si>
  <si>
    <t>406031100010</t>
  </si>
  <si>
    <t>AR0100000613</t>
  </si>
  <si>
    <t>AR0100000635</t>
  </si>
  <si>
    <t>AR0100000717</t>
  </si>
  <si>
    <t>AR0100000809</t>
  </si>
  <si>
    <t>AR0100000853</t>
  </si>
  <si>
    <t>AR0100000893</t>
  </si>
  <si>
    <t>AR0100001007</t>
  </si>
  <si>
    <t>AR0100001027</t>
  </si>
  <si>
    <t>AR0100001058</t>
  </si>
  <si>
    <t>AR0100001098</t>
  </si>
  <si>
    <t>AR0100001103</t>
  </si>
  <si>
    <t>AR0100002903</t>
  </si>
  <si>
    <t>406011302530</t>
  </si>
  <si>
    <t>406011303220</t>
  </si>
  <si>
    <t>406011304810</t>
  </si>
  <si>
    <t>406011305780</t>
  </si>
  <si>
    <t>406011306000</t>
  </si>
  <si>
    <t>406011306430</t>
  </si>
  <si>
    <t>406011306560</t>
  </si>
  <si>
    <t>406011306810</t>
  </si>
  <si>
    <t>406011308000</t>
  </si>
  <si>
    <t>406011308010</t>
  </si>
  <si>
    <t>406011308060</t>
  </si>
  <si>
    <t>406011308480</t>
  </si>
  <si>
    <t>406011308800</t>
  </si>
  <si>
    <t>406011308890</t>
  </si>
  <si>
    <t>406011308940</t>
  </si>
  <si>
    <t>406011309110</t>
  </si>
  <si>
    <t>406011309140</t>
  </si>
  <si>
    <t>406011309400</t>
  </si>
  <si>
    <t>406011309530</t>
  </si>
  <si>
    <t>406011801230</t>
  </si>
  <si>
    <t>406011801840</t>
  </si>
  <si>
    <t>406011802340</t>
  </si>
  <si>
    <t>406011802680</t>
  </si>
  <si>
    <t>406011803710</t>
  </si>
  <si>
    <t>406011803800</t>
  </si>
  <si>
    <t>406011804080</t>
  </si>
  <si>
    <t>406013400760</t>
  </si>
  <si>
    <t>406013404550</t>
  </si>
  <si>
    <t>406020300460</t>
  </si>
  <si>
    <t>406020300710</t>
  </si>
  <si>
    <t>406020301310</t>
  </si>
  <si>
    <t>406020302070</t>
  </si>
  <si>
    <t>406020302460</t>
  </si>
  <si>
    <t>406020302990</t>
  </si>
  <si>
    <t>406020303090</t>
  </si>
  <si>
    <t>406020303380</t>
  </si>
  <si>
    <t>406020303760</t>
  </si>
  <si>
    <t>406020304010</t>
  </si>
  <si>
    <t>406020304160</t>
  </si>
  <si>
    <t>406020304230</t>
  </si>
  <si>
    <t>406020304290</t>
  </si>
  <si>
    <t>406020304360</t>
  </si>
  <si>
    <t>406020304530</t>
  </si>
  <si>
    <t>406020305800</t>
  </si>
  <si>
    <t>406020306290</t>
  </si>
  <si>
    <t>406020307700</t>
  </si>
  <si>
    <t>AR0100004526</t>
  </si>
  <si>
    <t>406011300690</t>
  </si>
  <si>
    <t>406011301490</t>
  </si>
  <si>
    <t>406011301720</t>
  </si>
  <si>
    <t>406011301810</t>
  </si>
  <si>
    <t>406011305730</t>
  </si>
  <si>
    <t>406011306650</t>
  </si>
  <si>
    <t>406011308530</t>
  </si>
  <si>
    <t>406011308580</t>
  </si>
  <si>
    <t>406011308950</t>
  </si>
  <si>
    <t>406011309500</t>
  </si>
  <si>
    <t>406011800780</t>
  </si>
  <si>
    <t>406011801190</t>
  </si>
  <si>
    <t>406011802350</t>
  </si>
  <si>
    <t>406011804700</t>
  </si>
  <si>
    <t>406011804720</t>
  </si>
  <si>
    <t>406011306330</t>
  </si>
  <si>
    <t>406011306880</t>
  </si>
  <si>
    <t>406011306960</t>
  </si>
  <si>
    <t>406011307560</t>
  </si>
  <si>
    <t>406011308960</t>
  </si>
  <si>
    <t>406011309160</t>
  </si>
  <si>
    <t>406011309170</t>
  </si>
  <si>
    <t>406011801330</t>
  </si>
  <si>
    <t>406011802950</t>
  </si>
  <si>
    <t>406013403620</t>
  </si>
  <si>
    <t>406013405340</t>
  </si>
  <si>
    <t>406020301070</t>
  </si>
  <si>
    <t>406020302110</t>
  </si>
  <si>
    <t>406020302800</t>
  </si>
  <si>
    <t>406020302810</t>
  </si>
  <si>
    <t>406020303200</t>
  </si>
  <si>
    <t>406020303660</t>
  </si>
  <si>
    <t>406020304380</t>
  </si>
  <si>
    <t>406020304650</t>
  </si>
  <si>
    <t>406020305050</t>
  </si>
  <si>
    <t>406020308400</t>
  </si>
  <si>
    <t>406011305810</t>
  </si>
  <si>
    <t>406011306050</t>
  </si>
  <si>
    <t>406011306510</t>
  </si>
  <si>
    <t>406011307920</t>
  </si>
  <si>
    <t>406011308400</t>
  </si>
  <si>
    <t>406011309590</t>
  </si>
  <si>
    <t>406011800580</t>
  </si>
  <si>
    <t>406011801700</t>
  </si>
  <si>
    <t>406011802100</t>
  </si>
  <si>
    <t>406011802500</t>
  </si>
  <si>
    <t>406011803430</t>
  </si>
  <si>
    <t>406011803790</t>
  </si>
  <si>
    <t>406011804400</t>
  </si>
  <si>
    <t>406011805000</t>
  </si>
  <si>
    <t>406013400210</t>
  </si>
  <si>
    <t>406020300330</t>
  </si>
  <si>
    <t>406020302010</t>
  </si>
  <si>
    <t>406020302510</t>
  </si>
  <si>
    <t>406020303790</t>
  </si>
  <si>
    <t>406020304060</t>
  </si>
  <si>
    <t>406020304780</t>
  </si>
  <si>
    <t>406020305140</t>
  </si>
  <si>
    <t>406020305310</t>
  </si>
  <si>
    <t>406020306610</t>
  </si>
  <si>
    <t>406020307280</t>
  </si>
  <si>
    <t>406020307860</t>
  </si>
  <si>
    <t>406020307920</t>
  </si>
  <si>
    <t>406032900010</t>
  </si>
  <si>
    <t>AR0100005009</t>
  </si>
  <si>
    <t>AR0100006723</t>
  </si>
  <si>
    <t>AR0100007262</t>
  </si>
  <si>
    <t>AR0100007343</t>
  </si>
  <si>
    <t>AR0100007600</t>
  </si>
  <si>
    <t>AR0100007881</t>
  </si>
  <si>
    <t>AR0100008026</t>
  </si>
  <si>
    <t>AR0100008132</t>
  </si>
  <si>
    <t>AR0100008166</t>
  </si>
  <si>
    <t>AR0100009064</t>
  </si>
  <si>
    <t>AR0100009347</t>
  </si>
  <si>
    <t>AR0100009728</t>
  </si>
  <si>
    <t>AR0100010012</t>
  </si>
  <si>
    <t>AR0100010018</t>
  </si>
  <si>
    <t>AR0300006071</t>
  </si>
  <si>
    <t>AR0300007170</t>
  </si>
  <si>
    <t>406011301130</t>
  </si>
  <si>
    <t>406011303310</t>
  </si>
  <si>
    <t>406011306240</t>
  </si>
  <si>
    <t>406011308140</t>
  </si>
  <si>
    <t>406011308840</t>
  </si>
  <si>
    <t>406011309320</t>
  </si>
  <si>
    <t>406011802960</t>
  </si>
  <si>
    <t>406011804470</t>
  </si>
  <si>
    <t>406011804750</t>
  </si>
  <si>
    <t>406011804860</t>
  </si>
  <si>
    <t>406011805100</t>
  </si>
  <si>
    <t>406013405330</t>
  </si>
  <si>
    <t>406020301750</t>
  </si>
  <si>
    <t>406020303240</t>
  </si>
  <si>
    <t>406020303770</t>
  </si>
  <si>
    <t>406020305080</t>
  </si>
  <si>
    <t>406020306260</t>
  </si>
  <si>
    <t>406020306400</t>
  </si>
  <si>
    <t>406020307070</t>
  </si>
  <si>
    <t>406020307110</t>
  </si>
  <si>
    <t>406020308030</t>
  </si>
  <si>
    <t>AR0100000994</t>
  </si>
  <si>
    <t>AR0100000645</t>
  </si>
  <si>
    <t>AR0100000827</t>
  </si>
  <si>
    <t>AR0100002538</t>
  </si>
  <si>
    <t>AR0100002539</t>
  </si>
  <si>
    <t>406011300060</t>
  </si>
  <si>
    <t>406011305970</t>
  </si>
  <si>
    <t>406011306190</t>
  </si>
  <si>
    <t>406011308370</t>
  </si>
  <si>
    <t>406011801150</t>
  </si>
  <si>
    <t>406011801780</t>
  </si>
  <si>
    <t>406011802090</t>
  </si>
  <si>
    <t>406011802280</t>
  </si>
  <si>
    <t>406011802540</t>
  </si>
  <si>
    <t>406011804060</t>
  </si>
  <si>
    <t>406011804530</t>
  </si>
  <si>
    <t>406011805020</t>
  </si>
  <si>
    <t>406020301210</t>
  </si>
  <si>
    <t>406020302000</t>
  </si>
  <si>
    <t>406020302050</t>
  </si>
  <si>
    <t>406020302500</t>
  </si>
  <si>
    <t>406020302880</t>
  </si>
  <si>
    <t>406020305130</t>
  </si>
  <si>
    <t>406020306450</t>
  </si>
  <si>
    <t>406020307040</t>
  </si>
  <si>
    <t>406019800280</t>
  </si>
  <si>
    <t>406020300980</t>
  </si>
  <si>
    <t>406020302290</t>
  </si>
  <si>
    <t>406020302530</t>
  </si>
  <si>
    <t>406020302650</t>
  </si>
  <si>
    <t>406020304630</t>
  </si>
  <si>
    <t>406020305250</t>
  </si>
  <si>
    <t>406020305700</t>
  </si>
  <si>
    <t>406020306490</t>
  </si>
  <si>
    <t>406020307210</t>
  </si>
  <si>
    <t>406020307710</t>
  </si>
  <si>
    <t>406020308440</t>
  </si>
  <si>
    <t>406020800540</t>
  </si>
  <si>
    <t>406020800960</t>
  </si>
  <si>
    <t>AR0100000896</t>
  </si>
  <si>
    <t>AR0100000982</t>
  </si>
  <si>
    <t>AR0100001065</t>
  </si>
  <si>
    <t>AR0100001085</t>
  </si>
  <si>
    <t>AR0100004494</t>
  </si>
  <si>
    <t>AR0100004890</t>
  </si>
  <si>
    <t>AR0100005285</t>
  </si>
  <si>
    <t>AR0100005658</t>
  </si>
  <si>
    <t>AR0100005900</t>
  </si>
  <si>
    <t>406020800970</t>
  </si>
  <si>
    <t>AR0100000790</t>
  </si>
  <si>
    <t>AR0100000793</t>
  </si>
  <si>
    <t>AR0100000930</t>
  </si>
  <si>
    <t>AR0100001020</t>
  </si>
  <si>
    <t>AR0100001054</t>
  </si>
  <si>
    <t>AR0100001089</t>
  </si>
  <si>
    <t>406011301300</t>
  </si>
  <si>
    <t>406011301310</t>
  </si>
  <si>
    <t>406011301680</t>
  </si>
  <si>
    <t>406011302740</t>
  </si>
  <si>
    <t>406011303320</t>
  </si>
  <si>
    <t>406011305980</t>
  </si>
  <si>
    <t>406011307670</t>
  </si>
  <si>
    <t>406011308340</t>
  </si>
  <si>
    <t>406011309190</t>
  </si>
  <si>
    <t>406011800190</t>
  </si>
  <si>
    <t>406011801090</t>
  </si>
  <si>
    <t>406011801210</t>
  </si>
  <si>
    <t>406011801560</t>
  </si>
  <si>
    <t>406011801800</t>
  </si>
  <si>
    <t>406011803750</t>
  </si>
  <si>
    <t>406011804270</t>
  </si>
  <si>
    <t>406013401670</t>
  </si>
  <si>
    <t>406013405380</t>
  </si>
  <si>
    <t>406020300160</t>
  </si>
  <si>
    <t>406020300450</t>
  </si>
  <si>
    <t>406020301970</t>
  </si>
  <si>
    <t>406020302580</t>
  </si>
  <si>
    <t>406020303080</t>
  </si>
  <si>
    <t>406020303510</t>
  </si>
  <si>
    <t>406020303920</t>
  </si>
  <si>
    <t>406020304410</t>
  </si>
  <si>
    <t>406033700010</t>
  </si>
  <si>
    <t>AR0100000576</t>
  </si>
  <si>
    <t>AR0100000665</t>
  </si>
  <si>
    <t>AR0100000860</t>
  </si>
  <si>
    <t>AR0100000871</t>
  </si>
  <si>
    <t>AR0100001100</t>
  </si>
  <si>
    <t>AR0100002802</t>
  </si>
  <si>
    <t>406011300490</t>
  </si>
  <si>
    <t>406011301550</t>
  </si>
  <si>
    <t>406011301570</t>
  </si>
  <si>
    <t>406011302520</t>
  </si>
  <si>
    <t>406011305580</t>
  </si>
  <si>
    <t>406011305790</t>
  </si>
  <si>
    <t>406011306990</t>
  </si>
  <si>
    <t>406011308780</t>
  </si>
  <si>
    <t>406011309390</t>
  </si>
  <si>
    <t>406011309410</t>
  </si>
  <si>
    <t>406011800260</t>
  </si>
  <si>
    <t>406011800790</t>
  </si>
  <si>
    <t>406011800820</t>
  </si>
  <si>
    <t>406011801030</t>
  </si>
  <si>
    <t>406011802190</t>
  </si>
  <si>
    <t>406011802250</t>
  </si>
  <si>
    <t>406011802790</t>
  </si>
  <si>
    <t>406011802800</t>
  </si>
  <si>
    <t>406011804260</t>
  </si>
  <si>
    <t>406011804410</t>
  </si>
  <si>
    <t>406011804550</t>
  </si>
  <si>
    <t>406020300400</t>
  </si>
  <si>
    <t>406020300440</t>
  </si>
  <si>
    <t>406020301630</t>
  </si>
  <si>
    <t>406020302610</t>
  </si>
  <si>
    <t>406020302830</t>
  </si>
  <si>
    <t>406020303940</t>
  </si>
  <si>
    <t>406020304680</t>
  </si>
  <si>
    <t>406020304870</t>
  </si>
  <si>
    <t>406020305000</t>
  </si>
  <si>
    <t>406020306280</t>
  </si>
  <si>
    <t>406020306550</t>
  </si>
  <si>
    <t>406020306720</t>
  </si>
  <si>
    <t>406020306990</t>
  </si>
  <si>
    <t>406020307050</t>
  </si>
  <si>
    <t>406020307180</t>
  </si>
  <si>
    <t>406020307190</t>
  </si>
  <si>
    <t>406020307500</t>
  </si>
  <si>
    <t>406020307610</t>
  </si>
  <si>
    <t>406020308450</t>
  </si>
  <si>
    <t>AR0300007096</t>
  </si>
  <si>
    <t>AR0300025000</t>
  </si>
  <si>
    <t>AR0100004745</t>
  </si>
  <si>
    <t>AR0100005859</t>
  </si>
  <si>
    <t>AR0100005758</t>
  </si>
  <si>
    <t>AR0100006130</t>
  </si>
  <si>
    <t>AR0100006206</t>
  </si>
  <si>
    <t>AR0100006225</t>
  </si>
  <si>
    <t>AR0100007229</t>
  </si>
  <si>
    <t>AR0100007278</t>
  </si>
  <si>
    <t>AR0100007594</t>
  </si>
  <si>
    <t>AR0100007604</t>
  </si>
  <si>
    <t>AR0100007931</t>
  </si>
  <si>
    <t>AR0100008143</t>
  </si>
  <si>
    <t>AR0100008149</t>
  </si>
  <si>
    <t>AR0100009034</t>
  </si>
  <si>
    <t>AR0100009060</t>
  </si>
  <si>
    <t>AR0100010108</t>
  </si>
  <si>
    <t>AR0100010206</t>
  </si>
  <si>
    <t>AR0100010304</t>
  </si>
  <si>
    <t>AR0300003434</t>
  </si>
  <si>
    <t>AR0300006898</t>
  </si>
  <si>
    <t>AR0300007095</t>
  </si>
  <si>
    <t>AR0300009116</t>
  </si>
  <si>
    <t>AR0300028616</t>
  </si>
  <si>
    <t>AR0100002550</t>
  </si>
  <si>
    <t>AR0100002582</t>
  </si>
  <si>
    <t>AR0100005109</t>
  </si>
  <si>
    <t>AR0100005466</t>
  </si>
  <si>
    <t>AR0100005898</t>
  </si>
  <si>
    <t>AR0100006810</t>
  </si>
  <si>
    <t>AR0100006905</t>
  </si>
  <si>
    <t>AR0100005061</t>
  </si>
  <si>
    <t>AR0100005092</t>
  </si>
  <si>
    <t>AR0100005210</t>
  </si>
  <si>
    <t>AR0100005976</t>
  </si>
  <si>
    <t>AR0100006284</t>
  </si>
  <si>
    <t>AR0100006832</t>
  </si>
  <si>
    <t>AR0100007215</t>
  </si>
  <si>
    <t>AR0100007416</t>
  </si>
  <si>
    <t>AR0100007565</t>
  </si>
  <si>
    <t>AR0100004794</t>
  </si>
  <si>
    <t>AR0100005093</t>
  </si>
  <si>
    <t>AR0100005325</t>
  </si>
  <si>
    <t>AR0100005902</t>
  </si>
  <si>
    <t>AR0100006111</t>
  </si>
  <si>
    <t>AR0100006129</t>
  </si>
  <si>
    <t>AR0100006382</t>
  </si>
  <si>
    <t>AR0100006406</t>
  </si>
  <si>
    <t>AR0100006422</t>
  </si>
  <si>
    <t>AR0100006815</t>
  </si>
  <si>
    <t>AR0100007782</t>
  </si>
  <si>
    <t>AR0100007884</t>
  </si>
  <si>
    <t>AR0100007925</t>
  </si>
  <si>
    <t>406020305600</t>
  </si>
  <si>
    <t>406020305730</t>
  </si>
  <si>
    <t>406020305740</t>
  </si>
  <si>
    <t>406020800310</t>
  </si>
  <si>
    <t>406020800870</t>
  </si>
  <si>
    <t>AR0100000759</t>
  </si>
  <si>
    <t>AR0100000849</t>
  </si>
  <si>
    <t>AR0100001028</t>
  </si>
  <si>
    <t>AR0100001102</t>
  </si>
  <si>
    <t>AR0100001143</t>
  </si>
  <si>
    <t>AR0100006474</t>
  </si>
  <si>
    <t>AR0100006848</t>
  </si>
  <si>
    <t>AR0100007139</t>
  </si>
  <si>
    <t>AR0100008130</t>
  </si>
  <si>
    <t>AR0100009420</t>
  </si>
  <si>
    <t>AR0100009481</t>
  </si>
  <si>
    <t>AR0100009536</t>
  </si>
  <si>
    <t>AR0100010011</t>
  </si>
  <si>
    <t>AR0100010034</t>
  </si>
  <si>
    <t>AR0100010189</t>
  </si>
  <si>
    <t>AR0100010280</t>
  </si>
  <si>
    <t>AR0100010306</t>
  </si>
  <si>
    <t>406011301360</t>
  </si>
  <si>
    <t>406011302780</t>
  </si>
  <si>
    <t>406011308790</t>
  </si>
  <si>
    <t>406011309000</t>
  </si>
  <si>
    <t>406011309080</t>
  </si>
  <si>
    <t>406011309480</t>
  </si>
  <si>
    <t>406011309570</t>
  </si>
  <si>
    <t>406011800010</t>
  </si>
  <si>
    <t>406011801340</t>
  </si>
  <si>
    <t>406011801770</t>
  </si>
  <si>
    <t>406011801970</t>
  </si>
  <si>
    <t>406011802200</t>
  </si>
  <si>
    <t>406011802880</t>
  </si>
  <si>
    <t>406011803050</t>
  </si>
  <si>
    <t>406011803610</t>
  </si>
  <si>
    <t>406011804570</t>
  </si>
  <si>
    <t>AR0100002551</t>
  </si>
  <si>
    <t>AR0100002858</t>
  </si>
  <si>
    <t>AR0100004743</t>
  </si>
  <si>
    <t>Ult Control</t>
  </si>
  <si>
    <t>Ultimo año</t>
  </si>
  <si>
    <t>Ultimos 6 meses</t>
  </si>
  <si>
    <t>Ultimo Año</t>
  </si>
  <si>
    <t>Salio del total</t>
  </si>
  <si>
    <t>ABA O NETA +1,5</t>
  </si>
  <si>
    <t>ABA ULT 6 MESES</t>
  </si>
  <si>
    <t>ABA ULT AÑO</t>
  </si>
  <si>
    <t>Etiquetas de fila</t>
  </si>
  <si>
    <t>Total general</t>
  </si>
  <si>
    <t>Cuenta de Pozo largo</t>
  </si>
  <si>
    <t>Se sacan los pozos de 1,5 de neta sacados del total</t>
  </si>
  <si>
    <t>Se sacan los pozos fuera del total hace mas de 6 meses y 1 año</t>
  </si>
  <si>
    <t>(Varios elementos)</t>
  </si>
  <si>
    <t>984 POZOS</t>
  </si>
  <si>
    <t>Se sacan los pozos fuera del total hace mas de 6 meses</t>
  </si>
  <si>
    <t>946 POZOS</t>
  </si>
  <si>
    <t>880 POZOS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</si>
</sst>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3" borderId="0" xfId="0" applyFont="1" applyFill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27" formatCode="d/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NSO, JUAN CARLOS VALENTIN" refreshedDate="45975.436200231481" createdVersion="8" refreshedVersion="8" minRefreshableVersion="3" recordCount="2984" xr:uid="{2610C391-80DA-4F74-A29D-E1DC4BEFD0A7}">
  <cacheSource type="worksheet">
    <worksheetSource name="Consulta1"/>
  </cacheSource>
  <cacheFields count="11">
    <cacheField name="Pozo largo" numFmtId="0">
      <sharedItems count="2984">
        <s v="YPF.SC.CnE-1284"/>
        <s v="YPF.SC.CnE-1373"/>
        <s v="YPF.SC.CG-985"/>
        <s v="YPF.SC.CnE-1464"/>
        <s v="YPF.SC.CnE-329"/>
        <s v="YPF.SC.CnE.a-371"/>
        <s v="YPF.SC.CnE.a-373"/>
        <s v="YPF.SC.CnE.a-477"/>
        <s v="YPF.SC.CnE.a-496"/>
        <s v="YPF.SC.CnE-506"/>
        <s v="YPF.SC.CnE-554"/>
        <s v="YPF.SC.CnE.a-599"/>
        <s v="YPF.SC.CnE-634"/>
        <s v="YPF.SC.CnE-679"/>
        <s v="YPF.SC.CnE-712"/>
        <s v="YPF.SC.BB-20"/>
        <s v="YPF.SC.BB-45"/>
        <s v="YPF.SC.BB-46"/>
        <s v="YPF.SC.BB-64"/>
        <s v="YPF.SC.BB.a-76"/>
        <s v="YPF.SC.BB-84"/>
        <s v="YPF.SC.BB-90"/>
        <s v="YPF.SC.ELChE.x-1"/>
        <s v="YPF.SC.BB-24"/>
        <s v="YPF.SC.CnE-67"/>
        <s v="YPF.SC.CnE.a-203"/>
        <s v="YPF.SC.CG-200"/>
        <s v="YPF.SC.LC.a-4"/>
        <s v="YPF.SC.LH-52"/>
        <s v="YPF.SC.LH-58"/>
        <s v="YPF.SC.LH.a-66"/>
        <s v="YPF.SC.LH-95"/>
        <s v="CR-1[00]"/>
        <s v="YPF.SC.LH-204"/>
        <s v="YPF.SC.LH-298"/>
        <s v="YPF.SC.LH-471"/>
        <s v="YPF.SC.LH-472"/>
        <s v="YPF.SC.CG-92"/>
        <s v="YPF.SC.CnE-869"/>
        <s v="YPF.SC.LC-630"/>
        <s v="YPF.SC.LH-972"/>
        <s v="YPF.SC.CnE-1112"/>
        <s v="YPF.SC.CnE-1111"/>
        <s v="YPF.SC.CnE-1217"/>
        <s v="YPF.SC.CnE-1176"/>
        <s v="YPF.SC.LH-1054"/>
        <s v="YPF.SC.CnE-892"/>
        <s v="YPF.SC.LH-1088"/>
        <s v="YPF.SC.LH-215"/>
        <s v="YPF.SC.LH-251"/>
        <s v="YPF.SC.LH-485"/>
        <s v="YPF.SC.LH-572"/>
        <s v="YPF.SC.LH-712"/>
        <s v="YPF.SC.LH-736"/>
        <s v="YPF.SC.LH-793"/>
        <s v="YPF.SC.LH-821"/>
        <s v="YPF.SC.LH-918"/>
        <s v="YPF.SC.CG-27"/>
        <s v="YPF.SC.CG-93"/>
        <s v="YPF.SC.CG-387"/>
        <s v="YPF.SC.CG-460"/>
        <s v="YPF.SC.CG.a-474"/>
        <s v="YPF.SC.ECa.x-1"/>
        <s v="YPF.SC.N-40"/>
        <s v="YPF.SC.CnE-285"/>
        <s v="YPF.SC.CnE.a-292"/>
        <s v="YPF.SC.CnE-370"/>
        <s v="YPF.SC.LH.a-537"/>
        <s v="YPF.SC.LH-610"/>
        <s v="YPF.SC.LH-772"/>
        <s v="YPF.SC.LH.xp-850"/>
        <s v="YPF.SC.LH-886"/>
        <s v="YPF.SC.LH-909"/>
        <s v="YPF.SC.LH-912"/>
        <s v="YPF.SC.LH-926"/>
        <s v="YPF.SC.CG-95"/>
        <s v="YPF.SC.CG-113"/>
        <s v="YPF.SC.CG.a-186"/>
        <s v="YPF.SC.CG-213"/>
        <s v="YPF.SC.CG-244"/>
        <s v="YPF.SC.CG-327"/>
        <s v="YPF.SC.CG-338"/>
        <s v="YPF.SC.CG-376"/>
        <s v="YPF.SC.CG-451"/>
        <s v="YPF.SC.CG-459"/>
        <s v="YPF.SC.CG.a-494"/>
        <s v="YPF.SC.N-56"/>
        <s v="YPF.SC.CnE-89"/>
        <s v="YPF.SC.CnE-148"/>
        <s v="YPF.SC.CnE-160"/>
        <s v="YPF.SC.CnE-223"/>
        <s v="YPF.SC.CnE-239"/>
        <s v="YPF.SC.CnE-321"/>
        <s v="YPF.SC.LH-83"/>
        <s v="YPF.SC.LH-147"/>
        <s v="YPF.SC.LH-676"/>
        <s v="YPF.SC.LH-901"/>
        <s v="YPF.SC.CG-105"/>
        <s v="YPF.SC.CG-135"/>
        <s v="YPF.SC.CG-342"/>
        <s v="YPF.SC.CnE-97"/>
        <s v="YPF.SC.CnE-119"/>
        <s v="YPF.SC.CnE-169"/>
        <s v="YPF.SC.CnE-421"/>
        <s v="YPF.SC.CnE-543"/>
        <s v="YPF.SC.CnE.a-610(I)"/>
        <s v="YPF.SC.CnE-723"/>
        <s v="YPF.SC.CnE-791"/>
        <s v="YPF.SC.CnE-827"/>
        <s v="YPF.SC.BB-52"/>
        <s v="YPF.SC.BB-56"/>
        <s v="YPF.SC.BB-79"/>
        <s v="YPF.SC.BB-23"/>
        <s v="YPF.SC.BB.a-37"/>
        <s v="YPF.SC.BB-59"/>
        <s v="YPF.SC.CnE.a-564"/>
        <s v="YPF.SC.LH-242"/>
        <s v="YPF.SC.CG.a-15"/>
        <s v="YPF.SC.CG-51"/>
        <s v="YPF.SC.LH.a-973"/>
        <s v="YPF.SC.BB.a-107"/>
        <s v="YPF.SC.LH-133"/>
        <s v="YPF.SC.LH-142"/>
        <s v="YPF.SC.LH-169"/>
        <s v="YPF.SC.LH-191"/>
        <s v="YPF.SC.LH-616"/>
        <s v="YPF.SC.LH-741"/>
        <s v="YPF.SC.LH-766"/>
        <s v="YPF.SC.LH.a-842"/>
        <s v="YPF.SC.LH-846"/>
        <s v="YPF.SC.LH-852"/>
        <s v="YPF.SC.CG.a-107"/>
        <s v="YPF.SC.CG.a-183"/>
        <s v="YPF.SC.CG-490"/>
        <s v="YPF.SC.LC-431"/>
        <s v="YPF.SC.CnE-53"/>
        <s v="YPF.SC.CnE-213"/>
        <s v="YPF.SC.CnE-305"/>
        <s v="YPF.SC.CnE-387"/>
        <s v="YPF.SC.CnE-400"/>
        <s v="YPF.SC.CnE-402"/>
        <s v="YPF.SC.CnE-420"/>
        <s v="YPF.SC.CnE-555"/>
        <s v="YPF.SC.CnE.a-592"/>
        <s v="YPF.SC.CnE-796"/>
        <s v="YPF.SC.EaSJ.x-2"/>
        <s v="YPF.SC.CnE.a-7"/>
        <s v="YPF.SC.CnE.a-126"/>
        <s v="YPF.SC.LH-47"/>
        <s v="YPF.SC.LH-487"/>
        <s v="YPF.SC.LH-124"/>
        <s v="YPF.SC.LH-237"/>
        <s v="YPF.SC.LH-275"/>
        <s v="YPF.SC.LH-490"/>
        <s v="YPF.SC.LH-503"/>
        <s v="YPF.SC.LH-569"/>
        <s v="YPF.SC.CG.a-128"/>
        <s v="YPF.SC.CG-465"/>
        <s v="YPF.SC.CG-468"/>
        <s v="YPF.SC.LH.a-1027"/>
        <s v="YPF.SC.LH-1082"/>
        <s v="YPF.SC.LH-1124"/>
        <s v="YPF.SC.CnE-945"/>
        <s v="YPF.SC.CG-626"/>
        <s v="YPF.SC.CnE-993"/>
        <s v="YPF.SC.CnE-1044"/>
        <s v="YPF.SC.BB-127"/>
        <s v="YPF.SC.LH-1232"/>
        <s v="YPF.SC.CnE-1352"/>
        <s v="YPF.SC.CnE-1418"/>
        <s v="YPF.SC.CnE-902"/>
        <s v="YPF.SC.LH-1080"/>
        <s v="YPF.SC.CG-553"/>
        <s v="YPF.SC.LH-1065"/>
        <s v="YPF.SC.BB-47"/>
        <s v="YPF.SC.LH-1100"/>
        <s v="YPF.SC.CG-575"/>
        <s v="YPF.SC.CnE-944"/>
        <s v="YPF.SC.CnE.a-953"/>
        <s v="YPF.SC.CnE-974"/>
        <s v="YPF.SC.CnE-980"/>
        <s v="YPF.SC.LH-1180"/>
        <s v="YPF.SC.CG-639"/>
        <s v="YPF.SC.CG-699"/>
        <s v="YPF.SC.CG-737"/>
        <s v="YPF.SC.CG-754"/>
        <s v="YPF.SC.CG-811"/>
        <s v="YPF.SC.CnE-1215(d)"/>
        <s v="YPF.SC.CnE-1218"/>
        <s v="YPF.SC.LH-1240"/>
        <s v="YPF.SC.CnE-1273"/>
        <s v="YPF.SC.CnE-1274(d)"/>
        <s v="YPF.SC.CG-915"/>
        <s v="YPF.SC.LH-1254"/>
        <s v="YPF.SC.LH-1256"/>
        <s v="YPF.SC.BB.a-7"/>
        <s v="YPF.SC.LH-241(I)"/>
        <s v="YPF.SC.LH.a-7"/>
        <s v="YPF.SC.LH.a-437"/>
        <s v="YPF.SC.LH-507"/>
        <s v="YPF.SC.CG-48"/>
        <s v="YPF.SC.CG-199"/>
        <s v="YPF.SC.CnE.a-880"/>
        <s v="YPF.SC.LH-1011"/>
        <s v="YPF.SC.LH.a-979"/>
        <s v="YPF.SC.CG.a-532"/>
        <s v="YPF.SC.LH-1009"/>
        <s v="YPF.SC.CnE-894"/>
        <s v="YPF.SC.LH-1079"/>
        <s v="YPF.SC.LH-1113"/>
        <s v="YPF.SC.CG-610"/>
        <s v="YPF.SC.CG-584"/>
        <s v="YPF.SC.CG-585"/>
        <s v="YPF.SC.LH-1112"/>
        <s v="YPF.SC.LH-1107"/>
        <s v="YPF.SC.CnE-957"/>
        <s v="YPF.SC.CnE-962"/>
        <s v="YPF.SC.CG-653"/>
        <s v="YPF.SC.CnE-1000"/>
        <s v="YPF.SC.CG-716"/>
        <s v="YPF.SC.CnE-1260"/>
        <s v="YPF.SC.CG-857"/>
        <s v="YPF.SC.CnE-1234"/>
        <s v="YPF.SC.LH-1252"/>
        <s v="YPF.SC.CnE-994"/>
        <s v="YPF.SC.CnE.a-1430"/>
        <s v="YPF.SC.LH-1048"/>
        <s v="YPF.SC.LH.a-1028"/>
        <s v="YPF.SC.LH-1095"/>
        <s v="YPF.SC.CG-609"/>
        <s v="YPF.SC.CG-625"/>
        <s v="YPF.SC.CnE-964"/>
        <s v="YPF.SC.CG-637"/>
        <s v="YPF.SC.CG-672"/>
        <s v="YPF.SC.CG-663"/>
        <s v="YPF.SC.CG-682"/>
        <s v="YPF.SC.CG-797"/>
        <s v="YPF.SC.CnE-1216"/>
        <s v="YPF.SC.CnE-1200(d)"/>
        <s v="YPF.SC.CnE-1207"/>
        <s v="YPF.SC.CG-869"/>
        <s v="YPF.SC.CnE-1228"/>
        <s v="YPF.SC.CnE-1348"/>
        <s v="YPF.SC.CnE-1366"/>
        <s v="YPF.SC.CnE.xp-1401"/>
        <s v="YPF.SC.CnE-991"/>
        <s v="YPF.SC.CG-768"/>
        <s v="YPF.SC.LH-205"/>
        <s v="YPF.SC.LH-247"/>
        <s v="YPF.SC.LH-482"/>
        <s v="YPF.SC.LH-549"/>
        <s v="YPF.SC.LH-606"/>
        <s v="YPF.SC.LH-825"/>
        <s v="YPF.SC.CG-10"/>
        <s v="YPF.SC.CG-232"/>
        <s v="YPF.SC.CG-267"/>
        <s v="YPF.SC.CG-364"/>
        <s v="YPF.SC.CG-396"/>
        <s v="YPF.SC.CG.a-409"/>
        <s v="YPF.SC.CG-448"/>
        <s v="YPF.SC.LC.a-11"/>
        <s v="YPF.SC.LC-89"/>
        <s v="YPF.SC.LC-578"/>
        <s v="YPF.SC.CnE-82"/>
        <s v="YPF.SC.CnE-177"/>
        <s v="YPF.SC.CnE-254"/>
        <s v="YPF.SC.CnE-294"/>
        <s v="YPF.SC.CnE-356"/>
        <s v="YPF.SC.CnE.a-389"/>
        <s v="YPF.SC.CnE-636"/>
        <s v="YPF.SC.CnE-691"/>
        <s v="YPF.SC.CnE-799"/>
        <s v="YPF.SC.BB-100"/>
        <s v="YPF.SC.LH-241"/>
        <s v="YPF.SC.CnE-442"/>
        <s v="YPF.SC.CnE-499"/>
        <s v="YPF.SC.CnE-502"/>
        <s v="YPF.SC.CnE.a-588"/>
        <s v="YPF.SC.CnE-689"/>
        <s v="YPF.SC.CnE-696"/>
        <s v="YPF.SC.LH-293"/>
        <s v="YPF.SC.LH.a-11"/>
        <s v="YPF.SC.LH-45"/>
        <s v="YPF.SC.CG.a-303"/>
        <s v="YPF.SC.LH-402"/>
        <s v="YPF.SC.LH-489"/>
        <s v="YPF.SC.CnE-881"/>
        <s v="YPF.SC.CG.a-583"/>
        <s v="YPF.SC.LH-1142"/>
        <s v="YPF.SC.LH-1172"/>
        <s v="YPF.SC.CG-627"/>
        <s v="YPF.SC.CG-670"/>
        <s v="YPF.SC.LH-1169"/>
        <s v="YPF.SC.CnE-1064"/>
        <s v="YPF.SC.CG-785"/>
        <s v="YPF.SC.CnE-1114"/>
        <s v="YPF.SC.CnE-1188"/>
        <s v="YPF.SC.LH-1229"/>
        <s v="YPF.SC.CG-870"/>
        <s v="YPF.SC.CG-876"/>
        <s v="YPF.SC.CnE-1387"/>
        <s v="YPF.SC.LH-1300"/>
        <s v="YPF.SC.CnE-1433"/>
        <s v="YPF.SC.CG-804"/>
        <s v="YPF.SC.CG-733"/>
        <s v="YPF.SC.CnE-1119"/>
        <s v="YPF.SC.CnE-904"/>
        <s v="YPF.SC.CnE-914"/>
        <s v="YPF.SC.LH-1092"/>
        <s v="YPF.SC.CnE.a-1343"/>
        <s v="YPF.SC.CG-951"/>
        <s v="YPF.SC.LH-1255"/>
        <s v="YPF.SC.BB-174"/>
        <s v="YPF.SC.O-200"/>
        <s v="YPF.SC.LH-89"/>
        <s v="YPF.SC.LH-208"/>
        <s v="YPF.SC.LH-575"/>
        <s v="YPF.SC.LH-636"/>
        <s v="YPF.SC.LH-647"/>
        <s v="YPF.SC.LH-680"/>
        <s v="YPF.SC.LH-807"/>
        <s v="YPF.SC.LH-931"/>
        <s v="YPF.SC.CG-360"/>
        <s v="YPF.SC.CG-367"/>
        <s v="YPF.SC.CG-395"/>
        <s v="YPF.SC.CG-437"/>
        <s v="YPF.SC.CG-489"/>
        <s v="YPF.SC.CnE-72"/>
        <s v="YPF.SC.CnE-123"/>
        <s v="YPF.SC.CnE-279"/>
        <s v="YPF.SC.CnE-397"/>
        <s v="YPF.SC.CnE-427"/>
        <s v="YPF.SC.CnE-433"/>
        <s v="YPF.SC.CnE-470"/>
        <s v="YPF.SC.CnE-548"/>
        <s v="YPF.SC.CnE-579"/>
        <s v="YPF.SC.CnE-618"/>
        <s v="YPF.SC.CnE-630"/>
        <s v="YPF.SC.CnE-756"/>
        <s v="YPF.SC.CnE-785"/>
        <s v="YPF.SC.CnE-851"/>
        <s v="YPF.SC.BB.a-68"/>
        <s v="YPF.SC.LH-492"/>
        <s v="YPF.SC.LH-255"/>
        <s v="YPF.SC.CG.a-519"/>
        <s v="YPF.SC.CG-110"/>
        <s v="YPF.SC.O-201"/>
        <s v="YPF.SC.LH-146"/>
        <s v="YPF.SC.LH-721"/>
        <s v="YPF.SC.LH-771"/>
        <s v="YPF.SC.LH-786"/>
        <s v="YPF.SC.CG-111"/>
        <s v="YPF.SC.CG.a-153"/>
        <s v="YPF.SC.CG-240"/>
        <s v="YPF.SC.CG-306"/>
        <s v="YPF.SC.CG-366"/>
        <s v="YPF.SC.CG-368"/>
        <s v="YPF.SC.CG-399"/>
        <s v="YPF.SC.CG-464"/>
        <s v="YPF.SC.CG-516"/>
        <s v="YPF.SC.CnE.a-8"/>
        <s v="YPF.SC.CnE-310"/>
        <s v="YPF.SC.CnE-330"/>
        <s v="YPF.SC.CnE.a-346"/>
        <s v="YPF.SC.CnE-403"/>
        <s v="YPF.SC.CnE-563"/>
        <s v="YPF.SC.CnE.a-586"/>
        <s v="YPF.SC.CnE.a-596"/>
        <s v="YPF.SC.CnE-660"/>
        <s v="YPF.SC.CnE-667"/>
        <s v="YPF.SC.CnE-680"/>
        <s v="YPF.SC.CnE-682"/>
        <s v="YPF.SC.CnE-713"/>
        <s v="YPF.SC.CnE-769"/>
        <s v="YPF.SC.BB.a-29"/>
        <s v="YPF.SC.LH-170"/>
        <s v="YPF.SC.LH-541"/>
        <s v="YPF.SC.CG.a-7"/>
        <s v="YPF.SC.CnE-888"/>
        <s v="YPF.SC.CG-557"/>
        <s v="YPF.SC.CnE-941"/>
        <s v="YPF.SC.LH-1161"/>
        <s v="YPF.SC.CG-618"/>
        <s v="YPF.SC.CG-642"/>
        <s v="YPF.SC.CG-787"/>
        <s v="YPF.SC.O-111"/>
        <s v="YPF.SC.LH-129"/>
        <s v="YPF.SC.LH-620"/>
        <s v="YPF.SC.LH-625"/>
        <s v="YPF.SC.LH-629"/>
        <s v="YPF.SC.CG-63"/>
        <s v="YPF.SC.CG-159"/>
        <s v="YPF.SC.CG-247"/>
        <s v="YPF.SC.CG.a-277"/>
        <s v="YPF.SC.CG-318"/>
        <s v="YPF.SC.CG-356"/>
        <s v="YPF.SC.CG.a-480"/>
        <s v="YPF.SC.BB-58"/>
        <s v="YPF.SC.BB-78"/>
        <s v="YPF.SC.CnE-30"/>
        <s v="YPF.SC.CnE.a-117"/>
        <s v="YPF.SC.CG-492"/>
        <s v="YPF.SC.LH.a-46"/>
        <s v="YPF.SC.LH-50"/>
        <s v="YPF.SC.CnE.a-476"/>
        <s v="YPF.SC.LH-435"/>
        <s v="YPF.SC.LH-235"/>
        <s v="YPF.SC.CG.a-129"/>
        <s v="YPF.SC.CG-154"/>
        <s v="YPF.SC.CG.a-77"/>
        <s v="YPF.SC.LH-76"/>
        <s v="YPF.SC.LH-55"/>
        <s v="YPF.SC.LH-193"/>
        <s v="YPF.SC.LH-570"/>
        <s v="YPF.SC.LH-689"/>
        <s v="YPF.SC.LH-816"/>
        <s v="YPF.SC.CG-86"/>
        <s v="YPF.SC.CG.a-142"/>
        <s v="YPF.SC.CG-168"/>
        <s v="YPF.SC.CG-237"/>
        <s v="YPF.SC.CG.a-302"/>
        <s v="YPF.SC.CG-462"/>
        <s v="YPF.SC.CG-503"/>
        <s v="YPF.SC.CnE-212"/>
        <s v="YPF.SC.CnE-214"/>
        <s v="YPF.SC.CnE-353"/>
        <s v="YPF.SC.CnE.a-391"/>
        <s v="YPF.SC.CnE-404"/>
        <s v="YPF.SC.CnE-411"/>
        <s v="YPF.SC.CnE-444"/>
        <s v="YPF.SC.CnE-462"/>
        <s v="YPF.SC.CnE-551"/>
        <s v="YPF.SC.CnE-576"/>
        <s v="YPF.SC.CnE-627"/>
        <s v="YPF.SC.CnE-733"/>
        <s v="YPF.SC.BB.a-11"/>
        <s v="YPF.SC.BB-93"/>
        <s v="YPF.SC.BB-98"/>
        <s v="YPF.SC.LHS.x-2"/>
        <s v="YPF.SC.LH-287"/>
        <s v="YPF.SC.LH-120"/>
        <s v="YPF.SC.CG.a-80"/>
        <s v="YPF.SC.CG-106"/>
        <s v="YPF.SC.LH-996"/>
        <s v="YPF.SC.LH-1013"/>
        <s v="YPF.SC.LH-1006"/>
        <s v="YPF.SC.CnE-895"/>
        <s v="YPF.SC.LH-1046"/>
        <s v="YPF.SC.CnE-873"/>
        <s v="YPF.SC.LH-1081"/>
        <s v="YPF.SC.CG-537"/>
        <s v="YPF.SC.LH-1091"/>
        <s v="YPF.SC.LH-1094"/>
        <s v="YPF.SC.CnE-920"/>
        <s v="YPF.SC.CG.a-574"/>
        <s v="YPF.SC.CG.a-582"/>
        <s v="YPF.SC.LH-1135"/>
        <s v="YPF.SC.LH-1159"/>
        <s v="YPF.SC.CnE-972"/>
        <s v="YPF.SC.LH-1174"/>
        <s v="YPF.SC.CG-713"/>
        <s v="YPF.SC.CnE-1090"/>
        <s v="YPF.SC.CG-793"/>
        <s v="YPF.SC.LH-1215"/>
        <s v="YPF.SC.CnE-1154"/>
        <s v="YPF.SC.CnE-1104"/>
        <s v="YPF.SC.LH-1228"/>
        <s v="YPF.SC.CG-875"/>
        <s v="YPF.SC.CG-958"/>
        <s v="YPF.SC.LH-1"/>
        <s v="YPF.SC.LH-116"/>
        <s v="YPF.SC.LH-190"/>
        <s v="YPF.SC.LH-218"/>
        <s v="YPF.SC.LH-528"/>
        <s v="YPF.SC.LH-530"/>
        <s v="YPF.SC.LH-551"/>
        <s v="YPF.SC.LH-590"/>
        <s v="YPF.SC.LH-667"/>
        <s v="YPF.SC.LH-678"/>
        <s v="YPF.SC.LH-742"/>
        <s v="YPF.SC.LH-794"/>
        <s v="YPF.SC.LH-813"/>
        <s v="YPF.SC.LH-891"/>
        <s v="YPF.SC.LH-897"/>
        <s v="YPF.SC.LH-960"/>
        <s v="YPF.SC.CG-117"/>
        <s v="YPF.SC.CG-171"/>
        <s v="YPF.SC.CG-204"/>
        <s v="YPF.SC.CG-287"/>
        <s v="YPF.SC.CG-316"/>
        <s v="YPF.SC.CG-353"/>
        <s v="YPF.SC.CG-420"/>
        <s v="YPF.SC.CG-458"/>
        <s v="YPF.SC.CG-487"/>
        <s v="YPF.SC.CG-501"/>
        <s v="YPF.SC.LC-65"/>
        <s v="YPF.SC.N-52"/>
        <s v="YPF.SC.CnE.a-34"/>
        <s v="YPF.SC.CnE-50"/>
        <s v="YPF.SC.CnE.a-93"/>
        <s v="YPF.SC.CnE-99"/>
        <s v="YPF.SC.CnE-118"/>
        <s v="YPF.SC.CnE-149"/>
        <s v="YPF.SC.CnE-233"/>
        <s v="YPF.SC.CnE-252"/>
        <s v="YPF.SC.CnE.a-340"/>
        <s v="YPF.SC.CnE-361"/>
        <s v="YPF.SC.CnE-369"/>
        <s v="YPF.SC.CnE-472"/>
        <s v="YPF.SC.CnE-515"/>
        <s v="YPF.SC.CnE-518"/>
        <s v="YPF.SC.CnE-550"/>
        <s v="YPF.SC.CnE.a-569"/>
        <s v="YPF.SC.CnE.a-605"/>
        <s v="YPF.SC.CnE-678"/>
        <s v="YPF.SC.CnE-694"/>
        <s v="YPF.SC.CnE-773"/>
        <s v="YPF.SC.CnE-787"/>
        <s v="YPF.SC.CnE-805"/>
        <s v="YPF.SC.CnE-839"/>
        <s v="YPF.SC.CnE-850"/>
        <s v="YPF.SC.LH-226"/>
        <s v="YPF.SC.LH-229"/>
        <s v="YPF.SC.LH-631"/>
        <s v="YPF.SC.LH-815"/>
        <s v="YPF.SC.LH-859"/>
        <s v="YPF.SC.LH-923"/>
        <s v="YPF.SC.LH-942"/>
        <s v="YPF.SC.LH-943"/>
        <s v="YPF.SC.CG-102"/>
        <s v="YPF.SC.CG-147"/>
        <s v="YPF.SC.CG-163"/>
        <s v="YPF.SC.CG-216"/>
        <s v="YPF.SC.CG-238"/>
        <s v="YPF.SC.CG-484"/>
        <s v="YPF.SC.CnE-66"/>
        <s v="YPF.SC.CnE-235"/>
        <s v="YPF.SC.CnE-249"/>
        <s v="YPF.SC.CnE-263"/>
        <s v="YPF.SC.CnE-275"/>
        <s v="YPF.SC.CnE.a-345"/>
        <s v="YPF.SC.CnE.a-372"/>
        <s v="YPF.SC.CnE.a-590"/>
        <s v="YPF.SC.CnE-643"/>
        <s v="YPF.SC.CnE-653"/>
        <s v="YPF.SC.BB.a-69"/>
        <s v="YPF.SC.BB-86"/>
        <s v="YPF.SC.LH.a-40"/>
        <s v="YPF.SC.LC-13"/>
        <s v="YPF.SC.CG.a-416"/>
        <s v="YPF.SC.CG-497"/>
        <s v="YPF.SC.LH.a-152"/>
        <s v="YPF.SC.LH.a-159"/>
        <s v="YPF.SC.LH-239"/>
        <s v="YPF.SC.CG.a-20"/>
        <s v="YPF.SC.CnE-29"/>
        <s v="YPF.SC.CnE-865"/>
        <s v="YPF.SC.CnE-871"/>
        <s v="YPF.SC.CG-544"/>
        <s v="YPF.SC.LH-1016"/>
        <s v="YPF.SC.LH-1014"/>
        <s v="YPF.SC.LH-1058"/>
        <s v="YPF.SC.CG-539"/>
        <s v="YPF.SC.CG-705"/>
        <s v="YPF.SC.LH-989"/>
        <s v="YPF.SC.CnE-890"/>
        <s v="YPF.SC.CG-495"/>
        <s v="YPF.SC.LH-1050"/>
        <s v="YPF.SC.CG-552"/>
        <s v="YPF.SC.LH-1106"/>
        <s v="YPF.SC.LH-1125"/>
        <s v="YPF.SC.CnE.a-935"/>
        <s v="YPF.SC.CnE-973"/>
        <s v="YPF.SC.CnE-1002"/>
        <s v="YPF.SC.LH-1192"/>
        <s v="YPF.SC.CnE-1113"/>
        <s v="YPF.SC.CG-755"/>
        <s v="YPF.SC.CnE-1259"/>
        <s v="YPF.SC.CG-948"/>
        <s v="YPF.SC.CG-978"/>
        <s v="YPF.SC.CnE-996"/>
        <s v="YPF.SC.LH-186"/>
        <s v="YPF.SC.LH-192"/>
        <s v="YPF.SC.LH-587"/>
        <s v="YPF.SC.LH-805"/>
        <s v="YPF.SC.LH-812"/>
        <s v="YPF.SC.LH-830"/>
        <s v="YPF.SC.LH-955"/>
        <s v="YPF.SC.LH-961"/>
        <s v="YPF.SC.CG-87"/>
        <s v="YPF.SC.CG-104"/>
        <s v="YPF.SC.CG-136"/>
        <s v="YPF.SC.CG.a-140"/>
        <s v="YPF.SC.CG-436"/>
        <s v="YPF.SC.CG.a-479"/>
        <s v="YPF.SC.CG-481"/>
        <s v="YPF.SC.LC-29"/>
        <s v="YPF.SC.LH.a-39"/>
        <s v="YPF.SC.LH-48"/>
        <s v="YPF.SC.LH-141"/>
        <s v="YPF.SC.LH-145"/>
        <s v="YPF.SC.LH-594"/>
        <s v="YPF.SC.LH-652"/>
        <s v="YPF.SC.LH-653"/>
        <s v="YPF.SC.LH-668"/>
        <s v="YPF.SC.LH-949"/>
        <s v="YPF.SC.CG-164"/>
        <s v="YPF.SC.CG-297"/>
        <s v="YPF.SC.CG-314"/>
        <s v="YPF.SC.CG-373"/>
        <s v="YPF.SC.CG-454"/>
        <s v="YPF.SC.CG-456"/>
        <s v="YPF.SC.CG-461"/>
        <s v="YPF.SC.CG-483"/>
        <s v="YPF.SC.CG-509"/>
        <s v="YPF.SC.CnE-43"/>
        <s v="YPF.SC.CnE-55"/>
        <s v="YPF.SC.CnE-70"/>
        <s v="YPF.SC.CnE.a-92"/>
        <s v="YPF.SC.CnE.a-342"/>
        <s v="YPF.SC.CnE-358"/>
        <s v="YPF.SC.CnE-440"/>
        <s v="YPF.SC.CnE-475"/>
        <s v="YPF.SC.CnE-493"/>
        <s v="YPF.SC.CnE.a-584"/>
        <s v="YPF.SC.CnE-620"/>
        <s v="YPF.SC.CnE-668"/>
        <s v="YPF.SC.CnE-688"/>
        <s v="YPF.SC.CnE-739"/>
        <s v="YPF.SC.CnE-755"/>
        <s v="YPF.SC.CnE-808"/>
        <s v="YPF.SC.CnE-817"/>
        <s v="YPF.SC.CnE.a-831"/>
        <s v="YPF.SC.BB-57"/>
        <s v="YPF.SC.BB-81"/>
        <s v="YPF.SC.N-10"/>
        <s v="YPF.SC.CnE-152"/>
        <s v="YPF.SC.CnE-256"/>
        <s v="YPF.SC.CnE-260"/>
        <s v="YPF.SC.CnE-448"/>
        <s v="YPF.SC.CnE-455"/>
        <s v="YPF.SC.CnE-469"/>
        <s v="YPF.SC.CnE-658"/>
        <s v="YPF.SC.CnE-662"/>
        <s v="YPF.SC.CnE-701"/>
        <s v="YPF.SC.CnE.a-825"/>
        <s v="YPF.SC.CnE.a-9"/>
        <s v="YPF.SC.CnE-81"/>
        <s v="YPF.SC.CnE.a-225"/>
        <s v="YPF.SC.LH-273"/>
        <s v="YPF.SC.LH-538"/>
        <s v="YPF.SC.LH-567"/>
        <s v="YPF.SC.CG.a-130"/>
        <s v="YPF.SC.CG-524"/>
        <s v="YPF.SC.LH.a-975"/>
        <s v="YPF.SC.LH-1020"/>
        <s v="YPF.SC.LH-1053"/>
        <s v="YPF.SC.LH-1103"/>
        <s v="YPF.SC.LH-1109"/>
        <s v="YPF.SC.LH-1157"/>
        <s v="YPF.SC.CnE-967"/>
        <s v="YPF.SC.CG-635"/>
        <s v="YPF.SC.CG-654"/>
        <s v="YPF.SC.CnE-1043"/>
        <s v="YPF.SC.CG-695"/>
        <s v="YPF.SC.CG-794"/>
        <s v="YPF.SC.CG-831"/>
        <s v="YPF.SC.LH-1226"/>
        <s v="YPF.SC.CG-895"/>
        <s v="YPF.SC.CnE-1318"/>
        <s v="YPF.SC.LH-1251"/>
        <s v="YPF.SC.BB-137"/>
        <s v="YPF.SC.LH-1200"/>
        <s v="YPF.SC.CG-902"/>
        <s v="YPF.SC.CnE-1420"/>
        <s v="YPF.SC.CnE-995"/>
        <s v="YPF.SC.LH-316"/>
        <s v="YPF.SC.LH-525"/>
        <s v="YPF.SC.LH-683"/>
        <s v="YPF.SC.LH-730"/>
        <s v="YPF.SC.LH-829"/>
        <s v="YPF.SC.LH-844"/>
        <s v="YPF.SC.LH-860"/>
        <s v="YPF.SC.LH-885"/>
        <s v="YPF.SC.LH-954"/>
        <s v="YPF.SC.CG-112"/>
        <s v="YPF.SC.CnE-164"/>
        <s v="YPF.SC.CnE-202"/>
        <s v="YPF.SC.CnE.a-226"/>
        <s v="YPF.SC.CnE-276"/>
        <s v="YPF.SC.CnE-332"/>
        <s v="YPF.SC.CnE-405"/>
        <s v="YPF.SC.CnE-454"/>
        <s v="YPF.SC.CnE-485"/>
        <s v="YPF.SC.CnE.a-497"/>
        <s v="YPF.SC.CnE.a-610"/>
        <s v="YPF.SC.CnE-632"/>
        <s v="YPF.SC.CnE-710"/>
        <s v="YPF.SC.CnE.a-780"/>
        <s v="YPF.SC.LH-234"/>
        <s v="YPF.SC.CnE.a-6"/>
        <s v="YPF.SC.CnE-27"/>
        <s v="YPF.SC.CnE-57"/>
        <s v="YPF.SC.CnE.a-192"/>
        <s v="YPF.SC.CnE-271"/>
        <s v="YPF.SC.LH.a-67"/>
        <s v="YPF.SC.LH-500"/>
        <s v="YPF.SC.LH-992"/>
        <s v="YPF.SC.CG.a-548"/>
        <s v="YPF.SC.CG-565"/>
        <s v="YPF.SC.CG-568"/>
        <s v="YPF.SC.CG-588"/>
        <s v="YPF.SC.CnE-108"/>
        <s v="YPF.SC.CnE.a-858"/>
        <s v="YPF.SC.CnE-874"/>
        <s v="YPF.SC.CnE-918"/>
        <s v="YPF.SC.CG-611"/>
        <s v="YPF.SC.LH-1171"/>
        <s v="YPF.SC.CG-691"/>
        <s v="YPF.SC.CG-764"/>
        <s v="YPF.SC.CnE-1210"/>
        <s v="YPF.SC.CG-835"/>
        <s v="YPF.SC.CnE-1219"/>
        <s v="YPF.SC.CnE-1249"/>
        <s v="YPF.SC.LH-1249"/>
        <s v="YPF.SC.CG-952"/>
        <s v="YPF.SC.CnE.a-1429"/>
        <s v="YPF.SC.LH-54"/>
        <s v="YPF.SC.LH-91"/>
        <s v="YPF.SC.LH-256"/>
        <s v="YPF.SC.LH-321"/>
        <s v="YPF.SC.LH-817"/>
        <s v="YPF.SC.LH-847"/>
        <s v="YPF.SC.CG.a-50"/>
        <s v="YPF.SC.CG-179"/>
        <s v="YPF.SC.CG-224"/>
        <s v="YPF.SC.CG-384"/>
        <s v="YPF.SC.CG-386"/>
        <s v="YPF.SC.CG.a-405"/>
        <s v="YPF.SC.CnE-100"/>
        <s v="YPF.SC.CnE-120"/>
        <s v="YPF.SC.CnE.a-125"/>
        <s v="YPF.SC.CnE.a-130"/>
        <s v="YPF.SC.CnE-176"/>
        <s v="YPF.SC.CnE-274"/>
        <s v="YPF.SC.CnE-509"/>
        <s v="YPF.SC.CnE-561"/>
        <s v="YPF.SC.CnE-575"/>
        <s v="YPF.SC.CnE.a-589"/>
        <s v="YPF.SC.CnE.a-601"/>
        <s v="YPF.SC.CnE-664"/>
        <s v="YPF.SC.CnE-706"/>
        <s v="YPF.SC.CnE-759"/>
        <s v="YPF.SC.CnE.a-760"/>
        <s v="YPF.SC.BB-83"/>
        <s v="YPF.SC.BB-103"/>
        <s v="YPF.SC.LH.a-36"/>
        <s v="YPF.SC.CnE.a-479"/>
        <s v="YPF.SC.CG-469"/>
        <s v="YPF.SC.CnE.a-912"/>
        <s v="YPF.SC.CnE-954"/>
        <s v="YPF.SC.CnE-955"/>
        <s v="YPF.SC.LH-1179"/>
        <s v="YPF.SC.CG-629"/>
        <s v="YPF.SC.CG-644"/>
        <s v="YPF.SC.LH-1186"/>
        <s v="YPF.SC.CnE-1047"/>
        <s v="YPF.SC.CnE-1160"/>
        <s v="YPF.SC.CnE-1151"/>
        <s v="YPF.SC.CnE-1248"/>
        <s v="YPF.SC.CnE-1344"/>
        <s v="YPF.SC.CnE-1369"/>
        <s v="YPF.SC.BB-166"/>
        <s v="YPF.SC.LH-1097"/>
        <s v="YPF.SC.CG-576"/>
        <s v="YPF.SC.CG-594"/>
        <s v="YPF.SC.LH-1149"/>
        <s v="YPF.SC.CG-751(d)"/>
        <s v="YPF.SC.BB-125"/>
        <s v="YPF.SC.BB-129"/>
        <s v="YPF.SC.CnE-1103"/>
        <s v="YPF.SC.CG-872"/>
        <s v="YPF.SC.CnE-1334"/>
        <s v="YPF.SC.BB-170"/>
        <s v="YPF.SC.CG-614"/>
        <s v="YPF.SC.CnE-978"/>
        <s v="YPF.SC.CG-647"/>
        <s v="YPF.SC.LH-1197"/>
        <s v="YPF.SC.CG-786"/>
        <s v="YPF.SC.CG-789"/>
        <s v="YPF.SC.CnE-1162"/>
        <s v="YPF.SC.LH-1225"/>
        <s v="YPF.SC.CnE-1254"/>
        <s v="YPF.SC.CG-914(d)"/>
        <s v="YPF.SC.CnE-1349"/>
        <s v="YPF.SC.CG-623"/>
        <s v="YPF.SC.CnE-971"/>
        <s v="YPF.SC.CG-715"/>
        <s v="YPF.SC.CnE-1086"/>
        <s v="YPF.SC.CG-749"/>
        <s v="YPF.SC.CnE-1128"/>
        <s v="YPF.SC.CG-821"/>
        <s v="YPF.SC.CG-846(d)"/>
        <s v="YPF.SC.CnE-1102"/>
        <s v="YPF.SC.CnE-1283"/>
        <s v="YPF.SC.BB-141"/>
        <s v="YPF.SC.CnE-1296"/>
        <s v="YPF.SC.CnE-1302"/>
        <s v="YPF.SC.LH-1250"/>
        <s v="YPF.SC.CnE.a-1427"/>
        <s v="YPF.SC.LH.a-4"/>
        <s v="YPF.SC.LH-80"/>
        <s v="YPF.SC.LH-109"/>
        <s v="YPF.SC.LH-134"/>
        <s v="YPF.SC.LH-475"/>
        <s v="YPF.SC.LH.a-479"/>
        <s v="YPF.SC.LH-810"/>
        <s v="YPF.SC.LH-883"/>
        <s v="YPF.SC.LH-907"/>
        <s v="YPF.SC.LH-929"/>
        <s v="YPF.SC.LH-944"/>
        <s v="YPF.SC.CG.a-146"/>
        <s v="YPF.SC.CG-192"/>
        <s v="YPF.SC.CG-211"/>
        <s v="YPF.SC.CG-212"/>
        <s v="YPF.SC.CG-226"/>
        <s v="YPF.SC.CG-307"/>
        <s v="YPF.SC.CG-317"/>
        <s v="YPF.SC.CG-357"/>
        <s v="YPF.SC.CG-397"/>
        <s v="YPF.SC.CG-491"/>
        <s v="YPF.SC.LC-86"/>
        <s v="YPF.SC.N-58"/>
        <s v="YPF.SC.CnE.a-35"/>
        <s v="YPF.SC.CnE-79"/>
        <s v="YPF.SC.CnE-104"/>
        <s v="YPF.SC.CnE-162"/>
        <s v="YPF.SC.CnE-234"/>
        <s v="YPF.SC.CnE-326"/>
        <s v="YPF.SC.CnE-327"/>
        <s v="YPF.SC.CnE-368"/>
        <s v="YPF.SC.CnE-378"/>
        <s v="YPF.SC.CnE-382"/>
        <s v="YPF.SC.CnE-383"/>
        <s v="YPF.SC.CnE-435"/>
        <s v="YPF.SC.CnE-533"/>
        <s v="YPF.SC.CnE-540"/>
        <s v="YPF.SC.CnE-623"/>
        <s v="YPF.SC.CnE-652"/>
        <s v="YPF.SC.CnE-700"/>
        <s v="YPF.SC.CnE-795"/>
        <s v="YPF.SC.CnE-849"/>
        <s v="YPF.SC.BB.a-71"/>
        <s v="YPF.SC.BB.a-75"/>
        <s v="YPF.SC.BB-82"/>
        <s v="YPF.SC.LHS.x-4"/>
        <s v="YPF.SC.LH-248"/>
        <s v="YPF.SC.BB.a-8"/>
        <s v="YPF.SC.LH-51"/>
        <s v="YPF.SC.CG.a-272"/>
        <s v="YPF.SC.LH-474"/>
        <s v="YPF.SC.LH-158"/>
        <s v="YPF.SC.LH-536"/>
        <s v="YPF.SC.CG.a-21"/>
        <s v="YPF.SC.CG.a-187"/>
        <s v="YPF.SC.CnE.a-876"/>
        <s v="YPF.SC.CnE-875"/>
        <s v="YPF.SC.LH-993"/>
        <s v="YPF.SC.LH-994"/>
        <s v="YPF.SC.LH-1056"/>
        <s v="YPF.SC.CnE-909"/>
        <s v="YPF.SC.CnE-938"/>
        <s v="YPF.SC.LH-1141"/>
        <s v="YPF.SC.LH-1143"/>
        <s v="YPF.SC.LH-308"/>
        <s v="YPF.SC.LH-343"/>
        <s v="YPF.SC.LH-484"/>
        <s v="YPF.SC.LH.a-552"/>
        <s v="YPF.SC.LH-928"/>
        <s v="YPF.SC.LH-935"/>
        <s v="YPF.SC.CG.a-8"/>
        <s v="YPF.SC.CG-190"/>
        <s v="YPF.SC.CG-285"/>
        <s v="YPF.SC.CG-389"/>
        <s v="YPF.SC.CnE-49"/>
        <s v="YPF.SC.CnE-124"/>
        <s v="YPF.SC.CnE-151"/>
        <s v="YPF.SC.CnE.a-343"/>
        <s v="YPF.SC.CnE-350"/>
        <s v="YPF.SC.CnE-424"/>
        <s v="YPF.SC.CnE-512"/>
        <s v="YPF.SC.CnE-690"/>
        <s v="YPF.SC.CnE-752"/>
        <s v="YPF.SC.CnE-852"/>
        <s v="YPF.SC.BB-92"/>
        <s v="YPF.SC.BB-95"/>
        <s v="YPF.SC.O-220"/>
        <s v="YPF.SC.LH-126"/>
        <s v="YPF.SC.LH-207"/>
        <s v="YPF.SC.LH-250"/>
        <s v="YPF.SC.LH.a-550"/>
        <s v="YPF.SC.LH-556"/>
        <s v="YPF.SC.LH-582"/>
        <s v="YPF.SC.LH-630"/>
        <s v="YPF.SC.LH-641"/>
        <s v="YPF.SC.LH-798"/>
        <s v="YPF.SC.CG-174"/>
        <s v="YPF.SC.CG-236"/>
        <s v="YPF.SC.CG-381"/>
        <s v="YPF.SC.CG.a-410"/>
        <s v="YPF.SC.CG-512"/>
        <s v="YPF.SC.LC-12"/>
        <s v="YPF.SC.CnE-172"/>
        <s v="YPF.SC.CnE-362"/>
        <s v="YPF.SC.CnE-456"/>
        <s v="YPF.SC.CnE-532"/>
        <s v="YPF.SC.CnE.a-116"/>
        <s v="YPF.SC.CnE.a-147"/>
        <s v="YPF.SC.CnE.a-414"/>
        <s v="YPF.SC.CG-282"/>
        <s v="YPF.SC.LH-264"/>
        <s v="YPF.SC.LH.a-400"/>
        <s v="YPF.SC.LH-533"/>
        <s v="YPF.SC.CG.a-151"/>
        <s v="YPF.SC.CG-46"/>
        <s v="YPF.SC.LH-1021"/>
        <s v="YPF.SC.CnE-897"/>
        <s v="YPF.SC.LC.a-2"/>
        <s v="YPF.SC.LH-93"/>
        <s v="YPF.SC.CG.a-291"/>
        <s v="YPF.SC.CR.x-3"/>
        <s v="YPF.SC.CG-52"/>
        <s v="YPF.SC.CG.a-471"/>
        <s v="YPF.SC.CG-543"/>
        <s v="YPF.SC.LH-1005"/>
        <s v="YPF.SC.LH-1001"/>
        <s v="YPF.SC.CG-558"/>
        <s v="YPF.SC.CG-569"/>
        <s v="YPF.SC.LH-1130"/>
        <s v="YPF.SC.LH-1144"/>
        <s v="YPF.SC.CG-634"/>
        <s v="YPF.SC.CnE-1033"/>
        <s v="YPF.SC.CG-684"/>
        <s v="YPF.SC.CnE-1009"/>
        <s v="YPF.SC.LH-1195"/>
        <s v="YPF.SC.CG-803"/>
        <s v="YPF.SC.CG-766"/>
        <s v="YPF.SC.CnE-1308"/>
        <s v="YPF.SC.LH-1267"/>
        <s v="YPF.SC.CnE-1422"/>
        <s v="YPF.SC.BB-21"/>
        <s v="YPF.SC.BB-25"/>
        <s v="YPF.SC.CnE-36"/>
        <s v="YPF.SC.CnE-217"/>
        <s v="YPF.SC.CnE.a-237"/>
        <s v="YPF.SC.LC-24"/>
        <s v="YPF.SC.LH-473"/>
        <s v="YPF.SC.CnE-863"/>
        <s v="YPF.SC.CG-528"/>
        <s v="YPF.SC.LH-997"/>
        <s v="YPF.SC.CG-514"/>
        <s v="YPF.SC.LH.a-1073"/>
        <s v="YPF.SC.LH-915"/>
        <s v="YPF.SC.CG-550"/>
        <s v="YPF.SC.CG-555"/>
        <s v="YPF.SC.LH-1139"/>
        <s v="YPF.SC.LH-1163"/>
        <s v="YPF.SC.CnE-975"/>
        <s v="YPF.SC.CG-683"/>
        <s v="YPF.SC.CnE-1011"/>
        <s v="YPF.SC.CnE-1036"/>
        <s v="YPF.SC.LH-1189"/>
        <s v="YPF.SC.CG-700"/>
        <s v="YPF.SC.CnE-1126(d)"/>
        <s v="YPF.SC.CnE-1120"/>
        <s v="YPF.SC.CnE-1258(d)"/>
        <s v="YPF.SC.LH-1262"/>
        <s v="YPF.SC.LH-1093"/>
        <s v="YPF.SC.CnE.a-928"/>
        <s v="YPF.SC.CG-590"/>
        <s v="YPF.SC.LH-1138"/>
        <s v="YPF.SC.LH.a-1152"/>
        <s v="YPF.SC.CG-613"/>
        <s v="YPF.SC.CG-619"/>
        <s v="YPF.SC.CG-631"/>
        <s v="YPF.SC.CG-677"/>
        <s v="YPF.SC.CG-694"/>
        <s v="YPF.SC.CG-710"/>
        <s v="YPF.SC.CnE-1212(d)"/>
        <s v="YPF.SC.CnE-1339(d)"/>
        <s v="YPF.SC.LH-1257"/>
        <s v="YPF.SC.CG-938"/>
        <s v="YPF.SC.CG.IA-977"/>
        <s v="YPF.SC.LH-165"/>
        <s v="YPF.SC.LH-185"/>
        <s v="YPF.SC.LH-203"/>
        <s v="YPF.SC.LH-269"/>
        <s v="YPF.SC.LH-609"/>
        <s v="YPF.SC.LH-635"/>
        <s v="YPF.SC.LH-639"/>
        <s v="YPF.SC.LH-856"/>
        <s v="YPF.SC.LH-892"/>
        <s v="YPF.SC.CG-337"/>
        <s v="YPF.SC.CG-358"/>
        <s v="YPF.SC.CG-508"/>
        <s v="YPF.SC.N-48"/>
        <s v="YPF.SC.N-50"/>
        <s v="YPF.SC.CnE-144"/>
        <s v="YPF.SC.CnE-504"/>
        <s v="YPF.SC.CnE-538"/>
        <s v="YPF.SC.CnE-547"/>
        <s v="YPF.SC.CnE-559"/>
        <s v="YPF.SC.LH-127"/>
        <s v="YPF.SC.LH-178"/>
        <s v="YPF.SC.LH-217"/>
        <s v="YPF.SC.LH-279"/>
        <s v="YPF.SC.LH-576"/>
        <s v="YPF.SC.LH-703"/>
        <s v="YPF.SC.LH-820"/>
        <s v="YPF.SC.CG-269"/>
        <s v="YPF.SC.CG-328"/>
        <s v="YPF.SC.CG-355"/>
        <s v="YPF.SC.CG-430"/>
        <s v="YPF.SC.CG-504"/>
        <s v="YPF.SC.LC-88"/>
        <s v="YPF.SC.LC-539"/>
        <s v="YPF.SC.CnE.a-14"/>
        <s v="YPF.SC.CnE.a-23"/>
        <s v="YPF.SC.CnE-88"/>
        <s v="YPF.SC.CnE-219"/>
        <s v="YPF.SC.CnE-355"/>
        <s v="YPF.SC.CnE-359"/>
        <s v="YPF.SC.CnE-422"/>
        <s v="YPF.SC.CnE.a-482"/>
        <s v="YPF.SC.CnE-489"/>
        <s v="YPF.SC.CnE-534"/>
        <s v="YPF.SC.CnE-656"/>
        <s v="YPF.SC.CnE-692"/>
        <s v="YPF.SC.CnE-698"/>
        <s v="YPF.SC.CnE-729"/>
        <s v="YPF.SC.CEO.x-2"/>
        <s v="YPF.SC.CnE.a-1"/>
        <s v="YPF.SC.CnE-77"/>
        <s v="YPF.SC.CnE.a-412"/>
        <s v="YPF.SC.CG.a-182"/>
        <s v="YPF.SC.CG-523"/>
        <s v="YPF.SC.CnE-886"/>
        <s v="YPF.SC.CnE-269"/>
        <s v="YPF.SC.LH-122"/>
        <s v="YPF.SC.LH.a-160"/>
        <s v="YPF.SC.LH-259"/>
        <s v="YPF.SC.LH-555"/>
        <s v="YPF.SC.CnE-861"/>
        <s v="YPF.SC.CG.a-2"/>
        <s v="YPF.SC.LH-1055"/>
        <s v="YPF.SC.CG-563"/>
        <s v="YPF.SC.LH-1119"/>
        <s v="YPF.SC.CG-604"/>
        <s v="YPF.SC.CG-669"/>
        <s v="YPF.SC.CnE-1095"/>
        <s v="YPF.SC.LH-1236"/>
        <s v="YPF.SC.CG-893"/>
        <s v="YPF.SC.BB-150"/>
        <s v="YPF.SC.CnE-1300(I)"/>
        <s v="YPF.SC.LH-1034"/>
        <s v="YPF.SC.LH-1070"/>
        <s v="YPF.SC.CG-556"/>
        <s v="YPF.SC.CG-573"/>
        <s v="YPF.SC.LH-1137"/>
        <s v="YPF.SC.CnE-977"/>
        <s v="YPF.SC.CnE-1031"/>
        <s v="YPF.SC.CG-646"/>
        <s v="YPF.SC.LH-1183"/>
        <s v="YPF.SC.CnE-1141"/>
        <s v="YPF.SC.CnE-1116"/>
        <s v="YPF.SC.CnE-1133"/>
        <s v="YPF.SC.CnE-1325"/>
        <s v="YPF.SC.CnE-1364"/>
        <s v="YPF.SC.LH-593"/>
        <s v="YPF.SC.LH-802"/>
        <s v="YPF.SC.LH-826"/>
        <s v="YPF.SC.CG-14"/>
        <s v="YPF.SC.CG-431"/>
        <s v="YPF.SC.CG-482"/>
        <s v="YPF.SC.LC-453"/>
        <s v="YPF.SC.N-17"/>
        <s v="YPF.SC.N-57"/>
        <s v="YPF.SC.CnE.a-128"/>
        <s v="YPF.SC.CnE-333"/>
        <s v="YPF.SC.CnE-352"/>
        <s v="YPF.SC.CnE.a-566"/>
        <s v="YPF.SC.CnE-654"/>
        <s v="YPF.SC.CnE-737"/>
        <s v="YPF.SC.CnE-740"/>
        <s v="YPF.SC.CnE-812"/>
        <s v="YPF.SC.CnE-264"/>
        <s v="YPF.SC.CnE-266"/>
        <s v="YPF.SC.CnE-428"/>
        <s v="YPF.SC.CnE-521"/>
        <s v="YPF.SC.CnE.a-582"/>
        <s v="YPF.SC.CnE-794"/>
        <s v="YPF.SC.BB-60"/>
        <s v="YPF.SC.BB.a-65"/>
        <s v="YPF.SC.CES.x-2"/>
        <s v="YPF.SC.LH-106"/>
        <s v="YPF.SC.LH-123"/>
        <s v="YPF.SC.LH-244"/>
        <s v="YPF.SC.LH-983"/>
        <s v="YPF.SC.LH.a-978"/>
        <s v="YPF.SC.CG.a-535"/>
        <s v="YPF.SC.LH-1074"/>
        <s v="YPF.SC.LH-351"/>
        <s v="YPF.SC.LH-574"/>
        <s v="YPF.SC.LH-737"/>
        <s v="YPF.SC.LH-893"/>
        <s v="YPF.SC.CG-12"/>
        <s v="YPF.SC.CG-352"/>
        <s v="YPF.SC.CG-432"/>
        <s v="YPF.SC.CnE-80"/>
        <s v="YPF.SC.CnE-87"/>
        <s v="YPF.SC.CnE-115"/>
        <s v="YPF.SC.CnE-241"/>
        <s v="YPF.SC.CnE-245"/>
        <s v="YPF.SC.CnE-298"/>
        <s v="YPF.SC.CnE-374"/>
        <s v="YPF.SC.CnE-443"/>
        <s v="YPF.SC.CnE-536"/>
        <s v="YPF.SC.CnE-734"/>
        <s v="YPF.SC.CnE.a-762"/>
        <s v="YPF.SC.CnE-772"/>
        <s v="YPF.SC.CnE-806"/>
        <s v="YPF.SC.BB.a-9"/>
        <s v="YPF.SC.CG-201"/>
        <s v="YPF.SC.CG-198"/>
        <s v="YPF.SC.LH-1017"/>
        <s v="YPF.SC.LH-1018"/>
        <s v="YPF.SC.LH-1022"/>
        <s v="YPF.SC.LH-1057"/>
        <s v="YPF.SC.LH.a-1076"/>
        <s v="YPF.SC.LH-119"/>
        <s v="YPF.SC.LH-1198"/>
        <s v="YPF.SC.CnE-1134"/>
        <s v="YPF.SC.CnE.a-1155"/>
        <s v="YPF.SC.CnE-1159"/>
        <s v="YPF.SC.CnE-1211"/>
        <s v="YPF.SC.CG-832"/>
        <s v="YPF.SC.CnE-1183"/>
        <s v="YPF.SC.BB-131"/>
        <s v="YPF.SC.CG-892"/>
        <s v="YPF.SC.CG-852(d)"/>
        <s v="YPF.SC.CnE-1264"/>
        <s v="YPF.SC.CnE-1272"/>
        <s v="YPF.SC.CG-863"/>
        <s v="YPF.SC.CG-858(d)"/>
        <s v="YPF.SC.BB-138"/>
        <s v="YPF.SC.CG-957(d)"/>
        <s v="YPF.SC.CnE-1336"/>
        <s v="YPF.SC.CnE-1431"/>
        <s v="YPF.SC.CnE-1454"/>
        <s v="YPF.SC.LH-138"/>
        <s v="YPF.SC.LH-148"/>
        <s v="YPF.SC.LH-276"/>
        <s v="YPF.SC.LH-527"/>
        <s v="YPF.SC.LH-580"/>
        <s v="YPF.SC.LH-692"/>
        <s v="YPF.SC.CG-189"/>
        <s v="YPF.SC.CG-423"/>
        <s v="YPF.SC.CG-463"/>
        <s v="YPF.SC.CG-477"/>
        <s v="YPF.SC.LC-452"/>
        <s v="YPF.SC.CnE-78"/>
        <s v="YPF.SC.CnE-102"/>
        <s v="YPF.SC.CnE-153"/>
        <s v="YPF.SC.CnE-242"/>
        <s v="YPF.SC.CnE-247"/>
        <s v="YPF.SC.CnE-300"/>
        <s v="YPF.SC.CnE.a-344"/>
        <s v="YPF.SC.CnE-393"/>
        <s v="YPF.SC.CnE-408"/>
        <s v="YPF.SC.CnE-426"/>
        <s v="YPF.SC.CnE-460"/>
        <s v="YPF.SC.CnE-535"/>
        <s v="YPF.SC.CnE.a-565"/>
        <s v="YPF.SC.CnE-578"/>
        <s v="YPF.SC.CnE.a-593"/>
        <s v="YPF.SC.CnE-671"/>
        <s v="YPF.SC.CnE-677"/>
        <s v="YPF.SC.CnE-716"/>
        <s v="YPF.SC.CnE-722"/>
        <s v="YPF.SC.CnE-744"/>
        <s v="YPF.SC.CnE-779"/>
        <s v="YPF.SC.CnE-819"/>
        <s v="YPF.SC.CnE-822"/>
        <s v="YPF.SC.CnE-833"/>
        <s v="YPF.SC.BB.a-74"/>
        <s v="YPF.SC.BB-80"/>
        <s v="YPF.SC.BBO.x-2"/>
        <s v="YPF.SC.CES.x-3"/>
        <s v="YPF.SC.BB.a-34"/>
        <s v="YPF.SC.CnE.a-240"/>
        <s v="YPF.SC.CnE-641"/>
        <s v="YPF.SC.CnE-370(I)"/>
        <s v="YPF.SC.LC-15"/>
        <s v="YPF.SC.LH-456"/>
        <s v="YPF.SC.LC.a-1"/>
        <s v="YPF.SC.LH-75"/>
        <s v="YPF.SC.LH-245"/>
        <s v="YPF.SC.LH-295"/>
        <s v="YPF.SC.LH-504"/>
        <s v="YPF.SC.LH.a-57"/>
        <s v="YPF.SC.CG-521"/>
        <s v="YPF.SC.LH.a-977"/>
        <s v="YPF.SC.CnE-891"/>
        <s v="YPF.SC.LH-1003"/>
        <s v="YPF.SC.LH-1012"/>
        <s v="YPF.SC.LH-1033"/>
        <s v="YPF.SC.CnE-898"/>
        <s v="YPF.SC.CnE.a-913"/>
        <s v="YPF.SC.CnE-916"/>
        <s v="YPF.SC.LH-1098"/>
        <s v="YPF.SC.LH-1101"/>
        <s v="YPF.SC.CnE-925"/>
        <s v="YPF.SC.LH-1123"/>
        <s v="YPF.SC.CG-596"/>
        <s v="YPF.SC.CG-602"/>
        <s v="YPF.SC.LH-1150"/>
        <s v="YPF.SC.CG-607"/>
        <s v="YPF.SC.CnE.a-960"/>
        <s v="YPF.SC.CnE-1032"/>
        <s v="YPF.SC.CnE-1023"/>
        <s v="YPF.SC.CnE-1046"/>
        <s v="YPF.SC.CnE-1084"/>
        <s v="YPF.SC.CnE-1092"/>
        <s v="YPF.SC.CnE-1091"/>
        <s v="YPF.SC.CG-919(d)"/>
        <s v="YPF.SC.CnE-1371"/>
        <s v="YPF.SC.LH-1246"/>
        <s v="YPF.SC.LH-211"/>
        <s v="YPF.SC.LH-508"/>
        <s v="YPF.SC.LH-601"/>
        <s v="YPF.SC.LH-634"/>
        <s v="YPF.SC.LH-695"/>
        <s v="YPF.SC.LH-704"/>
        <s v="YPF.SC.LH-827"/>
        <s v="YPF.SC.LH.a-835"/>
        <s v="YPF.SC.LH.a-836"/>
        <s v="YPF.SC.LH-930"/>
        <s v="YPF.SC.LH-946"/>
        <s v="YPF.SC.LH-962"/>
        <s v="YPF.SC.CG-363"/>
        <s v="YPF.SC.CG.a-407"/>
        <s v="YPF.SC.CG-452"/>
        <s v="YPF.SC.LC-85"/>
        <s v="YPF.SC.CnE-75"/>
        <s v="YPF.SC.CnE-101"/>
        <s v="YPF.SC.CnE-474"/>
        <s v="YPF.SC.CnE.a-585"/>
        <s v="YPF.SC.CnE-725"/>
        <s v="YPF.SC.LH-98"/>
        <s v="YPF.SC.LH.a-539"/>
        <s v="YPF.SC.LH-985"/>
        <s v="YPF.SC.LH-1023"/>
        <s v="YPF.SC.LH-1059"/>
        <s v="YPF.SC.CG-551"/>
        <s v="YPF.SC.CnE-932"/>
        <s v="YPF.SC.LH-1108"/>
        <s v="YPF.SC.LH-1168"/>
        <s v="YPF.SC.LH-1219"/>
        <s v="YPF.SC.LH-1220"/>
        <s v="YPF.SC.CG-845(d)"/>
        <s v="YPF.SC.CnE-1223"/>
        <s v="YPF.SC.LH-1218"/>
        <s v="YPF.SC.LH-1040"/>
        <s v="YPF.SC.LH-1044"/>
        <s v="YPF.SC.CG.a-499"/>
        <s v="YPF.SC.LH-62"/>
        <s v="YPF.SC.CnE-951"/>
        <s v="YPF.SC.LH-1153"/>
        <s v="YPF.SC.CG-621"/>
        <s v="YPF.SC.LH-61"/>
        <s v="YPF.SC.LH-1071"/>
        <s v="YPF.SC.LH-1085"/>
        <s v="YPF.SC.CG-586"/>
        <s v="YPF.SC.LH-1154"/>
        <s v="YPF.SC.CnE-981"/>
        <s v="YPF.SC.CnE-1022"/>
        <s v="YPF.SC.CG-717"/>
        <s v="YPF.SC.CnE-1115"/>
        <s v="YPF.SC.CnE-1330"/>
        <s v="YPF.SC.CnE-1301"/>
        <s v="YPF.SC.LC.IA-976"/>
        <s v="YPF.SC.LH-1302"/>
        <s v="YPF.SC.LH-1304"/>
        <s v="YPF.SC.LH-1307"/>
        <s v="YPF.SC.LH-1196"/>
        <s v="YPF.SC.BB-120"/>
        <s v="YPF.SC.CnE-1285"/>
        <s v="YPF.SC.CnE-1314"/>
        <s v="YPF.SC.CnE-1399"/>
        <s v="YPF.SC.LH-1303"/>
        <s v="YPF.SC.LH-132"/>
        <s v="YPF.SC.LH-231"/>
        <s v="YPF.SC.LH-286"/>
        <s v="YPF.SC.LH-526"/>
        <s v="YPF.SC.LH-586"/>
        <s v="YPF.SC.LH-596"/>
        <s v="YPF.SC.LH-738"/>
        <s v="YPF.SC.LH-947"/>
        <s v="YPF.SC.CG-11"/>
        <s v="YPF.SC.CG-99"/>
        <s v="YPF.SC.CG-100"/>
        <s v="YPF.SC.CG-271"/>
        <s v="YPF.SC.CG-390"/>
        <s v="YPF.SC.CG-422"/>
        <s v="YPF.SC.CG-429"/>
        <s v="YPF.SC.CG-518"/>
        <s v="YPF.SC.CnE-90"/>
        <s v="YPF.SC.CnE-106"/>
        <s v="YPF.SC.CnE.a-135"/>
        <s v="YPF.SC.CnE-157"/>
        <s v="YPF.SC.CnE-191"/>
        <s v="YPF.SC.CnE-199"/>
        <s v="YPF.SC.CnE-248"/>
        <s v="YPF.SC.CnE-259"/>
        <s v="YPF.SC.CnE-296"/>
        <s v="YPF.SC.CnE-314"/>
        <s v="YPF.SC.CnE-458"/>
        <s v="YPF.SC.CnE-486"/>
        <s v="YPF.SC.CnE-488"/>
        <s v="YPF.SC.CnE.a-495"/>
        <s v="YPF.SC.CnE.a-595"/>
        <s v="YPF.SC.CnE-616"/>
        <s v="YPF.SC.CnE-703"/>
        <s v="YPF.SC.CnE.a-830"/>
        <s v="YPF.SC.BB.a-72"/>
        <s v="YPF.SC.CnE-56"/>
        <s v="YPF.SC.LH-44"/>
        <s v="YPF.SC.LC-69"/>
        <s v="YPF.SC.LH-268"/>
        <s v="YPF.SC.LH-554"/>
        <s v="YPF.SC.LH-565"/>
        <s v="YPF.SC.CG.a-144"/>
        <s v="YPF.SC.LH-986"/>
        <s v="YPF.SC.O-203"/>
        <s v="YPF.SC.EaM.x-1"/>
        <s v="YPF.SC.LH.a-5"/>
        <s v="YPF.SC.LH-171"/>
        <s v="YPF.SC.LH-266"/>
        <s v="YPF.SC.LH.a-399"/>
        <s v="YPF.SC.LH-560"/>
        <s v="YPF.SC.LH-718"/>
        <s v="YPF.SC.LH-849"/>
        <s v="YPF.SC.LH-913"/>
        <s v="YPF.SC.CG.a-195"/>
        <s v="YPF.SC.CG-246"/>
        <s v="YPF.SC.CG-517"/>
        <s v="YPF.SC.LC-14"/>
        <s v="YPF.SC.N-12"/>
        <s v="YPF.SC.CnE-59"/>
        <s v="YPF.SC.CnE-112"/>
        <s v="YPF.SC.CnE.a-607"/>
        <s v="YPF.SC.CnE-639"/>
        <s v="YPF.SC.CnE-646"/>
        <s v="YPF.SC.CnE-717"/>
        <s v="YPF.SC.CnE-742"/>
        <s v="YPF.SC.CnE.a-815"/>
        <s v="YPF.SC.BB.a-4"/>
        <s v="YPF.SC.CnE.a-137"/>
        <s v="YPF.SC.ECE.x-1"/>
        <s v="YPF.SC.CnE.a-480"/>
        <s v="YPF.SC.LH-491"/>
        <s v="YPF.SC.CG.a-196"/>
        <s v="YPF.SC.CG-526"/>
        <s v="YPF.SC.LH.a-12"/>
        <s v="YPF.SC.LH-385"/>
        <s v="YPF.SC.LH-701"/>
        <s v="YPF.SC.LH-875"/>
        <s v="YPF.SC.CG-270"/>
        <s v="YPF.SC.CG.a-301"/>
        <s v="YPF.SC.CG-424"/>
        <s v="YPF.SC.CG-466"/>
        <s v="YPF.SC.CnE-490"/>
        <s v="YPF.SC.CnE-621"/>
        <s v="YPF.SC.CnE-768"/>
        <s v="YPF.SC.BB-62"/>
        <s v="YPF.SC.BB-102"/>
        <s v="YPF.SC.LH.a-8"/>
        <s v="YPF.SC.LH-588"/>
        <s v="YPF.SC.LH.a-70"/>
        <s v="YPF.SC.CG.a-143"/>
        <s v="YPF.SC.CG-116"/>
        <s v="YPF.SC.LH-982"/>
        <s v="YPF.SC.CG-529"/>
        <s v="YPF.SC.LH-1002"/>
        <s v="YPF.SC.LH-1083"/>
        <s v="YPF.SC.LH-1086"/>
        <s v="YPF.SC.CnE.a-930"/>
        <s v="YPF.SC.BB-109"/>
        <s v="YPF.SC.CG-820"/>
        <s v="YPF.SC.BB-121"/>
        <s v="YPF.SC.LH-1239"/>
        <s v="YPF.SC.CnE-1342"/>
        <s v="YPF.SC.CnE-1414"/>
        <s v="YPF.SC.CnE-1386"/>
        <s v="YPF.SC.LH-1131"/>
        <s v="YPF.SC.CG-605"/>
        <s v="YPF.SC.CnE-1127"/>
        <s v="YPF.SC.CG-750"/>
        <s v="YPF.SC.CG.a-812"/>
        <s v="YPF.SC.CnE-1194"/>
        <s v="YPF.SC.LH-1248"/>
        <s v="YPF.SC.LH-1260"/>
        <s v="YPF.SC.CnE-1384"/>
        <s v="YPF.SC.CnE-1421"/>
        <s v="YPF.SC.CG-983"/>
        <s v="YPF.SC.CnE-1432"/>
        <s v="YPF.SC.CnE.a-1125"/>
        <s v="YPF.SC.LH-1234"/>
        <s v="YPF.SC.CnE-1227(d)"/>
        <s v="YPF.SC.CnE-1240"/>
        <s v="YPF.SC.CnE-1237"/>
        <s v="YPF.SC.LH-1247"/>
        <s v="YPF.SC.CG-727"/>
        <s v="YPF.SC.CG-765"/>
        <s v="YPF.SC.CG-798"/>
        <s v="YPF.SC.CnE.a-1282"/>
        <s v="YPF.SC.CnE-1345"/>
        <s v="YPF.SC.CnE-1393"/>
        <s v="YPF.SC.CnE-1413"/>
        <s v="YPF.SC.BB-160"/>
        <s v="YPF.SC.CG-784"/>
        <s v="YPF.SC.CnE.a-1096"/>
        <s v="YPF.SC.CG-725"/>
        <s v="YPF.SC.BB-116"/>
        <s v="YPF.SC.CG-822"/>
        <s v="YPF.SC.CnE-1186"/>
        <s v="YPF.SC.CnE-1226"/>
        <s v="YPF.SC.CnE-1300"/>
        <s v="YPF.SC.BB-143(d)"/>
        <s v="YPF.SC.CnE-1280"/>
        <s v="YPF.SC.LC-983"/>
        <s v="YPF.SC.CG-905"/>
        <s v="YPF.SC.CG-580"/>
        <s v="YPF.SC.LH-1145"/>
        <s v="YPF.SC.CnE-1310(d)"/>
        <s v="YPF.SC.CnE-1311"/>
        <s v="YPF.SC.CG-953(d)"/>
        <s v="YPF.SC.CnE-156"/>
        <s v="YPF.SC.CnE.a-196"/>
        <s v="YPF.SC.CnE-349"/>
        <s v="YPF.SC.CnE-471"/>
        <s v="YPF.SC.CnE.a-484"/>
        <s v="YPF.SC.CnE-686"/>
        <s v="YPF.SC.CnE-814"/>
        <s v="YPF.SC.CES.x-4"/>
        <s v="YPF.SC.CnE-29(I)"/>
        <s v="YPF.SC.CnE-32"/>
        <s v="YPF.SC.CnE-48"/>
        <s v="YPF.SC.CnE-855"/>
        <s v="YPF.SC.CnE.a-567"/>
        <s v="YPF.SC.LH-101"/>
        <s v="YPF.SC.LH-262"/>
        <s v="YPF.SC.LH.a-401"/>
        <s v="YPF.SC.LH.a-436"/>
        <s v="YPF.SC.CG.a-141"/>
        <s v="YPF.SC.CG-9"/>
        <s v="YPF.SC.CG-84"/>
        <s v="YPF.SC.CG-101"/>
        <s v="YPF.SC.CG-612"/>
        <s v="YPF.SC.CnE-970"/>
        <s v="YPF.SC.CG-769"/>
        <s v="YPF.SC.CG-810"/>
        <s v="YPF.SC.CG-830"/>
        <s v="YPF.SC.CnE-1246(d)"/>
        <s v="YPF.SC.CnE-1270"/>
        <s v="YPF.SC.CnE-1239"/>
        <s v="YPF.SC.CnE-1319"/>
        <s v="YPF.SC.CnE-1329(d)"/>
        <s v="YPF.SC.LH-135"/>
        <s v="YPF.SC.LH-214"/>
        <s v="YPF.SC.LH-608"/>
        <s v="YPF.SC.LH-632"/>
        <s v="YPF.SC.LH-650"/>
        <s v="YPF.SC.LH-717"/>
        <s v="YPF.SC.CG-90"/>
        <s v="YPF.SC.CG-150"/>
        <s v="YPF.SC.CG-218"/>
        <s v="YPF.SC.CG.a-414"/>
        <s v="YPF.SC.CG-438"/>
        <s v="YPF.SC.CG-450"/>
        <s v="YPF.SC.ECa.x-4"/>
        <s v="YPF.SC.CnE-215"/>
        <s v="YPF.SC.CnE-449"/>
        <s v="YPF.SC.CnE-510"/>
        <s v="YPF.SC.CnE-644"/>
        <s v="YPF.SC.CnE-676"/>
        <s v="YPF.SC.CnE.a-782"/>
        <s v="YPF.SC.CnE-797"/>
        <s v="YPF.SC.CnE-847"/>
        <s v="YPF.SC.BB-50"/>
        <s v="YPF.SC.BB-99"/>
        <s v="YPF.SC.BB-101"/>
        <s v="YPF.SC.CES.x-1"/>
        <s v="YPF.SC.CnE-842(I)"/>
        <s v="YPF.SC.BB.a-36"/>
        <s v="YPF.SC.CG-496"/>
        <s v="YPF.SC.LH-110"/>
        <s v="YPF.SC.CG.a-23"/>
        <s v="YPF.SC.CG.a-124"/>
        <s v="YPF.SC.CG.a-131"/>
        <s v="YPF.SC.CG-45"/>
        <s v="YPF.SC.CG.a-126"/>
        <s v="YPF.SC.LH-213"/>
        <s v="YPF.SC.LH-221"/>
        <s v="YPF.SC.LH-271"/>
        <s v="YPF.SC.LH-509"/>
        <s v="YPF.SC.LH-585"/>
        <s v="YPF.SC.LH-855"/>
        <s v="YPF.SC.CG-88"/>
        <s v="YPF.SC.CG-229"/>
        <s v="YPF.SC.CG.a-290"/>
        <s v="YPF.SC.CG-485"/>
        <s v="YPF.SC.ECa.x-2"/>
        <s v="YPF.SC.CnE-287"/>
        <s v="YPF.SC.CnE.a-483"/>
        <s v="YPF.SC.CnE.a-591"/>
        <s v="YPF.SC.CnE.a-612"/>
        <s v="YPF.SC.CnE-638"/>
        <s v="YPF.SC.CnE-674"/>
        <s v="YPF.SC.CnE-738"/>
        <s v="YPF.SC.LH.a-1026"/>
        <s v="YPF.SC.LH-1052"/>
        <s v="YPF.SC.LH-1064"/>
        <s v="YPF.SC.CG-559"/>
        <s v="YPF.SC.LH-1146"/>
        <s v="YPF.SC.CnE.a-952"/>
        <s v="YPF.SC.LH-1173"/>
        <s v="YPF.SC.CnE-1038"/>
        <s v="YPF.SC.BB-110"/>
        <s v="YPF.SC.CG.a-814"/>
        <s v="YPF.SC.CG-871"/>
        <s v="YPF.SC.CnE-1255"/>
        <s v="YPF.SC.CnE-1225"/>
        <s v="YPF.SC.CnE-1291"/>
        <s v="YPF.SC.CnE-1292"/>
        <s v="YPF.SC.LC-975"/>
        <s v="YPF.SC.LH-1160"/>
        <s v="YPF.SC.O-202"/>
        <s v="YPF.SC.LH-216"/>
        <s v="YPF.SC.LH-246"/>
        <s v="YPF.SC.LH-644"/>
        <s v="YPF.SC.LH-799"/>
        <s v="YPF.SC.LH-863"/>
        <s v="YPF.SC.LH-904"/>
        <s v="YPF.SC.CG-193"/>
        <s v="YPF.SC.CG-203"/>
        <s v="YPF.SC.CG-214"/>
        <s v="YPF.SC.N-42"/>
        <s v="YPF.SC.CnE-51"/>
        <s v="YPF.SC.CnE-170"/>
        <s v="YPF.SC.CnE-224"/>
        <s v="YPF.SC.CnE-230"/>
        <s v="YPF.SC.CnE-267"/>
        <s v="YPF.SC.CnE-311"/>
        <s v="YPF.SC.CnE.a-347"/>
        <s v="YPF.SC.CnE-520"/>
        <s v="YPF.SC.CnE-633"/>
        <s v="YPF.SC.CnE-826"/>
        <s v="YPF.SC.LH-963"/>
        <s v="YPF.SC.BB.a-1"/>
        <s v="YPF.SC.LH-280"/>
        <s v="YPF.SC.CG.a-298"/>
        <s v="YPF.SC.CG.a-38"/>
        <s v="YPF.SC.CG-522"/>
        <s v="YPF.SC.LH-988"/>
        <s v="YPF.SC.CG-592"/>
        <s v="YPF.SC.LH-1121"/>
        <s v="YPF.SC.CG-675"/>
        <s v="YPF.SC.CG-698"/>
        <s v="YPF.SC.CnE-1049"/>
        <s v="YPF.SC.CnE-1057"/>
        <s v="YPF.SC.CnE-1135"/>
        <s v="YPF.SC.CnE-1203"/>
        <s v="YPF.SC.BB-132"/>
        <s v="YPF.SC.CnE-1229"/>
        <s v="YPF.SC.BB-136"/>
        <s v="YPF.SC.BB-175"/>
        <s v="YPF.SC.BB-177"/>
        <s v="YPF.SC.LH-103"/>
        <s v="YPF.SC.LH-270"/>
        <s v="YPF.SC.CG.a-24"/>
        <s v="YPF.SC.CnE-885"/>
        <s v="YPF.SC.CnE-887"/>
        <s v="YPF.SC.CG-562"/>
        <s v="YPF.SC.LH-1126"/>
        <s v="YPF.SC.CG-678"/>
        <s v="YPF.SC.CnE-1045"/>
        <s v="YPF.SC.LH-1211"/>
        <s v="YPF.SC.CG-867"/>
        <s v="YPF.SC.CnE-1286"/>
        <s v="YPF.SC.CG-826"/>
        <s v="YPF.SC.CnE-1320(d)"/>
        <s v="YPF.SC.CnE-1332"/>
        <s v="YPF.SC.LH-621"/>
        <s v="YPF.SC.LH-627"/>
        <s v="YPF.SC.LH-804"/>
        <s v="YPF.SC.LH-881"/>
        <s v="YPF.SC.LH-890"/>
        <s v="YPF.SC.LH-938"/>
        <s v="YPF.SC.CG-60"/>
        <s v="YPF.SC.CG-391"/>
        <s v="YPF.SC.CG-398"/>
        <s v="YPF.SC.CG-444"/>
        <s v="YPF.SC.CG-488"/>
        <s v="YPF.SC.LC-20"/>
        <s v="YPF.SC.LH-144"/>
        <s v="YPF.SC.LH-254"/>
        <s v="YPF.SC.LH-776"/>
        <s v="YPF.SC.LH.a-839"/>
        <s v="YPF.SC.LH-876"/>
        <s v="YPF.SC.CG.a-3"/>
        <s v="YPF.SC.CG-83"/>
        <s v="YPF.SC.CG.a-185"/>
        <s v="YPF.SC.CG-365"/>
        <s v="YPF.SC.CG.a-413"/>
        <s v="YPF.SC.CG-719"/>
        <s v="YPF.SC.CG-839"/>
        <s v="YPF.SC.CG-894"/>
        <s v="YPF.SC.CG-917(d)"/>
        <s v="YPF.SC.CnE-1337"/>
        <s v="YPF.SC.CnE.a-1438"/>
        <s v="YPF.SC.LH.a-30"/>
        <s v="YPF.SC.CnE-919"/>
        <s v="YPF.SC.LH-1118"/>
        <s v="YPF.SC.LH-1111"/>
        <s v="YPF.SC.CnE-948"/>
        <s v="YPF.SC.LH-1156"/>
        <s v="YPF.SC.CnE-968"/>
        <s v="YPF.SC.CG-674"/>
        <s v="YPF.SC.CnE-997"/>
        <s v="YPF.SC.LH-1191"/>
        <s v="YPF.SC.CG-701"/>
        <s v="YPF.SC.CnE-1085"/>
        <s v="YPF.SC.CnE-1093"/>
        <s v="YPF.SC.CG-722"/>
        <s v="YPF.SC.LH-1206"/>
        <s v="YPF.SC.CG-801"/>
        <s v="YPF.SC.LH-1216"/>
        <s v="YPF.SC.CG-837"/>
        <s v="YPF.SC.CnE-1100"/>
        <s v="YPF.SC.CnE-1187"/>
        <s v="YPF.SC.CnE-1220"/>
        <s v="YPF.SC.CG-864"/>
        <s v="YPF.SC.LH-1128"/>
        <s v="YPF.SC.CG-616"/>
        <s v="YPF.SC.CnE-992"/>
        <s v="YPF.SC.CG-645"/>
        <s v="YPF.SC.CG-660"/>
        <s v="YPF.SC.CG-676"/>
        <s v="YPF.SC.CnE-1051"/>
        <s v="YPF.SC.CG-746"/>
        <s v="YPF.SC.CG.a-760"/>
        <s v="YPF.SC.BB-111"/>
        <s v="YPF.SC.CG-744"/>
        <s v="YPF.SC.CG-898"/>
        <s v="YPF.SC.CnE-1278"/>
        <s v="YPF.SC.CnE-1293"/>
        <s v="YPF.SC.CG-907"/>
        <s v="YPF.SC.CnE-1370"/>
        <s v="YPF.SC.CG-975"/>
        <s v="YPF.SC.LH-523"/>
        <s v="YPF.SC.LH-535"/>
        <s v="YPF.SC.CG.a-6"/>
        <s v="YPF.SC.CG-191"/>
        <s v="YPF.SC.LC-634"/>
        <s v="YPF.SC.CnE-39"/>
        <s v="YPF.SC.CnE-110"/>
        <s v="YPF.SC.CnE-141"/>
        <s v="YPF.SC.CnE-220"/>
        <s v="YPF.SC.CnE-255"/>
        <s v="YPF.SC.CnE-257"/>
        <s v="YPF.SC.CnE-323"/>
        <s v="YPF.SC.CnE-407"/>
        <s v="YPF.SC.CnE-410"/>
        <s v="YPF.SC.CnE-445"/>
        <s v="YPF.SC.LH.a-2"/>
        <s v="YPF.SC.LH-100"/>
        <s v="YPF.SC.LH.a-506"/>
        <s v="YPF.SC.LH-584"/>
        <s v="YPF.SC.LH-604"/>
        <s v="YPF.SC.LH-702"/>
        <s v="YPF.SC.LH.a-872"/>
        <s v="YPF.SC.LH-877"/>
        <s v="YPF.SC.CG-114"/>
        <s v="YPF.SC.CG-181"/>
        <s v="YPF.SC.CG-227"/>
        <s v="YPF.SC.CG-242"/>
        <s v="YPF.SC.CG-378"/>
        <s v="YPF.SC.CG-425"/>
        <s v="YPF.SC.CG-428"/>
        <s v="YPF.SC.CG-446"/>
        <s v="YPF.SC.N-51"/>
        <s v="YPF.SC.CnE-54"/>
        <s v="YPF.SC.CnE-133"/>
        <s v="YPF.SC.CnE-357"/>
        <s v="YPF.SC.CnE-542"/>
        <s v="YPF.SC.CnE-648"/>
        <s v="YPF.SC.N-53"/>
        <s v="YPF.SC.CnE-12"/>
        <s v="YPF.SC.CnE-37"/>
        <s v="YPF.SC.CnE-68"/>
        <s v="YPF.SC.CnE-111"/>
        <s v="YPF.SC.CnE-114"/>
        <s v="YPF.SC.CnE-322"/>
        <s v="YPF.SC.CnE-328"/>
        <s v="YPF.SC.CnE-335"/>
        <s v="YPF.SC.CnE-336"/>
        <s v="YPF.SC.CnE-363"/>
        <s v="YPF.SC.CnE-425"/>
        <s v="YPF.SC.CnE-545"/>
        <s v="YPF.SC.CnE-546"/>
        <s v="YPF.SC.CnE-619"/>
        <s v="YPF.SC.CnE-659"/>
        <s v="YPF.SC.CnE-743"/>
        <s v="YPF.SC.CnE-841"/>
        <s v="YPF.SC.CnE-457"/>
        <s v="YPF.SC.CnE-517"/>
        <s v="YPF.SC.CnE-637"/>
        <s v="YPF.SC.CnE-684"/>
        <s v="YPF.SC.CnE-726"/>
        <s v="YPF.SC.CnE-751"/>
        <s v="YPF.SC.CnE-777"/>
        <s v="YPF.SC.CnE-784"/>
        <s v="YPF.SC.CnE-818"/>
        <s v="YPF.SC.LH.a-43"/>
        <s v="YPF.SC.CnE-857"/>
        <s v="YPF.SC.LH.a-97"/>
        <s v="YPF.SC.LH-238"/>
        <s v="YPF.SC.BO.x-1"/>
        <s v="YPF.SC.CnE-866"/>
        <s v="YPF.SC.LC-635"/>
        <s v="YPF.SC.CnE-731"/>
        <s v="YPF.SC.CnE.a-788"/>
        <s v="YPF.SC.CnE-820"/>
        <s v="YPF.SC.BB.a-35"/>
        <s v="YPF.SC.CnE.a-127"/>
        <s v="YPF.SC.CnE.a-289"/>
        <s v="YPF.SC.LH-112"/>
        <s v="YPF.SC.LH-544"/>
        <s v="YPF.SC.CnE.a-4"/>
        <s v="YPF.SC.LH-965"/>
        <s v="YPF.SC.LH-199"/>
        <s v="YPF.SC.LH-697"/>
        <s v="YPF.SC.LH-828"/>
        <s v="YPF.SC.LH-920"/>
        <s v="YPF.SC.LH-927"/>
        <s v="YPF.SC.CG-72"/>
        <s v="YPF.SC.CG-91"/>
        <s v="YPF.SC.CG-215"/>
        <s v="YPF.SC.CG-385"/>
        <s v="YPF.SC.CG-442"/>
        <s v="YPF.SC.CG-506"/>
        <s v="YPF.SC.LC-454"/>
        <s v="YPF.SC.N-43"/>
        <s v="YPF.SC.CnE-105"/>
        <s v="YPF.SC.CnE-142"/>
        <s v="YPF.SC.CnE.a-291"/>
        <s v="YPF.SC.CnE-334"/>
        <s v="YPF.SC.CnE-399"/>
        <s v="YPF.SC.CnE-526"/>
        <s v="YPF.SC.CnE-557"/>
        <s v="YPF.SC.CnE.a-606"/>
        <s v="YPF.SC.CnE-687"/>
        <s v="YPF.SC.CnE-708"/>
        <s v="YPF.SC.CnE-793"/>
        <s v="YPF.SC.BB-53"/>
        <s v="YPF.SC.LH-128"/>
        <s v="YPF.SC.LH-310"/>
        <s v="YPF.SC.LH-531"/>
        <s v="YPF.SC.LH-577"/>
        <s v="YPF.SC.LH-607"/>
        <s v="YPF.SC.LH-673"/>
        <s v="YPF.SC.LH-694"/>
        <s v="YPF.SC.LH-845"/>
        <s v="YPF.SC.CG-161"/>
        <s v="YPF.SC.CG-354"/>
        <s v="YPF.SC.LC-451"/>
        <s v="YPF.SC.CnE-154"/>
        <s v="YPF.SC.CnE-221"/>
        <s v="YPF.SC.CnE-467"/>
        <s v="YPF.SC.CnE-473"/>
        <s v="YPF.SC.CnE-553"/>
        <s v="YPF.SC.CnE-651"/>
        <s v="YPF.SC.CnE-730"/>
        <s v="YPF.SC.CnE-848"/>
        <s v="YPF.SC.BB-55"/>
        <s v="YPF.SC.BB-91"/>
        <s v="YPF.SC.CnE.a-204"/>
        <s v="YPF.SC.LH-675"/>
        <s v="YPF.SC.LH-691"/>
        <s v="YPF.SC.CG.a-81"/>
        <s v="YPF.SC.LC-627"/>
        <s v="YPF.SC.LH.a-1077"/>
        <s v="YPF.SC.LH-1089"/>
        <s v="YPF.SC.CnE-915"/>
        <s v="YPF.SC.LH-1096"/>
        <s v="YPF.SC.CnE.a-934"/>
        <s v="YPF.SC.CnE-943"/>
        <s v="YPF.SC.CG-617"/>
        <s v="YPF.SC.CG-668"/>
        <s v="YPF.SC.CnE-1021"/>
        <s v="YPF.SC.CnE-1138"/>
        <s v="YPF.SC.CG.a-873"/>
        <s v="YPF.SC.LH-1241"/>
        <s v="YPF.SC.CG-942"/>
        <s v="YPF.SC.BB-161"/>
        <s v="YPF.SC.CnE.a-893"/>
        <s v="YPF.SC.CnE-910"/>
        <s v="YPF.SC.LH-1116"/>
        <s v="YPF.SC.LH-1133"/>
        <s v="YPF.SC.CnE.a-961"/>
        <s v="YPF.SC.CG-679"/>
        <s v="YPF.SC.CnE-1056"/>
        <s v="YPF.SC.CnE-1083"/>
        <s v="YPF.SC.CnE-1140"/>
        <s v="YPF.SC.CG-783"/>
        <s v="YPF.SC.CnE-1313"/>
        <s v="YPF.SC.CnE-1375"/>
        <s v="YPF.SC.LH.a-9"/>
        <s v="YPF.SC.CnE.a-290"/>
        <s v="YPF.SC.LH-206"/>
        <s v="YPF.SC.LH-534"/>
        <s v="YPF.SC.CG-94"/>
        <s v="YPF.SC.CG-527"/>
        <s v="YPF.SC.BB.a-104"/>
        <s v="YPF.SC.CnE-883"/>
        <s v="YPF.SC.LH-1049"/>
        <s v="YPF.SC.CnE-899"/>
        <s v="YPF.SC.CG-571"/>
        <s v="YPF.SC.CG-589"/>
        <s v="YPF.SC.LH-967"/>
        <s v="YPF.SC.CG-493"/>
        <s v="YPF.SC.LC-67"/>
        <s v="YPF.SC.LH-589"/>
        <s v="YPF.SC.LH-105"/>
        <s v="YPF.SC.LH-108"/>
        <s v="YPF.SC.CG.a-202"/>
        <s v="YPF.SC.CG.a-304"/>
        <s v="YPF.SC.LH-198"/>
        <s v="YPF.SC.LH-236"/>
        <s v="YPF.SC.LH-249"/>
        <s v="YPF.SC.LH-455"/>
        <s v="YPF.SC.LH-524"/>
        <s v="YPF.SC.LH-682"/>
        <s v="YPF.SC.LH-990"/>
        <s v="YPF.SC.CnE-1139"/>
        <s v="YPF.SC.CG-796"/>
        <s v="YPF.SC.LH-1210"/>
        <s v="YPF.SC.LH-1209"/>
        <s v="YPF.SC.CnE-1241(d)"/>
        <s v="YPF.SC.CnE-1257"/>
        <s v="YPF.SC.CnE-1279"/>
        <s v="YPF.SC.CnE-1312"/>
        <s v="YPF.SC.CnE-1327"/>
        <s v="YPF.SC.LH-1134"/>
        <s v="YPF.SC.CnE-965"/>
        <s v="YPF.SC.CG-688"/>
        <s v="YPF.SC.CG-665"/>
        <s v="YPF.SC.CnE-1035"/>
        <s v="YPF.SC.CnE-1060"/>
        <s v="YPF.SC.LH-1203"/>
        <s v="YPF.SC.CnE-1118"/>
        <s v="YPF.SC.CnE-1117"/>
        <s v="YPF.SC.CG-805"/>
        <s v="YPF.SC.CnE-1193"/>
        <s v="YPF.SC.CnE.xp-1250"/>
        <s v="YPF.SC.CnE-1347"/>
        <s v="YPF.SC.CnE-1390"/>
        <s v="YPF.SC.CG-540"/>
        <s v="YPF.SC.LH-980"/>
        <s v="YPF.SC.LH-60"/>
        <s v="YPF.SC.LH.a-1025"/>
        <s v="YPF.SC.CG-593"/>
        <s v="YPF.SC.CnE-956"/>
        <s v="YPF.SC.CnE-1037"/>
        <s v="YPF.SC.CG-661"/>
        <s v="YPF.SC.CnE-1007"/>
        <s v="YPF.SC.CnE-998"/>
        <s v="YPF.SC.CG-649"/>
        <s v="YPF.SC.CG-687"/>
        <s v="YPF.SC.CnE-1094"/>
        <s v="YPF.SC.CnE-1153"/>
        <s v="YPF.SC.LH-1235"/>
        <s v="YPF.SC.BB-135"/>
        <s v="YPF.SC.CnE-1230"/>
        <s v="YPF.SC.CnE-1331"/>
        <s v="YPF.SC.CG-939"/>
        <s v="YPF.SC.LH-1259"/>
        <s v="YPF.SC.CnE-1457"/>
        <s v="YPF.SC.LH.a-41"/>
        <s v="YPF.SC.LH-599"/>
        <s v="YPF.SC.LH-622"/>
        <s v="YPF.SC.LH-623"/>
        <s v="YPF.SC.LH-640"/>
        <s v="YPF.SC.LH-713"/>
        <s v="YPF.SC.CG.a-122"/>
        <s v="YPF.SC.CG-160"/>
        <s v="YPF.SC.CG-165"/>
        <s v="YPF.SC.CG-245"/>
        <s v="YPF.SC.CG-278"/>
        <s v="YPF.SC.CG.a-404"/>
        <s v="YPF.SC.LC.a-73"/>
        <s v="YPF.SC.LC-537"/>
        <s v="YPF.SC.CnE-132"/>
        <s v="YPF.SC.CnE-140"/>
        <s v="YPF.SC.CnE-466"/>
        <s v="YPF.SC.CnE-571"/>
        <s v="YPF.SC.CnE.a-583"/>
        <s v="YPF.SC.CnE-685"/>
        <s v="YPF.SC.CnE-753"/>
        <s v="YPF.SC.CnE-804"/>
        <s v="YPF.SC.LH-1045"/>
        <s v="YPF.SC.CnE-896"/>
        <s v="YPF.SC.CnE-906"/>
        <s v="YPF.SC.LH-1087"/>
        <s v="YPF.SC.CnE-979"/>
        <s v="YPF.SC.CnE-1024"/>
        <s v="YPF.SC.CG-671"/>
        <s v="YPF.SC.CnE-1042"/>
        <s v="YPF.SC.CnE-1157"/>
        <s v="YPF.SC.CG-941"/>
        <s v="YPF.SC.CnE-1381"/>
        <s v="YPF.SC.CnE-1423"/>
        <s v="YPF.SC.CnE-884"/>
        <s v="YPF.SC.LH-86"/>
        <s v="YPF.SC.LH-88"/>
        <s v="YPF.SC.LH-748"/>
        <s v="YPF.SC.LH-831"/>
        <s v="YPF.SC.LH-861"/>
        <s v="YPF.SC.LH-905"/>
        <s v="YPF.SC.LH-924"/>
        <s v="YPF.SC.CG.a-42"/>
        <s v="YPF.SC.CG-155"/>
        <s v="YPF.SC.CG-241"/>
        <s v="YPF.SC.CG.a-289"/>
        <s v="YPF.SC.CnE-325"/>
        <s v="YPF.SC.LH-111"/>
        <s v="YPF.SC.LH-243"/>
        <s v="YPF.SC.LH-285"/>
        <s v="YPF.SC.LH-294"/>
        <s v="YPF.SC.LH-166"/>
        <s v="YPF.SC.LH-511"/>
        <s v="YPF.SC.LH.a-553"/>
        <s v="YPF.SC.LH-637"/>
        <s v="YPF.SC.LH-686"/>
        <s v="YPF.SC.LH-735"/>
        <s v="YPF.SC.LH-899"/>
        <s v="YPF.SC.LH-951"/>
        <s v="YPF.SC.CG-169"/>
        <s v="YPF.SC.CG-233"/>
        <s v="YPF.SC.CG-400"/>
        <s v="YPF.SC.CG.a-478"/>
        <s v="YPF.SC.LC-535"/>
        <s v="YPF.SC.CnE-295"/>
        <s v="YPF.SC.CnE-431"/>
        <s v="YPF.SC.CnE-434"/>
        <s v="YPF.SC.CnE-541"/>
        <s v="YPF.SC.CnE-665"/>
        <s v="YPF.SC.CnE-693"/>
        <s v="YPF.SC.CnE-709"/>
        <s v="YPF.SC.CnE-758"/>
        <s v="YPF.SC.CnE.a-766"/>
        <s v="YPF.SC.BB.a-30"/>
        <s v="YPF.SC.BB-94"/>
        <s v="YPF.SC.CnE.a-853"/>
        <s v="YPF.SC.LH.a-3"/>
        <s v="YPF.SC.LH-59"/>
        <s v="YPF.SC.LC.a-632"/>
        <s v="YPF.SC.N-11"/>
        <s v="YPF.SC.CnE-73"/>
        <s v="YPF.SC.CnE-272"/>
        <s v="YPF.SC.CnE-348"/>
        <s v="YPF.SC.CnE.a-375"/>
        <s v="YPF.SC.CnE-380"/>
        <s v="YPF.SC.CnE-396"/>
        <s v="YPF.SC.CnE-430"/>
        <s v="YPF.SC.CnE-519"/>
        <s v="YPF.SC.CnE-529"/>
        <s v="YPF.SC.CnE-757"/>
        <s v="YPF.SC.LH-99"/>
        <s v="YPF.SC.LH-117"/>
        <s v="YPF.SC.CG.a-281"/>
        <s v="YPF.SC.LH-188"/>
        <s v="YPF.SC.CG.a-194"/>
        <s v="YPF.SC.CG-53"/>
        <s v="YPF.SC.LH-1008"/>
        <s v="YPF.SC.LH-1024"/>
        <s v="YPF.SC.LH-1060"/>
        <s v="YPF.SC.CG-564"/>
        <s v="YPF.SC.LH-1120"/>
        <s v="YPF.SC.CnE-1277"/>
        <s v="YPF.SC.CnE.a-1340"/>
        <s v="YPF.SC.LH.a-96"/>
        <s v="YPF.SC.LH-187"/>
        <s v="YPF.SC.LH-486"/>
        <s v="YPF.SC.LH.a-65"/>
        <s v="YPF.SC.LH-114"/>
        <s v="YPF.SC.LH-139"/>
        <s v="YPF.SC.LH-164"/>
        <s v="YPF.SC.LH-277"/>
        <s v="YPF.SC.LH-283"/>
        <s v="YPF.SC.LH-732"/>
        <s v="YPF.SC.LH-734"/>
        <s v="YPF.SC.LH-818"/>
        <s v="YPF.SC.CG.a-127"/>
        <s v="YPF.SC.CG-394"/>
        <s v="YPF.SC.CG-445"/>
        <s v="YPF.SC.LC-116"/>
        <s v="YPF.SC.CnE-96"/>
        <s v="YPF.SC.CnE-122"/>
        <s v="YPF.SC.CnE-194"/>
        <s v="YPF.SC.CnE-228"/>
        <s v="YPF.SC.CnE-231"/>
        <s v="YPF.SC.CnE-270"/>
        <s v="YPF.SC.CnE-301"/>
        <s v="YPF.SC.CnE.a-415"/>
        <s v="YPF.SC.CnE-494"/>
        <s v="YPF.SC.CnE-537"/>
        <s v="YPF.SC.CnE-714"/>
        <s v="YPF.SC.CnE-811"/>
        <s v="YPF.SC.BB.a-33"/>
        <s v="YPF.SC.BB-88"/>
        <s v="YPF.SC.CES.x-5"/>
        <s v="YPF.SC.CnE-47"/>
        <s v="YPF.SC.LH-289"/>
        <s v="YPF.SC.LH-540"/>
        <s v="YPF.SC.CG.a-139"/>
        <s v="YPF.SC.CG-98"/>
        <s v="YPF.SC.CG-520"/>
        <s v="YPF.SC.LH-1000"/>
        <s v="YPF.SC.LH-1061"/>
        <s v="YPF.SC.CG.a-561"/>
        <s v="YPF.SC.CG-587"/>
        <s v="YPF.SC.CG-579"/>
        <s v="YPF.SC.CG-591"/>
        <s v="YPF.SC.LH-1132"/>
        <s v="YPF.SC.LH-1166"/>
        <s v="YPF.SC.LH-1181"/>
        <s v="YPF.SC.CnE-1025"/>
        <s v="YPF.SC.LH-1184"/>
        <s v="YPF.SC.CG-712"/>
        <s v="YPF.SC.CnE-1089"/>
        <s v="YPF.SC.LC-636"/>
        <s v="YPF.SC.LH-1015"/>
        <s v="YPF.SC.CnE-905"/>
        <s v="YPF.SC.CnE.a-907"/>
        <s v="YPF.SC.CnE-976"/>
        <s v="YPF.SC.CnE-1026"/>
        <s v="YPF.SC.CnE-1087"/>
        <s v="YPF.SC.CG-723"/>
        <s v="YPF.SC.CG-718"/>
        <s v="YPF.SC.CnE-1147"/>
        <s v="YPF.SC.BB-113"/>
        <s v="YPF.SC.CG-840"/>
        <s v="YPF.SC.BB-133"/>
        <s v="YPF.SC.CnE-1299"/>
        <s v="YPF.SC.CG-950"/>
        <s v="YPF.SC.LC.IA-977"/>
        <s v="YPF.SC.CG-980"/>
        <s v="YPF.SC.CnE-1458"/>
        <s v="YPF.SC.CnE-1321"/>
        <s v="YPF.SC.LH-559"/>
        <s v="YPF.SC.LH-690"/>
        <s v="YPF.SC.LH-819"/>
        <s v="YPF.SC.LH-903"/>
        <s v="YPF.SC.LH-945"/>
        <s v="YPF.SC.CG-66"/>
        <s v="YPF.SC.CG-132"/>
        <s v="YPF.SC.CG-369"/>
        <s v="YPF.SC.LC-22"/>
        <s v="YPF.SC.CnE-165"/>
        <s v="YPF.SC.CnE-210"/>
        <s v="YPF.SC.CnE.a-216"/>
        <s v="YPF.SC.CnE-365"/>
        <s v="YPF.SC.CnE-385"/>
        <s v="YPF.SC.CnE-549"/>
        <s v="YPF.SC.CnE-558"/>
        <s v="YPF.SC.CnE-615"/>
        <s v="YPF.SC.CnE-673"/>
        <s v="YPF.SC.CnE-774"/>
        <s v="YPF.SC.CnE-838"/>
        <s v="YPF.SC.LH-175"/>
        <s v="YPF.SC.LH-176"/>
        <s v="YPF.SC.LH-260"/>
        <s v="YPF.SC.LH-325"/>
        <s v="YPF.SC.LH-501"/>
        <s v="YPF.SC.LH.a-510"/>
        <s v="YPF.SC.LH-618"/>
        <s v="YPF.SC.LH-768"/>
        <s v="YPF.SC.LH-775"/>
        <s v="YPF.SC.LH-887"/>
        <s v="YPF.SC.LH-902"/>
        <s v="YPF.SC.LH-906"/>
        <s v="YPF.SC.LH-958"/>
        <s v="YPF.SC.CG.a-13"/>
        <s v="YPF.SC.CG-16"/>
        <s v="YPF.SC.CG-157"/>
        <s v="YPF.SC.CG-239"/>
        <s v="YPF.SC.CG-284"/>
        <s v="YPF.SC.CG-393"/>
        <s v="YPF.SC.CG.a-411"/>
        <s v="YPF.SC.CnE.a-11"/>
        <s v="YPF.SC.CnE-38"/>
        <s v="YPF.SC.CnE-42"/>
        <s v="YPF.SC.CnE-69"/>
        <s v="YPF.SC.CG-606"/>
        <s v="YPF.SC.LH-1175"/>
        <s v="YPF.SC.CG-633"/>
        <s v="YPF.SC.CG-706"/>
        <s v="YPF.SC.LH-1212"/>
        <s v="YPF.SC.CnE-1148"/>
        <s v="YPF.SC.CG-767"/>
        <s v="YPF.SC.CG.xp-910"/>
        <s v="YPF.SC.CnE-1287"/>
        <s v="YPF.SC.BB-176"/>
        <s v="YPF.SC.LC-984"/>
        <s v="YPF.SC.BBO.x-1"/>
        <s v="YPF.SC.CnE-21"/>
        <s v="YPF.SC.CnE.a-134"/>
        <s v="YPF.SC.CG.a-531"/>
        <s v="YPF.SC.LH-991"/>
        <s v="YPF.SC.LH-1007"/>
        <s v="YPF.SC.CnE-903"/>
        <s v="YPF.SC.LH-182"/>
        <s v="YPF.SC.LH-1066"/>
        <s v="YPF.SC.CnE.a-926"/>
        <s v="YPF.SC.LH-1155"/>
        <s v="YPF.SC.CnE-963"/>
        <s v="YPF.SC.CG-636"/>
        <s v="YPF.SC.CnE-1050"/>
        <s v="YPF.SC.CnE-1059"/>
        <s v="YPF.SC.LH-1207"/>
        <s v="YPF.SC.CnE.a-1136"/>
        <s v="YPF.SC.LH-102"/>
        <s v="YPF.SC.LH-201"/>
        <s v="YPF.SC.LH-288"/>
        <s v="YPF.SC.LH-488"/>
        <s v="YPF.SC.LH-532"/>
        <s v="YPF.SC.LH-564"/>
        <s v="YPF.SC.LH-638"/>
        <s v="YPF.SC.LH-642"/>
        <s v="YPF.SC.LH-779"/>
        <s v="YPF.SC.CG-435"/>
        <s v="YPF.SC.CG.a-473"/>
        <s v="YPF.SC.CG-507"/>
        <s v="YPF.SC.CnE.a-193"/>
        <s v="YPF.SC.LH-261"/>
        <s v="YPF.SC.CG-120"/>
        <s v="YPF.SC.CnE-879"/>
        <s v="YPF.SC.LH-68"/>
        <s v="YPF.SC.CnE-74"/>
        <s v="YPF.SC.CnE-103"/>
        <s v="YPF.SC.CnE-190"/>
        <s v="YPF.SC.CnE-360"/>
        <s v="YPF.SC.CnE-364"/>
        <s v="YPF.SC.CnE-367"/>
        <s v="YPF.SC.CnE-381"/>
        <s v="YPF.SC.CnE-409"/>
        <s v="YPF.SC.CnE.a-417"/>
        <s v="YPF.SC.CnE-439"/>
        <s v="YPF.SC.CnE-451"/>
        <s v="YPF.SC.CnE-452"/>
        <s v="YPF.SC.CnE-507"/>
        <s v="YPF.SC.CnE-527"/>
        <s v="YPF.SC.CnE-528"/>
        <s v="YPF.SC.CnE-530"/>
        <s v="YPF.SC.CnE-577"/>
        <s v="YPF.SC.CnE.a-594"/>
        <s v="YPF.SC.CnE-617"/>
        <s v="YPF.SC.CnE-625"/>
        <s v="YPF.SC.CnE-635"/>
        <s v="YPF.SC.CnE-647"/>
        <s v="YPF.SC.CnE-650"/>
        <s v="YPF.SC.CnE-702"/>
        <s v="YPF.SC.CnE-715"/>
        <s v="YPF.SC.CnE-754"/>
        <s v="YPF.SC.CnE.a-765"/>
        <s v="YPF.SC.CnE-800"/>
        <s v="YPF.SC.CnE-835"/>
        <s v="YPF.SC.CnE-842"/>
        <s v="YPF.SC.LH-1084"/>
        <s v="YPF.SC.CG-608"/>
        <s v="YPF.SC.LH-1217"/>
        <s v="YPF.SC.CG-825"/>
        <s v="YPF.SC.CG-816"/>
        <s v="YPF.SC.CnE-1130"/>
        <s v="YPF.SC.CnE-1196"/>
        <s v="YPF.SC.CnE-1271"/>
        <s v="YPF.SC.BB-145"/>
        <s v="YPF.SC.CnE-1306"/>
        <s v="YPF.SC.CG-874"/>
        <s v="YPF.SC.CG-955"/>
        <s v="YPF.SC.O-171"/>
        <s v="YPF.SC.LH-90"/>
        <s v="YPF.SC.LH-240"/>
        <s v="YPF.SC.LH-662"/>
        <s v="YPF.SC.LH-674"/>
        <s v="YPF.SC.LH-698"/>
        <s v="YPF.SC.LH-719"/>
        <s v="YPF.SC.LH-789"/>
        <s v="YPF.SC.LH-795"/>
        <s v="YPF.SC.LH-809"/>
        <s v="YPF.SC.LH-857"/>
        <s v="YPF.SC.LH-934"/>
        <s v="YPF.SC.CG.a-49"/>
        <s v="YPF.SC.CG.a-85"/>
        <s v="YPF.SC.CG-248"/>
        <s v="YPF.SC.CG.a-292"/>
        <s v="YPF.SC.CG-377"/>
        <s v="YPF.SC.CG-505"/>
        <s v="YPF.SC.LC-171"/>
        <s v="YPF.SC.CnE.a-15"/>
        <s v="YPF.SC.CnE-58"/>
        <s v="YPF.SC.CnE-552"/>
        <s v="YPF.SC.CnE-622"/>
        <s v="YPF.SC.CnE-727"/>
        <s v="YPF.SC.CnE-778"/>
        <s v="YPF.SC.BB.a-2"/>
        <s v="YPF.SC.CnE.a-5"/>
        <s v="YPF.SC.CnE.a-91"/>
        <s v="YPF.SC.LC-54"/>
        <s v="YPF.SC.CnE-86"/>
        <s v="YPF.SC.CnE.a-129"/>
        <s v="YPF.SC.CnE-150"/>
        <s v="YPF.SC.CnE-282"/>
        <s v="YPF.SC.CnE-284"/>
        <s v="YPF.SC.CnE.a-418"/>
        <s v="YPF.SC.CnE-461"/>
        <s v="YPF.SC.CnE-492"/>
        <s v="YPF.SC.CnE-657"/>
        <s v="YPF.SC.CnE-666"/>
        <s v="YPF.SC.CnE-732"/>
        <s v="YPF.SC.LH-53"/>
        <s v="YPF.SC.LH-143"/>
        <s v="YPF.SC.LH-174"/>
        <s v="YPF.SC.LH-483"/>
        <s v="YPF.SC.LH-571"/>
        <s v="YPF.SC.LH-617"/>
        <s v="YPF.SC.LH-648"/>
        <s v="YPF.SC.LH-832"/>
        <s v="YPF.SC.LH.a-841"/>
        <s v="YPF.SC.LH-882"/>
        <s v="YPF.SC.LH-933"/>
        <s v="YPF.SC.LH-937"/>
        <s v="YPF.SC.CG-17"/>
        <s v="YPF.SC.CG.a-108"/>
        <s v="YPF.SC.CG-294"/>
        <s v="YPF.SC.CG-370"/>
        <s v="YPF.SC.CG.a-403"/>
        <s v="YPF.SC.CG-418"/>
        <s v="YPF.SC.CG-433"/>
        <s v="YPF.SC.CG-434"/>
        <s v="YPF.SC.CG-439"/>
        <s v="YPF.SC.CG-449"/>
        <s v="YPF.SC.CG-467"/>
        <s v="YPF.SC.CG-511"/>
        <s v="YPF.SC.LC-30"/>
        <s v="YPF.SC.LC-91"/>
        <s v="YPF.SC.N-30"/>
        <s v="YPF.SC.CnE.a-31"/>
        <s v="YPF.SC.CnE-198"/>
        <s v="YPF.SC.CnE-206"/>
        <s v="YPF.SC.CnE-244"/>
        <s v="YPF.SC.CnE-317"/>
        <s v="YPF.SC.CnE.a-337"/>
        <s v="YPF.SC.CnE-432"/>
        <s v="YPF.SC.CnE-446"/>
        <s v="YPF.SC.CnE-464"/>
        <s v="YPF.SC.CnE-562"/>
        <s v="YPF.SC.CnE-572"/>
        <s v="YPF.SC.CnE.a-581"/>
        <s v="YPF.SC.CnE-697"/>
        <s v="YPF.SC.CnE-828"/>
        <s v="YPF.SC.CG-640"/>
        <s v="YPF.SC.BB.a-67"/>
        <s v="YPF.SC.BB.a-70"/>
        <s v="YPF.SC.LHS.x-3"/>
        <s v="YPF.SC.LH-263"/>
        <s v="YPF.SC.CnE.a-13"/>
        <s v="YPF.SC.LC-64"/>
        <s v="YPF.SC.LC-27"/>
        <s v="YPF.SC.CG.a-293"/>
        <s v="YPF.SC.LH-177"/>
        <s v="YPF.SC.LH-233"/>
        <s v="YPF.SC.LH-265"/>
        <s v="YPF.SC.LH-466"/>
        <s v="YPF.SC.CG-89"/>
        <s v="YPF.SC.LC.a-631"/>
        <s v="YPF.SC.LH-87"/>
        <s v="YPF.SC.LH-232"/>
        <s v="YPF.SC.LH-299"/>
        <s v="YPF.SC.LH-628"/>
        <s v="YPF.SC.LH-666"/>
        <s v="YPF.SC.LH-803"/>
        <s v="YPF.SC.LH.a-843"/>
        <s v="YPF.SC.LH-921"/>
        <s v="YPF.SC.CG.a-138"/>
        <s v="YPF.SC.CG-162"/>
        <s v="YPF.SC.CG-231"/>
        <s v="YPF.SC.CG-252"/>
        <s v="YPF.SC.CG-359"/>
        <s v="YPF.SC.CG-419"/>
        <s v="YPF.SC.CG-421"/>
        <s v="YPF.SC.LC-119"/>
        <s v="YPF.SC.CnE-41"/>
        <s v="YPF.SC.CnE-161"/>
        <s v="YPF.SC.CnE-208"/>
        <s v="YPF.SC.CnE-222"/>
        <s v="YPF.SC.CnE-243"/>
        <s v="YPF.SC.CnE-303"/>
        <s v="YPF.SC.CnE-331"/>
        <s v="YPF.SC.CnE-354"/>
        <s v="YPF.SC.CnE-614"/>
        <s v="YPF.SC.CnE-624"/>
        <s v="YPF.SC.CnE-663"/>
        <s v="YPF.SC.CnE-670"/>
        <s v="YPF.SC.CnE-675"/>
        <s v="YPF.SC.CnE-681"/>
        <s v="YPF.SC.CnE-720"/>
        <s v="YPF.SC.CnE-736"/>
        <s v="YPF.SC.CnE-781"/>
        <s v="YPF.SC.CG-603"/>
        <s v="YPF.SC.LH-1188"/>
        <s v="YPF.SC.LH-1193"/>
        <s v="YPF.SC.LH-1199"/>
        <s v="YPF.SC.CG-724(d)"/>
        <s v="YPF.SC.CnE-1142"/>
        <s v="YPF.SC.CnE-1245"/>
        <s v="YPF.SC.CG-949"/>
        <s v="YPF.SC.CG-981"/>
        <s v="YPF.SC.CnE-1463"/>
        <s v="YPF.SC.CnE-1124"/>
        <s v="YPF.SC.CnE-1143"/>
        <s v="YPF.SC.LH-1227"/>
        <s v="YPF.SC.CnE-1252(d)"/>
        <s v="YPF.SC.BB.xp-183"/>
        <s v="YPF.SC.LH-1310"/>
        <s v="YPF.SC.BB.a-73"/>
        <s v="YPF.SC.LH.a-92"/>
        <s v="YPF.SC.LH-125"/>
        <s v="YPF.SC.LH-296"/>
        <s v="YPF.SC.CnE-878"/>
        <s v="YPF.SC.LH-981"/>
        <s v="YPF.SC.CG-545"/>
        <s v="YPF.SC.LH-1051"/>
        <s v="YPF.SC.LH.a-1072"/>
        <s v="YPF.SC.LH-1067"/>
        <s v="YPF.SC.CG-554"/>
        <s v="YPF.SC.LH-1102"/>
        <s v="YPF.SC.CnE-937"/>
        <s v="YPF.SC.CnE-1006"/>
        <s v="YPF.SC.CnE-1110"/>
        <s v="YPF.SC.CnE-1224(d)"/>
        <s v="YPF.SC.CG-880"/>
        <s v="YPF.SC.BB-61"/>
        <s v="YPF.SC.CG-752(d)"/>
        <s v="YPF.SC.CG-747"/>
        <s v="YPF.SC.CG-800"/>
        <s v="YPF.SC.CG-834"/>
        <s v="YPF.SC.LH-1231"/>
        <s v="YPF.SC.CG-815"/>
        <s v="YPF.SC.CG-896"/>
        <s v="YPF.SC.CG-877"/>
        <s v="YPF.SC.CnE-1322"/>
        <s v="YPF.SC.BB-151"/>
        <s v="YPF.SC.LH.a-974"/>
        <s v="YPF.SC.BB-106"/>
        <s v="YPF.SC.BB-10"/>
        <s v="YPF.SC.LH-197"/>
        <s v="YPF.SC.CnE-862"/>
        <s v="YPF.SC.CG.a-152"/>
        <s v="YPF.SC.CnE-868"/>
        <s v="YPF.SC.CnE-870"/>
        <s v="YPF.SC.CnE-882"/>
        <s v="YPF.SC.LH-987"/>
        <s v="YPF.SC.CnE-1144"/>
        <s v="YPF.SC.BB-128"/>
        <s v="YPF.SC.CnE-1199(d)"/>
        <s v="YPF.SC.LH-1242"/>
        <s v="YPF.SC.CG-868"/>
        <s v="YPF.SC.CnE-1315(d)"/>
        <s v="YPF.SC.CnE-1385"/>
        <s v="YPF.SC.CnE-1411"/>
        <s v="YPF.SC.LH-995"/>
        <s v="YPF.SC.LH-999"/>
        <s v="YPF.SC.LH-1042"/>
        <s v="YPF.SC.LH-1035"/>
        <s v="YPF.SC.CnE-911"/>
        <s v="YPF.SC.LH-1090"/>
        <s v="LH-1[00]a"/>
        <s v="YPF.SC.LH-1122"/>
        <s v="YPF.SC.LH-77"/>
        <s v="YPF.SC.LH-267"/>
        <s v="YPF.SC.LH-282"/>
        <s v="YPF.SC.LH-292"/>
        <s v="YPF.SC.LH-542"/>
        <s v="YPF.SC.LH-568"/>
        <s v="YPF.SC.LH-626"/>
        <s v="YPF.SC.LH-687"/>
        <s v="YPF.SC.LH-693"/>
        <s v="YPF.SC.LH-716"/>
        <s v="YPF.SC.LH-752"/>
        <s v="YPF.SC.LH-753"/>
        <s v="YPF.SC.LH-808"/>
        <s v="YPF.SC.BB-48"/>
        <s v="YPF.SC.LH-966"/>
        <s v="YPF.SC.BB.a-66"/>
        <s v="YPF.SC.CnE.a-3"/>
        <s v="YPF.SC.CnE.a-10"/>
        <s v="YPF.SC.CnE-95"/>
        <s v="YPF.SC.CnE.a-195"/>
        <s v="YPF.SC.LH.a-10"/>
        <s v="YPF.SC.CnE.a-339"/>
        <s v="YPF.SC.LH-115"/>
        <s v="YPF.SC.LH-257"/>
        <s v="YPF.SC.CG.a-125"/>
        <s v="YPF.SC.CG.a-624"/>
        <s v="YPF.SC.LH-1182"/>
        <s v="YPF.SC.CG-622"/>
        <s v="YPF.SC.LH-1176"/>
        <s v="YPF.SC.CG-648"/>
        <s v="YPF.SC.LH-1194"/>
        <s v="YPF.SC.CG-709"/>
        <s v="YPF.SC.CnE-1088"/>
        <s v="YPF.SC.LH-1129"/>
        <s v="YPF.SC.LH-1062"/>
        <s v="YPF.SC.CnE-908"/>
        <s v="YPF.SC.CnE-917"/>
        <s v="YPF.SC.CG-566"/>
        <s v="YPF.SC.CnE-949"/>
        <s v="YPF.SC.CG-628"/>
        <s v="YPF.SC.CG-632"/>
        <s v="YPF.SC.CG-638"/>
        <s v="YPF.SC.CG-714"/>
        <s v="YPF.SC.CnE-1055"/>
        <s v="YPF.SC.CnE-1063"/>
        <s v="YPF.SC.CnE-966"/>
        <s v="YPF.SC.CG-630"/>
        <s v="YPF.SC.CG-686"/>
        <s v="YPF.SC.CG-685"/>
        <s v="YPF.SC.CG-711"/>
        <s v="YPF.SC.CnE-1058"/>
        <s v="YPF.SC.LH-1205"/>
        <s v="YPF.SC.LH-1204"/>
        <s v="YPF.SC.CG-802"/>
        <s v="YPF.SC.CnE-1121"/>
        <s v="YPF.SC.CnE-1213"/>
        <s v="YPF.SC.CnE-1192"/>
        <s v="YPF.SC.CnE-1206"/>
        <s v="YPF.SC.LH-1233"/>
        <s v="YPF.SC.CG-943"/>
        <s v="YPF.SC.LH-862"/>
        <s v="YPF.SC.LH.a-871"/>
        <s v="YPF.SC.CG-118"/>
        <s v="YPF.SC.CG-313"/>
        <s v="YPF.SC.CG-362"/>
        <s v="YPF.SC.CG-388"/>
        <s v="YPF.SC.CG.a-402"/>
        <s v="YPF.SC.CG.a-417"/>
        <s v="YPF.SC.LC-120"/>
        <s v="YPF.SC.N-19"/>
        <s v="YPF.SC.CnE-146"/>
        <s v="YPF.SC.CnE.a-227"/>
        <s v="YPF.SC.CnE-232"/>
        <s v="YPF.SC.CnE-278"/>
        <s v="YPF.SC.CnE.a-413"/>
        <s v="YPF.SC.CnE-498"/>
        <s v="YPF.SC.CnE.a-568"/>
        <s v="YPF.SC.CnE-642"/>
        <s v="YPF.SC.CnE-669"/>
        <s v="YPF.SC.CnE-724"/>
        <s v="YPF.SC.BB-89"/>
        <s v="YPF.SC.LH.a-73"/>
        <s v="YPF.SC.LH-118"/>
        <s v="YPF.SC.LH.a-156"/>
        <s v="YPF.SC.CG-205"/>
        <s v="YPF.SC.LH.a-457"/>
        <s v="YPF.SC.CnE-877"/>
        <s v="YPF.SC.CG-513"/>
        <s v="YPF.SC.CnE-942"/>
        <s v="YPF.SC.CnE-946"/>
        <s v="YPF.SC.LH-1147"/>
        <s v="YPF.SC.CG-673"/>
        <s v="YPF.SC.LH.a-37"/>
        <s v="YPF.SC.LH-85"/>
        <s v="YPF.SC.LH-180"/>
        <s v="YPF.SC.LH-200"/>
        <s v="YPF.SC.LH-212"/>
        <s v="YPF.SC.LH-529"/>
        <s v="YPF.SC.LH-700"/>
        <s v="YPF.SC.LH-707"/>
        <s v="YPF.SC.LH-714"/>
        <s v="YPF.SC.LH-833"/>
        <s v="YPF.SC.LH-910"/>
        <s v="YPF.SC.CG-18"/>
        <s v="YPF.SC.CG-149"/>
        <s v="YPF.SC.CG-158"/>
        <s v="YPF.SC.CG-230"/>
        <s v="YPF.SC.CG.a-273"/>
        <s v="YPF.SC.CG-325"/>
        <s v="YPF.SC.CG-443"/>
        <s v="YPF.SC.CnE-109"/>
        <s v="YPF.SC.CnE-155"/>
        <s v="YPF.SC.CnE-218"/>
        <s v="YPF.SC.CnE-238"/>
        <s v="YPF.SC.CnE-262"/>
        <s v="YPF.SC.CnE-388"/>
        <s v="YPF.SC.CnE-395"/>
        <s v="YPF.SC.CnE-419"/>
        <s v="YPF.SC.CnE-437"/>
        <s v="YPF.SC.CnE-447"/>
        <s v="YPF.SC.CnE-450"/>
        <s v="YPF.SC.CnE.a-597"/>
        <s v="YPF.SC.CnE.a-613"/>
        <s v="YPF.SC.CnE-631"/>
        <s v="YPF.SC.CnE-767"/>
        <s v="YPF.SC.CnE-829"/>
        <s v="YPF.SC.CnE-843"/>
        <s v="YPF.SC.CnE-889"/>
        <s v="YPF.SC.LH-998"/>
        <s v="YPF.SC.CnE.a-900"/>
        <s v="YPF.SC.LC-974"/>
        <s v="YPF.SC.LH-1301"/>
        <s v="YPF.SC.CG-795"/>
        <s v="YPF.SC.CG-791"/>
        <s v="YPF.SC.CG-748"/>
        <s v="YPF.SC.CnE-1145"/>
        <s v="YPF.SC.BB-130"/>
        <s v="YPF.SC.LH-1222"/>
        <s v="YPF.SC.CG-833"/>
        <s v="YPF.SC.LH-1261"/>
        <s v="YPF.SC.CnE-1326"/>
        <s v="YPF.SC.BB.a-32"/>
        <s v="YPF.SC.CEO.x-1"/>
        <s v="YPF.SC.BB-49"/>
        <s v="YPF.SC.CnE.a-341"/>
        <s v="YPF.SC.LH-167"/>
        <s v="YPF.SC.LH.a-493"/>
        <s v="YPF.SC.CG-145"/>
        <s v="YPF.SC.CnE-867"/>
        <s v="YPF.SC.CG-536"/>
        <s v="YPF.SC.CG.a-542"/>
        <s v="YPF.SC.CG-538"/>
        <s v="YPF.SC.BB-13"/>
        <s v="YPF.SC.BB-63"/>
        <s v="YPF.SC.LHS.x-1"/>
        <s v="YPF.SC.BB-22"/>
        <s v="YPF.SC.BB-51"/>
        <s v="YPF.SC.CnE.a-2"/>
        <s v="YPF.SC.LH-200(I)"/>
        <s v="YPF.SC.LC-39"/>
        <s v="YPF.SC.CnE.a-481"/>
        <s v="YPF.SC.LH-74"/>
        <s v="YPF.SC.LH-121"/>
        <s v="YPF.SC.CG.a-221"/>
        <s v="YPF.SC.CG.a-222"/>
        <s v="YPF.SC.LH-202"/>
        <s v="YPF.SC.LH-505"/>
        <s v="YPF.SC.LH-591"/>
        <s v="YPF.SC.CnE.a-860"/>
        <s v="YPF.SC.CG.a-22"/>
        <s v="YPF.SC.CG-25"/>
        <s v="YPF.SC.CG-67"/>
        <s v="YPF.SC.LC-628"/>
        <s v="YPF.SC.LH.a-1010"/>
        <s v="YPF.SC.O-2"/>
        <s v="YPF.SC.LH-253"/>
        <s v="YPF.SC.LH-322"/>
        <s v="YPF.SC.LH-481"/>
        <s v="YPF.SC.LH-578"/>
        <s v="YPF.SC.LH-600"/>
        <s v="YPF.SC.LH-643"/>
        <s v="YPF.SC.LH-656"/>
        <s v="YPF.SC.LH-681"/>
        <s v="YPF.SC.LH-800"/>
        <s v="YPF.SC.LH-801"/>
        <s v="YPF.SC.LH-806"/>
        <s v="YPF.SC.LH-848"/>
        <s v="YPF.SC.LH-880"/>
        <s v="YPF.SC.LH-889"/>
        <s v="YPF.SC.LH-894"/>
        <s v="YPF.SC.LH-911"/>
        <s v="YPF.SC.LH-914"/>
        <s v="YPF.SC.LH-940"/>
        <s v="YPF.SC.LH-953"/>
        <s v="YPF.SC.CG-123"/>
        <s v="YPF.SC.CG.a-184"/>
        <s v="YPF.SC.CG-217"/>
        <s v="YPF.SC.CG-234"/>
        <s v="YPF.SC.CG-268"/>
        <s v="YPF.SC.CG-371"/>
        <s v="YPF.SC.CG-380"/>
        <s v="YPF.SC.CG.a-408"/>
        <s v="YPF.SC.LC-76"/>
        <s v="YPF.SC.LC-455"/>
        <s v="YPF.SC.ECa.x-3"/>
        <s v="YPF.SC.CnE-46"/>
        <s v="YPF.SC.CnE-71"/>
        <s v="YPF.SC.CnE-131"/>
        <s v="YPF.SC.CnE-207"/>
        <s v="YPF.SC.CnE-246"/>
        <s v="YPF.SC.CnE-299"/>
        <s v="YPF.SC.CnE-309"/>
        <s v="YPF.SC.CnE.a-338"/>
        <s v="YPF.SC.CnE.a-376"/>
        <s v="YPF.SC.CnE-401"/>
        <s v="YPF.SC.CnE-416"/>
        <s v="YPF.SC.CnE-423"/>
        <s v="YPF.SC.CnE-429"/>
        <s v="YPF.SC.CnE-436"/>
        <s v="YPF.SC.CnE-453"/>
        <s v="YPF.SC.CnE.a-580"/>
        <s v="YPF.SC.CnE-629"/>
        <s v="YPF.SC.CnE-770"/>
        <s v="YPF.SC.LH-1004"/>
        <s v="YPF.SC.LH.a-69"/>
        <s v="YPF.SC.LH-140"/>
        <s v="YPF.SC.LH-149"/>
        <s v="YPF.SC.LH-172"/>
        <s v="YPF.SC.LH-181"/>
        <s v="YPF.SC.LH-573"/>
        <s v="YPF.SC.LH-665"/>
        <s v="YPF.SC.LH-853"/>
        <s v="YPF.SC.LH-858"/>
        <s v="YPF.SC.LH-895"/>
        <s v="YPF.SC.LH-950"/>
        <s v="YPF.SC.CG.a-78"/>
        <s v="YPF.SC.CG-119"/>
        <s v="YPF.SC.CG-235"/>
        <s v="YPF.SC.CG.a-470"/>
        <s v="YPF.SC.CG.a-472"/>
        <s v="YPF.SC.LH-633"/>
        <s v="YPF.SC.LH-688"/>
        <s v="YPF.SC.LH-696"/>
        <s v="YPF.SC.LH-756"/>
        <s v="YPF.SC.LH-896"/>
        <s v="YPF.SC.LH-916"/>
        <s v="YPF.SC.LH-917"/>
        <s v="YPF.SC.CG-133"/>
        <s v="YPF.SC.CG-295"/>
        <s v="YPF.SC.LC.a-362"/>
        <s v="YPF.SC.LC-534"/>
        <s v="YPF.SC.N-47"/>
        <s v="YPF.SC.CnE-107"/>
        <s v="YPF.SC.CnE-211"/>
        <s v="YPF.SC.CnE-280"/>
        <s v="YPF.SC.CnE-281"/>
        <s v="YPF.SC.CnE-320"/>
        <s v="YPF.SC.CnE-366"/>
        <s v="YPF.SC.CnE-438"/>
        <s v="YPF.SC.CnE-465"/>
        <s v="YPF.SC.CnE-505"/>
        <s v="YPF.SC.CnE-840"/>
        <s v="YPF.SC.LH-581"/>
        <s v="YPF.SC.LH-605"/>
        <s v="YPF.SC.LH-651"/>
        <s v="YPF.SC.LH-792"/>
        <s v="YPF.SC.LH.a-840"/>
        <s v="YPF.SC.LH-936"/>
        <s v="YPF.SC.LH-959"/>
        <s v="YPF.SC.CG-58"/>
        <s v="YPF.SC.CG-170"/>
        <s v="YPF.SC.CG-210"/>
        <s v="YPF.SC.CG-250"/>
        <s v="YPF.SC.CG-343"/>
        <s v="YPF.SC.CG-379"/>
        <s v="YPF.SC.CG-440"/>
        <s v="YPF.SC.CG-500"/>
        <s v="YPF.SC.LC-21"/>
        <s v="YPF.SC.N-4"/>
        <s v="YPF.SC.N-38"/>
        <s v="YPF.SC.CnE-33"/>
        <s v="YPF.SC.CnE-201"/>
        <s v="YPF.SC.CnE-251"/>
        <s v="YPF.SC.CnE-379"/>
        <s v="YPF.SC.CnE-406"/>
        <s v="YPF.SC.CnE.a-478"/>
        <s v="YPF.SC.CnE-514"/>
        <s v="YPF.SC.CnE-531"/>
        <s v="YPF.SC.CnE-661"/>
        <s v="YPF.SC.CnE-728"/>
        <s v="YPF.SC.CnE-786"/>
        <s v="YPF.SC.CnE-792"/>
        <s v="YPF.SC.PSA.x-1"/>
        <s v="YPF.SC.CG-498"/>
        <s v="YPF.SC.LH-1127"/>
        <s v="YPF.SC.LH-1164"/>
        <s v="YPF.SC.LH-1170"/>
        <s v="YPF.SC.LH-1177"/>
        <s v="YPF.SC.CG-659"/>
        <s v="YPF.SC.CnE-1001"/>
        <s v="YPF.SC.LH-1187"/>
        <s v="YPF.SC.CnE-1052"/>
        <s v="YPF.SC.CnE.a-1137"/>
        <s v="YPF.SC.CG-788"/>
        <s v="YPF.SC.CnE-1197"/>
        <s v="YPF.SC.LH-1224"/>
        <s v="YPF.SC.LH-1230"/>
        <s v="YPF.SC.LH-1253"/>
        <s v="YPF.SC.CnE-1377"/>
        <s v="YPF.SC.LH-113"/>
        <s v="YPF.SC.LH-209"/>
        <s v="YPF.SC.LH-331"/>
        <s v="YPF.SC.LH-583"/>
        <s v="YPF.SC.LH-624"/>
        <s v="YPF.SC.LH-664"/>
        <s v="YPF.SC.LH-814"/>
        <s v="YPF.SC.LH-884"/>
        <s v="YPF.SC.LH-932"/>
        <s v="YPF.SC.CG-243"/>
        <s v="YPF.SC.CG-296"/>
        <s v="YPF.SC.CG-447"/>
        <s v="YPF.SC.CG.a-475"/>
        <s v="YPF.SC.CG-486"/>
        <s v="YPF.SC.CG-510"/>
        <s v="YPF.SC.LC-533"/>
        <s v="YPF.SC.CnE-175"/>
        <s v="YPF.SC.CnE-324"/>
        <s v="YPF.SC.CnE.a-377"/>
        <s v="YPF.SC.CnE-508"/>
        <s v="YPF.SC.CnE-626"/>
        <s v="YPF.SC.CnE-640"/>
        <s v="YPF.SC.CnE-707"/>
        <s v="YPF.SC.CnE-711"/>
        <s v="YPF.SC.CnE-803"/>
        <s v="YPF.SC.CG-283"/>
        <s v="YPF.SC.LH-438"/>
        <s v="YPF.SC.CGN.x-1"/>
        <s v="YPF.SC.CnE-26"/>
        <s v="YPF.SC.LH-566"/>
        <s v="YPF.SC.CG.a-533"/>
        <s v="YPF.SC.CG.a-534"/>
        <s v="YPF.SC.LH.a-6"/>
        <s v="YPF.SC.LH-597"/>
        <s v="YPF.SC.LH-619"/>
        <s v="YPF.SC.LH-739"/>
        <s v="YPF.SC.LH-778"/>
        <s v="YPF.SC.LH.a-837"/>
        <s v="YPF.SC.CG-115"/>
        <s v="YPF.SC.CG-178"/>
        <s v="YPF.SC.CG-209"/>
        <s v="YPF.SC.CG-228"/>
        <s v="YPF.SC.CG-254"/>
        <s v="YPF.SC.CG.a-406"/>
        <s v="YPF.SC.CG.a-412"/>
        <s v="YPF.SC.CG-453"/>
        <s v="YPF.SC.CG-502"/>
        <s v="YPF.SC.N-59"/>
        <s v="YPF.SC.CnE-121"/>
        <s v="YPF.SC.CnE-200"/>
        <s v="YPF.SC.CnE-205"/>
        <s v="YPF.SC.CnE-250"/>
        <s v="YPF.SC.CnE.a-288"/>
        <s v="YPF.SC.CnE-513"/>
        <s v="YPF.SC.CnE-645"/>
        <s v="YPF.SC.CnE-704"/>
        <s v="YPF.SC.N-9"/>
        <s v="YPF.SC.N-28"/>
        <s v="YPF.SC.CnE-98"/>
        <s v="YPF.SC.CnE-229"/>
        <s v="YPF.SC.CnE-253"/>
        <s v="YPF.SC.CnE-265"/>
        <s v="YPF.SC.CnE-463"/>
        <s v="YPF.SC.CnE-525"/>
        <s v="YPF.SC.CnE-570"/>
        <s v="YPF.SC.CnE-649"/>
        <s v="YPF.SC.CnE-721"/>
        <s v="YPF.SC.CnE-771"/>
        <s v="YPF.SC.CnE-844"/>
        <s v="YPF.SC.BB-54"/>
        <s v="YPF.SC.BB-96"/>
        <s v="YPF.SC.LH-79"/>
        <s v="YPF.SC.LH-284"/>
        <s v="YPF.SC.LC-625"/>
        <s v="YPF.SC.CnE-864"/>
        <s v="YPF.SC.LH-1019"/>
        <s v="YPF.SC.CnE-901"/>
        <s v="YPF.SC.LH-1078"/>
        <s v="YPF.SC.CG-560"/>
        <s v="YPF.SC.CnE-922"/>
        <s v="YPF.SC.BB-97"/>
        <s v="YPF.SC.LH.a-13"/>
        <s v="YPF.SC.LH.a-42"/>
        <s v="YPF.SC.LH.a-281"/>
        <s v="YPF.SC.LH-543"/>
        <s v="YPF.SC.CnE-859"/>
        <s v="YPF.SC.CG.a-5"/>
        <s v="YPF.SC.O-173"/>
        <s v="YPF.SC.LH-130"/>
        <s v="YPF.SC.LH-131"/>
        <s v="YPF.SC.LH-168"/>
        <s v="YPF.SC.LH-274"/>
        <s v="YPF.SC.LH-332"/>
        <s v="YPF.SC.LH-598"/>
        <s v="YPF.SC.LH-767"/>
        <s v="YPF.SC.LH-834"/>
        <s v="YPF.SC.LH-919"/>
        <s v="YPF.SC.CG-19"/>
        <s v="YPF.SC.CG-109"/>
        <s v="YPF.SC.CG.a-121"/>
        <s v="YPF.SC.CG-156"/>
        <s v="YPF.SC.CG-180"/>
        <s v="YPF.SC.CG-375"/>
        <s v="YPF.SC.CG-427"/>
        <s v="YPF.SC.LC-167"/>
        <s v="YPF.SC.LC-538"/>
        <s v="YPF.SC.CnE-16"/>
        <s v="YPF.SC.CnE-45"/>
        <s v="YPF.SC.CnE-197"/>
        <s v="YPF.SC.CnE-258"/>
        <s v="YPF.SC.CnE-308"/>
        <s v="YPF.SC.CnE-351"/>
        <s v="YPF.SC.CnE-392"/>
        <s v="YPF.SC.CnE-441"/>
        <s v="YPF.SC.SCa.x-1"/>
        <s v="YPF.SC.CnE.a-854"/>
        <s v="YPF.SC.CnE.a-136"/>
        <s v="YPF.SC.CEO.x-3"/>
        <s v="YPF.SC.CEO.x-4"/>
        <s v="YPF.SC.CG-374"/>
        <s v="YPF.SC.LH-480"/>
        <s v="YPF.SC.CG.a-299"/>
        <s v="YPF.SC.LH-179"/>
        <s v="YPF.SC.CG-43"/>
        <s v="YPF.SC.BB-105"/>
        <s v="YPF.SC.LH-49"/>
        <s v="YPF.SC.LH.a-155"/>
        <s v="YPF.SC.LH-157"/>
        <s v="YPF.SC.LH-252"/>
        <s v="YPF.SC.LH-558"/>
        <s v="YPF.SC.LH-579"/>
        <s v="YPF.SC.LH-699"/>
        <s v="YPF.SC.LH-854"/>
        <s v="YPF.SC.LH-878"/>
        <s v="YPF.SC.LH-939"/>
        <s v="YPF.SC.LH-941"/>
        <s v="YPF.SC.CG-26"/>
        <s v="YPF.SC.CG.a-79"/>
        <s v="YPF.SC.CG-82"/>
        <s v="YPF.SC.CG-103"/>
        <s v="YPF.SC.CG-219"/>
        <s v="YPF.SC.CG-225"/>
        <s v="YPF.SC.CG-256"/>
        <s v="YPF.SC.CG-279"/>
        <s v="YPF.SC.CG-280"/>
        <s v="YPF.SC.CG-426"/>
        <s v="YPF.SC.CG-441"/>
        <s v="YPF.SC.CG-455"/>
        <s v="YPF.SC.CnE-40"/>
        <s v="YPF.SC.CnE-44"/>
        <s v="YPF.SC.CnE-163"/>
        <s v="YPF.SC.CnE-261"/>
        <s v="YPF.SC.CnE-283"/>
        <s v="YPF.SC.CnE-394"/>
        <s v="YPF.SC.CnE-468"/>
        <s v="YPF.SC.CnE-487"/>
        <s v="YPF.SC.CnE-500"/>
        <s v="YPF.SC.CnE-628"/>
        <s v="YPF.SC.CnE-655"/>
        <s v="YPF.SC.CnE-672"/>
        <s v="YPF.SC.CnE-699"/>
        <s v="YPF.SC.CnE-705"/>
        <s v="YPF.SC.CnE-718"/>
        <s v="YPF.SC.CnE-719"/>
        <s v="YPF.SC.CnE-750"/>
        <s v="YPF.SC.CnE.a-761"/>
        <s v="YPF.SC.CnE.a-845"/>
        <s v="YPF.SC.BB-149"/>
        <s v="YPF.SC.CG.IA-976"/>
        <s v="YPF.SC.LH-1043"/>
        <s v="YPF.SC.CG-570"/>
        <s v="YPF.SC.CG-567"/>
        <s v="YPF.SC.CnE-921"/>
        <s v="YPF.SC.CG-578"/>
        <s v="YPF.SC.CnE.a-927"/>
        <s v="YPF.SC.CnE-933"/>
        <s v="YPF.SC.CG-620"/>
        <s v="YPF.SC.LH-1167"/>
        <s v="YPF.SC.LH-1178"/>
        <s v="YPF.SC.CG-615"/>
        <s v="YPF.SC.CnE-1008"/>
        <s v="YPF.SC.CG-697"/>
        <s v="YPF.SC.CG-702"/>
        <s v="YPF.SC.CG-728"/>
        <s v="YPF.SC.LH-1208"/>
        <s v="YPF.SC.CnE-1150"/>
        <s v="YPF.SC.CnE-1231(d)"/>
        <s v="YPF.SC.CG-859(d)"/>
        <s v="YPF.SC.CnE-1238(d)"/>
        <s v="YPF.SC.CG-967"/>
        <s v="YPF.SC.BB-144"/>
        <s v="YPF.SC.CnE-1298(d)"/>
        <s v="YPF.SC.CnE-1425"/>
        <s v="YPF.SC.LH-969"/>
        <s v="YPF.SC.LH-970"/>
        <s v="YPF.SC.LH-183"/>
        <s v="YPF.SC.LH-1063"/>
        <s v="YPF.SC.CnE-923"/>
        <s v="YPF.SC.LH-1136"/>
        <s v="YPF.SC.LH-1151"/>
        <s v="YPF.SC.LH.a-1029"/>
        <s v="YPF.SC.LH-1068"/>
        <s v="YPF.SC.LH-78"/>
        <s v="YPF.SC.LH-1099"/>
        <s v="YPF.SC.LH-1115"/>
        <s v="YPF.SC.CnE-947"/>
        <s v="YPF.SC.LH-1162"/>
        <s v="YPF.SC.LH-1165"/>
        <s v="YPF.SC.CnE-969"/>
        <s v="YPF.SC.LH-1047"/>
        <s v="YPF.SC.LH-1069"/>
        <s v="YPF.SC.CG.a-549"/>
        <s v="YPF.SC.CG-572"/>
        <s v="YPF.SC.CnE-924"/>
        <s v="YPF.SC.CG.a-577"/>
        <s v="YPF.SC.CnE-936"/>
        <s v="YPF.SC.CnE-939"/>
        <s v="YPF.SC.LH-1110"/>
        <s v="YPF.SC.LH-1148"/>
        <s v="YPF.SC.CG-664"/>
        <s v="YPF.SC.CG-662"/>
        <s v="YPF.SC.CnE-1010"/>
        <s v="YPF.SC.CnE-560"/>
        <s v="YPF.SC.CnE-573"/>
        <s v="YPF.SC.CnE-574"/>
        <s v="YPF.SC.BB.a-31"/>
        <s v="YPF.SC.BB-87"/>
        <s v="YPF.SC.CnE.a-286"/>
        <s v="YPF.SC.LH-548"/>
        <s v="YPF.SC.CnE-459"/>
        <s v="YPF.SC.LH-258"/>
        <s v="YPF.SC.LH-272"/>
        <s v="YPF.SC.LH.a-649"/>
        <s v="YPF.SC.CG-54"/>
        <s v="YPF.SC.CG.a-47"/>
        <s v="YPF.SC.CnE.a-872"/>
        <s v="YPF.SC.LH-1105"/>
        <s v="YPF.SC.CnE-950"/>
        <s v="YPF.SC.LH-1158"/>
        <s v="YPF.SC.LH-1185"/>
        <s v="YPF.SC.LH-1221"/>
        <s v="YPF.SC.CnE-1149"/>
        <s v="YPF.SC.CnE-1146"/>
        <s v="YPF.SC.LH-1223"/>
        <s v="YPF.SC.CG-806"/>
        <s v="YPF.SC.BB-134"/>
        <s v="YPF.SC.CnE-1268(d)"/>
        <s v="YPF.SC.CG-856"/>
        <s v="YPF.SC.CG-720(d)"/>
        <s v="YPF.SC.LH-136"/>
        <s v="YPF.SC.LH-278"/>
        <s v="YPF.SC.LH-879"/>
        <s v="YPF.SC.LH-900"/>
        <s v="YPF.SC.LH-908"/>
        <s v="YPF.SC.LH-948"/>
        <s v="YPF.SC.LH-957"/>
        <s v="YPF.SC.CG.a-1"/>
        <s v="YPF.SC.CG-134"/>
        <s v="YPF.SC.CG-177"/>
        <s v="YPF.SC.CG.a-197"/>
        <s v="YPF.SC.CG-220"/>
        <s v="YPF.SC.CG-288"/>
        <s v="YPF.SC.CG-305"/>
        <s v="YPF.SC.CG-361"/>
        <s v="YPF.SC.CG-457"/>
        <s v="YPF.SC.LH-968"/>
        <s v="YPF.SC.LH-976"/>
        <s v="YPF.SC.LH-1041"/>
        <s v="CnE-940[00]a"/>
        <s v="LH-291[00]"/>
        <s v="CR-2[00]"/>
        <s v="LH-1114[00]a"/>
        <s v="BO-3[00]"/>
        <s v="CG-595[00]a"/>
      </sharedItems>
    </cacheField>
    <cacheField name="Pozo" numFmtId="0">
      <sharedItems/>
    </cacheField>
    <cacheField name="Activo" numFmtId="0">
      <sharedItems count="1">
        <s v="Las Heras CG - Canadon Escondida"/>
      </sharedItems>
    </cacheField>
    <cacheField name="Estado TOW" numFmtId="0">
      <sharedItems/>
    </cacheField>
    <cacheField name="SE" numFmtId="0">
      <sharedItems/>
    </cacheField>
    <cacheField name="Accion" numFmtId="0">
      <sharedItems count="10">
        <s v="ABA ULT 6 MESES"/>
        <s v="NO ABANDONAR"/>
        <s v="ABA ULT AÑO"/>
        <s v="ABANDONADO"/>
        <s v="ABANDONAR"/>
        <s v="LISTA YPF"/>
        <s v="ABA O OPORTUNIDAD"/>
        <s v="ABA O NETA +1,5"/>
        <s v="SACAR DE LA LISTA YPF"/>
        <s v="FALTA ABA DEFINITIVO"/>
      </sharedItems>
    </cacheField>
    <cacheField name="Bloque " numFmtId="0">
      <sharedItems containsBlank="1"/>
    </cacheField>
    <cacheField name="Lista YPF" numFmtId="0">
      <sharedItems count="2">
        <s v="NO"/>
        <s v="En lista de Abandono"/>
      </sharedItems>
    </cacheField>
    <cacheField name="Oportunidad" numFmtId="0">
      <sharedItems/>
    </cacheField>
    <cacheField name="Ult Control" numFmtId="0">
      <sharedItems containsMixedTypes="1" containsNumber="1" minValue="0" maxValue="22.400000000000002"/>
    </cacheField>
    <cacheField name="Salio del total" numFmtId="0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4">
  <r>
    <x v="0"/>
    <s v="CnE-1284"/>
    <x v="0"/>
    <s v="Espera Equipo Reparación"/>
    <s v="Bombeo Mecánico"/>
    <x v="0"/>
    <s v="Barranca Baya Bloque 30"/>
    <x v="0"/>
    <s v="NO"/>
    <n v="0.66"/>
    <s v="Ultimos 6 meses"/>
  </r>
  <r>
    <x v="1"/>
    <s v="CnE-1373"/>
    <x v="0"/>
    <s v="Produciendo"/>
    <s v="Bombeo Mecánico"/>
    <x v="1"/>
    <s v="Barranca Baya Bloque 30"/>
    <x v="0"/>
    <s v="Oportunidad"/>
    <n v="1"/>
    <n v="0"/>
  </r>
  <r>
    <x v="2"/>
    <s v="CG-985"/>
    <x v="0"/>
    <s v="Produciendo"/>
    <s v="Bombeo Mecánico"/>
    <x v="1"/>
    <s v="Barranca Baya Cerro Grande Noroeste"/>
    <x v="0"/>
    <s v="NO"/>
    <n v="4.9620000000000006"/>
    <n v="0"/>
  </r>
  <r>
    <x v="3"/>
    <s v="CnE-1464a"/>
    <x v="0"/>
    <s v="Produciendo"/>
    <s v="Bombeo Mecánico"/>
    <x v="1"/>
    <s v="Barranca Baya Bloque 30"/>
    <x v="0"/>
    <s v="NO"/>
    <n v="4.25"/>
    <n v="0"/>
  </r>
  <r>
    <x v="4"/>
    <s v="CnE-329"/>
    <x v="0"/>
    <s v="Produciendo"/>
    <s v="Bombeo Mecánico"/>
    <x v="1"/>
    <s v="Barranca Baya Bloque 36"/>
    <x v="0"/>
    <s v="NO"/>
    <n v="0.83700000000000008"/>
    <n v="0"/>
  </r>
  <r>
    <x v="5"/>
    <s v="CnE-371"/>
    <x v="0"/>
    <s v="Reserva Recuperación Secundaria"/>
    <s v="Pistoneo"/>
    <x v="2"/>
    <s v="Barranca Baya Bloque 36"/>
    <x v="0"/>
    <s v="NO"/>
    <n v="0.01"/>
    <s v="Ultimo Año"/>
  </r>
  <r>
    <x v="6"/>
    <s v="CnE-373"/>
    <x v="0"/>
    <s v="Produciendo"/>
    <s v="Inyección"/>
    <x v="1"/>
    <s v="Barranca Baya Bloque 36"/>
    <x v="0"/>
    <s v="NO"/>
    <n v="0"/>
    <n v="0"/>
  </r>
  <r>
    <x v="7"/>
    <s v="CnE-477"/>
    <x v="0"/>
    <s v="Abandono Permanente"/>
    <s v="No Posee"/>
    <x v="3"/>
    <s v="Barranca Baya Bloque 37"/>
    <x v="0"/>
    <s v="NO"/>
    <s v="NO"/>
    <s v="NO"/>
  </r>
  <r>
    <x v="8"/>
    <s v="CnE-496"/>
    <x v="0"/>
    <s v="Produciendo"/>
    <s v="Inyección"/>
    <x v="1"/>
    <s v="Barranca Baya"/>
    <x v="0"/>
    <s v="NO"/>
    <n v="0"/>
    <n v="0"/>
  </r>
  <r>
    <x v="9"/>
    <s v="CnE-506"/>
    <x v="0"/>
    <s v="Produciendo"/>
    <s v="Inyección"/>
    <x v="1"/>
    <s v="Barranca Baya Bloque 36"/>
    <x v="0"/>
    <s v="NO"/>
    <n v="0"/>
    <n v="0"/>
  </r>
  <r>
    <x v="10"/>
    <s v="CnE-554"/>
    <x v="0"/>
    <s v="Produciendo"/>
    <s v="Pistoneo"/>
    <x v="1"/>
    <s v="Barranca Baya"/>
    <x v="0"/>
    <s v="NO"/>
    <n v="6.7000000000000004E-2"/>
    <n v="0"/>
  </r>
  <r>
    <x v="11"/>
    <s v="CnE-599"/>
    <x v="0"/>
    <s v="Produciendo"/>
    <s v="Pistoneo"/>
    <x v="1"/>
    <s v="Barranca Baya Bloque 36"/>
    <x v="0"/>
    <s v="NO"/>
    <n v="2.9000000000000001E-2"/>
    <n v="0"/>
  </r>
  <r>
    <x v="12"/>
    <s v="CnE-634"/>
    <x v="0"/>
    <s v="Abandono Permanente"/>
    <s v="No Posee"/>
    <x v="3"/>
    <s v="Barranca Baya Bloque 30"/>
    <x v="0"/>
    <s v="NO"/>
    <n v="0.96"/>
    <n v="0"/>
  </r>
  <r>
    <x v="13"/>
    <s v="CnE-679"/>
    <x v="0"/>
    <s v="Reserva Recuperación Secundaria"/>
    <s v="Bombeo Mecánico"/>
    <x v="4"/>
    <s v="Barranca Baya Bloque 37"/>
    <x v="0"/>
    <s v="NO"/>
    <n v="0.17600000000000002"/>
    <n v="0"/>
  </r>
  <r>
    <x v="14"/>
    <s v="CnE-712"/>
    <x v="0"/>
    <s v="Produciendo"/>
    <s v="Inyección"/>
    <x v="1"/>
    <s v="Barranca Baya Bloque 37"/>
    <x v="0"/>
    <s v="NO"/>
    <n v="0"/>
    <n v="0"/>
  </r>
  <r>
    <x v="15"/>
    <s v="BB-20"/>
    <x v="0"/>
    <s v="Espera Equipo Reparación"/>
    <s v="Inyección"/>
    <x v="5"/>
    <s v="Barranca Baya"/>
    <x v="1"/>
    <s v="NO"/>
    <n v="0"/>
    <n v="0"/>
  </r>
  <r>
    <x v="16"/>
    <s v="BB-45"/>
    <x v="0"/>
    <s v="Produciendo"/>
    <s v="Bombeo Mecánico"/>
    <x v="1"/>
    <s v="Barranca Baya"/>
    <x v="0"/>
    <s v="NO"/>
    <n v="4.16"/>
    <n v="0"/>
  </r>
  <r>
    <x v="17"/>
    <s v="BB-46"/>
    <x v="0"/>
    <s v="Produciendo"/>
    <s v="Inyección"/>
    <x v="1"/>
    <s v="Barranca Baya"/>
    <x v="0"/>
    <s v="NO"/>
    <n v="0"/>
    <n v="0"/>
  </r>
  <r>
    <x v="18"/>
    <s v="BB-64"/>
    <x v="0"/>
    <s v="En Estudio"/>
    <s v="Bombeo Mecánico"/>
    <x v="5"/>
    <s v="Barranca Baya"/>
    <x v="1"/>
    <s v="NO"/>
    <n v="0.10600000000000001"/>
    <n v="0"/>
  </r>
  <r>
    <x v="19"/>
    <s v="BB-76"/>
    <x v="0"/>
    <s v="Produciendo"/>
    <s v="Bombeo Mecánico"/>
    <x v="1"/>
    <s v="Barranca Baya"/>
    <x v="0"/>
    <s v="NO"/>
    <n v="1.4000000000000001"/>
    <n v="0"/>
  </r>
  <r>
    <x v="20"/>
    <s v="BB-84"/>
    <x v="0"/>
    <s v="En Estudio"/>
    <s v="Inyección"/>
    <x v="4"/>
    <s v="Barranca Baya"/>
    <x v="0"/>
    <s v="NO"/>
    <n v="0"/>
    <n v="0"/>
  </r>
  <r>
    <x v="21"/>
    <s v="BB-90"/>
    <x v="0"/>
    <s v="Reserva Recuperación Secundaria"/>
    <s v="Pistoneo"/>
    <x v="4"/>
    <s v="Barranca Baya"/>
    <x v="0"/>
    <s v="NO"/>
    <n v="0"/>
    <n v="0"/>
  </r>
  <r>
    <x v="22"/>
    <s v="ELChE-1"/>
    <x v="0"/>
    <s v="Abandono Permanente"/>
    <s v="No Posee"/>
    <x v="3"/>
    <s v="Lomas del Cuy- Cerro Grande Noroeste"/>
    <x v="0"/>
    <s v="NO"/>
    <n v="6.93"/>
    <n v="0"/>
  </r>
  <r>
    <x v="23"/>
    <s v="BB-24"/>
    <x v="0"/>
    <s v="Reserva Recuperación Secundaria"/>
    <s v="Pistoneo"/>
    <x v="6"/>
    <s v="Barranca Baya"/>
    <x v="0"/>
    <s v="Oportunidad"/>
    <n v="0"/>
    <n v="0"/>
  </r>
  <r>
    <x v="24"/>
    <s v="CnE-67"/>
    <x v="0"/>
    <s v="Reserva Recuperación Secundaria"/>
    <s v="Bombeo Mecánico"/>
    <x v="4"/>
    <s v="Barranca Baya Bloque 26"/>
    <x v="0"/>
    <s v="NO"/>
    <n v="0.81600000000000006"/>
    <n v="0"/>
  </r>
  <r>
    <x v="25"/>
    <s v="CnE-203"/>
    <x v="0"/>
    <s v="Abandono Permanente"/>
    <s v="No Posee"/>
    <x v="3"/>
    <s v="Barranca Baya Bloque 37"/>
    <x v="0"/>
    <s v="NO"/>
    <s v="NO"/>
    <s v="NO"/>
  </r>
  <r>
    <x v="26"/>
    <s v="CG-200"/>
    <x v="0"/>
    <s v="Abandono Permanente"/>
    <s v="No Posee"/>
    <x v="3"/>
    <s v="Cerro Grande Noreste"/>
    <x v="0"/>
    <s v="NO"/>
    <s v="NO"/>
    <s v="NO"/>
  </r>
  <r>
    <x v="27"/>
    <s v="LC-4"/>
    <x v="0"/>
    <s v="Parado Por Alta Rgp"/>
    <s v="No Posee"/>
    <x v="1"/>
    <s v="Lomas del Cuy- Cerro Grande Norte"/>
    <x v="0"/>
    <s v="NO"/>
    <s v="NO"/>
    <s v="NO"/>
  </r>
  <r>
    <x v="28"/>
    <s v="LH-52"/>
    <x v="0"/>
    <s v="Reserva Recuperación Secundaria"/>
    <s v="Pistoneo"/>
    <x v="4"/>
    <s v="Las Heras Las Heras Bloque 3"/>
    <x v="0"/>
    <s v="NO"/>
    <n v="0.45500000000000002"/>
    <n v="0"/>
  </r>
  <r>
    <x v="29"/>
    <s v="LH-58"/>
    <x v="0"/>
    <s v="Produciendo"/>
    <s v="Cavidad Progresiva"/>
    <x v="1"/>
    <s v="Las Heras Cerro Grande Sur"/>
    <x v="0"/>
    <s v="NO"/>
    <n v="1.9320000000000002"/>
    <n v="0"/>
  </r>
  <r>
    <x v="30"/>
    <s v="LH-66"/>
    <x v="0"/>
    <s v="Abandono Permanente"/>
    <s v="No Posee"/>
    <x v="3"/>
    <s v="Las Heras Central Sur"/>
    <x v="0"/>
    <s v="NO"/>
    <s v="NO"/>
    <s v="NO"/>
  </r>
  <r>
    <x v="31"/>
    <s v="LH-95"/>
    <x v="0"/>
    <s v="Produciendo"/>
    <s v="Bombeo Mecánico"/>
    <x v="1"/>
    <s v="Las Heras Cerro Grande Sur"/>
    <x v="0"/>
    <s v="NO"/>
    <n v="1.222"/>
    <n v="0"/>
  </r>
  <r>
    <x v="32"/>
    <s v="CR-1"/>
    <x v="0"/>
    <s v="Abandono Permanente"/>
    <s v="No Posee"/>
    <x v="3"/>
    <m/>
    <x v="0"/>
    <s v="NO"/>
    <s v="NO"/>
    <s v="NO"/>
  </r>
  <r>
    <x v="33"/>
    <s v="LH-204"/>
    <x v="0"/>
    <s v="Abandono Permanente"/>
    <s v="No Posee"/>
    <x v="3"/>
    <s v="Las Heras Bloque 2"/>
    <x v="0"/>
    <s v="NO"/>
    <s v="NO"/>
    <s v="NO"/>
  </r>
  <r>
    <x v="34"/>
    <s v="LH-298"/>
    <x v="0"/>
    <s v="Reserva Recuperación Secundaria"/>
    <s v="No Posee"/>
    <x v="4"/>
    <s v="Las Heras Central Sur"/>
    <x v="0"/>
    <s v="NO"/>
    <s v="NO"/>
    <s v="NO"/>
  </r>
  <r>
    <x v="35"/>
    <s v="LH-471"/>
    <x v="0"/>
    <s v="Abandono Permanente"/>
    <s v="No Posee"/>
    <x v="3"/>
    <s v="Las Heras Central Sur"/>
    <x v="0"/>
    <s v="NO"/>
    <s v="NO"/>
    <s v="NO"/>
  </r>
  <r>
    <x v="36"/>
    <s v="LH-472"/>
    <x v="0"/>
    <s v="Abandono Permanente"/>
    <s v="No Posee"/>
    <x v="3"/>
    <s v="Las Heras Central Sur"/>
    <x v="0"/>
    <s v="NO"/>
    <n v="0.183"/>
    <n v="0"/>
  </r>
  <r>
    <x v="37"/>
    <s v="CG-92"/>
    <x v="0"/>
    <s v="En Estudio"/>
    <s v="No Posee"/>
    <x v="5"/>
    <s v="Barranca Baya Bloque 26"/>
    <x v="1"/>
    <s v="NO"/>
    <n v="1.08"/>
    <n v="0"/>
  </r>
  <r>
    <x v="38"/>
    <s v="CnE-869"/>
    <x v="0"/>
    <s v="Espera Equipo Reparación"/>
    <s v="Pistoneo"/>
    <x v="0"/>
    <s v="Barranca Baya Bloque 36"/>
    <x v="0"/>
    <s v="NO"/>
    <n v="9.6000000000000002E-2"/>
    <s v="Ultimos 6 meses"/>
  </r>
  <r>
    <x v="39"/>
    <s v="LC-630a"/>
    <x v="0"/>
    <s v="Abandono Permanente"/>
    <s v="No Posee"/>
    <x v="3"/>
    <s v="Lomas del Cuy- Cerro Grande Noroeste"/>
    <x v="0"/>
    <s v="NO"/>
    <n v="0.91"/>
    <n v="0"/>
  </r>
  <r>
    <x v="40"/>
    <s v="LH-972a"/>
    <x v="0"/>
    <s v="Produciendo"/>
    <s v="Bombeo Mecánico"/>
    <x v="1"/>
    <s v="Las Heras Las Heras Bloque 3"/>
    <x v="0"/>
    <s v="NO"/>
    <n v="0.8"/>
    <n v="0"/>
  </r>
  <r>
    <x v="41"/>
    <s v="CnE-1112"/>
    <x v="0"/>
    <s v="Espera Equipo Reparación"/>
    <s v="Bombeo Mecánico"/>
    <x v="0"/>
    <s v="Barranca Baya Bloque 30"/>
    <x v="0"/>
    <s v="NO"/>
    <n v="1.1000000000000001"/>
    <s v="Ultimos 6 meses"/>
  </r>
  <r>
    <x v="42"/>
    <s v="CnE-1111"/>
    <x v="0"/>
    <s v="Produciendo"/>
    <s v="Bombeo Mecánico"/>
    <x v="1"/>
    <s v="Barranca Baya Bloque 30"/>
    <x v="0"/>
    <s v="NO"/>
    <n v="0.72"/>
    <n v="0"/>
  </r>
  <r>
    <x v="43"/>
    <s v="CnE-1217"/>
    <x v="0"/>
    <s v="Produciendo"/>
    <s v="Inyección"/>
    <x v="1"/>
    <s v="Barranca Baya Bloque 30"/>
    <x v="0"/>
    <s v="NO"/>
    <n v="0"/>
    <n v="0"/>
  </r>
  <r>
    <x v="44"/>
    <s v="CnE-1176"/>
    <x v="0"/>
    <s v="Reserva Recuperación Secundaria"/>
    <s v="Bombeo Mecánico"/>
    <x v="4"/>
    <s v="Barranca Baya Bloque 37"/>
    <x v="0"/>
    <s v="NO"/>
    <n v="0.16500000000000001"/>
    <n v="0"/>
  </r>
  <r>
    <x v="45"/>
    <s v="LH-1054a"/>
    <x v="0"/>
    <s v="Produciendo"/>
    <s v="Bombeo Mecánico"/>
    <x v="1"/>
    <s v="Las Heras Central Sur"/>
    <x v="0"/>
    <s v="NO"/>
    <n v="0.25"/>
    <n v="0"/>
  </r>
  <r>
    <x v="46"/>
    <s v="CnE-892a"/>
    <x v="0"/>
    <s v="Produciendo"/>
    <s v="Bombeo Mecánico"/>
    <x v="1"/>
    <s v="Barranca Baya Bloque 30"/>
    <x v="0"/>
    <s v="NO"/>
    <n v="0.9"/>
    <n v="0"/>
  </r>
  <r>
    <x v="47"/>
    <s v="LH-1088a"/>
    <x v="0"/>
    <s v="Produciendo"/>
    <s v="Pistoneo"/>
    <x v="1"/>
    <s v="Las Heras Central Sur"/>
    <x v="0"/>
    <s v="NO"/>
    <n v="0.12300000000000001"/>
    <n v="0"/>
  </r>
  <r>
    <x v="48"/>
    <s v="LH-215"/>
    <x v="0"/>
    <s v="Abandono Permanente"/>
    <s v="No Posee"/>
    <x v="3"/>
    <s v="Las Heras Bloque 2"/>
    <x v="0"/>
    <s v="NO"/>
    <s v="NO"/>
    <s v="NO"/>
  </r>
  <r>
    <x v="49"/>
    <s v="LH-251"/>
    <x v="0"/>
    <s v="Produciendo"/>
    <s v="Inyección"/>
    <x v="1"/>
    <s v="Las Heras Bloque 2"/>
    <x v="0"/>
    <s v="NO"/>
    <n v="0"/>
    <n v="0"/>
  </r>
  <r>
    <x v="50"/>
    <s v="LH-485"/>
    <x v="0"/>
    <s v="En Estudio"/>
    <s v="Cavidad Progresiva"/>
    <x v="5"/>
    <s v="Las Heras Central Sur"/>
    <x v="1"/>
    <s v="NO"/>
    <n v="0.45"/>
    <n v="0"/>
  </r>
  <r>
    <x v="51"/>
    <s v="LH-572"/>
    <x v="0"/>
    <s v="Reserva Recuperación Secundaria"/>
    <s v="Bombeo Mecánico"/>
    <x v="4"/>
    <s v="Las Heras Central Sur"/>
    <x v="0"/>
    <s v="NO"/>
    <n v="0.24300000000000002"/>
    <n v="0"/>
  </r>
  <r>
    <x v="52"/>
    <s v="LH-712"/>
    <x v="0"/>
    <s v="Produciendo"/>
    <s v="Bombeo Mecánico"/>
    <x v="1"/>
    <s v="Las Heras Cerro Grande Sur"/>
    <x v="0"/>
    <s v="NO"/>
    <n v="1.08"/>
    <n v="0"/>
  </r>
  <r>
    <x v="53"/>
    <s v="LH-736"/>
    <x v="0"/>
    <s v="En Estudio"/>
    <s v="No Posee"/>
    <x v="2"/>
    <s v="Las Heras Central Sur"/>
    <x v="0"/>
    <s v="NO"/>
    <n v="1.425"/>
    <s v="Ultimo Año"/>
  </r>
  <r>
    <x v="54"/>
    <s v="LH-793"/>
    <x v="0"/>
    <s v="Produciendo"/>
    <s v="Cavidad Progresiva"/>
    <x v="1"/>
    <s v="Las Heras Central Sur"/>
    <x v="0"/>
    <s v="NO"/>
    <n v="0.73099999999999998"/>
    <n v="0"/>
  </r>
  <r>
    <x v="55"/>
    <s v="LH-821"/>
    <x v="0"/>
    <s v="Abandono Permanente"/>
    <s v="No Posee"/>
    <x v="3"/>
    <s v="Las Heras Central Sur"/>
    <x v="0"/>
    <s v="NO"/>
    <n v="0.48200000000000004"/>
    <n v="0"/>
  </r>
  <r>
    <x v="56"/>
    <s v="LH-918"/>
    <x v="0"/>
    <s v="Produciendo"/>
    <s v="Bombeo Mecánico"/>
    <x v="1"/>
    <s v="Las Heras Cerro Grande Sur"/>
    <x v="0"/>
    <s v="NO"/>
    <n v="1.2750000000000001"/>
    <n v="0"/>
  </r>
  <r>
    <x v="57"/>
    <s v="CG-27"/>
    <x v="0"/>
    <s v="Produciendo"/>
    <s v="Inyección"/>
    <x v="1"/>
    <s v="Barranca Baya Cerro Grande Noroeste"/>
    <x v="0"/>
    <s v="NO"/>
    <n v="0"/>
    <n v="0"/>
  </r>
  <r>
    <x v="58"/>
    <s v="CG-93"/>
    <x v="0"/>
    <s v="Reserva Recuperación Secundaria"/>
    <s v="No Posee"/>
    <x v="4"/>
    <s v="Barranca Baya Bloque 26"/>
    <x v="0"/>
    <s v="NO"/>
    <n v="0.72"/>
    <n v="0"/>
  </r>
  <r>
    <x v="59"/>
    <s v="CG-387"/>
    <x v="0"/>
    <s v="Produciendo"/>
    <s v="Bombeo Mecánico"/>
    <x v="1"/>
    <s v="Barranca Baya Cerro Grande Norte"/>
    <x v="0"/>
    <s v="NO"/>
    <n v="1.625"/>
    <n v="0"/>
  </r>
  <r>
    <x v="60"/>
    <s v="CG-460"/>
    <x v="0"/>
    <s v="Produciendo"/>
    <s v="Bombeo Mecánico"/>
    <x v="1"/>
    <s v="Cerro Grande Noreste"/>
    <x v="0"/>
    <s v="NO"/>
    <n v="2"/>
    <n v="0"/>
  </r>
  <r>
    <x v="61"/>
    <s v="CG-474"/>
    <x v="0"/>
    <s v="Reserva Recuperación Secundaria"/>
    <s v="Cavidad Progresiva"/>
    <x v="4"/>
    <s v="Barranca Baya Las Heras Bloque 3"/>
    <x v="0"/>
    <s v="NO"/>
    <n v="0.30399999999999999"/>
    <n v="0"/>
  </r>
  <r>
    <x v="62"/>
    <s v="ECa-1"/>
    <x v="0"/>
    <s v="Abandono Permanente"/>
    <s v="No Posee"/>
    <x v="3"/>
    <s v="Barranca Baya Bloque 37"/>
    <x v="0"/>
    <s v="NO"/>
    <s v="NO"/>
    <s v="NO"/>
  </r>
  <r>
    <x v="63"/>
    <s v="N-40"/>
    <x v="0"/>
    <s v="Abandono Permanente"/>
    <s v="No Posee"/>
    <x v="3"/>
    <s v="Barranca Baya Bloque 40"/>
    <x v="0"/>
    <s v="NO"/>
    <s v="NO"/>
    <s v="NO"/>
  </r>
  <r>
    <x v="64"/>
    <s v="CnE-285"/>
    <x v="0"/>
    <s v="Reserva Recuperación Secundaria"/>
    <s v="No Posee"/>
    <x v="4"/>
    <s v="Barranca Baya Bloque 30"/>
    <x v="0"/>
    <s v="NO"/>
    <n v="0.5"/>
    <n v="0"/>
  </r>
  <r>
    <x v="65"/>
    <s v="CnE-292"/>
    <x v="0"/>
    <s v="Reserva Recuperación Secundaria"/>
    <s v="Bombeo Mecánico"/>
    <x v="4"/>
    <s v="Barranca Baya Bloque 40"/>
    <x v="0"/>
    <s v="NO"/>
    <n v="0.6"/>
    <n v="0"/>
  </r>
  <r>
    <x v="66"/>
    <s v="CnE-370"/>
    <x v="0"/>
    <s v="Abandonado Por Razones Técnicas"/>
    <s v="No Posee"/>
    <x v="4"/>
    <s v="Barranca Baya Bloque 36"/>
    <x v="0"/>
    <s v="NO"/>
    <n v="0"/>
    <n v="0"/>
  </r>
  <r>
    <x v="67"/>
    <s v="LH-537"/>
    <x v="0"/>
    <s v="Reserva Recuperación Secundaria"/>
    <s v="No Posee"/>
    <x v="4"/>
    <s v="Las Heras Las Heras Bloque 3"/>
    <x v="0"/>
    <s v="NO"/>
    <n v="0.79800000000000004"/>
    <n v="0"/>
  </r>
  <r>
    <x v="68"/>
    <s v="LH-610"/>
    <x v="0"/>
    <s v="Produciendo"/>
    <s v="Bombeo Mecánico"/>
    <x v="1"/>
    <s v="Las Heras Central Sur"/>
    <x v="0"/>
    <s v="NO"/>
    <n v="1.0860000000000001"/>
    <n v="0"/>
  </r>
  <r>
    <x v="69"/>
    <s v="LH-772"/>
    <x v="0"/>
    <s v="Produciendo"/>
    <s v="Bombeo Mecánico"/>
    <x v="1"/>
    <s v="Las Heras Las Heras Bloque 3"/>
    <x v="0"/>
    <s v="NO"/>
    <n v="0.73099999999999998"/>
    <n v="0"/>
  </r>
  <r>
    <x v="70"/>
    <s v="LH-850"/>
    <x v="0"/>
    <s v="Produciendo"/>
    <s v="Inyección"/>
    <x v="1"/>
    <s v="Las Heras Bloque 2"/>
    <x v="0"/>
    <s v="NO"/>
    <n v="0"/>
    <n v="0"/>
  </r>
  <r>
    <x v="71"/>
    <s v="LH-886"/>
    <x v="0"/>
    <s v="Espera Equipo Reparación"/>
    <s v="Inyección"/>
    <x v="5"/>
    <s v="Las Heras Las Heras Bloque 3"/>
    <x v="1"/>
    <s v="NO"/>
    <n v="0"/>
    <n v="0"/>
  </r>
  <r>
    <x v="72"/>
    <s v="LH-909"/>
    <x v="0"/>
    <s v="Produciendo"/>
    <s v="Pistoneo"/>
    <x v="1"/>
    <s v="Las Heras Bloque 2"/>
    <x v="0"/>
    <s v="NO"/>
    <n v="0.10500000000000001"/>
    <n v="0"/>
  </r>
  <r>
    <x v="73"/>
    <s v="LH-912"/>
    <x v="0"/>
    <s v="Abandono Permanente"/>
    <s v="No Posee"/>
    <x v="3"/>
    <s v="Las Heras Central Sur"/>
    <x v="0"/>
    <s v="NO"/>
    <n v="0.16200000000000001"/>
    <n v="0"/>
  </r>
  <r>
    <x v="74"/>
    <s v="LH-926"/>
    <x v="0"/>
    <s v="Produciendo"/>
    <s v="Pistoneo"/>
    <x v="1"/>
    <s v="Las Heras Las Heras Bloque 3"/>
    <x v="0"/>
    <s v="NO"/>
    <n v="0.10600000000000001"/>
    <n v="0"/>
  </r>
  <r>
    <x v="75"/>
    <s v="CG-95"/>
    <x v="0"/>
    <s v="Produciendo"/>
    <s v="Bombeo Mecánico"/>
    <x v="1"/>
    <s v="Barranca Baya Bloque 26"/>
    <x v="0"/>
    <s v="NO"/>
    <n v="1.75"/>
    <n v="0"/>
  </r>
  <r>
    <x v="76"/>
    <s v="CG-113"/>
    <x v="0"/>
    <s v="Produciendo"/>
    <s v="Bombeo Mecánico"/>
    <x v="1"/>
    <s v="Barranca Baya Bloque 26"/>
    <x v="0"/>
    <s v="NO"/>
    <n v="1"/>
    <n v="0"/>
  </r>
  <r>
    <x v="77"/>
    <s v="CG.a-186"/>
    <x v="0"/>
    <s v="Abandono Permanente"/>
    <s v="No Posee"/>
    <x v="3"/>
    <s v="Barranca Baya Cerro Grande Norte"/>
    <x v="0"/>
    <s v="NO"/>
    <n v="0.24"/>
    <n v="0"/>
  </r>
  <r>
    <x v="78"/>
    <s v="CG-213"/>
    <x v="0"/>
    <s v="Reserva Recuperación Secundaria"/>
    <s v="No Posee"/>
    <x v="4"/>
    <s v="Barranca Baya Cerro Grande Norte"/>
    <x v="0"/>
    <s v="NO"/>
    <s v="NO"/>
    <s v="NO"/>
  </r>
  <r>
    <x v="79"/>
    <s v="CG-244"/>
    <x v="0"/>
    <s v="Produciendo"/>
    <s v="Inyección"/>
    <x v="1"/>
    <s v="Barranca Baya Cerro Grande Norte"/>
    <x v="0"/>
    <s v="NO"/>
    <n v="0"/>
    <n v="0"/>
  </r>
  <r>
    <x v="80"/>
    <s v="CG-327"/>
    <x v="0"/>
    <s v="Produciendo"/>
    <s v="Bombeo Mecánico"/>
    <x v="1"/>
    <s v="Cerro Grande Central"/>
    <x v="0"/>
    <s v="NO"/>
    <n v="0.5"/>
    <n v="0"/>
  </r>
  <r>
    <x v="81"/>
    <s v="CG-338"/>
    <x v="0"/>
    <s v="Espera Equipo Reparación"/>
    <s v="Inyección"/>
    <x v="5"/>
    <s v="Barranca Baya Bloque 26"/>
    <x v="1"/>
    <s v="NO"/>
    <n v="0"/>
    <s v="Ultimo Año"/>
  </r>
  <r>
    <x v="82"/>
    <s v="CG-376"/>
    <x v="0"/>
    <s v="Produciendo"/>
    <s v="Bombeo Mecánico"/>
    <x v="1"/>
    <s v="Barranca Baya Bloque 26"/>
    <x v="0"/>
    <s v="NO"/>
    <n v="0.17"/>
    <n v="0"/>
  </r>
  <r>
    <x v="83"/>
    <s v="CG-451"/>
    <x v="0"/>
    <s v="Produciendo"/>
    <s v="Bombeo Mecánico"/>
    <x v="1"/>
    <s v="Cerro Grande Noreste"/>
    <x v="0"/>
    <s v="NO"/>
    <n v="2.97"/>
    <n v="0"/>
  </r>
  <r>
    <x v="84"/>
    <s v="CG-459"/>
    <x v="0"/>
    <s v="Abandono Temporal"/>
    <s v="No Posee"/>
    <x v="5"/>
    <s v="Barranca Baya Bloque 26"/>
    <x v="1"/>
    <s v="NO"/>
    <n v="0.70000000000000007"/>
    <n v="0"/>
  </r>
  <r>
    <x v="85"/>
    <s v="CG-494"/>
    <x v="0"/>
    <s v="Abandono Permanente"/>
    <s v="No Posee"/>
    <x v="3"/>
    <s v="Cerro Grande Central"/>
    <x v="0"/>
    <s v="NO"/>
    <n v="0.33800000000000002"/>
    <n v="0"/>
  </r>
  <r>
    <x v="86"/>
    <s v="N-56"/>
    <x v="0"/>
    <s v="Abandono Permanente"/>
    <s v="No Posee"/>
    <x v="3"/>
    <s v="Cerro Grande Central"/>
    <x v="0"/>
    <s v="NO"/>
    <s v="NO"/>
    <s v="NO"/>
  </r>
  <r>
    <x v="87"/>
    <s v="CnE-89"/>
    <x v="0"/>
    <s v="En Estudio"/>
    <s v="No Posee"/>
    <x v="0"/>
    <s v="Barranca Baya Bloque 26"/>
    <x v="0"/>
    <s v="NO"/>
    <n v="0.15"/>
    <s v="Ultimos 6 meses"/>
  </r>
  <r>
    <x v="88"/>
    <s v="CnE-148"/>
    <x v="0"/>
    <s v="Produciendo"/>
    <s v="Bombeo Mecánico"/>
    <x v="1"/>
    <s v="Barranca Baya Bloque 26"/>
    <x v="0"/>
    <s v="NO"/>
    <n v="0.42"/>
    <n v="0"/>
  </r>
  <r>
    <x v="89"/>
    <s v="CnE-160"/>
    <x v="0"/>
    <s v="Produciendo"/>
    <s v="Bombeo Mecánico"/>
    <x v="1"/>
    <s v="Barranca Baya Bloque 30"/>
    <x v="0"/>
    <s v="NO"/>
    <n v="1.125"/>
    <n v="0"/>
  </r>
  <r>
    <x v="90"/>
    <s v="CnE-223"/>
    <x v="0"/>
    <s v="Abandono Permanente"/>
    <s v="No Posee"/>
    <x v="3"/>
    <s v="Barranca Baya Bloque 37"/>
    <x v="0"/>
    <s v="NO"/>
    <s v="NO"/>
    <s v="NO"/>
  </r>
  <r>
    <x v="91"/>
    <s v="CnE-239"/>
    <x v="0"/>
    <s v="Produciendo"/>
    <s v="Bombeo Mecánico"/>
    <x v="1"/>
    <s v="Barranca Baya Bloque 30"/>
    <x v="0"/>
    <s v="NO"/>
    <n v="1.2"/>
    <n v="0"/>
  </r>
  <r>
    <x v="92"/>
    <s v="CnE-321"/>
    <x v="0"/>
    <s v="Reserva Recuperación Secundaria"/>
    <s v="Bombeo Mecánico"/>
    <x v="4"/>
    <s v="Barranca Baya Bloque 30"/>
    <x v="0"/>
    <s v="NO"/>
    <n v="0.6"/>
    <n v="0"/>
  </r>
  <r>
    <x v="93"/>
    <s v="LH-83"/>
    <x v="0"/>
    <s v="Produciendo"/>
    <s v="Cavidad Progresiva"/>
    <x v="1"/>
    <s v="Las Heras Bloque 2"/>
    <x v="0"/>
    <s v="NO"/>
    <n v="2.0300000000000002"/>
    <n v="0"/>
  </r>
  <r>
    <x v="94"/>
    <s v="LH-147"/>
    <x v="0"/>
    <s v="En Estudio"/>
    <s v="Cavidad Progresiva"/>
    <x v="0"/>
    <s v="Las Heras Bloque 2"/>
    <x v="0"/>
    <s v="NO"/>
    <n v="0.44"/>
    <s v="Ultimos 6 meses"/>
  </r>
  <r>
    <x v="95"/>
    <s v="LH-676"/>
    <x v="0"/>
    <s v="Produciendo"/>
    <s v="Bombeo Mecánico"/>
    <x v="1"/>
    <s v="Las Heras Central Sur"/>
    <x v="0"/>
    <s v="NO"/>
    <n v="0.88300000000000001"/>
    <n v="0"/>
  </r>
  <r>
    <x v="96"/>
    <s v="LH-901"/>
    <x v="0"/>
    <s v="Abandono Permanente"/>
    <s v="No Posee"/>
    <x v="3"/>
    <s v="Las Heras Las Heras Bloque 3"/>
    <x v="0"/>
    <s v="NO"/>
    <n v="0.85"/>
    <n v="0"/>
  </r>
  <r>
    <x v="97"/>
    <s v="CG-105"/>
    <x v="0"/>
    <s v="Espera Equipo Reparación"/>
    <s v="Inyección"/>
    <x v="4"/>
    <s v="Barranca Baya Bloque 26"/>
    <x v="0"/>
    <s v="NO"/>
    <n v="0"/>
    <n v="0"/>
  </r>
  <r>
    <x v="98"/>
    <s v="CG-135"/>
    <x v="0"/>
    <s v="En Estudio"/>
    <s v="Bombeo Mecánico"/>
    <x v="5"/>
    <s v="Barranca Baya Bloque 26"/>
    <x v="1"/>
    <s v="NO"/>
    <n v="0.64"/>
    <n v="0"/>
  </r>
  <r>
    <x v="99"/>
    <s v="CG-342"/>
    <x v="0"/>
    <s v="Espera Equipo Reparación"/>
    <s v="Pistoneo"/>
    <x v="0"/>
    <s v="Barranca Baya Bloque 26"/>
    <x v="0"/>
    <s v="NO"/>
    <n v="4.0000000000000001E-3"/>
    <s v="Ultimos 6 meses"/>
  </r>
  <r>
    <x v="100"/>
    <s v="CnE-97"/>
    <x v="0"/>
    <s v="Produciendo"/>
    <s v="Bombeo Mecánico"/>
    <x v="1"/>
    <s v="Barranca Baya Bloque 26"/>
    <x v="0"/>
    <s v="NO"/>
    <n v="1.68"/>
    <n v="0"/>
  </r>
  <r>
    <x v="101"/>
    <s v="CnE-119"/>
    <x v="0"/>
    <s v="Reserva Recuperación Secundaria"/>
    <s v="Bombeo Mecánico"/>
    <x v="4"/>
    <s v="Barranca Baya Bloque 40"/>
    <x v="0"/>
    <s v="NO"/>
    <n v="0.99"/>
    <n v="0"/>
  </r>
  <r>
    <x v="102"/>
    <s v="CnE-169"/>
    <x v="0"/>
    <s v="Reserva Recuperación Secundaria"/>
    <s v="No Posee"/>
    <x v="4"/>
    <s v="Barranca Baya Bloque 30"/>
    <x v="0"/>
    <s v="NO"/>
    <n v="0.46"/>
    <n v="0"/>
  </r>
  <r>
    <x v="103"/>
    <s v="CnE-421"/>
    <x v="0"/>
    <s v="Reserva Recuperación Secundaria"/>
    <s v="No Posee"/>
    <x v="7"/>
    <s v="Barranca Baya Bloque 36"/>
    <x v="0"/>
    <s v="NO"/>
    <n v="1.7"/>
    <n v="0"/>
  </r>
  <r>
    <x v="104"/>
    <s v="CnE-543"/>
    <x v="0"/>
    <s v="Produciendo"/>
    <s v="Pistoneo"/>
    <x v="1"/>
    <s v="Barranca Baya Bloque 36"/>
    <x v="0"/>
    <s v="NO"/>
    <n v="0.14400000000000002"/>
    <n v="0"/>
  </r>
  <r>
    <x v="105"/>
    <s v="CnE-610(I)"/>
    <x v="0"/>
    <s v="Abandono Permanente"/>
    <s v="No Posee"/>
    <x v="3"/>
    <s v="Barranca Baya Bloque 37"/>
    <x v="0"/>
    <s v="NO"/>
    <n v="0"/>
    <n v="0"/>
  </r>
  <r>
    <x v="106"/>
    <s v="CnE-723"/>
    <x v="0"/>
    <s v="Produciendo"/>
    <s v="Electro Sumergible"/>
    <x v="1"/>
    <s v="Barranca Baya Bloque 36"/>
    <x v="0"/>
    <s v="NO"/>
    <n v="1.54"/>
    <n v="0"/>
  </r>
  <r>
    <x v="107"/>
    <s v="CnE-791"/>
    <x v="0"/>
    <s v="En Estudio"/>
    <s v="Bombeo Mecánico"/>
    <x v="5"/>
    <s v="Barranca Baya Bloque 37"/>
    <x v="1"/>
    <s v="NO"/>
    <n v="0.24"/>
    <n v="0"/>
  </r>
  <r>
    <x v="108"/>
    <s v="CnE-827"/>
    <x v="0"/>
    <s v="Reserva Recuperación Secundaria"/>
    <s v="Bombeo Mecánico"/>
    <x v="4"/>
    <s v="Barranca Baya Bloque 30"/>
    <x v="0"/>
    <s v="NO"/>
    <n v="1.173"/>
    <n v="0"/>
  </r>
  <r>
    <x v="109"/>
    <s v="BB-52"/>
    <x v="0"/>
    <s v="Produciendo"/>
    <s v="Bombeo Mecánico"/>
    <x v="1"/>
    <s v="Barranca Baya"/>
    <x v="0"/>
    <s v="NO"/>
    <n v="1.014"/>
    <n v="0"/>
  </r>
  <r>
    <x v="110"/>
    <s v="BB-56"/>
    <x v="0"/>
    <s v="Produciendo"/>
    <s v="Inyección"/>
    <x v="1"/>
    <s v="Barranca Baya"/>
    <x v="0"/>
    <s v="NO"/>
    <n v="0"/>
    <n v="0"/>
  </r>
  <r>
    <x v="111"/>
    <s v="BB-79"/>
    <x v="0"/>
    <s v="En Estudio"/>
    <s v="Bombeo Mecánico"/>
    <x v="5"/>
    <s v="Barranca Baya"/>
    <x v="1"/>
    <s v="NO"/>
    <n v="0.67200000000000004"/>
    <n v="0"/>
  </r>
  <r>
    <x v="112"/>
    <s v="BB-23"/>
    <x v="0"/>
    <s v="Produciendo"/>
    <s v="Inyección"/>
    <x v="1"/>
    <s v="Barranca Baya"/>
    <x v="0"/>
    <s v="NO"/>
    <n v="0"/>
    <n v="0"/>
  </r>
  <r>
    <x v="113"/>
    <s v="BB-37"/>
    <x v="0"/>
    <s v="Abandono Permanente"/>
    <s v="No Posee"/>
    <x v="3"/>
    <s v="Barranca Baya Bloque 36"/>
    <x v="0"/>
    <s v="NO"/>
    <s v="NO"/>
    <s v="NO"/>
  </r>
  <r>
    <x v="114"/>
    <s v="BB-59"/>
    <x v="0"/>
    <s v="Abandono Permanente"/>
    <s v="No Posee"/>
    <x v="3"/>
    <s v="Barranca Baya"/>
    <x v="0"/>
    <s v="NO"/>
    <s v="NO"/>
    <s v="NO"/>
  </r>
  <r>
    <x v="115"/>
    <s v="CnE-564"/>
    <x v="0"/>
    <s v="Abandono Permanente"/>
    <s v="No Posee"/>
    <x v="3"/>
    <s v="Barranca Baya Bloque 38"/>
    <x v="0"/>
    <s v="NO"/>
    <s v="NO"/>
    <s v="NO"/>
  </r>
  <r>
    <x v="116"/>
    <s v="LH-242"/>
    <x v="0"/>
    <s v="Produciendo"/>
    <s v="Inyección"/>
    <x v="1"/>
    <s v="Las Heras Central Sur"/>
    <x v="0"/>
    <s v="NO"/>
    <n v="0"/>
    <n v="0"/>
  </r>
  <r>
    <x v="117"/>
    <s v="CG-15"/>
    <x v="0"/>
    <s v="Abandono Permanente"/>
    <s v="No Posee"/>
    <x v="3"/>
    <s v="Cerro Grande Central"/>
    <x v="0"/>
    <s v="NO"/>
    <s v="NO"/>
    <s v="NO"/>
  </r>
  <r>
    <x v="118"/>
    <s v="CG-51"/>
    <x v="0"/>
    <s v="Produciendo"/>
    <s v="Bombeo Mecánico"/>
    <x v="1"/>
    <s v="Barranca Baya Cerro Grande Sur"/>
    <x v="0"/>
    <s v="NO"/>
    <n v="2.34"/>
    <s v="Ultimos 6 meses"/>
  </r>
  <r>
    <x v="119"/>
    <s v="LH-973a"/>
    <x v="0"/>
    <s v="Abandono Permanente"/>
    <s v="No Posee"/>
    <x v="3"/>
    <s v="Las Heras Bloque 2"/>
    <x v="0"/>
    <s v="NO"/>
    <n v="0.48200000000000004"/>
    <n v="0"/>
  </r>
  <r>
    <x v="120"/>
    <s v="BB-107a"/>
    <x v="0"/>
    <s v="Reserva Recuperación Secundaria"/>
    <s v="No Posee"/>
    <x v="4"/>
    <s v="Barranca Baya Bloque 36"/>
    <x v="0"/>
    <s v="NO"/>
    <s v="NO"/>
    <s v="NO"/>
  </r>
  <r>
    <x v="121"/>
    <s v="LH-133"/>
    <x v="0"/>
    <s v="Espera Equipo Reparación"/>
    <s v="Inyección"/>
    <x v="5"/>
    <s v="Las Heras Las Heras Bloque 3"/>
    <x v="1"/>
    <s v="NO"/>
    <n v="0"/>
    <n v="0"/>
  </r>
  <r>
    <x v="122"/>
    <s v="LH-142"/>
    <x v="0"/>
    <s v="Produciendo"/>
    <s v="Bombeo Mecánico"/>
    <x v="1"/>
    <s v="Las Heras Bloque 2"/>
    <x v="0"/>
    <s v="NO"/>
    <n v="2.42"/>
    <n v="0"/>
  </r>
  <r>
    <x v="123"/>
    <s v="LH-169"/>
    <x v="0"/>
    <s v="Abandono Permanente"/>
    <s v="No Posee"/>
    <x v="3"/>
    <s v="Las Heras Las Heras Bloque 3"/>
    <x v="0"/>
    <s v="NO"/>
    <n v="0"/>
    <n v="0"/>
  </r>
  <r>
    <x v="124"/>
    <s v="LH-191"/>
    <x v="0"/>
    <s v="Produciendo"/>
    <s v="Cavidad Progresiva"/>
    <x v="1"/>
    <s v="Las Heras Cerro Grande Sur"/>
    <x v="0"/>
    <s v="NO"/>
    <n v="1.95"/>
    <n v="0"/>
  </r>
  <r>
    <x v="125"/>
    <s v="LH-616"/>
    <x v="0"/>
    <s v="Abandono Permanente"/>
    <s v="No Posee"/>
    <x v="3"/>
    <s v="Las Heras Bloque 2"/>
    <x v="0"/>
    <s v="NO"/>
    <s v="NO"/>
    <s v="NO"/>
  </r>
  <r>
    <x v="126"/>
    <s v="LH-741"/>
    <x v="0"/>
    <s v="Abandono Permanente"/>
    <s v="No Posee"/>
    <x v="3"/>
    <s v="Las Heras Bloque 2"/>
    <x v="0"/>
    <s v="NO"/>
    <s v="NO"/>
    <s v="NO"/>
  </r>
  <r>
    <x v="127"/>
    <s v="LH-766"/>
    <x v="0"/>
    <s v="Produciendo"/>
    <s v="Electro Sumergible"/>
    <x v="1"/>
    <s v="Las Heras Bloque 2"/>
    <x v="0"/>
    <s v="NO"/>
    <n v="3.3000000000000003"/>
    <n v="0"/>
  </r>
  <r>
    <x v="128"/>
    <s v="LH-842"/>
    <x v="0"/>
    <s v="Reserva Recuperación Secundaria"/>
    <s v="Pistoneo"/>
    <x v="4"/>
    <s v="Las Heras Central Sur"/>
    <x v="0"/>
    <s v="NO"/>
    <n v="0.221"/>
    <n v="0"/>
  </r>
  <r>
    <x v="129"/>
    <s v="LH-846"/>
    <x v="0"/>
    <s v="Produciendo"/>
    <s v="Pistoneo"/>
    <x v="1"/>
    <s v="Las Heras Central Sur"/>
    <x v="0"/>
    <s v="NO"/>
    <n v="0.13200000000000001"/>
    <n v="0"/>
  </r>
  <r>
    <x v="130"/>
    <s v="LH-852"/>
    <x v="0"/>
    <s v="Produciendo"/>
    <s v="Electro Sumergible"/>
    <x v="1"/>
    <s v="Las Heras Central Sur"/>
    <x v="0"/>
    <s v="NO"/>
    <n v="0.87"/>
    <n v="0"/>
  </r>
  <r>
    <x v="131"/>
    <s v="CG-107"/>
    <x v="0"/>
    <s v="Produciendo"/>
    <s v="Bombeo Mecánico"/>
    <x v="1"/>
    <s v="Cerro Grande Central"/>
    <x v="0"/>
    <s v="NO"/>
    <n v="3.9060000000000001"/>
    <n v="0"/>
  </r>
  <r>
    <x v="132"/>
    <s v="CG-183"/>
    <x v="0"/>
    <s v="Reserva Recuperación Secundaria"/>
    <s v="No Posee"/>
    <x v="4"/>
    <s v="Barranca Baya Cerro Grande Norte"/>
    <x v="0"/>
    <s v="NO"/>
    <n v="1.1599999999999999"/>
    <n v="0"/>
  </r>
  <r>
    <x v="133"/>
    <s v="CG-490"/>
    <x v="0"/>
    <s v="Reserva Recuperación Secundaria"/>
    <s v="No Posee"/>
    <x v="4"/>
    <s v="Barranca Baya Cerro Grande Noroeste"/>
    <x v="0"/>
    <s v="NO"/>
    <n v="8.6000000000000007E-2"/>
    <n v="0"/>
  </r>
  <r>
    <x v="134"/>
    <s v="LC-431"/>
    <x v="0"/>
    <s v="Abandono Permanente"/>
    <s v="No Posee"/>
    <x v="3"/>
    <s v="Lomas del Cuy- Cerro Grande Sur"/>
    <x v="0"/>
    <s v="NO"/>
    <n v="2.94"/>
    <n v="0"/>
  </r>
  <r>
    <x v="135"/>
    <s v="CnE-53"/>
    <x v="0"/>
    <s v="En Estudio"/>
    <s v="No Posee"/>
    <x v="5"/>
    <s v="Barranca Baya Bloque 26"/>
    <x v="1"/>
    <s v="NO"/>
    <n v="3.6"/>
    <n v="0"/>
  </r>
  <r>
    <x v="136"/>
    <s v="CnE-213"/>
    <x v="0"/>
    <s v="Produciendo"/>
    <s v="Bombeo Mecánico"/>
    <x v="1"/>
    <s v="Barranca Baya Bloque 30"/>
    <x v="0"/>
    <s v="NO"/>
    <n v="1.3"/>
    <n v="0"/>
  </r>
  <r>
    <x v="137"/>
    <s v="CnE-305"/>
    <x v="0"/>
    <s v="Reserva Recuperación Secundaria"/>
    <s v="No Posee"/>
    <x v="7"/>
    <s v="Barranca Baya Bloque 26"/>
    <x v="0"/>
    <s v="NO"/>
    <n v="1.9000000000000001"/>
    <n v="0"/>
  </r>
  <r>
    <x v="138"/>
    <s v="CnE-387"/>
    <x v="0"/>
    <s v="Espera Equipo Reparación"/>
    <s v="Bombeo Mecánico"/>
    <x v="5"/>
    <s v="Barranca Baya Bloque 36"/>
    <x v="1"/>
    <s v="NO"/>
    <n v="0.8"/>
    <n v="0"/>
  </r>
  <r>
    <x v="139"/>
    <s v="CnE-400"/>
    <x v="0"/>
    <s v="Produciendo"/>
    <s v="Bombeo Mecánico"/>
    <x v="1"/>
    <s v="Barranca Baya Bloque 36"/>
    <x v="0"/>
    <s v="NO"/>
    <n v="0.78400000000000003"/>
    <n v="0"/>
  </r>
  <r>
    <x v="140"/>
    <s v="CnE-402"/>
    <x v="0"/>
    <s v="Produciendo"/>
    <s v="Bombeo Mecánico"/>
    <x v="1"/>
    <s v="Barranca Baya Bloque 36"/>
    <x v="0"/>
    <s v="NO"/>
    <n v="1.1599999999999999"/>
    <n v="0"/>
  </r>
  <r>
    <x v="141"/>
    <s v="CnE-420"/>
    <x v="0"/>
    <s v="Reserva Recuperación Secundaria"/>
    <s v="Inyección"/>
    <x v="4"/>
    <s v="Barranca Baya Bloque 36"/>
    <x v="0"/>
    <s v="NO"/>
    <n v="0"/>
    <n v="0"/>
  </r>
  <r>
    <x v="142"/>
    <s v="CnE-555"/>
    <x v="0"/>
    <s v="Produciendo"/>
    <s v="Bombeo Mecánico"/>
    <x v="1"/>
    <s v="Barranca Baya"/>
    <x v="0"/>
    <s v="NO"/>
    <n v="3.2"/>
    <n v="0"/>
  </r>
  <r>
    <x v="143"/>
    <s v="CnE-592"/>
    <x v="0"/>
    <s v="A Abandonar"/>
    <s v="No Posee"/>
    <x v="5"/>
    <s v="Barranca Baya"/>
    <x v="1"/>
    <s v="NO"/>
    <n v="0.14800000000000002"/>
    <n v="0"/>
  </r>
  <r>
    <x v="144"/>
    <s v="CnE-796"/>
    <x v="0"/>
    <s v="Produciendo"/>
    <s v="Bombeo Mecánico"/>
    <x v="1"/>
    <s v="Barranca Baya Bloque 37"/>
    <x v="0"/>
    <s v="NO"/>
    <n v="6.0440000000000005"/>
    <n v="0"/>
  </r>
  <r>
    <x v="145"/>
    <s v="EaSJ-2"/>
    <x v="0"/>
    <s v="Produciendo"/>
    <s v="Cavidad Progresiva"/>
    <x v="1"/>
    <s v="Barranca Baya Cerro Grande Noroeste"/>
    <x v="0"/>
    <s v="NO"/>
    <n v="1.32"/>
    <n v="0"/>
  </r>
  <r>
    <x v="146"/>
    <s v="CnE-7"/>
    <x v="0"/>
    <s v="Reserva Recuperación Secundaria"/>
    <s v="No Posee"/>
    <x v="4"/>
    <s v="Barranca Baya Bloque 36"/>
    <x v="0"/>
    <s v="NO"/>
    <s v="NO"/>
    <s v="NO"/>
  </r>
  <r>
    <x v="147"/>
    <s v="CnE-126"/>
    <x v="0"/>
    <s v="Produciendo"/>
    <s v="Bombeo Mecánico"/>
    <x v="1"/>
    <s v="Barranca Baya Bloque 30"/>
    <x v="0"/>
    <s v="NO"/>
    <n v="2"/>
    <n v="0"/>
  </r>
  <r>
    <x v="148"/>
    <s v="LH-47"/>
    <x v="0"/>
    <s v="Produciendo"/>
    <s v="Bombeo Mecánico"/>
    <x v="1"/>
    <s v="Las Heras Las Heras Bloque 3"/>
    <x v="0"/>
    <s v="NO"/>
    <n v="0.52500000000000002"/>
    <s v="Ultimos 6 meses"/>
  </r>
  <r>
    <x v="149"/>
    <s v="LH-487"/>
    <x v="0"/>
    <s v="Reserva Recuperación Secundaria"/>
    <s v="Pistoneo"/>
    <x v="4"/>
    <s v="Las Heras Central Sur"/>
    <x v="0"/>
    <s v="NO"/>
    <n v="0.24"/>
    <n v="0"/>
  </r>
  <r>
    <x v="150"/>
    <s v="LH-124"/>
    <x v="0"/>
    <s v="Abandono Permanente"/>
    <s v="No Posee"/>
    <x v="3"/>
    <s v="Las Heras Las Heras Bloque 3"/>
    <x v="0"/>
    <s v="NO"/>
    <n v="1.105"/>
    <n v="0"/>
  </r>
  <r>
    <x v="151"/>
    <s v="LH-237"/>
    <x v="0"/>
    <s v="Abandono Permanente"/>
    <s v="No Posee"/>
    <x v="3"/>
    <s v="Las Heras Central Sur"/>
    <x v="0"/>
    <s v="NO"/>
    <s v="NO"/>
    <s v="NO"/>
  </r>
  <r>
    <x v="152"/>
    <s v="LH-275"/>
    <x v="0"/>
    <s v="Produciendo"/>
    <s v="Pistoneo"/>
    <x v="1"/>
    <s v="Las Heras Cerro Grande Sur"/>
    <x v="0"/>
    <s v="NO"/>
    <n v="0.10400000000000001"/>
    <n v="0"/>
  </r>
  <r>
    <x v="153"/>
    <s v="LH-490"/>
    <x v="0"/>
    <s v="Abandono Permanente"/>
    <s v="No Posee"/>
    <x v="3"/>
    <s v="Las Heras Central Sur"/>
    <x v="0"/>
    <s v="NO"/>
    <n v="0.15"/>
    <n v="0"/>
  </r>
  <r>
    <x v="154"/>
    <s v="LH-503"/>
    <x v="0"/>
    <s v="Produciendo"/>
    <s v="Bombeo Mecánico"/>
    <x v="1"/>
    <s v="Las Heras Central Sur"/>
    <x v="0"/>
    <s v="NO"/>
    <n v="0.6"/>
    <n v="0"/>
  </r>
  <r>
    <x v="155"/>
    <s v="LH-569"/>
    <x v="0"/>
    <s v="Produciendo"/>
    <s v="Pistoneo"/>
    <x v="1"/>
    <s v="Las Heras Central Sur"/>
    <x v="0"/>
    <s v="NO"/>
    <n v="0.17100000000000001"/>
    <n v="0"/>
  </r>
  <r>
    <x v="156"/>
    <s v="CG-128"/>
    <x v="0"/>
    <s v="Reserva Recuperación Secundaria"/>
    <s v="No Posee"/>
    <x v="4"/>
    <s v="Cerro Grande Central"/>
    <x v="0"/>
    <s v="NO"/>
    <s v="NO"/>
    <s v="NO"/>
  </r>
  <r>
    <x v="157"/>
    <s v="CG-465a"/>
    <x v="0"/>
    <s v="Reserva Recuperación Secundaria"/>
    <s v="Bombeo Mecánico"/>
    <x v="4"/>
    <s v="Cerro Grande Noreste"/>
    <x v="0"/>
    <s v="NO"/>
    <n v="0.80400000000000005"/>
    <n v="0"/>
  </r>
  <r>
    <x v="158"/>
    <s v="CG-468a"/>
    <x v="0"/>
    <s v="Espera Equipo Reparación"/>
    <s v="No Posee"/>
    <x v="5"/>
    <s v="Barranca Baya Bloque 26"/>
    <x v="1"/>
    <s v="NO"/>
    <n v="4.1000000000000002E-2"/>
    <n v="0"/>
  </r>
  <r>
    <x v="159"/>
    <s v="LH-1027a"/>
    <x v="0"/>
    <s v="Reserva Recuperación Secundaria"/>
    <s v="Bombeo Mecánico"/>
    <x v="4"/>
    <s v="Las Heras Central Sur"/>
    <x v="0"/>
    <s v="NO"/>
    <n v="0.76"/>
    <n v="0"/>
  </r>
  <r>
    <x v="160"/>
    <s v="LH-1082a"/>
    <x v="0"/>
    <s v="Reserva Recuperación Secundaria"/>
    <s v="Pistoneo"/>
    <x v="6"/>
    <s v="Las Heras Central Sur"/>
    <x v="0"/>
    <s v="Oportunidad"/>
    <n v="0"/>
    <s v="Ultimo Año"/>
  </r>
  <r>
    <x v="161"/>
    <s v="LH-1124a"/>
    <x v="0"/>
    <s v="Produciendo"/>
    <s v="Bombeo Mecánico"/>
    <x v="1"/>
    <s v="Las Heras Bloque 2"/>
    <x v="0"/>
    <s v="NO"/>
    <n v="0.90200000000000002"/>
    <n v="0"/>
  </r>
  <r>
    <x v="162"/>
    <s v="CnE-945a"/>
    <x v="0"/>
    <s v="Produciendo"/>
    <s v="Electro Sumergible"/>
    <x v="1"/>
    <s v="Barranca Baya Bloque 30"/>
    <x v="0"/>
    <s v="NO"/>
    <n v="0.98"/>
    <n v="0"/>
  </r>
  <r>
    <x v="163"/>
    <s v="CG-626"/>
    <x v="0"/>
    <s v="Produciendo"/>
    <s v="Bombeo Mecánico"/>
    <x v="1"/>
    <s v="Cerro Grande Central"/>
    <x v="0"/>
    <s v="NO"/>
    <n v="0.77"/>
    <n v="0"/>
  </r>
  <r>
    <x v="164"/>
    <s v="CnE-993"/>
    <x v="0"/>
    <s v="Produciendo"/>
    <s v="Bombeo Mecánico"/>
    <x v="1"/>
    <s v="Barranca Baya Bloque 30"/>
    <x v="0"/>
    <s v="NO"/>
    <n v="1.2"/>
    <n v="0"/>
  </r>
  <r>
    <x v="165"/>
    <s v="CnE-1044"/>
    <x v="0"/>
    <s v="Produciendo"/>
    <s v="Bombeo Mecánico"/>
    <x v="1"/>
    <s v="Barranca Baya Bloque 36"/>
    <x v="0"/>
    <s v="NO"/>
    <n v="0.66"/>
    <n v="0"/>
  </r>
  <r>
    <x v="166"/>
    <s v="BB-127"/>
    <x v="0"/>
    <s v="Produciendo"/>
    <s v="Bombeo Mecánico"/>
    <x v="1"/>
    <s v="Barranca Baya"/>
    <x v="0"/>
    <s v="NO"/>
    <n v="1.0150000000000001"/>
    <n v="0"/>
  </r>
  <r>
    <x v="167"/>
    <s v="LH-1232"/>
    <x v="0"/>
    <s v="Produciendo"/>
    <s v="Bombeo Mecánico"/>
    <x v="1"/>
    <s v="Las Heras Central Sur"/>
    <x v="0"/>
    <s v="NO"/>
    <n v="1.02"/>
    <n v="0"/>
  </r>
  <r>
    <x v="168"/>
    <s v="CnE-1352"/>
    <x v="0"/>
    <s v="Reserva Recuperación Secundaria"/>
    <s v="Pistoneo"/>
    <x v="4"/>
    <s v="Barranca Baya Bloque 30"/>
    <x v="0"/>
    <s v="NO"/>
    <n v="0.315"/>
    <n v="0"/>
  </r>
  <r>
    <x v="169"/>
    <s v="CnE-1418"/>
    <x v="0"/>
    <s v="Espera Equipo Reparación"/>
    <s v="No Posee"/>
    <x v="2"/>
    <s v="Barranca Baya Bloque 30"/>
    <x v="0"/>
    <s v="NO"/>
    <n v="0.3"/>
    <s v="Ultimo Año"/>
  </r>
  <r>
    <x v="170"/>
    <s v="CnE-902a"/>
    <x v="0"/>
    <s v="Reserva Recuperación Secundaria"/>
    <s v="No Posee"/>
    <x v="6"/>
    <s v="Barranca Baya Bloque 36"/>
    <x v="0"/>
    <s v="Oportunidad"/>
    <s v="NO"/>
    <s v="NO"/>
  </r>
  <r>
    <x v="171"/>
    <s v="LH-1080a"/>
    <x v="0"/>
    <s v="Produciendo"/>
    <s v="Bombeo Mecánico"/>
    <x v="1"/>
    <s v="Las Heras Central Sur"/>
    <x v="0"/>
    <s v="NO"/>
    <n v="1.05"/>
    <n v="0"/>
  </r>
  <r>
    <x v="172"/>
    <s v="CG-553a"/>
    <x v="0"/>
    <s v="Produciendo"/>
    <s v="Inyección"/>
    <x v="1"/>
    <s v="Cerro Grande Central"/>
    <x v="0"/>
    <s v="NO"/>
    <n v="0"/>
    <n v="0"/>
  </r>
  <r>
    <x v="173"/>
    <s v="LH-1065a"/>
    <x v="0"/>
    <s v="Reserva Recuperación Secundaria"/>
    <s v="Pistoneo"/>
    <x v="4"/>
    <s v="Las Heras Bloque 2"/>
    <x v="0"/>
    <s v="NO"/>
    <n v="9.7000000000000003E-2"/>
    <n v="0"/>
  </r>
  <r>
    <x v="174"/>
    <s v="BB-47"/>
    <x v="0"/>
    <s v="Produciendo"/>
    <s v="Inyección"/>
    <x v="1"/>
    <s v="Barranca Baya"/>
    <x v="0"/>
    <s v="NO"/>
    <n v="0"/>
    <n v="0"/>
  </r>
  <r>
    <x v="175"/>
    <s v="LH-1100a"/>
    <x v="0"/>
    <s v="Produciendo"/>
    <s v="Bombeo Mecánico"/>
    <x v="1"/>
    <s v="Las Heras Central Sur"/>
    <x v="0"/>
    <s v="NO"/>
    <n v="1.2650000000000001"/>
    <n v="0"/>
  </r>
  <r>
    <x v="176"/>
    <s v="CG-575a"/>
    <x v="0"/>
    <s v="Produciendo"/>
    <s v="Bombeo Mecánico"/>
    <x v="1"/>
    <s v="Cerro Grande Noreste"/>
    <x v="0"/>
    <s v="NO"/>
    <n v="2.86"/>
    <n v="0"/>
  </r>
  <r>
    <x v="177"/>
    <s v="CnE-944a"/>
    <x v="0"/>
    <s v="Produciendo"/>
    <s v="Bombeo Mecánico"/>
    <x v="1"/>
    <s v="Barranca Baya Bloque 30"/>
    <x v="0"/>
    <s v="Oportunidad"/>
    <n v="1.5"/>
    <n v="0"/>
  </r>
  <r>
    <x v="178"/>
    <s v="CnE-953a"/>
    <x v="0"/>
    <s v="Produciendo"/>
    <s v="Electro Sumergible"/>
    <x v="1"/>
    <s v="Barranca Baya Bloque 38"/>
    <x v="0"/>
    <s v="NO"/>
    <n v="5.8"/>
    <n v="0"/>
  </r>
  <r>
    <x v="179"/>
    <s v="CnE-974"/>
    <x v="0"/>
    <s v="Produciendo"/>
    <s v="Bombeo Mecánico"/>
    <x v="1"/>
    <s v="Barranca Baya Bloque 36"/>
    <x v="0"/>
    <s v="NO"/>
    <n v="8"/>
    <n v="0"/>
  </r>
  <r>
    <x v="180"/>
    <s v="CnE-980"/>
    <x v="0"/>
    <s v="Reserva Recuperación Secundaria"/>
    <s v="Pistoneo"/>
    <x v="2"/>
    <s v="Barranca Baya Bloque 36"/>
    <x v="0"/>
    <s v="NO"/>
    <n v="0.01"/>
    <s v="Ultimo Año"/>
  </r>
  <r>
    <x v="181"/>
    <s v="LH-1180"/>
    <x v="0"/>
    <s v="Produciendo"/>
    <s v="Inyección"/>
    <x v="1"/>
    <s v="Las Heras Central Sur"/>
    <x v="0"/>
    <s v="NO"/>
    <n v="0"/>
    <n v="0"/>
  </r>
  <r>
    <x v="182"/>
    <s v="CG-639"/>
    <x v="0"/>
    <s v="Produciendo"/>
    <s v="Bombeo Mecánico"/>
    <x v="1"/>
    <s v="Cerro Grande Noreste"/>
    <x v="0"/>
    <s v="NO"/>
    <n v="1.248"/>
    <n v="0"/>
  </r>
  <r>
    <x v="183"/>
    <s v="CG-699"/>
    <x v="0"/>
    <s v="Produciendo"/>
    <s v="Bombeo Mecánico"/>
    <x v="1"/>
    <s v="Cerro Grande Central"/>
    <x v="0"/>
    <s v="NO"/>
    <n v="1.5"/>
    <n v="0"/>
  </r>
  <r>
    <x v="184"/>
    <s v="CG-737"/>
    <x v="0"/>
    <s v="Produciendo"/>
    <s v="Bombeo Mecánico"/>
    <x v="1"/>
    <s v="Cerro Grande Noreste"/>
    <x v="0"/>
    <s v="NO"/>
    <n v="1.6"/>
    <n v="0"/>
  </r>
  <r>
    <x v="185"/>
    <s v="CG-754"/>
    <x v="0"/>
    <s v="Produciendo"/>
    <s v="Bombeo Mecánico"/>
    <x v="1"/>
    <s v="Barranca Baya Cerro Grande Norte"/>
    <x v="0"/>
    <s v="NO"/>
    <n v="2.2400000000000002"/>
    <n v="0"/>
  </r>
  <r>
    <x v="186"/>
    <s v="CG-811"/>
    <x v="0"/>
    <s v="Produciendo"/>
    <s v="Pistoneo"/>
    <x v="1"/>
    <s v="Cerro Grande Central"/>
    <x v="0"/>
    <s v="NO"/>
    <n v="0.10400000000000001"/>
    <n v="0"/>
  </r>
  <r>
    <x v="187"/>
    <s v="CnE-1215(d)"/>
    <x v="0"/>
    <s v="Espera Equipo Reparación"/>
    <s v="Bombeo Mecánico"/>
    <x v="5"/>
    <s v="Barranca Baya Bloque 30"/>
    <x v="1"/>
    <s v="NO"/>
    <n v="0.1"/>
    <n v="0"/>
  </r>
  <r>
    <x v="188"/>
    <s v="CnE-1218"/>
    <x v="0"/>
    <s v="Espera Equipo Reparación"/>
    <s v="Bombeo Mecánico"/>
    <x v="5"/>
    <s v="Barranca Baya Bloque 30"/>
    <x v="1"/>
    <s v="NO"/>
    <n v="0.96"/>
    <s v="Ultimo Año"/>
  </r>
  <r>
    <x v="189"/>
    <s v="LH-1240"/>
    <x v="0"/>
    <s v="Reserva Recuperación Secundaria"/>
    <s v="Bombeo Mecánico"/>
    <x v="2"/>
    <s v="Las Heras Bloque 2"/>
    <x v="0"/>
    <s v="NO"/>
    <n v="0.18"/>
    <s v="Ultimo Año"/>
  </r>
  <r>
    <x v="190"/>
    <s v="CnE-1273"/>
    <x v="0"/>
    <s v="Produciendo"/>
    <s v="Bombeo Mecánico"/>
    <x v="1"/>
    <s v="Barranca Baya Bloque 26"/>
    <x v="0"/>
    <s v="NO"/>
    <n v="2.4"/>
    <n v="0"/>
  </r>
  <r>
    <x v="191"/>
    <s v="CnE-1274(d)"/>
    <x v="0"/>
    <s v="Produciendo"/>
    <s v="Bombeo Mecánico"/>
    <x v="1"/>
    <s v="Barranca Baya Bloque 30"/>
    <x v="0"/>
    <s v="NO"/>
    <n v="0.4"/>
    <n v="0"/>
  </r>
  <r>
    <x v="192"/>
    <s v="CG-915"/>
    <x v="0"/>
    <s v="Produciendo"/>
    <s v="Bombeo Mecánico"/>
    <x v="1"/>
    <s v="Cerro Grande Noreste"/>
    <x v="0"/>
    <s v="NO"/>
    <n v="1.8"/>
    <n v="0"/>
  </r>
  <r>
    <x v="193"/>
    <s v="LH-1254"/>
    <x v="0"/>
    <s v="Produciendo"/>
    <s v="Cavidad Progresiva"/>
    <x v="1"/>
    <s v="Las Heras Cerro Grande Sur"/>
    <x v="0"/>
    <s v="Oportunidad"/>
    <n v="1.778"/>
    <n v="0"/>
  </r>
  <r>
    <x v="194"/>
    <s v="LH-1256"/>
    <x v="0"/>
    <s v="Produciendo"/>
    <s v="Bombeo Mecánico"/>
    <x v="1"/>
    <s v="Las Heras Las Heras Bloque 3"/>
    <x v="0"/>
    <s v="NO"/>
    <n v="2"/>
    <n v="0"/>
  </r>
  <r>
    <x v="195"/>
    <s v="BB-7"/>
    <x v="0"/>
    <s v="En Estudio"/>
    <s v="Bombeo Mecánico"/>
    <x v="5"/>
    <s v="Barranca Baya"/>
    <x v="1"/>
    <s v="NO"/>
    <n v="0.14000000000000001"/>
    <n v="0"/>
  </r>
  <r>
    <x v="196"/>
    <s v="LH-241(I)"/>
    <x v="0"/>
    <s v="Espera Equipo Reparación"/>
    <s v="Cavidad Progresiva"/>
    <x v="5"/>
    <s v="Las Heras Bloque 2"/>
    <x v="1"/>
    <s v="NO"/>
    <n v="1.125"/>
    <n v="0"/>
  </r>
  <r>
    <x v="197"/>
    <s v="LH-7"/>
    <x v="0"/>
    <s v="Produciendo"/>
    <s v="Pistoneo"/>
    <x v="1"/>
    <s v="Las Heras Central Sur"/>
    <x v="0"/>
    <s v="NO"/>
    <n v="0.19"/>
    <n v="0"/>
  </r>
  <r>
    <x v="198"/>
    <s v="LH-437"/>
    <x v="0"/>
    <s v="Reserva Recuperación Secundaria"/>
    <s v="Pistoneo"/>
    <x v="4"/>
    <s v="Las Heras Central Sur"/>
    <x v="0"/>
    <s v="NO"/>
    <n v="9.4E-2"/>
    <n v="0"/>
  </r>
  <r>
    <x v="199"/>
    <s v="LH-507"/>
    <x v="0"/>
    <s v="Produciendo"/>
    <s v="Bombeo Mecánico"/>
    <x v="1"/>
    <s v="Las Heras Central Sur"/>
    <x v="0"/>
    <s v="NO"/>
    <n v="0.129"/>
    <n v="0"/>
  </r>
  <r>
    <x v="200"/>
    <s v="CG-48"/>
    <x v="0"/>
    <s v="Reserva Recuperación Secundaria"/>
    <s v="No Posee"/>
    <x v="4"/>
    <s v="Barranca Baya Bloque 26"/>
    <x v="0"/>
    <s v="NO"/>
    <n v="0.23700000000000002"/>
    <n v="0"/>
  </r>
  <r>
    <x v="201"/>
    <s v="CG-199"/>
    <x v="0"/>
    <s v="Abandono Permanente"/>
    <s v="No Posee"/>
    <x v="3"/>
    <s v="Cerro Grande Noreste"/>
    <x v="0"/>
    <s v="NO"/>
    <s v="NO"/>
    <s v="NO"/>
  </r>
  <r>
    <x v="202"/>
    <s v="CnE-880a"/>
    <x v="0"/>
    <s v="Produciendo"/>
    <s v="Bombeo Mecánico"/>
    <x v="1"/>
    <s v="Barranca Baya Bloque 36"/>
    <x v="0"/>
    <s v="NO"/>
    <n v="0.47500000000000003"/>
    <n v="0"/>
  </r>
  <r>
    <x v="203"/>
    <s v="LH-1011a"/>
    <x v="0"/>
    <s v="Abandono Permanente"/>
    <s v="No Posee"/>
    <x v="3"/>
    <s v="Las Heras Las Heras Bloque 3"/>
    <x v="0"/>
    <s v="NO"/>
    <n v="0.78"/>
    <n v="0"/>
  </r>
  <r>
    <x v="204"/>
    <s v="LH-979a"/>
    <x v="0"/>
    <s v="Abandono Permanente"/>
    <s v="No Posee"/>
    <x v="3"/>
    <s v="Las Heras Bloque 2"/>
    <x v="0"/>
    <s v="NO"/>
    <s v="NO"/>
    <s v="NO"/>
  </r>
  <r>
    <x v="205"/>
    <s v="CG-532a"/>
    <x v="0"/>
    <s v="Produciendo"/>
    <s v="Bombeo Mecánico"/>
    <x v="1"/>
    <s v="Cerro Grande Central"/>
    <x v="0"/>
    <s v="NO"/>
    <n v="0.96"/>
    <n v="0"/>
  </r>
  <r>
    <x v="206"/>
    <s v="LH-1009a"/>
    <x v="0"/>
    <s v="Parado Alta Rap"/>
    <s v="Bombeo Mecánico"/>
    <x v="5"/>
    <s v="Las Heras Central Sur"/>
    <x v="1"/>
    <s v="NO"/>
    <n v="0.46"/>
    <n v="0"/>
  </r>
  <r>
    <x v="207"/>
    <s v="CnE-894a"/>
    <x v="0"/>
    <s v="Espera Equipo Reparación"/>
    <s v="Pistoneo"/>
    <x v="0"/>
    <s v="Barranca Baya Bloque 30"/>
    <x v="0"/>
    <s v="NO"/>
    <n v="0.79200000000000004"/>
    <s v="Ultimos 6 meses"/>
  </r>
  <r>
    <x v="208"/>
    <s v="LH-1079a"/>
    <x v="0"/>
    <s v="En Estudio"/>
    <s v="Bombeo Mecánico"/>
    <x v="5"/>
    <s v="Las Heras Central Sur"/>
    <x v="1"/>
    <s v="NO"/>
    <n v="0.49500000000000005"/>
    <n v="0"/>
  </r>
  <r>
    <x v="209"/>
    <s v="LH-1113a"/>
    <x v="0"/>
    <s v="Espera Equipo Reparación"/>
    <s v="Inyección"/>
    <x v="5"/>
    <s v="Las Heras Central Sur"/>
    <x v="1"/>
    <s v="NO"/>
    <n v="0"/>
    <n v="0"/>
  </r>
  <r>
    <x v="210"/>
    <s v="CG-610a"/>
    <x v="0"/>
    <s v="Produciendo"/>
    <s v="Bombeo Mecánico"/>
    <x v="1"/>
    <s v="Cerro Grande Central"/>
    <x v="0"/>
    <s v="NO"/>
    <n v="0.71"/>
    <n v="0"/>
  </r>
  <r>
    <x v="211"/>
    <s v="CG-584a"/>
    <x v="0"/>
    <s v="Reserva Recuperación Secundaria"/>
    <s v="Pistoneo"/>
    <x v="4"/>
    <s v="Cerro Grande Central"/>
    <x v="0"/>
    <s v="NO"/>
    <n v="7.8E-2"/>
    <n v="0"/>
  </r>
  <r>
    <x v="212"/>
    <s v="CG-585a"/>
    <x v="0"/>
    <s v="Reserva Recuperación Secundaria"/>
    <s v="Bombeo Mecánico"/>
    <x v="4"/>
    <s v="Cerro Grande Central"/>
    <x v="0"/>
    <s v="NO"/>
    <n v="0.41200000000000003"/>
    <n v="0"/>
  </r>
  <r>
    <x v="213"/>
    <s v="LH-1112a"/>
    <x v="0"/>
    <s v="Produciendo"/>
    <s v="Bombeo Mecánico"/>
    <x v="1"/>
    <s v="Las Heras Central Sur"/>
    <x v="0"/>
    <s v="NO"/>
    <n v="1.125"/>
    <n v="0"/>
  </r>
  <r>
    <x v="214"/>
    <s v="LH-1107a"/>
    <x v="0"/>
    <s v="Produciendo"/>
    <s v="Bombeo Mecánico"/>
    <x v="1"/>
    <s v="Las Heras Las Heras Bloque 3"/>
    <x v="0"/>
    <s v="NO"/>
    <n v="1.9000000000000001"/>
    <n v="0"/>
  </r>
  <r>
    <x v="215"/>
    <s v="CnE-957a"/>
    <x v="0"/>
    <s v="Produciendo"/>
    <s v="Inyección"/>
    <x v="1"/>
    <s v="Barranca Baya Bloque 30"/>
    <x v="0"/>
    <s v="NO"/>
    <n v="0"/>
    <n v="0"/>
  </r>
  <r>
    <x v="216"/>
    <s v="CnE-962a"/>
    <x v="0"/>
    <s v="Produciendo"/>
    <s v="Bombeo Mecánico"/>
    <x v="1"/>
    <s v="Barranca Baya Bloque 26"/>
    <x v="0"/>
    <s v="NO"/>
    <n v="2.0699999999999998"/>
    <n v="0"/>
  </r>
  <r>
    <x v="217"/>
    <s v="CG-653"/>
    <x v="0"/>
    <s v="Reserva Recuperación Secundaria"/>
    <s v="No Posee"/>
    <x v="2"/>
    <s v="Cerro Grande Central"/>
    <x v="0"/>
    <s v="NO"/>
    <n v="1.05"/>
    <s v="Ultimo Año"/>
  </r>
  <r>
    <x v="218"/>
    <s v="CnE-1000"/>
    <x v="0"/>
    <s v="Espera Equipo Reparación"/>
    <s v="Bombeo Mecánico"/>
    <x v="5"/>
    <s v="Barranca Baya Bloque 30"/>
    <x v="1"/>
    <s v="NO"/>
    <n v="0.56000000000000005"/>
    <n v="0"/>
  </r>
  <r>
    <x v="219"/>
    <s v="CG-716"/>
    <x v="0"/>
    <s v="Produciendo"/>
    <s v="Bombeo Mecánico"/>
    <x v="1"/>
    <s v="Cerro Grande Central"/>
    <x v="0"/>
    <s v="NO"/>
    <n v="0.92"/>
    <n v="0"/>
  </r>
  <r>
    <x v="220"/>
    <s v="CnE-1260"/>
    <x v="0"/>
    <s v="Produciendo"/>
    <s v="Bombeo Mecánico"/>
    <x v="1"/>
    <s v="Barranca Baya Bloque 37"/>
    <x v="0"/>
    <s v="NO"/>
    <n v="9.5000000000000001E-2"/>
    <n v="0"/>
  </r>
  <r>
    <x v="221"/>
    <s v="CG-857"/>
    <x v="0"/>
    <s v="Produciendo"/>
    <s v="Cavidad Progresiva"/>
    <x v="1"/>
    <s v="Barranca Baya Cerro Grande Noroeste"/>
    <x v="0"/>
    <s v="NO"/>
    <n v="4.3180000000000005"/>
    <n v="0"/>
  </r>
  <r>
    <x v="222"/>
    <s v="CnE-1234a"/>
    <x v="0"/>
    <s v="Produciendo"/>
    <s v="Pistoneo"/>
    <x v="1"/>
    <s v="Barranca Baya Bloque 36"/>
    <x v="0"/>
    <s v="NO"/>
    <n v="2.9000000000000001E-2"/>
    <n v="0"/>
  </r>
  <r>
    <x v="223"/>
    <s v="LH-1252"/>
    <x v="0"/>
    <s v="Produciendo"/>
    <s v="Bombeo Mecánico"/>
    <x v="1"/>
    <s v="Las Heras Central Sur"/>
    <x v="0"/>
    <s v="NO"/>
    <n v="0.54"/>
    <n v="0"/>
  </r>
  <r>
    <x v="224"/>
    <s v="CnE-994"/>
    <x v="0"/>
    <s v="Produciendo"/>
    <s v="Bombeo Mecánico"/>
    <x v="1"/>
    <s v="Barranca Baya Bloque 36"/>
    <x v="0"/>
    <s v="NO"/>
    <n v="0.255"/>
    <n v="0"/>
  </r>
  <r>
    <x v="225"/>
    <s v="CnE.a-1430a"/>
    <x v="0"/>
    <s v="Produciendo"/>
    <s v="Bombeo Mecánico"/>
    <x v="1"/>
    <s v="Barranca Baya Bloque 30"/>
    <x v="0"/>
    <s v="NO"/>
    <n v="4.2"/>
    <n v="0"/>
  </r>
  <r>
    <x v="226"/>
    <s v="LH-1048a"/>
    <x v="0"/>
    <s v="Reserva Recuperación Secundaria"/>
    <s v="Bombeo Mecánico"/>
    <x v="4"/>
    <s v="Las Heras Bloque 2"/>
    <x v="0"/>
    <s v="NO"/>
    <n v="0.45"/>
    <n v="0"/>
  </r>
  <r>
    <x v="227"/>
    <s v="LH-1028a"/>
    <x v="0"/>
    <s v="Abandono Permanente"/>
    <s v="No Posee"/>
    <x v="3"/>
    <s v="Las Heras Central Sur"/>
    <x v="0"/>
    <s v="NO"/>
    <s v="NO"/>
    <s v="NO"/>
  </r>
  <r>
    <x v="228"/>
    <s v="LH-1095a"/>
    <x v="0"/>
    <s v="Produciendo"/>
    <s v="Bombeo Mecánico"/>
    <x v="1"/>
    <s v="Las Heras Las Heras Bloque 3"/>
    <x v="0"/>
    <s v="NO"/>
    <n v="1.04"/>
    <n v="0"/>
  </r>
  <r>
    <x v="229"/>
    <s v="CG-609a"/>
    <x v="0"/>
    <s v="Produciendo"/>
    <s v="Bombeo Mecánico"/>
    <x v="1"/>
    <s v="Cerro Grande Central"/>
    <x v="0"/>
    <s v="NO"/>
    <n v="1.095"/>
    <n v="0"/>
  </r>
  <r>
    <x v="230"/>
    <s v="CG-625"/>
    <x v="0"/>
    <s v="Produciendo"/>
    <s v="Bombeo Mecánico"/>
    <x v="1"/>
    <s v="Cerro Grande Central"/>
    <x v="0"/>
    <s v="NO"/>
    <n v="1.054"/>
    <n v="0"/>
  </r>
  <r>
    <x v="231"/>
    <s v="CnE-964"/>
    <x v="0"/>
    <s v="Produciendo"/>
    <s v="Bombeo Mecánico"/>
    <x v="1"/>
    <s v="Barranca Baya Bloque 36"/>
    <x v="0"/>
    <s v="NO"/>
    <n v="1.08"/>
    <n v="0"/>
  </r>
  <r>
    <x v="232"/>
    <s v="CG-637"/>
    <x v="0"/>
    <s v="Produciendo"/>
    <s v="Bombeo Mecánico"/>
    <x v="1"/>
    <s v="Cerro Grande Central"/>
    <x v="0"/>
    <s v="NO"/>
    <n v="1.8"/>
    <n v="0"/>
  </r>
  <r>
    <x v="233"/>
    <s v="CG-672"/>
    <x v="0"/>
    <s v="Reserva Recuperación Secundaria"/>
    <s v="Bombeo Mecánico"/>
    <x v="4"/>
    <s v="Cerro Grande Central"/>
    <x v="0"/>
    <s v="NO"/>
    <n v="0.88"/>
    <n v="0"/>
  </r>
  <r>
    <x v="234"/>
    <s v="CG-663"/>
    <x v="0"/>
    <s v="Produciendo"/>
    <s v="Bombeo Mecánico"/>
    <x v="1"/>
    <s v="Cerro Grande Central"/>
    <x v="0"/>
    <s v="NO"/>
    <n v="0.55800000000000005"/>
    <n v="0"/>
  </r>
  <r>
    <x v="235"/>
    <s v="CG-682"/>
    <x v="0"/>
    <s v="Produciendo"/>
    <s v="Electro Sumergible"/>
    <x v="1"/>
    <s v="Cerro Grande Central"/>
    <x v="0"/>
    <s v="NO"/>
    <n v="1.2"/>
    <n v="0"/>
  </r>
  <r>
    <x v="236"/>
    <s v="CG-797"/>
    <x v="0"/>
    <s v="Produciendo"/>
    <s v="Bombeo Mecánico"/>
    <x v="1"/>
    <s v="Cerro Grande Central"/>
    <x v="0"/>
    <s v="NO"/>
    <n v="0.38"/>
    <n v="0"/>
  </r>
  <r>
    <x v="237"/>
    <s v="CnE-1216"/>
    <x v="0"/>
    <s v="Produciendo"/>
    <s v="Bombeo Mecánico"/>
    <x v="1"/>
    <s v="Barranca Baya Bloque 30"/>
    <x v="0"/>
    <s v="NO"/>
    <n v="0.69600000000000006"/>
    <n v="0"/>
  </r>
  <r>
    <x v="238"/>
    <s v="CnE-1200(d)"/>
    <x v="0"/>
    <s v="Parado Por Alta Rgp"/>
    <s v="Bombeo Mecánico"/>
    <x v="5"/>
    <s v="Barranca Baya Bloque 37"/>
    <x v="1"/>
    <s v="NO"/>
    <n v="0.52"/>
    <n v="0"/>
  </r>
  <r>
    <x v="239"/>
    <s v="CnE-1207"/>
    <x v="0"/>
    <s v="Produciendo"/>
    <s v="Bombeo Mecánico"/>
    <x v="1"/>
    <s v="Barranca Baya Bloque 30"/>
    <x v="0"/>
    <s v="NO"/>
    <n v="1.76"/>
    <n v="0"/>
  </r>
  <r>
    <x v="240"/>
    <s v="CG-869a"/>
    <x v="0"/>
    <s v="Produciendo"/>
    <s v="Bombeo Mecánico"/>
    <x v="1"/>
    <s v="Cerro Grande Central"/>
    <x v="0"/>
    <s v="NO"/>
    <n v="4.28"/>
    <n v="0"/>
  </r>
  <r>
    <x v="241"/>
    <s v="CnE-1228"/>
    <x v="0"/>
    <s v="En Estudio"/>
    <s v="Bombeo Mecánico"/>
    <x v="5"/>
    <s v="Barranca Baya Bloque 36"/>
    <x v="1"/>
    <s v="NO"/>
    <n v="0.875"/>
    <n v="0"/>
  </r>
  <r>
    <x v="242"/>
    <s v="CnE-1348"/>
    <x v="0"/>
    <s v="Reserva Recuperación Secundaria"/>
    <s v="Bombeo Mecánico"/>
    <x v="0"/>
    <s v="Barranca Baya Bloque 37"/>
    <x v="0"/>
    <s v="NO"/>
    <n v="1.1000000000000001"/>
    <s v="Ultimos 6 meses"/>
  </r>
  <r>
    <x v="243"/>
    <s v="CnE-1366"/>
    <x v="0"/>
    <s v="Espera Equipo Reparación"/>
    <s v="Bombeo Mecánico"/>
    <x v="5"/>
    <s v="Barranca Baya Bloque 30"/>
    <x v="1"/>
    <s v="NO"/>
    <n v="0.33"/>
    <n v="0"/>
  </r>
  <r>
    <x v="244"/>
    <s v="CnE.xp-1401"/>
    <x v="0"/>
    <s v="Produciendo"/>
    <s v="Bombeo Mecánico"/>
    <x v="1"/>
    <s v="Barranca Baya Bloque 30"/>
    <x v="0"/>
    <s v="NO"/>
    <n v="1.8"/>
    <n v="0"/>
  </r>
  <r>
    <x v="245"/>
    <s v="CnE-991a"/>
    <x v="0"/>
    <s v="Produciendo"/>
    <s v="Electro Sumergible"/>
    <x v="1"/>
    <s v="Barranca Baya Bloque 36"/>
    <x v="0"/>
    <s v="NO"/>
    <n v="5.98"/>
    <n v="0"/>
  </r>
  <r>
    <x v="246"/>
    <s v="CG-768"/>
    <x v="0"/>
    <s v="Espera Equipo Reparación"/>
    <s v="Electro Sumergible"/>
    <x v="0"/>
    <s v="Cerro Grande Central"/>
    <x v="0"/>
    <s v="NO"/>
    <n v="0.78"/>
    <s v="Ultimos 6 meses"/>
  </r>
  <r>
    <x v="247"/>
    <s v="LH-205"/>
    <x v="0"/>
    <s v="Abandono Permanente"/>
    <s v="No Posee"/>
    <x v="3"/>
    <s v="Las Heras Bloque 2"/>
    <x v="0"/>
    <s v="NO"/>
    <s v="NO"/>
    <s v="NO"/>
  </r>
  <r>
    <x v="248"/>
    <s v="LH-247"/>
    <x v="0"/>
    <s v="Espera Equipo Reparación"/>
    <s v="Inyección"/>
    <x v="5"/>
    <s v="Las Heras Central Sur"/>
    <x v="1"/>
    <s v="NO"/>
    <n v="0"/>
    <s v="Ultimo Año"/>
  </r>
  <r>
    <x v="249"/>
    <s v="LH-482"/>
    <x v="0"/>
    <s v="Reserva Recuperación Secundaria"/>
    <s v="Inyección"/>
    <x v="2"/>
    <s v="Las Heras Central Sur"/>
    <x v="0"/>
    <s v="NO"/>
    <n v="0"/>
    <s v="Ultimo Año"/>
  </r>
  <r>
    <x v="250"/>
    <s v="LH-549"/>
    <x v="0"/>
    <s v="Reserva Recuperación Secundaria"/>
    <s v="Pistoneo"/>
    <x v="4"/>
    <s v="Las Heras Central Sur"/>
    <x v="0"/>
    <s v="NO"/>
    <n v="0.188"/>
    <n v="0"/>
  </r>
  <r>
    <x v="251"/>
    <s v="LH-606"/>
    <x v="0"/>
    <s v="Reserva Recuperación Secundaria"/>
    <s v="Inyección"/>
    <x v="4"/>
    <s v="Las Heras Central Sur"/>
    <x v="0"/>
    <s v="NO"/>
    <n v="0"/>
    <n v="0"/>
  </r>
  <r>
    <x v="252"/>
    <s v="LH-825"/>
    <x v="0"/>
    <s v="Reserva Recuperación Secundaria"/>
    <s v="No Posee"/>
    <x v="4"/>
    <s v="Las Heras Las Heras Bloque 3"/>
    <x v="0"/>
    <s v="NO"/>
    <n v="0"/>
    <n v="0"/>
  </r>
  <r>
    <x v="253"/>
    <s v="CG-10"/>
    <x v="0"/>
    <s v="Espera Equipo Reparación"/>
    <s v="Inyección"/>
    <x v="4"/>
    <s v="Barranca Baya Cerro Grande Noroeste"/>
    <x v="0"/>
    <s v="NO"/>
    <n v="0"/>
    <n v="0"/>
  </r>
  <r>
    <x v="254"/>
    <s v="CG-232"/>
    <x v="0"/>
    <s v="Reserva Recuperación Secundaria"/>
    <s v="No Posee"/>
    <x v="4"/>
    <s v="Barranca Baya Cerro Grande Norte"/>
    <x v="0"/>
    <s v="NO"/>
    <n v="0.8"/>
    <n v="0"/>
  </r>
  <r>
    <x v="255"/>
    <s v="CG-267"/>
    <x v="0"/>
    <s v="Produciendo"/>
    <s v="Bombeo Mecánico"/>
    <x v="1"/>
    <s v="Cerro Grande Central"/>
    <x v="0"/>
    <s v="NO"/>
    <n v="1.52"/>
    <n v="0"/>
  </r>
  <r>
    <x v="256"/>
    <s v="CG-364"/>
    <x v="0"/>
    <s v="Reserva Recuperación Secundaria"/>
    <s v="Bombeo Mecánico"/>
    <x v="4"/>
    <s v="Barranca Baya Bloque 26"/>
    <x v="0"/>
    <s v="NO"/>
    <n v="0.70400000000000007"/>
    <n v="0"/>
  </r>
  <r>
    <x v="257"/>
    <s v="CG-396"/>
    <x v="0"/>
    <s v="Produciendo"/>
    <s v="Bombeo Mecánico"/>
    <x v="1"/>
    <s v="Barranca Baya Cerro Grande Noroeste"/>
    <x v="0"/>
    <s v="NO"/>
    <n v="1.74"/>
    <n v="0"/>
  </r>
  <r>
    <x v="258"/>
    <s v="CG-409"/>
    <x v="0"/>
    <s v="Reserva Recuperación Secundaria"/>
    <s v="Pistoneo"/>
    <x v="4"/>
    <s v="Cerro Grande Central"/>
    <x v="0"/>
    <s v="NO"/>
    <n v="0.13400000000000001"/>
    <n v="0"/>
  </r>
  <r>
    <x v="259"/>
    <s v="CG-448"/>
    <x v="0"/>
    <s v="Produciendo"/>
    <s v="Bombeo Mecánico"/>
    <x v="1"/>
    <s v="Cerro Grande Central"/>
    <x v="0"/>
    <s v="NO"/>
    <n v="1.2350000000000001"/>
    <n v="0"/>
  </r>
  <r>
    <x v="260"/>
    <s v="LC-11"/>
    <x v="0"/>
    <s v="Reserva Recuperación Secundaria"/>
    <s v="No Posee"/>
    <x v="4"/>
    <s v="Lomas del Cuy- Cerro Grande Noroeste"/>
    <x v="0"/>
    <s v="NO"/>
    <n v="0"/>
    <n v="0"/>
  </r>
  <r>
    <x v="261"/>
    <s v="LC-89"/>
    <x v="0"/>
    <s v="Espera Equipo Reparación"/>
    <s v="Bombeo Mecánico"/>
    <x v="4"/>
    <s v="Lomas del Cuy- Cerro Grande Sur"/>
    <x v="0"/>
    <s v="NO"/>
    <n v="9.7000000000000003E-2"/>
    <n v="0"/>
  </r>
  <r>
    <x v="262"/>
    <s v="LC-578"/>
    <x v="0"/>
    <s v="Produciendo"/>
    <s v="Bombeo Mecánico"/>
    <x v="1"/>
    <s v="Lomas del Cuy- Cerro Grande Noroeste"/>
    <x v="0"/>
    <s v="NO"/>
    <n v="0.94000000000000006"/>
    <n v="0"/>
  </r>
  <r>
    <x v="263"/>
    <s v="CnE-82"/>
    <x v="0"/>
    <s v="En Estudio"/>
    <s v="Bombeo Mecánico"/>
    <x v="5"/>
    <s v="Barranca Baya Bloque 40"/>
    <x v="1"/>
    <s v="NO"/>
    <n v="0.88"/>
    <n v="0"/>
  </r>
  <r>
    <x v="264"/>
    <s v="CnE-177"/>
    <x v="0"/>
    <s v="Reserva Recuperación Secundaria"/>
    <s v="No Posee"/>
    <x v="4"/>
    <s v="Barranca Baya Bloque 40"/>
    <x v="0"/>
    <s v="NO"/>
    <s v="NO"/>
    <s v="NO"/>
  </r>
  <r>
    <x v="265"/>
    <s v="CnE-254"/>
    <x v="0"/>
    <s v="Produciendo"/>
    <s v="Bombeo Mecánico"/>
    <x v="1"/>
    <s v="Barranca Baya Bloque 30"/>
    <x v="0"/>
    <s v="NO"/>
    <n v="1.024"/>
    <n v="0"/>
  </r>
  <r>
    <x v="266"/>
    <s v="CnE-294"/>
    <x v="0"/>
    <s v="Reserva Recuperación Secundaria"/>
    <s v="Bombeo Mecánico"/>
    <x v="4"/>
    <s v="Barranca Baya Bloque 38"/>
    <x v="0"/>
    <s v="NO"/>
    <n v="0.62"/>
    <n v="0"/>
  </r>
  <r>
    <x v="267"/>
    <s v="CnE-356"/>
    <x v="0"/>
    <s v="Produciendo"/>
    <s v="Bombeo Mecánico"/>
    <x v="1"/>
    <s v="Barranca Baya Bloque 36"/>
    <x v="0"/>
    <s v="NO"/>
    <n v="0.74"/>
    <n v="0"/>
  </r>
  <r>
    <x v="268"/>
    <s v="CnE-389"/>
    <x v="0"/>
    <s v="Produciendo"/>
    <s v="Electro Sumergible"/>
    <x v="1"/>
    <s v="Barranca Baya Bloque 36"/>
    <x v="0"/>
    <s v="NO"/>
    <n v="1.0840000000000001"/>
    <n v="0"/>
  </r>
  <r>
    <x v="269"/>
    <s v="CnE-636"/>
    <x v="0"/>
    <s v="Produciendo"/>
    <s v="Electro Sumergible"/>
    <x v="1"/>
    <s v="Barranca Baya"/>
    <x v="0"/>
    <s v="NO"/>
    <n v="2.36"/>
    <n v="0"/>
  </r>
  <r>
    <x v="270"/>
    <s v="CnE-691"/>
    <x v="0"/>
    <s v="Produciendo"/>
    <s v="Bombeo Mecánico"/>
    <x v="1"/>
    <s v="Barranca Baya Bloque 36"/>
    <x v="0"/>
    <s v="NO"/>
    <n v="0.92"/>
    <n v="0"/>
  </r>
  <r>
    <x v="271"/>
    <s v="CnE-799"/>
    <x v="0"/>
    <s v="Reserva Recuperación Secundaria"/>
    <s v="No Posee"/>
    <x v="4"/>
    <s v="Barranca Baya Bloque 30"/>
    <x v="0"/>
    <s v="NO"/>
    <s v="NO"/>
    <s v="NO"/>
  </r>
  <r>
    <x v="272"/>
    <s v="BB-100"/>
    <x v="0"/>
    <s v="Reserva Recuperación Secundaria"/>
    <s v="Pistoneo"/>
    <x v="2"/>
    <s v="Barranca Baya"/>
    <x v="0"/>
    <s v="NO"/>
    <n v="0.01"/>
    <s v="Ultimo Año"/>
  </r>
  <r>
    <x v="273"/>
    <s v="LH-241"/>
    <x v="0"/>
    <s v="Abandonado Por Razones Técnicas"/>
    <s v="No Posee"/>
    <x v="4"/>
    <s v="Las Heras Bloque 2"/>
    <x v="0"/>
    <s v="NO"/>
    <s v="NO"/>
    <s v="NO"/>
  </r>
  <r>
    <x v="274"/>
    <s v="CnE-442"/>
    <x v="0"/>
    <s v="Produciendo"/>
    <s v="Electro Sumergible"/>
    <x v="1"/>
    <s v="Barranca Baya Bloque 36"/>
    <x v="0"/>
    <s v="NO"/>
    <n v="1.4850000000000001"/>
    <n v="0"/>
  </r>
  <r>
    <x v="275"/>
    <s v="CnE-499"/>
    <x v="0"/>
    <s v="En Estudio"/>
    <s v="Bombeo Mecánico"/>
    <x v="5"/>
    <s v="Barranca Baya Bloque 37"/>
    <x v="1"/>
    <s v="NO"/>
    <n v="0.877"/>
    <n v="0"/>
  </r>
  <r>
    <x v="276"/>
    <s v="CnE-502"/>
    <x v="0"/>
    <s v="En Reparación"/>
    <s v="Bombeo Mecánico"/>
    <x v="2"/>
    <s v="Barranca Baya Bloque 30"/>
    <x v="0"/>
    <s v="NO"/>
    <n v="1.23"/>
    <s v="Ultimo Año"/>
  </r>
  <r>
    <x v="277"/>
    <s v="CnE-588"/>
    <x v="0"/>
    <s v="Abandono Permanente"/>
    <s v="No Posee"/>
    <x v="3"/>
    <s v="Barranca Baya Bloque 38"/>
    <x v="0"/>
    <s v="NO"/>
    <n v="0"/>
    <n v="0"/>
  </r>
  <r>
    <x v="278"/>
    <s v="CnE-689"/>
    <x v="0"/>
    <s v="Reserva Recuperación Secundaria"/>
    <s v="No Posee"/>
    <x v="4"/>
    <s v="Barranca Baya Bloque 38"/>
    <x v="0"/>
    <s v="NO"/>
    <n v="0.94000000000000006"/>
    <n v="0"/>
  </r>
  <r>
    <x v="279"/>
    <s v="CnE-696"/>
    <x v="0"/>
    <s v="Produciendo"/>
    <s v="Bombeo Mecánico"/>
    <x v="1"/>
    <s v="Barranca Baya Bloque 37"/>
    <x v="0"/>
    <s v="NO"/>
    <n v="0.16200000000000001"/>
    <n v="0"/>
  </r>
  <r>
    <x v="280"/>
    <s v="LH-293"/>
    <x v="0"/>
    <s v="Produciendo"/>
    <s v="Bombeo Mecánico"/>
    <x v="1"/>
    <s v="Las Heras Central Sur"/>
    <x v="0"/>
    <s v="NO"/>
    <n v="1.21"/>
    <n v="0"/>
  </r>
  <r>
    <x v="281"/>
    <s v="LH-11"/>
    <x v="0"/>
    <s v="Abandono Permanente"/>
    <s v="No Posee"/>
    <x v="3"/>
    <s v="Las Heras Bloque 2"/>
    <x v="0"/>
    <s v="NO"/>
    <s v="NO"/>
    <s v="NO"/>
  </r>
  <r>
    <x v="282"/>
    <s v="LH-45"/>
    <x v="0"/>
    <s v="Abandono Permanente"/>
    <s v="No Posee"/>
    <x v="3"/>
    <s v="Las Heras Las Heras Bloque 3"/>
    <x v="0"/>
    <s v="NO"/>
    <n v="9.6000000000000002E-2"/>
    <n v="0"/>
  </r>
  <r>
    <x v="283"/>
    <s v="CG-303"/>
    <x v="0"/>
    <s v="Abandono Permanente"/>
    <s v="No Posee"/>
    <x v="3"/>
    <s v="Cerro Grande Central"/>
    <x v="0"/>
    <s v="NO"/>
    <s v="NO"/>
    <s v="NO"/>
  </r>
  <r>
    <x v="284"/>
    <s v="LH-402"/>
    <x v="0"/>
    <s v="Espera Equipo Reparación"/>
    <s v="Bombeo Mecánico"/>
    <x v="5"/>
    <s v="Las Heras Central Sur"/>
    <x v="1"/>
    <s v="NO"/>
    <n v="0.81"/>
    <n v="0"/>
  </r>
  <r>
    <x v="285"/>
    <s v="LH-489"/>
    <x v="0"/>
    <s v="Produciendo"/>
    <s v="Pistoneo"/>
    <x v="1"/>
    <s v="Las Heras Central Sur"/>
    <x v="0"/>
    <s v="NO"/>
    <n v="0.115"/>
    <n v="0"/>
  </r>
  <r>
    <x v="286"/>
    <s v="CnE-881a"/>
    <x v="0"/>
    <s v="Abandono Permanente"/>
    <s v="No Posee"/>
    <x v="3"/>
    <s v="Barranca Baya Bloque 36"/>
    <x v="0"/>
    <s v="NO"/>
    <s v="NO"/>
    <s v="NO"/>
  </r>
  <r>
    <x v="287"/>
    <s v="CG-583a"/>
    <x v="0"/>
    <s v="Produciendo"/>
    <s v="Bombeo Mecánico"/>
    <x v="1"/>
    <s v="Cerro Grande Central"/>
    <x v="0"/>
    <s v="NO"/>
    <n v="1.512"/>
    <n v="0"/>
  </r>
  <r>
    <x v="288"/>
    <s v="LH-1142a"/>
    <x v="0"/>
    <s v="Produciendo"/>
    <s v="Bombeo Mecánico"/>
    <x v="1"/>
    <s v="Las Heras Central Sur"/>
    <x v="0"/>
    <s v="NO"/>
    <n v="1.32"/>
    <n v="0"/>
  </r>
  <r>
    <x v="289"/>
    <s v="LH-1172"/>
    <x v="0"/>
    <s v="Produciendo"/>
    <s v="Pistoneo"/>
    <x v="1"/>
    <s v="Las Heras Central Sur"/>
    <x v="0"/>
    <s v="NO"/>
    <n v="0.10400000000000001"/>
    <n v="0"/>
  </r>
  <r>
    <x v="290"/>
    <s v="CG-627"/>
    <x v="0"/>
    <s v="Produciendo"/>
    <s v="Bombeo Mecánico"/>
    <x v="1"/>
    <s v="Cerro Grande Central"/>
    <x v="0"/>
    <s v="NO"/>
    <n v="2.1"/>
    <n v="0"/>
  </r>
  <r>
    <x v="291"/>
    <s v="CG-670"/>
    <x v="0"/>
    <s v="En Estudio"/>
    <s v="Bombeo Mecánico"/>
    <x v="5"/>
    <s v="Cerro Grande Central"/>
    <x v="1"/>
    <s v="NO"/>
    <n v="0.23"/>
    <n v="0"/>
  </r>
  <r>
    <x v="292"/>
    <s v="LH-1169"/>
    <x v="0"/>
    <s v="Espera Equipo Reparación"/>
    <s v="Inyección"/>
    <x v="6"/>
    <s v="Las Heras Central Sur"/>
    <x v="0"/>
    <s v="Oportunidad"/>
    <n v="0"/>
    <n v="0"/>
  </r>
  <r>
    <x v="293"/>
    <s v="CnE-1064"/>
    <x v="0"/>
    <s v="Espera Equipo Reparación"/>
    <s v="Bombeo Mecánico"/>
    <x v="5"/>
    <s v="Barranca Baya Bloque 30"/>
    <x v="1"/>
    <s v="NO"/>
    <n v="0.28000000000000003"/>
    <n v="0"/>
  </r>
  <r>
    <x v="294"/>
    <s v="CG-785"/>
    <x v="0"/>
    <s v="Produciendo"/>
    <s v="Bombeo Mecánico"/>
    <x v="1"/>
    <s v="Cerro Grande Central"/>
    <x v="0"/>
    <s v="NO"/>
    <n v="2.6870000000000003"/>
    <n v="0"/>
  </r>
  <r>
    <x v="295"/>
    <s v="CnE-1114"/>
    <x v="0"/>
    <s v="Produciendo"/>
    <s v="Bombeo Mecánico"/>
    <x v="1"/>
    <s v="Barranca Baya Bloque 30"/>
    <x v="0"/>
    <s v="NO"/>
    <n v="0.96"/>
    <n v="0"/>
  </r>
  <r>
    <x v="296"/>
    <s v="CnE-1188"/>
    <x v="0"/>
    <s v="Produciendo"/>
    <s v="Electro Sumergible"/>
    <x v="1"/>
    <s v="Barranca Baya Bloque 36"/>
    <x v="0"/>
    <s v="NO"/>
    <n v="1.6960000000000002"/>
    <n v="0"/>
  </r>
  <r>
    <x v="297"/>
    <s v="LH-1229"/>
    <x v="0"/>
    <s v="Produciendo"/>
    <s v="Bombeo Mecánico"/>
    <x v="1"/>
    <s v="Las Heras Central Sur"/>
    <x v="0"/>
    <s v="NO"/>
    <n v="1.1680000000000001"/>
    <n v="0"/>
  </r>
  <r>
    <x v="298"/>
    <s v="CG-870a"/>
    <x v="0"/>
    <s v="Produciendo"/>
    <s v="Bombeo Mecánico"/>
    <x v="1"/>
    <s v="Cerro Grande Central"/>
    <x v="0"/>
    <s v="NO"/>
    <n v="1.8900000000000001"/>
    <n v="0"/>
  </r>
  <r>
    <x v="299"/>
    <s v="CG-876"/>
    <x v="0"/>
    <s v="Espera Equipo Reparación"/>
    <s v="Bombeo Mecánico"/>
    <x v="5"/>
    <s v="Cerro Grande Central"/>
    <x v="1"/>
    <s v="NO"/>
    <n v="0.96600000000000008"/>
    <n v="0"/>
  </r>
  <r>
    <x v="300"/>
    <s v="CnE-1387"/>
    <x v="0"/>
    <s v="Produciendo"/>
    <s v="Bombeo Mecánico"/>
    <x v="1"/>
    <s v="Barranca Baya Bloque 30"/>
    <x v="0"/>
    <s v="NO"/>
    <n v="2.85"/>
    <n v="0"/>
  </r>
  <r>
    <x v="301"/>
    <s v="LH-1300"/>
    <x v="0"/>
    <s v="Produciendo"/>
    <s v="Bombeo Mecánico"/>
    <x v="1"/>
    <s v="Las Heras Bloque 2"/>
    <x v="0"/>
    <s v="NO"/>
    <n v="0.8"/>
    <n v="0"/>
  </r>
  <r>
    <x v="302"/>
    <s v="CnE-1433a"/>
    <x v="0"/>
    <s v="Produciendo"/>
    <s v="Bombeo Mecánico"/>
    <x v="1"/>
    <s v="Barranca Baya Bloque 30"/>
    <x v="0"/>
    <s v="NO"/>
    <n v="7.7"/>
    <n v="0"/>
  </r>
  <r>
    <x v="303"/>
    <s v="CG-804"/>
    <x v="0"/>
    <s v="Produciendo"/>
    <s v="Inyección"/>
    <x v="1"/>
    <s v="Barranca Baya Cerro Grande Noroeste"/>
    <x v="0"/>
    <s v="NO"/>
    <n v="0"/>
    <n v="0"/>
  </r>
  <r>
    <x v="304"/>
    <s v="CG-733"/>
    <x v="0"/>
    <s v="Produciendo"/>
    <s v="Bombeo Mecánico"/>
    <x v="1"/>
    <s v="Cerro Grande Noreste"/>
    <x v="0"/>
    <s v="NO"/>
    <n v="1.68"/>
    <n v="0"/>
  </r>
  <r>
    <x v="305"/>
    <s v="CnE-1119"/>
    <x v="0"/>
    <s v="Espera Equipo Reparación"/>
    <s v="No Posee"/>
    <x v="0"/>
    <s v="Barranca Baya Bloque 40"/>
    <x v="0"/>
    <s v="NO"/>
    <n v="0.45"/>
    <s v="Ultimos 6 meses"/>
  </r>
  <r>
    <x v="306"/>
    <s v="CnE-904a"/>
    <x v="0"/>
    <s v="Produciendo"/>
    <s v="Bombeo Mecánico"/>
    <x v="1"/>
    <s v="Barranca Baya Bloque 36"/>
    <x v="0"/>
    <s v="Oportunidad"/>
    <n v="0.14000000000000001"/>
    <n v="0"/>
  </r>
  <r>
    <x v="307"/>
    <s v="CnE-914a"/>
    <x v="0"/>
    <s v="Produciendo"/>
    <s v="Bombeo Mecánico"/>
    <x v="1"/>
    <s v="Barranca Baya Bloque 38"/>
    <x v="0"/>
    <s v="NO"/>
    <n v="1.0110000000000001"/>
    <n v="0"/>
  </r>
  <r>
    <x v="308"/>
    <s v="LH-1092a"/>
    <x v="0"/>
    <s v="Produciendo"/>
    <s v="Bombeo Mecánico"/>
    <x v="1"/>
    <s v="Las Heras Las Heras Bloque 3"/>
    <x v="0"/>
    <s v="NO"/>
    <n v="0.63"/>
    <n v="0"/>
  </r>
  <r>
    <x v="309"/>
    <s v="CnE.a-1343"/>
    <x v="0"/>
    <s v="Produciendo"/>
    <s v="Bombeo Mecánico"/>
    <x v="1"/>
    <s v="Barranca Baya Bloque 30"/>
    <x v="0"/>
    <s v="NO"/>
    <n v="2.56"/>
    <n v="0"/>
  </r>
  <r>
    <x v="310"/>
    <s v="CG-951"/>
    <x v="0"/>
    <s v="Produciendo"/>
    <s v="Bombeo Mecánico"/>
    <x v="1"/>
    <s v="Barranca Baya Bloque 26"/>
    <x v="0"/>
    <s v="NO"/>
    <n v="0.8"/>
    <n v="0"/>
  </r>
  <r>
    <x v="311"/>
    <s v="LH-1255"/>
    <x v="0"/>
    <s v="Produciendo"/>
    <s v="Bombeo Mecánico"/>
    <x v="1"/>
    <s v="Las Heras Las Heras Bloque 3"/>
    <x v="0"/>
    <s v="NO"/>
    <n v="0.71"/>
    <n v="0"/>
  </r>
  <r>
    <x v="312"/>
    <s v="BB-174"/>
    <x v="0"/>
    <s v="Produciendo"/>
    <s v="Bombeo Mecánico"/>
    <x v="1"/>
    <s v="Barranca Baya"/>
    <x v="0"/>
    <s v="NO"/>
    <n v="1.3050000000000002"/>
    <n v="0"/>
  </r>
  <r>
    <x v="313"/>
    <s v="O-200"/>
    <x v="0"/>
    <s v="Abandono Permanente"/>
    <s v="No Posee"/>
    <x v="3"/>
    <s v="Barranca Baya Bloque 36"/>
    <x v="0"/>
    <s v="NO"/>
    <s v="NO"/>
    <s v="NO"/>
  </r>
  <r>
    <x v="314"/>
    <s v="LH-89"/>
    <x v="0"/>
    <s v="Reserva Recuperación Secundaria"/>
    <s v="Inyección"/>
    <x v="4"/>
    <s v="Las Heras Bloque 2"/>
    <x v="0"/>
    <s v="NO"/>
    <n v="0"/>
    <n v="0"/>
  </r>
  <r>
    <x v="315"/>
    <s v="LH-208"/>
    <x v="0"/>
    <s v="Abandono Permanente"/>
    <s v="No Posee"/>
    <x v="3"/>
    <s v="Las Heras Bloque 2"/>
    <x v="0"/>
    <s v="NO"/>
    <s v="NO"/>
    <s v="NO"/>
  </r>
  <r>
    <x v="316"/>
    <s v="LH-575"/>
    <x v="0"/>
    <s v="Produciendo"/>
    <s v="Inyección"/>
    <x v="1"/>
    <s v="Las Heras Central Sur"/>
    <x v="0"/>
    <s v="NO"/>
    <n v="0"/>
    <n v="0"/>
  </r>
  <r>
    <x v="317"/>
    <s v="LH-636"/>
    <x v="0"/>
    <s v="Parado Alta Rap"/>
    <s v="Bombeo Mecánico"/>
    <x v="5"/>
    <s v="Las Heras Central Sur"/>
    <x v="1"/>
    <s v="NO"/>
    <n v="0.54"/>
    <n v="0"/>
  </r>
  <r>
    <x v="318"/>
    <s v="LH-647"/>
    <x v="0"/>
    <s v="Abandono Permanente"/>
    <s v="No Posee"/>
    <x v="3"/>
    <s v="Las Heras Bloque 2"/>
    <x v="0"/>
    <s v="NO"/>
    <n v="0"/>
    <n v="0"/>
  </r>
  <r>
    <x v="319"/>
    <s v="LH-680"/>
    <x v="0"/>
    <s v="En Estudio"/>
    <s v="No Posee"/>
    <x v="5"/>
    <s v="Las Heras Central Sur"/>
    <x v="1"/>
    <s v="NO"/>
    <n v="0.50800000000000001"/>
    <n v="0"/>
  </r>
  <r>
    <x v="320"/>
    <s v="LH-807"/>
    <x v="0"/>
    <s v="Abandono Permanente"/>
    <s v="No Posee"/>
    <x v="3"/>
    <s v="Las Heras Bloque 2"/>
    <x v="0"/>
    <s v="NO"/>
    <s v="NO"/>
    <s v="NO"/>
  </r>
  <r>
    <x v="321"/>
    <s v="LH-931"/>
    <x v="0"/>
    <s v="Produciendo"/>
    <s v="Bombeo Mecánico"/>
    <x v="1"/>
    <s v="Las Heras Central Sur"/>
    <x v="0"/>
    <s v="NO"/>
    <n v="1.335"/>
    <n v="0"/>
  </r>
  <r>
    <x v="322"/>
    <s v="CG-360"/>
    <x v="0"/>
    <s v="Espera Equipo Reparación"/>
    <s v="Bombeo Mecánico"/>
    <x v="5"/>
    <s v="Cerro Grande Central"/>
    <x v="1"/>
    <s v="NO"/>
    <n v="0.78200000000000003"/>
    <s v="Ultimo Año"/>
  </r>
  <r>
    <x v="323"/>
    <s v="CG-367"/>
    <x v="0"/>
    <s v="Reserva Recuperación Secundaria"/>
    <s v="No Posee"/>
    <x v="4"/>
    <s v="Barranca Baya Bloque 26"/>
    <x v="0"/>
    <s v="NO"/>
    <n v="0.44"/>
    <n v="0"/>
  </r>
  <r>
    <x v="324"/>
    <s v="CG-395"/>
    <x v="0"/>
    <s v="Espera Equipo Reparación"/>
    <s v="Bombeo Mecánico"/>
    <x v="5"/>
    <s v="Barranca Baya Bloque 26"/>
    <x v="1"/>
    <s v="NO"/>
    <n v="0.55000000000000004"/>
    <n v="0"/>
  </r>
  <r>
    <x v="325"/>
    <s v="CG-437"/>
    <x v="0"/>
    <s v="Reserva Recuperación Secundaria"/>
    <s v="Inyección"/>
    <x v="4"/>
    <s v="Barranca Baya Bloque 26"/>
    <x v="0"/>
    <s v="NO"/>
    <n v="0"/>
    <n v="0"/>
  </r>
  <r>
    <x v="326"/>
    <s v="CG-489"/>
    <x v="0"/>
    <s v="Produciendo"/>
    <s v="Bombeo Mecánico"/>
    <x v="1"/>
    <s v="Barranca Baya Cerro Grande Noroeste"/>
    <x v="0"/>
    <s v="Oportunidad"/>
    <n v="1.248"/>
    <n v="0"/>
  </r>
  <r>
    <x v="327"/>
    <s v="CnE-72"/>
    <x v="0"/>
    <s v="Reserva Recuperación Secundaria"/>
    <s v="Bombeo Mecánico"/>
    <x v="4"/>
    <s v="Barranca Baya Bloque 26"/>
    <x v="0"/>
    <s v="NO"/>
    <n v="0.16"/>
    <n v="0"/>
  </r>
  <r>
    <x v="328"/>
    <s v="CnE-123"/>
    <x v="0"/>
    <s v="Reserva Recuperación Secundaria"/>
    <s v="No Posee"/>
    <x v="4"/>
    <s v="Barranca Baya Bloque 30"/>
    <x v="0"/>
    <s v="NO"/>
    <s v="NO"/>
    <s v="NO"/>
  </r>
  <r>
    <x v="329"/>
    <s v="CnE-279"/>
    <x v="0"/>
    <s v="Produciendo"/>
    <s v="Bombeo Mecánico"/>
    <x v="1"/>
    <s v="Barranca Baya Bloque 40"/>
    <x v="0"/>
    <s v="NO"/>
    <n v="1.4000000000000001"/>
    <n v="0"/>
  </r>
  <r>
    <x v="330"/>
    <s v="CnE-397"/>
    <x v="0"/>
    <s v="Produciendo"/>
    <s v="Bombeo Mecánico"/>
    <x v="1"/>
    <s v="Barranca Baya Bloque 36"/>
    <x v="0"/>
    <s v="NO"/>
    <n v="0.54"/>
    <n v="0"/>
  </r>
  <r>
    <x v="331"/>
    <s v="CnE-427"/>
    <x v="0"/>
    <s v="Reserva Recuperación Secundaria"/>
    <s v="No Posee"/>
    <x v="4"/>
    <s v="Barranca Baya Bloque 30"/>
    <x v="0"/>
    <s v="NO"/>
    <n v="0.36"/>
    <n v="0"/>
  </r>
  <r>
    <x v="332"/>
    <s v="CnE-433"/>
    <x v="0"/>
    <s v="Reserva Recuperación Secundaria"/>
    <s v="No Posee"/>
    <x v="4"/>
    <s v="Barranca Baya Bloque 30"/>
    <x v="0"/>
    <s v="NO"/>
    <n v="0.75"/>
    <n v="0"/>
  </r>
  <r>
    <x v="333"/>
    <s v="CnE-470"/>
    <x v="0"/>
    <s v="En Estudio"/>
    <s v="Bombeo Mecánico"/>
    <x v="5"/>
    <s v="Barranca Baya Bloque 30"/>
    <x v="1"/>
    <s v="NO"/>
    <n v="0.78200000000000003"/>
    <n v="0"/>
  </r>
  <r>
    <x v="334"/>
    <s v="CnE-548"/>
    <x v="0"/>
    <s v="En Estudio"/>
    <s v="Pistoneo"/>
    <x v="5"/>
    <s v="Barranca Baya Bloque 37"/>
    <x v="1"/>
    <s v="NO"/>
    <n v="0.11"/>
    <n v="0"/>
  </r>
  <r>
    <x v="335"/>
    <s v="CnE-579"/>
    <x v="0"/>
    <s v="Produciendo"/>
    <s v="Inyección"/>
    <x v="1"/>
    <s v="Barranca Baya Bloque 37"/>
    <x v="0"/>
    <s v="NO"/>
    <n v="0"/>
    <n v="0"/>
  </r>
  <r>
    <x v="336"/>
    <s v="CnE-618"/>
    <x v="0"/>
    <s v="Produciendo"/>
    <s v="Inyección"/>
    <x v="1"/>
    <s v="Barranca Baya"/>
    <x v="0"/>
    <s v="NO"/>
    <n v="0"/>
    <n v="0"/>
  </r>
  <r>
    <x v="337"/>
    <s v="CnE-630"/>
    <x v="0"/>
    <s v="Produciendo"/>
    <s v="Bombeo Mecánico"/>
    <x v="1"/>
    <s v="Barranca Baya"/>
    <x v="0"/>
    <s v="NO"/>
    <n v="3.8000000000000003"/>
    <n v="0"/>
  </r>
  <r>
    <x v="338"/>
    <s v="CnE-756"/>
    <x v="0"/>
    <s v="Produciendo"/>
    <s v="Bombeo Mecánico"/>
    <x v="1"/>
    <s v="Barranca Baya Bloque 36"/>
    <x v="0"/>
    <s v="NO"/>
    <n v="1.1000000000000001"/>
    <n v="0"/>
  </r>
  <r>
    <x v="339"/>
    <s v="CnE-785"/>
    <x v="0"/>
    <s v="Produciendo"/>
    <s v="Inyección"/>
    <x v="1"/>
    <s v="Barranca Baya Bloque 38"/>
    <x v="0"/>
    <s v="NO"/>
    <n v="0"/>
    <n v="0"/>
  </r>
  <r>
    <x v="340"/>
    <s v="CnE-851"/>
    <x v="0"/>
    <s v="Reserva Recuperación Secundaria"/>
    <s v="Pistoneo"/>
    <x v="2"/>
    <s v="Barranca Baya Bloque 36"/>
    <x v="0"/>
    <s v="NO"/>
    <n v="0.01"/>
    <s v="Ultimo Año"/>
  </r>
  <r>
    <x v="341"/>
    <s v="BB-68"/>
    <x v="0"/>
    <s v="Abandono Permanente"/>
    <s v="No Posee"/>
    <x v="3"/>
    <s v="Barranca Baya"/>
    <x v="0"/>
    <s v="NO"/>
    <n v="0.81500000000000006"/>
    <n v="0"/>
  </r>
  <r>
    <x v="342"/>
    <s v="LH-492"/>
    <x v="0"/>
    <s v="Produciendo"/>
    <s v="Inyección"/>
    <x v="1"/>
    <s v="Las Heras Central Sur"/>
    <x v="0"/>
    <s v="NO"/>
    <n v="0"/>
    <n v="0"/>
  </r>
  <r>
    <x v="343"/>
    <s v="LH-255"/>
    <x v="0"/>
    <s v="Produciendo"/>
    <s v="Electro Sumergible"/>
    <x v="1"/>
    <s v="Las Heras Central Sur"/>
    <x v="0"/>
    <s v="NO"/>
    <n v="0.20200000000000001"/>
    <n v="0"/>
  </r>
  <r>
    <x v="344"/>
    <s v="CG-519"/>
    <x v="0"/>
    <s v="Produciendo"/>
    <s v="Bombeo Mecánico"/>
    <x v="1"/>
    <s v="Cerro Grande Central"/>
    <x v="0"/>
    <s v="NO"/>
    <n v="2.508"/>
    <n v="0"/>
  </r>
  <r>
    <x v="345"/>
    <s v="CG-110"/>
    <x v="0"/>
    <s v="Produciendo"/>
    <s v="Bombeo Mecánico"/>
    <x v="1"/>
    <s v="Barranca Baya Bloque 26"/>
    <x v="0"/>
    <s v="NO"/>
    <n v="0.18"/>
    <n v="0"/>
  </r>
  <r>
    <x v="346"/>
    <s v="O-201"/>
    <x v="0"/>
    <s v="Reserva Recuperación Secundaria"/>
    <s v="Inyección"/>
    <x v="4"/>
    <s v="Barranca Baya Bloque 40"/>
    <x v="0"/>
    <s v="NO"/>
    <n v="0"/>
    <n v="0"/>
  </r>
  <r>
    <x v="347"/>
    <s v="LH-146"/>
    <x v="0"/>
    <s v="Produciendo"/>
    <s v="Bombeo Mecánico"/>
    <x v="1"/>
    <s v="Las Heras Bloque 2"/>
    <x v="0"/>
    <s v="NO"/>
    <n v="1.33"/>
    <n v="0"/>
  </r>
  <r>
    <x v="348"/>
    <s v="LH-721"/>
    <x v="0"/>
    <s v="Produciendo"/>
    <s v="Bombeo Mecánico"/>
    <x v="1"/>
    <s v="Las Heras Central Sur"/>
    <x v="0"/>
    <s v="NO"/>
    <n v="1.1990000000000001"/>
    <n v="0"/>
  </r>
  <r>
    <x v="349"/>
    <s v="LH-771"/>
    <x v="0"/>
    <s v="Abandono Permanente"/>
    <s v="No Posee"/>
    <x v="3"/>
    <s v="Las Heras Las Heras Bloque 3"/>
    <x v="0"/>
    <s v="NO"/>
    <s v="NO"/>
    <s v="NO"/>
  </r>
  <r>
    <x v="350"/>
    <s v="LH-786"/>
    <x v="0"/>
    <s v="Abandono Permanente"/>
    <s v="No Posee"/>
    <x v="3"/>
    <s v="Las Heras Las Heras Bloque 3"/>
    <x v="0"/>
    <s v="NO"/>
    <n v="0.46500000000000002"/>
    <n v="0"/>
  </r>
  <r>
    <x v="351"/>
    <s v="CG-111"/>
    <x v="0"/>
    <s v="Produciendo"/>
    <s v="Bombeo Mecánico"/>
    <x v="1"/>
    <s v="Barranca Baya Bloque 26"/>
    <x v="0"/>
    <s v="NO"/>
    <n v="0.88"/>
    <n v="0"/>
  </r>
  <r>
    <x v="352"/>
    <s v="CG-153"/>
    <x v="0"/>
    <s v="Abandono Permanente"/>
    <s v="No Posee"/>
    <x v="3"/>
    <s v="Cerro Grande Noreste"/>
    <x v="0"/>
    <s v="NO"/>
    <n v="0.12"/>
    <n v="0"/>
  </r>
  <r>
    <x v="353"/>
    <s v="CG-240"/>
    <x v="0"/>
    <s v="Reserva Recuperación Secundaria"/>
    <s v="Bombeo Mecánico"/>
    <x v="4"/>
    <s v="Cerro Grande Central"/>
    <x v="0"/>
    <s v="NO"/>
    <n v="0.51"/>
    <n v="0"/>
  </r>
  <r>
    <x v="354"/>
    <s v="CG-306"/>
    <x v="0"/>
    <s v="Produciendo"/>
    <s v="Bombeo Mecánico"/>
    <x v="1"/>
    <s v="Cerro Grande Central"/>
    <x v="0"/>
    <s v="NO"/>
    <n v="0.375"/>
    <n v="0"/>
  </r>
  <r>
    <x v="355"/>
    <s v="CG-366"/>
    <x v="0"/>
    <s v="Reserva Recuperación Secundaria"/>
    <s v="Bombeo Mecánico"/>
    <x v="4"/>
    <s v="Barranca Baya Bloque 26"/>
    <x v="0"/>
    <s v="NO"/>
    <n v="0.72799999999999998"/>
    <n v="0"/>
  </r>
  <r>
    <x v="356"/>
    <s v="CG-368"/>
    <x v="0"/>
    <s v="Produciendo"/>
    <s v="Bombeo Mecánico"/>
    <x v="1"/>
    <s v="Cerro Grande Central"/>
    <x v="0"/>
    <s v="NO"/>
    <n v="1.3320000000000001"/>
    <n v="0"/>
  </r>
  <r>
    <x v="357"/>
    <s v="CG-399"/>
    <x v="0"/>
    <s v="Reserva Recuperación Secundaria"/>
    <s v="No Posee"/>
    <x v="4"/>
    <s v="Cerro Grande Central"/>
    <x v="0"/>
    <s v="NO"/>
    <n v="0.98"/>
    <n v="0"/>
  </r>
  <r>
    <x v="358"/>
    <s v="CG-464"/>
    <x v="0"/>
    <s v="Reserva Recuperación Secundaria"/>
    <s v="No Posee"/>
    <x v="4"/>
    <s v="Cerro Grande Central"/>
    <x v="0"/>
    <s v="NO"/>
    <s v="NO"/>
    <s v="NO"/>
  </r>
  <r>
    <x v="359"/>
    <s v="CG-516"/>
    <x v="0"/>
    <s v="Reserva Recuperación Secundaria"/>
    <s v="No Posee"/>
    <x v="4"/>
    <s v="Barranca Baya Las Heras Bloque 3"/>
    <x v="0"/>
    <s v="NO"/>
    <s v="NO"/>
    <s v="NO"/>
  </r>
  <r>
    <x v="360"/>
    <s v="CnE-8"/>
    <x v="0"/>
    <s v="Parado Alta Rap"/>
    <s v="Bombeo Mecánico"/>
    <x v="5"/>
    <s v="Barranca Baya Bloque 36"/>
    <x v="1"/>
    <s v="NO"/>
    <n v="0.76"/>
    <n v="0"/>
  </r>
  <r>
    <x v="361"/>
    <s v="CnE-310"/>
    <x v="0"/>
    <s v="Produciendo"/>
    <s v="Inyección"/>
    <x v="1"/>
    <s v="Barranca Baya Bloque 30"/>
    <x v="0"/>
    <s v="NO"/>
    <n v="0"/>
    <n v="0"/>
  </r>
  <r>
    <x v="362"/>
    <s v="CnE-330"/>
    <x v="0"/>
    <s v="Produciendo"/>
    <s v="Inyección"/>
    <x v="1"/>
    <s v="Barranca Baya Bloque 36"/>
    <x v="0"/>
    <s v="NO"/>
    <n v="0"/>
    <n v="0"/>
  </r>
  <r>
    <x v="363"/>
    <s v="CnE-346"/>
    <x v="0"/>
    <s v="Parado Alta Rap"/>
    <s v="Bombeo Mecánico"/>
    <x v="5"/>
    <s v="Barranca Baya Bloque 36"/>
    <x v="1"/>
    <s v="NO"/>
    <n v="0.3"/>
    <n v="0"/>
  </r>
  <r>
    <x v="364"/>
    <s v="CnE-403"/>
    <x v="0"/>
    <s v="Abandono Permanente"/>
    <s v="No Posee"/>
    <x v="3"/>
    <s v="Barranca Baya Bloque 36"/>
    <x v="0"/>
    <s v="NO"/>
    <n v="0.4"/>
    <n v="0"/>
  </r>
  <r>
    <x v="365"/>
    <s v="CnE-563"/>
    <x v="0"/>
    <s v="Espera Equipo Reparación"/>
    <s v="Bombeo Mecánico"/>
    <x v="5"/>
    <s v="Barranca Baya"/>
    <x v="1"/>
    <s v="NO"/>
    <n v="1.0640000000000001"/>
    <n v="0"/>
  </r>
  <r>
    <x v="366"/>
    <s v="CnE-586"/>
    <x v="0"/>
    <s v="Produciendo"/>
    <s v="Pistoneo"/>
    <x v="1"/>
    <s v="Barranca Baya Bloque 37"/>
    <x v="0"/>
    <s v="NO"/>
    <n v="0.28800000000000003"/>
    <n v="0"/>
  </r>
  <r>
    <x v="367"/>
    <s v="CnE-596"/>
    <x v="0"/>
    <s v="Reserva Recuperación Secundaria"/>
    <s v="Inyección"/>
    <x v="4"/>
    <s v="Barranca Baya Bloque 36"/>
    <x v="0"/>
    <s v="NO"/>
    <n v="0"/>
    <n v="0"/>
  </r>
  <r>
    <x v="368"/>
    <s v="CnE-660"/>
    <x v="0"/>
    <s v="Produciendo"/>
    <s v="Pistoneo"/>
    <x v="1"/>
    <s v="Barranca Baya Bloque 38"/>
    <x v="0"/>
    <s v="NO"/>
    <n v="0.115"/>
    <n v="0"/>
  </r>
  <r>
    <x v="369"/>
    <s v="CnE-667"/>
    <x v="0"/>
    <s v="En Estudio"/>
    <s v="Inyección"/>
    <x v="5"/>
    <s v="Barranca Baya Bloque 37"/>
    <x v="1"/>
    <s v="NO"/>
    <n v="0"/>
    <n v="0"/>
  </r>
  <r>
    <x v="370"/>
    <s v="CnE-680"/>
    <x v="0"/>
    <s v="Parado Alta Rap"/>
    <s v="Bombeo Mecánico"/>
    <x v="5"/>
    <s v="Barranca Baya Bloque 37"/>
    <x v="1"/>
    <s v="NO"/>
    <n v="0.28000000000000003"/>
    <n v="0"/>
  </r>
  <r>
    <x v="371"/>
    <s v="CnE-682"/>
    <x v="0"/>
    <s v="Produciendo"/>
    <s v="Bombeo Mecánico"/>
    <x v="1"/>
    <s v="Barranca Baya Bloque 37"/>
    <x v="0"/>
    <s v="NO"/>
    <n v="0.46"/>
    <n v="0"/>
  </r>
  <r>
    <x v="372"/>
    <s v="CnE-713"/>
    <x v="0"/>
    <s v="Produciendo"/>
    <s v="Bombeo Mecánico"/>
    <x v="1"/>
    <s v="Barranca Baya Bloque 37"/>
    <x v="0"/>
    <s v="NO"/>
    <n v="1.44"/>
    <n v="0"/>
  </r>
  <r>
    <x v="373"/>
    <s v="CnE-769"/>
    <x v="0"/>
    <s v="En Estudio"/>
    <s v="Bombeo Mecánico"/>
    <x v="6"/>
    <s v="Barranca Baya Bloque 36"/>
    <x v="0"/>
    <s v="Oportunidad"/>
    <n v="1.75"/>
    <s v="Ultimos 6 meses"/>
  </r>
  <r>
    <x v="374"/>
    <s v="BB-29"/>
    <x v="0"/>
    <s v="En Estudio"/>
    <s v="Bombeo Mecánico"/>
    <x v="5"/>
    <s v="Barranca Baya"/>
    <x v="1"/>
    <s v="NO"/>
    <n v="1.1200000000000001"/>
    <n v="0"/>
  </r>
  <r>
    <x v="375"/>
    <s v="LH-170"/>
    <x v="0"/>
    <s v="Abandono Permanente"/>
    <s v="No Posee"/>
    <x v="3"/>
    <s v="Las Heras Las Heras Bloque 3"/>
    <x v="0"/>
    <s v="NO"/>
    <s v="NO"/>
    <s v="NO"/>
  </r>
  <r>
    <x v="376"/>
    <s v="LH-541"/>
    <x v="0"/>
    <s v="Abandono Permanente"/>
    <s v="No Posee"/>
    <x v="3"/>
    <s v="Las Heras Central Sur"/>
    <x v="0"/>
    <s v="NO"/>
    <s v="NO"/>
    <s v="NO"/>
  </r>
  <r>
    <x v="377"/>
    <s v="CG-7"/>
    <x v="0"/>
    <s v="Produciendo"/>
    <s v="Cavidad Progresiva"/>
    <x v="1"/>
    <s v="Barranca Baya Cerro Grande Noroeste"/>
    <x v="0"/>
    <s v="NO"/>
    <n v="1.9240000000000002"/>
    <n v="0"/>
  </r>
  <r>
    <x v="378"/>
    <s v="CnE-888a"/>
    <x v="0"/>
    <s v="Produciendo"/>
    <s v="Electro Sumergible"/>
    <x v="1"/>
    <s v="Barranca Baya Bloque 30"/>
    <x v="0"/>
    <s v="NO"/>
    <n v="0.9"/>
    <n v="0"/>
  </r>
  <r>
    <x v="379"/>
    <s v="CG-557a"/>
    <x v="0"/>
    <s v="Produciendo"/>
    <s v="Bombeo Mecánico"/>
    <x v="1"/>
    <s v="Cerro Grande Central"/>
    <x v="0"/>
    <s v="NO"/>
    <n v="1.5"/>
    <n v="0"/>
  </r>
  <r>
    <x v="380"/>
    <s v="CnE-941a"/>
    <x v="0"/>
    <s v="Produciendo"/>
    <s v="Bombeo Mecánico"/>
    <x v="1"/>
    <s v="Barranca Baya Bloque 26"/>
    <x v="0"/>
    <s v="NO"/>
    <n v="2.2000000000000002"/>
    <n v="0"/>
  </r>
  <r>
    <x v="381"/>
    <s v="LH-1161a"/>
    <x v="0"/>
    <s v="Produciendo"/>
    <s v="Bombeo Mecánico"/>
    <x v="1"/>
    <s v="Las Heras Bloque 2"/>
    <x v="0"/>
    <s v="NO"/>
    <n v="0.60899999999999999"/>
    <n v="0"/>
  </r>
  <r>
    <x v="382"/>
    <s v="CG-618"/>
    <x v="0"/>
    <s v="Produciendo"/>
    <s v="Electro Sumergible"/>
    <x v="1"/>
    <s v="Cerro Grande Central"/>
    <x v="0"/>
    <s v="NO"/>
    <n v="0.51900000000000002"/>
    <n v="0"/>
  </r>
  <r>
    <x v="383"/>
    <s v="CG-642"/>
    <x v="0"/>
    <s v="Produciendo"/>
    <s v="Bombeo Mecánico"/>
    <x v="1"/>
    <s v="Cerro Grande Central"/>
    <x v="0"/>
    <s v="NO"/>
    <n v="0.29799999999999999"/>
    <n v="0"/>
  </r>
  <r>
    <x v="384"/>
    <s v="CG-787"/>
    <x v="0"/>
    <s v="Produciendo"/>
    <s v="Bombeo Mecánico"/>
    <x v="1"/>
    <s v="Cerro Grande Central"/>
    <x v="0"/>
    <s v="NO"/>
    <n v="2.42"/>
    <n v="0"/>
  </r>
  <r>
    <x v="385"/>
    <s v="O-111"/>
    <x v="0"/>
    <s v="Abandono Permanente"/>
    <s v="No Posee"/>
    <x v="3"/>
    <s v="Barranca Baya"/>
    <x v="0"/>
    <s v="NO"/>
    <s v="NO"/>
    <s v="NO"/>
  </r>
  <r>
    <x v="386"/>
    <s v="LH-129"/>
    <x v="0"/>
    <s v="Reserva Recuperación Secundaria"/>
    <s v="Bombeo Mecánico"/>
    <x v="4"/>
    <s v="Las Heras Las Heras Bloque 3"/>
    <x v="0"/>
    <s v="NO"/>
    <n v="0.24500000000000002"/>
    <n v="0"/>
  </r>
  <r>
    <x v="387"/>
    <s v="LH-620"/>
    <x v="0"/>
    <s v="Reserva Recuperación Secundaria"/>
    <s v="Pistoneo"/>
    <x v="4"/>
    <s v="Las Heras Central Sur"/>
    <x v="0"/>
    <s v="NO"/>
    <n v="0.14100000000000001"/>
    <n v="0"/>
  </r>
  <r>
    <x v="388"/>
    <s v="LH-625"/>
    <x v="0"/>
    <s v="Produciendo"/>
    <s v="Bombeo Mecánico"/>
    <x v="1"/>
    <s v="Las Heras Central Sur"/>
    <x v="0"/>
    <s v="NO"/>
    <n v="1.0230000000000001"/>
    <n v="0"/>
  </r>
  <r>
    <x v="389"/>
    <s v="LH-629"/>
    <x v="0"/>
    <s v="Produciendo"/>
    <s v="Inyección"/>
    <x v="1"/>
    <s v="Las Heras Central Sur"/>
    <x v="0"/>
    <s v="NO"/>
    <n v="0"/>
    <n v="0"/>
  </r>
  <r>
    <x v="390"/>
    <s v="CG-63"/>
    <x v="0"/>
    <s v="Produciendo"/>
    <s v="Inyección"/>
    <x v="1"/>
    <s v="Barranca Baya Cerro Grande Noroeste"/>
    <x v="0"/>
    <s v="Oportunidad"/>
    <n v="0"/>
    <n v="0"/>
  </r>
  <r>
    <x v="391"/>
    <s v="CG-159"/>
    <x v="0"/>
    <s v="Reserva Recuperación Secundaria"/>
    <s v="Inyección"/>
    <x v="4"/>
    <s v="Barranca Baya Bloque 26"/>
    <x v="0"/>
    <s v="NO"/>
    <n v="0"/>
    <n v="0"/>
  </r>
  <r>
    <x v="392"/>
    <s v="CG-247"/>
    <x v="0"/>
    <s v="Produciendo"/>
    <s v="Bombeo Mecánico"/>
    <x v="1"/>
    <s v="Barranca Baya Cerro Grande Norte"/>
    <x v="0"/>
    <s v="NO"/>
    <n v="1.6"/>
    <n v="0"/>
  </r>
  <r>
    <x v="393"/>
    <s v="CG-277"/>
    <x v="0"/>
    <s v="Produciendo"/>
    <s v="Bombeo Mecánico"/>
    <x v="1"/>
    <s v="Cerro Grande Central"/>
    <x v="0"/>
    <s v="NO"/>
    <n v="1.02"/>
    <n v="0"/>
  </r>
  <r>
    <x v="394"/>
    <s v="CG-318"/>
    <x v="0"/>
    <s v="Produciendo"/>
    <s v="Bombeo Mecánico"/>
    <x v="1"/>
    <s v="Cerro Grande Central"/>
    <x v="0"/>
    <s v="NO"/>
    <n v="2.67"/>
    <n v="0"/>
  </r>
  <r>
    <x v="395"/>
    <s v="CG-356"/>
    <x v="0"/>
    <s v="Espera Equipo Reparación"/>
    <s v="Inyección"/>
    <x v="4"/>
    <s v="Cerro Grande Central"/>
    <x v="0"/>
    <s v="NO"/>
    <n v="0"/>
    <n v="0"/>
  </r>
  <r>
    <x v="396"/>
    <s v="CG-480"/>
    <x v="0"/>
    <s v="Reserva Recuperación Secundaria"/>
    <s v="No Posee"/>
    <x v="4"/>
    <s v="Barranca Baya Cerro Grande Noroeste"/>
    <x v="0"/>
    <s v="NO"/>
    <n v="0.72"/>
    <n v="0"/>
  </r>
  <r>
    <x v="397"/>
    <s v="BB-58"/>
    <x v="0"/>
    <s v="Abandono Permanente"/>
    <s v="No Posee"/>
    <x v="3"/>
    <s v="Barranca Baya"/>
    <x v="0"/>
    <s v="NO"/>
    <n v="2E-3"/>
    <n v="0"/>
  </r>
  <r>
    <x v="398"/>
    <s v="BB-78"/>
    <x v="0"/>
    <s v="Abandono Permanente"/>
    <s v="No Posee"/>
    <x v="3"/>
    <s v="Barranca Baya"/>
    <x v="0"/>
    <s v="NO"/>
    <s v="NO"/>
    <s v="NO"/>
  </r>
  <r>
    <x v="399"/>
    <s v="CnE-30"/>
    <x v="0"/>
    <s v="Produciendo"/>
    <s v="Bombeo Mecánico"/>
    <x v="1"/>
    <s v="Barranca Baya Bloque 26"/>
    <x v="0"/>
    <s v="NO"/>
    <n v="2.58"/>
    <n v="0"/>
  </r>
  <r>
    <x v="400"/>
    <s v="CnE-117"/>
    <x v="0"/>
    <s v="Produciendo"/>
    <s v="Inyección"/>
    <x v="1"/>
    <s v="Barranca Baya Bloque 38"/>
    <x v="0"/>
    <s v="NO"/>
    <n v="0"/>
    <n v="0"/>
  </r>
  <r>
    <x v="401"/>
    <s v="CG-492"/>
    <x v="0"/>
    <s v="Produciendo"/>
    <s v="Inyección"/>
    <x v="1"/>
    <s v="Barranca Baya Cerro Grande Noroeste"/>
    <x v="0"/>
    <s v="NO"/>
    <n v="0"/>
    <n v="0"/>
  </r>
  <r>
    <x v="402"/>
    <s v="LH-46"/>
    <x v="0"/>
    <s v="Produciendo"/>
    <s v="Pistoneo"/>
    <x v="1"/>
    <s v="Las Heras Las Heras Bloque 3"/>
    <x v="0"/>
    <s v="NO"/>
    <n v="0.28800000000000003"/>
    <n v="0"/>
  </r>
  <r>
    <x v="403"/>
    <s v="LH-50"/>
    <x v="0"/>
    <s v="Produciendo"/>
    <s v="Bombeo Mecánico"/>
    <x v="1"/>
    <s v="Las Heras Las Heras Bloque 3"/>
    <x v="0"/>
    <s v="NO"/>
    <n v="0.73"/>
    <n v="0"/>
  </r>
  <r>
    <x v="404"/>
    <s v="CnE-476"/>
    <x v="0"/>
    <s v="Abandono Permanente"/>
    <s v="No Posee"/>
    <x v="3"/>
    <s v="Barranca Baya Bloque 37"/>
    <x v="0"/>
    <s v="NO"/>
    <s v="NO"/>
    <s v="NO"/>
  </r>
  <r>
    <x v="405"/>
    <s v="LH-435"/>
    <x v="0"/>
    <s v="En Estudio"/>
    <s v="Cavidad Progresiva"/>
    <x v="5"/>
    <s v="Las Heras Central Sur"/>
    <x v="1"/>
    <s v="NO"/>
    <n v="0.53900000000000003"/>
    <n v="0"/>
  </r>
  <r>
    <x v="406"/>
    <s v="LH-235"/>
    <x v="0"/>
    <s v="Abandono Permanente"/>
    <s v="No Posee"/>
    <x v="3"/>
    <s v="Las Heras Bloque 2"/>
    <x v="0"/>
    <s v="NO"/>
    <s v="NO"/>
    <s v="NO"/>
  </r>
  <r>
    <x v="407"/>
    <s v="CG-129"/>
    <x v="0"/>
    <s v="Produciendo"/>
    <s v="Bombeo Mecánico"/>
    <x v="1"/>
    <s v="Cerro Grande Central"/>
    <x v="0"/>
    <s v="NO"/>
    <n v="1.302"/>
    <n v="0"/>
  </r>
  <r>
    <x v="408"/>
    <s v="CG-154"/>
    <x v="0"/>
    <s v="En Estudio"/>
    <s v="Bombeo Mecánico"/>
    <x v="5"/>
    <s v="Cerro Grande Central"/>
    <x v="1"/>
    <s v="NO"/>
    <n v="0.748"/>
    <n v="0"/>
  </r>
  <r>
    <x v="409"/>
    <s v="CG-77"/>
    <x v="0"/>
    <s v="Reserva Recuperación Secundaria"/>
    <s v="No Posee"/>
    <x v="4"/>
    <s v="Barranca Baya Bloque 26"/>
    <x v="0"/>
    <s v="NO"/>
    <n v="0.158"/>
    <n v="0"/>
  </r>
  <r>
    <x v="410"/>
    <s v="LH-76"/>
    <x v="0"/>
    <s v="Produciendo"/>
    <s v="Cavidad Progresiva"/>
    <x v="1"/>
    <s v="Las Heras Cerro Grande Sur"/>
    <x v="0"/>
    <s v="NO"/>
    <n v="3.3000000000000003"/>
    <n v="0"/>
  </r>
  <r>
    <x v="411"/>
    <s v="LH-55"/>
    <x v="0"/>
    <s v="Abandono Permanente"/>
    <s v="No Posee"/>
    <x v="3"/>
    <s v="Las Heras Las Heras Bloque 3"/>
    <x v="0"/>
    <s v="NO"/>
    <s v="NO"/>
    <s v="NO"/>
  </r>
  <r>
    <x v="412"/>
    <s v="LH-193"/>
    <x v="0"/>
    <s v="Espera Equipo Reparación"/>
    <s v="Cavidad Progresiva"/>
    <x v="5"/>
    <s v="Las Heras Cerro Grande Sur"/>
    <x v="1"/>
    <s v="NO"/>
    <n v="1.44"/>
    <n v="0"/>
  </r>
  <r>
    <x v="413"/>
    <s v="LH-570"/>
    <x v="0"/>
    <s v="Reserva Recuperación Secundaria"/>
    <s v="Pistoneo"/>
    <x v="4"/>
    <s v="Las Heras Central Sur"/>
    <x v="0"/>
    <s v="NO"/>
    <n v="9.7000000000000003E-2"/>
    <n v="0"/>
  </r>
  <r>
    <x v="414"/>
    <s v="LH-689"/>
    <x v="0"/>
    <s v="A Abandonar Por Razones Técnicas"/>
    <s v="Inyección"/>
    <x v="5"/>
    <s v="Las Heras Central Sur"/>
    <x v="1"/>
    <s v="NO"/>
    <n v="0"/>
    <n v="0"/>
  </r>
  <r>
    <x v="415"/>
    <s v="LH-816"/>
    <x v="0"/>
    <s v="Reserva Recuperación Secundaria"/>
    <s v="No Posee"/>
    <x v="4"/>
    <s v="Las Heras Bloque 2"/>
    <x v="0"/>
    <s v="NO"/>
    <n v="0.184"/>
    <n v="0"/>
  </r>
  <r>
    <x v="416"/>
    <s v="CG-86"/>
    <x v="0"/>
    <s v="Reserva Recuperación Secundaria"/>
    <s v="Inyección"/>
    <x v="4"/>
    <s v="Barranca Baya Bloque 26"/>
    <x v="0"/>
    <s v="NO"/>
    <n v="0"/>
    <n v="0"/>
  </r>
  <r>
    <x v="417"/>
    <s v="CG-142"/>
    <x v="0"/>
    <s v="Produciendo"/>
    <s v="Bombeo Mecánico"/>
    <x v="1"/>
    <s v="Cerro Grande Central"/>
    <x v="0"/>
    <s v="NO"/>
    <n v="1.0880000000000001"/>
    <n v="0"/>
  </r>
  <r>
    <x v="418"/>
    <s v="CG-168"/>
    <x v="0"/>
    <s v="Reserva Recuperación Secundaria"/>
    <s v="No Posee"/>
    <x v="4"/>
    <s v="Cerro Grande Central"/>
    <x v="0"/>
    <s v="NO"/>
    <n v="0"/>
    <n v="0"/>
  </r>
  <r>
    <x v="419"/>
    <s v="CG-237"/>
    <x v="0"/>
    <s v="Produciendo"/>
    <s v="Inyección"/>
    <x v="1"/>
    <s v="Cerro Grande Central"/>
    <x v="0"/>
    <s v="NO"/>
    <n v="0"/>
    <n v="0"/>
  </r>
  <r>
    <x v="420"/>
    <s v="CG-302"/>
    <x v="0"/>
    <s v="Produciendo"/>
    <s v="Bombeo Mecánico"/>
    <x v="1"/>
    <s v="Cerro Grande Central"/>
    <x v="0"/>
    <s v="NO"/>
    <n v="1.26"/>
    <n v="0"/>
  </r>
  <r>
    <x v="421"/>
    <s v="CG-462"/>
    <x v="0"/>
    <s v="Reserva Recuperación Secundaria"/>
    <s v="No Posee"/>
    <x v="4"/>
    <s v="Barranca Baya Bloque 26"/>
    <x v="0"/>
    <s v="NO"/>
    <n v="0.70000000000000007"/>
    <n v="0"/>
  </r>
  <r>
    <x v="422"/>
    <s v="CG-503"/>
    <x v="0"/>
    <s v="En Estudio"/>
    <s v="Inyección"/>
    <x v="5"/>
    <s v="Barranca Baya Las Heras Bloque 3"/>
    <x v="1"/>
    <s v="NO"/>
    <n v="0"/>
    <n v="0"/>
  </r>
  <r>
    <x v="423"/>
    <s v="CnE-212"/>
    <x v="0"/>
    <s v="Espera Equipo Reparación"/>
    <s v="No Posee"/>
    <x v="4"/>
    <s v="Barranca Baya Bloque 30"/>
    <x v="0"/>
    <s v="NO"/>
    <n v="0"/>
    <n v="0"/>
  </r>
  <r>
    <x v="424"/>
    <s v="CnE-214"/>
    <x v="0"/>
    <s v="Produciendo"/>
    <s v="Inyección"/>
    <x v="1"/>
    <s v="Barranca Baya Bloque 30"/>
    <x v="0"/>
    <s v="NO"/>
    <n v="0"/>
    <n v="0"/>
  </r>
  <r>
    <x v="425"/>
    <s v="CnE-353"/>
    <x v="0"/>
    <s v="Produciendo"/>
    <s v="Inyección"/>
    <x v="1"/>
    <s v="Barranca Baya Bloque 36"/>
    <x v="0"/>
    <s v="NO"/>
    <n v="0"/>
    <n v="0"/>
  </r>
  <r>
    <x v="426"/>
    <s v="CnE-391"/>
    <x v="0"/>
    <s v="Produciendo"/>
    <s v="Bombeo Mecánico"/>
    <x v="1"/>
    <s v="Barranca Baya Bloque 36"/>
    <x v="0"/>
    <s v="NO"/>
    <n v="0.40800000000000003"/>
    <n v="0"/>
  </r>
  <r>
    <x v="427"/>
    <s v="CnE-404"/>
    <x v="0"/>
    <s v="Produciendo"/>
    <s v="Bombeo Mecánico"/>
    <x v="1"/>
    <s v="Barranca Baya Bloque 36"/>
    <x v="0"/>
    <s v="NO"/>
    <n v="0.76"/>
    <n v="0"/>
  </r>
  <r>
    <x v="428"/>
    <s v="CnE-411"/>
    <x v="0"/>
    <s v="Produciendo"/>
    <s v="Bombeo Mecánico"/>
    <x v="1"/>
    <s v="Barranca Baya Bloque 36"/>
    <x v="0"/>
    <s v="NO"/>
    <n v="0.27300000000000002"/>
    <n v="0"/>
  </r>
  <r>
    <x v="429"/>
    <s v="CnE-444"/>
    <x v="0"/>
    <s v="Produciendo"/>
    <s v="Bombeo Mecánico"/>
    <x v="1"/>
    <s v="Barranca Baya Bloque 36"/>
    <x v="0"/>
    <s v="NO"/>
    <n v="1.5960000000000001"/>
    <n v="0"/>
  </r>
  <r>
    <x v="430"/>
    <s v="CnE-462"/>
    <x v="0"/>
    <s v="Produciendo"/>
    <s v="Pistoneo"/>
    <x v="1"/>
    <s v="Barranca Baya Bloque 38"/>
    <x v="0"/>
    <s v="NO"/>
    <n v="9.5000000000000001E-2"/>
    <n v="0"/>
  </r>
  <r>
    <x v="431"/>
    <s v="CnE-551"/>
    <x v="0"/>
    <s v="En Estudio"/>
    <s v="Bombeo Mecánico"/>
    <x v="5"/>
    <s v="Barranca Baya"/>
    <x v="1"/>
    <s v="NO"/>
    <n v="0.45"/>
    <n v="0"/>
  </r>
  <r>
    <x v="432"/>
    <s v="CnE-576"/>
    <x v="0"/>
    <s v="Espera Equipo Reparación"/>
    <s v="Pistoneo"/>
    <x v="8"/>
    <s v="Barranca Baya"/>
    <x v="1"/>
    <s v="Oportunidad"/>
    <n v="9.6000000000000002E-2"/>
    <s v="Ultimo Año"/>
  </r>
  <r>
    <x v="433"/>
    <s v="CnE-627"/>
    <x v="0"/>
    <s v="Produciendo"/>
    <s v="Bombeo Mecánico"/>
    <x v="1"/>
    <s v="Barranca Baya"/>
    <x v="0"/>
    <s v="NO"/>
    <n v="2.839"/>
    <n v="0"/>
  </r>
  <r>
    <x v="434"/>
    <s v="CnE-733"/>
    <x v="0"/>
    <s v="Produciendo"/>
    <s v="Bombeo Mecánico"/>
    <x v="1"/>
    <s v="Barranca Baya Bloque 37"/>
    <x v="0"/>
    <s v="NO"/>
    <n v="1.24"/>
    <n v="0"/>
  </r>
  <r>
    <x v="435"/>
    <s v="BB-11"/>
    <x v="0"/>
    <s v="Produciendo"/>
    <s v="Inyección"/>
    <x v="1"/>
    <s v="Barranca Baya"/>
    <x v="0"/>
    <s v="NO"/>
    <n v="0"/>
    <n v="0"/>
  </r>
  <r>
    <x v="436"/>
    <s v="BB-93"/>
    <x v="0"/>
    <s v="Espera Equipo Reparación"/>
    <s v="Inyección"/>
    <x v="5"/>
    <s v="Barranca Baya"/>
    <x v="1"/>
    <s v="NO"/>
    <n v="0"/>
    <n v="0"/>
  </r>
  <r>
    <x v="437"/>
    <s v="BB-98"/>
    <x v="0"/>
    <s v="Reserva Recuperación Secundaria"/>
    <s v="Inyección"/>
    <x v="4"/>
    <s v="Barranca Baya"/>
    <x v="0"/>
    <s v="NO"/>
    <n v="0"/>
    <n v="0"/>
  </r>
  <r>
    <x v="438"/>
    <s v="LHS-2"/>
    <x v="0"/>
    <s v="Abandono Permanente"/>
    <s v="No Posee"/>
    <x v="3"/>
    <s v="Las Heras Bloque 2"/>
    <x v="0"/>
    <s v="NO"/>
    <s v="NO"/>
    <s v="NO"/>
  </r>
  <r>
    <x v="439"/>
    <s v="LH-287"/>
    <x v="0"/>
    <s v="Abandono Permanente"/>
    <s v="No Posee"/>
    <x v="3"/>
    <s v="Las Heras Central Sur"/>
    <x v="0"/>
    <s v="NO"/>
    <n v="0.19"/>
    <n v="0"/>
  </r>
  <r>
    <x v="440"/>
    <s v="LH-120"/>
    <x v="0"/>
    <s v="Abandono Permanente"/>
    <s v="No Posee"/>
    <x v="3"/>
    <s v="Las Heras Las Heras Bloque 3"/>
    <x v="0"/>
    <s v="NO"/>
    <n v="0.14000000000000001"/>
    <n v="0"/>
  </r>
  <r>
    <x v="441"/>
    <s v="CG-80"/>
    <x v="0"/>
    <s v="Abandono Permanente"/>
    <s v="No Posee"/>
    <x v="3"/>
    <s v="Cerro Grande Noreste"/>
    <x v="0"/>
    <s v="NO"/>
    <n v="0.16700000000000001"/>
    <n v="0"/>
  </r>
  <r>
    <x v="442"/>
    <s v="CG-106"/>
    <x v="0"/>
    <s v="En Reserva De Gas"/>
    <s v="No Posee"/>
    <x v="1"/>
    <s v="Barranca Baya Bloque 26"/>
    <x v="0"/>
    <s v="Oportunidad"/>
    <n v="0"/>
    <n v="0"/>
  </r>
  <r>
    <x v="443"/>
    <s v="LH-996a"/>
    <x v="0"/>
    <s v="Produciendo"/>
    <s v="Bombeo Mecánico"/>
    <x v="1"/>
    <s v="Las Heras Central Sur"/>
    <x v="0"/>
    <s v="NO"/>
    <n v="0.90100000000000002"/>
    <n v="0"/>
  </r>
  <r>
    <x v="444"/>
    <s v="LH-1013a"/>
    <x v="0"/>
    <s v="Produciendo"/>
    <s v="Bombeo Mecánico"/>
    <x v="1"/>
    <s v="Las Heras Las Heras Bloque 3"/>
    <x v="0"/>
    <s v="NO"/>
    <n v="1.085"/>
    <n v="0"/>
  </r>
  <r>
    <x v="445"/>
    <s v="LH-1006a"/>
    <x v="0"/>
    <s v="Reserva Recuperación Secundaria"/>
    <s v="No Posee"/>
    <x v="4"/>
    <s v="Las Heras Central Sur"/>
    <x v="0"/>
    <s v="NO"/>
    <n v="0.81"/>
    <n v="0"/>
  </r>
  <r>
    <x v="446"/>
    <s v="CnE-895a"/>
    <x v="0"/>
    <s v="Produciendo"/>
    <s v="Bombeo Mecánico"/>
    <x v="1"/>
    <s v="Barranca Baya Bloque 30"/>
    <x v="0"/>
    <s v="NO"/>
    <n v="2.52"/>
    <n v="0"/>
  </r>
  <r>
    <x v="447"/>
    <s v="LH-1046a"/>
    <x v="0"/>
    <s v="Produciendo"/>
    <s v="Pistoneo"/>
    <x v="1"/>
    <s v="Las Heras Bloque 2"/>
    <x v="0"/>
    <s v="NO"/>
    <n v="0.10400000000000001"/>
    <n v="0"/>
  </r>
  <r>
    <x v="448"/>
    <s v="CnE-873a"/>
    <x v="0"/>
    <s v="Produciendo"/>
    <s v="Inyección"/>
    <x v="1"/>
    <s v="Barranca Baya Bloque 30"/>
    <x v="0"/>
    <s v="NO"/>
    <n v="0"/>
    <n v="0"/>
  </r>
  <r>
    <x v="449"/>
    <s v="LH-1081a"/>
    <x v="0"/>
    <s v="Produciendo"/>
    <s v="Bombeo Mecánico"/>
    <x v="1"/>
    <s v="Las Heras Central Sur"/>
    <x v="0"/>
    <s v="NO"/>
    <n v="1.044"/>
    <n v="0"/>
  </r>
  <r>
    <x v="450"/>
    <s v="CG-537a"/>
    <x v="0"/>
    <s v="Produciendo"/>
    <s v="Bombeo Mecánico"/>
    <x v="1"/>
    <s v="Cerro Grande Noreste"/>
    <x v="0"/>
    <s v="NO"/>
    <n v="2.7"/>
    <n v="0"/>
  </r>
  <r>
    <x v="451"/>
    <s v="LH-1091a"/>
    <x v="0"/>
    <s v="Reserva Recuperación Secundaria"/>
    <s v="Bombeo Mecánico"/>
    <x v="4"/>
    <s v="Las Heras Las Heras Bloque 3"/>
    <x v="0"/>
    <s v="NO"/>
    <n v="0.48"/>
    <n v="0"/>
  </r>
  <r>
    <x v="452"/>
    <s v="LH-1094a"/>
    <x v="0"/>
    <s v="Reserva Recuperación Secundaria"/>
    <s v="Pistoneo"/>
    <x v="4"/>
    <s v="Las Heras Bloque 2"/>
    <x v="0"/>
    <s v="NO"/>
    <n v="1"/>
    <n v="0"/>
  </r>
  <r>
    <x v="453"/>
    <s v="CnE-920a"/>
    <x v="0"/>
    <s v="Produciendo"/>
    <s v="Bombeo Mecánico"/>
    <x v="1"/>
    <s v="Barranca Baya Bloque 30"/>
    <x v="0"/>
    <s v="NO"/>
    <n v="1.19"/>
    <n v="0"/>
  </r>
  <r>
    <x v="454"/>
    <s v="CG-574a"/>
    <x v="0"/>
    <s v="Produciendo"/>
    <s v="Bombeo Mecánico"/>
    <x v="1"/>
    <s v="Cerro Grande Central"/>
    <x v="0"/>
    <s v="NO"/>
    <n v="1.1340000000000001"/>
    <n v="0"/>
  </r>
  <r>
    <x v="455"/>
    <s v="CG-582a"/>
    <x v="0"/>
    <s v="Produciendo"/>
    <s v="Inyección"/>
    <x v="1"/>
    <s v="Cerro Grande Central"/>
    <x v="0"/>
    <s v="NO"/>
    <n v="0"/>
    <n v="0"/>
  </r>
  <r>
    <x v="456"/>
    <s v="LH-1135a"/>
    <x v="0"/>
    <s v="Produciendo"/>
    <s v="Bombeo Mecánico"/>
    <x v="1"/>
    <s v="Las Heras Central Sur"/>
    <x v="0"/>
    <s v="NO"/>
    <n v="7.2000000000000008E-2"/>
    <n v="0"/>
  </r>
  <r>
    <x v="457"/>
    <s v="LH-1159a"/>
    <x v="0"/>
    <s v="Produciendo"/>
    <s v="Bombeo Mecánico"/>
    <x v="1"/>
    <s v="Las Heras Bloque 2"/>
    <x v="0"/>
    <s v="NO"/>
    <n v="2.4"/>
    <n v="0"/>
  </r>
  <r>
    <x v="458"/>
    <s v="CnE-972"/>
    <x v="0"/>
    <s v="Produciendo"/>
    <s v="Bombeo Mecánico"/>
    <x v="1"/>
    <s v="Barranca Baya Bloque 36"/>
    <x v="0"/>
    <s v="NO"/>
    <n v="4.4000000000000004"/>
    <n v="0"/>
  </r>
  <r>
    <x v="459"/>
    <s v="LH-1174"/>
    <x v="0"/>
    <s v="Produciendo"/>
    <s v="Bombeo Mecánico"/>
    <x v="1"/>
    <s v="Las Heras Central Sur"/>
    <x v="0"/>
    <s v="NO"/>
    <n v="1.6"/>
    <n v="0"/>
  </r>
  <r>
    <x v="460"/>
    <s v="CG-713"/>
    <x v="0"/>
    <s v="Produciendo"/>
    <s v="Bombeo Mecánico"/>
    <x v="1"/>
    <s v="Cerro Grande Central"/>
    <x v="0"/>
    <s v="NO"/>
    <n v="0.11"/>
    <n v="0"/>
  </r>
  <r>
    <x v="461"/>
    <s v="CnE-1090"/>
    <x v="0"/>
    <s v="Produciendo"/>
    <s v="Bombeo Mecánico"/>
    <x v="1"/>
    <s v="Barranca Baya Bloque 37"/>
    <x v="0"/>
    <s v="NO"/>
    <n v="0.20400000000000001"/>
    <n v="0"/>
  </r>
  <r>
    <x v="462"/>
    <s v="CG-793"/>
    <x v="0"/>
    <s v="Produciendo"/>
    <s v="Bombeo Mecánico"/>
    <x v="1"/>
    <s v="Cerro Grande Central"/>
    <x v="0"/>
    <s v="NO"/>
    <n v="0.13800000000000001"/>
    <n v="0"/>
  </r>
  <r>
    <x v="463"/>
    <s v="LH-1215"/>
    <x v="0"/>
    <s v="Produciendo"/>
    <s v="Bombeo Mecánico"/>
    <x v="1"/>
    <s v="Las Heras Bloque 2"/>
    <x v="0"/>
    <s v="NO"/>
    <n v="1.2"/>
    <n v="0"/>
  </r>
  <r>
    <x v="464"/>
    <s v="CnE-1154"/>
    <x v="0"/>
    <s v="Parado Por Alta Rgp"/>
    <s v="Bombeo Mecánico"/>
    <x v="5"/>
    <s v="Barranca Baya Bloque 36"/>
    <x v="1"/>
    <s v="NO"/>
    <n v="0.3"/>
    <n v="0"/>
  </r>
  <r>
    <x v="465"/>
    <s v="CnE-1104"/>
    <x v="0"/>
    <s v="Produciendo"/>
    <s v="Bombeo Mecánico"/>
    <x v="1"/>
    <s v="Barranca Baya Bloque 30"/>
    <x v="0"/>
    <s v="NO"/>
    <n v="3.06"/>
    <n v="0"/>
  </r>
  <r>
    <x v="466"/>
    <s v="LH-1228"/>
    <x v="0"/>
    <s v="Produciendo"/>
    <s v="Bombeo Mecánico"/>
    <x v="1"/>
    <s v="Las Heras Cerro Grande Sur"/>
    <x v="0"/>
    <s v="NO"/>
    <n v="1.4000000000000001"/>
    <s v="Ultimos 6 meses"/>
  </r>
  <r>
    <x v="467"/>
    <s v="CG-875"/>
    <x v="0"/>
    <s v="Produciendo"/>
    <s v="Cavidad Progresiva"/>
    <x v="1"/>
    <s v="Barranca Baya Cerro Grande Noroeste"/>
    <x v="0"/>
    <s v="NO"/>
    <n v="2.4450000000000003"/>
    <n v="0"/>
  </r>
  <r>
    <x v="468"/>
    <s v="CG-958"/>
    <x v="0"/>
    <s v="Produciendo"/>
    <s v="Bombeo Mecánico"/>
    <x v="1"/>
    <s v="Barranca Baya Bloque 26"/>
    <x v="0"/>
    <s v="NO"/>
    <n v="2.1"/>
    <n v="0"/>
  </r>
  <r>
    <x v="469"/>
    <s v="LH-1"/>
    <x v="0"/>
    <s v="Reserva Recuperación Secundaria"/>
    <s v="No Posee"/>
    <x v="4"/>
    <s v="Las Heras Las Heras Bloque 3"/>
    <x v="0"/>
    <s v="NO"/>
    <n v="1.05"/>
    <n v="0"/>
  </r>
  <r>
    <x v="470"/>
    <s v="LH-116"/>
    <x v="0"/>
    <s v="A Abandonar"/>
    <s v="Inyección"/>
    <x v="5"/>
    <s v="Las Heras Las Heras Bloque 3"/>
    <x v="1"/>
    <s v="NO"/>
    <n v="0"/>
    <n v="0"/>
  </r>
  <r>
    <x v="471"/>
    <s v="LH-190"/>
    <x v="0"/>
    <s v="Produciendo"/>
    <s v="Pistoneo"/>
    <x v="1"/>
    <s v="Las Heras Cerro Grande Sur"/>
    <x v="0"/>
    <s v="NO"/>
    <n v="0.158"/>
    <n v="0"/>
  </r>
  <r>
    <x v="472"/>
    <s v="LH-218"/>
    <x v="0"/>
    <s v="Abandono Permanente"/>
    <s v="No Posee"/>
    <x v="3"/>
    <s v="Las Heras Bloque 2"/>
    <x v="0"/>
    <s v="NO"/>
    <s v="NO"/>
    <s v="NO"/>
  </r>
  <r>
    <x v="473"/>
    <s v="LH-528"/>
    <x v="0"/>
    <s v="Produciendo"/>
    <s v="Inyección"/>
    <x v="1"/>
    <s v="Las Heras Las Heras Bloque 3"/>
    <x v="0"/>
    <s v="NO"/>
    <n v="0"/>
    <n v="0"/>
  </r>
  <r>
    <x v="474"/>
    <s v="LH-530"/>
    <x v="0"/>
    <s v="Produciendo"/>
    <s v="Bombeo Mecánico"/>
    <x v="1"/>
    <s v="Las Heras Las Heras Bloque 3"/>
    <x v="0"/>
    <s v="NO"/>
    <n v="0.78"/>
    <n v="0"/>
  </r>
  <r>
    <x v="475"/>
    <s v="LH-551"/>
    <x v="0"/>
    <s v="Reserva Recuperación Secundaria"/>
    <s v="Bombeo Mecánico"/>
    <x v="4"/>
    <s v="Las Heras Central Sur"/>
    <x v="0"/>
    <s v="NO"/>
    <n v="0.48"/>
    <n v="0"/>
  </r>
  <r>
    <x v="476"/>
    <s v="LH-590"/>
    <x v="0"/>
    <s v="En Estudio"/>
    <s v="Inyección"/>
    <x v="5"/>
    <s v="Las Heras Central Sur"/>
    <x v="1"/>
    <s v="NO"/>
    <n v="0"/>
    <n v="0"/>
  </r>
  <r>
    <x v="477"/>
    <s v="LH-667"/>
    <x v="0"/>
    <s v="Produciendo"/>
    <s v="Bombeo Mecánico"/>
    <x v="1"/>
    <s v="Las Heras Central Sur"/>
    <x v="0"/>
    <s v="NO"/>
    <n v="1.2"/>
    <n v="0"/>
  </r>
  <r>
    <x v="478"/>
    <s v="LH-678"/>
    <x v="0"/>
    <s v="Reserva Recuperación Secundaria"/>
    <s v="No Posee"/>
    <x v="4"/>
    <s v="Las Heras Central Sur"/>
    <x v="0"/>
    <s v="NO"/>
    <s v="NO"/>
    <s v="NO"/>
  </r>
  <r>
    <x v="479"/>
    <s v="LH-742"/>
    <x v="0"/>
    <s v="Abandono Permanente"/>
    <s v="No Posee"/>
    <x v="3"/>
    <s v="Las Heras Las Heras Bloque 3"/>
    <x v="0"/>
    <s v="NO"/>
    <n v="0"/>
    <n v="0"/>
  </r>
  <r>
    <x v="480"/>
    <s v="LH-794"/>
    <x v="0"/>
    <s v="Abandono Permanente"/>
    <s v="No Posee"/>
    <x v="3"/>
    <s v="Las Heras Central Sur"/>
    <x v="0"/>
    <s v="NO"/>
    <n v="0.95000000000000007"/>
    <n v="0"/>
  </r>
  <r>
    <x v="481"/>
    <s v="LH-813"/>
    <x v="0"/>
    <s v="En Estudio"/>
    <s v="Bombeo Mecánico"/>
    <x v="5"/>
    <s v="Las Heras Central Sur"/>
    <x v="1"/>
    <s v="NO"/>
    <n v="0.42"/>
    <n v="0"/>
  </r>
  <r>
    <x v="482"/>
    <s v="LH-891"/>
    <x v="0"/>
    <s v="Produciendo"/>
    <s v="Inyección"/>
    <x v="1"/>
    <s v="Las Heras Central Sur"/>
    <x v="0"/>
    <s v="NO"/>
    <n v="0"/>
    <n v="0"/>
  </r>
  <r>
    <x v="483"/>
    <s v="LH-897"/>
    <x v="0"/>
    <s v="Reserva Recuperación Secundaria"/>
    <s v="Bombeo Mecánico"/>
    <x v="4"/>
    <s v="Las Heras Central Sur"/>
    <x v="0"/>
    <s v="NO"/>
    <n v="0.56000000000000005"/>
    <n v="0"/>
  </r>
  <r>
    <x v="484"/>
    <s v="LH-960"/>
    <x v="0"/>
    <s v="Abandono Permanente"/>
    <s v="No Posee"/>
    <x v="3"/>
    <s v="Las Heras Bloque 2"/>
    <x v="0"/>
    <s v="NO"/>
    <n v="0.93500000000000005"/>
    <n v="0"/>
  </r>
  <r>
    <x v="485"/>
    <s v="CG-117"/>
    <x v="0"/>
    <s v="Reserva Recuperación Secundaria"/>
    <s v="Bombeo Mecánico"/>
    <x v="4"/>
    <s v="Barranca Baya Bloque 26"/>
    <x v="0"/>
    <s v="NO"/>
    <n v="0.6"/>
    <n v="0"/>
  </r>
  <r>
    <x v="486"/>
    <s v="CG-171"/>
    <x v="0"/>
    <s v="Produciendo"/>
    <s v="Bombeo Mecánico"/>
    <x v="1"/>
    <s v="Cerro Grande Central"/>
    <x v="0"/>
    <s v="NO"/>
    <n v="1.075"/>
    <n v="0"/>
  </r>
  <r>
    <x v="487"/>
    <s v="CG-204"/>
    <x v="0"/>
    <s v="Reserva Recuperación Secundaria"/>
    <s v="No Posee"/>
    <x v="4"/>
    <s v="Barranca Baya Bloque 26"/>
    <x v="0"/>
    <s v="NO"/>
    <s v="NO"/>
    <s v="NO"/>
  </r>
  <r>
    <x v="488"/>
    <s v="CG-287"/>
    <x v="0"/>
    <s v="Produciendo"/>
    <s v="Bombeo Mecánico"/>
    <x v="1"/>
    <s v="Cerro Grande Central"/>
    <x v="0"/>
    <s v="NO"/>
    <n v="0.8"/>
    <n v="0"/>
  </r>
  <r>
    <x v="489"/>
    <s v="CG-316"/>
    <x v="0"/>
    <s v="Produciendo"/>
    <s v="Bombeo Mecánico"/>
    <x v="1"/>
    <s v="Cerro Grande Central"/>
    <x v="0"/>
    <s v="NO"/>
    <n v="1.26"/>
    <n v="0"/>
  </r>
  <r>
    <x v="490"/>
    <s v="CG-353"/>
    <x v="0"/>
    <s v="Produciendo"/>
    <s v="Bombeo Mecánico"/>
    <x v="1"/>
    <s v="Cerro Grande Central"/>
    <x v="0"/>
    <s v="NO"/>
    <n v="1.2870000000000001"/>
    <n v="0"/>
  </r>
  <r>
    <x v="491"/>
    <s v="CG-420"/>
    <x v="0"/>
    <s v="Reserva Recuperación Secundaria"/>
    <s v="No Posee"/>
    <x v="4"/>
    <s v="Barranca Baya Cerro Grande Norte"/>
    <x v="0"/>
    <s v="NO"/>
    <n v="0.36100000000000004"/>
    <n v="0"/>
  </r>
  <r>
    <x v="492"/>
    <s v="CG-458"/>
    <x v="0"/>
    <s v="Reserva Recuperación Secundaria"/>
    <s v="No Posee"/>
    <x v="4"/>
    <s v="Barranca Baya Cerro Grande Norte"/>
    <x v="0"/>
    <s v="NO"/>
    <n v="0"/>
    <n v="0"/>
  </r>
  <r>
    <x v="493"/>
    <s v="CG-487"/>
    <x v="0"/>
    <s v="Produciendo"/>
    <s v="Bombeo Mecánico"/>
    <x v="1"/>
    <s v="Barranca Baya Cerro Grande Noroeste"/>
    <x v="0"/>
    <s v="Oportunidad"/>
    <n v="2.1779999999999999"/>
    <n v="0"/>
  </r>
  <r>
    <x v="494"/>
    <s v="CG-501"/>
    <x v="0"/>
    <s v="Espera Equipo Reparación"/>
    <s v="Inyección"/>
    <x v="5"/>
    <s v="Barranca Baya Las Heras Bloque 3"/>
    <x v="1"/>
    <s v="NO"/>
    <n v="0"/>
    <n v="0"/>
  </r>
  <r>
    <x v="495"/>
    <s v="LC-65"/>
    <x v="0"/>
    <s v="Reserva Recuperación Secundaria"/>
    <s v="No Posee"/>
    <x v="4"/>
    <s v="Lomas del Cuy- Cerro Grande Sur"/>
    <x v="0"/>
    <s v="NO"/>
    <n v="0.9"/>
    <n v="0"/>
  </r>
  <r>
    <x v="496"/>
    <s v="N-52"/>
    <x v="0"/>
    <s v="Reserva Recuperación Secundaria"/>
    <s v="No Posee"/>
    <x v="4"/>
    <s v="Barranca Baya Las Heras Bloque 3"/>
    <x v="0"/>
    <s v="NO"/>
    <s v="NO"/>
    <s v="NO"/>
  </r>
  <r>
    <x v="497"/>
    <s v="CnE-34"/>
    <x v="0"/>
    <s v="Produciendo"/>
    <s v="Inyección"/>
    <x v="1"/>
    <s v="Barranca Baya Bloque 26"/>
    <x v="0"/>
    <s v="Oportunidad"/>
    <n v="0"/>
    <n v="0"/>
  </r>
  <r>
    <x v="498"/>
    <s v="CnE-50"/>
    <x v="0"/>
    <s v="Produciendo"/>
    <s v="Bombeo Mecánico"/>
    <x v="1"/>
    <s v="Barranca Baya Bloque 26"/>
    <x v="0"/>
    <s v="NO"/>
    <n v="4.5"/>
    <n v="0"/>
  </r>
  <r>
    <x v="499"/>
    <s v="CnE-93"/>
    <x v="0"/>
    <s v="Parado Alta Rap"/>
    <s v="Bombeo Mecánico"/>
    <x v="5"/>
    <s v="Barranca Baya Bloque 36"/>
    <x v="1"/>
    <s v="NO"/>
    <n v="0.49"/>
    <n v="0"/>
  </r>
  <r>
    <x v="500"/>
    <s v="CnE-99"/>
    <x v="0"/>
    <s v="Reserva Recuperación Secundaria"/>
    <s v="Inyección"/>
    <x v="4"/>
    <s v="Barranca Baya Bloque 26"/>
    <x v="0"/>
    <s v="NO"/>
    <n v="0"/>
    <n v="0"/>
  </r>
  <r>
    <x v="501"/>
    <s v="CnE-118"/>
    <x v="0"/>
    <s v="Espera Equipo Reparación"/>
    <s v="Inyección"/>
    <x v="8"/>
    <s v="Barranca Baya Bloque 40"/>
    <x v="1"/>
    <s v="Oportunidad"/>
    <n v="0"/>
    <n v="0"/>
  </r>
  <r>
    <x v="502"/>
    <s v="CnE-149"/>
    <x v="0"/>
    <s v="Produciendo"/>
    <s v="Inyección"/>
    <x v="1"/>
    <s v="Barranca Baya Bloque 26"/>
    <x v="0"/>
    <s v="Oportunidad"/>
    <n v="0"/>
    <n v="0"/>
  </r>
  <r>
    <x v="503"/>
    <s v="CnE-233"/>
    <x v="0"/>
    <s v="Produciendo"/>
    <s v="Bombeo Mecánico"/>
    <x v="1"/>
    <s v="Barranca Baya Bloque 30"/>
    <x v="0"/>
    <s v="NO"/>
    <n v="2"/>
    <n v="0"/>
  </r>
  <r>
    <x v="504"/>
    <s v="CnE-252"/>
    <x v="0"/>
    <s v="En Estudio"/>
    <s v="Bombeo Mecánico"/>
    <x v="5"/>
    <s v="Barranca Baya Bloque 30"/>
    <x v="1"/>
    <s v="NO"/>
    <n v="0.97500000000000009"/>
    <n v="0"/>
  </r>
  <r>
    <x v="505"/>
    <s v="CnE-340"/>
    <x v="0"/>
    <s v="Produciendo"/>
    <s v="Bombeo Mecánico"/>
    <x v="1"/>
    <s v="Barranca Baya Bloque 36"/>
    <x v="0"/>
    <s v="NO"/>
    <n v="0.72"/>
    <n v="0"/>
  </r>
  <r>
    <x v="506"/>
    <s v="CnE-361"/>
    <x v="0"/>
    <s v="Reserva Recuperación Secundaria"/>
    <s v="Inyección"/>
    <x v="4"/>
    <s v="Barranca Baya Bloque 36"/>
    <x v="0"/>
    <s v="NO"/>
    <n v="0"/>
    <n v="0"/>
  </r>
  <r>
    <x v="507"/>
    <s v="CnE-369"/>
    <x v="0"/>
    <s v="Produciendo"/>
    <s v="Inyección"/>
    <x v="1"/>
    <s v="Barranca Baya Bloque 36"/>
    <x v="0"/>
    <s v="NO"/>
    <n v="0"/>
    <n v="0"/>
  </r>
  <r>
    <x v="508"/>
    <s v="CnE-472"/>
    <x v="0"/>
    <s v="Produciendo"/>
    <s v="Bombeo Mecánico"/>
    <x v="1"/>
    <s v="Barranca Baya Bloque 37"/>
    <x v="0"/>
    <s v="NO"/>
    <n v="1.143"/>
    <n v="0"/>
  </r>
  <r>
    <x v="509"/>
    <s v="CnE-515"/>
    <x v="0"/>
    <s v="Reserva Recuperación Secundaria"/>
    <s v="Pistoneo"/>
    <x v="4"/>
    <s v="Barranca Baya Bloque 38"/>
    <x v="0"/>
    <s v="NO"/>
    <n v="2.9000000000000001E-2"/>
    <n v="0"/>
  </r>
  <r>
    <x v="510"/>
    <s v="CnE-518"/>
    <x v="0"/>
    <s v="Reserva Recuperación Secundaria"/>
    <s v="Bombeo Mecánico"/>
    <x v="4"/>
    <s v="Barranca Baya Bloque 37"/>
    <x v="0"/>
    <s v="NO"/>
    <n v="0.82000000000000006"/>
    <n v="0"/>
  </r>
  <r>
    <x v="511"/>
    <s v="CnE-550"/>
    <x v="0"/>
    <s v="Reserva Recuperación Secundaria"/>
    <s v="No Posee"/>
    <x v="4"/>
    <s v="Barranca Baya"/>
    <x v="0"/>
    <s v="NO"/>
    <n v="0.18"/>
    <n v="0"/>
  </r>
  <r>
    <x v="512"/>
    <s v="CnE-569"/>
    <x v="0"/>
    <s v="Abandono Permanente"/>
    <s v="No Posee"/>
    <x v="3"/>
    <s v="Barranca Baya Bloque 40"/>
    <x v="0"/>
    <s v="NO"/>
    <n v="0"/>
    <n v="0"/>
  </r>
  <r>
    <x v="513"/>
    <s v="CnE-605"/>
    <x v="0"/>
    <s v="En Estudio"/>
    <s v="Inyección"/>
    <x v="5"/>
    <s v="Barranca Baya Bloque 37"/>
    <x v="1"/>
    <s v="NO"/>
    <n v="0"/>
    <n v="0"/>
  </r>
  <r>
    <x v="514"/>
    <s v="CnE-678"/>
    <x v="0"/>
    <s v="Produciendo"/>
    <s v="Bombeo Mecánico"/>
    <x v="1"/>
    <s v="Barranca Baya Bloque 37"/>
    <x v="0"/>
    <s v="NO"/>
    <n v="0.65"/>
    <n v="0"/>
  </r>
  <r>
    <x v="515"/>
    <s v="CnE-694"/>
    <x v="0"/>
    <s v="Espera Equipo Reparación"/>
    <s v="Bombeo Mecánico"/>
    <x v="5"/>
    <s v="Barranca Baya Bloque 37"/>
    <x v="1"/>
    <s v="NO"/>
    <n v="1.7"/>
    <n v="0"/>
  </r>
  <r>
    <x v="516"/>
    <s v="CnE-773"/>
    <x v="0"/>
    <s v="Abandono Permanente"/>
    <s v="No Posee"/>
    <x v="3"/>
    <s v="Barranca Baya"/>
    <x v="0"/>
    <s v="NO"/>
    <s v="NO"/>
    <s v="NO"/>
  </r>
  <r>
    <x v="517"/>
    <s v="CnE-787"/>
    <x v="0"/>
    <s v="Espera Equipo Reparación"/>
    <s v="Inyección"/>
    <x v="8"/>
    <s v="Barranca Baya Bloque 36"/>
    <x v="1"/>
    <s v="Oportunidad"/>
    <n v="0"/>
    <s v="Ultimo Año"/>
  </r>
  <r>
    <x v="518"/>
    <s v="CnE-805"/>
    <x v="0"/>
    <s v="Espera Equipo Reparación"/>
    <s v="No Posee"/>
    <x v="5"/>
    <s v="Barranca Baya Bloque 36"/>
    <x v="1"/>
    <s v="NO"/>
    <n v="0.93"/>
    <n v="0"/>
  </r>
  <r>
    <x v="519"/>
    <s v="CnE-839"/>
    <x v="0"/>
    <s v="Produciendo"/>
    <s v="Pistoneo"/>
    <x v="1"/>
    <s v="Barranca Baya Bloque 36"/>
    <x v="0"/>
    <s v="NO"/>
    <n v="0.20200000000000001"/>
    <n v="0"/>
  </r>
  <r>
    <x v="520"/>
    <s v="CnE-850"/>
    <x v="0"/>
    <s v="Abandono Permanente"/>
    <s v="No Posee"/>
    <x v="3"/>
    <s v="Barranca Baya Bloque 36"/>
    <x v="0"/>
    <s v="NO"/>
    <s v="NO"/>
    <s v="NO"/>
  </r>
  <r>
    <x v="521"/>
    <s v="LH-226"/>
    <x v="0"/>
    <s v="Abandono Permanente"/>
    <s v="No Posee"/>
    <x v="3"/>
    <s v="Las Heras Bloque 2"/>
    <x v="0"/>
    <s v="NO"/>
    <n v="0"/>
    <n v="0"/>
  </r>
  <r>
    <x v="522"/>
    <s v="LH-229"/>
    <x v="0"/>
    <s v="Produciendo"/>
    <s v="Pistoneo"/>
    <x v="1"/>
    <s v="Las Heras Bloque 2"/>
    <x v="0"/>
    <s v="NO"/>
    <n v="0.10400000000000001"/>
    <n v="0"/>
  </r>
  <r>
    <x v="523"/>
    <s v="LH-631"/>
    <x v="0"/>
    <s v="Produciendo"/>
    <s v="Bombeo Mecánico"/>
    <x v="1"/>
    <s v="Las Heras Central Sur"/>
    <x v="0"/>
    <s v="NO"/>
    <n v="1.53"/>
    <n v="0"/>
  </r>
  <r>
    <x v="524"/>
    <s v="LH-815"/>
    <x v="0"/>
    <s v="Abandono Permanente"/>
    <s v="No Posee"/>
    <x v="3"/>
    <s v="Las Heras Central Sur"/>
    <x v="0"/>
    <s v="NO"/>
    <n v="0.375"/>
    <n v="0"/>
  </r>
  <r>
    <x v="525"/>
    <s v="LH-859"/>
    <x v="0"/>
    <s v="A Abandonar Por Razones Técnicas"/>
    <s v="Bombeo Mecánico"/>
    <x v="5"/>
    <s v="Las Heras Central Sur"/>
    <x v="1"/>
    <s v="NO"/>
    <n v="0.17"/>
    <n v="0"/>
  </r>
  <r>
    <x v="526"/>
    <s v="LH-923"/>
    <x v="0"/>
    <s v="Reserva Recuperación Secundaria"/>
    <s v="Pistoneo"/>
    <x v="4"/>
    <s v="Las Heras Bloque 2"/>
    <x v="0"/>
    <s v="NO"/>
    <n v="0.188"/>
    <n v="0"/>
  </r>
  <r>
    <x v="527"/>
    <s v="LH-942"/>
    <x v="0"/>
    <s v="Produciendo"/>
    <s v="Bombeo Mecánico"/>
    <x v="1"/>
    <s v="Las Heras Central Sur"/>
    <x v="0"/>
    <s v="NO"/>
    <n v="1.25"/>
    <n v="0"/>
  </r>
  <r>
    <x v="528"/>
    <s v="LH-943"/>
    <x v="0"/>
    <s v="Produciendo"/>
    <s v="Bombeo Mecánico"/>
    <x v="1"/>
    <s v="Las Heras Central Sur"/>
    <x v="0"/>
    <s v="NO"/>
    <n v="2.73"/>
    <n v="0"/>
  </r>
  <r>
    <x v="529"/>
    <s v="CG-102"/>
    <x v="0"/>
    <s v="Reserva Recuperación Secundaria"/>
    <s v="Bombeo Mecánico"/>
    <x v="4"/>
    <s v="Barranca Baya Bloque 26"/>
    <x v="0"/>
    <s v="NO"/>
    <n v="0.24"/>
    <n v="0"/>
  </r>
  <r>
    <x v="530"/>
    <s v="CG-147"/>
    <x v="0"/>
    <s v="Reserva Recuperación Secundaria"/>
    <s v="No Posee"/>
    <x v="4"/>
    <s v="Barranca Baya Bloque 26"/>
    <x v="0"/>
    <s v="NO"/>
    <n v="0.57999999999999996"/>
    <n v="0"/>
  </r>
  <r>
    <x v="531"/>
    <s v="CG-163"/>
    <x v="0"/>
    <s v="Produciendo"/>
    <s v="Bombeo Mecánico"/>
    <x v="1"/>
    <s v="Cerro Grande Central"/>
    <x v="0"/>
    <s v="NO"/>
    <n v="1.36"/>
    <n v="0"/>
  </r>
  <r>
    <x v="532"/>
    <s v="CG-216"/>
    <x v="0"/>
    <s v="Reserva Recuperación Secundaria"/>
    <s v="No Posee"/>
    <x v="4"/>
    <s v="Barranca Baya Cerro Grande Norte"/>
    <x v="0"/>
    <s v="NO"/>
    <s v="NO"/>
    <s v="NO"/>
  </r>
  <r>
    <x v="533"/>
    <s v="CG-238"/>
    <x v="0"/>
    <s v="Reserva Recuperación Secundaria"/>
    <s v="No Posee"/>
    <x v="4"/>
    <s v="Cerro Grande Central"/>
    <x v="0"/>
    <s v="NO"/>
    <n v="0"/>
    <n v="0"/>
  </r>
  <r>
    <x v="534"/>
    <s v="CG-484"/>
    <x v="0"/>
    <s v="Produciendo"/>
    <s v="Cavidad Progresiva"/>
    <x v="1"/>
    <s v="Barranca Baya Cerro Grande Noroeste"/>
    <x v="0"/>
    <s v="NO"/>
    <n v="3.7120000000000002"/>
    <n v="0"/>
  </r>
  <r>
    <x v="535"/>
    <s v="CnE-66"/>
    <x v="0"/>
    <s v="En Estudio"/>
    <s v="Bombeo Mecánico"/>
    <x v="5"/>
    <s v="Barranca Baya Bloque 26"/>
    <x v="1"/>
    <s v="NO"/>
    <n v="0.625"/>
    <n v="0"/>
  </r>
  <r>
    <x v="536"/>
    <s v="CnE-235"/>
    <x v="0"/>
    <s v="Reserva Recuperación Secundaria"/>
    <s v="No Posee"/>
    <x v="4"/>
    <s v="Barranca Baya Bloque 36"/>
    <x v="0"/>
    <s v="NO"/>
    <s v="NO"/>
    <s v="NO"/>
  </r>
  <r>
    <x v="537"/>
    <s v="CnE-249"/>
    <x v="0"/>
    <s v="Produciendo"/>
    <s v="Inyección"/>
    <x v="1"/>
    <s v="Barranca Baya Bloque 30"/>
    <x v="0"/>
    <s v="NO"/>
    <n v="0"/>
    <n v="0"/>
  </r>
  <r>
    <x v="538"/>
    <s v="CnE-263"/>
    <x v="0"/>
    <s v="Reserva Recuperación Secundaria"/>
    <s v="Bombeo Mecánico"/>
    <x v="4"/>
    <s v="Barranca Baya Bloque 40"/>
    <x v="0"/>
    <s v="NO"/>
    <n v="0.21"/>
    <n v="0"/>
  </r>
  <r>
    <x v="539"/>
    <s v="CnE-275"/>
    <x v="0"/>
    <s v="En Estudio"/>
    <s v="Inyección"/>
    <x v="5"/>
    <s v="Barranca Baya Bloque 30"/>
    <x v="1"/>
    <s v="NO"/>
    <n v="0"/>
    <n v="0"/>
  </r>
  <r>
    <x v="540"/>
    <s v="CnE-345"/>
    <x v="0"/>
    <s v="En Estudio"/>
    <s v="Bombeo Mecánico"/>
    <x v="5"/>
    <s v="Barranca Baya Bloque 36"/>
    <x v="1"/>
    <s v="NO"/>
    <n v="0.32"/>
    <n v="0"/>
  </r>
  <r>
    <x v="541"/>
    <s v="CnE-372"/>
    <x v="0"/>
    <s v="Produciendo"/>
    <s v="Pistoneo"/>
    <x v="1"/>
    <s v="Barranca Baya Bloque 36"/>
    <x v="0"/>
    <s v="NO"/>
    <n v="0.14400000000000002"/>
    <n v="0"/>
  </r>
  <r>
    <x v="542"/>
    <s v="CnE-590"/>
    <x v="0"/>
    <s v="Abandono Permanente"/>
    <s v="No Posee"/>
    <x v="3"/>
    <s v="Barranca Baya Bloque 38"/>
    <x v="0"/>
    <s v="NO"/>
    <n v="1.5880000000000001"/>
    <n v="0"/>
  </r>
  <r>
    <x v="543"/>
    <s v="CnE-643"/>
    <x v="0"/>
    <s v="Reserva Recuperación Secundaria"/>
    <s v="No Posee"/>
    <x v="4"/>
    <s v="Barranca Baya"/>
    <x v="0"/>
    <s v="NO"/>
    <n v="0.26100000000000001"/>
    <n v="0"/>
  </r>
  <r>
    <x v="544"/>
    <s v="CnE-653"/>
    <x v="0"/>
    <s v="En Estudio"/>
    <s v="Bombeo Mecánico"/>
    <x v="5"/>
    <s v="Barranca Baya"/>
    <x v="1"/>
    <s v="NO"/>
    <n v="0.36399999999999999"/>
    <n v="0"/>
  </r>
  <r>
    <x v="545"/>
    <s v="BB-69"/>
    <x v="0"/>
    <s v="Reserva Recuperación Secundaria"/>
    <s v="Pistoneo"/>
    <x v="2"/>
    <s v="Barranca Baya"/>
    <x v="0"/>
    <s v="NO"/>
    <n v="1.9E-2"/>
    <s v="Ultimo Año"/>
  </r>
  <r>
    <x v="546"/>
    <s v="BB-86"/>
    <x v="0"/>
    <s v="Reserva Recuperación Secundaria"/>
    <s v="Pistoneo"/>
    <x v="2"/>
    <s v="Barranca Baya"/>
    <x v="0"/>
    <s v="NO"/>
    <n v="0.01"/>
    <s v="Ultimo Año"/>
  </r>
  <r>
    <x v="547"/>
    <s v="LH-40"/>
    <x v="0"/>
    <s v="Abandono Permanente"/>
    <s v="No Posee"/>
    <x v="3"/>
    <s v="Las Heras Central Sur"/>
    <x v="0"/>
    <s v="NO"/>
    <n v="3.99"/>
    <n v="0"/>
  </r>
  <r>
    <x v="548"/>
    <s v="LC-13"/>
    <x v="0"/>
    <s v="Produciendo"/>
    <s v="Cavidad Progresiva"/>
    <x v="1"/>
    <s v="Lomas del Cuy- Cerro Grande Sur"/>
    <x v="0"/>
    <s v="NO"/>
    <n v="0.21"/>
    <n v="0"/>
  </r>
  <r>
    <x v="549"/>
    <s v="CG-416"/>
    <x v="0"/>
    <s v="Abandono Permanente"/>
    <s v="No Posee"/>
    <x v="3"/>
    <s v="Barranca Baya Cerro Grande Norte"/>
    <x v="0"/>
    <s v="NO"/>
    <s v="NO"/>
    <s v="NO"/>
  </r>
  <r>
    <x v="550"/>
    <s v="CG-497"/>
    <x v="0"/>
    <s v="Produciendo"/>
    <s v="Bombeo Mecánico"/>
    <x v="1"/>
    <s v="Barranca Baya Bloque 26"/>
    <x v="0"/>
    <s v="NO"/>
    <n v="2.2549999999999999"/>
    <n v="0"/>
  </r>
  <r>
    <x v="551"/>
    <s v="LH-152"/>
    <x v="0"/>
    <s v="Abandono Permanente"/>
    <s v="No Posee"/>
    <x v="3"/>
    <s v="Las Heras Las Heras Bloque 3"/>
    <x v="0"/>
    <s v="NO"/>
    <s v="NO"/>
    <s v="NO"/>
  </r>
  <r>
    <x v="552"/>
    <s v="LH-159"/>
    <x v="0"/>
    <s v="Produciendo"/>
    <s v="Bombeo Mecánico"/>
    <x v="1"/>
    <s v="Las Heras Central Sur"/>
    <x v="0"/>
    <s v="NO"/>
    <n v="0.3"/>
    <n v="0"/>
  </r>
  <r>
    <x v="553"/>
    <s v="LH-239"/>
    <x v="0"/>
    <s v="Abandono Permanente"/>
    <s v="No Posee"/>
    <x v="3"/>
    <s v="Las Heras Central Sur"/>
    <x v="0"/>
    <s v="NO"/>
    <s v="NO"/>
    <s v="NO"/>
  </r>
  <r>
    <x v="554"/>
    <s v="CG-20"/>
    <x v="0"/>
    <s v="Abandono Permanente"/>
    <s v="No Posee"/>
    <x v="3"/>
    <s v="Cerro Grande Central"/>
    <x v="0"/>
    <s v="NO"/>
    <s v="NO"/>
    <s v="NO"/>
  </r>
  <r>
    <x v="555"/>
    <s v="CnE-29"/>
    <x v="0"/>
    <s v="Abandonado Por Razones Técnicas"/>
    <s v="No Posee"/>
    <x v="4"/>
    <s v="Barranca Baya Bloque 26"/>
    <x v="0"/>
    <s v="NO"/>
    <s v="NO"/>
    <s v="NO"/>
  </r>
  <r>
    <x v="556"/>
    <s v="CnE-865"/>
    <x v="0"/>
    <s v="Produciendo"/>
    <s v="Bombeo Mecánico"/>
    <x v="1"/>
    <s v="Barranca Baya Bloque 36"/>
    <x v="0"/>
    <s v="NO"/>
    <n v="0.3"/>
    <n v="0"/>
  </r>
  <r>
    <x v="557"/>
    <s v="CnE-871a"/>
    <x v="0"/>
    <s v="Reserva Recuperación Secundaria"/>
    <s v="No Posee"/>
    <x v="4"/>
    <s v="Barranca Baya Bloque 36"/>
    <x v="0"/>
    <s v="NO"/>
    <n v="0.46"/>
    <n v="0"/>
  </r>
  <r>
    <x v="558"/>
    <s v="CG-544a"/>
    <x v="0"/>
    <s v="Produciendo"/>
    <s v="Bombeo Mecánico"/>
    <x v="1"/>
    <s v="Cerro Grande Central"/>
    <x v="0"/>
    <s v="NO"/>
    <n v="0.82500000000000007"/>
    <n v="0"/>
  </r>
  <r>
    <x v="559"/>
    <s v="LH-1016a"/>
    <x v="0"/>
    <s v="Produciendo"/>
    <s v="Bombeo Mecánico"/>
    <x v="1"/>
    <s v="Las Heras Las Heras Bloque 3"/>
    <x v="0"/>
    <s v="NO"/>
    <n v="0.98"/>
    <n v="0"/>
  </r>
  <r>
    <x v="560"/>
    <s v="LH-1014"/>
    <x v="0"/>
    <s v="Abandono Permanente"/>
    <s v="No Posee"/>
    <x v="3"/>
    <s v="Las Heras Las Heras Bloque 3"/>
    <x v="0"/>
    <s v="NO"/>
    <n v="0.42"/>
    <n v="0"/>
  </r>
  <r>
    <x v="561"/>
    <s v="LH-1058a"/>
    <x v="0"/>
    <s v="Produciendo"/>
    <s v="Bombeo Mecánico"/>
    <x v="1"/>
    <s v="Las Heras Central Sur"/>
    <x v="0"/>
    <s v="NO"/>
    <n v="0.5"/>
    <n v="0"/>
  </r>
  <r>
    <x v="562"/>
    <s v="CG-539a"/>
    <x v="0"/>
    <s v="Reserva Recuperación Secundaria"/>
    <s v="Bombeo Mecánico"/>
    <x v="4"/>
    <s v="Cerro Grande Noreste"/>
    <x v="0"/>
    <s v="NO"/>
    <n v="0.21"/>
    <n v="0"/>
  </r>
  <r>
    <x v="563"/>
    <s v="CG-705"/>
    <x v="0"/>
    <s v="Espera Equipo Reparación"/>
    <s v="Inyección"/>
    <x v="5"/>
    <s v="Cerro Grande Central"/>
    <x v="1"/>
    <s v="NO"/>
    <n v="0"/>
    <n v="0"/>
  </r>
  <r>
    <x v="564"/>
    <s v="LH-989a"/>
    <x v="0"/>
    <s v="Produciendo"/>
    <s v="Surgente"/>
    <x v="1"/>
    <s v="Las Heras Central Sur"/>
    <x v="0"/>
    <s v="NO"/>
    <n v="1.1500000000000001"/>
    <n v="0"/>
  </r>
  <r>
    <x v="565"/>
    <s v="CnE-890a"/>
    <x v="0"/>
    <s v="En Estudio"/>
    <s v="Pistoneo"/>
    <x v="6"/>
    <s v="Barranca Baya Bloque 36"/>
    <x v="0"/>
    <s v="Oportunidad"/>
    <n v="0.17200000000000001"/>
    <n v="0"/>
  </r>
  <r>
    <x v="566"/>
    <s v="CG-495a"/>
    <x v="0"/>
    <s v="Produciendo"/>
    <s v="Bombeo Mecánico"/>
    <x v="1"/>
    <s v="Cerro Grande Noreste"/>
    <x v="0"/>
    <s v="NO"/>
    <n v="1.95"/>
    <n v="0"/>
  </r>
  <r>
    <x v="567"/>
    <s v="LH-1050a"/>
    <x v="0"/>
    <s v="Produciendo"/>
    <s v="Bombeo Mecánico"/>
    <x v="1"/>
    <s v="Las Heras Bloque 2"/>
    <x v="0"/>
    <s v="NO"/>
    <n v="0.8"/>
    <n v="0"/>
  </r>
  <r>
    <x v="568"/>
    <s v="CG-552a"/>
    <x v="0"/>
    <s v="Produciendo"/>
    <s v="Bombeo Mecánico"/>
    <x v="1"/>
    <s v="Cerro Grande Central"/>
    <x v="0"/>
    <s v="NO"/>
    <n v="1.04"/>
    <n v="0"/>
  </r>
  <r>
    <x v="569"/>
    <s v="LH-1106a"/>
    <x v="0"/>
    <s v="Produciendo"/>
    <s v="Bombeo Mecánico"/>
    <x v="1"/>
    <s v="Las Heras Las Heras Bloque 3"/>
    <x v="0"/>
    <s v="NO"/>
    <n v="0.10500000000000001"/>
    <n v="0"/>
  </r>
  <r>
    <x v="570"/>
    <s v="LH-1125a"/>
    <x v="0"/>
    <s v="Reserva Recuperación Secundaria"/>
    <s v="Bombeo Mecánico"/>
    <x v="4"/>
    <s v="Las Heras Central Sur"/>
    <x v="0"/>
    <s v="NO"/>
    <n v="0.55500000000000005"/>
    <n v="0"/>
  </r>
  <r>
    <x v="571"/>
    <s v="CnE-935a"/>
    <x v="0"/>
    <s v="Abandono Temporal"/>
    <s v="Bombeo Mecánico"/>
    <x v="5"/>
    <s v="Barranca Baya Bloque 36"/>
    <x v="1"/>
    <s v="NO"/>
    <n v="9.0999999999999998E-2"/>
    <n v="0"/>
  </r>
  <r>
    <x v="572"/>
    <s v="CnE-973"/>
    <x v="0"/>
    <s v="Produciendo"/>
    <s v="Electro Sumergible"/>
    <x v="1"/>
    <s v="Barranca Baya Bloque 36"/>
    <x v="0"/>
    <s v="NO"/>
    <n v="2.6"/>
    <n v="0"/>
  </r>
  <r>
    <x v="573"/>
    <s v="CnE-1002"/>
    <x v="0"/>
    <s v="Produciendo"/>
    <s v="Inyección"/>
    <x v="1"/>
    <s v="Barranca Baya Bloque 30"/>
    <x v="0"/>
    <s v="NO"/>
    <n v="0"/>
    <n v="0"/>
  </r>
  <r>
    <x v="574"/>
    <s v="LH-1192"/>
    <x v="0"/>
    <s v="Produciendo"/>
    <s v="Bombeo Mecánico"/>
    <x v="1"/>
    <s v="Las Heras Central Sur"/>
    <x v="0"/>
    <s v="NO"/>
    <n v="1.22"/>
    <n v="0"/>
  </r>
  <r>
    <x v="575"/>
    <s v="CnE-1113"/>
    <x v="0"/>
    <s v="Produciendo"/>
    <s v="Bombeo Mecánico"/>
    <x v="1"/>
    <s v="Barranca Baya Bloque 30"/>
    <x v="0"/>
    <s v="NO"/>
    <n v="0.9"/>
    <n v="0"/>
  </r>
  <r>
    <x v="576"/>
    <s v="CG-755"/>
    <x v="0"/>
    <s v="Produciendo"/>
    <s v="Bombeo Mecánico"/>
    <x v="1"/>
    <s v="Barranca Baya Cerro Grande Norte"/>
    <x v="0"/>
    <s v="NO"/>
    <n v="1.8"/>
    <n v="0"/>
  </r>
  <r>
    <x v="577"/>
    <s v="CnE-1259"/>
    <x v="0"/>
    <s v="En Estudio"/>
    <s v="Bombeo Mecánico"/>
    <x v="5"/>
    <s v="Barranca Baya Bloque 37"/>
    <x v="1"/>
    <s v="NO"/>
    <n v="0.48"/>
    <n v="0"/>
  </r>
  <r>
    <x v="578"/>
    <s v="CG-948a"/>
    <x v="0"/>
    <s v="Produciendo"/>
    <s v="Bombeo Mecánico"/>
    <x v="1"/>
    <s v="Cerro Grande Central"/>
    <x v="0"/>
    <s v="NO"/>
    <n v="0.45"/>
    <n v="0"/>
  </r>
  <r>
    <x v="579"/>
    <s v="CG-978a"/>
    <x v="0"/>
    <s v="Produciendo"/>
    <s v="Cavidad Progresiva"/>
    <x v="1"/>
    <s v="Barranca Baya Cerro Grande Sur"/>
    <x v="0"/>
    <s v="NO"/>
    <n v="0.87"/>
    <n v="0"/>
  </r>
  <r>
    <x v="580"/>
    <s v="CnE-996"/>
    <x v="0"/>
    <s v="Produciendo"/>
    <s v="Bombeo Mecánico"/>
    <x v="1"/>
    <s v="Barranca Baya Bloque 36"/>
    <x v="0"/>
    <s v="NO"/>
    <n v="1.8"/>
    <n v="0"/>
  </r>
  <r>
    <x v="581"/>
    <s v="LH-186"/>
    <x v="0"/>
    <s v="Reserva Recuperación Secundaria"/>
    <s v="Pistoneo"/>
    <x v="4"/>
    <s v="Las Heras Las Heras Bloque 3"/>
    <x v="0"/>
    <s v="NO"/>
    <n v="0.218"/>
    <n v="0"/>
  </r>
  <r>
    <x v="582"/>
    <s v="LH-192"/>
    <x v="0"/>
    <s v="Produciendo"/>
    <s v="Surgente por Casing"/>
    <x v="1"/>
    <s v="Las Heras Cerro Grande Sur"/>
    <x v="0"/>
    <s v="NO"/>
    <n v="0.96"/>
    <n v="0"/>
  </r>
  <r>
    <x v="583"/>
    <s v="LH-587"/>
    <x v="0"/>
    <s v="Reserva Recuperación Secundaria"/>
    <s v="Pistoneo"/>
    <x v="4"/>
    <s v="Las Heras Central Sur"/>
    <x v="0"/>
    <s v="NO"/>
    <n v="0.28900000000000003"/>
    <n v="0"/>
  </r>
  <r>
    <x v="584"/>
    <s v="LH-805"/>
    <x v="0"/>
    <s v="Produciendo"/>
    <s v="Bombeo Mecánico"/>
    <x v="1"/>
    <s v="Las Heras Central Sur"/>
    <x v="0"/>
    <s v="NO"/>
    <n v="0.59"/>
    <n v="0"/>
  </r>
  <r>
    <x v="585"/>
    <s v="LH-812"/>
    <x v="0"/>
    <s v="Abandono Permanente"/>
    <s v="No Posee"/>
    <x v="3"/>
    <s v="Las Heras Central Sur"/>
    <x v="0"/>
    <s v="NO"/>
    <n v="0.42"/>
    <n v="0"/>
  </r>
  <r>
    <x v="586"/>
    <s v="LH-830"/>
    <x v="0"/>
    <s v="Abandono Permanente"/>
    <s v="No Posee"/>
    <x v="3"/>
    <s v="Las Heras Central Sur"/>
    <x v="0"/>
    <s v="NO"/>
    <n v="0.78"/>
    <n v="0"/>
  </r>
  <r>
    <x v="587"/>
    <s v="LH-955"/>
    <x v="0"/>
    <s v="Abandono Temporal"/>
    <s v="No Posee"/>
    <x v="5"/>
    <s v="Las Heras Las Heras Bloque 3"/>
    <x v="1"/>
    <s v="NO"/>
    <n v="0.44"/>
    <n v="0"/>
  </r>
  <r>
    <x v="588"/>
    <s v="LH-961"/>
    <x v="0"/>
    <s v="Espera Equipo Reparación"/>
    <s v="Inyección"/>
    <x v="4"/>
    <s v="Las Heras Las Heras Bloque 3"/>
    <x v="0"/>
    <s v="NO"/>
    <n v="0"/>
    <n v="0"/>
  </r>
  <r>
    <x v="589"/>
    <s v="CG-87"/>
    <x v="0"/>
    <s v="Espera Equipo Reparación"/>
    <s v="Bombeo Mecánico"/>
    <x v="7"/>
    <s v="Barranca Baya Bloque 26"/>
    <x v="0"/>
    <s v="NO"/>
    <n v="1.5"/>
    <s v="Ultimo Año"/>
  </r>
  <r>
    <x v="590"/>
    <s v="CG-104"/>
    <x v="0"/>
    <s v="Produciendo"/>
    <s v="Surgente"/>
    <x v="1"/>
    <s v="Barranca Baya Bloque 26"/>
    <x v="0"/>
    <s v="NO"/>
    <n v="0"/>
    <n v="0"/>
  </r>
  <r>
    <x v="591"/>
    <s v="CG-136"/>
    <x v="0"/>
    <s v="En Estudio"/>
    <s v="Bombeo Mecánico"/>
    <x v="5"/>
    <s v="Barranca Baya Bloque 26"/>
    <x v="1"/>
    <s v="NO"/>
    <n v="0.70000000000000007"/>
    <n v="0"/>
  </r>
  <r>
    <x v="592"/>
    <s v="CG-140"/>
    <x v="0"/>
    <s v="Reserva Recuperación Secundaria"/>
    <s v="No Posee"/>
    <x v="4"/>
    <s v="Cerro Grande Central"/>
    <x v="0"/>
    <s v="NO"/>
    <n v="1.0900000000000001"/>
    <n v="0"/>
  </r>
  <r>
    <x v="593"/>
    <s v="CG-436"/>
    <x v="0"/>
    <s v="Produciendo"/>
    <s v="Inyección"/>
    <x v="1"/>
    <s v="Barranca Baya Bloque 26"/>
    <x v="0"/>
    <s v="NO"/>
    <n v="0"/>
    <n v="0"/>
  </r>
  <r>
    <x v="594"/>
    <s v="CG-479"/>
    <x v="0"/>
    <s v="Espera Equipo Reparación"/>
    <s v="Bombeo Mecánico"/>
    <x v="5"/>
    <s v="Barranca Baya Las Heras Bloque 3"/>
    <x v="1"/>
    <s v="NO"/>
    <n v="1.143"/>
    <n v="0"/>
  </r>
  <r>
    <x v="595"/>
    <s v="CG-481"/>
    <x v="0"/>
    <s v="Produciendo"/>
    <s v="Inyección"/>
    <x v="1"/>
    <s v="Barranca Baya Cerro Grande Noroeste"/>
    <x v="0"/>
    <s v="NO"/>
    <n v="0"/>
    <n v="0"/>
  </r>
  <r>
    <x v="596"/>
    <s v="LC-29"/>
    <x v="0"/>
    <s v="Produciendo"/>
    <s v="Pistoneo"/>
    <x v="1"/>
    <s v="Lomas del Cuy- Cerro Grande Noroeste"/>
    <x v="0"/>
    <s v="NO"/>
    <n v="0.17"/>
    <n v="0"/>
  </r>
  <r>
    <x v="597"/>
    <s v="LH-39"/>
    <x v="0"/>
    <s v="Produciendo"/>
    <s v="Bombeo Mecánico"/>
    <x v="1"/>
    <s v="Las Heras Bloque 2"/>
    <x v="0"/>
    <s v="NO"/>
    <n v="1.98"/>
    <n v="0"/>
  </r>
  <r>
    <x v="598"/>
    <s v="LH-48"/>
    <x v="0"/>
    <s v="Produciendo"/>
    <s v="Bombeo Mecánico"/>
    <x v="1"/>
    <s v="Las Heras Las Heras Bloque 3"/>
    <x v="0"/>
    <s v="NO"/>
    <n v="0.50600000000000001"/>
    <n v="0"/>
  </r>
  <r>
    <x v="599"/>
    <s v="LH-141"/>
    <x v="0"/>
    <s v="Abandono Permanente"/>
    <s v="No Posee"/>
    <x v="3"/>
    <s v="Las Heras Bloque 2"/>
    <x v="0"/>
    <s v="NO"/>
    <n v="0"/>
    <n v="0"/>
  </r>
  <r>
    <x v="600"/>
    <s v="LH-145"/>
    <x v="0"/>
    <s v="Espera Equipo Reparación"/>
    <s v="Electro Sumergible"/>
    <x v="5"/>
    <s v="Las Heras Bloque 2"/>
    <x v="1"/>
    <s v="NO"/>
    <n v="0.96"/>
    <n v="0"/>
  </r>
  <r>
    <x v="601"/>
    <s v="LH-594"/>
    <x v="0"/>
    <s v="Abandono Permanente"/>
    <s v="No Posee"/>
    <x v="3"/>
    <s v="Las Heras Central Sur"/>
    <x v="0"/>
    <s v="NO"/>
    <n v="0.183"/>
    <n v="0"/>
  </r>
  <r>
    <x v="602"/>
    <s v="LH-652"/>
    <x v="0"/>
    <s v="Abandono Permanente"/>
    <s v="No Posee"/>
    <x v="3"/>
    <s v="Las Heras Central Sur"/>
    <x v="0"/>
    <s v="NO"/>
    <n v="0"/>
    <n v="0"/>
  </r>
  <r>
    <x v="603"/>
    <s v="LH-653"/>
    <x v="0"/>
    <s v="Produciendo"/>
    <s v="Bombeo Mecánico"/>
    <x v="1"/>
    <s v="Las Heras Central Sur"/>
    <x v="0"/>
    <s v="NO"/>
    <n v="0.65500000000000003"/>
    <n v="0"/>
  </r>
  <r>
    <x v="604"/>
    <s v="LH-668"/>
    <x v="0"/>
    <s v="Reserva Recuperación Secundaria"/>
    <s v="Pistoneo"/>
    <x v="4"/>
    <s v="Las Heras Central Sur"/>
    <x v="0"/>
    <s v="NO"/>
    <n v="0.127"/>
    <n v="0"/>
  </r>
  <r>
    <x v="605"/>
    <s v="LH-949"/>
    <x v="0"/>
    <s v="Reserva Recuperación Secundaria"/>
    <s v="No Posee"/>
    <x v="4"/>
    <s v="Las Heras Bloque 2"/>
    <x v="0"/>
    <s v="NO"/>
    <n v="1.05"/>
    <n v="0"/>
  </r>
  <r>
    <x v="606"/>
    <s v="CG-164"/>
    <x v="0"/>
    <s v="Produciendo"/>
    <s v="Inyección"/>
    <x v="1"/>
    <s v="Barranca Baya Bloque 26"/>
    <x v="0"/>
    <s v="NO"/>
    <n v="0"/>
    <n v="0"/>
  </r>
  <r>
    <x v="607"/>
    <s v="CG-297"/>
    <x v="0"/>
    <s v="Reserva Recuperación Secundaria"/>
    <s v="No Posee"/>
    <x v="4"/>
    <s v="Cerro Grande Central"/>
    <x v="0"/>
    <s v="NO"/>
    <n v="0.623"/>
    <n v="0"/>
  </r>
  <r>
    <x v="608"/>
    <s v="CG-314"/>
    <x v="0"/>
    <s v="Produciendo"/>
    <s v="Bombeo Mecánico"/>
    <x v="1"/>
    <s v="Cerro Grande Central"/>
    <x v="0"/>
    <s v="NO"/>
    <n v="1.62"/>
    <n v="0"/>
  </r>
  <r>
    <x v="609"/>
    <s v="CG-373"/>
    <x v="0"/>
    <s v="Produciendo"/>
    <s v="Inyección"/>
    <x v="1"/>
    <s v="Cerro Grande Central"/>
    <x v="0"/>
    <s v="NO"/>
    <n v="0"/>
    <n v="0"/>
  </r>
  <r>
    <x v="610"/>
    <s v="CG-454"/>
    <x v="0"/>
    <s v="Reserva Recuperación Secundaria"/>
    <s v="Bombeo Mecánico"/>
    <x v="4"/>
    <s v="Barranca Baya Bloque 26"/>
    <x v="0"/>
    <s v="NO"/>
    <n v="0.18"/>
    <n v="0"/>
  </r>
  <r>
    <x v="611"/>
    <s v="CG-456"/>
    <x v="0"/>
    <s v="Produciendo"/>
    <s v="Bombeo Mecánico"/>
    <x v="1"/>
    <s v="Cerro Grande Central"/>
    <x v="0"/>
    <s v="NO"/>
    <n v="0.86399999999999999"/>
    <n v="0"/>
  </r>
  <r>
    <x v="612"/>
    <s v="CG-461"/>
    <x v="0"/>
    <s v="Produciendo"/>
    <s v="Bombeo Mecánico"/>
    <x v="1"/>
    <s v="Cerro Grande Noreste"/>
    <x v="0"/>
    <s v="NO"/>
    <n v="0.57999999999999996"/>
    <n v="0"/>
  </r>
  <r>
    <x v="613"/>
    <s v="CG-483"/>
    <x v="0"/>
    <s v="Produciendo"/>
    <s v="Cavidad Progresiva"/>
    <x v="1"/>
    <s v="Barranca Baya Cerro Grande Noroeste"/>
    <x v="0"/>
    <s v="NO"/>
    <n v="0.88200000000000001"/>
    <n v="0"/>
  </r>
  <r>
    <x v="614"/>
    <s v="CG-509"/>
    <x v="0"/>
    <s v="Reserva Recuperación Secundaria"/>
    <s v="Pistoneo"/>
    <x v="4"/>
    <s v="Barranca Baya Las Heras Bloque 3"/>
    <x v="0"/>
    <s v="NO"/>
    <n v="0.108"/>
    <n v="0"/>
  </r>
  <r>
    <x v="615"/>
    <s v="CnE-43"/>
    <x v="0"/>
    <s v="Espera Equipo Reparación"/>
    <s v="Inyección"/>
    <x v="5"/>
    <s v="Barranca Baya Bloque 26"/>
    <x v="1"/>
    <s v="NO"/>
    <n v="0"/>
    <s v="Ultimo Año"/>
  </r>
  <r>
    <x v="616"/>
    <s v="CnE-55"/>
    <x v="0"/>
    <s v="En Estudio"/>
    <s v="Electro Sumergible"/>
    <x v="5"/>
    <s v="Barranca Baya Bloque 26"/>
    <x v="1"/>
    <s v="NO"/>
    <n v="1.03"/>
    <n v="0"/>
  </r>
  <r>
    <x v="617"/>
    <s v="CnE-70"/>
    <x v="0"/>
    <s v="Espera Equipo Reparación"/>
    <s v="Inyección"/>
    <x v="5"/>
    <s v="Barranca Baya Bloque 26"/>
    <x v="1"/>
    <s v="NO"/>
    <n v="0"/>
    <n v="0"/>
  </r>
  <r>
    <x v="618"/>
    <s v="CnE-92"/>
    <x v="0"/>
    <s v="Parado Alta Rap"/>
    <s v="No Posee"/>
    <x v="5"/>
    <s v="Barranca Baya Bloque 36"/>
    <x v="1"/>
    <s v="NO"/>
    <n v="0.04"/>
    <n v="0"/>
  </r>
  <r>
    <x v="619"/>
    <s v="CnE-342"/>
    <x v="0"/>
    <s v="Produciendo"/>
    <s v="Electro Sumergible"/>
    <x v="1"/>
    <s v="Barranca Baya Bloque 36"/>
    <x v="0"/>
    <s v="NO"/>
    <n v="2.5"/>
    <n v="0"/>
  </r>
  <r>
    <x v="620"/>
    <s v="CnE-358"/>
    <x v="0"/>
    <s v="Produciendo"/>
    <s v="Electro Sumergible"/>
    <x v="1"/>
    <s v="Barranca Baya Bloque 36"/>
    <x v="0"/>
    <s v="NO"/>
    <n v="0.73"/>
    <n v="0"/>
  </r>
  <r>
    <x v="621"/>
    <s v="CnE-440"/>
    <x v="0"/>
    <s v="Reserva Recuperación Secundaria"/>
    <s v="No Posee"/>
    <x v="4"/>
    <s v="Barranca Baya Bloque 36"/>
    <x v="0"/>
    <s v="NO"/>
    <s v="NO"/>
    <s v="NO"/>
  </r>
  <r>
    <x v="622"/>
    <s v="CnE-475"/>
    <x v="0"/>
    <s v="Reserva Recuperación Secundaria"/>
    <s v="No Posee"/>
    <x v="4"/>
    <s v="Barranca Baya Bloque 36"/>
    <x v="0"/>
    <s v="NO"/>
    <n v="0"/>
    <n v="0"/>
  </r>
  <r>
    <x v="623"/>
    <s v="CnE-493"/>
    <x v="0"/>
    <s v="Produciendo"/>
    <s v="Pistoneo"/>
    <x v="1"/>
    <s v="Barranca Baya Bloque 37"/>
    <x v="0"/>
    <s v="NO"/>
    <n v="0.192"/>
    <n v="0"/>
  </r>
  <r>
    <x v="624"/>
    <s v="CnE-584"/>
    <x v="0"/>
    <s v="Produciendo"/>
    <s v="Pistoneo"/>
    <x v="1"/>
    <s v="Barranca Baya Bloque 36"/>
    <x v="0"/>
    <s v="NO"/>
    <n v="0.115"/>
    <n v="0"/>
  </r>
  <r>
    <x v="625"/>
    <s v="CnE-620"/>
    <x v="0"/>
    <s v="Espera Equipo Reparación"/>
    <s v="Surgente"/>
    <x v="6"/>
    <s v="Barranca Baya"/>
    <x v="0"/>
    <s v="Oportunidad"/>
    <n v="3.0000000000000001E-3"/>
    <n v="0"/>
  </r>
  <r>
    <x v="626"/>
    <s v="CnE-668"/>
    <x v="0"/>
    <s v="Reserva Recuperación Secundaria"/>
    <s v="Pistoneo"/>
    <x v="4"/>
    <s v="Barranca Baya Bloque 37"/>
    <x v="0"/>
    <s v="NO"/>
    <n v="9.6000000000000002E-2"/>
    <n v="0"/>
  </r>
  <r>
    <x v="627"/>
    <s v="CnE-688"/>
    <x v="0"/>
    <s v="Produciendo"/>
    <s v="Bombeo Mecánico"/>
    <x v="1"/>
    <s v="Barranca Baya Bloque 36"/>
    <x v="0"/>
    <s v="NO"/>
    <n v="0.21400000000000002"/>
    <n v="0"/>
  </r>
  <r>
    <x v="628"/>
    <s v="CnE-739"/>
    <x v="0"/>
    <s v="Reserva Recuperación Secundaria"/>
    <s v="Inyección"/>
    <x v="4"/>
    <s v="Barranca Baya Bloque 37"/>
    <x v="0"/>
    <s v="NO"/>
    <n v="0"/>
    <n v="0"/>
  </r>
  <r>
    <x v="629"/>
    <s v="CnE-755"/>
    <x v="0"/>
    <s v="Espera Equipo Reparación"/>
    <s v="Inyección"/>
    <x v="5"/>
    <s v="Barranca Baya Bloque 37"/>
    <x v="1"/>
    <s v="NO"/>
    <n v="0"/>
    <n v="0"/>
  </r>
  <r>
    <x v="630"/>
    <s v="CnE-808"/>
    <x v="0"/>
    <s v="Produciendo"/>
    <s v="Pistoneo"/>
    <x v="1"/>
    <s v="Barranca Baya Bloque 38"/>
    <x v="0"/>
    <s v="NO"/>
    <n v="9.5000000000000001E-2"/>
    <n v="0"/>
  </r>
  <r>
    <x v="631"/>
    <s v="CnE-817"/>
    <x v="0"/>
    <s v="Produciendo"/>
    <s v="Bombeo Mecánico"/>
    <x v="1"/>
    <s v="Barranca Baya Bloque 30"/>
    <x v="0"/>
    <s v="NO"/>
    <n v="2.04"/>
    <n v="0"/>
  </r>
  <r>
    <x v="632"/>
    <s v="CnE-831"/>
    <x v="0"/>
    <s v="Abandono Permanente"/>
    <s v="No Posee"/>
    <x v="3"/>
    <s v="Barranca Baya Bloque 36"/>
    <x v="0"/>
    <s v="NO"/>
    <s v="NO"/>
    <s v="NO"/>
  </r>
  <r>
    <x v="633"/>
    <s v="BB-57"/>
    <x v="0"/>
    <s v="En Estudio"/>
    <s v="Bombeo Mecánico"/>
    <x v="5"/>
    <s v="Barranca Baya"/>
    <x v="1"/>
    <s v="NO"/>
    <n v="0.88200000000000001"/>
    <n v="0"/>
  </r>
  <r>
    <x v="634"/>
    <s v="BB-81"/>
    <x v="0"/>
    <s v="Abandono Permanente"/>
    <s v="No Posee"/>
    <x v="3"/>
    <s v="Barranca Baya"/>
    <x v="0"/>
    <s v="NO"/>
    <n v="0"/>
    <n v="0"/>
  </r>
  <r>
    <x v="635"/>
    <s v="N-10"/>
    <x v="0"/>
    <s v="Reserva Recuperación Secundaria"/>
    <s v="No Posee"/>
    <x v="4"/>
    <s v="Las Heras Central Sur"/>
    <x v="0"/>
    <s v="NO"/>
    <n v="0.15"/>
    <n v="0"/>
  </r>
  <r>
    <x v="636"/>
    <s v="CnE-152"/>
    <x v="0"/>
    <s v="Reserva Recuperación Secundaria"/>
    <s v="No Posee"/>
    <x v="4"/>
    <s v="Barranca Baya Bloque 26"/>
    <x v="0"/>
    <s v="NO"/>
    <n v="0.72"/>
    <n v="0"/>
  </r>
  <r>
    <x v="637"/>
    <s v="CnE-256"/>
    <x v="0"/>
    <s v="Espera Equipo Reparación"/>
    <s v="Inyección"/>
    <x v="5"/>
    <s v="Barranca Baya Bloque 30"/>
    <x v="1"/>
    <s v="NO"/>
    <n v="0"/>
    <s v="Ultimo Año"/>
  </r>
  <r>
    <x v="638"/>
    <s v="CnE-260"/>
    <x v="0"/>
    <s v="Produciendo"/>
    <s v="Bombeo Mecánico"/>
    <x v="1"/>
    <s v="Barranca Baya Bloque 30"/>
    <x v="0"/>
    <s v="NO"/>
    <n v="0.97600000000000009"/>
    <n v="0"/>
  </r>
  <r>
    <x v="639"/>
    <s v="CnE-448"/>
    <x v="0"/>
    <s v="Produciendo"/>
    <s v="Bombeo Mecánico"/>
    <x v="1"/>
    <s v="Barranca Baya Bloque 36"/>
    <x v="0"/>
    <s v="NO"/>
    <n v="1.35"/>
    <n v="0"/>
  </r>
  <r>
    <x v="640"/>
    <s v="CnE-455"/>
    <x v="0"/>
    <s v="Reserva Recuperación Secundaria"/>
    <s v="No Posee"/>
    <x v="4"/>
    <s v="Barranca Baya Bloque 30"/>
    <x v="0"/>
    <s v="NO"/>
    <n v="0.5"/>
    <n v="0"/>
  </r>
  <r>
    <x v="641"/>
    <s v="CnE-469"/>
    <x v="0"/>
    <s v="Espera Equipo Reparación"/>
    <s v="Bombeo Mecánico"/>
    <x v="5"/>
    <s v="Barranca Baya Bloque 37"/>
    <x v="1"/>
    <s v="NO"/>
    <n v="1"/>
    <n v="0"/>
  </r>
  <r>
    <x v="642"/>
    <s v="CnE-658"/>
    <x v="0"/>
    <s v="Produciendo"/>
    <s v="Electro Sumergible"/>
    <x v="1"/>
    <s v="Barranca Baya Bloque 37"/>
    <x v="0"/>
    <s v="NO"/>
    <n v="1.6140000000000001"/>
    <n v="0"/>
  </r>
  <r>
    <x v="643"/>
    <s v="CnE-662"/>
    <x v="0"/>
    <s v="Produciendo"/>
    <s v="Inyección"/>
    <x v="1"/>
    <s v="Barranca Baya Bloque 37"/>
    <x v="0"/>
    <s v="NO"/>
    <n v="0"/>
    <n v="0"/>
  </r>
  <r>
    <x v="644"/>
    <s v="CnE-701"/>
    <x v="0"/>
    <s v="Produciendo"/>
    <s v="Electro Sumergible"/>
    <x v="1"/>
    <s v="Barranca Baya Bloque 36"/>
    <x v="0"/>
    <s v="NO"/>
    <n v="1.5"/>
    <n v="0"/>
  </r>
  <r>
    <x v="645"/>
    <s v="CnE-825"/>
    <x v="0"/>
    <s v="Produciendo"/>
    <s v="Pistoneo"/>
    <x v="1"/>
    <s v="Barranca Baya Bloque 36"/>
    <x v="0"/>
    <s v="NO"/>
    <n v="9.6000000000000002E-2"/>
    <n v="0"/>
  </r>
  <r>
    <x v="646"/>
    <s v="CnE-9"/>
    <x v="0"/>
    <s v="Abandono Permanente"/>
    <s v="No Posee"/>
    <x v="3"/>
    <s v="Barranca Baya Bloque 36"/>
    <x v="0"/>
    <s v="NO"/>
    <s v="NO"/>
    <s v="NO"/>
  </r>
  <r>
    <x v="647"/>
    <s v="CnE-81"/>
    <x v="0"/>
    <s v="Produciendo"/>
    <s v="Pistoneo"/>
    <x v="1"/>
    <s v="Barranca Baya Bloque 40"/>
    <x v="0"/>
    <s v="NO"/>
    <n v="0.115"/>
    <n v="0"/>
  </r>
  <r>
    <x v="648"/>
    <s v="CnE-225"/>
    <x v="0"/>
    <s v="A Abandonar"/>
    <s v="No Posee"/>
    <x v="5"/>
    <s v="Barranca Baya Bloque 30"/>
    <x v="1"/>
    <s v="NO"/>
    <s v="NO"/>
    <s v="NO"/>
  </r>
  <r>
    <x v="649"/>
    <s v="LH-273"/>
    <x v="0"/>
    <s v="Abandono Permanente"/>
    <s v="No Posee"/>
    <x v="3"/>
    <s v="Las Heras Central Sur"/>
    <x v="0"/>
    <s v="NO"/>
    <s v="NO"/>
    <s v="NO"/>
  </r>
  <r>
    <x v="650"/>
    <s v="LH-538"/>
    <x v="0"/>
    <s v="Abandono Permanente"/>
    <s v="No Posee"/>
    <x v="3"/>
    <s v="Las Heras Las Heras Bloque 3"/>
    <x v="0"/>
    <s v="NO"/>
    <n v="0.54"/>
    <n v="0"/>
  </r>
  <r>
    <x v="651"/>
    <s v="LH-567"/>
    <x v="0"/>
    <s v="Reserva Recuperación Secundaria"/>
    <s v="No Posee"/>
    <x v="4"/>
    <s v="Las Heras Central Sur"/>
    <x v="0"/>
    <s v="NO"/>
    <s v="NO"/>
    <s v="NO"/>
  </r>
  <r>
    <x v="652"/>
    <s v="CG-130"/>
    <x v="0"/>
    <s v="Reserva Recuperación Secundaria"/>
    <s v="No Posee"/>
    <x v="4"/>
    <s v="Cerro Grande Central"/>
    <x v="0"/>
    <s v="NO"/>
    <s v="NO"/>
    <s v="NO"/>
  </r>
  <r>
    <x v="653"/>
    <s v="CG-524"/>
    <x v="0"/>
    <s v="Produciendo"/>
    <s v="Bombeo Mecánico"/>
    <x v="1"/>
    <s v="Cerro Grande Central"/>
    <x v="0"/>
    <s v="NO"/>
    <n v="1.1140000000000001"/>
    <n v="0"/>
  </r>
  <r>
    <x v="654"/>
    <s v="LH-975a"/>
    <x v="0"/>
    <s v="Reserva Recuperación Secundaria"/>
    <s v="No Posee"/>
    <x v="4"/>
    <s v="Las Heras Central Sur"/>
    <x v="0"/>
    <s v="NO"/>
    <n v="0.76800000000000002"/>
    <n v="0"/>
  </r>
  <r>
    <x v="655"/>
    <s v="LH-1020a"/>
    <x v="0"/>
    <s v="Parado Alta Rap"/>
    <s v="Bombeo Mecánico"/>
    <x v="5"/>
    <s v="Las Heras Central Sur"/>
    <x v="1"/>
    <s v="NO"/>
    <n v="0.31"/>
    <n v="0"/>
  </r>
  <r>
    <x v="656"/>
    <s v="LH-1053a"/>
    <x v="0"/>
    <s v="Abandono Permanente"/>
    <s v="No Posee"/>
    <x v="3"/>
    <s v="Las Heras Central Sur"/>
    <x v="0"/>
    <s v="NO"/>
    <n v="0.20300000000000001"/>
    <n v="0"/>
  </r>
  <r>
    <x v="657"/>
    <s v="LH-1103a"/>
    <x v="0"/>
    <s v="Produciendo"/>
    <s v="Bombeo Mecánico"/>
    <x v="1"/>
    <s v="Las Heras Bloque 2"/>
    <x v="0"/>
    <s v="NO"/>
    <n v="0.60799999999999998"/>
    <n v="0"/>
  </r>
  <r>
    <x v="658"/>
    <s v="LH-1109a"/>
    <x v="0"/>
    <s v="Produciendo"/>
    <s v="Inyección"/>
    <x v="1"/>
    <s v="Las Heras Las Heras Bloque 3"/>
    <x v="0"/>
    <s v="NO"/>
    <n v="0"/>
    <n v="0"/>
  </r>
  <r>
    <x v="659"/>
    <s v="LH-1157a"/>
    <x v="0"/>
    <s v="Produciendo"/>
    <s v="Bombeo Mecánico"/>
    <x v="1"/>
    <s v="Las Heras Central Sur"/>
    <x v="0"/>
    <s v="NO"/>
    <n v="0.9"/>
    <n v="0"/>
  </r>
  <r>
    <x v="660"/>
    <s v="CnE-967"/>
    <x v="0"/>
    <s v="Produciendo"/>
    <s v="Inyección"/>
    <x v="1"/>
    <s v="Barranca Baya Bloque 36"/>
    <x v="0"/>
    <s v="NO"/>
    <n v="0"/>
    <n v="0"/>
  </r>
  <r>
    <x v="661"/>
    <s v="CG-635"/>
    <x v="0"/>
    <s v="Produciendo"/>
    <s v="Bombeo Mecánico"/>
    <x v="1"/>
    <s v="Cerro Grande Central"/>
    <x v="0"/>
    <s v="NO"/>
    <n v="0.92"/>
    <n v="0"/>
  </r>
  <r>
    <x v="662"/>
    <s v="CG-654"/>
    <x v="0"/>
    <s v="Produciendo"/>
    <s v="Bombeo Mecánico"/>
    <x v="1"/>
    <s v="Cerro Grande Central"/>
    <x v="0"/>
    <s v="NO"/>
    <n v="1.2"/>
    <n v="0"/>
  </r>
  <r>
    <x v="663"/>
    <s v="CnE-1043"/>
    <x v="0"/>
    <s v="En Estudio"/>
    <s v="Pistoneo"/>
    <x v="0"/>
    <s v="Barranca Baya Bloque 36"/>
    <x v="0"/>
    <s v="NO"/>
    <n v="0.1"/>
    <s v="Ultimos 6 meses"/>
  </r>
  <r>
    <x v="664"/>
    <s v="CG-695"/>
    <x v="0"/>
    <s v="Reserva Recuperación Secundaria"/>
    <s v="Pistoneo"/>
    <x v="4"/>
    <s v="Cerro Grande Central"/>
    <x v="0"/>
    <s v="NO"/>
    <n v="0.01"/>
    <n v="0"/>
  </r>
  <r>
    <x v="665"/>
    <s v="CG-794"/>
    <x v="0"/>
    <s v="Produciendo"/>
    <s v="Bombeo Mecánico"/>
    <x v="1"/>
    <s v="Cerro Grande Central"/>
    <x v="0"/>
    <s v="NO"/>
    <n v="0.99399999999999999"/>
    <n v="0"/>
  </r>
  <r>
    <x v="666"/>
    <s v="CG-831"/>
    <x v="0"/>
    <s v="Produciendo"/>
    <s v="Bombeo Mecánico"/>
    <x v="1"/>
    <s v="Cerro Grande Central"/>
    <x v="0"/>
    <s v="NO"/>
    <n v="2.3000000000000003"/>
    <n v="0"/>
  </r>
  <r>
    <x v="667"/>
    <s v="LH-1226"/>
    <x v="0"/>
    <s v="Produciendo"/>
    <s v="Bombeo Mecánico"/>
    <x v="1"/>
    <s v="Las Heras Cerro Grande Sur"/>
    <x v="0"/>
    <s v="NO"/>
    <n v="3.2"/>
    <n v="0"/>
  </r>
  <r>
    <x v="668"/>
    <s v="CG-895"/>
    <x v="0"/>
    <s v="Produciendo"/>
    <s v="Bombeo Mecánico"/>
    <x v="1"/>
    <s v="Barranca Baya Bloque 26"/>
    <x v="0"/>
    <s v="NO"/>
    <n v="1.4850000000000001"/>
    <n v="0"/>
  </r>
  <r>
    <x v="669"/>
    <s v="CnE-1318"/>
    <x v="0"/>
    <s v="En Estudio"/>
    <s v="Bombeo Mecánico"/>
    <x v="5"/>
    <s v="Barranca Baya Bloque 36"/>
    <x v="1"/>
    <s v="NO"/>
    <n v="0.8"/>
    <n v="0"/>
  </r>
  <r>
    <x v="670"/>
    <s v="LH-1251"/>
    <x v="0"/>
    <s v="Produciendo"/>
    <s v="Bombeo Mecánico"/>
    <x v="1"/>
    <s v="Las Heras Bloque 2"/>
    <x v="0"/>
    <s v="NO"/>
    <n v="1.155"/>
    <n v="0"/>
  </r>
  <r>
    <x v="671"/>
    <s v="BB-137"/>
    <x v="0"/>
    <s v="Espera Equipo Reparación"/>
    <s v="Bombeo Mecánico"/>
    <x v="5"/>
    <s v="Barranca Baya"/>
    <x v="1"/>
    <s v="NO"/>
    <n v="0.33"/>
    <n v="0"/>
  </r>
  <r>
    <x v="672"/>
    <s v="LH-1200"/>
    <x v="0"/>
    <s v="Produciendo"/>
    <s v="Bombeo Mecánico"/>
    <x v="1"/>
    <s v="Las Heras Central Sur"/>
    <x v="0"/>
    <s v="NO"/>
    <n v="0.85"/>
    <n v="0"/>
  </r>
  <r>
    <x v="673"/>
    <s v="CG-902"/>
    <x v="0"/>
    <s v="En Estudio"/>
    <s v="Bombeo Mecánico"/>
    <x v="5"/>
    <s v="Barranca Baya Bloque 26"/>
    <x v="1"/>
    <s v="NO"/>
    <n v="0.18"/>
    <n v="0"/>
  </r>
  <r>
    <x v="674"/>
    <s v="CnE-1420"/>
    <x v="0"/>
    <s v="Abandono Permanente"/>
    <s v="No Posee"/>
    <x v="3"/>
    <s v="Barranca Baya Bloque 30"/>
    <x v="0"/>
    <s v="NO"/>
    <n v="0.68"/>
    <n v="0"/>
  </r>
  <r>
    <x v="675"/>
    <s v="CnE-995"/>
    <x v="0"/>
    <s v="Produciendo"/>
    <s v="Bombeo Mecánico"/>
    <x v="1"/>
    <s v="Barranca Baya Bloque 36"/>
    <x v="0"/>
    <s v="NO"/>
    <n v="0.42500000000000004"/>
    <n v="0"/>
  </r>
  <r>
    <x v="676"/>
    <s v="LH-316"/>
    <x v="0"/>
    <s v="Abandono Permanente"/>
    <s v="No Posee"/>
    <x v="3"/>
    <s v="Las Heras Central Sur"/>
    <x v="0"/>
    <s v="NO"/>
    <s v="NO"/>
    <s v="NO"/>
  </r>
  <r>
    <x v="677"/>
    <s v="LH-525"/>
    <x v="0"/>
    <s v="Reserva Recuperación Secundaria"/>
    <s v="Pistoneo"/>
    <x v="4"/>
    <s v="Las Heras Central Sur"/>
    <x v="0"/>
    <s v="NO"/>
    <n v="0.14100000000000001"/>
    <n v="0"/>
  </r>
  <r>
    <x v="678"/>
    <s v="LH-683"/>
    <x v="0"/>
    <s v="Reserva Recuperación Secundaria"/>
    <s v="Bombeo Mecánico"/>
    <x v="4"/>
    <s v="Las Heras Central Sur"/>
    <x v="0"/>
    <s v="NO"/>
    <n v="0.13800000000000001"/>
    <n v="0"/>
  </r>
  <r>
    <x v="679"/>
    <s v="LH-730"/>
    <x v="0"/>
    <s v="Produciendo"/>
    <s v="Bombeo Mecánico"/>
    <x v="1"/>
    <s v="Las Heras Central Sur"/>
    <x v="0"/>
    <s v="NO"/>
    <n v="0.96"/>
    <n v="0"/>
  </r>
  <r>
    <x v="680"/>
    <s v="LH-829"/>
    <x v="0"/>
    <s v="Reserva Recuperación Secundaria"/>
    <s v="Pistoneo"/>
    <x v="4"/>
    <s v="Las Heras Central Sur"/>
    <x v="0"/>
    <s v="NO"/>
    <n v="9.7000000000000003E-2"/>
    <n v="0"/>
  </r>
  <r>
    <x v="681"/>
    <s v="LH-844"/>
    <x v="0"/>
    <s v="Abandono Permanente"/>
    <s v="No Posee"/>
    <x v="3"/>
    <s v="Las Heras Las Heras Bloque 3"/>
    <x v="0"/>
    <s v="NO"/>
    <n v="0"/>
    <n v="0"/>
  </r>
  <r>
    <x v="682"/>
    <s v="LH-860"/>
    <x v="0"/>
    <s v="Abandono Permanente"/>
    <s v="No Posee"/>
    <x v="3"/>
    <s v="Las Heras Central Sur"/>
    <x v="0"/>
    <s v="NO"/>
    <n v="0"/>
    <n v="0"/>
  </r>
  <r>
    <x v="683"/>
    <s v="LH-885"/>
    <x v="0"/>
    <s v="Abandono Permanente"/>
    <s v="No Posee"/>
    <x v="3"/>
    <s v="Las Heras Las Heras Bloque 3"/>
    <x v="0"/>
    <s v="NO"/>
    <n v="0"/>
    <n v="0"/>
  </r>
  <r>
    <x v="684"/>
    <s v="LH-954"/>
    <x v="0"/>
    <s v="Produciendo"/>
    <s v="Cavidad Progresiva"/>
    <x v="1"/>
    <s v="Las Heras Las Heras Bloque 3"/>
    <x v="0"/>
    <s v="NO"/>
    <n v="0.28000000000000003"/>
    <n v="0"/>
  </r>
  <r>
    <x v="685"/>
    <s v="CG-112"/>
    <x v="0"/>
    <s v="En Estudio"/>
    <s v="Bombeo Mecánico"/>
    <x v="5"/>
    <s v="Barranca Baya Bloque 26"/>
    <x v="1"/>
    <s v="NO"/>
    <n v="0.05"/>
    <n v="0"/>
  </r>
  <r>
    <x v="686"/>
    <s v="CnE-164"/>
    <x v="0"/>
    <s v="Abandono Permanente"/>
    <s v="No Posee"/>
    <x v="3"/>
    <s v="Barranca Baya Bloque 30"/>
    <x v="0"/>
    <s v="NO"/>
    <s v="NO"/>
    <s v="NO"/>
  </r>
  <r>
    <x v="687"/>
    <s v="CnE-202"/>
    <x v="0"/>
    <s v="Produciendo"/>
    <s v="Bombeo Mecánico"/>
    <x v="1"/>
    <s v="Barranca Baya Bloque 40"/>
    <x v="0"/>
    <s v="NO"/>
    <n v="0.6"/>
    <n v="0"/>
  </r>
  <r>
    <x v="688"/>
    <s v="CnE-226"/>
    <x v="0"/>
    <s v="Produciendo"/>
    <s v="Pistoneo"/>
    <x v="1"/>
    <s v="Barranca Baya Bloque 37"/>
    <x v="0"/>
    <s v="NO"/>
    <n v="9.6000000000000002E-2"/>
    <n v="0"/>
  </r>
  <r>
    <x v="689"/>
    <s v="CnE-276"/>
    <x v="0"/>
    <s v="Produciendo"/>
    <s v="Bombeo Mecánico"/>
    <x v="1"/>
    <s v="Barranca Baya Bloque 30"/>
    <x v="0"/>
    <s v="NO"/>
    <n v="0.95000000000000007"/>
    <n v="0"/>
  </r>
  <r>
    <x v="690"/>
    <s v="CnE-332"/>
    <x v="0"/>
    <s v="Produciendo"/>
    <s v="Inyección"/>
    <x v="1"/>
    <s v="Barranca Baya Bloque 36"/>
    <x v="0"/>
    <s v="NO"/>
    <n v="0"/>
    <n v="0"/>
  </r>
  <r>
    <x v="691"/>
    <s v="CnE-405"/>
    <x v="0"/>
    <s v="Espera Equipo Reparación"/>
    <s v="Bombeo Mecánico"/>
    <x v="5"/>
    <s v="Barranca Baya Bloque 36"/>
    <x v="1"/>
    <s v="NO"/>
    <n v="0.3"/>
    <n v="0"/>
  </r>
  <r>
    <x v="692"/>
    <s v="CnE-454"/>
    <x v="0"/>
    <s v="Produciendo"/>
    <s v="Bombeo Mecánico"/>
    <x v="1"/>
    <s v="Barranca Baya Bloque 30"/>
    <x v="0"/>
    <s v="NO"/>
    <n v="1.47"/>
    <n v="0"/>
  </r>
  <r>
    <x v="693"/>
    <s v="CnE-485"/>
    <x v="0"/>
    <s v="Produciendo"/>
    <s v="Bombeo Mecánico"/>
    <x v="1"/>
    <s v="Barranca Baya Bloque 37"/>
    <x v="0"/>
    <s v="NO"/>
    <n v="0.80300000000000005"/>
    <n v="0"/>
  </r>
  <r>
    <x v="694"/>
    <s v="CnE-497"/>
    <x v="0"/>
    <s v="Produciendo"/>
    <s v="Pistoneo"/>
    <x v="1"/>
    <s v="Barranca Baya"/>
    <x v="0"/>
    <s v="NO"/>
    <n v="0.248"/>
    <n v="0"/>
  </r>
  <r>
    <x v="695"/>
    <s v="CnE-610"/>
    <x v="0"/>
    <s v="Abandono Permanente"/>
    <s v="No Posee"/>
    <x v="3"/>
    <s v="Barranca Baya Bloque 37"/>
    <x v="0"/>
    <s v="NO"/>
    <s v="NO"/>
    <s v="NO"/>
  </r>
  <r>
    <x v="696"/>
    <s v="CnE-632"/>
    <x v="0"/>
    <s v="Produciendo"/>
    <s v="Electro Sumergible"/>
    <x v="1"/>
    <s v="Barranca Baya Bloque 36"/>
    <x v="0"/>
    <s v="NO"/>
    <n v="2.4"/>
    <n v="0"/>
  </r>
  <r>
    <x v="697"/>
    <s v="CnE-710"/>
    <x v="0"/>
    <s v="Produciendo"/>
    <s v="Inyección"/>
    <x v="1"/>
    <s v="Barranca Baya Bloque 38"/>
    <x v="0"/>
    <s v="NO"/>
    <n v="0"/>
    <n v="0"/>
  </r>
  <r>
    <x v="698"/>
    <s v="CnE-780"/>
    <x v="0"/>
    <s v="Produciendo"/>
    <s v="Bombeo Mecánico"/>
    <x v="1"/>
    <s v="Barranca Baya Bloque 36"/>
    <x v="0"/>
    <s v="NO"/>
    <n v="2.64"/>
    <n v="0"/>
  </r>
  <r>
    <x v="699"/>
    <s v="LH-234"/>
    <x v="0"/>
    <s v="Reserva Recuperación Secundaria"/>
    <s v="Bombeo Mecánico"/>
    <x v="4"/>
    <s v="Las Heras Central Sur"/>
    <x v="0"/>
    <s v="NO"/>
    <n v="1.2E-2"/>
    <n v="0"/>
  </r>
  <r>
    <x v="700"/>
    <s v="CnE-6"/>
    <x v="0"/>
    <s v="Abandono Permanente"/>
    <s v="No Posee"/>
    <x v="3"/>
    <s v="Barranca Baya Bloque 40"/>
    <x v="0"/>
    <s v="NO"/>
    <s v="NO"/>
    <s v="NO"/>
  </r>
  <r>
    <x v="701"/>
    <s v="CnE-27"/>
    <x v="0"/>
    <s v="Reserva Recuperación Secundaria"/>
    <s v="Bombeo Mecánico"/>
    <x v="4"/>
    <s v="Barranca Baya Bloque 30"/>
    <x v="0"/>
    <s v="NO"/>
    <n v="0.36"/>
    <n v="0"/>
  </r>
  <r>
    <x v="702"/>
    <s v="CnE-57"/>
    <x v="0"/>
    <s v="Produciendo"/>
    <s v="Bombeo Mecánico"/>
    <x v="1"/>
    <s v="Barranca Baya Bloque 26"/>
    <x v="0"/>
    <s v="NO"/>
    <n v="2.5"/>
    <n v="0"/>
  </r>
  <r>
    <x v="703"/>
    <s v="CnE-192"/>
    <x v="0"/>
    <s v="Abandono Permanente"/>
    <s v="No Posee"/>
    <x v="3"/>
    <s v="Barranca Baya Bloque 30"/>
    <x v="0"/>
    <s v="NO"/>
    <s v="NO"/>
    <s v="NO"/>
  </r>
  <r>
    <x v="704"/>
    <s v="CnE-271"/>
    <x v="0"/>
    <s v="Reserva Recuperación Secundaria"/>
    <s v="No Posee"/>
    <x v="4"/>
    <s v="Barranca Baya Bloque 30"/>
    <x v="0"/>
    <s v="NO"/>
    <s v="NO"/>
    <s v="NO"/>
  </r>
  <r>
    <x v="705"/>
    <s v="LH-67"/>
    <x v="0"/>
    <s v="Abandono Permanente"/>
    <s v="No Posee"/>
    <x v="3"/>
    <s v="Las Heras Central Sur"/>
    <x v="0"/>
    <s v="NO"/>
    <s v="NO"/>
    <s v="NO"/>
  </r>
  <r>
    <x v="706"/>
    <s v="LH-500"/>
    <x v="0"/>
    <s v="Reserva Recuperación Secundaria"/>
    <s v="Pistoneo"/>
    <x v="4"/>
    <s v="Las Heras Central Sur"/>
    <x v="0"/>
    <s v="NO"/>
    <n v="0.85"/>
    <n v="0"/>
  </r>
  <r>
    <x v="707"/>
    <s v="LH-992a"/>
    <x v="0"/>
    <s v="Produciendo"/>
    <s v="Pistoneo"/>
    <x v="1"/>
    <s v="Las Heras Central Sur"/>
    <x v="0"/>
    <s v="NO"/>
    <n v="0.10400000000000001"/>
    <n v="0"/>
  </r>
  <r>
    <x v="708"/>
    <s v="CG-548a"/>
    <x v="0"/>
    <s v="Produciendo"/>
    <s v="Bombeo Mecánico"/>
    <x v="1"/>
    <s v="Cerro Grande Noreste"/>
    <x v="0"/>
    <s v="NO"/>
    <n v="2.4"/>
    <n v="0"/>
  </r>
  <r>
    <x v="709"/>
    <s v="CG-565a"/>
    <x v="0"/>
    <s v="Produciendo"/>
    <s v="Bombeo Mecánico"/>
    <x v="1"/>
    <s v="Cerro Grande Noreste"/>
    <x v="0"/>
    <s v="NO"/>
    <n v="0.72"/>
    <n v="0"/>
  </r>
  <r>
    <x v="710"/>
    <s v="CG-568a"/>
    <x v="0"/>
    <s v="Produciendo"/>
    <s v="Bombeo Mecánico"/>
    <x v="1"/>
    <s v="Cerro Grande Central"/>
    <x v="0"/>
    <s v="NO"/>
    <n v="1.5"/>
    <n v="0"/>
  </r>
  <r>
    <x v="711"/>
    <s v="CG-588a"/>
    <x v="0"/>
    <s v="Produciendo"/>
    <s v="Inyección"/>
    <x v="1"/>
    <s v="Cerro Grande Noreste"/>
    <x v="0"/>
    <s v="NO"/>
    <n v="0"/>
    <n v="0"/>
  </r>
  <r>
    <x v="712"/>
    <s v="CnE-108"/>
    <x v="0"/>
    <s v="Abandonado Por Razones Técnicas"/>
    <s v="No Posee"/>
    <x v="4"/>
    <s v="Barranca Baya Bloque 26"/>
    <x v="0"/>
    <s v="NO"/>
    <s v="NO"/>
    <s v="NO"/>
  </r>
  <r>
    <x v="713"/>
    <s v="CnE-858"/>
    <x v="0"/>
    <s v="Reserva Recuperación Secundaria"/>
    <s v="No Posee"/>
    <x v="4"/>
    <s v="Barranca Baya Bloque 36"/>
    <x v="0"/>
    <s v="NO"/>
    <n v="0.98"/>
    <n v="0"/>
  </r>
  <r>
    <x v="714"/>
    <s v="CnE-874a"/>
    <x v="0"/>
    <s v="Espera Equipo Reparación"/>
    <s v="Pistoneo"/>
    <x v="0"/>
    <s v="Barranca Baya Bloque 30"/>
    <x v="0"/>
    <s v="NO"/>
    <n v="0.01"/>
    <s v="Ultimos 6 meses"/>
  </r>
  <r>
    <x v="715"/>
    <s v="CnE-918a"/>
    <x v="0"/>
    <s v="Reserva Recuperación Secundaria"/>
    <s v="No Posee"/>
    <x v="4"/>
    <s v="Barranca Baya Bloque 36"/>
    <x v="0"/>
    <s v="NO"/>
    <n v="0.65100000000000002"/>
    <n v="0"/>
  </r>
  <r>
    <x v="716"/>
    <s v="CG-611a"/>
    <x v="0"/>
    <s v="Produciendo"/>
    <s v="Bombeo Mecánico"/>
    <x v="1"/>
    <s v="Cerro Grande Central"/>
    <x v="0"/>
    <s v="NO"/>
    <n v="1.6400000000000001"/>
    <n v="0"/>
  </r>
  <r>
    <x v="717"/>
    <s v="LH-1171"/>
    <x v="0"/>
    <s v="Abandono Permanente"/>
    <s v="No Posee"/>
    <x v="3"/>
    <s v="Las Heras Central Sur"/>
    <x v="0"/>
    <s v="NO"/>
    <n v="4.4000000000000004E-2"/>
    <n v="0"/>
  </r>
  <r>
    <x v="718"/>
    <s v="CG-691"/>
    <x v="0"/>
    <s v="En Estudio"/>
    <s v="Bombeo Mecánico"/>
    <x v="5"/>
    <s v="Cerro Grande Noreste"/>
    <x v="1"/>
    <s v="NO"/>
    <n v="0.45"/>
    <n v="0"/>
  </r>
  <r>
    <x v="719"/>
    <s v="CG-764"/>
    <x v="0"/>
    <s v="Espera Equipo Reparación"/>
    <s v="Bombeo Mecánico"/>
    <x v="0"/>
    <s v="Cerro Grande Central"/>
    <x v="0"/>
    <s v="NO"/>
    <n v="0.66"/>
    <s v="Ultimos 6 meses"/>
  </r>
  <r>
    <x v="720"/>
    <s v="CnE-1210"/>
    <x v="0"/>
    <s v="Produciendo"/>
    <s v="Bombeo Mecánico"/>
    <x v="1"/>
    <s v="Barranca Baya Bloque 30"/>
    <x v="0"/>
    <s v="NO"/>
    <n v="1.36"/>
    <n v="0"/>
  </r>
  <r>
    <x v="721"/>
    <s v="CG-835"/>
    <x v="0"/>
    <s v="Produciendo"/>
    <s v="Bombeo Mecánico"/>
    <x v="1"/>
    <s v="Barranca Baya Cerro Grande Noroeste"/>
    <x v="0"/>
    <s v="NO"/>
    <n v="0.45"/>
    <n v="0"/>
  </r>
  <r>
    <x v="722"/>
    <s v="CnE-1219"/>
    <x v="0"/>
    <s v="Produciendo"/>
    <s v="Bombeo Mecánico"/>
    <x v="1"/>
    <s v="Barranca Baya Bloque 30"/>
    <x v="0"/>
    <s v="Oportunidad"/>
    <n v="0.72"/>
    <n v="0"/>
  </r>
  <r>
    <x v="723"/>
    <s v="CnE-1249"/>
    <x v="0"/>
    <s v="Produciendo"/>
    <s v="Bombeo Mecánico"/>
    <x v="1"/>
    <s v="Barranca Baya Bloque 40"/>
    <x v="0"/>
    <s v="NO"/>
    <n v="2.0150000000000001"/>
    <n v="0"/>
  </r>
  <r>
    <x v="724"/>
    <s v="LH-1249"/>
    <x v="0"/>
    <s v="Produciendo"/>
    <s v="Electro Sumergible"/>
    <x v="1"/>
    <s v="Las Heras Las Heras Bloque 3"/>
    <x v="0"/>
    <s v="NO"/>
    <n v="1.1000000000000001"/>
    <n v="0"/>
  </r>
  <r>
    <x v="725"/>
    <s v="CG-952"/>
    <x v="0"/>
    <s v="Produciendo"/>
    <s v="Bombeo Mecánico"/>
    <x v="1"/>
    <s v="Cerro Grande Noreste"/>
    <x v="0"/>
    <s v="NO"/>
    <n v="2.7"/>
    <n v="0"/>
  </r>
  <r>
    <x v="726"/>
    <s v="CnE.a-1429a"/>
    <x v="0"/>
    <s v="Produciendo"/>
    <s v="Bombeo Mecánico"/>
    <x v="1"/>
    <s v="Barranca Baya Bloque 30"/>
    <x v="0"/>
    <s v="Oportunidad"/>
    <n v="2.16"/>
    <n v="0"/>
  </r>
  <r>
    <x v="727"/>
    <s v="LH-54"/>
    <x v="0"/>
    <s v="Produciendo"/>
    <s v="Bombeo Mecánico"/>
    <x v="1"/>
    <s v="Las Heras Las Heras Bloque 3"/>
    <x v="0"/>
    <s v="NO"/>
    <n v="0.52"/>
    <n v="0"/>
  </r>
  <r>
    <x v="728"/>
    <s v="LH-91"/>
    <x v="0"/>
    <s v="Reserva Recuperación Secundaria"/>
    <s v="Pistoneo"/>
    <x v="4"/>
    <s v="Las Heras Bloque 2"/>
    <x v="0"/>
    <s v="NO"/>
    <n v="0.28900000000000003"/>
    <n v="0"/>
  </r>
  <r>
    <x v="729"/>
    <s v="LH-256"/>
    <x v="0"/>
    <s v="Abandono Permanente"/>
    <s v="No Posee"/>
    <x v="3"/>
    <s v="Las Heras Central Sur"/>
    <x v="0"/>
    <s v="NO"/>
    <n v="5.2000000000000005E-2"/>
    <n v="0"/>
  </r>
  <r>
    <x v="730"/>
    <s v="LH-321"/>
    <x v="0"/>
    <s v="Produciendo"/>
    <s v="Electro Sumergible"/>
    <x v="1"/>
    <s v="Las Heras Central Sur"/>
    <x v="0"/>
    <s v="NO"/>
    <n v="2.19"/>
    <n v="0"/>
  </r>
  <r>
    <x v="731"/>
    <s v="LH-817"/>
    <x v="0"/>
    <s v="Reserva Recuperación Secundaria"/>
    <s v="Pistoneo"/>
    <x v="4"/>
    <s v="Las Heras Bloque 2"/>
    <x v="0"/>
    <s v="NO"/>
    <n v="0.13"/>
    <n v="0"/>
  </r>
  <r>
    <x v="732"/>
    <s v="LH-847"/>
    <x v="0"/>
    <s v="Abandono Permanente"/>
    <s v="No Posee"/>
    <x v="3"/>
    <s v="Las Heras Las Heras Bloque 3"/>
    <x v="0"/>
    <s v="NO"/>
    <n v="0"/>
    <n v="0"/>
  </r>
  <r>
    <x v="733"/>
    <s v="CG-50"/>
    <x v="0"/>
    <s v="Espera Equipo Reparación"/>
    <s v="Bombeo Mecánico"/>
    <x v="5"/>
    <s v="Barranca Baya Bloque 26"/>
    <x v="1"/>
    <s v="NO"/>
    <n v="0.9"/>
    <n v="0"/>
  </r>
  <r>
    <x v="734"/>
    <s v="CG-179"/>
    <x v="0"/>
    <s v="Produciendo"/>
    <s v="Bombeo Mecánico"/>
    <x v="1"/>
    <s v="Cerro Grande Central"/>
    <x v="0"/>
    <s v="NO"/>
    <n v="2.0590000000000002"/>
    <n v="0"/>
  </r>
  <r>
    <x v="735"/>
    <s v="CG-224"/>
    <x v="0"/>
    <s v="Reserva Recuperación Secundaria"/>
    <s v="No Posee"/>
    <x v="4"/>
    <s v="Barranca Baya Cerro Grande Norte"/>
    <x v="0"/>
    <s v="NO"/>
    <n v="0"/>
    <n v="0"/>
  </r>
  <r>
    <x v="736"/>
    <s v="CG-384"/>
    <x v="0"/>
    <s v="Reserva Recuperación Secundaria"/>
    <s v="Inyección"/>
    <x v="4"/>
    <s v="Barranca Baya Bloque 26"/>
    <x v="0"/>
    <s v="NO"/>
    <n v="0"/>
    <n v="0"/>
  </r>
  <r>
    <x v="737"/>
    <s v="CG-386"/>
    <x v="0"/>
    <s v="Espera Equipo Reparación"/>
    <s v="Inyección"/>
    <x v="5"/>
    <s v="Barranca Baya Cerro Grande Norte"/>
    <x v="1"/>
    <s v="NO"/>
    <n v="0"/>
    <n v="0"/>
  </r>
  <r>
    <x v="738"/>
    <s v="CG-405"/>
    <x v="0"/>
    <s v="Produciendo"/>
    <s v="Pistoneo"/>
    <x v="1"/>
    <s v="Cerro Grande Central"/>
    <x v="0"/>
    <s v="NO"/>
    <n v="0.10400000000000001"/>
    <n v="0"/>
  </r>
  <r>
    <x v="739"/>
    <s v="CnE-100"/>
    <x v="0"/>
    <s v="Produciendo"/>
    <s v="Electro Sumergible"/>
    <x v="1"/>
    <s v="Barranca Baya Bloque 26"/>
    <x v="0"/>
    <s v="NO"/>
    <n v="0.625"/>
    <n v="0"/>
  </r>
  <r>
    <x v="740"/>
    <s v="CnE-120"/>
    <x v="0"/>
    <s v="Produciendo"/>
    <s v="Bombeo Mecánico"/>
    <x v="1"/>
    <s v="Barranca Baya Bloque 40"/>
    <x v="0"/>
    <s v="NO"/>
    <n v="0.6"/>
    <n v="0"/>
  </r>
  <r>
    <x v="741"/>
    <s v="CnE-125"/>
    <x v="0"/>
    <s v="Produciendo"/>
    <s v="Inyección"/>
    <x v="1"/>
    <s v="Barranca Baya Bloque 30"/>
    <x v="0"/>
    <s v="NO"/>
    <n v="0"/>
    <n v="0"/>
  </r>
  <r>
    <x v="742"/>
    <s v="CnE-130"/>
    <x v="0"/>
    <s v="Espera Equipo Reparación"/>
    <s v="Inyección"/>
    <x v="5"/>
    <s v="Barranca Baya Bloque 30"/>
    <x v="1"/>
    <s v="NO"/>
    <n v="0"/>
    <s v="Ultimo Año"/>
  </r>
  <r>
    <x v="743"/>
    <s v="CnE-176"/>
    <x v="0"/>
    <s v="Espera Equipo Reparación"/>
    <s v="Bombeo Mecánico"/>
    <x v="0"/>
    <s v="Barranca Baya Bloque 40"/>
    <x v="0"/>
    <s v="NO"/>
    <n v="0.47500000000000003"/>
    <s v="Ultimos 6 meses"/>
  </r>
  <r>
    <x v="744"/>
    <s v="CnE-274"/>
    <x v="0"/>
    <s v="Produciendo"/>
    <s v="Bombeo Mecánico"/>
    <x v="1"/>
    <s v="Barranca Baya Bloque 30"/>
    <x v="0"/>
    <s v="NO"/>
    <n v="1.4000000000000001"/>
    <n v="0"/>
  </r>
  <r>
    <x v="745"/>
    <s v="CnE-509"/>
    <x v="0"/>
    <s v="Espera Equipo Reparación"/>
    <s v="Inyección"/>
    <x v="5"/>
    <s v="Barranca Baya Bloque 37"/>
    <x v="1"/>
    <s v="NO"/>
    <n v="0"/>
    <n v="0"/>
  </r>
  <r>
    <x v="746"/>
    <s v="CnE-561"/>
    <x v="0"/>
    <s v="Produciendo"/>
    <s v="Electro Sumergible"/>
    <x v="1"/>
    <s v="Barranca Baya Bloque 36"/>
    <x v="0"/>
    <s v="NO"/>
    <n v="2.04"/>
    <n v="0"/>
  </r>
  <r>
    <x v="747"/>
    <s v="CnE-575"/>
    <x v="0"/>
    <s v="Produciendo"/>
    <s v="Bombeo Mecánico"/>
    <x v="1"/>
    <s v="Barranca Baya Bloque 36"/>
    <x v="0"/>
    <s v="NO"/>
    <n v="3.3000000000000003"/>
    <n v="0"/>
  </r>
  <r>
    <x v="748"/>
    <s v="CnE-589"/>
    <x v="0"/>
    <s v="Reserva Recuperación Secundaria"/>
    <s v="Inyección"/>
    <x v="4"/>
    <s v="Barranca Baya Bloque 38"/>
    <x v="0"/>
    <s v="NO"/>
    <n v="0"/>
    <n v="0"/>
  </r>
  <r>
    <x v="749"/>
    <s v="CnE-601"/>
    <x v="0"/>
    <s v="Produciendo"/>
    <s v="Bombeo Mecánico"/>
    <x v="1"/>
    <s v="Barranca Baya Bloque 40"/>
    <x v="0"/>
    <s v="NO"/>
    <n v="0.45"/>
    <n v="0"/>
  </r>
  <r>
    <x v="750"/>
    <s v="CnE-664"/>
    <x v="0"/>
    <s v="Produciendo"/>
    <s v="Inyección"/>
    <x v="1"/>
    <s v="Barranca Baya Bloque 36"/>
    <x v="0"/>
    <s v="NO"/>
    <n v="0"/>
    <n v="0"/>
  </r>
  <r>
    <x v="751"/>
    <s v="CnE-706"/>
    <x v="0"/>
    <s v="Produciendo"/>
    <s v="Electro Sumergible"/>
    <x v="1"/>
    <s v="Barranca Baya"/>
    <x v="0"/>
    <s v="NO"/>
    <n v="3.2250000000000001"/>
    <n v="0"/>
  </r>
  <r>
    <x v="752"/>
    <s v="CnE-759"/>
    <x v="0"/>
    <s v="Reserva Recuperación Secundaria"/>
    <s v="Pistoneo"/>
    <x v="4"/>
    <s v="Barranca Baya Bloque 38"/>
    <x v="0"/>
    <s v="NO"/>
    <n v="0.115"/>
    <n v="0"/>
  </r>
  <r>
    <x v="753"/>
    <s v="CnE-760"/>
    <x v="0"/>
    <s v="Produciendo"/>
    <s v="Bombeo Mecánico"/>
    <x v="1"/>
    <s v="Barranca Baya Bloque 30"/>
    <x v="0"/>
    <s v="NO"/>
    <n v="0.93"/>
    <n v="0"/>
  </r>
  <r>
    <x v="754"/>
    <s v="BB-83"/>
    <x v="0"/>
    <s v="Produciendo"/>
    <s v="Inyección"/>
    <x v="1"/>
    <s v="Barranca Baya"/>
    <x v="0"/>
    <s v="NO"/>
    <n v="0"/>
    <n v="0"/>
  </r>
  <r>
    <x v="755"/>
    <s v="BB-103"/>
    <x v="0"/>
    <s v="Reserva Recuperación Secundaria"/>
    <s v="Bombeo Mecánico"/>
    <x v="4"/>
    <s v="Barranca Baya"/>
    <x v="0"/>
    <s v="NO"/>
    <n v="0.5"/>
    <n v="0"/>
  </r>
  <r>
    <x v="756"/>
    <s v="LH-36"/>
    <x v="0"/>
    <s v="Produciendo"/>
    <s v="Bombeo Mecánico"/>
    <x v="1"/>
    <s v="Las Heras Cerro Grande Sur"/>
    <x v="0"/>
    <s v="NO"/>
    <n v="1.1000000000000001"/>
    <s v="Ultimos 6 meses"/>
  </r>
  <r>
    <x v="757"/>
    <s v="CnE-479"/>
    <x v="0"/>
    <s v="Abandono Permanente"/>
    <s v="No Posee"/>
    <x v="3"/>
    <s v="Barranca Baya Bloque 37"/>
    <x v="0"/>
    <s v="NO"/>
    <s v="NO"/>
    <s v="NO"/>
  </r>
  <r>
    <x v="758"/>
    <s v="CG-469a"/>
    <x v="0"/>
    <s v="Produciendo"/>
    <s v="Bombeo Mecánico"/>
    <x v="1"/>
    <s v="Barranca Baya Bloque 26"/>
    <x v="0"/>
    <s v="NO"/>
    <n v="0.78"/>
    <n v="0"/>
  </r>
  <r>
    <x v="759"/>
    <s v="CnE-912a"/>
    <x v="0"/>
    <s v="En Estudio"/>
    <s v="Bombeo Mecánico"/>
    <x v="5"/>
    <s v="Barranca Baya Bloque 37"/>
    <x v="1"/>
    <s v="NO"/>
    <n v="1.6"/>
    <n v="0"/>
  </r>
  <r>
    <x v="760"/>
    <s v="CnE-954a"/>
    <x v="0"/>
    <s v="Produciendo"/>
    <s v="Bombeo Mecánico"/>
    <x v="1"/>
    <s v="Barranca Baya Bloque 38"/>
    <x v="0"/>
    <s v="NO"/>
    <n v="1.454"/>
    <n v="0"/>
  </r>
  <r>
    <x v="761"/>
    <s v="CnE-955a"/>
    <x v="0"/>
    <s v="Produciendo"/>
    <s v="Bombeo Mecánico"/>
    <x v="1"/>
    <s v="Barranca Baya Bloque 30"/>
    <x v="0"/>
    <s v="NO"/>
    <n v="3.36"/>
    <n v="0"/>
  </r>
  <r>
    <x v="762"/>
    <s v="LH-1179"/>
    <x v="0"/>
    <s v="Produciendo"/>
    <s v="Bombeo Mecánico"/>
    <x v="1"/>
    <s v="Las Heras Central Sur"/>
    <x v="0"/>
    <s v="NO"/>
    <n v="1.68"/>
    <n v="0"/>
  </r>
  <r>
    <x v="763"/>
    <s v="CG-629"/>
    <x v="0"/>
    <s v="Produciendo"/>
    <s v="Electro Sumergible"/>
    <x v="1"/>
    <s v="Cerro Grande Central"/>
    <x v="0"/>
    <s v="NO"/>
    <n v="2.65"/>
    <n v="0"/>
  </r>
  <r>
    <x v="764"/>
    <s v="CG-644"/>
    <x v="0"/>
    <s v="Produciendo"/>
    <s v="Bombeo Mecánico"/>
    <x v="1"/>
    <s v="Cerro Grande Central"/>
    <x v="0"/>
    <s v="NO"/>
    <n v="1.3860000000000001"/>
    <n v="0"/>
  </r>
  <r>
    <x v="765"/>
    <s v="LH-1186"/>
    <x v="0"/>
    <s v="Produciendo"/>
    <s v="Bombeo Mecánico"/>
    <x v="1"/>
    <s v="Las Heras Bloque 2"/>
    <x v="0"/>
    <s v="NO"/>
    <n v="0.99"/>
    <n v="0"/>
  </r>
  <r>
    <x v="766"/>
    <s v="CnE-1047"/>
    <x v="0"/>
    <s v="Produciendo"/>
    <s v="Bombeo Mecánico"/>
    <x v="1"/>
    <s v="Barranca Baya Bloque 30"/>
    <x v="0"/>
    <s v="NO"/>
    <n v="1.6"/>
    <n v="0"/>
  </r>
  <r>
    <x v="767"/>
    <s v="CnE-1160"/>
    <x v="0"/>
    <s v="Produciendo"/>
    <s v="Bombeo Mecánico"/>
    <x v="1"/>
    <s v="Barranca Baya Bloque 37"/>
    <x v="0"/>
    <s v="NO"/>
    <n v="7.8E-2"/>
    <n v="0"/>
  </r>
  <r>
    <x v="768"/>
    <s v="CnE-1151"/>
    <x v="0"/>
    <s v="Produciendo"/>
    <s v="Bombeo Mecánico"/>
    <x v="1"/>
    <s v="Barranca Baya Bloque 37"/>
    <x v="0"/>
    <s v="NO"/>
    <n v="0.56700000000000006"/>
    <n v="0"/>
  </r>
  <r>
    <x v="769"/>
    <s v="CnE-1248"/>
    <x v="0"/>
    <s v="Produciendo"/>
    <s v="Inyección"/>
    <x v="1"/>
    <s v="Barranca Baya Bloque 30"/>
    <x v="0"/>
    <s v="NO"/>
    <n v="0"/>
    <n v="0"/>
  </r>
  <r>
    <x v="770"/>
    <s v="CnE-1344"/>
    <x v="0"/>
    <s v="Produciendo"/>
    <s v="Bombeo Mecánico"/>
    <x v="1"/>
    <s v="Barranca Baya Bloque 30"/>
    <x v="0"/>
    <s v="NO"/>
    <n v="1.96"/>
    <n v="0"/>
  </r>
  <r>
    <x v="771"/>
    <s v="CnE-1369"/>
    <x v="0"/>
    <s v="Produciendo"/>
    <s v="Bombeo Mecánico"/>
    <x v="1"/>
    <s v="Barranca Baya Bloque 30"/>
    <x v="0"/>
    <s v="NO"/>
    <n v="1.1760000000000002"/>
    <n v="0"/>
  </r>
  <r>
    <x v="772"/>
    <s v="BB-166"/>
    <x v="0"/>
    <s v="Produciendo"/>
    <s v="Bombeo Mecánico"/>
    <x v="1"/>
    <s v="Barranca Baya"/>
    <x v="0"/>
    <s v="NO"/>
    <n v="1.8900000000000001"/>
    <n v="0"/>
  </r>
  <r>
    <x v="773"/>
    <s v="LH-1097a"/>
    <x v="0"/>
    <s v="Produciendo"/>
    <s v="Bombeo Mecánico"/>
    <x v="1"/>
    <s v="Las Heras Central Sur"/>
    <x v="0"/>
    <s v="NO"/>
    <n v="0.46"/>
    <n v="0"/>
  </r>
  <r>
    <x v="774"/>
    <s v="CG-576a"/>
    <x v="0"/>
    <s v="Produciendo"/>
    <s v="Inyección"/>
    <x v="1"/>
    <s v="Cerro Grande Central"/>
    <x v="0"/>
    <s v="NO"/>
    <n v="0"/>
    <n v="0"/>
  </r>
  <r>
    <x v="775"/>
    <s v="CG-594a"/>
    <x v="0"/>
    <s v="Produciendo"/>
    <s v="Electro Sumergible"/>
    <x v="1"/>
    <s v="Cerro Grande Central"/>
    <x v="0"/>
    <s v="NO"/>
    <n v="4.899"/>
    <n v="0"/>
  </r>
  <r>
    <x v="776"/>
    <s v="LH-1149a"/>
    <x v="0"/>
    <s v="Produciendo"/>
    <s v="Bombeo Mecánico"/>
    <x v="1"/>
    <s v="Las Heras Central Sur"/>
    <x v="0"/>
    <s v="NO"/>
    <n v="0.99199999999999999"/>
    <n v="0"/>
  </r>
  <r>
    <x v="777"/>
    <s v="CG-751(d)"/>
    <x v="0"/>
    <s v="Espera Equipo Reparación"/>
    <s v="Bombeo Mecánico"/>
    <x v="0"/>
    <s v="Cerro Grande Central"/>
    <x v="0"/>
    <s v="NO"/>
    <n v="1.1400000000000001"/>
    <s v="Ultimos 6 meses"/>
  </r>
  <r>
    <x v="778"/>
    <s v="BB-125"/>
    <x v="0"/>
    <s v="Abandono Permanente"/>
    <s v="No Posee"/>
    <x v="3"/>
    <s v="Barranca Baya"/>
    <x v="0"/>
    <s v="NO"/>
    <n v="0.68"/>
    <n v="0"/>
  </r>
  <r>
    <x v="779"/>
    <s v="BB-129"/>
    <x v="0"/>
    <s v="Reserva Recuperación Secundaria"/>
    <s v="Pistoneo"/>
    <x v="4"/>
    <s v="Barranca Baya"/>
    <x v="0"/>
    <s v="NO"/>
    <n v="0.19"/>
    <n v="0"/>
  </r>
  <r>
    <x v="780"/>
    <s v="CnE-1103"/>
    <x v="0"/>
    <s v="Produciendo"/>
    <s v="Bombeo Mecánico"/>
    <x v="1"/>
    <s v="Barranca Baya Bloque 30"/>
    <x v="0"/>
    <s v="NO"/>
    <n v="1.71"/>
    <n v="0"/>
  </r>
  <r>
    <x v="781"/>
    <s v="CG-872"/>
    <x v="0"/>
    <s v="Produciendo"/>
    <s v="Bombeo Mecánico"/>
    <x v="1"/>
    <s v="Cerro Grande Central"/>
    <x v="0"/>
    <s v="NO"/>
    <n v="1.804"/>
    <n v="0"/>
  </r>
  <r>
    <x v="782"/>
    <s v="CnE-1334"/>
    <x v="0"/>
    <s v="Reserva Recuperación Secundaria"/>
    <s v="Bombeo Mecánico"/>
    <x v="4"/>
    <s v="Barranca Baya Bloque 30"/>
    <x v="0"/>
    <s v="NO"/>
    <n v="0.96600000000000008"/>
    <n v="0"/>
  </r>
  <r>
    <x v="783"/>
    <s v="BB-170"/>
    <x v="0"/>
    <s v="Produciendo"/>
    <s v="Pistoneo"/>
    <x v="1"/>
    <s v="Barranca Baya"/>
    <x v="0"/>
    <s v="NO"/>
    <n v="7.6999999999999999E-2"/>
    <n v="0"/>
  </r>
  <r>
    <x v="784"/>
    <s v="CG-614a"/>
    <x v="0"/>
    <s v="En Estudio"/>
    <s v="Bombeo Mecánico"/>
    <x v="0"/>
    <s v="Cerro Grande Central"/>
    <x v="0"/>
    <s v="NO"/>
    <n v="0.1"/>
    <s v="Ultimos 6 meses"/>
  </r>
  <r>
    <x v="785"/>
    <s v="CnE-978"/>
    <x v="0"/>
    <s v="Produciendo"/>
    <s v="Bombeo Mecánico"/>
    <x v="1"/>
    <s v="Barranca Baya Bloque 36"/>
    <x v="0"/>
    <s v="NO"/>
    <n v="1.2"/>
    <n v="0"/>
  </r>
  <r>
    <x v="786"/>
    <s v="CG-647"/>
    <x v="0"/>
    <s v="Produciendo"/>
    <s v="Bombeo Mecánico"/>
    <x v="1"/>
    <s v="Cerro Grande Central"/>
    <x v="0"/>
    <s v="NO"/>
    <n v="1.08"/>
    <n v="0"/>
  </r>
  <r>
    <x v="787"/>
    <s v="LH-1197"/>
    <x v="0"/>
    <s v="Produciendo"/>
    <s v="Bombeo Mecánico"/>
    <x v="1"/>
    <s v="Las Heras Central Sur"/>
    <x v="0"/>
    <s v="NO"/>
    <n v="1.625"/>
    <n v="0"/>
  </r>
  <r>
    <x v="788"/>
    <s v="CG-786"/>
    <x v="0"/>
    <s v="Produciendo"/>
    <s v="Bombeo Mecánico"/>
    <x v="1"/>
    <s v="Cerro Grande Central"/>
    <x v="0"/>
    <s v="NO"/>
    <n v="1.925"/>
    <n v="0"/>
  </r>
  <r>
    <x v="789"/>
    <s v="CG-789"/>
    <x v="0"/>
    <s v="Produciendo"/>
    <s v="Bombeo Mecánico"/>
    <x v="1"/>
    <s v="Cerro Grande Central"/>
    <x v="0"/>
    <s v="NO"/>
    <n v="0.14700000000000002"/>
    <n v="0"/>
  </r>
  <r>
    <x v="790"/>
    <s v="CnE-1162"/>
    <x v="0"/>
    <s v="Produciendo"/>
    <s v="Bombeo Mecánico"/>
    <x v="1"/>
    <s v="Barranca Baya Bloque 26"/>
    <x v="0"/>
    <s v="NO"/>
    <n v="2.34"/>
    <n v="0"/>
  </r>
  <r>
    <x v="791"/>
    <s v="LH-1225"/>
    <x v="0"/>
    <s v="Produciendo"/>
    <s v="Bombeo Mecánico"/>
    <x v="1"/>
    <s v="Las Heras Cerro Grande Sur"/>
    <x v="0"/>
    <s v="NO"/>
    <n v="0.48"/>
    <n v="0"/>
  </r>
  <r>
    <x v="792"/>
    <s v="CnE-1254"/>
    <x v="0"/>
    <s v="Produciendo"/>
    <s v="Bombeo Mecánico"/>
    <x v="1"/>
    <s v="Barranca Baya Bloque 30"/>
    <x v="0"/>
    <s v="NO"/>
    <n v="0.81"/>
    <n v="0"/>
  </r>
  <r>
    <x v="793"/>
    <s v="CG-914(d)"/>
    <x v="0"/>
    <s v="Espera Equipo Reparación"/>
    <s v="Bombeo Mecánico"/>
    <x v="7"/>
    <s v="Cerro Grande Noreste"/>
    <x v="0"/>
    <s v="NO"/>
    <n v="1.54"/>
    <s v="Ultimos 6 meses"/>
  </r>
  <r>
    <x v="794"/>
    <s v="CnE-1349"/>
    <x v="0"/>
    <s v="Produciendo"/>
    <s v="Bombeo Mecánico"/>
    <x v="1"/>
    <s v="Barranca Baya Bloque 37"/>
    <x v="0"/>
    <s v="NO"/>
    <n v="1.0940000000000001"/>
    <n v="0"/>
  </r>
  <r>
    <x v="795"/>
    <s v="CG-623a"/>
    <x v="0"/>
    <s v="Espera Equipo Reparación"/>
    <s v="Bombeo Mecánico"/>
    <x v="5"/>
    <s v="Cerro Grande Noreste"/>
    <x v="1"/>
    <s v="NO"/>
    <n v="0.5"/>
    <n v="0"/>
  </r>
  <r>
    <x v="796"/>
    <s v="CnE-971"/>
    <x v="0"/>
    <s v="En Estudio"/>
    <s v="Bombeo Mecánico"/>
    <x v="5"/>
    <s v="Barranca Baya Bloque 36"/>
    <x v="1"/>
    <s v="NO"/>
    <n v="0.8"/>
    <n v="0"/>
  </r>
  <r>
    <x v="797"/>
    <s v="CG-715"/>
    <x v="0"/>
    <s v="Produciendo"/>
    <s v="Bombeo Mecánico"/>
    <x v="1"/>
    <s v="Cerro Grande Central"/>
    <x v="0"/>
    <s v="NO"/>
    <n v="1.75"/>
    <n v="0"/>
  </r>
  <r>
    <x v="798"/>
    <s v="CnE-1086"/>
    <x v="0"/>
    <s v="Produciendo"/>
    <s v="Bombeo Mecánico"/>
    <x v="1"/>
    <s v="Barranca Baya Bloque 38"/>
    <x v="0"/>
    <s v="NO"/>
    <n v="0.18"/>
    <n v="0"/>
  </r>
  <r>
    <x v="799"/>
    <s v="CG-749"/>
    <x v="0"/>
    <s v="Reserva Recuperación Secundaria"/>
    <s v="Inyección"/>
    <x v="4"/>
    <s v="Cerro Grande Central"/>
    <x v="0"/>
    <s v="NO"/>
    <n v="0"/>
    <n v="0"/>
  </r>
  <r>
    <x v="800"/>
    <s v="CnE-1128"/>
    <x v="0"/>
    <s v="Espera Equipo Reparación"/>
    <s v="Bombeo Mecánico"/>
    <x v="5"/>
    <s v="Barranca Baya Bloque 36"/>
    <x v="1"/>
    <s v="NO"/>
    <n v="0.57999999999999996"/>
    <n v="0"/>
  </r>
  <r>
    <x v="801"/>
    <s v="CG-821"/>
    <x v="0"/>
    <s v="Produciendo"/>
    <s v="Bombeo Mecánico"/>
    <x v="1"/>
    <s v="Cerro Grande Central"/>
    <x v="0"/>
    <s v="NO"/>
    <n v="0.60299999999999998"/>
    <n v="0"/>
  </r>
  <r>
    <x v="802"/>
    <s v="CG-846(d)a"/>
    <x v="0"/>
    <s v="Produciendo"/>
    <s v="Bombeo Mecánico"/>
    <x v="1"/>
    <s v="Cerro Grande Noreste"/>
    <x v="0"/>
    <s v="NO"/>
    <n v="4.32"/>
    <n v="0"/>
  </r>
  <r>
    <x v="803"/>
    <s v="CnE-1102"/>
    <x v="0"/>
    <s v="Produciendo"/>
    <s v="Cavidad Progresiva"/>
    <x v="1"/>
    <s v="Barranca Baya Bloque 30"/>
    <x v="0"/>
    <s v="NO"/>
    <n v="1.05"/>
    <n v="0"/>
  </r>
  <r>
    <x v="804"/>
    <s v="CnE-1283"/>
    <x v="0"/>
    <s v="Produciendo"/>
    <s v="Bombeo Mecánico"/>
    <x v="1"/>
    <s v="Barranca Baya Bloque 40"/>
    <x v="0"/>
    <s v="NO"/>
    <n v="2.1"/>
    <n v="0"/>
  </r>
  <r>
    <x v="805"/>
    <s v="BB-141"/>
    <x v="0"/>
    <s v="Produciendo"/>
    <s v="Bombeo Mecánico"/>
    <x v="1"/>
    <s v="Barranca Baya"/>
    <x v="0"/>
    <s v="NO"/>
    <n v="3.45"/>
    <n v="0"/>
  </r>
  <r>
    <x v="806"/>
    <s v="CnE-1296"/>
    <x v="0"/>
    <s v="Produciendo"/>
    <s v="Bombeo Mecánico"/>
    <x v="1"/>
    <s v="Barranca Baya Bloque 40"/>
    <x v="0"/>
    <s v="NO"/>
    <n v="0.66"/>
    <n v="0"/>
  </r>
  <r>
    <x v="807"/>
    <s v="CnE-1302"/>
    <x v="0"/>
    <s v="Produciendo"/>
    <s v="Bombeo Mecánico"/>
    <x v="1"/>
    <s v="Barranca Baya Bloque 40"/>
    <x v="0"/>
    <s v="NO"/>
    <n v="1.5410000000000001"/>
    <n v="0"/>
  </r>
  <r>
    <x v="808"/>
    <s v="LH-1250"/>
    <x v="0"/>
    <s v="Produciendo"/>
    <s v="Bombeo Mecánico"/>
    <x v="1"/>
    <s v="Las Heras Central Sur"/>
    <x v="0"/>
    <s v="NO"/>
    <n v="0.95000000000000007"/>
    <n v="0"/>
  </r>
  <r>
    <x v="809"/>
    <s v="CnE.a-1427a"/>
    <x v="0"/>
    <s v="Produciendo"/>
    <s v="Bombeo Mecánico"/>
    <x v="1"/>
    <s v="Barranca Baya Bloque 40"/>
    <x v="0"/>
    <s v="Oportunidad"/>
    <n v="4.2"/>
    <n v="0"/>
  </r>
  <r>
    <x v="810"/>
    <s v="LH-4"/>
    <x v="0"/>
    <s v="Abandono Permanente"/>
    <s v="No Posee"/>
    <x v="3"/>
    <s v="Las Heras Las Heras Bloque 3"/>
    <x v="0"/>
    <s v="NO"/>
    <n v="0.26100000000000001"/>
    <n v="0"/>
  </r>
  <r>
    <x v="811"/>
    <s v="LH-80"/>
    <x v="0"/>
    <s v="Reserva Recuperación Secundaria"/>
    <s v="Pistoneo"/>
    <x v="4"/>
    <s v="Las Heras Cerro Grande Sur"/>
    <x v="0"/>
    <s v="NO"/>
    <n v="0.11600000000000001"/>
    <n v="0"/>
  </r>
  <r>
    <x v="812"/>
    <s v="LH-109"/>
    <x v="0"/>
    <s v="En Reserva De Gas"/>
    <s v="No Posee"/>
    <x v="1"/>
    <s v="Las Heras Las Heras Bloque 3"/>
    <x v="0"/>
    <s v="NO"/>
    <n v="0"/>
    <n v="0"/>
  </r>
  <r>
    <x v="813"/>
    <s v="LH-134"/>
    <x v="0"/>
    <s v="Produciendo"/>
    <s v="Bombeo Mecánico"/>
    <x v="1"/>
    <s v="Las Heras Las Heras Bloque 3"/>
    <x v="0"/>
    <s v="NO"/>
    <n v="0.44"/>
    <n v="0"/>
  </r>
  <r>
    <x v="814"/>
    <s v="LH-475"/>
    <x v="0"/>
    <s v="Espera Equipo Reparación"/>
    <s v="Inyección"/>
    <x v="2"/>
    <s v="Las Heras Central Sur"/>
    <x v="0"/>
    <s v="NO"/>
    <n v="0"/>
    <s v="Ultimo Año"/>
  </r>
  <r>
    <x v="815"/>
    <s v="LH-479"/>
    <x v="0"/>
    <s v="Abandono Permanente"/>
    <s v="No Posee"/>
    <x v="3"/>
    <s v="Las Heras Central Sur"/>
    <x v="0"/>
    <s v="NO"/>
    <n v="0"/>
    <n v="0"/>
  </r>
  <r>
    <x v="816"/>
    <s v="LH-810"/>
    <x v="0"/>
    <s v="Reserva Recuperación Secundaria"/>
    <s v="Inyección"/>
    <x v="4"/>
    <s v="Las Heras Central Sur"/>
    <x v="0"/>
    <s v="NO"/>
    <n v="0"/>
    <n v="0"/>
  </r>
  <r>
    <x v="817"/>
    <s v="LH-883"/>
    <x v="0"/>
    <s v="Abandono Permanente"/>
    <s v="No Posee"/>
    <x v="3"/>
    <s v="Las Heras Central Sur"/>
    <x v="0"/>
    <s v="NO"/>
    <n v="0.9"/>
    <n v="0"/>
  </r>
  <r>
    <x v="818"/>
    <s v="LH-907"/>
    <x v="0"/>
    <s v="Abandono Permanente"/>
    <s v="No Posee"/>
    <x v="3"/>
    <s v="Las Heras Bloque 2"/>
    <x v="0"/>
    <s v="NO"/>
    <s v="NO"/>
    <s v="NO"/>
  </r>
  <r>
    <x v="819"/>
    <s v="LH-929"/>
    <x v="0"/>
    <s v="Abandono Permanente"/>
    <s v="No Posee"/>
    <x v="3"/>
    <s v="Las Heras Central Sur"/>
    <x v="0"/>
    <s v="NO"/>
    <n v="0"/>
    <n v="0"/>
  </r>
  <r>
    <x v="820"/>
    <s v="LH-944"/>
    <x v="0"/>
    <s v="Espera Equipo Reparación"/>
    <s v="Inyección"/>
    <x v="4"/>
    <s v="Las Heras Bloque 2"/>
    <x v="0"/>
    <s v="NO"/>
    <n v="0"/>
    <n v="0"/>
  </r>
  <r>
    <x v="821"/>
    <s v="CG-146"/>
    <x v="0"/>
    <s v="Reserva Recuperación Secundaria"/>
    <s v="No Posee"/>
    <x v="4"/>
    <s v="Cerro Grande Central"/>
    <x v="0"/>
    <s v="NO"/>
    <n v="0"/>
    <n v="0"/>
  </r>
  <r>
    <x v="822"/>
    <s v="CG-192"/>
    <x v="0"/>
    <s v="Produciendo"/>
    <s v="Electro Sumergible"/>
    <x v="1"/>
    <s v="Barranca Baya Bloque 26"/>
    <x v="0"/>
    <s v="NO"/>
    <n v="0.625"/>
    <n v="0"/>
  </r>
  <r>
    <x v="823"/>
    <s v="CG-211"/>
    <x v="0"/>
    <s v="Produciendo"/>
    <s v="Bombeo Mecánico"/>
    <x v="1"/>
    <s v="Barranca Baya Cerro Grande Norte"/>
    <x v="0"/>
    <s v="NO"/>
    <n v="0.92"/>
    <n v="0"/>
  </r>
  <r>
    <x v="824"/>
    <s v="CG-212"/>
    <x v="0"/>
    <s v="Produciendo"/>
    <s v="Electro Sumergible"/>
    <x v="1"/>
    <s v="Barranca Baya Cerro Grande Norte"/>
    <x v="0"/>
    <s v="NO"/>
    <n v="3.12"/>
    <n v="0"/>
  </r>
  <r>
    <x v="825"/>
    <s v="CG-226"/>
    <x v="0"/>
    <s v="Produciendo"/>
    <s v="Bombeo Mecánico"/>
    <x v="1"/>
    <s v="Barranca Baya Cerro Grande Norte"/>
    <x v="0"/>
    <s v="NO"/>
    <n v="1.8900000000000001"/>
    <n v="0"/>
  </r>
  <r>
    <x v="826"/>
    <s v="CG-307"/>
    <x v="0"/>
    <s v="Reserva Recuperación Secundaria"/>
    <s v="No Posee"/>
    <x v="4"/>
    <s v="Barranca Baya Cerro Grande Norte"/>
    <x v="0"/>
    <s v="NO"/>
    <s v="NO"/>
    <s v="NO"/>
  </r>
  <r>
    <x v="827"/>
    <s v="CG-317"/>
    <x v="0"/>
    <s v="Produciendo"/>
    <s v="Bombeo Mecánico"/>
    <x v="1"/>
    <s v="Cerro Grande Central"/>
    <x v="0"/>
    <s v="NO"/>
    <n v="0.378"/>
    <n v="0"/>
  </r>
  <r>
    <x v="828"/>
    <s v="CG-357"/>
    <x v="0"/>
    <s v="Produciendo"/>
    <s v="Pistoneo"/>
    <x v="1"/>
    <s v="Cerro Grande Central"/>
    <x v="0"/>
    <s v="NO"/>
    <n v="0.10400000000000001"/>
    <n v="0"/>
  </r>
  <r>
    <x v="829"/>
    <s v="CG-397"/>
    <x v="0"/>
    <s v="Produciendo"/>
    <s v="Bombeo Mecánico"/>
    <x v="1"/>
    <s v="Barranca Baya Bloque 26"/>
    <x v="0"/>
    <s v="NO"/>
    <n v="2.2000000000000002"/>
    <n v="0"/>
  </r>
  <r>
    <x v="830"/>
    <s v="CG-491"/>
    <x v="0"/>
    <s v="Produciendo"/>
    <s v="Inyección"/>
    <x v="1"/>
    <s v="Barranca Baya Cerro Grande Noroeste"/>
    <x v="0"/>
    <s v="NO"/>
    <n v="0"/>
    <n v="0"/>
  </r>
  <r>
    <x v="831"/>
    <s v="LC-86"/>
    <x v="0"/>
    <s v="Produciendo"/>
    <s v="Inyección"/>
    <x v="1"/>
    <s v="Lomas del Cuy- Cerro Grande Sur"/>
    <x v="0"/>
    <s v="NO"/>
    <n v="0"/>
    <n v="0"/>
  </r>
  <r>
    <x v="832"/>
    <s v="N-58"/>
    <x v="0"/>
    <s v="Abandono Permanente"/>
    <s v="No Posee"/>
    <x v="3"/>
    <s v="Lomas del Cuy- Cerro Grande Noroeste"/>
    <x v="0"/>
    <s v="NO"/>
    <s v="NO"/>
    <s v="NO"/>
  </r>
  <r>
    <x v="833"/>
    <s v="CnE-35"/>
    <x v="0"/>
    <s v="Espera Equipo Reparación"/>
    <s v="Bombeo Mecánico"/>
    <x v="5"/>
    <s v="Barranca Baya Bloque 26"/>
    <x v="1"/>
    <s v="NO"/>
    <n v="0.5"/>
    <n v="0"/>
  </r>
  <r>
    <x v="834"/>
    <s v="CnE-79"/>
    <x v="0"/>
    <s v="Produciendo"/>
    <s v="Bombeo Mecánico"/>
    <x v="1"/>
    <s v="Barranca Baya Bloque 26"/>
    <x v="0"/>
    <s v="NO"/>
    <n v="1.4000000000000001"/>
    <n v="0"/>
  </r>
  <r>
    <x v="835"/>
    <s v="CnE-104"/>
    <x v="0"/>
    <s v="Reserva Recuperación Secundaria"/>
    <s v="No Posee"/>
    <x v="7"/>
    <s v="Barranca Baya Bloque 26"/>
    <x v="0"/>
    <s v="NO"/>
    <n v="1.7"/>
    <n v="0"/>
  </r>
  <r>
    <x v="836"/>
    <s v="CnE-162"/>
    <x v="0"/>
    <s v="Espera Equipo Reparación"/>
    <s v="Inyección"/>
    <x v="5"/>
    <s v="Barranca Baya Bloque 30"/>
    <x v="1"/>
    <s v="NO"/>
    <n v="0"/>
    <n v="0"/>
  </r>
  <r>
    <x v="837"/>
    <s v="CnE-234"/>
    <x v="0"/>
    <s v="Reserva Recuperación Secundaria"/>
    <s v="Bombeo Mecánico"/>
    <x v="4"/>
    <s v="Barranca Baya Bloque 30"/>
    <x v="0"/>
    <s v="NO"/>
    <n v="0.49400000000000005"/>
    <n v="0"/>
  </r>
  <r>
    <x v="838"/>
    <s v="CnE-326"/>
    <x v="0"/>
    <s v="Abandono Permanente"/>
    <s v="No Posee"/>
    <x v="3"/>
    <s v="Barranca Baya Bloque 36"/>
    <x v="0"/>
    <s v="NO"/>
    <n v="7.5999999999999998E-2"/>
    <n v="0"/>
  </r>
  <r>
    <x v="839"/>
    <s v="CnE-327"/>
    <x v="0"/>
    <s v="Produciendo"/>
    <s v="Bombeo Mecánico"/>
    <x v="1"/>
    <s v="Barranca Baya Bloque 36"/>
    <x v="0"/>
    <s v="NO"/>
    <n v="1.3820000000000001"/>
    <n v="0"/>
  </r>
  <r>
    <x v="840"/>
    <s v="CnE-368"/>
    <x v="0"/>
    <s v="Espera Equipo Reparación"/>
    <s v="No Posee"/>
    <x v="5"/>
    <s v="Barranca Baya Bloque 36"/>
    <x v="1"/>
    <s v="NO"/>
    <n v="0.47000000000000003"/>
    <n v="0"/>
  </r>
  <r>
    <x v="841"/>
    <s v="CnE-378"/>
    <x v="0"/>
    <s v="Produciendo"/>
    <s v="Bombeo Mecánico"/>
    <x v="1"/>
    <s v="Barranca Baya Bloque 36"/>
    <x v="0"/>
    <s v="NO"/>
    <n v="0.995"/>
    <n v="0"/>
  </r>
  <r>
    <x v="842"/>
    <s v="CnE-382"/>
    <x v="0"/>
    <s v="Reserva Recuperación Secundaria"/>
    <s v="Bombeo Mecánico"/>
    <x v="4"/>
    <s v="Barranca Baya Bloque 36"/>
    <x v="0"/>
    <s v="NO"/>
    <n v="0.216"/>
    <n v="0"/>
  </r>
  <r>
    <x v="843"/>
    <s v="CnE-383"/>
    <x v="0"/>
    <s v="Parado Alta Rap"/>
    <s v="Bombeo Mecánico"/>
    <x v="5"/>
    <s v="Barranca Baya Bloque 36"/>
    <x v="1"/>
    <s v="NO"/>
    <n v="0.9"/>
    <n v="0"/>
  </r>
  <r>
    <x v="844"/>
    <s v="CnE-435"/>
    <x v="0"/>
    <s v="Produciendo"/>
    <s v="Bombeo Mecánico"/>
    <x v="1"/>
    <s v="Barranca Baya Bloque 36"/>
    <x v="0"/>
    <s v="NO"/>
    <n v="1.2690000000000001"/>
    <n v="0"/>
  </r>
  <r>
    <x v="845"/>
    <s v="CnE-533"/>
    <x v="0"/>
    <s v="Produciendo"/>
    <s v="Inyección"/>
    <x v="1"/>
    <s v="Barranca Baya Bloque 36"/>
    <x v="0"/>
    <s v="NO"/>
    <n v="0"/>
    <n v="0"/>
  </r>
  <r>
    <x v="846"/>
    <s v="CnE-540"/>
    <x v="0"/>
    <s v="Produciendo"/>
    <s v="Electro Sumergible"/>
    <x v="1"/>
    <s v="Barranca Baya Bloque 36"/>
    <x v="0"/>
    <s v="NO"/>
    <n v="1.7"/>
    <n v="0"/>
  </r>
  <r>
    <x v="847"/>
    <s v="CnE-623"/>
    <x v="0"/>
    <s v="En Estudio"/>
    <s v="Pistoneo"/>
    <x v="5"/>
    <s v="Barranca Baya"/>
    <x v="1"/>
    <s v="NO"/>
    <n v="0.14300000000000002"/>
    <n v="0"/>
  </r>
  <r>
    <x v="848"/>
    <s v="CnE-652"/>
    <x v="0"/>
    <s v="Espera Equipo Reparación"/>
    <s v="Surgente"/>
    <x v="6"/>
    <s v="Barranca Baya"/>
    <x v="0"/>
    <s v="Oportunidad"/>
    <n v="3.0000000000000001E-3"/>
    <n v="0"/>
  </r>
  <r>
    <x v="849"/>
    <s v="CnE-700"/>
    <x v="0"/>
    <s v="Produciendo"/>
    <s v="Bombeo Mecánico"/>
    <x v="1"/>
    <s v="Barranca Baya Bloque 38"/>
    <x v="0"/>
    <s v="NO"/>
    <n v="0.56400000000000006"/>
    <n v="0"/>
  </r>
  <r>
    <x v="850"/>
    <s v="CnE-795"/>
    <x v="0"/>
    <s v="Produciendo"/>
    <s v="Bombeo Mecánico"/>
    <x v="1"/>
    <s v="Barranca Baya Bloque 37"/>
    <x v="0"/>
    <s v="NO"/>
    <n v="3.484"/>
    <n v="0"/>
  </r>
  <r>
    <x v="851"/>
    <s v="CnE-849"/>
    <x v="0"/>
    <s v="Produciendo"/>
    <s v="Pistoneo"/>
    <x v="1"/>
    <s v="Barranca Baya Bloque 36"/>
    <x v="0"/>
    <s v="NO"/>
    <n v="0.13400000000000001"/>
    <n v="0"/>
  </r>
  <r>
    <x v="852"/>
    <s v="BB-71"/>
    <x v="0"/>
    <s v="Reserva Recuperación Secundaria"/>
    <s v="No Posee"/>
    <x v="4"/>
    <s v="Barranca Baya"/>
    <x v="0"/>
    <s v="NO"/>
    <n v="0.44400000000000001"/>
    <n v="0"/>
  </r>
  <r>
    <x v="853"/>
    <s v="BB-75"/>
    <x v="0"/>
    <s v="En Estudio"/>
    <s v="Pistoneo"/>
    <x v="5"/>
    <s v="Barranca Baya"/>
    <x v="1"/>
    <s v="NO"/>
    <n v="0.25"/>
    <n v="0"/>
  </r>
  <r>
    <x v="854"/>
    <s v="BB-82"/>
    <x v="0"/>
    <s v="Abandono Permanente"/>
    <s v="No Posee"/>
    <x v="3"/>
    <s v="Barranca Baya"/>
    <x v="0"/>
    <s v="NO"/>
    <n v="0.42500000000000004"/>
    <n v="0"/>
  </r>
  <r>
    <x v="855"/>
    <s v="LHS-4"/>
    <x v="0"/>
    <s v="Produciendo"/>
    <s v="Pistoneo"/>
    <x v="1"/>
    <s v="Las Heras Central Sur"/>
    <x v="0"/>
    <s v="NO"/>
    <n v="0.192"/>
    <n v="0"/>
  </r>
  <r>
    <x v="856"/>
    <s v="LH-248"/>
    <x v="0"/>
    <s v="Abandono Permanente"/>
    <s v="No Posee"/>
    <x v="3"/>
    <s v="Las Heras Central Sur"/>
    <x v="0"/>
    <s v="NO"/>
    <n v="9.5000000000000001E-2"/>
    <n v="0"/>
  </r>
  <r>
    <x v="857"/>
    <s v="BB-8"/>
    <x v="0"/>
    <s v="Reserva Recuperación Secundaria"/>
    <s v="Surgente por Casing"/>
    <x v="4"/>
    <s v="Barranca Baya"/>
    <x v="0"/>
    <s v="NO"/>
    <n v="0"/>
    <n v="0"/>
  </r>
  <r>
    <x v="858"/>
    <s v="LH-51"/>
    <x v="0"/>
    <s v="Reserva Recuperación Secundaria"/>
    <s v="Pistoneo"/>
    <x v="4"/>
    <s v="Las Heras Las Heras Bloque 3"/>
    <x v="0"/>
    <s v="NO"/>
    <n v="5.8000000000000003E-2"/>
    <n v="0"/>
  </r>
  <r>
    <x v="859"/>
    <s v="CG-272"/>
    <x v="0"/>
    <s v="Produciendo"/>
    <s v="Bombeo Mecánico"/>
    <x v="1"/>
    <s v="Cerro Grande Noreste"/>
    <x v="0"/>
    <s v="NO"/>
    <n v="1.68"/>
    <n v="0"/>
  </r>
  <r>
    <x v="860"/>
    <s v="LH-474"/>
    <x v="0"/>
    <s v="En Estudio"/>
    <s v="Bombeo Mecánico"/>
    <x v="5"/>
    <s v="Las Heras Central Sur"/>
    <x v="1"/>
    <s v="NO"/>
    <n v="0.36399999999999999"/>
    <n v="0"/>
  </r>
  <r>
    <x v="861"/>
    <s v="LH-158"/>
    <x v="0"/>
    <s v="Produciendo"/>
    <s v="Inyección"/>
    <x v="1"/>
    <s v="Las Heras Cerro Grande Sur"/>
    <x v="0"/>
    <s v="NO"/>
    <n v="0"/>
    <n v="0"/>
  </r>
  <r>
    <x v="862"/>
    <s v="LH-536"/>
    <x v="0"/>
    <s v="Abandono Permanente"/>
    <s v="No Posee"/>
    <x v="3"/>
    <s v="Las Heras Las Heras Bloque 3"/>
    <x v="0"/>
    <s v="NO"/>
    <n v="0.437"/>
    <n v="0"/>
  </r>
  <r>
    <x v="863"/>
    <s v="CG-21"/>
    <x v="0"/>
    <s v="Produciendo"/>
    <s v="Bombeo Mecánico"/>
    <x v="1"/>
    <s v="Cerro Grande Central"/>
    <x v="0"/>
    <s v="NO"/>
    <n v="0.84"/>
    <n v="0"/>
  </r>
  <r>
    <x v="864"/>
    <s v="CG-187"/>
    <x v="0"/>
    <s v="Reserva Recuperación Secundaria"/>
    <s v="No Posee"/>
    <x v="4"/>
    <s v="Barranca Baya Cerro Grande Norte"/>
    <x v="0"/>
    <s v="NO"/>
    <s v="NO"/>
    <s v="NO"/>
  </r>
  <r>
    <x v="865"/>
    <s v="CnE-876a"/>
    <x v="0"/>
    <s v="Abandono Permanente"/>
    <s v="No Posee"/>
    <x v="3"/>
    <s v="Barranca Baya Bloque 36"/>
    <x v="0"/>
    <s v="NO"/>
    <n v="0.44800000000000001"/>
    <n v="0"/>
  </r>
  <r>
    <x v="866"/>
    <s v="CnE-875a"/>
    <x v="0"/>
    <s v="Produciendo"/>
    <s v="Bombeo Mecánico"/>
    <x v="1"/>
    <s v="Barranca Baya Bloque 30"/>
    <x v="0"/>
    <s v="NO"/>
    <n v="3"/>
    <n v="0"/>
  </r>
  <r>
    <x v="867"/>
    <s v="LH-993a"/>
    <x v="0"/>
    <s v="Produciendo"/>
    <s v="Bombeo Mecánico"/>
    <x v="1"/>
    <s v="Las Heras Central Sur"/>
    <x v="0"/>
    <s v="NO"/>
    <n v="0.11"/>
    <n v="0"/>
  </r>
  <r>
    <x v="868"/>
    <s v="LH-994a"/>
    <x v="0"/>
    <s v="Espera Equipo Reparación"/>
    <s v="Inyección"/>
    <x v="5"/>
    <s v="Las Heras Central Sur"/>
    <x v="1"/>
    <s v="NO"/>
    <n v="0"/>
    <n v="0"/>
  </r>
  <r>
    <x v="869"/>
    <s v="LH-1056a"/>
    <x v="0"/>
    <s v="En Estudio"/>
    <s v="Pistoneo"/>
    <x v="5"/>
    <s v="Las Heras Central Sur"/>
    <x v="1"/>
    <s v="NO"/>
    <n v="1.05"/>
    <n v="0"/>
  </r>
  <r>
    <x v="870"/>
    <s v="CnE-909a"/>
    <x v="0"/>
    <s v="Produciendo"/>
    <s v="Bombeo Mecánico"/>
    <x v="1"/>
    <s v="Barranca Baya Bloque 30"/>
    <x v="0"/>
    <s v="NO"/>
    <n v="1.3"/>
    <n v="0"/>
  </r>
  <r>
    <x v="871"/>
    <s v="CnE-938a"/>
    <x v="0"/>
    <s v="Produciendo"/>
    <s v="Bombeo Mecánico"/>
    <x v="1"/>
    <s v="Barranca Baya Bloque 30"/>
    <x v="0"/>
    <s v="NO"/>
    <n v="1.95"/>
    <n v="0"/>
  </r>
  <r>
    <x v="872"/>
    <s v="LH-1141a"/>
    <x v="0"/>
    <s v="En Estudio"/>
    <s v="No Posee"/>
    <x v="2"/>
    <s v="Las Heras Bloque 2"/>
    <x v="0"/>
    <s v="NO"/>
    <n v="1.26"/>
    <s v="Ultimo Año"/>
  </r>
  <r>
    <x v="873"/>
    <s v="LH-1143a"/>
    <x v="0"/>
    <s v="Produciendo"/>
    <s v="Pistoneo"/>
    <x v="1"/>
    <s v="Las Heras Bloque 2"/>
    <x v="0"/>
    <s v="NO"/>
    <n v="0.10400000000000001"/>
    <n v="0"/>
  </r>
  <r>
    <x v="874"/>
    <s v="LH-308"/>
    <x v="0"/>
    <s v="Abandono Permanente"/>
    <s v="No Posee"/>
    <x v="3"/>
    <s v="Las Heras Bloque 2"/>
    <x v="0"/>
    <s v="NO"/>
    <n v="0.77"/>
    <n v="0"/>
  </r>
  <r>
    <x v="875"/>
    <s v="LH-343"/>
    <x v="0"/>
    <s v="Produciendo"/>
    <s v="Inyección"/>
    <x v="1"/>
    <s v="Las Heras Central Sur"/>
    <x v="0"/>
    <s v="NO"/>
    <n v="0"/>
    <n v="0"/>
  </r>
  <r>
    <x v="876"/>
    <s v="LH-484"/>
    <x v="0"/>
    <s v="Produciendo"/>
    <s v="Inyección"/>
    <x v="1"/>
    <s v="Las Heras Central Sur"/>
    <x v="0"/>
    <s v="NO"/>
    <n v="0"/>
    <n v="0"/>
  </r>
  <r>
    <x v="877"/>
    <s v="LH-552"/>
    <x v="0"/>
    <s v="Produciendo"/>
    <s v="Bombeo Mecánico"/>
    <x v="1"/>
    <s v="Las Heras Central Sur"/>
    <x v="0"/>
    <s v="NO"/>
    <n v="1.55"/>
    <n v="0"/>
  </r>
  <r>
    <x v="878"/>
    <s v="LH-928"/>
    <x v="0"/>
    <s v="Produciendo"/>
    <s v="Bombeo Mecánico"/>
    <x v="1"/>
    <s v="Las Heras Central Sur"/>
    <x v="0"/>
    <s v="NO"/>
    <n v="1.3"/>
    <n v="0"/>
  </r>
  <r>
    <x v="879"/>
    <s v="LH-935"/>
    <x v="0"/>
    <s v="Reserva Recuperación Secundaria"/>
    <s v="Bombeo Mecánico"/>
    <x v="4"/>
    <s v="Las Heras Central Sur"/>
    <x v="0"/>
    <s v="NO"/>
    <n v="0.61899999999999999"/>
    <n v="0"/>
  </r>
  <r>
    <x v="880"/>
    <s v="CG-8"/>
    <x v="0"/>
    <s v="Produciendo"/>
    <s v="Surgente"/>
    <x v="1"/>
    <s v="Lomas del Cuy- Cerro Grande Sur"/>
    <x v="0"/>
    <s v="NO"/>
    <n v="1.44"/>
    <n v="0"/>
  </r>
  <r>
    <x v="881"/>
    <s v="CG-190"/>
    <x v="0"/>
    <s v="Produciendo"/>
    <s v="Bombeo Mecánico"/>
    <x v="1"/>
    <s v="Barranca Baya Cerro Grande Norte"/>
    <x v="0"/>
    <s v="NO"/>
    <n v="1.92"/>
    <n v="0"/>
  </r>
  <r>
    <x v="882"/>
    <s v="CG-285"/>
    <x v="0"/>
    <s v="Produciendo"/>
    <s v="Bombeo Mecánico"/>
    <x v="1"/>
    <s v="Cerro Grande Central"/>
    <x v="0"/>
    <s v="NO"/>
    <n v="0.68700000000000006"/>
    <n v="0"/>
  </r>
  <r>
    <x v="883"/>
    <s v="CG-389"/>
    <x v="0"/>
    <s v="Reserva Recuperación Secundaria"/>
    <s v="Bombeo Mecánico"/>
    <x v="4"/>
    <s v="Cerro Grande Central"/>
    <x v="0"/>
    <s v="NO"/>
    <n v="0.875"/>
    <n v="0"/>
  </r>
  <r>
    <x v="884"/>
    <s v="CnE-49"/>
    <x v="0"/>
    <s v="A Abandonar"/>
    <s v="Electro Sumergible"/>
    <x v="5"/>
    <s v="Barranca Baya Bloque 26"/>
    <x v="1"/>
    <s v="NO"/>
    <n v="0.78"/>
    <n v="0"/>
  </r>
  <r>
    <x v="885"/>
    <s v="CnE-124"/>
    <x v="0"/>
    <s v="Reserva Recuperación Secundaria"/>
    <s v="No Posee"/>
    <x v="4"/>
    <s v="Barranca Baya Bloque 30"/>
    <x v="0"/>
    <s v="NO"/>
    <n v="0.161"/>
    <n v="0"/>
  </r>
  <r>
    <x v="886"/>
    <s v="CnE-151"/>
    <x v="0"/>
    <s v="Produciendo"/>
    <s v="Bombeo Mecánico"/>
    <x v="1"/>
    <s v="Barranca Baya Bloque 26"/>
    <x v="0"/>
    <s v="NO"/>
    <n v="2.4300000000000002"/>
    <n v="0"/>
  </r>
  <r>
    <x v="887"/>
    <s v="CnE-343"/>
    <x v="0"/>
    <s v="Reserva Recuperación Secundaria"/>
    <s v="Inyección"/>
    <x v="4"/>
    <s v="Barranca Baya Bloque 36"/>
    <x v="0"/>
    <s v="NO"/>
    <n v="0"/>
    <n v="0"/>
  </r>
  <r>
    <x v="888"/>
    <s v="CnE-350"/>
    <x v="0"/>
    <s v="Produciendo"/>
    <s v="Inyección"/>
    <x v="1"/>
    <s v="Barranca Baya Bloque 36"/>
    <x v="0"/>
    <s v="NO"/>
    <n v="0"/>
    <n v="0"/>
  </r>
  <r>
    <x v="889"/>
    <s v="CnE-424"/>
    <x v="0"/>
    <s v="Produciendo"/>
    <s v="Inyección"/>
    <x v="1"/>
    <s v="Barranca Baya Bloque 36"/>
    <x v="0"/>
    <s v="NO"/>
    <n v="0"/>
    <n v="0"/>
  </r>
  <r>
    <x v="890"/>
    <s v="CnE-512"/>
    <x v="0"/>
    <s v="En Estudio"/>
    <s v="No Posee"/>
    <x v="5"/>
    <s v="Barranca Baya Bloque 37"/>
    <x v="1"/>
    <s v="NO"/>
    <n v="0.32"/>
    <n v="0"/>
  </r>
  <r>
    <x v="891"/>
    <s v="CnE-690"/>
    <x v="0"/>
    <s v="Produciendo"/>
    <s v="Pistoneo"/>
    <x v="1"/>
    <s v="Barranca Baya Bloque 38"/>
    <x v="0"/>
    <s v="NO"/>
    <n v="6.7000000000000004E-2"/>
    <n v="0"/>
  </r>
  <r>
    <x v="892"/>
    <s v="CnE-752"/>
    <x v="0"/>
    <s v="Produciendo"/>
    <s v="Pistoneo"/>
    <x v="1"/>
    <s v="Barranca Baya"/>
    <x v="0"/>
    <s v="NO"/>
    <n v="9.6000000000000002E-2"/>
    <n v="0"/>
  </r>
  <r>
    <x v="893"/>
    <s v="CnE-852"/>
    <x v="0"/>
    <s v="Produciendo"/>
    <s v="Bombeo Mecánico"/>
    <x v="1"/>
    <s v="Barranca Baya Bloque 40"/>
    <x v="0"/>
    <s v="NO"/>
    <n v="1.1599999999999999"/>
    <n v="0"/>
  </r>
  <r>
    <x v="894"/>
    <s v="BB-92"/>
    <x v="0"/>
    <s v="Produciendo"/>
    <s v="Bombeo Mecánico"/>
    <x v="1"/>
    <s v="Barranca Baya"/>
    <x v="0"/>
    <s v="NO"/>
    <n v="1.089"/>
    <n v="0"/>
  </r>
  <r>
    <x v="895"/>
    <s v="BB-95"/>
    <x v="0"/>
    <s v="Abandono Permanente"/>
    <s v="No Posee"/>
    <x v="3"/>
    <s v="Barranca Baya"/>
    <x v="0"/>
    <s v="NO"/>
    <s v="NO"/>
    <s v="NO"/>
  </r>
  <r>
    <x v="896"/>
    <s v="O-220"/>
    <x v="0"/>
    <s v="Abandono Permanente"/>
    <s v="No Posee"/>
    <x v="3"/>
    <s v="Barranca Baya"/>
    <x v="0"/>
    <s v="NO"/>
    <s v="NO"/>
    <s v="NO"/>
  </r>
  <r>
    <x v="897"/>
    <s v="LH-126"/>
    <x v="0"/>
    <s v="Abandono Permanente"/>
    <s v="No Posee"/>
    <x v="3"/>
    <s v="Las Heras Las Heras Bloque 3"/>
    <x v="0"/>
    <s v="NO"/>
    <n v="0.26900000000000002"/>
    <n v="0"/>
  </r>
  <r>
    <x v="898"/>
    <s v="LH-207"/>
    <x v="0"/>
    <s v="Abandono Permanente"/>
    <s v="No Posee"/>
    <x v="3"/>
    <s v="Las Heras Bloque 2"/>
    <x v="0"/>
    <s v="NO"/>
    <s v="NO"/>
    <s v="NO"/>
  </r>
  <r>
    <x v="899"/>
    <s v="LH-250"/>
    <x v="0"/>
    <s v="Abandono Permanente"/>
    <s v="No Posee"/>
    <x v="3"/>
    <s v="Las Heras Central Sur"/>
    <x v="0"/>
    <s v="NO"/>
    <n v="0"/>
    <n v="0"/>
  </r>
  <r>
    <x v="900"/>
    <s v="LH-550"/>
    <x v="0"/>
    <s v="Produciendo"/>
    <s v="Bombeo Mecánico"/>
    <x v="1"/>
    <s v="Las Heras Central Sur"/>
    <x v="0"/>
    <s v="NO"/>
    <n v="1.68"/>
    <n v="0"/>
  </r>
  <r>
    <x v="901"/>
    <s v="LH-556"/>
    <x v="0"/>
    <s v="Produciendo"/>
    <s v="Pistoneo"/>
    <x v="1"/>
    <s v="Las Heras Central Sur"/>
    <x v="0"/>
    <s v="NO"/>
    <n v="2.9000000000000001E-2"/>
    <n v="0"/>
  </r>
  <r>
    <x v="902"/>
    <s v="LH-582"/>
    <x v="0"/>
    <s v="Produciendo"/>
    <s v="Bombeo Mecánico"/>
    <x v="1"/>
    <s v="Las Heras Central Sur"/>
    <x v="0"/>
    <s v="NO"/>
    <n v="1.1000000000000001"/>
    <n v="0"/>
  </r>
  <r>
    <x v="903"/>
    <s v="LH-630"/>
    <x v="0"/>
    <s v="Espera Equipo Reparación"/>
    <s v="Bombeo Mecánico"/>
    <x v="5"/>
    <s v="Las Heras Central Sur"/>
    <x v="1"/>
    <s v="NO"/>
    <n v="0.44800000000000001"/>
    <n v="0"/>
  </r>
  <r>
    <x v="904"/>
    <s v="LH-641"/>
    <x v="0"/>
    <s v="Produciendo"/>
    <s v="Inyección"/>
    <x v="1"/>
    <s v="Las Heras Central Sur"/>
    <x v="0"/>
    <s v="NO"/>
    <n v="0"/>
    <n v="0"/>
  </r>
  <r>
    <x v="905"/>
    <s v="LH-798"/>
    <x v="0"/>
    <s v="Produciendo"/>
    <s v="Bombeo Mecánico"/>
    <x v="1"/>
    <s v="Las Heras Central Sur"/>
    <x v="0"/>
    <s v="NO"/>
    <n v="1.2"/>
    <n v="0"/>
  </r>
  <r>
    <x v="906"/>
    <s v="CG-174"/>
    <x v="0"/>
    <s v="Reserva Recuperación Secundaria"/>
    <s v="No Posee"/>
    <x v="4"/>
    <s v="Cerro Grande Central"/>
    <x v="0"/>
    <s v="NO"/>
    <n v="0.18"/>
    <n v="0"/>
  </r>
  <r>
    <x v="907"/>
    <s v="CG-236"/>
    <x v="0"/>
    <s v="Produciendo"/>
    <s v="Inyección"/>
    <x v="1"/>
    <s v="Cerro Grande Central"/>
    <x v="0"/>
    <s v="NO"/>
    <n v="0"/>
    <n v="0"/>
  </r>
  <r>
    <x v="908"/>
    <s v="CG-381"/>
    <x v="0"/>
    <s v="Produciendo"/>
    <s v="Inyección"/>
    <x v="1"/>
    <s v="Barranca Baya Cerro Grande Norte"/>
    <x v="0"/>
    <s v="NO"/>
    <n v="0"/>
    <n v="0"/>
  </r>
  <r>
    <x v="909"/>
    <s v="CG-410"/>
    <x v="0"/>
    <s v="Reserva Recuperación Secundaria"/>
    <s v="Pistoneo"/>
    <x v="4"/>
    <s v="Cerro Grande Central"/>
    <x v="0"/>
    <s v="NO"/>
    <n v="5.9000000000000004E-2"/>
    <n v="0"/>
  </r>
  <r>
    <x v="910"/>
    <s v="CG-512"/>
    <x v="0"/>
    <s v="Abandono Permanente"/>
    <s v="No Posee"/>
    <x v="3"/>
    <s v="Cerro Grande Central"/>
    <x v="0"/>
    <s v="NO"/>
    <s v="NO"/>
    <s v="NO"/>
  </r>
  <r>
    <x v="911"/>
    <s v="LC-12"/>
    <x v="0"/>
    <s v="Produciendo"/>
    <s v="Bombeo Mecánico"/>
    <x v="1"/>
    <s v="Lomas del Cuy- Cerro Grande Sur"/>
    <x v="0"/>
    <s v="NO"/>
    <n v="0.6"/>
    <n v="0"/>
  </r>
  <r>
    <x v="912"/>
    <s v="CnE-172"/>
    <x v="0"/>
    <s v="En Estudio"/>
    <s v="No Posee"/>
    <x v="5"/>
    <s v="Barranca Baya Bloque 40"/>
    <x v="1"/>
    <s v="NO"/>
    <n v="0.70000000000000007"/>
    <n v="0"/>
  </r>
  <r>
    <x v="913"/>
    <s v="CnE-362"/>
    <x v="0"/>
    <s v="Produciendo"/>
    <s v="Pistoneo"/>
    <x v="1"/>
    <s v="Barranca Baya Bloque 36"/>
    <x v="0"/>
    <s v="NO"/>
    <n v="9.6000000000000002E-2"/>
    <n v="0"/>
  </r>
  <r>
    <x v="914"/>
    <s v="CnE-456"/>
    <x v="0"/>
    <s v="Produciendo"/>
    <s v="Electro Sumergible"/>
    <x v="1"/>
    <s v="Barranca Baya Bloque 37"/>
    <x v="0"/>
    <s v="NO"/>
    <n v="1.54"/>
    <n v="0"/>
  </r>
  <r>
    <x v="915"/>
    <s v="CnE-532"/>
    <x v="0"/>
    <s v="Produciendo"/>
    <s v="Bombeo Mecánico"/>
    <x v="1"/>
    <s v="Barranca Baya Bloque 37"/>
    <x v="0"/>
    <s v="NO"/>
    <n v="0.10200000000000001"/>
    <n v="0"/>
  </r>
  <r>
    <x v="916"/>
    <s v="CnE-116"/>
    <x v="0"/>
    <s v="Abandono Permanente"/>
    <s v="No Posee"/>
    <x v="3"/>
    <s v="Barranca Baya Bloque 37"/>
    <x v="0"/>
    <s v="NO"/>
    <s v="NO"/>
    <s v="NO"/>
  </r>
  <r>
    <x v="917"/>
    <s v="CnE-147"/>
    <x v="0"/>
    <s v="Produciendo"/>
    <s v="Bombeo Mecánico"/>
    <x v="1"/>
    <s v="Barranca Baya Bloque 37"/>
    <x v="0"/>
    <s v="NO"/>
    <n v="2.21"/>
    <n v="0"/>
  </r>
  <r>
    <x v="918"/>
    <s v="CnE-414"/>
    <x v="0"/>
    <s v="Abandono Permanente"/>
    <s v="No Posee"/>
    <x v="3"/>
    <s v="Barranca Baya Bloque 36"/>
    <x v="0"/>
    <s v="NO"/>
    <s v="NO"/>
    <s v="NO"/>
  </r>
  <r>
    <x v="919"/>
    <s v="CG-282"/>
    <x v="0"/>
    <s v="Abandono Permanente"/>
    <s v="No Posee"/>
    <x v="3"/>
    <s v="Cerro Grande Central"/>
    <x v="0"/>
    <s v="NO"/>
    <s v="NO"/>
    <s v="NO"/>
  </r>
  <r>
    <x v="920"/>
    <s v="LH-264"/>
    <x v="0"/>
    <s v="Abandono Permanente"/>
    <s v="No Posee"/>
    <x v="3"/>
    <s v="Las Heras Central Sur"/>
    <x v="0"/>
    <s v="NO"/>
    <s v="NO"/>
    <s v="NO"/>
  </r>
  <r>
    <x v="921"/>
    <s v="LH-400"/>
    <x v="0"/>
    <s v="Abandono Permanente"/>
    <s v="No Posee"/>
    <x v="3"/>
    <s v="Las Heras Central Sur"/>
    <x v="0"/>
    <s v="NO"/>
    <n v="7.03"/>
    <n v="0"/>
  </r>
  <r>
    <x v="922"/>
    <s v="LH-533"/>
    <x v="0"/>
    <s v="Abandono Permanente"/>
    <s v="No Posee"/>
    <x v="3"/>
    <s v="Las Heras Las Heras Bloque 3"/>
    <x v="0"/>
    <s v="NO"/>
    <s v="NO"/>
    <s v="NO"/>
  </r>
  <r>
    <x v="923"/>
    <s v="CG-151"/>
    <x v="0"/>
    <s v="Produciendo"/>
    <s v="Bombeo Mecánico"/>
    <x v="1"/>
    <s v="Barranca Baya Cerro Grande Norte"/>
    <x v="0"/>
    <s v="NO"/>
    <n v="2.4650000000000003"/>
    <n v="0"/>
  </r>
  <r>
    <x v="924"/>
    <s v="CG-46"/>
    <x v="0"/>
    <s v="Produciendo"/>
    <s v="Inyección"/>
    <x v="1"/>
    <s v="Barranca Baya Bloque 26"/>
    <x v="0"/>
    <s v="NO"/>
    <n v="0"/>
    <n v="0"/>
  </r>
  <r>
    <x v="925"/>
    <s v="LH-1021a"/>
    <x v="0"/>
    <s v="Produciendo"/>
    <s v="Bombeo Mecánico"/>
    <x v="1"/>
    <s v="Las Heras Central Sur"/>
    <x v="0"/>
    <s v="NO"/>
    <n v="2.597"/>
    <n v="0"/>
  </r>
  <r>
    <x v="926"/>
    <s v="CnE-897a"/>
    <x v="0"/>
    <s v="Reserva Recuperación Secundaria"/>
    <s v="Bombeo Mecánico"/>
    <x v="6"/>
    <s v="Barranca Baya Bloque 30"/>
    <x v="0"/>
    <s v="Oportunidad"/>
    <n v="1.96"/>
    <n v="0"/>
  </r>
  <r>
    <x v="927"/>
    <s v="LC-2"/>
    <x v="0"/>
    <s v="Abandono Permanente"/>
    <s v="No Posee"/>
    <x v="3"/>
    <s v="Lomas del Cuy- Cerro Grande Noroeste"/>
    <x v="0"/>
    <s v="NO"/>
    <s v="NO"/>
    <s v="NO"/>
  </r>
  <r>
    <x v="928"/>
    <s v="LH-93"/>
    <x v="0"/>
    <s v="Reserva Recuperación Secundaria"/>
    <s v="No Posee"/>
    <x v="4"/>
    <s v="Las Heras Central Sur"/>
    <x v="0"/>
    <s v="NO"/>
    <s v="NO"/>
    <s v="NO"/>
  </r>
  <r>
    <x v="929"/>
    <s v="CG-291"/>
    <x v="0"/>
    <s v="Abandono Permanente"/>
    <s v="No Posee"/>
    <x v="3"/>
    <s v="Cerro Grande Central"/>
    <x v="0"/>
    <s v="NO"/>
    <s v="NO"/>
    <s v="NO"/>
  </r>
  <r>
    <x v="930"/>
    <s v="CR-3"/>
    <x v="0"/>
    <s v="Abandono Permanente"/>
    <s v="No Posee"/>
    <x v="3"/>
    <s v="Cerro Grande Noreste"/>
    <x v="0"/>
    <s v="NO"/>
    <s v="NO"/>
    <s v="NO"/>
  </r>
  <r>
    <x v="931"/>
    <s v="CG-52"/>
    <x v="0"/>
    <s v="Produciendo"/>
    <s v="Pistoneo"/>
    <x v="1"/>
    <s v="Barranca Baya Cerro Grande Sur"/>
    <x v="0"/>
    <s v="NO"/>
    <n v="0.75"/>
    <n v="0"/>
  </r>
  <r>
    <x v="932"/>
    <s v="CG-471a"/>
    <x v="0"/>
    <s v="Produciendo"/>
    <s v="Inyección"/>
    <x v="1"/>
    <s v="Cerro Grande Noreste"/>
    <x v="0"/>
    <s v="NO"/>
    <n v="0"/>
    <n v="0"/>
  </r>
  <r>
    <x v="933"/>
    <s v="CG-543a"/>
    <x v="0"/>
    <s v="Produciendo"/>
    <s v="Bombeo Mecánico"/>
    <x v="1"/>
    <s v="Cerro Grande Central"/>
    <x v="0"/>
    <s v="NO"/>
    <n v="1.32"/>
    <n v="0"/>
  </r>
  <r>
    <x v="934"/>
    <s v="LH-1005a"/>
    <x v="0"/>
    <s v="Produciendo"/>
    <s v="Inyección"/>
    <x v="1"/>
    <s v="Las Heras Central Sur"/>
    <x v="0"/>
    <s v="NO"/>
    <n v="0"/>
    <n v="0"/>
  </r>
  <r>
    <x v="935"/>
    <s v="LH-1001a"/>
    <x v="0"/>
    <s v="Produciendo"/>
    <s v="Inyección"/>
    <x v="1"/>
    <s v="Las Heras Central Sur"/>
    <x v="0"/>
    <s v="NO"/>
    <n v="0"/>
    <n v="0"/>
  </r>
  <r>
    <x v="936"/>
    <s v="CG-558a"/>
    <x v="0"/>
    <s v="Produciendo"/>
    <s v="Bombeo Mecánico"/>
    <x v="1"/>
    <s v="Cerro Grande Central"/>
    <x v="0"/>
    <s v="NO"/>
    <n v="3.5500000000000003"/>
    <n v="0"/>
  </r>
  <r>
    <x v="937"/>
    <s v="CG-569a"/>
    <x v="0"/>
    <s v="Produciendo"/>
    <s v="Inyección"/>
    <x v="1"/>
    <s v="Cerro Grande Central"/>
    <x v="0"/>
    <s v="NO"/>
    <n v="0"/>
    <n v="0"/>
  </r>
  <r>
    <x v="938"/>
    <s v="LH-1130"/>
    <x v="0"/>
    <s v="Reserva Recuperación Secundaria"/>
    <s v="Bombeo Mecánico"/>
    <x v="0"/>
    <s v="Las Heras Las Heras Bloque 3"/>
    <x v="0"/>
    <s v="NO"/>
    <n v="0.22"/>
    <s v="Ultimos 6 meses"/>
  </r>
  <r>
    <x v="939"/>
    <s v="LH-1144a"/>
    <x v="0"/>
    <s v="Produciendo"/>
    <s v="Bombeo Mecánico"/>
    <x v="1"/>
    <s v="Las Heras Central Sur"/>
    <x v="0"/>
    <s v="NO"/>
    <n v="0.11"/>
    <n v="0"/>
  </r>
  <r>
    <x v="940"/>
    <s v="CG-634"/>
    <x v="0"/>
    <s v="Produciendo"/>
    <s v="Bombeo Mecánico"/>
    <x v="1"/>
    <s v="Cerro Grande Central"/>
    <x v="0"/>
    <s v="NO"/>
    <n v="1.36"/>
    <n v="0"/>
  </r>
  <r>
    <x v="941"/>
    <s v="CnE-1033"/>
    <x v="0"/>
    <s v="Abandono Permanente"/>
    <s v="No Posee"/>
    <x v="3"/>
    <s v="Barranca Baya Bloque 30"/>
    <x v="0"/>
    <s v="NO"/>
    <n v="2.88"/>
    <n v="0"/>
  </r>
  <r>
    <x v="942"/>
    <s v="CG-684"/>
    <x v="0"/>
    <s v="Produciendo"/>
    <s v="Bombeo Mecánico"/>
    <x v="1"/>
    <s v="Cerro Grande Central"/>
    <x v="0"/>
    <s v="NO"/>
    <n v="4.03"/>
    <n v="0"/>
  </r>
  <r>
    <x v="943"/>
    <s v="CnE-1009"/>
    <x v="0"/>
    <s v="Espera Equipo Reparación"/>
    <s v="Bombeo Mecánico"/>
    <x v="5"/>
    <s v="Barranca Baya Bloque 30"/>
    <x v="1"/>
    <s v="NO"/>
    <n v="0.29200000000000004"/>
    <s v="Ultimo Año"/>
  </r>
  <r>
    <x v="944"/>
    <s v="LH-1195"/>
    <x v="0"/>
    <s v="Produciendo"/>
    <s v="Bombeo Mecánico"/>
    <x v="1"/>
    <s v="Las Heras Central Sur"/>
    <x v="0"/>
    <s v="NO"/>
    <n v="0.35500000000000004"/>
    <n v="0"/>
  </r>
  <r>
    <x v="945"/>
    <s v="CG-803"/>
    <x v="0"/>
    <s v="Produciendo"/>
    <s v="Cavidad Progresiva"/>
    <x v="1"/>
    <s v="Barranca Baya Cerro Grande Noroeste"/>
    <x v="0"/>
    <s v="NO"/>
    <n v="1.05"/>
    <n v="0"/>
  </r>
  <r>
    <x v="946"/>
    <s v="CG-766a"/>
    <x v="0"/>
    <s v="Produciendo"/>
    <s v="Bombeo Mecánico"/>
    <x v="1"/>
    <s v="Cerro Grande Central"/>
    <x v="0"/>
    <s v="NO"/>
    <n v="0.6"/>
    <n v="0"/>
  </r>
  <r>
    <x v="947"/>
    <s v="CnE-1308"/>
    <x v="0"/>
    <s v="Espera Equipo Reparación"/>
    <s v="Bombeo Mecánico"/>
    <x v="5"/>
    <s v="Barranca Baya Bloque 30"/>
    <x v="1"/>
    <s v="NO"/>
    <n v="1.36"/>
    <n v="0"/>
  </r>
  <r>
    <x v="948"/>
    <s v="LH-1267a"/>
    <x v="0"/>
    <s v="Produciendo"/>
    <s v="Bombeo Mecánico"/>
    <x v="1"/>
    <s v="Las Heras Central Sur"/>
    <x v="0"/>
    <s v="NO"/>
    <n v="3.63"/>
    <n v="0"/>
  </r>
  <r>
    <x v="949"/>
    <s v="CnE-1422a"/>
    <x v="0"/>
    <s v="Produciendo"/>
    <s v="Bombeo Mecánico"/>
    <x v="1"/>
    <s v="Barranca Baya Bloque 30"/>
    <x v="0"/>
    <s v="NO"/>
    <n v="1.32"/>
    <n v="0"/>
  </r>
  <r>
    <x v="950"/>
    <s v="BB-21"/>
    <x v="0"/>
    <s v="Reserva Recuperación Secundaria"/>
    <s v="Pistoneo"/>
    <x v="4"/>
    <s v="Barranca Baya"/>
    <x v="0"/>
    <s v="NO"/>
    <n v="0.124"/>
    <n v="0"/>
  </r>
  <r>
    <x v="951"/>
    <s v="BB-25"/>
    <x v="0"/>
    <s v="Produciendo"/>
    <s v="Electro Sumergible"/>
    <x v="1"/>
    <s v="Barranca Baya"/>
    <x v="0"/>
    <s v="NO"/>
    <n v="4.4400000000000004"/>
    <n v="0"/>
  </r>
  <r>
    <x v="952"/>
    <s v="CnE-36"/>
    <x v="0"/>
    <s v="Espera Equipo Reparación"/>
    <s v="Inyección"/>
    <x v="4"/>
    <s v="Barranca Baya Bloque 26"/>
    <x v="0"/>
    <s v="NO"/>
    <n v="0"/>
    <n v="0"/>
  </r>
  <r>
    <x v="953"/>
    <s v="CnE-217"/>
    <x v="0"/>
    <s v="Reserva Recuperación Secundaria"/>
    <s v="No Posee"/>
    <x v="4"/>
    <s v="Barranca Baya Bloque 30"/>
    <x v="0"/>
    <s v="NO"/>
    <s v="NO"/>
    <s v="NO"/>
  </r>
  <r>
    <x v="954"/>
    <s v="CnE-237"/>
    <x v="0"/>
    <s v="Abandono Permanente"/>
    <s v="No Posee"/>
    <x v="3"/>
    <s v="Barranca Baya Bloque 30"/>
    <x v="0"/>
    <s v="NO"/>
    <s v="NO"/>
    <s v="NO"/>
  </r>
  <r>
    <x v="955"/>
    <s v="LC-24"/>
    <x v="0"/>
    <s v="Abandono Permanente"/>
    <s v="No Posee"/>
    <x v="3"/>
    <s v="Lomas del Cuy- Cerro Grande Noroeste"/>
    <x v="0"/>
    <s v="NO"/>
    <s v="NO"/>
    <s v="NO"/>
  </r>
  <r>
    <x v="956"/>
    <s v="LH-473"/>
    <x v="0"/>
    <s v="Abandono Permanente"/>
    <s v="No Posee"/>
    <x v="3"/>
    <s v="Las Heras Bloque 2"/>
    <x v="0"/>
    <s v="NO"/>
    <n v="0.129"/>
    <n v="0"/>
  </r>
  <r>
    <x v="957"/>
    <s v="CnE-863"/>
    <x v="0"/>
    <s v="Produciendo"/>
    <s v="Bombeo Mecánico"/>
    <x v="1"/>
    <s v="Barranca Baya Bloque 36"/>
    <x v="0"/>
    <s v="NO"/>
    <n v="0.92"/>
    <n v="0"/>
  </r>
  <r>
    <x v="958"/>
    <s v="CG-528a"/>
    <x v="0"/>
    <s v="Produciendo"/>
    <s v="Pistoneo"/>
    <x v="1"/>
    <s v="Cerro Grande Central"/>
    <x v="0"/>
    <s v="NO"/>
    <n v="9.5000000000000001E-2"/>
    <n v="0"/>
  </r>
  <r>
    <x v="959"/>
    <s v="LH-997a"/>
    <x v="0"/>
    <s v="En Estudio"/>
    <s v="Bombeo Mecánico"/>
    <x v="5"/>
    <s v="Las Heras Central Sur"/>
    <x v="1"/>
    <s v="NO"/>
    <n v="0.16"/>
    <n v="0"/>
  </r>
  <r>
    <x v="960"/>
    <s v="CG-514a"/>
    <x v="0"/>
    <s v="Produciendo"/>
    <s v="Bombeo Mecánico"/>
    <x v="1"/>
    <s v="Cerro Grande Noreste"/>
    <x v="0"/>
    <s v="NO"/>
    <n v="3.64"/>
    <n v="0"/>
  </r>
  <r>
    <x v="961"/>
    <s v="LH-1073a"/>
    <x v="0"/>
    <s v="En Estudio"/>
    <s v="Bombeo Mecánico"/>
    <x v="5"/>
    <s v="Las Heras Central Sur"/>
    <x v="1"/>
    <s v="NO"/>
    <n v="0.54"/>
    <n v="0"/>
  </r>
  <r>
    <x v="962"/>
    <s v="LH-915a"/>
    <x v="0"/>
    <s v="Abandono Permanente"/>
    <s v="No Posee"/>
    <x v="3"/>
    <s v="Las Heras Las Heras Bloque 3"/>
    <x v="0"/>
    <s v="NO"/>
    <n v="0.98"/>
    <n v="0"/>
  </r>
  <r>
    <x v="963"/>
    <s v="CG-550a"/>
    <x v="0"/>
    <s v="Produciendo"/>
    <s v="Bombeo Mecánico"/>
    <x v="1"/>
    <s v="Cerro Grande Central"/>
    <x v="0"/>
    <s v="NO"/>
    <n v="1.28"/>
    <s v="Ultimos 6 meses"/>
  </r>
  <r>
    <x v="964"/>
    <s v="CG-555a"/>
    <x v="0"/>
    <s v="Produciendo"/>
    <s v="Bombeo Mecánico"/>
    <x v="1"/>
    <s v="Cerro Grande Central"/>
    <x v="0"/>
    <s v="NO"/>
    <n v="0.16800000000000001"/>
    <n v="0"/>
  </r>
  <r>
    <x v="965"/>
    <s v="LH-1139a"/>
    <x v="0"/>
    <s v="Produciendo"/>
    <s v="Bombeo Mecánico"/>
    <x v="1"/>
    <s v="Las Heras Las Heras Bloque 3"/>
    <x v="0"/>
    <s v="NO"/>
    <n v="0.8"/>
    <n v="0"/>
  </r>
  <r>
    <x v="966"/>
    <s v="LH-1163"/>
    <x v="0"/>
    <s v="Reserva Recuperación Secundaria"/>
    <s v="Bombeo Mecánico"/>
    <x v="4"/>
    <s v="Las Heras Central Sur"/>
    <x v="0"/>
    <s v="NO"/>
    <n v="0.09"/>
    <n v="0"/>
  </r>
  <r>
    <x v="967"/>
    <s v="CnE-975"/>
    <x v="0"/>
    <s v="En Estudio"/>
    <s v="Bombeo Mecánico"/>
    <x v="5"/>
    <s v="Barranca Baya Bloque 36"/>
    <x v="1"/>
    <s v="NO"/>
    <n v="0.04"/>
    <n v="0"/>
  </r>
  <r>
    <x v="968"/>
    <s v="CG-683"/>
    <x v="0"/>
    <s v="Produciendo"/>
    <s v="Inyección"/>
    <x v="1"/>
    <s v="Cerro Grande Central"/>
    <x v="0"/>
    <s v="NO"/>
    <n v="0"/>
    <n v="0"/>
  </r>
  <r>
    <x v="969"/>
    <s v="CnE-1011"/>
    <x v="0"/>
    <s v="Reserva Recuperación Secundaria"/>
    <s v="Bombeo Mecánico"/>
    <x v="6"/>
    <s v="Barranca Baya Bloque 30"/>
    <x v="0"/>
    <s v="Oportunidad"/>
    <n v="0.20400000000000001"/>
    <n v="0"/>
  </r>
  <r>
    <x v="970"/>
    <s v="CnE-1036"/>
    <x v="0"/>
    <s v="Produciendo"/>
    <s v="Bombeo Mecánico"/>
    <x v="1"/>
    <s v="Barranca Baya Bloque 30"/>
    <x v="0"/>
    <s v="NO"/>
    <n v="1.19"/>
    <n v="0"/>
  </r>
  <r>
    <x v="971"/>
    <s v="LH-1189"/>
    <x v="0"/>
    <s v="Produciendo"/>
    <s v="Pistoneo"/>
    <x v="1"/>
    <s v="Las Heras Bloque 2"/>
    <x v="0"/>
    <s v="NO"/>
    <n v="0.65500000000000003"/>
    <n v="0"/>
  </r>
  <r>
    <x v="972"/>
    <s v="CG-700"/>
    <x v="0"/>
    <s v="Produciendo"/>
    <s v="Bombeo Mecánico"/>
    <x v="1"/>
    <s v="Cerro Grande Central"/>
    <x v="0"/>
    <s v="NO"/>
    <n v="2.38"/>
    <n v="0"/>
  </r>
  <r>
    <x v="973"/>
    <s v="CnE-1126"/>
    <x v="0"/>
    <s v="Produciendo"/>
    <s v="Bombeo Mecánico"/>
    <x v="1"/>
    <s v="Barranca Baya Bloque 36"/>
    <x v="0"/>
    <s v="NO"/>
    <n v="1.125"/>
    <n v="0"/>
  </r>
  <r>
    <x v="974"/>
    <s v="CnE-1120"/>
    <x v="0"/>
    <s v="Produciendo"/>
    <s v="Bombeo Mecánico"/>
    <x v="1"/>
    <s v="Barranca Baya Bloque 40"/>
    <x v="0"/>
    <s v="NO"/>
    <n v="1.05"/>
    <n v="0"/>
  </r>
  <r>
    <x v="975"/>
    <s v="CnE-1258(d)"/>
    <x v="0"/>
    <s v="Produciendo"/>
    <s v="Bombeo Mecánico"/>
    <x v="1"/>
    <s v="Barranca Baya Bloque 37"/>
    <x v="0"/>
    <s v="NO"/>
    <n v="0.45600000000000002"/>
    <n v="0"/>
  </r>
  <r>
    <x v="976"/>
    <s v="LH-1262"/>
    <x v="0"/>
    <s v="Produciendo"/>
    <s v="Bombeo Mecánico"/>
    <x v="1"/>
    <s v="Las Heras Central Sur"/>
    <x v="0"/>
    <s v="NO"/>
    <n v="2.226"/>
    <n v="0"/>
  </r>
  <r>
    <x v="977"/>
    <s v="LH-1093a"/>
    <x v="0"/>
    <s v="Produciendo"/>
    <s v="Bombeo Mecánico"/>
    <x v="1"/>
    <s v="Las Heras Bloque 2"/>
    <x v="0"/>
    <s v="NO"/>
    <n v="0.99"/>
    <n v="0"/>
  </r>
  <r>
    <x v="978"/>
    <s v="CnE-928a"/>
    <x v="0"/>
    <s v="Produciendo"/>
    <s v="Inyección"/>
    <x v="1"/>
    <s v="Barranca Baya Bloque 30"/>
    <x v="0"/>
    <s v="Oportunidad"/>
    <n v="0"/>
    <n v="0"/>
  </r>
  <r>
    <x v="979"/>
    <s v="CG-590a"/>
    <x v="0"/>
    <s v="Abandono Permanente"/>
    <s v="No Posee"/>
    <x v="3"/>
    <s v="Cerro Grande Central"/>
    <x v="0"/>
    <s v="NO"/>
    <n v="0.64300000000000002"/>
    <n v="0"/>
  </r>
  <r>
    <x v="980"/>
    <s v="LH-1138a"/>
    <x v="0"/>
    <s v="Abandono Permanente"/>
    <s v="No Posee"/>
    <x v="3"/>
    <s v="Las Heras Las Heras Bloque 3"/>
    <x v="0"/>
    <s v="NO"/>
    <n v="3.7760000000000002"/>
    <n v="0"/>
  </r>
  <r>
    <x v="981"/>
    <s v="LH-1152a"/>
    <x v="0"/>
    <s v="Reserva Recuperación Secundaria"/>
    <s v="Bombeo Mecánico"/>
    <x v="4"/>
    <s v="Las Heras Bloque 2"/>
    <x v="0"/>
    <s v="NO"/>
    <n v="1E-3"/>
    <n v="0"/>
  </r>
  <r>
    <x v="982"/>
    <s v="CG-613a"/>
    <x v="0"/>
    <s v="Produciendo"/>
    <s v="Bombeo Mecánico"/>
    <x v="1"/>
    <s v="Cerro Grande Central"/>
    <x v="0"/>
    <s v="NO"/>
    <n v="2.97"/>
    <n v="0"/>
  </r>
  <r>
    <x v="983"/>
    <s v="CG-619a"/>
    <x v="0"/>
    <s v="Produciendo"/>
    <s v="Bombeo Mecánico"/>
    <x v="1"/>
    <s v="Cerro Grande Central"/>
    <x v="0"/>
    <s v="NO"/>
    <n v="0.63"/>
    <n v="0"/>
  </r>
  <r>
    <x v="984"/>
    <s v="CG-631"/>
    <x v="0"/>
    <s v="Produciendo"/>
    <s v="Bombeo Mecánico"/>
    <x v="1"/>
    <s v="Cerro Grande Central"/>
    <x v="0"/>
    <s v="NO"/>
    <n v="0.56100000000000005"/>
    <n v="0"/>
  </r>
  <r>
    <x v="985"/>
    <s v="CG-677"/>
    <x v="0"/>
    <s v="Produciendo"/>
    <s v="Bombeo Mecánico"/>
    <x v="1"/>
    <s v="Cerro Grande Central"/>
    <x v="0"/>
    <s v="NO"/>
    <n v="0.93500000000000005"/>
    <n v="0"/>
  </r>
  <r>
    <x v="986"/>
    <s v="CG-694"/>
    <x v="0"/>
    <s v="Produciendo"/>
    <s v="Inyección"/>
    <x v="1"/>
    <s v="Cerro Grande Central"/>
    <x v="0"/>
    <s v="NO"/>
    <n v="0"/>
    <n v="0"/>
  </r>
  <r>
    <x v="987"/>
    <s v="CG-710"/>
    <x v="0"/>
    <s v="Produciendo"/>
    <s v="Inyección"/>
    <x v="1"/>
    <s v="Cerro Grande Central"/>
    <x v="0"/>
    <s v="NO"/>
    <n v="0"/>
    <n v="0"/>
  </r>
  <r>
    <x v="988"/>
    <s v="CnE-1212(d)"/>
    <x v="0"/>
    <s v="En Estudio"/>
    <s v="Bombeo Mecánico"/>
    <x v="5"/>
    <s v="Barranca Baya Bloque 30"/>
    <x v="1"/>
    <s v="NO"/>
    <n v="1.2"/>
    <n v="0"/>
  </r>
  <r>
    <x v="989"/>
    <s v="CnE-1339(d)"/>
    <x v="0"/>
    <s v="Produciendo"/>
    <s v="Bombeo Mecánico"/>
    <x v="1"/>
    <s v="Barranca Baya Bloque 26"/>
    <x v="0"/>
    <s v="NO"/>
    <n v="1.2"/>
    <n v="0"/>
  </r>
  <r>
    <x v="990"/>
    <s v="LH-1257"/>
    <x v="0"/>
    <s v="Produciendo"/>
    <s v="Bombeo Mecánico"/>
    <x v="1"/>
    <s v="Las Heras Central Sur"/>
    <x v="0"/>
    <s v="NO"/>
    <n v="0.9820000000000001"/>
    <n v="0"/>
  </r>
  <r>
    <x v="991"/>
    <s v="CG-938"/>
    <x v="0"/>
    <s v="Espera Equipo Reparación"/>
    <s v="Bombeo Mecánico"/>
    <x v="0"/>
    <s v="Cerro Grande Central"/>
    <x v="0"/>
    <s v="NO"/>
    <n v="1.3260000000000001"/>
    <s v="Ultimos 6 meses"/>
  </r>
  <r>
    <x v="992"/>
    <s v="CG.IA-977"/>
    <x v="0"/>
    <s v="Produciendo"/>
    <s v="Inyección"/>
    <x v="1"/>
    <s v="Barranca Baya Cerro Grande Sur"/>
    <x v="0"/>
    <s v="NO"/>
    <n v="0"/>
    <n v="0"/>
  </r>
  <r>
    <x v="993"/>
    <s v="LH-165"/>
    <x v="0"/>
    <s v="Produciendo"/>
    <s v="Pistoneo"/>
    <x v="1"/>
    <s v="Las Heras Las Heras Bloque 3"/>
    <x v="0"/>
    <s v="NO"/>
    <n v="0.10400000000000001"/>
    <n v="0"/>
  </r>
  <r>
    <x v="994"/>
    <s v="LH-185"/>
    <x v="0"/>
    <s v="Espera Equipo Reparación"/>
    <s v="No Posee"/>
    <x v="4"/>
    <s v="Las Heras Las Heras Bloque 3"/>
    <x v="0"/>
    <s v="NO"/>
    <n v="0"/>
    <n v="0"/>
  </r>
  <r>
    <x v="995"/>
    <s v="LH-203"/>
    <x v="0"/>
    <s v="Abandono Permanente"/>
    <s v="No Posee"/>
    <x v="3"/>
    <s v="Las Heras Bloque 2"/>
    <x v="0"/>
    <s v="NO"/>
    <s v="NO"/>
    <s v="NO"/>
  </r>
  <r>
    <x v="996"/>
    <s v="LH-269"/>
    <x v="0"/>
    <s v="Abandono Permanente"/>
    <s v="No Posee"/>
    <x v="3"/>
    <s v="Las Heras Central Sur"/>
    <x v="0"/>
    <s v="NO"/>
    <n v="0"/>
    <n v="0"/>
  </r>
  <r>
    <x v="997"/>
    <s v="LH-609"/>
    <x v="0"/>
    <s v="En Estudio"/>
    <s v="Bombeo Mecánico"/>
    <x v="5"/>
    <s v="Las Heras Central Sur"/>
    <x v="1"/>
    <s v="NO"/>
    <n v="0.71800000000000008"/>
    <n v="0"/>
  </r>
  <r>
    <x v="998"/>
    <s v="LH-635"/>
    <x v="0"/>
    <s v="Parado Alta Rap"/>
    <s v="Bombeo Mecánico"/>
    <x v="5"/>
    <s v="Las Heras Central Sur"/>
    <x v="1"/>
    <s v="NO"/>
    <n v="0.15"/>
    <n v="0"/>
  </r>
  <r>
    <x v="999"/>
    <s v="LH-639"/>
    <x v="0"/>
    <s v="Abandono Permanente"/>
    <s v="No Posee"/>
    <x v="3"/>
    <s v="Las Heras Central Sur"/>
    <x v="0"/>
    <s v="NO"/>
    <s v="NO"/>
    <s v="NO"/>
  </r>
  <r>
    <x v="1000"/>
    <s v="LH-856"/>
    <x v="0"/>
    <s v="Produciendo"/>
    <s v="Bombeo Mecánico"/>
    <x v="1"/>
    <s v="Las Heras Central Sur"/>
    <x v="0"/>
    <s v="NO"/>
    <n v="0.98"/>
    <n v="0"/>
  </r>
  <r>
    <x v="1001"/>
    <s v="LH-892"/>
    <x v="0"/>
    <s v="Reserva Recuperación Secundaria"/>
    <s v="Pistoneo"/>
    <x v="4"/>
    <s v="Las Heras Central Sur"/>
    <x v="0"/>
    <s v="NO"/>
    <n v="0.216"/>
    <n v="0"/>
  </r>
  <r>
    <x v="1002"/>
    <s v="CG-337"/>
    <x v="0"/>
    <s v="Reserva Recuperación Secundaria"/>
    <s v="Inyección"/>
    <x v="4"/>
    <s v="Barranca Baya Bloque 26"/>
    <x v="0"/>
    <s v="NO"/>
    <n v="0"/>
    <n v="0"/>
  </r>
  <r>
    <x v="1003"/>
    <s v="CG-358"/>
    <x v="0"/>
    <s v="Reserva Recuperación Secundaria"/>
    <s v="Pistoneo"/>
    <x v="4"/>
    <s v="Cerro Grande Central"/>
    <x v="0"/>
    <s v="NO"/>
    <n v="0.36699999999999999"/>
    <n v="0"/>
  </r>
  <r>
    <x v="1004"/>
    <s v="CG-508"/>
    <x v="0"/>
    <s v="Produciendo"/>
    <s v="Bombeo Mecánico"/>
    <x v="1"/>
    <s v="Las Heras Las Heras Bloque 3"/>
    <x v="0"/>
    <s v="NO"/>
    <n v="1.125"/>
    <n v="0"/>
  </r>
  <r>
    <x v="1005"/>
    <s v="N-48"/>
    <x v="0"/>
    <s v="Abandono Permanente"/>
    <s v="No Posee"/>
    <x v="3"/>
    <s v="Las Heras Central Sur"/>
    <x v="0"/>
    <s v="NO"/>
    <s v="NO"/>
    <s v="NO"/>
  </r>
  <r>
    <x v="1006"/>
    <s v="N-50"/>
    <x v="0"/>
    <s v="Reserva Recuperación Secundaria"/>
    <s v="Pistoneo"/>
    <x v="4"/>
    <s v="Las Heras Central Sur"/>
    <x v="0"/>
    <s v="NO"/>
    <n v="0.16600000000000001"/>
    <n v="0"/>
  </r>
  <r>
    <x v="1007"/>
    <s v="CnE-144"/>
    <x v="0"/>
    <s v="Produciendo"/>
    <s v="Bombeo Mecánico"/>
    <x v="1"/>
    <s v="Barranca Baya Bloque 40"/>
    <x v="0"/>
    <s v="NO"/>
    <n v="0.81"/>
    <n v="0"/>
  </r>
  <r>
    <x v="1008"/>
    <s v="CnE-504"/>
    <x v="0"/>
    <s v="Produciendo"/>
    <s v="Pistoneo"/>
    <x v="1"/>
    <s v="Barranca Baya Bloque 36"/>
    <x v="0"/>
    <s v="NO"/>
    <n v="9.5000000000000001E-2"/>
    <n v="0"/>
  </r>
  <r>
    <x v="1009"/>
    <s v="CnE-538"/>
    <x v="0"/>
    <s v="Produciendo"/>
    <s v="Bombeo Mecánico"/>
    <x v="1"/>
    <s v="Barranca Baya Bloque 36"/>
    <x v="0"/>
    <s v="NO"/>
    <n v="0.9"/>
    <n v="0"/>
  </r>
  <r>
    <x v="1010"/>
    <s v="CnE-547"/>
    <x v="0"/>
    <s v="En Estudio"/>
    <s v="No Posee"/>
    <x v="5"/>
    <s v="Barranca Baya Bloque 37"/>
    <x v="1"/>
    <s v="NO"/>
    <n v="0.224"/>
    <n v="0"/>
  </r>
  <r>
    <x v="1011"/>
    <s v="CnE-559"/>
    <x v="0"/>
    <s v="Produciendo"/>
    <s v="Inyección"/>
    <x v="1"/>
    <s v="Barranca Baya Bloque 36"/>
    <x v="0"/>
    <s v="NO"/>
    <n v="0"/>
    <n v="0"/>
  </r>
  <r>
    <x v="1012"/>
    <s v="LH-127"/>
    <x v="0"/>
    <s v="Produciendo"/>
    <s v="Bombeo Mecánico"/>
    <x v="1"/>
    <s v="Las Heras Las Heras Bloque 3"/>
    <x v="0"/>
    <s v="NO"/>
    <n v="1.9680000000000002"/>
    <n v="0"/>
  </r>
  <r>
    <x v="1013"/>
    <s v="LH-178"/>
    <x v="0"/>
    <s v="Abandono Permanente"/>
    <s v="No Posee"/>
    <x v="3"/>
    <s v="Las Heras Las Heras Bloque 3"/>
    <x v="0"/>
    <s v="NO"/>
    <s v="NO"/>
    <s v="NO"/>
  </r>
  <r>
    <x v="1014"/>
    <s v="LH-217"/>
    <x v="0"/>
    <s v="Abandono Permanente"/>
    <s v="No Posee"/>
    <x v="3"/>
    <s v="Las Heras Bloque 2"/>
    <x v="0"/>
    <s v="NO"/>
    <s v="NO"/>
    <s v="NO"/>
  </r>
  <r>
    <x v="1015"/>
    <s v="LH-279"/>
    <x v="0"/>
    <s v="Produciendo"/>
    <s v="Bombeo Mecánico"/>
    <x v="1"/>
    <s v="Las Heras Central Sur"/>
    <x v="0"/>
    <s v="NO"/>
    <n v="0.55200000000000005"/>
    <n v="0"/>
  </r>
  <r>
    <x v="1016"/>
    <s v="LH-576"/>
    <x v="0"/>
    <s v="En Estudio"/>
    <s v="No Posee"/>
    <x v="2"/>
    <s v="Las Heras Central Sur"/>
    <x v="0"/>
    <s v="NO"/>
    <n v="0.82800000000000007"/>
    <s v="Ultimo Año"/>
  </r>
  <r>
    <x v="1017"/>
    <s v="LH-703"/>
    <x v="0"/>
    <s v="En Estudio"/>
    <s v="No Posee"/>
    <x v="2"/>
    <s v="Las Heras Bloque 2"/>
    <x v="0"/>
    <s v="NO"/>
    <n v="0.3"/>
    <s v="Ultimo Año"/>
  </r>
  <r>
    <x v="1018"/>
    <s v="LH-820"/>
    <x v="0"/>
    <s v="Reserva Recuperación Secundaria"/>
    <s v="No Posee"/>
    <x v="4"/>
    <s v="Las Heras Bloque 2"/>
    <x v="0"/>
    <s v="NO"/>
    <n v="0.11800000000000001"/>
    <n v="0"/>
  </r>
  <r>
    <x v="1019"/>
    <s v="CG-269"/>
    <x v="0"/>
    <s v="Abandono Permanente"/>
    <s v="No Posee"/>
    <x v="3"/>
    <s v="Lomas del Cuy- Cerro Grande Norte"/>
    <x v="0"/>
    <s v="NO"/>
    <s v="NO"/>
    <s v="NO"/>
  </r>
  <r>
    <x v="1020"/>
    <s v="CG-328"/>
    <x v="0"/>
    <s v="Produciendo"/>
    <s v="Bombeo Mecánico"/>
    <x v="1"/>
    <s v="Cerro Grande Central"/>
    <x v="0"/>
    <s v="NO"/>
    <n v="2.04"/>
    <n v="0"/>
  </r>
  <r>
    <x v="1021"/>
    <s v="CG-355"/>
    <x v="0"/>
    <s v="Abandono Permanente"/>
    <s v="No Posee"/>
    <x v="5"/>
    <s v="Cerro Grande Central"/>
    <x v="1"/>
    <s v="NO"/>
    <n v="0.85"/>
    <n v="0"/>
  </r>
  <r>
    <x v="1022"/>
    <s v="CG-430"/>
    <x v="0"/>
    <s v="Produciendo"/>
    <s v="Bombeo Mecánico"/>
    <x v="1"/>
    <s v="Cerro Grande Central"/>
    <x v="0"/>
    <s v="NO"/>
    <n v="0.92800000000000005"/>
    <n v="0"/>
  </r>
  <r>
    <x v="1023"/>
    <s v="CG-504"/>
    <x v="0"/>
    <s v="Produciendo"/>
    <s v="Pistoneo"/>
    <x v="1"/>
    <s v="Barranca Baya Las Heras Bloque 3"/>
    <x v="0"/>
    <s v="NO"/>
    <n v="4.9000000000000002E-2"/>
    <n v="0"/>
  </r>
  <r>
    <x v="1024"/>
    <s v="LC-88"/>
    <x v="0"/>
    <s v="Produciendo"/>
    <s v="Bombeo Mecánico"/>
    <x v="1"/>
    <s v="Lomas del Cuy- Cerro Grande Sur"/>
    <x v="0"/>
    <s v="NO"/>
    <n v="1.33"/>
    <n v="0"/>
  </r>
  <r>
    <x v="1025"/>
    <s v="LC-539"/>
    <x v="0"/>
    <s v="Reserva Recuperación Secundaria"/>
    <s v="No Posee"/>
    <x v="4"/>
    <s v="Lomas del Cuy- Cerro Grande Noroeste"/>
    <x v="0"/>
    <s v="NO"/>
    <n v="0.53300000000000003"/>
    <n v="0"/>
  </r>
  <r>
    <x v="1026"/>
    <s v="CnE-14"/>
    <x v="0"/>
    <s v="Espera Equipo Reparación"/>
    <s v="Inyección"/>
    <x v="4"/>
    <s v="Barranca Baya Bloque 26"/>
    <x v="0"/>
    <s v="NO"/>
    <n v="0"/>
    <n v="0"/>
  </r>
  <r>
    <x v="1027"/>
    <s v="CnE-23"/>
    <x v="0"/>
    <s v="Reserva Recuperación Secundaria"/>
    <s v="No Posee"/>
    <x v="4"/>
    <s v="Barranca Baya Bloque 30"/>
    <x v="0"/>
    <s v="NO"/>
    <n v="0.48"/>
    <n v="0"/>
  </r>
  <r>
    <x v="1028"/>
    <s v="CnE-88"/>
    <x v="0"/>
    <s v="Produciendo"/>
    <s v="Inyección"/>
    <x v="1"/>
    <s v="Barranca Baya Bloque 26"/>
    <x v="0"/>
    <s v="NO"/>
    <n v="0"/>
    <n v="0"/>
  </r>
  <r>
    <x v="1029"/>
    <s v="CnE-219"/>
    <x v="0"/>
    <s v="Produciendo"/>
    <s v="Bombeo Mecánico"/>
    <x v="1"/>
    <s v="Barranca Baya Bloque 30"/>
    <x v="0"/>
    <s v="NO"/>
    <n v="4.5440000000000005"/>
    <n v="0"/>
  </r>
  <r>
    <x v="1030"/>
    <s v="CnE-355"/>
    <x v="0"/>
    <s v="Reserva Recuperación Secundaria"/>
    <s v="Bombeo Mecánico"/>
    <x v="4"/>
    <s v="Barranca Baya Bloque 36"/>
    <x v="0"/>
    <s v="NO"/>
    <n v="0.36"/>
    <n v="0"/>
  </r>
  <r>
    <x v="1031"/>
    <s v="CnE-359"/>
    <x v="0"/>
    <s v="Produciendo"/>
    <s v="Inyección"/>
    <x v="1"/>
    <s v="Barranca Baya Bloque 36"/>
    <x v="0"/>
    <s v="NO"/>
    <n v="0"/>
    <n v="0"/>
  </r>
  <r>
    <x v="1032"/>
    <s v="CnE-422"/>
    <x v="0"/>
    <s v="Produciendo"/>
    <s v="Pistoneo"/>
    <x v="1"/>
    <s v="Barranca Baya Bloque 36"/>
    <x v="0"/>
    <s v="NO"/>
    <n v="0.125"/>
    <n v="0"/>
  </r>
  <r>
    <x v="1033"/>
    <s v="CnE-482"/>
    <x v="0"/>
    <s v="Abandono Permanente"/>
    <s v="No Posee"/>
    <x v="3"/>
    <s v="Barranca Baya"/>
    <x v="0"/>
    <s v="NO"/>
    <s v="NO"/>
    <s v="NO"/>
  </r>
  <r>
    <x v="1034"/>
    <s v="CnE-489"/>
    <x v="0"/>
    <s v="Reserva Recuperación Secundaria"/>
    <s v="No Posee"/>
    <x v="4"/>
    <s v="Barranca Baya Bloque 36"/>
    <x v="0"/>
    <s v="NO"/>
    <n v="0"/>
    <n v="0"/>
  </r>
  <r>
    <x v="1035"/>
    <s v="CnE-534"/>
    <x v="0"/>
    <s v="Produciendo"/>
    <s v="Pistoneo"/>
    <x v="1"/>
    <s v="Barranca Baya Bloque 37"/>
    <x v="0"/>
    <s v="NO"/>
    <n v="0.124"/>
    <n v="0"/>
  </r>
  <r>
    <x v="1036"/>
    <s v="CnE-656"/>
    <x v="0"/>
    <s v="Produciendo"/>
    <s v="Inyección"/>
    <x v="1"/>
    <s v="Barranca Baya"/>
    <x v="0"/>
    <s v="NO"/>
    <n v="0"/>
    <n v="0"/>
  </r>
  <r>
    <x v="1037"/>
    <s v="CnE-692"/>
    <x v="0"/>
    <s v="Produciendo"/>
    <s v="Inyección"/>
    <x v="1"/>
    <s v="Barranca Baya Bloque 37"/>
    <x v="0"/>
    <s v="NO"/>
    <n v="0"/>
    <n v="0"/>
  </r>
  <r>
    <x v="1038"/>
    <s v="CnE-698"/>
    <x v="0"/>
    <s v="En Estudio"/>
    <s v="No Posee"/>
    <x v="5"/>
    <s v="Barranca Baya Bloque 38"/>
    <x v="1"/>
    <s v="NO"/>
    <n v="0.248"/>
    <n v="0"/>
  </r>
  <r>
    <x v="1039"/>
    <s v="CnE-729"/>
    <x v="0"/>
    <s v="Produciendo"/>
    <s v="Bombeo Mecánico"/>
    <x v="1"/>
    <s v="Barranca Baya Bloque 38"/>
    <x v="0"/>
    <s v="NO"/>
    <n v="0.63200000000000001"/>
    <n v="0"/>
  </r>
  <r>
    <x v="1040"/>
    <s v="CEO-2"/>
    <x v="0"/>
    <s v="Abandono Permanente"/>
    <s v="No Posee"/>
    <x v="3"/>
    <s v="Barranca Baya Bloque 30"/>
    <x v="0"/>
    <s v="NO"/>
    <n v="1.8"/>
    <n v="0"/>
  </r>
  <r>
    <x v="1041"/>
    <s v="CnE-1"/>
    <x v="0"/>
    <s v="A Abandonar"/>
    <s v="No Posee"/>
    <x v="5"/>
    <s v="Barranca Baya Bloque 30"/>
    <x v="1"/>
    <s v="NO"/>
    <s v="NO"/>
    <s v="NO"/>
  </r>
  <r>
    <x v="1042"/>
    <s v="CnE-77"/>
    <x v="0"/>
    <s v="Reserva Recuperación Secundaria"/>
    <s v="No Posee"/>
    <x v="4"/>
    <s v="Barranca Baya Bloque 26"/>
    <x v="0"/>
    <s v="NO"/>
    <n v="0.56000000000000005"/>
    <n v="0"/>
  </r>
  <r>
    <x v="1043"/>
    <s v="CnE-412"/>
    <x v="0"/>
    <s v="Abandono Permanente"/>
    <s v="No Posee"/>
    <x v="3"/>
    <s v="Barranca Baya Bloque 36"/>
    <x v="0"/>
    <s v="NO"/>
    <s v="NO"/>
    <s v="NO"/>
  </r>
  <r>
    <x v="1044"/>
    <s v="CG-182"/>
    <x v="0"/>
    <s v="Reserva Recuperación Secundaria"/>
    <s v="No Posee"/>
    <x v="4"/>
    <s v="Barranca Baya Cerro Grande Norte"/>
    <x v="0"/>
    <s v="NO"/>
    <s v="NO"/>
    <s v="NO"/>
  </r>
  <r>
    <x v="1045"/>
    <s v="CG-523a"/>
    <x v="0"/>
    <s v="Produciendo"/>
    <s v="Pistoneo"/>
    <x v="1"/>
    <s v="Cerro Grande Central"/>
    <x v="0"/>
    <s v="NO"/>
    <n v="0.10400000000000001"/>
    <n v="0"/>
  </r>
  <r>
    <x v="1046"/>
    <s v="CnE-886a"/>
    <x v="0"/>
    <s v="Produciendo"/>
    <s v="Bombeo Mecánico"/>
    <x v="1"/>
    <s v="Barranca Baya Bloque 30"/>
    <x v="0"/>
    <s v="NO"/>
    <n v="2.52"/>
    <n v="0"/>
  </r>
  <r>
    <x v="1047"/>
    <s v="CnE-269"/>
    <x v="0"/>
    <s v="Produciendo"/>
    <s v="Inyección"/>
    <x v="1"/>
    <s v="Barranca Baya Bloque 30"/>
    <x v="0"/>
    <s v="NO"/>
    <n v="0"/>
    <n v="0"/>
  </r>
  <r>
    <x v="1048"/>
    <s v="LH-122"/>
    <x v="0"/>
    <s v="Abandono Permanente"/>
    <s v="No Posee"/>
    <x v="3"/>
    <s v="Las Heras Las Heras Bloque 3"/>
    <x v="0"/>
    <s v="NO"/>
    <s v="NO"/>
    <s v="NO"/>
  </r>
  <r>
    <x v="1049"/>
    <s v="LH-160"/>
    <x v="0"/>
    <s v="Abandono Permanente"/>
    <s v="No Posee"/>
    <x v="3"/>
    <s v="Las Heras Central Sur"/>
    <x v="0"/>
    <s v="NO"/>
    <n v="0.249"/>
    <n v="0"/>
  </r>
  <r>
    <x v="1050"/>
    <s v="LH-259"/>
    <x v="0"/>
    <s v="Abandono Permanente"/>
    <s v="No Posee"/>
    <x v="3"/>
    <s v="Las Heras Central Sur"/>
    <x v="0"/>
    <s v="NO"/>
    <s v="NO"/>
    <s v="NO"/>
  </r>
  <r>
    <x v="1051"/>
    <s v="LH-555"/>
    <x v="0"/>
    <s v="Reserva Recuperación Secundaria"/>
    <s v="No Posee"/>
    <x v="4"/>
    <s v="Las Heras Central Sur"/>
    <x v="0"/>
    <s v="NO"/>
    <s v="NO"/>
    <s v="NO"/>
  </r>
  <r>
    <x v="1052"/>
    <s v="CnE-861"/>
    <x v="0"/>
    <s v="Abandono Permanente"/>
    <s v="No Posee"/>
    <x v="3"/>
    <s v="Barranca Baya Bloque 40"/>
    <x v="0"/>
    <s v="NO"/>
    <s v="NO"/>
    <s v="NO"/>
  </r>
  <r>
    <x v="1053"/>
    <s v="CG-2"/>
    <x v="0"/>
    <s v="Produciendo"/>
    <s v="Bombeo Mecánico"/>
    <x v="1"/>
    <s v="Barranca Baya Cerro Grande Sur"/>
    <x v="0"/>
    <s v="NO"/>
    <n v="3.3000000000000003"/>
    <n v="0"/>
  </r>
  <r>
    <x v="1054"/>
    <s v="LH-1055a"/>
    <x v="0"/>
    <s v="En Estudio"/>
    <s v="Bombeo Mecánico"/>
    <x v="2"/>
    <s v="Las Heras Central Sur"/>
    <x v="0"/>
    <s v="NO"/>
    <n v="0.39"/>
    <s v="Ultimo Año"/>
  </r>
  <r>
    <x v="1055"/>
    <s v="CG-563a"/>
    <x v="0"/>
    <s v="Produciendo"/>
    <s v="Inyección"/>
    <x v="1"/>
    <s v="Cerro Grande Central"/>
    <x v="0"/>
    <s v="NO"/>
    <n v="0"/>
    <n v="0"/>
  </r>
  <r>
    <x v="1056"/>
    <s v="LH-1119a"/>
    <x v="0"/>
    <s v="Produciendo"/>
    <s v="Bombeo Mecánico"/>
    <x v="1"/>
    <s v="Las Heras Central Sur"/>
    <x v="0"/>
    <s v="NO"/>
    <n v="0.98"/>
    <n v="0"/>
  </r>
  <r>
    <x v="1057"/>
    <s v="CG-604a"/>
    <x v="0"/>
    <s v="Produciendo"/>
    <s v="Bombeo Mecánico"/>
    <x v="1"/>
    <s v="Cerro Grande Central"/>
    <x v="0"/>
    <s v="NO"/>
    <n v="0.96"/>
    <n v="0"/>
  </r>
  <r>
    <x v="1058"/>
    <s v="CG-669"/>
    <x v="0"/>
    <s v="Produciendo"/>
    <s v="Bombeo Mecánico"/>
    <x v="1"/>
    <s v="Cerro Grande Central"/>
    <x v="0"/>
    <s v="NO"/>
    <n v="1.4000000000000001"/>
    <n v="0"/>
  </r>
  <r>
    <x v="1059"/>
    <s v="CnE-1095"/>
    <x v="0"/>
    <s v="En Estudio"/>
    <s v="Bombeo Mecánico"/>
    <x v="0"/>
    <s v="Barranca Baya Bloque 36"/>
    <x v="0"/>
    <s v="NO"/>
    <n v="0.27500000000000002"/>
    <s v="Ultimos 6 meses"/>
  </r>
  <r>
    <x v="1060"/>
    <s v="LH-1236"/>
    <x v="0"/>
    <s v="Produciendo"/>
    <s v="Bombeo Mecánico"/>
    <x v="1"/>
    <s v="Las Heras Bloque 2"/>
    <x v="0"/>
    <s v="NO"/>
    <n v="0.9"/>
    <n v="0"/>
  </r>
  <r>
    <x v="1061"/>
    <s v="CG-893"/>
    <x v="0"/>
    <s v="Produciendo"/>
    <s v="Bombeo Mecánico"/>
    <x v="1"/>
    <s v="Cerro Grande Noreste"/>
    <x v="0"/>
    <s v="NO"/>
    <n v="3.72"/>
    <n v="0"/>
  </r>
  <r>
    <x v="1062"/>
    <s v="BB-150"/>
    <x v="0"/>
    <s v="Produciendo"/>
    <s v="Inyección"/>
    <x v="1"/>
    <s v="Barranca Baya"/>
    <x v="0"/>
    <s v="NO"/>
    <n v="0"/>
    <n v="0"/>
  </r>
  <r>
    <x v="1063"/>
    <s v="CnE-1300(I)a"/>
    <x v="0"/>
    <s v="Produciendo"/>
    <s v="Bombeo Mecánico"/>
    <x v="1"/>
    <s v="Barranca Baya Bloque 36"/>
    <x v="0"/>
    <s v="NO"/>
    <n v="6.84"/>
    <n v="0"/>
  </r>
  <r>
    <x v="1064"/>
    <s v="LH-1034a"/>
    <x v="0"/>
    <s v="Abandono Permanente"/>
    <s v="No Posee"/>
    <x v="3"/>
    <s v="Las Heras Las Heras Bloque 3"/>
    <x v="0"/>
    <s v="NO"/>
    <n v="0.52200000000000002"/>
    <n v="0"/>
  </r>
  <r>
    <x v="1065"/>
    <s v="LH-1070a"/>
    <x v="0"/>
    <s v="En Estudio"/>
    <s v="Bombeo Mecánico"/>
    <x v="5"/>
    <s v="Las Heras Central Sur"/>
    <x v="1"/>
    <s v="NO"/>
    <n v="0.34700000000000003"/>
    <n v="0"/>
  </r>
  <r>
    <x v="1066"/>
    <s v="CG-556a"/>
    <x v="0"/>
    <s v="Produciendo"/>
    <s v="Inyección"/>
    <x v="1"/>
    <s v="Cerro Grande Central"/>
    <x v="0"/>
    <s v="NO"/>
    <n v="0"/>
    <n v="0"/>
  </r>
  <r>
    <x v="1067"/>
    <s v="CG-573a"/>
    <x v="0"/>
    <s v="Produciendo"/>
    <s v="Bombeo Mecánico"/>
    <x v="1"/>
    <s v="Cerro Grande Central"/>
    <x v="0"/>
    <s v="NO"/>
    <n v="1.2"/>
    <n v="0"/>
  </r>
  <r>
    <x v="1068"/>
    <s v="LH-1137a"/>
    <x v="0"/>
    <s v="Produciendo"/>
    <s v="Bombeo Mecánico"/>
    <x v="1"/>
    <s v="Las Heras Central Sur"/>
    <x v="0"/>
    <s v="NO"/>
    <n v="8.4000000000000005E-2"/>
    <n v="0"/>
  </r>
  <r>
    <x v="1069"/>
    <s v="CnE-977"/>
    <x v="0"/>
    <s v="Produciendo"/>
    <s v="Inyección"/>
    <x v="1"/>
    <s v="Barranca Baya Bloque 30"/>
    <x v="0"/>
    <s v="NO"/>
    <n v="0"/>
    <n v="0"/>
  </r>
  <r>
    <x v="1070"/>
    <s v="CnE-1031"/>
    <x v="0"/>
    <s v="Espera Equipo Reparación"/>
    <s v="Bombeo Mecánico"/>
    <x v="5"/>
    <s v="Barranca Baya Bloque 30"/>
    <x v="1"/>
    <s v="NO"/>
    <n v="0.5"/>
    <s v="Ultimo Año"/>
  </r>
  <r>
    <x v="1071"/>
    <s v="CG-646"/>
    <x v="0"/>
    <s v="Produciendo"/>
    <s v="Electro Sumergible"/>
    <x v="1"/>
    <s v="Cerro Grande Central"/>
    <x v="0"/>
    <s v="NO"/>
    <n v="0.16"/>
    <n v="0"/>
  </r>
  <r>
    <x v="1072"/>
    <s v="LH-1183"/>
    <x v="0"/>
    <s v="Produciendo"/>
    <s v="Bombeo Mecánico"/>
    <x v="1"/>
    <s v="Las Heras Central Sur"/>
    <x v="0"/>
    <s v="NO"/>
    <n v="0.19500000000000001"/>
    <n v="0"/>
  </r>
  <r>
    <x v="1073"/>
    <s v="CnE-1141"/>
    <x v="0"/>
    <s v="Abandono Permanente"/>
    <s v="No Posee"/>
    <x v="3"/>
    <s v="Barranca Baya Bloque 38"/>
    <x v="0"/>
    <s v="NO"/>
    <n v="0.35700000000000004"/>
    <n v="0"/>
  </r>
  <r>
    <x v="1074"/>
    <s v="CnE-1116"/>
    <x v="0"/>
    <s v="En Estudio"/>
    <s v="Bombeo Mecánico"/>
    <x v="5"/>
    <s v="Barranca Baya Bloque 40"/>
    <x v="1"/>
    <s v="NO"/>
    <n v="1.008"/>
    <n v="0"/>
  </r>
  <r>
    <x v="1075"/>
    <s v="CnE-1133"/>
    <x v="0"/>
    <s v="Produciendo"/>
    <s v="Bombeo Mecánico"/>
    <x v="1"/>
    <s v="Barranca Baya Bloque 36"/>
    <x v="0"/>
    <s v="NO"/>
    <n v="1.62"/>
    <n v="0"/>
  </r>
  <r>
    <x v="1076"/>
    <s v="CnE-1325"/>
    <x v="0"/>
    <s v="Espera Equipo Reparación"/>
    <s v="Bombeo Mecánico"/>
    <x v="6"/>
    <s v="Barranca Baya Bloque 30"/>
    <x v="0"/>
    <s v="Oportunidad"/>
    <n v="3.71"/>
    <n v="0"/>
  </r>
  <r>
    <x v="1077"/>
    <s v="CnE-1364"/>
    <x v="0"/>
    <s v="Espera Equipo Reparación"/>
    <s v="Bombeo Mecánico"/>
    <x v="7"/>
    <s v="Barranca Baya Bloque 30"/>
    <x v="0"/>
    <s v="NO"/>
    <n v="3.64"/>
    <s v="Ultimo Año"/>
  </r>
  <r>
    <x v="1078"/>
    <s v="LH-593"/>
    <x v="0"/>
    <s v="Abandono Permanente"/>
    <s v="No Posee"/>
    <x v="3"/>
    <s v="Las Heras Las Heras Bloque 3"/>
    <x v="0"/>
    <s v="NO"/>
    <s v="NO"/>
    <s v="NO"/>
  </r>
  <r>
    <x v="1079"/>
    <s v="LH-802"/>
    <x v="0"/>
    <s v="Abandono Permanente"/>
    <s v="No Posee"/>
    <x v="3"/>
    <s v="Las Heras Bloque 2"/>
    <x v="0"/>
    <s v="NO"/>
    <n v="0"/>
    <n v="0"/>
  </r>
  <r>
    <x v="1080"/>
    <s v="LH-826"/>
    <x v="0"/>
    <s v="Reserva Recuperación Secundaria"/>
    <s v="Pistoneo"/>
    <x v="4"/>
    <s v="Las Heras Bloque 2"/>
    <x v="0"/>
    <s v="NO"/>
    <n v="0.14500000000000002"/>
    <n v="0"/>
  </r>
  <r>
    <x v="1081"/>
    <s v="CG-14"/>
    <x v="0"/>
    <s v="Produciendo"/>
    <s v="Bombeo Mecánico"/>
    <x v="1"/>
    <s v="Barranca Baya Cerro Grande Noroeste"/>
    <x v="0"/>
    <s v="NO"/>
    <n v="1.1220000000000001"/>
    <n v="0"/>
  </r>
  <r>
    <x v="1082"/>
    <s v="CG-431"/>
    <x v="0"/>
    <s v="Produciendo"/>
    <s v="Bombeo Mecánico"/>
    <x v="1"/>
    <s v="Cerro Grande Central"/>
    <x v="0"/>
    <s v="NO"/>
    <n v="1.5920000000000001"/>
    <n v="0"/>
  </r>
  <r>
    <x v="1083"/>
    <s v="CG-482"/>
    <x v="0"/>
    <s v="Espera Equipo Reparación"/>
    <s v="No Posee"/>
    <x v="5"/>
    <s v="Barranca Baya Cerro Grande Noroeste"/>
    <x v="1"/>
    <s v="NO"/>
    <n v="0.26"/>
    <n v="0"/>
  </r>
  <r>
    <x v="1084"/>
    <s v="LC-453"/>
    <x v="0"/>
    <s v="Produciendo"/>
    <s v="Bombeo Mecánico"/>
    <x v="1"/>
    <s v="Lomas del Cuy- Cerro Grande Noroeste"/>
    <x v="0"/>
    <s v="NO"/>
    <n v="2.31"/>
    <n v="0"/>
  </r>
  <r>
    <x v="1085"/>
    <s v="N-17"/>
    <x v="0"/>
    <s v="Abandono Permanente"/>
    <s v="No Posee"/>
    <x v="3"/>
    <s v="Barranca Baya Bloque 26"/>
    <x v="0"/>
    <s v="NO"/>
    <s v="NO"/>
    <s v="NO"/>
  </r>
  <r>
    <x v="1086"/>
    <s v="N-57"/>
    <x v="0"/>
    <s v="Reserva Recuperación Secundaria"/>
    <s v="No Posee"/>
    <x v="4"/>
    <s v="Lomas del Cuy- Cerro Grande Noroeste"/>
    <x v="0"/>
    <s v="NO"/>
    <n v="0.64300000000000002"/>
    <n v="0"/>
  </r>
  <r>
    <x v="1087"/>
    <s v="CnE-128"/>
    <x v="0"/>
    <s v="Produciendo"/>
    <s v="Bombeo Mecánico"/>
    <x v="1"/>
    <s v="Barranca Baya Bloque 30"/>
    <x v="0"/>
    <s v="NO"/>
    <n v="1.26"/>
    <n v="0"/>
  </r>
  <r>
    <x v="1088"/>
    <s v="CnE-333"/>
    <x v="0"/>
    <s v="Produciendo"/>
    <s v="Pistoneo"/>
    <x v="1"/>
    <s v="Barranca Baya Bloque 36"/>
    <x v="0"/>
    <s v="NO"/>
    <n v="0.192"/>
    <n v="0"/>
  </r>
  <r>
    <x v="1089"/>
    <s v="CnE-352"/>
    <x v="0"/>
    <s v="En Estudio"/>
    <s v="Pistoneo"/>
    <x v="5"/>
    <s v="Barranca Baya Bloque 36"/>
    <x v="1"/>
    <s v="NO"/>
    <n v="0.307"/>
    <n v="0"/>
  </r>
  <r>
    <x v="1090"/>
    <s v="CnE-566"/>
    <x v="0"/>
    <s v="Abandono Permanente"/>
    <s v="No Posee"/>
    <x v="3"/>
    <s v="Barranca Baya Bloque 37"/>
    <x v="0"/>
    <s v="NO"/>
    <n v="0"/>
    <n v="0"/>
  </r>
  <r>
    <x v="1091"/>
    <s v="CnE-654"/>
    <x v="0"/>
    <s v="Produciendo"/>
    <s v="Bombeo Mecánico"/>
    <x v="1"/>
    <s v="Barranca Baya"/>
    <x v="0"/>
    <s v="NO"/>
    <n v="2.73"/>
    <n v="0"/>
  </r>
  <r>
    <x v="1092"/>
    <s v="CnE-737"/>
    <x v="0"/>
    <s v="Produciendo"/>
    <s v="Bombeo Mecánico"/>
    <x v="1"/>
    <s v="Barranca Baya Bloque 36"/>
    <x v="0"/>
    <s v="NO"/>
    <n v="1.56"/>
    <n v="0"/>
  </r>
  <r>
    <x v="1093"/>
    <s v="CnE-740"/>
    <x v="0"/>
    <s v="En Estudio"/>
    <s v="Bombeo Mecánico"/>
    <x v="5"/>
    <s v="Barranca Baya Bloque 37"/>
    <x v="1"/>
    <s v="NO"/>
    <n v="0.63100000000000001"/>
    <n v="0"/>
  </r>
  <r>
    <x v="1094"/>
    <s v="CnE-812"/>
    <x v="0"/>
    <s v="Produciendo"/>
    <s v="Bombeo Mecánico"/>
    <x v="1"/>
    <s v="Barranca Baya Bloque 36"/>
    <x v="0"/>
    <s v="NO"/>
    <n v="3.5"/>
    <n v="0"/>
  </r>
  <r>
    <x v="1095"/>
    <s v="CnE-264"/>
    <x v="0"/>
    <s v="Produciendo"/>
    <s v="Inyección"/>
    <x v="1"/>
    <s v="Barranca Baya Bloque 30"/>
    <x v="0"/>
    <s v="NO"/>
    <n v="0"/>
    <n v="0"/>
  </r>
  <r>
    <x v="1096"/>
    <s v="CnE-266"/>
    <x v="0"/>
    <s v="Produciendo"/>
    <s v="Bombeo Mecánico"/>
    <x v="1"/>
    <s v="Barranca Baya Bloque 30"/>
    <x v="0"/>
    <s v="NO"/>
    <n v="0.47100000000000003"/>
    <n v="0"/>
  </r>
  <r>
    <x v="1097"/>
    <s v="CnE-428"/>
    <x v="0"/>
    <s v="Produciendo"/>
    <s v="Bombeo Mecánico"/>
    <x v="1"/>
    <s v="Barranca Baya Bloque 30"/>
    <x v="0"/>
    <s v="NO"/>
    <n v="0.96200000000000008"/>
    <n v="0"/>
  </r>
  <r>
    <x v="1098"/>
    <s v="CnE-521"/>
    <x v="0"/>
    <s v="Produciendo"/>
    <s v="Pistoneo"/>
    <x v="1"/>
    <s v="Barranca Baya Bloque 37"/>
    <x v="0"/>
    <s v="NO"/>
    <n v="0.125"/>
    <n v="0"/>
  </r>
  <r>
    <x v="1099"/>
    <s v="CnE-582"/>
    <x v="0"/>
    <s v="Espera Equipo Reparación"/>
    <s v="Inyección"/>
    <x v="5"/>
    <s v="Barranca Baya"/>
    <x v="1"/>
    <s v="NO"/>
    <n v="0"/>
    <n v="0"/>
  </r>
  <r>
    <x v="1100"/>
    <s v="CnE-794"/>
    <x v="0"/>
    <s v="En Estudio"/>
    <s v="No Posee"/>
    <x v="5"/>
    <s v="Barranca Baya Bloque 38"/>
    <x v="1"/>
    <s v="NO"/>
    <n v="1.6500000000000001"/>
    <n v="0"/>
  </r>
  <r>
    <x v="1101"/>
    <s v="BB-60"/>
    <x v="0"/>
    <s v="Produciendo"/>
    <s v="Bombeo Mecánico"/>
    <x v="1"/>
    <s v="Barranca Baya"/>
    <x v="0"/>
    <s v="NO"/>
    <n v="8.9320000000000004"/>
    <n v="0"/>
  </r>
  <r>
    <x v="1102"/>
    <s v="BB-65"/>
    <x v="0"/>
    <s v="Abandono Permanente"/>
    <s v="No Posee"/>
    <x v="3"/>
    <s v="Barranca Baya"/>
    <x v="0"/>
    <s v="NO"/>
    <n v="0.32500000000000001"/>
    <n v="0"/>
  </r>
  <r>
    <x v="1103"/>
    <s v="CES-2"/>
    <x v="0"/>
    <s v="En Estudio"/>
    <s v="Bombeo Mecánico"/>
    <x v="5"/>
    <s v="Barranca Baya Bloque 36"/>
    <x v="1"/>
    <s v="NO"/>
    <n v="1.536"/>
    <n v="0"/>
  </r>
  <r>
    <x v="1104"/>
    <s v="LH-106"/>
    <x v="0"/>
    <s v="Reserva Recuperación Secundaria"/>
    <s v="Pistoneo"/>
    <x v="6"/>
    <s v="Las Heras Cerro Grande Sur"/>
    <x v="0"/>
    <s v="Oportunidad"/>
    <n v="7.5999999999999998E-2"/>
    <n v="0"/>
  </r>
  <r>
    <x v="1105"/>
    <s v="LH-123"/>
    <x v="0"/>
    <s v="Reserva Recuperación Secundaria"/>
    <s v="Pistoneo"/>
    <x v="4"/>
    <s v="Las Heras Las Heras Bloque 3"/>
    <x v="0"/>
    <s v="NO"/>
    <n v="0.115"/>
    <n v="0"/>
  </r>
  <r>
    <x v="1106"/>
    <s v="LH-244"/>
    <x v="0"/>
    <s v="Abandono Permanente"/>
    <s v="No Posee"/>
    <x v="3"/>
    <s v="Las Heras Central Sur"/>
    <x v="0"/>
    <s v="NO"/>
    <s v="NO"/>
    <s v="NO"/>
  </r>
  <r>
    <x v="1107"/>
    <s v="LH-983a"/>
    <x v="0"/>
    <s v="Reserva Recuperación Secundaria"/>
    <s v="Pistoneo"/>
    <x v="4"/>
    <s v="Las Heras Central Sur"/>
    <x v="0"/>
    <s v="NO"/>
    <n v="0.14400000000000002"/>
    <n v="0"/>
  </r>
  <r>
    <x v="1108"/>
    <s v="LH-978a"/>
    <x v="0"/>
    <s v="Abandono Permanente"/>
    <s v="No Posee"/>
    <x v="3"/>
    <s v="Las Heras Bloque 2"/>
    <x v="0"/>
    <s v="NO"/>
    <s v="NO"/>
    <s v="NO"/>
  </r>
  <r>
    <x v="1109"/>
    <s v="CG-535a"/>
    <x v="0"/>
    <s v="Reserva Recuperación Secundaria"/>
    <s v="No Posee"/>
    <x v="4"/>
    <s v="Barranca Baya Cerro Grande Norte"/>
    <x v="0"/>
    <s v="NO"/>
    <n v="0.23700000000000002"/>
    <n v="0"/>
  </r>
  <r>
    <x v="1110"/>
    <s v="LH-1074a"/>
    <x v="0"/>
    <s v="Reserva Recuperación Secundaria"/>
    <s v="No Posee"/>
    <x v="4"/>
    <s v="Las Heras Bloque 2"/>
    <x v="0"/>
    <s v="NO"/>
    <n v="0.42"/>
    <n v="0"/>
  </r>
  <r>
    <x v="1111"/>
    <s v="LH-351"/>
    <x v="0"/>
    <s v="Produciendo"/>
    <s v="Bombeo Mecánico"/>
    <x v="1"/>
    <s v="Las Heras Central Sur"/>
    <x v="0"/>
    <s v="NO"/>
    <n v="1.258"/>
    <n v="0"/>
  </r>
  <r>
    <x v="1112"/>
    <s v="LH-574"/>
    <x v="0"/>
    <s v="Espera Equipo Reparación"/>
    <s v="Bombeo Mecánico"/>
    <x v="5"/>
    <s v="Las Heras Central Sur"/>
    <x v="1"/>
    <s v="NO"/>
    <n v="0.5"/>
    <n v="0"/>
  </r>
  <r>
    <x v="1113"/>
    <s v="LH-737"/>
    <x v="0"/>
    <s v="Abandono Permanente"/>
    <s v="No Posee"/>
    <x v="3"/>
    <s v="Las Heras Central Sur"/>
    <x v="0"/>
    <s v="NO"/>
    <n v="0.129"/>
    <n v="0"/>
  </r>
  <r>
    <x v="1114"/>
    <s v="LH-893"/>
    <x v="0"/>
    <s v="Produciendo"/>
    <s v="Bombeo Mecánico"/>
    <x v="1"/>
    <s v="Las Heras Central Sur"/>
    <x v="0"/>
    <s v="NO"/>
    <n v="1.2"/>
    <n v="0"/>
  </r>
  <r>
    <x v="1115"/>
    <s v="CG-12"/>
    <x v="0"/>
    <s v="Produciendo"/>
    <s v="Inyección"/>
    <x v="1"/>
    <s v="Barranca Baya Cerro Grande Noroeste"/>
    <x v="0"/>
    <s v="NO"/>
    <n v="0"/>
    <n v="0"/>
  </r>
  <r>
    <x v="1116"/>
    <s v="CG-352"/>
    <x v="0"/>
    <s v="Produciendo"/>
    <s v="Bombeo Mecánico"/>
    <x v="1"/>
    <s v="Cerro Grande Central"/>
    <x v="0"/>
    <s v="NO"/>
    <n v="1.6"/>
    <n v="0"/>
  </r>
  <r>
    <x v="1117"/>
    <s v="CG-432"/>
    <x v="0"/>
    <s v="Produciendo"/>
    <s v="Bombeo Mecánico"/>
    <x v="1"/>
    <s v="Cerro Grande Central"/>
    <x v="0"/>
    <s v="NO"/>
    <n v="0.06"/>
    <n v="0"/>
  </r>
  <r>
    <x v="1118"/>
    <s v="CnE-80"/>
    <x v="0"/>
    <s v="Produciendo"/>
    <s v="Bombeo Mecánico"/>
    <x v="1"/>
    <s v="Barranca Baya Bloque 26"/>
    <x v="0"/>
    <s v="NO"/>
    <n v="1.25"/>
    <n v="0"/>
  </r>
  <r>
    <x v="1119"/>
    <s v="CnE-87"/>
    <x v="0"/>
    <s v="Reserva Recuperación Secundaria"/>
    <s v="Bombeo Mecánico"/>
    <x v="4"/>
    <s v="Barranca Baya Bloque 26"/>
    <x v="0"/>
    <s v="NO"/>
    <n v="0.88"/>
    <n v="0"/>
  </r>
  <r>
    <x v="1120"/>
    <s v="CnE-115"/>
    <x v="0"/>
    <s v="Reserva Recuperación Secundaria"/>
    <s v="Inyección"/>
    <x v="4"/>
    <s v="Barranca Baya Bloque 30"/>
    <x v="0"/>
    <s v="NO"/>
    <n v="0"/>
    <n v="0"/>
  </r>
  <r>
    <x v="1121"/>
    <s v="CnE-241"/>
    <x v="0"/>
    <s v="Produciendo"/>
    <s v="Inyección"/>
    <x v="1"/>
    <s v="Barranca Baya Bloque 30"/>
    <x v="0"/>
    <s v="NO"/>
    <n v="0"/>
    <n v="0"/>
  </r>
  <r>
    <x v="1122"/>
    <s v="CnE-245"/>
    <x v="0"/>
    <s v="Reserva Recuperación Secundaria"/>
    <s v="Bombeo Mecánico"/>
    <x v="4"/>
    <s v="Barranca Baya Bloque 30"/>
    <x v="0"/>
    <s v="NO"/>
    <n v="0.33200000000000002"/>
    <n v="0"/>
  </r>
  <r>
    <x v="1123"/>
    <s v="CnE-298"/>
    <x v="0"/>
    <s v="Produciendo"/>
    <s v="Bombeo Mecánico"/>
    <x v="1"/>
    <s v="Barranca Baya Bloque 30"/>
    <x v="0"/>
    <s v="NO"/>
    <n v="3"/>
    <n v="0"/>
  </r>
  <r>
    <x v="1124"/>
    <s v="CnE-374"/>
    <x v="0"/>
    <s v="Abandono Permanente"/>
    <s v="No Posee"/>
    <x v="3"/>
    <s v="Barranca Baya Bloque 36"/>
    <x v="0"/>
    <s v="NO"/>
    <s v="NO"/>
    <s v="NO"/>
  </r>
  <r>
    <x v="1125"/>
    <s v="CnE-443"/>
    <x v="0"/>
    <s v="Produciendo"/>
    <s v="Pistoneo"/>
    <x v="1"/>
    <s v="Barranca Baya Bloque 36"/>
    <x v="0"/>
    <s v="NO"/>
    <n v="2.9000000000000001E-2"/>
    <n v="0"/>
  </r>
  <r>
    <x v="1126"/>
    <s v="CnE-536"/>
    <x v="0"/>
    <s v="En Estudio"/>
    <s v="Bombeo Mecánico"/>
    <x v="5"/>
    <s v="Barranca Baya Bloque 36"/>
    <x v="1"/>
    <s v="NO"/>
    <n v="0.38"/>
    <n v="0"/>
  </r>
  <r>
    <x v="1127"/>
    <s v="CnE-734"/>
    <x v="0"/>
    <s v="Produciendo"/>
    <s v="Inyección"/>
    <x v="1"/>
    <s v="Barranca Baya Bloque 37"/>
    <x v="0"/>
    <s v="NO"/>
    <n v="0"/>
    <n v="0"/>
  </r>
  <r>
    <x v="1128"/>
    <s v="CnE-762"/>
    <x v="0"/>
    <s v="Produciendo"/>
    <s v="Bombeo Mecánico"/>
    <x v="1"/>
    <s v="Barranca Baya Bloque 30"/>
    <x v="0"/>
    <s v="NO"/>
    <n v="1.4000000000000001"/>
    <n v="0"/>
  </r>
  <r>
    <x v="1129"/>
    <s v="CnE-772"/>
    <x v="0"/>
    <s v="Produciendo"/>
    <s v="Bombeo Mecánico"/>
    <x v="1"/>
    <s v="Barranca Baya Bloque 37"/>
    <x v="0"/>
    <s v="NO"/>
    <n v="0.51200000000000001"/>
    <n v="0"/>
  </r>
  <r>
    <x v="1130"/>
    <s v="CnE-806"/>
    <x v="0"/>
    <s v="Espera Equipo Reparación"/>
    <s v="Bombeo Mecánico"/>
    <x v="6"/>
    <s v="Barranca Baya Bloque 36"/>
    <x v="0"/>
    <s v="Oportunidad"/>
    <n v="0.18"/>
    <n v="0"/>
  </r>
  <r>
    <x v="1131"/>
    <s v="BB-9"/>
    <x v="0"/>
    <s v="Abandono Permanente"/>
    <s v="No Posee"/>
    <x v="3"/>
    <s v="Barranca Baya"/>
    <x v="0"/>
    <s v="NO"/>
    <s v="NO"/>
    <s v="NO"/>
  </r>
  <r>
    <x v="1132"/>
    <s v="CG-201"/>
    <x v="0"/>
    <s v="A Abandonar"/>
    <s v="No Posee"/>
    <x v="5"/>
    <s v="Cerro Grande Noreste"/>
    <x v="1"/>
    <s v="NO"/>
    <s v="NO"/>
    <s v="NO"/>
  </r>
  <r>
    <x v="1133"/>
    <s v="CG-198"/>
    <x v="0"/>
    <s v="Abandono Permanente"/>
    <s v="No Posee"/>
    <x v="3"/>
    <s v="Cerro Grande Noreste"/>
    <x v="0"/>
    <s v="NO"/>
    <s v="NO"/>
    <s v="NO"/>
  </r>
  <r>
    <x v="1134"/>
    <s v="LH-1017a"/>
    <x v="0"/>
    <s v="Abandono Permanente"/>
    <s v="No Posee"/>
    <x v="3"/>
    <s v="Las Heras Las Heras Bloque 3"/>
    <x v="0"/>
    <s v="NO"/>
    <n v="1.2750000000000001"/>
    <n v="0"/>
  </r>
  <r>
    <x v="1135"/>
    <s v="LH-1018a"/>
    <x v="0"/>
    <s v="Abandono Permanente"/>
    <s v="No Posee"/>
    <x v="3"/>
    <s v="Las Heras Las Heras Bloque 3"/>
    <x v="0"/>
    <s v="NO"/>
    <n v="0.29700000000000004"/>
    <n v="0"/>
  </r>
  <r>
    <x v="1136"/>
    <s v="LH-1022a"/>
    <x v="0"/>
    <s v="Reserva Recuperación Secundaria"/>
    <s v="No Posee"/>
    <x v="4"/>
    <s v="Las Heras Central Sur"/>
    <x v="0"/>
    <s v="NO"/>
    <n v="0.2"/>
    <n v="0"/>
  </r>
  <r>
    <x v="1137"/>
    <s v="LH-1057a"/>
    <x v="0"/>
    <s v="Reserva Recuperación Secundaria"/>
    <s v="Pistoneo"/>
    <x v="4"/>
    <s v="Las Heras Central Sur"/>
    <x v="0"/>
    <s v="NO"/>
    <n v="0.95000000000000007"/>
    <n v="0"/>
  </r>
  <r>
    <x v="1138"/>
    <s v="LH-1076a"/>
    <x v="0"/>
    <s v="Abandono Permanente"/>
    <s v="No Posee"/>
    <x v="3"/>
    <s v="Las Heras Bloque 2"/>
    <x v="0"/>
    <s v="NO"/>
    <n v="5.5E-2"/>
    <n v="0"/>
  </r>
  <r>
    <x v="1139"/>
    <s v="LH-119"/>
    <x v="0"/>
    <s v="Abandono Permanente"/>
    <s v="No Posee"/>
    <x v="3"/>
    <s v="Las Heras Las Heras Bloque 3"/>
    <x v="0"/>
    <s v="NO"/>
    <n v="0"/>
    <n v="0"/>
  </r>
  <r>
    <x v="1140"/>
    <s v="LH-1198"/>
    <x v="0"/>
    <s v="Produciendo"/>
    <s v="Bombeo Mecánico"/>
    <x v="1"/>
    <s v="Las Heras Central Sur"/>
    <x v="0"/>
    <s v="NO"/>
    <n v="1.1520000000000001"/>
    <n v="0"/>
  </r>
  <r>
    <x v="1141"/>
    <s v="CnE-1134"/>
    <x v="0"/>
    <s v="Produciendo"/>
    <s v="Bombeo Mecánico"/>
    <x v="1"/>
    <s v="Barranca Baya Bloque 37"/>
    <x v="0"/>
    <s v="NO"/>
    <n v="6.7000000000000004E-2"/>
    <n v="0"/>
  </r>
  <r>
    <x v="1142"/>
    <s v="CnE.a-1155"/>
    <x v="0"/>
    <s v="Produciendo"/>
    <s v="Pistoneo"/>
    <x v="1"/>
    <s v="Barranca Baya Bloque 36"/>
    <x v="0"/>
    <s v="NO"/>
    <n v="9.6000000000000002E-2"/>
    <n v="0"/>
  </r>
  <r>
    <x v="1143"/>
    <s v="CnE-1159"/>
    <x v="0"/>
    <s v="En Estudio"/>
    <s v="Bombeo Mecánico"/>
    <x v="5"/>
    <s v="Barranca Baya Bloque 36"/>
    <x v="1"/>
    <s v="NO"/>
    <n v="0.93"/>
    <n v="0"/>
  </r>
  <r>
    <x v="1144"/>
    <s v="CnE-1211"/>
    <x v="0"/>
    <s v="Produciendo"/>
    <s v="Bombeo Mecánico"/>
    <x v="1"/>
    <s v="Barranca Baya Bloque 40"/>
    <x v="0"/>
    <s v="NO"/>
    <n v="0.42"/>
    <n v="0"/>
  </r>
  <r>
    <x v="1145"/>
    <s v="CG-832"/>
    <x v="0"/>
    <s v="En Estudio"/>
    <s v="Bombeo Mecánico"/>
    <x v="0"/>
    <s v="Cerro Grande Central"/>
    <x v="0"/>
    <s v="NO"/>
    <n v="0.45"/>
    <s v="Ultimos 6 meses"/>
  </r>
  <r>
    <x v="1146"/>
    <s v="CnE-1183"/>
    <x v="0"/>
    <s v="Produciendo"/>
    <s v="Pistoneo"/>
    <x v="1"/>
    <s v="Barranca Baya Bloque 38"/>
    <x v="0"/>
    <s v="NO"/>
    <n v="0.115"/>
    <n v="0"/>
  </r>
  <r>
    <x v="1147"/>
    <s v="BB-131"/>
    <x v="0"/>
    <s v="Produciendo"/>
    <s v="Bombeo Mecánico"/>
    <x v="1"/>
    <s v="Barranca Baya"/>
    <x v="0"/>
    <s v="NO"/>
    <n v="1.2330000000000001"/>
    <n v="0"/>
  </r>
  <r>
    <x v="1148"/>
    <s v="CG-892"/>
    <x v="0"/>
    <s v="Reserva Recuperación Secundaria"/>
    <s v="Bombeo Mecánico"/>
    <x v="4"/>
    <s v="Cerro Grande Noreste"/>
    <x v="0"/>
    <s v="NO"/>
    <n v="0.28000000000000003"/>
    <n v="0"/>
  </r>
  <r>
    <x v="1149"/>
    <s v="CG-852(d)"/>
    <x v="0"/>
    <s v="Espera Equipo Reparación"/>
    <s v="Bombeo Mecánico"/>
    <x v="5"/>
    <s v="Cerro Grande Central"/>
    <x v="1"/>
    <s v="NO"/>
    <n v="0.65"/>
    <n v="0"/>
  </r>
  <r>
    <x v="1150"/>
    <s v="CnE-1264"/>
    <x v="0"/>
    <s v="Produciendo"/>
    <s v="Bombeo Mecánico"/>
    <x v="1"/>
    <s v="Barranca Baya Bloque 36"/>
    <x v="0"/>
    <s v="NO"/>
    <n v="1.4000000000000001"/>
    <n v="0"/>
  </r>
  <r>
    <x v="1151"/>
    <s v="CnE-1272"/>
    <x v="0"/>
    <s v="En Estudio"/>
    <s v="Bombeo Mecánico"/>
    <x v="0"/>
    <s v="Barranca Baya Bloque 26"/>
    <x v="0"/>
    <s v="NO"/>
    <n v="0.9"/>
    <s v="Ultimos 6 meses"/>
  </r>
  <r>
    <x v="1152"/>
    <s v="CG-863"/>
    <x v="0"/>
    <s v="Produciendo"/>
    <s v="Bombeo Mecánico"/>
    <x v="1"/>
    <s v="Cerro Grande Central"/>
    <x v="0"/>
    <s v="NO"/>
    <n v="0.98"/>
    <n v="0"/>
  </r>
  <r>
    <x v="1153"/>
    <s v="CG-858(00](d)"/>
    <x v="0"/>
    <s v="Produciendo"/>
    <s v="Bombeo Mecánico"/>
    <x v="1"/>
    <s v="Cerro Grande Central"/>
    <x v="0"/>
    <s v="NO"/>
    <n v="2.754"/>
    <n v="0"/>
  </r>
  <r>
    <x v="1154"/>
    <s v="BB-138"/>
    <x v="0"/>
    <s v="Produciendo"/>
    <s v="Bombeo Mecánico"/>
    <x v="1"/>
    <s v="Barranca Baya"/>
    <x v="0"/>
    <s v="NO"/>
    <n v="1.68"/>
    <n v="0"/>
  </r>
  <r>
    <x v="1155"/>
    <s v="CG-957[00(d)"/>
    <x v="0"/>
    <s v="Produciendo"/>
    <s v="Bombeo Mecánico"/>
    <x v="1"/>
    <s v="Barranca Baya Bloque 26"/>
    <x v="0"/>
    <s v="NO"/>
    <n v="1.75"/>
    <n v="0"/>
  </r>
  <r>
    <x v="1156"/>
    <s v="CnE-1336"/>
    <x v="0"/>
    <s v="Produciendo"/>
    <s v="Bombeo Mecánico"/>
    <x v="1"/>
    <s v="Barranca Baya Bloque 40"/>
    <x v="0"/>
    <s v="NO"/>
    <n v="3"/>
    <n v="0"/>
  </r>
  <r>
    <x v="1157"/>
    <s v="CnE-1431"/>
    <x v="0"/>
    <s v="Produciendo"/>
    <s v="Bombeo Mecánico"/>
    <x v="1"/>
    <s v="Barranca Baya Bloque 30"/>
    <x v="0"/>
    <s v="NO"/>
    <n v="3.5"/>
    <n v="0"/>
  </r>
  <r>
    <x v="1158"/>
    <s v="CnE-1454a"/>
    <x v="0"/>
    <s v="Produciendo"/>
    <s v="Bombeo Mecánico"/>
    <x v="1"/>
    <s v="Barranca Baya Bloque 36"/>
    <x v="0"/>
    <s v="NO"/>
    <n v="1.2690000000000001"/>
    <n v="0"/>
  </r>
  <r>
    <x v="1159"/>
    <s v="LH-138"/>
    <x v="0"/>
    <s v="Produciendo"/>
    <s v="Inyección"/>
    <x v="1"/>
    <s v="Las Heras Bloque 2"/>
    <x v="0"/>
    <s v="NO"/>
    <n v="0"/>
    <n v="0"/>
  </r>
  <r>
    <x v="1160"/>
    <s v="LH-148"/>
    <x v="0"/>
    <s v="Produciendo"/>
    <s v="Bombeo Mecánico"/>
    <x v="1"/>
    <s v="Las Heras Bloque 2"/>
    <x v="0"/>
    <s v="NO"/>
    <n v="0.60899999999999999"/>
    <n v="0"/>
  </r>
  <r>
    <x v="1161"/>
    <s v="LH-276"/>
    <x v="0"/>
    <s v="Produciendo"/>
    <s v="Bombeo Mecánico"/>
    <x v="1"/>
    <s v="Las Heras Central Sur"/>
    <x v="0"/>
    <s v="NO"/>
    <n v="2.2200000000000002"/>
    <n v="0"/>
  </r>
  <r>
    <x v="1162"/>
    <s v="LH-527"/>
    <x v="0"/>
    <s v="Produciendo"/>
    <s v="Bombeo Mecánico"/>
    <x v="1"/>
    <s v="Las Heras Las Heras Bloque 3"/>
    <x v="0"/>
    <s v="NO"/>
    <n v="0.80100000000000005"/>
    <n v="0"/>
  </r>
  <r>
    <x v="1163"/>
    <s v="LH-580"/>
    <x v="0"/>
    <s v="Reserva Recuperación Secundaria"/>
    <s v="Pistoneo"/>
    <x v="4"/>
    <s v="Las Heras Central Sur"/>
    <x v="0"/>
    <s v="NO"/>
    <n v="0.188"/>
    <n v="0"/>
  </r>
  <r>
    <x v="1164"/>
    <s v="LH-692"/>
    <x v="0"/>
    <s v="En Estudio"/>
    <s v="Pistoneo"/>
    <x v="5"/>
    <s v="Las Heras Central Sur"/>
    <x v="1"/>
    <s v="NO"/>
    <n v="0.02"/>
    <n v="0"/>
  </r>
  <r>
    <x v="1165"/>
    <s v="CG-189"/>
    <x v="0"/>
    <s v="Produciendo"/>
    <s v="Bombeo Mecánico"/>
    <x v="1"/>
    <s v="Barranca Baya Cerro Grande Norte"/>
    <x v="0"/>
    <s v="NO"/>
    <n v="2.625"/>
    <n v="0"/>
  </r>
  <r>
    <x v="1166"/>
    <s v="CG-423"/>
    <x v="0"/>
    <s v="Reserva Recuperación Secundaria"/>
    <s v="No Posee"/>
    <x v="4"/>
    <s v="Cerro Grande Central"/>
    <x v="0"/>
    <s v="NO"/>
    <n v="0"/>
    <n v="0"/>
  </r>
  <r>
    <x v="1167"/>
    <s v="CG-463"/>
    <x v="0"/>
    <s v="Reserva Recuperación Secundaria"/>
    <s v="No Posee"/>
    <x v="7"/>
    <s v="Cerro Grande Central"/>
    <x v="0"/>
    <s v="NO"/>
    <n v="2.59"/>
    <n v="0"/>
  </r>
  <r>
    <x v="1168"/>
    <s v="CG-477"/>
    <x v="0"/>
    <s v="Produciendo"/>
    <s v="Bombeo Mecánico"/>
    <x v="1"/>
    <s v="Barranca Baya Cerro Grande Norte"/>
    <x v="0"/>
    <s v="NO"/>
    <n v="1.5"/>
    <n v="0"/>
  </r>
  <r>
    <x v="1169"/>
    <s v="LC-452"/>
    <x v="0"/>
    <s v="Produciendo"/>
    <s v="Pistoneo"/>
    <x v="1"/>
    <s v="Lomas del Cuy- Cerro Grande Noroeste"/>
    <x v="0"/>
    <s v="NO"/>
    <n v="0.10400000000000001"/>
    <n v="0"/>
  </r>
  <r>
    <x v="1170"/>
    <s v="CnE-78"/>
    <x v="0"/>
    <s v="Produciendo"/>
    <s v="Bombeo Mecánico"/>
    <x v="1"/>
    <s v="Barranca Baya Bloque 26"/>
    <x v="0"/>
    <s v="NO"/>
    <n v="2.08"/>
    <n v="0"/>
  </r>
  <r>
    <x v="1171"/>
    <s v="CnE-102"/>
    <x v="0"/>
    <s v="Produciendo"/>
    <s v="Inyección"/>
    <x v="1"/>
    <s v="Barranca Baya Bloque 40"/>
    <x v="0"/>
    <s v="NO"/>
    <n v="0"/>
    <n v="0"/>
  </r>
  <r>
    <x v="1172"/>
    <s v="CnE-153"/>
    <x v="0"/>
    <s v="Produciendo"/>
    <s v="Bombeo Mecánico"/>
    <x v="1"/>
    <s v="Barranca Baya Bloque 26"/>
    <x v="0"/>
    <s v="NO"/>
    <n v="1.26"/>
    <n v="0"/>
  </r>
  <r>
    <x v="1173"/>
    <s v="CnE-242"/>
    <x v="0"/>
    <s v="Espera Equipo Reparación"/>
    <s v="Electro Sumergible"/>
    <x v="5"/>
    <s v="Barranca Baya Bloque 30"/>
    <x v="1"/>
    <s v="NO"/>
    <n v="1"/>
    <n v="0"/>
  </r>
  <r>
    <x v="1174"/>
    <s v="CnE-247"/>
    <x v="0"/>
    <s v="En Estudio"/>
    <s v="Bombeo Mecánico"/>
    <x v="0"/>
    <s v="Barranca Baya Bloque 30"/>
    <x v="0"/>
    <s v="NO"/>
    <n v="0.13"/>
    <s v="Ultimos 6 meses"/>
  </r>
  <r>
    <x v="1175"/>
    <s v="CnE-300"/>
    <x v="0"/>
    <s v="Reserva Recuperación Secundaria"/>
    <s v="Bombeo Mecánico"/>
    <x v="4"/>
    <s v="Barranca Baya Bloque 40"/>
    <x v="0"/>
    <s v="NO"/>
    <n v="0.54"/>
    <n v="0"/>
  </r>
  <r>
    <x v="1176"/>
    <s v="CnE-344"/>
    <x v="0"/>
    <s v="Produciendo"/>
    <s v="Bombeo Mecánico"/>
    <x v="1"/>
    <s v="Barranca Baya Bloque 36"/>
    <x v="0"/>
    <s v="NO"/>
    <n v="0.31900000000000001"/>
    <n v="0"/>
  </r>
  <r>
    <x v="1177"/>
    <s v="CnE-393"/>
    <x v="0"/>
    <s v="Produciendo"/>
    <s v="Bombeo Mecánico"/>
    <x v="1"/>
    <s v="Barranca Baya Bloque 36"/>
    <x v="0"/>
    <s v="NO"/>
    <n v="0.77900000000000003"/>
    <n v="0"/>
  </r>
  <r>
    <x v="1178"/>
    <s v="CnE-408"/>
    <x v="0"/>
    <s v="Abandono Permanente"/>
    <s v="No Posee"/>
    <x v="3"/>
    <s v="Barranca Baya Bloque 36"/>
    <x v="0"/>
    <s v="NO"/>
    <n v="0.1"/>
    <n v="0"/>
  </r>
  <r>
    <x v="1179"/>
    <s v="CnE-426"/>
    <x v="0"/>
    <s v="Produciendo"/>
    <s v="Inyección"/>
    <x v="1"/>
    <s v="Barranca Baya Bloque 30"/>
    <x v="0"/>
    <s v="NO"/>
    <n v="0"/>
    <n v="0"/>
  </r>
  <r>
    <x v="1180"/>
    <s v="CnE-460"/>
    <x v="0"/>
    <s v="Produciendo"/>
    <s v="Bombeo Mecánico"/>
    <x v="1"/>
    <s v="Barranca Baya Bloque 37"/>
    <x v="0"/>
    <s v="NO"/>
    <n v="1.44"/>
    <n v="0"/>
  </r>
  <r>
    <x v="1181"/>
    <s v="CnE-535"/>
    <x v="0"/>
    <s v="Produciendo"/>
    <s v="Inyección"/>
    <x v="1"/>
    <s v="Barranca Baya Bloque 37"/>
    <x v="0"/>
    <s v="NO"/>
    <n v="0"/>
    <n v="0"/>
  </r>
  <r>
    <x v="1182"/>
    <s v="CnE-565"/>
    <x v="0"/>
    <s v="Abandono Permanente"/>
    <s v="No Posee"/>
    <x v="3"/>
    <s v="Barranca Baya Bloque 30"/>
    <x v="0"/>
    <s v="NO"/>
    <n v="0"/>
    <n v="0"/>
  </r>
  <r>
    <x v="1183"/>
    <s v="CnE-578"/>
    <x v="0"/>
    <s v="Parado Alta Rap"/>
    <s v="Bombeo Mecánico"/>
    <x v="5"/>
    <s v="Barranca Baya"/>
    <x v="1"/>
    <s v="NO"/>
    <n v="0.45"/>
    <n v="0"/>
  </r>
  <r>
    <x v="1184"/>
    <s v="CnE.a-593"/>
    <x v="0"/>
    <s v="Produciendo"/>
    <s v="Inyección"/>
    <x v="1"/>
    <s v="Barranca Baya Bloque 38"/>
    <x v="0"/>
    <s v="NO"/>
    <n v="0"/>
    <n v="0"/>
  </r>
  <r>
    <x v="1185"/>
    <s v="CnE-671"/>
    <x v="0"/>
    <s v="Produciendo"/>
    <s v="Electro Sumergible"/>
    <x v="1"/>
    <s v="Barranca Baya Bloque 36"/>
    <x v="0"/>
    <s v="NO"/>
    <n v="1.4280000000000002"/>
    <n v="0"/>
  </r>
  <r>
    <x v="1186"/>
    <s v="CnE-677"/>
    <x v="0"/>
    <s v="Reserva Recuperación Secundaria"/>
    <s v="No Posee"/>
    <x v="4"/>
    <s v="Barranca Baya Bloque 37"/>
    <x v="0"/>
    <s v="NO"/>
    <s v="NO"/>
    <s v="NO"/>
  </r>
  <r>
    <x v="1187"/>
    <s v="CnE-716"/>
    <x v="0"/>
    <s v="Produciendo"/>
    <s v="Inyección"/>
    <x v="1"/>
    <s v="Barranca Baya Bloque 36"/>
    <x v="0"/>
    <s v="NO"/>
    <n v="0"/>
    <n v="0"/>
  </r>
  <r>
    <x v="1188"/>
    <s v="CnE-722"/>
    <x v="0"/>
    <s v="Produciendo"/>
    <s v="Inyección"/>
    <x v="1"/>
    <s v="Barranca Baya"/>
    <x v="0"/>
    <s v="NO"/>
    <n v="0"/>
    <n v="0"/>
  </r>
  <r>
    <x v="1189"/>
    <s v="CnE-744"/>
    <x v="0"/>
    <s v="En Estudio"/>
    <s v="Bombeo Mecánico"/>
    <x v="5"/>
    <s v="Barranca Baya Bloque 37"/>
    <x v="1"/>
    <s v="NO"/>
    <n v="6.2E-2"/>
    <n v="0"/>
  </r>
  <r>
    <x v="1190"/>
    <s v="CnE-779"/>
    <x v="0"/>
    <s v="Reserva Recuperación Secundaria"/>
    <s v="Inyección"/>
    <x v="4"/>
    <s v="Barranca Baya Bloque 38"/>
    <x v="0"/>
    <s v="NO"/>
    <n v="0"/>
    <n v="0"/>
  </r>
  <r>
    <x v="1191"/>
    <s v="CnE-819"/>
    <x v="0"/>
    <s v="Produciendo"/>
    <s v="Inyección"/>
    <x v="1"/>
    <s v="Barranca Baya Bloque 36"/>
    <x v="0"/>
    <s v="NO"/>
    <n v="0"/>
    <n v="0"/>
  </r>
  <r>
    <x v="1192"/>
    <s v="CnE-822"/>
    <x v="0"/>
    <s v="En Estudio"/>
    <s v="Pistoneo"/>
    <x v="5"/>
    <s v="Barranca Baya Bloque 36"/>
    <x v="1"/>
    <s v="NO"/>
    <n v="0.21100000000000002"/>
    <n v="0"/>
  </r>
  <r>
    <x v="1193"/>
    <s v="CnE-833"/>
    <x v="0"/>
    <s v="Abandono Permanente"/>
    <s v="No Posee"/>
    <x v="3"/>
    <s v="Barranca Baya Bloque 30"/>
    <x v="0"/>
    <s v="NO"/>
    <n v="6"/>
    <n v="0"/>
  </r>
  <r>
    <x v="1194"/>
    <s v="BB-74"/>
    <x v="0"/>
    <s v="Abandono Permanente"/>
    <s v="No Posee"/>
    <x v="3"/>
    <s v="Barranca Baya"/>
    <x v="0"/>
    <s v="NO"/>
    <n v="0.26100000000000001"/>
    <n v="0"/>
  </r>
  <r>
    <x v="1195"/>
    <s v="BB-80"/>
    <x v="0"/>
    <s v="Espera Equipo Reparación"/>
    <s v="Surgente"/>
    <x v="5"/>
    <s v="Barranca Baya"/>
    <x v="1"/>
    <s v="NO"/>
    <n v="4.0000000000000001E-3"/>
    <n v="0"/>
  </r>
  <r>
    <x v="1196"/>
    <s v="BBO-2"/>
    <x v="0"/>
    <s v="Abandono Permanente"/>
    <s v="No Posee"/>
    <x v="3"/>
    <s v="Barranca Baya"/>
    <x v="0"/>
    <s v="NO"/>
    <s v="NO"/>
    <s v="NO"/>
  </r>
  <r>
    <x v="1197"/>
    <s v="CES-3"/>
    <x v="0"/>
    <s v="Reserva Recuperación Secundaria"/>
    <s v="No Posee"/>
    <x v="4"/>
    <s v="Barranca Baya Bloque 36"/>
    <x v="0"/>
    <s v="NO"/>
    <n v="1.35"/>
    <n v="0"/>
  </r>
  <r>
    <x v="1198"/>
    <s v="BB-34"/>
    <x v="0"/>
    <s v="Abandono Permanente"/>
    <s v="No Posee"/>
    <x v="3"/>
    <s v="Barranca Baya Bloque 36"/>
    <x v="0"/>
    <s v="NO"/>
    <s v="NO"/>
    <s v="NO"/>
  </r>
  <r>
    <x v="1199"/>
    <s v="CnE-240"/>
    <x v="0"/>
    <s v="Abandono Permanente"/>
    <s v="No Posee"/>
    <x v="3"/>
    <s v="Barranca Baya"/>
    <x v="0"/>
    <s v="NO"/>
    <s v="NO"/>
    <s v="NO"/>
  </r>
  <r>
    <x v="1200"/>
    <s v="CnE-641"/>
    <x v="0"/>
    <s v="Espera Equipo Reparación"/>
    <s v="No Posee"/>
    <x v="5"/>
    <s v="Barranca Baya Bloque 36"/>
    <x v="1"/>
    <s v="NO"/>
    <n v="0.46"/>
    <n v="0"/>
  </r>
  <r>
    <x v="1201"/>
    <s v="CnE-370(I)"/>
    <x v="0"/>
    <s v="Produciendo"/>
    <s v="Pistoneo"/>
    <x v="1"/>
    <s v="Barranca Baya Bloque 36"/>
    <x v="0"/>
    <s v="NO"/>
    <n v="0.14400000000000002"/>
    <n v="0"/>
  </r>
  <r>
    <x v="1202"/>
    <s v="LC-15"/>
    <x v="0"/>
    <s v="Produciendo"/>
    <s v="Cavidad Progresiva"/>
    <x v="1"/>
    <s v="Lomas del Cuy- Cerro Grande Sur"/>
    <x v="0"/>
    <s v="NO"/>
    <n v="2.9"/>
    <n v="0"/>
  </r>
  <r>
    <x v="1203"/>
    <s v="LH-456"/>
    <x v="0"/>
    <s v="Reserva Recuperación Secundaria"/>
    <s v="Pistoneo"/>
    <x v="4"/>
    <s v="Las Heras Central Sur"/>
    <x v="0"/>
    <s v="NO"/>
    <n v="8.2000000000000003E-2"/>
    <n v="0"/>
  </r>
  <r>
    <x v="1204"/>
    <s v="LC-1"/>
    <x v="0"/>
    <s v="Abandono Permanente"/>
    <s v="No Posee"/>
    <x v="3"/>
    <s v="Barranca Baya Cerro Grande Noroeste"/>
    <x v="0"/>
    <s v="NO"/>
    <s v="NO"/>
    <s v="NO"/>
  </r>
  <r>
    <x v="1205"/>
    <s v="LH-75"/>
    <x v="0"/>
    <s v="Abandono Permanente"/>
    <s v="No Posee"/>
    <x v="3"/>
    <s v="Las Heras Las Heras Bloque 3"/>
    <x v="0"/>
    <s v="NO"/>
    <s v="NO"/>
    <s v="NO"/>
  </r>
  <r>
    <x v="1206"/>
    <s v="LH-245"/>
    <x v="0"/>
    <s v="Abandono Permanente"/>
    <s v="No Posee"/>
    <x v="3"/>
    <s v="Las Heras Central Sur"/>
    <x v="0"/>
    <s v="NO"/>
    <s v="NO"/>
    <s v="NO"/>
  </r>
  <r>
    <x v="1207"/>
    <s v="LH-295"/>
    <x v="0"/>
    <s v="Abandono Permanente"/>
    <s v="No Posee"/>
    <x v="3"/>
    <s v="Las Heras Central Sur"/>
    <x v="0"/>
    <s v="NO"/>
    <s v="NO"/>
    <s v="NO"/>
  </r>
  <r>
    <x v="1208"/>
    <s v="LH-504"/>
    <x v="0"/>
    <s v="Reserva Recuperación Secundaria"/>
    <s v="Pistoneo"/>
    <x v="4"/>
    <s v="Las Heras Central Sur"/>
    <x v="0"/>
    <s v="NO"/>
    <n v="4.8000000000000001E-2"/>
    <n v="0"/>
  </r>
  <r>
    <x v="1209"/>
    <s v="LH-57"/>
    <x v="0"/>
    <s v="Abandono Permanente"/>
    <s v="No Posee"/>
    <x v="3"/>
    <s v="Las Heras Bloque 2"/>
    <x v="0"/>
    <s v="NO"/>
    <s v="NO"/>
    <s v="NO"/>
  </r>
  <r>
    <x v="1210"/>
    <s v="CG-521a"/>
    <x v="0"/>
    <s v="Produciendo"/>
    <s v="Pistoneo"/>
    <x v="1"/>
    <s v="Cerro Grande Central"/>
    <x v="0"/>
    <s v="NO"/>
    <n v="0.12300000000000001"/>
    <n v="0"/>
  </r>
  <r>
    <x v="1211"/>
    <s v="LH-977a"/>
    <x v="0"/>
    <s v="Abandono Permanente"/>
    <s v="No Posee"/>
    <x v="3"/>
    <s v="Las Heras Bloque 2"/>
    <x v="0"/>
    <s v="NO"/>
    <s v="NO"/>
    <s v="NO"/>
  </r>
  <r>
    <x v="1212"/>
    <s v="CnE-891a"/>
    <x v="0"/>
    <s v="En Estudio"/>
    <s v="Bombeo Mecánico"/>
    <x v="5"/>
    <s v="Barranca Baya Bloque 36"/>
    <x v="1"/>
    <s v="NO"/>
    <n v="0.872"/>
    <n v="0"/>
  </r>
  <r>
    <x v="1213"/>
    <s v="LH-1003a"/>
    <x v="0"/>
    <s v="Produciendo"/>
    <s v="Cavidad Progresiva"/>
    <x v="1"/>
    <s v="Las Heras Central Sur"/>
    <x v="0"/>
    <s v="NO"/>
    <n v="0.31"/>
    <n v="0"/>
  </r>
  <r>
    <x v="1214"/>
    <s v="LH-1012a"/>
    <x v="0"/>
    <s v="Espera Equipo Reparación"/>
    <s v="Inyección"/>
    <x v="5"/>
    <s v="Las Heras Central Sur"/>
    <x v="1"/>
    <s v="NO"/>
    <n v="0"/>
    <n v="0"/>
  </r>
  <r>
    <x v="1215"/>
    <s v="LH-1033a"/>
    <x v="0"/>
    <s v="Abandono Permanente"/>
    <s v="No Posee"/>
    <x v="3"/>
    <s v="Las Heras Las Heras Bloque 3"/>
    <x v="0"/>
    <s v="NO"/>
    <n v="0.442"/>
    <n v="0"/>
  </r>
  <r>
    <x v="1216"/>
    <s v="CnE-898a"/>
    <x v="0"/>
    <s v="Reserva Recuperación Secundaria"/>
    <s v="Bombeo Mecánico"/>
    <x v="4"/>
    <s v="Barranca Baya Bloque 30"/>
    <x v="0"/>
    <s v="NO"/>
    <n v="0.16"/>
    <n v="0"/>
  </r>
  <r>
    <x v="1217"/>
    <s v="CnE-913a"/>
    <x v="0"/>
    <s v="Espera Equipo Reparación"/>
    <s v="Inyección"/>
    <x v="5"/>
    <s v="Barranca Baya Bloque 36"/>
    <x v="1"/>
    <s v="NO"/>
    <n v="0"/>
    <s v="Ultimo Año"/>
  </r>
  <r>
    <x v="1218"/>
    <s v="CnE-916a"/>
    <x v="0"/>
    <s v="Produciendo"/>
    <s v="Bombeo Mecánico"/>
    <x v="1"/>
    <s v="Barranca Baya Bloque 30"/>
    <x v="0"/>
    <s v="NO"/>
    <n v="2.9260000000000002"/>
    <n v="0"/>
  </r>
  <r>
    <x v="1219"/>
    <s v="LH-1098a"/>
    <x v="0"/>
    <s v="En Estudio"/>
    <s v="Bombeo Mecánico"/>
    <x v="2"/>
    <s v="Las Heras Central Sur"/>
    <x v="0"/>
    <s v="NO"/>
    <n v="1.08"/>
    <s v="Ultimo Año"/>
  </r>
  <r>
    <x v="1220"/>
    <s v="LH-1101a"/>
    <x v="0"/>
    <s v="Produciendo"/>
    <s v="Pistoneo"/>
    <x v="1"/>
    <s v="Las Heras Bloque 2"/>
    <x v="0"/>
    <s v="NO"/>
    <n v="0.10500000000000001"/>
    <n v="0"/>
  </r>
  <r>
    <x v="1221"/>
    <s v="CnE-925a"/>
    <x v="0"/>
    <s v="Abandono Permanente"/>
    <s v="No Posee"/>
    <x v="3"/>
    <s v="Barranca Baya Bloque 36"/>
    <x v="0"/>
    <s v="NO"/>
    <s v="NO"/>
    <s v="NO"/>
  </r>
  <r>
    <x v="1222"/>
    <s v="LH-1123a"/>
    <x v="0"/>
    <s v="Produciendo"/>
    <s v="Bombeo Mecánico"/>
    <x v="1"/>
    <s v="Las Heras Central Sur"/>
    <x v="0"/>
    <s v="NO"/>
    <n v="3.1240000000000001"/>
    <n v="0"/>
  </r>
  <r>
    <x v="1223"/>
    <s v="CG-596a"/>
    <x v="0"/>
    <s v="Reserva Recuperación Secundaria"/>
    <s v="Bombeo Mecánico"/>
    <x v="4"/>
    <s v="Cerro Grande Noreste"/>
    <x v="0"/>
    <s v="NO"/>
    <n v="0.99"/>
    <n v="0"/>
  </r>
  <r>
    <x v="1224"/>
    <s v="CG-602a"/>
    <x v="0"/>
    <s v="Produciendo"/>
    <s v="Inyección"/>
    <x v="1"/>
    <s v="Cerro Grande Central"/>
    <x v="0"/>
    <s v="NO"/>
    <n v="0"/>
    <n v="0"/>
  </r>
  <r>
    <x v="1225"/>
    <s v="LH-1150a"/>
    <x v="0"/>
    <s v="Reserva Recuperación Secundaria"/>
    <s v="Pistoneo"/>
    <x v="4"/>
    <s v="Las Heras Bloque 2"/>
    <x v="0"/>
    <s v="NO"/>
    <n v="6.3E-2"/>
    <n v="0"/>
  </r>
  <r>
    <x v="1226"/>
    <s v="CG-607a"/>
    <x v="0"/>
    <s v="Produciendo"/>
    <s v="Inyección"/>
    <x v="1"/>
    <s v="Cerro Grande Central"/>
    <x v="0"/>
    <s v="NO"/>
    <n v="0"/>
    <n v="0"/>
  </r>
  <r>
    <x v="1227"/>
    <s v="CnE.a-960"/>
    <x v="0"/>
    <s v="Reserva Recuperación Secundaria"/>
    <s v="Pistoneo"/>
    <x v="0"/>
    <s v="Barranca Baya Bloque 36"/>
    <x v="0"/>
    <s v="NO"/>
    <n v="0.01"/>
    <s v="Ultimos 6 meses"/>
  </r>
  <r>
    <x v="1228"/>
    <s v="CnE-1032"/>
    <x v="0"/>
    <s v="Produciendo"/>
    <s v="Inyección"/>
    <x v="1"/>
    <s v="Barranca Baya Bloque 30"/>
    <x v="0"/>
    <s v="NO"/>
    <n v="0"/>
    <n v="0"/>
  </r>
  <r>
    <x v="1229"/>
    <s v="CnE-1023"/>
    <x v="0"/>
    <s v="A Abandonar"/>
    <s v="Bombeo Mecánico"/>
    <x v="5"/>
    <s v="Barranca Baya Bloque 30"/>
    <x v="1"/>
    <s v="NO"/>
    <n v="4.4480000000000004"/>
    <n v="0"/>
  </r>
  <r>
    <x v="1230"/>
    <s v="CnE-1046"/>
    <x v="0"/>
    <s v="Reserva Recuperación Secundaria"/>
    <s v="Bombeo Mecánico"/>
    <x v="4"/>
    <s v="Barranca Baya Bloque 36"/>
    <x v="0"/>
    <s v="NO"/>
    <n v="0.06"/>
    <n v="0"/>
  </r>
  <r>
    <x v="1231"/>
    <s v="CnE-1084"/>
    <x v="0"/>
    <s v="Reserva Recuperación Secundaria"/>
    <s v="No Posee"/>
    <x v="4"/>
    <s v="Barranca Baya Bloque 38"/>
    <x v="0"/>
    <s v="NO"/>
    <n v="0.55700000000000005"/>
    <n v="0"/>
  </r>
  <r>
    <x v="1232"/>
    <s v="CnE-1092"/>
    <x v="0"/>
    <s v="Produciendo"/>
    <s v="Bombeo Mecánico"/>
    <x v="1"/>
    <s v="Barranca Baya Bloque 38"/>
    <x v="0"/>
    <s v="NO"/>
    <n v="0.64600000000000002"/>
    <n v="0"/>
  </r>
  <r>
    <x v="1233"/>
    <s v="CnE-1091"/>
    <x v="0"/>
    <s v="Produciendo"/>
    <s v="Pistoneo"/>
    <x v="1"/>
    <s v="Barranca Baya Bloque 37"/>
    <x v="0"/>
    <s v="NO"/>
    <n v="6.7000000000000004E-2"/>
    <n v="0"/>
  </r>
  <r>
    <x v="1234"/>
    <s v="CG-919(d)"/>
    <x v="0"/>
    <s v="Reserva Recuperación Secundaria"/>
    <s v="No Posee"/>
    <x v="4"/>
    <s v="Cerro Grande Noreste"/>
    <x v="0"/>
    <s v="NO"/>
    <s v="NO"/>
    <s v="NO"/>
  </r>
  <r>
    <x v="1235"/>
    <s v="CnE-1371"/>
    <x v="0"/>
    <s v="Produciendo"/>
    <s v="Bombeo Mecánico"/>
    <x v="1"/>
    <s v="Barranca Baya Bloque 26"/>
    <x v="0"/>
    <s v="NO"/>
    <n v="1.02"/>
    <n v="0"/>
  </r>
  <r>
    <x v="1236"/>
    <s v="LH-1246"/>
    <x v="0"/>
    <s v="Produciendo"/>
    <s v="Pistoneo"/>
    <x v="1"/>
    <s v="Barranca Baya Cerro Grande Sur"/>
    <x v="0"/>
    <s v="NO"/>
    <n v="0.10300000000000001"/>
    <n v="0"/>
  </r>
  <r>
    <x v="1237"/>
    <s v="LH-211"/>
    <x v="0"/>
    <s v="Abandono Permanente"/>
    <s v="No Posee"/>
    <x v="3"/>
    <s v="Las Heras Bloque 2"/>
    <x v="0"/>
    <s v="NO"/>
    <n v="0"/>
    <n v="0"/>
  </r>
  <r>
    <x v="1238"/>
    <s v="LH-508"/>
    <x v="0"/>
    <s v="Reserva Recuperación Secundaria"/>
    <s v="Inyección"/>
    <x v="4"/>
    <s v="Las Heras Central Sur"/>
    <x v="0"/>
    <s v="NO"/>
    <n v="0"/>
    <n v="0"/>
  </r>
  <r>
    <x v="1239"/>
    <s v="LH-601"/>
    <x v="0"/>
    <s v="Produciendo"/>
    <s v="Bombeo Mecánico"/>
    <x v="1"/>
    <s v="Las Heras Central Sur"/>
    <x v="0"/>
    <s v="NO"/>
    <n v="0.5"/>
    <n v="0"/>
  </r>
  <r>
    <x v="1240"/>
    <s v="LH-634"/>
    <x v="0"/>
    <s v="Reserva Recuperación Secundaria"/>
    <s v="Inyección"/>
    <x v="4"/>
    <s v="Las Heras Central Sur"/>
    <x v="0"/>
    <s v="NO"/>
    <n v="0"/>
    <n v="0"/>
  </r>
  <r>
    <x v="1241"/>
    <s v="LH-695"/>
    <x v="0"/>
    <s v="Produciendo"/>
    <s v="Inyección"/>
    <x v="1"/>
    <s v="Las Heras Cerro Grande Sur"/>
    <x v="0"/>
    <s v="NO"/>
    <n v="0"/>
    <n v="0"/>
  </r>
  <r>
    <x v="1242"/>
    <s v="LH-704"/>
    <x v="0"/>
    <s v="Produciendo"/>
    <s v="Pistoneo"/>
    <x v="1"/>
    <s v="Las Heras Bloque 2"/>
    <x v="0"/>
    <s v="NO"/>
    <n v="0.10400000000000001"/>
    <n v="0"/>
  </r>
  <r>
    <x v="1243"/>
    <s v="LH-827"/>
    <x v="0"/>
    <s v="Abandono Permanente"/>
    <s v="No Posee"/>
    <x v="3"/>
    <s v="Las Heras Las Heras Bloque 3"/>
    <x v="0"/>
    <s v="NO"/>
    <n v="0.753"/>
    <n v="0"/>
  </r>
  <r>
    <x v="1244"/>
    <s v="LH-835a"/>
    <x v="0"/>
    <s v="Abandono Permanente"/>
    <s v="No Posee"/>
    <x v="3"/>
    <s v="Las Heras Bloque 2"/>
    <x v="0"/>
    <s v="NO"/>
    <n v="1.1970000000000001"/>
    <n v="0"/>
  </r>
  <r>
    <x v="1245"/>
    <s v="LH-836"/>
    <x v="0"/>
    <s v="Abandono Permanente"/>
    <s v="No Posee"/>
    <x v="3"/>
    <s v="Las Heras Bloque 2"/>
    <x v="0"/>
    <s v="NO"/>
    <n v="0"/>
    <n v="0"/>
  </r>
  <r>
    <x v="1246"/>
    <s v="LH-930"/>
    <x v="0"/>
    <s v="Abandono Permanente"/>
    <s v="No Posee"/>
    <x v="3"/>
    <s v="Las Heras Bloque 2"/>
    <x v="0"/>
    <s v="NO"/>
    <s v="NO"/>
    <s v="NO"/>
  </r>
  <r>
    <x v="1247"/>
    <s v="LH-946"/>
    <x v="0"/>
    <s v="Parado Alta Rap"/>
    <s v="Bombeo Mecánico"/>
    <x v="5"/>
    <s v="Las Heras Las Heras Bloque 3"/>
    <x v="1"/>
    <s v="NO"/>
    <n v="0.39900000000000002"/>
    <n v="0"/>
  </r>
  <r>
    <x v="1248"/>
    <s v="LH-962"/>
    <x v="0"/>
    <s v="Reserva Recuperación Secundaria"/>
    <s v="No Posee"/>
    <x v="4"/>
    <s v="Las Heras Central Sur"/>
    <x v="0"/>
    <s v="NO"/>
    <n v="0.16"/>
    <n v="0"/>
  </r>
  <r>
    <x v="1249"/>
    <s v="CG-363"/>
    <x v="0"/>
    <s v="Produciendo"/>
    <s v="Pistoneo"/>
    <x v="1"/>
    <s v="Cerro Grande Central"/>
    <x v="0"/>
    <s v="NO"/>
    <n v="0.10400000000000001"/>
    <n v="0"/>
  </r>
  <r>
    <x v="1250"/>
    <s v="CG-407"/>
    <x v="0"/>
    <s v="Abandono Permanente"/>
    <s v="No Posee"/>
    <x v="3"/>
    <s v="Cerro Grande Central"/>
    <x v="0"/>
    <s v="NO"/>
    <n v="0"/>
    <n v="0"/>
  </r>
  <r>
    <x v="1251"/>
    <s v="CG-452"/>
    <x v="0"/>
    <s v="Reserva Recuperación Secundaria"/>
    <s v="No Posee"/>
    <x v="7"/>
    <s v="Cerro Grande Central"/>
    <x v="0"/>
    <s v="NO"/>
    <n v="1.5"/>
    <n v="0"/>
  </r>
  <r>
    <x v="1252"/>
    <s v="LC-85"/>
    <x v="0"/>
    <s v="Produciendo"/>
    <s v="Inyección"/>
    <x v="1"/>
    <s v="Lomas del Cuy- Cerro Grande Sur"/>
    <x v="0"/>
    <s v="NO"/>
    <n v="0"/>
    <n v="0"/>
  </r>
  <r>
    <x v="1253"/>
    <s v="CnE-75"/>
    <x v="0"/>
    <s v="Produciendo"/>
    <s v="Pistoneo"/>
    <x v="1"/>
    <s v="Barranca Baya Bloque 26"/>
    <x v="0"/>
    <s v="NO"/>
    <n v="2.9000000000000001E-2"/>
    <n v="0"/>
  </r>
  <r>
    <x v="1254"/>
    <s v="CnE-101"/>
    <x v="0"/>
    <s v="Produciendo"/>
    <s v="Bombeo Mecánico"/>
    <x v="1"/>
    <s v="Barranca Baya Bloque 26"/>
    <x v="0"/>
    <s v="NO"/>
    <n v="0.42"/>
    <n v="0"/>
  </r>
  <r>
    <x v="1255"/>
    <s v="CnE-474"/>
    <x v="0"/>
    <s v="En Estudio"/>
    <s v="Bombeo Mecánico"/>
    <x v="6"/>
    <s v="Barranca Baya Bloque 36"/>
    <x v="0"/>
    <s v="Oportunidad"/>
    <n v="1.76"/>
    <s v="Ultimos 6 meses"/>
  </r>
  <r>
    <x v="1256"/>
    <s v="CnE-585"/>
    <x v="0"/>
    <s v="Espera Equipo Reparación"/>
    <s v="Bombeo Mecánico"/>
    <x v="5"/>
    <s v="Barranca Baya Bloque 37"/>
    <x v="1"/>
    <s v="NO"/>
    <n v="1.2"/>
    <n v="0"/>
  </r>
  <r>
    <x v="1257"/>
    <s v="CnE-725"/>
    <x v="0"/>
    <s v="Produciendo"/>
    <s v="Electro Sumergible"/>
    <x v="1"/>
    <s v="Barranca Baya Bloque 38"/>
    <x v="0"/>
    <s v="NO"/>
    <n v="1.0620000000000001"/>
    <n v="0"/>
  </r>
  <r>
    <x v="1258"/>
    <s v="LH-98"/>
    <x v="0"/>
    <s v="Abandono Permanente"/>
    <s v="No Posee"/>
    <x v="3"/>
    <s v="Las Heras Las Heras Bloque 3"/>
    <x v="0"/>
    <s v="NO"/>
    <s v="NO"/>
    <s v="NO"/>
  </r>
  <r>
    <x v="1259"/>
    <s v="LH-539"/>
    <x v="0"/>
    <s v="Abandono Permanente"/>
    <s v="No Posee"/>
    <x v="3"/>
    <s v="Las Heras Las Heras Bloque 3"/>
    <x v="0"/>
    <s v="NO"/>
    <s v="NO"/>
    <s v="NO"/>
  </r>
  <r>
    <x v="1260"/>
    <s v="LH-985a"/>
    <x v="0"/>
    <s v="Produciendo"/>
    <s v="Pistoneo"/>
    <x v="1"/>
    <s v="Las Heras Central Sur"/>
    <x v="0"/>
    <s v="NO"/>
    <n v="0.19"/>
    <n v="0"/>
  </r>
  <r>
    <x v="1261"/>
    <s v="LH-1023a"/>
    <x v="0"/>
    <s v="Espera Equipo Reparación"/>
    <s v="Bombeo Mecánico"/>
    <x v="5"/>
    <s v="Las Heras Central Sur"/>
    <x v="1"/>
    <s v="NO"/>
    <n v="0.68"/>
    <n v="0"/>
  </r>
  <r>
    <x v="1262"/>
    <s v="LH-1059a"/>
    <x v="0"/>
    <s v="Produciendo"/>
    <s v="Bombeo Mecánico"/>
    <x v="1"/>
    <s v="Las Heras Central Sur"/>
    <x v="0"/>
    <s v="NO"/>
    <n v="1.49"/>
    <n v="0"/>
  </r>
  <r>
    <x v="1263"/>
    <s v="CG-551a"/>
    <x v="0"/>
    <s v="Produciendo"/>
    <s v="Bombeo Mecánico"/>
    <x v="1"/>
    <s v="Cerro Grande Central"/>
    <x v="0"/>
    <s v="NO"/>
    <n v="0.99199999999999999"/>
    <n v="0"/>
  </r>
  <r>
    <x v="1264"/>
    <s v="CnE-932a"/>
    <x v="0"/>
    <s v="Produciendo"/>
    <s v="Bombeo Mecánico"/>
    <x v="1"/>
    <s v="Barranca Baya Bloque 30"/>
    <x v="0"/>
    <s v="NO"/>
    <n v="3.2"/>
    <n v="0"/>
  </r>
  <r>
    <x v="1265"/>
    <s v="LH-1108a"/>
    <x v="0"/>
    <s v="Produciendo"/>
    <s v="Inyección"/>
    <x v="1"/>
    <s v="Las Heras Las Heras Bloque 3"/>
    <x v="0"/>
    <s v="NO"/>
    <n v="0"/>
    <n v="0"/>
  </r>
  <r>
    <x v="1266"/>
    <s v="LH-1168"/>
    <x v="0"/>
    <s v="Produciendo"/>
    <s v="Bombeo Mecánico"/>
    <x v="1"/>
    <s v="Las Heras Bloque 2"/>
    <x v="0"/>
    <s v="NO"/>
    <n v="0.9"/>
    <n v="0"/>
  </r>
  <r>
    <x v="1267"/>
    <s v="LH-1219"/>
    <x v="0"/>
    <s v="Produciendo"/>
    <s v="Inyección"/>
    <x v="1"/>
    <s v="Las Heras Central Sur"/>
    <x v="0"/>
    <s v="NO"/>
    <n v="0"/>
    <n v="0"/>
  </r>
  <r>
    <x v="1268"/>
    <s v="LH-1220"/>
    <x v="0"/>
    <s v="En Estudio"/>
    <s v="Bombeo Mecánico"/>
    <x v="5"/>
    <s v="Las Heras Central Sur"/>
    <x v="1"/>
    <s v="NO"/>
    <n v="0.6"/>
    <n v="0"/>
  </r>
  <r>
    <x v="1269"/>
    <s v="CG-845(d)"/>
    <x v="0"/>
    <s v="Produciendo"/>
    <s v="Bombeo Mecánico"/>
    <x v="1"/>
    <s v="Cerro Grande Noreste"/>
    <x v="0"/>
    <s v="NO"/>
    <n v="2.4500000000000002"/>
    <n v="0"/>
  </r>
  <r>
    <x v="1270"/>
    <s v="CnE-1223"/>
    <x v="0"/>
    <s v="En Estudio"/>
    <s v="Pistoneo"/>
    <x v="5"/>
    <s v="Barranca Baya Bloque 36"/>
    <x v="1"/>
    <s v="NO"/>
    <n v="9.6000000000000002E-2"/>
    <n v="0"/>
  </r>
  <r>
    <x v="1271"/>
    <s v="LH-1218"/>
    <x v="0"/>
    <s v="Produciendo"/>
    <s v="Bombeo Mecánico"/>
    <x v="1"/>
    <s v="Las Heras Central Sur"/>
    <x v="0"/>
    <s v="NO"/>
    <n v="0.16800000000000001"/>
    <n v="0"/>
  </r>
  <r>
    <x v="1272"/>
    <s v="LH-1040a"/>
    <x v="0"/>
    <s v="Produciendo"/>
    <s v="Inyección"/>
    <x v="1"/>
    <s v="Las Heras Central Sur"/>
    <x v="0"/>
    <s v="NO"/>
    <n v="0"/>
    <n v="0"/>
  </r>
  <r>
    <x v="1273"/>
    <s v="LH-1044a"/>
    <x v="0"/>
    <s v="Reserva Recuperación Secundaria"/>
    <s v="Pistoneo"/>
    <x v="4"/>
    <s v="Las Heras Bloque 2"/>
    <x v="0"/>
    <s v="NO"/>
    <n v="9.7000000000000003E-2"/>
    <n v="0"/>
  </r>
  <r>
    <x v="1274"/>
    <s v="CG-499a"/>
    <x v="0"/>
    <s v="Produciendo"/>
    <s v="Cavidad Progresiva"/>
    <x v="1"/>
    <s v="Barranca Baya Bloque 26"/>
    <x v="0"/>
    <s v="NO"/>
    <n v="0.02"/>
    <n v="0"/>
  </r>
  <r>
    <x v="1275"/>
    <s v="LH-62a"/>
    <x v="0"/>
    <s v="Produciendo"/>
    <s v="Inyección"/>
    <x v="1"/>
    <s v="Las Heras Central Sur"/>
    <x v="0"/>
    <s v="NO"/>
    <n v="0"/>
    <n v="0"/>
  </r>
  <r>
    <x v="1276"/>
    <s v="CnE-951a"/>
    <x v="0"/>
    <s v="Produciendo"/>
    <s v="Inyección"/>
    <x v="1"/>
    <s v="Barranca Baya Bloque 36"/>
    <x v="0"/>
    <s v="NO"/>
    <n v="0"/>
    <n v="0"/>
  </r>
  <r>
    <x v="1277"/>
    <s v="LH-1153a"/>
    <x v="0"/>
    <s v="Produciendo"/>
    <s v="Surgente por Casing"/>
    <x v="1"/>
    <s v="Las Heras Las Heras Bloque 3"/>
    <x v="0"/>
    <s v="NO"/>
    <n v="0.13100000000000001"/>
    <n v="0"/>
  </r>
  <r>
    <x v="1278"/>
    <s v="CG-621"/>
    <x v="0"/>
    <s v="Produciendo"/>
    <s v="Bombeo Mecánico"/>
    <x v="1"/>
    <s v="Cerro Grande Central"/>
    <x v="0"/>
    <s v="NO"/>
    <n v="1.3440000000000001"/>
    <n v="0"/>
  </r>
  <r>
    <x v="1279"/>
    <s v="LH-61a"/>
    <x v="0"/>
    <s v="Produciendo"/>
    <s v="Bombeo Mecánico"/>
    <x v="1"/>
    <s v="Las Heras Central Sur"/>
    <x v="0"/>
    <s v="NO"/>
    <n v="2.9"/>
    <n v="0"/>
  </r>
  <r>
    <x v="1280"/>
    <s v="LH-1071a"/>
    <x v="0"/>
    <s v="Reserva Recuperación Secundaria"/>
    <s v="Pistoneo"/>
    <x v="2"/>
    <s v="Las Heras Central Sur"/>
    <x v="0"/>
    <s v="NO"/>
    <n v="0"/>
    <s v="Ultimo Año"/>
  </r>
  <r>
    <x v="1281"/>
    <s v="LH-1085a"/>
    <x v="0"/>
    <s v="Produciendo"/>
    <s v="Bombeo Mecánico"/>
    <x v="1"/>
    <s v="Las Heras Bloque 2"/>
    <x v="0"/>
    <s v="NO"/>
    <n v="0.48"/>
    <n v="0"/>
  </r>
  <r>
    <x v="1282"/>
    <s v="CG-586a"/>
    <x v="0"/>
    <s v="Produciendo"/>
    <s v="Bombeo Mecánico"/>
    <x v="1"/>
    <s v="Cerro Grande Central"/>
    <x v="0"/>
    <s v="NO"/>
    <n v="0.9"/>
    <n v="0"/>
  </r>
  <r>
    <x v="1283"/>
    <s v="LH-1154a"/>
    <x v="0"/>
    <s v="Produciendo"/>
    <s v="Bombeo Mecánico"/>
    <x v="1"/>
    <s v="Las Heras Las Heras Bloque 3"/>
    <x v="0"/>
    <s v="NO"/>
    <n v="0.184"/>
    <n v="0"/>
  </r>
  <r>
    <x v="1284"/>
    <s v="CnE-981"/>
    <x v="0"/>
    <s v="Produciendo"/>
    <s v="Bombeo Mecánico"/>
    <x v="1"/>
    <s v="Barranca Baya Bloque 36"/>
    <x v="0"/>
    <s v="NO"/>
    <n v="1.6"/>
    <n v="0"/>
  </r>
  <r>
    <x v="1285"/>
    <s v="CnE-1022"/>
    <x v="0"/>
    <s v="Espera Equipo Reparación"/>
    <s v="Bombeo Mecánico"/>
    <x v="7"/>
    <s v="Barranca Baya Bloque 30"/>
    <x v="0"/>
    <s v="NO"/>
    <n v="2.2000000000000002"/>
    <s v="Ultimos 6 meses"/>
  </r>
  <r>
    <x v="1286"/>
    <s v="CG-717"/>
    <x v="0"/>
    <s v="Produciendo"/>
    <s v="Bombeo Mecánico"/>
    <x v="1"/>
    <s v="Cerro Grande Central"/>
    <x v="0"/>
    <s v="NO"/>
    <n v="0.33600000000000002"/>
    <n v="0"/>
  </r>
  <r>
    <x v="1287"/>
    <s v="CnE-1115"/>
    <x v="0"/>
    <s v="Produciendo"/>
    <s v="Bombeo Mecánico"/>
    <x v="1"/>
    <s v="Barranca Baya Bloque 40"/>
    <x v="0"/>
    <s v="NO"/>
    <n v="1.5"/>
    <n v="0"/>
  </r>
  <r>
    <x v="1288"/>
    <s v="CnE-1330"/>
    <x v="0"/>
    <s v="Produciendo"/>
    <s v="Bombeo Mecánico"/>
    <x v="1"/>
    <s v="Barranca Baya Bloque 37"/>
    <x v="0"/>
    <s v="NO"/>
    <n v="1.41"/>
    <n v="0"/>
  </r>
  <r>
    <x v="1289"/>
    <s v="CnE-1301"/>
    <x v="0"/>
    <s v="Produciendo"/>
    <s v="Bombeo Mecánico"/>
    <x v="1"/>
    <s v="Barranca Baya Bloque 40"/>
    <x v="0"/>
    <s v="NO"/>
    <n v="0.86"/>
    <n v="0"/>
  </r>
  <r>
    <x v="1290"/>
    <s v="LC.IA-976"/>
    <x v="0"/>
    <s v="Produciendo"/>
    <s v="Inyección"/>
    <x v="1"/>
    <s v="Lomas del Cuy- Cerro Grande Sur"/>
    <x v="0"/>
    <s v="NO"/>
    <n v="0"/>
    <n v="0"/>
  </r>
  <r>
    <x v="1291"/>
    <s v="LH-1302a"/>
    <x v="0"/>
    <s v="Produciendo"/>
    <s v="Bombeo Mecánico"/>
    <x v="1"/>
    <s v="Las Heras Bloque 2"/>
    <x v="0"/>
    <s v="NO"/>
    <n v="1.68"/>
    <n v="0"/>
  </r>
  <r>
    <x v="1292"/>
    <s v="LH-1304a"/>
    <x v="0"/>
    <s v="Produciendo"/>
    <s v="Cavidad Progresiva"/>
    <x v="1"/>
    <s v="Las Heras Bloque 2"/>
    <x v="0"/>
    <s v="NO"/>
    <n v="1.34"/>
    <n v="0"/>
  </r>
  <r>
    <x v="1293"/>
    <s v="LH-1307"/>
    <x v="0"/>
    <s v="Produciendo"/>
    <s v="Bombeo Mecánico"/>
    <x v="1"/>
    <s v="Las Heras Bloque 2"/>
    <x v="0"/>
    <s v="NO"/>
    <n v="1.92"/>
    <n v="0"/>
  </r>
  <r>
    <x v="1294"/>
    <s v="LH-1196"/>
    <x v="0"/>
    <s v="Produciendo"/>
    <s v="Inyección"/>
    <x v="1"/>
    <s v="Las Heras Central Sur"/>
    <x v="0"/>
    <s v="NO"/>
    <n v="0"/>
    <n v="0"/>
  </r>
  <r>
    <x v="1295"/>
    <s v="BB-120"/>
    <x v="0"/>
    <s v="Abandono Temporal"/>
    <s v="Bombeo Mecánico"/>
    <x v="9"/>
    <s v="Barranca Baya"/>
    <x v="0"/>
    <s v="NO"/>
    <n v="0.6"/>
    <s v="Ultimo Año"/>
  </r>
  <r>
    <x v="1296"/>
    <s v="CnE-1285"/>
    <x v="0"/>
    <s v="Produciendo"/>
    <s v="Inyección"/>
    <x v="1"/>
    <s v="Barranca Baya Bloque 30"/>
    <x v="0"/>
    <s v="NO"/>
    <n v="0"/>
    <n v="0"/>
  </r>
  <r>
    <x v="1297"/>
    <s v="CnE-1314a"/>
    <x v="0"/>
    <s v="Produciendo"/>
    <s v="Bombeo Mecánico"/>
    <x v="1"/>
    <s v="Barranca Baya Bloque 30"/>
    <x v="0"/>
    <s v="NO"/>
    <n v="1.6"/>
    <n v="0"/>
  </r>
  <r>
    <x v="1298"/>
    <s v="CnE-1399"/>
    <x v="0"/>
    <s v="Produciendo"/>
    <s v="Bombeo Mecánico"/>
    <x v="1"/>
    <s v="Barranca Baya Bloque 30"/>
    <x v="0"/>
    <s v="NO"/>
    <n v="1.2"/>
    <n v="0"/>
  </r>
  <r>
    <x v="1299"/>
    <s v="LH-1303a"/>
    <x v="0"/>
    <s v="Produciendo"/>
    <s v="Pistoneo"/>
    <x v="1"/>
    <s v="Las Heras Bloque 2"/>
    <x v="0"/>
    <s v="NO"/>
    <n v="0.10400000000000001"/>
    <n v="0"/>
  </r>
  <r>
    <x v="1300"/>
    <s v="LH-132"/>
    <x v="0"/>
    <s v="Reserva Recuperación Secundaria"/>
    <s v="Pistoneo"/>
    <x v="4"/>
    <s v="Las Heras Las Heras Bloque 3"/>
    <x v="0"/>
    <s v="NO"/>
    <n v="9.7000000000000003E-2"/>
    <n v="0"/>
  </r>
  <r>
    <x v="1301"/>
    <s v="LH-231"/>
    <x v="0"/>
    <s v="Abandono Permanente"/>
    <s v="No Posee"/>
    <x v="3"/>
    <s v="Las Heras Bloque 2"/>
    <x v="0"/>
    <s v="NO"/>
    <s v="NO"/>
    <s v="NO"/>
  </r>
  <r>
    <x v="1302"/>
    <s v="LH-286"/>
    <x v="0"/>
    <s v="Produciendo"/>
    <s v="Pistoneo"/>
    <x v="1"/>
    <s v="Las Heras Central Sur"/>
    <x v="0"/>
    <s v="NO"/>
    <n v="0.114"/>
    <n v="0"/>
  </r>
  <r>
    <x v="1303"/>
    <s v="LH-526"/>
    <x v="0"/>
    <s v="Reserva Recuperación Secundaria"/>
    <s v="Inyección"/>
    <x v="4"/>
    <s v="Las Heras Central Sur"/>
    <x v="0"/>
    <s v="NO"/>
    <n v="0"/>
    <n v="0"/>
  </r>
  <r>
    <x v="1304"/>
    <s v="LH-586"/>
    <x v="0"/>
    <s v="Parado Alta Rap"/>
    <s v="Bombeo Mecánico"/>
    <x v="5"/>
    <s v="Las Heras Central Sur"/>
    <x v="1"/>
    <s v="NO"/>
    <n v="0.55000000000000004"/>
    <n v="0"/>
  </r>
  <r>
    <x v="1305"/>
    <s v="LH-596"/>
    <x v="0"/>
    <s v="Produciendo"/>
    <s v="Cavidad Progresiva"/>
    <x v="1"/>
    <s v="Las Heras Central Sur"/>
    <x v="0"/>
    <s v="NO"/>
    <n v="1.68"/>
    <n v="0"/>
  </r>
  <r>
    <x v="1306"/>
    <s v="LH-738"/>
    <x v="0"/>
    <s v="Abandono Permanente"/>
    <s v="No Posee"/>
    <x v="3"/>
    <s v="Las Heras Bloque 2"/>
    <x v="0"/>
    <s v="NO"/>
    <n v="0"/>
    <n v="0"/>
  </r>
  <r>
    <x v="1307"/>
    <s v="LH-947"/>
    <x v="0"/>
    <s v="Produciendo"/>
    <s v="Pistoneo"/>
    <x v="1"/>
    <s v="Las Heras Las Heras Bloque 3"/>
    <x v="0"/>
    <s v="NO"/>
    <n v="0.192"/>
    <n v="0"/>
  </r>
  <r>
    <x v="1308"/>
    <s v="CG-11"/>
    <x v="0"/>
    <s v="Produciendo"/>
    <s v="Cavidad Progresiva"/>
    <x v="1"/>
    <s v="Barranca Baya Cerro Grande Noroeste"/>
    <x v="0"/>
    <s v="NO"/>
    <n v="4.04"/>
    <n v="0"/>
  </r>
  <r>
    <x v="1309"/>
    <s v="CG-99"/>
    <x v="0"/>
    <s v="Reserva Recuperación Secundaria"/>
    <s v="Bombeo Mecánico"/>
    <x v="4"/>
    <s v="Barranca Baya Bloque 26"/>
    <x v="0"/>
    <s v="NO"/>
    <n v="0.1"/>
    <n v="0"/>
  </r>
  <r>
    <x v="1310"/>
    <s v="CG-100"/>
    <x v="0"/>
    <s v="Produciendo"/>
    <s v="Inyección"/>
    <x v="1"/>
    <s v="Barranca Baya Bloque 26"/>
    <x v="0"/>
    <s v="NO"/>
    <n v="0"/>
    <n v="0"/>
  </r>
  <r>
    <x v="1311"/>
    <s v="CG-271"/>
    <x v="0"/>
    <s v="Produciendo"/>
    <s v="Bombeo Mecánico"/>
    <x v="1"/>
    <s v="Cerro Grande Central"/>
    <x v="0"/>
    <s v="NO"/>
    <n v="1.151"/>
    <n v="0"/>
  </r>
  <r>
    <x v="1312"/>
    <s v="CG-390"/>
    <x v="0"/>
    <s v="Reserva Recuperación Secundaria"/>
    <s v="No Posee"/>
    <x v="4"/>
    <s v="Barranca Baya Bloque 26"/>
    <x v="0"/>
    <s v="NO"/>
    <n v="0.65"/>
    <n v="0"/>
  </r>
  <r>
    <x v="1313"/>
    <s v="CG-422"/>
    <x v="0"/>
    <s v="Reserva Recuperación Secundaria"/>
    <s v="No Posee"/>
    <x v="4"/>
    <s v="Barranca Baya Bloque 26"/>
    <x v="0"/>
    <s v="NO"/>
    <n v="2.7E-2"/>
    <n v="0"/>
  </r>
  <r>
    <x v="1314"/>
    <s v="CG-429"/>
    <x v="0"/>
    <s v="Reserva Recuperación Secundaria"/>
    <s v="No Posee"/>
    <x v="4"/>
    <s v="Barranca Baya Bloque 26"/>
    <x v="0"/>
    <s v="NO"/>
    <n v="0.8"/>
    <n v="0"/>
  </r>
  <r>
    <x v="1315"/>
    <s v="CG-518"/>
    <x v="0"/>
    <s v="Produciendo"/>
    <s v="Bombeo Mecánico"/>
    <x v="1"/>
    <s v="Barranca Baya Las Heras Bloque 3"/>
    <x v="0"/>
    <s v="NO"/>
    <n v="0.9"/>
    <n v="0"/>
  </r>
  <r>
    <x v="1316"/>
    <s v="CnE-90"/>
    <x v="0"/>
    <s v="En Estudio"/>
    <s v="Bombeo Mecánico"/>
    <x v="5"/>
    <s v="Barranca Baya Bloque 26"/>
    <x v="1"/>
    <s v="NO"/>
    <n v="0.5"/>
    <n v="0"/>
  </r>
  <r>
    <x v="1317"/>
    <s v="CnE-106"/>
    <x v="0"/>
    <s v="Espera Equipo Reparación"/>
    <s v="Bombeo Mecánico"/>
    <x v="5"/>
    <s v="Barranca Baya Bloque 26"/>
    <x v="1"/>
    <s v="NO"/>
    <n v="3.42"/>
    <n v="0"/>
  </r>
  <r>
    <x v="1318"/>
    <s v="CnE-135"/>
    <x v="0"/>
    <s v="Produciendo"/>
    <s v="Pistoneo"/>
    <x v="1"/>
    <s v="Barranca Baya Bloque 38"/>
    <x v="0"/>
    <s v="NO"/>
    <n v="0.115"/>
    <n v="0"/>
  </r>
  <r>
    <x v="1319"/>
    <s v="CnE-157"/>
    <x v="0"/>
    <s v="Produciendo"/>
    <s v="Bombeo Mecánico"/>
    <x v="1"/>
    <s v="Barranca Baya Bloque 26"/>
    <x v="0"/>
    <s v="NO"/>
    <n v="1.19"/>
    <n v="0"/>
  </r>
  <r>
    <x v="1320"/>
    <s v="CnE-191"/>
    <x v="0"/>
    <s v="Abandono Permanente"/>
    <s v="No Posee"/>
    <x v="3"/>
    <s v="Barranca Baya Bloque 38"/>
    <x v="0"/>
    <s v="NO"/>
    <n v="0.23200000000000001"/>
    <n v="0"/>
  </r>
  <r>
    <x v="1321"/>
    <s v="CnE-199"/>
    <x v="0"/>
    <s v="Produciendo"/>
    <s v="Pistoneo"/>
    <x v="1"/>
    <s v="Barranca Baya Bloque 38"/>
    <x v="0"/>
    <s v="NO"/>
    <n v="0.154"/>
    <n v="0"/>
  </r>
  <r>
    <x v="1322"/>
    <s v="CnE-248"/>
    <x v="0"/>
    <s v="Espera Equipo Reparación"/>
    <s v="Inyección"/>
    <x v="5"/>
    <s v="Barranca Baya Bloque 30"/>
    <x v="1"/>
    <s v="NO"/>
    <n v="0"/>
    <n v="0"/>
  </r>
  <r>
    <x v="1323"/>
    <s v="CnE-259"/>
    <x v="0"/>
    <s v="Produciendo"/>
    <s v="Bombeo Mecánico"/>
    <x v="1"/>
    <s v="Barranca Baya Bloque 30"/>
    <x v="0"/>
    <s v="NO"/>
    <n v="0.8"/>
    <n v="0"/>
  </r>
  <r>
    <x v="1324"/>
    <s v="CnE-296"/>
    <x v="0"/>
    <s v="En Estudio"/>
    <s v="Bombeo Mecánico"/>
    <x v="5"/>
    <s v="Barranca Baya Bloque 38"/>
    <x v="1"/>
    <s v="NO"/>
    <n v="0.372"/>
    <n v="0"/>
  </r>
  <r>
    <x v="1325"/>
    <s v="CnE-314"/>
    <x v="0"/>
    <s v="Reserva Recuperación Secundaria"/>
    <s v="No Posee"/>
    <x v="4"/>
    <s v="Barranca Baya Bloque 40"/>
    <x v="0"/>
    <s v="NO"/>
    <s v="NO"/>
    <s v="NO"/>
  </r>
  <r>
    <x v="1326"/>
    <s v="CnE-458"/>
    <x v="0"/>
    <s v="Produciendo"/>
    <s v="Bombeo Mecánico"/>
    <x v="1"/>
    <s v="Barranca Baya Bloque 36"/>
    <x v="0"/>
    <s v="NO"/>
    <n v="1.69"/>
    <n v="0"/>
  </r>
  <r>
    <x v="1327"/>
    <s v="CnE-486"/>
    <x v="0"/>
    <s v="Produciendo"/>
    <s v="Inyección"/>
    <x v="1"/>
    <s v="Barranca Baya Bloque 37"/>
    <x v="0"/>
    <s v="NO"/>
    <n v="0"/>
    <n v="0"/>
  </r>
  <r>
    <x v="1328"/>
    <s v="CnE-488"/>
    <x v="0"/>
    <s v="Produciendo"/>
    <s v="Pistoneo"/>
    <x v="1"/>
    <s v="Barranca Baya Bloque 36"/>
    <x v="0"/>
    <s v="NO"/>
    <n v="6.7000000000000004E-2"/>
    <n v="0"/>
  </r>
  <r>
    <x v="1329"/>
    <s v="CnE-495"/>
    <x v="0"/>
    <s v="Produciendo"/>
    <s v="Pistoneo"/>
    <x v="1"/>
    <s v="Barranca Baya"/>
    <x v="0"/>
    <s v="Oportunidad"/>
    <n v="0.115"/>
    <n v="0"/>
  </r>
  <r>
    <x v="1330"/>
    <s v="CnE-595"/>
    <x v="0"/>
    <s v="Abandono Permanente"/>
    <s v="No Posee"/>
    <x v="3"/>
    <s v="Barranca Baya Bloque 36"/>
    <x v="0"/>
    <s v="NO"/>
    <s v="NO"/>
    <s v="NO"/>
  </r>
  <r>
    <x v="1331"/>
    <s v="CnE-616"/>
    <x v="0"/>
    <s v="Produciendo"/>
    <s v="Bombeo Mecánico"/>
    <x v="1"/>
    <s v="Barranca Baya Bloque 37"/>
    <x v="0"/>
    <s v="NO"/>
    <n v="1.242"/>
    <n v="0"/>
  </r>
  <r>
    <x v="1332"/>
    <s v="CnE-703"/>
    <x v="0"/>
    <s v="Reserva Recuperación Secundaria"/>
    <s v="Pistoneo"/>
    <x v="4"/>
    <s v="Barranca Baya Bloque 36"/>
    <x v="0"/>
    <s v="NO"/>
    <n v="6.7000000000000004E-2"/>
    <n v="0"/>
  </r>
  <r>
    <x v="1333"/>
    <s v="CnE-830"/>
    <x v="0"/>
    <s v="En Estudio"/>
    <s v="Pistoneo"/>
    <x v="5"/>
    <s v="Barranca Baya Bloque 36"/>
    <x v="1"/>
    <s v="NO"/>
    <n v="9.6000000000000002E-2"/>
    <n v="0"/>
  </r>
  <r>
    <x v="1334"/>
    <s v="BB-72"/>
    <x v="0"/>
    <s v="En Estudio"/>
    <s v="Bombeo Mecánico"/>
    <x v="5"/>
    <s v="Barranca Baya"/>
    <x v="1"/>
    <s v="NO"/>
    <n v="0.8"/>
    <n v="0"/>
  </r>
  <r>
    <x v="1335"/>
    <s v="CnE-56"/>
    <x v="0"/>
    <s v="Reserva Recuperación Secundaria"/>
    <s v="No Posee"/>
    <x v="4"/>
    <s v="Barranca Baya Bloque 26"/>
    <x v="0"/>
    <s v="NO"/>
    <n v="0.3"/>
    <n v="0"/>
  </r>
  <r>
    <x v="1336"/>
    <s v="LH-44"/>
    <x v="0"/>
    <s v="Abandono Permanente"/>
    <s v="No Posee"/>
    <x v="3"/>
    <s v="Las Heras Las Heras Bloque 3"/>
    <x v="0"/>
    <s v="NO"/>
    <s v="NO"/>
    <s v="NO"/>
  </r>
  <r>
    <x v="1337"/>
    <s v="LC-69"/>
    <x v="0"/>
    <s v="Produciendo"/>
    <s v="Cavidad Progresiva"/>
    <x v="1"/>
    <s v="Lomas del Cuy- Cerro Grande Sur"/>
    <x v="0"/>
    <s v="NO"/>
    <n v="6.24"/>
    <n v="0"/>
  </r>
  <r>
    <x v="1338"/>
    <s v="LH-268"/>
    <x v="0"/>
    <s v="Abandono Permanente"/>
    <s v="No Posee"/>
    <x v="3"/>
    <s v="Las Heras Central Sur"/>
    <x v="0"/>
    <s v="NO"/>
    <s v="NO"/>
    <s v="NO"/>
  </r>
  <r>
    <x v="1339"/>
    <s v="LH-554"/>
    <x v="0"/>
    <s v="Abandono Permanente"/>
    <s v="No Posee"/>
    <x v="3"/>
    <s v="Las Heras Central Sur"/>
    <x v="0"/>
    <s v="NO"/>
    <n v="8.8000000000000009E-2"/>
    <n v="0"/>
  </r>
  <r>
    <x v="1340"/>
    <s v="LH-565"/>
    <x v="0"/>
    <s v="A Abandonar"/>
    <s v="Inyección"/>
    <x v="5"/>
    <s v="Las Heras Las Heras Bloque 3"/>
    <x v="1"/>
    <s v="NO"/>
    <n v="0"/>
    <n v="0"/>
  </r>
  <r>
    <x v="1341"/>
    <s v="CG-144"/>
    <x v="0"/>
    <s v="Produciendo"/>
    <s v="Bombeo Mecánico"/>
    <x v="1"/>
    <s v="Cerro Grande Central"/>
    <x v="0"/>
    <s v="NO"/>
    <n v="2"/>
    <n v="0"/>
  </r>
  <r>
    <x v="1342"/>
    <s v="LH-986a"/>
    <x v="0"/>
    <s v="En Estudio"/>
    <s v="Bombeo Mecánico"/>
    <x v="5"/>
    <s v="Las Heras Central Sur"/>
    <x v="1"/>
    <s v="NO"/>
    <n v="0.56400000000000006"/>
    <n v="0"/>
  </r>
  <r>
    <x v="1343"/>
    <s v="O-203"/>
    <x v="0"/>
    <s v="Abandono Permanente"/>
    <s v="No Posee"/>
    <x v="3"/>
    <s v="Barranca Baya Bloque 36"/>
    <x v="0"/>
    <s v="NO"/>
    <s v="NO"/>
    <s v="NO"/>
  </r>
  <r>
    <x v="1344"/>
    <s v="EaM-1"/>
    <x v="0"/>
    <s v="Abandono Permanente"/>
    <s v="No Posee"/>
    <x v="3"/>
    <s v="Barranca Baya"/>
    <x v="0"/>
    <s v="NO"/>
    <s v="NO"/>
    <s v="NO"/>
  </r>
  <r>
    <x v="1345"/>
    <s v="LH-5"/>
    <x v="0"/>
    <s v="Abandono Permanente"/>
    <s v="No Posee"/>
    <x v="3"/>
    <s v="Las Heras Las Heras Bloque 3"/>
    <x v="0"/>
    <s v="NO"/>
    <n v="0"/>
    <n v="0"/>
  </r>
  <r>
    <x v="1346"/>
    <s v="LH-171"/>
    <x v="0"/>
    <s v="Produciendo"/>
    <s v="Pistoneo"/>
    <x v="1"/>
    <s v="Las Heras Las Heras Bloque 3"/>
    <x v="0"/>
    <s v="NO"/>
    <n v="0.11600000000000001"/>
    <n v="0"/>
  </r>
  <r>
    <x v="1347"/>
    <s v="LH-266"/>
    <x v="0"/>
    <s v="Espera Equipo Reparación"/>
    <s v="Electro Sumergible"/>
    <x v="5"/>
    <s v="Las Heras Central Sur"/>
    <x v="1"/>
    <s v="NO"/>
    <n v="0.44"/>
    <s v="Ultimo Año"/>
  </r>
  <r>
    <x v="1348"/>
    <s v="LH-399"/>
    <x v="0"/>
    <s v="Reserva Recuperación Secundaria"/>
    <s v="No Posee"/>
    <x v="4"/>
    <s v="Las Heras Central Sur"/>
    <x v="0"/>
    <s v="NO"/>
    <n v="0.39100000000000001"/>
    <n v="0"/>
  </r>
  <r>
    <x v="1349"/>
    <s v="LH-560"/>
    <x v="0"/>
    <s v="Abandono Permanente"/>
    <s v="No Posee"/>
    <x v="3"/>
    <s v="Las Heras Las Heras Bloque 3"/>
    <x v="0"/>
    <s v="NO"/>
    <n v="1.2370000000000001"/>
    <n v="0"/>
  </r>
  <r>
    <x v="1350"/>
    <s v="LH-718"/>
    <x v="0"/>
    <s v="Produciendo"/>
    <s v="Cavidad Progresiva"/>
    <x v="1"/>
    <s v="Las Heras Central Sur"/>
    <x v="0"/>
    <s v="NO"/>
    <n v="1.526"/>
    <n v="0"/>
  </r>
  <r>
    <x v="1351"/>
    <s v="LH-849"/>
    <x v="0"/>
    <s v="Reserva Recuperación Secundaria"/>
    <s v="No Posee"/>
    <x v="4"/>
    <s v="Las Heras Central Sur"/>
    <x v="0"/>
    <s v="NO"/>
    <n v="0.79200000000000004"/>
    <n v="0"/>
  </r>
  <r>
    <x v="1352"/>
    <s v="LH-913"/>
    <x v="0"/>
    <s v="Espera Equipo Reparación"/>
    <s v="Bombeo Mecánico"/>
    <x v="5"/>
    <s v="Las Heras Central Sur"/>
    <x v="1"/>
    <s v="NO"/>
    <n v="0.57500000000000007"/>
    <n v="0"/>
  </r>
  <r>
    <x v="1353"/>
    <s v="CG-195"/>
    <x v="0"/>
    <s v="Produciendo"/>
    <s v="Inyección"/>
    <x v="1"/>
    <s v="Barranca Baya Cerro Grande Norte"/>
    <x v="0"/>
    <s v="NO"/>
    <n v="0"/>
    <n v="0"/>
  </r>
  <r>
    <x v="1354"/>
    <s v="CG-246"/>
    <x v="0"/>
    <s v="Produciendo"/>
    <s v="Electro Sumergible"/>
    <x v="1"/>
    <s v="Barranca Baya Cerro Grande Norte"/>
    <x v="0"/>
    <s v="NO"/>
    <n v="1.6500000000000001"/>
    <n v="0"/>
  </r>
  <r>
    <x v="1355"/>
    <s v="CG-517"/>
    <x v="0"/>
    <s v="Reserva Recuperación Secundaria"/>
    <s v="No Posee"/>
    <x v="4"/>
    <s v="Barranca Baya Las Heras Bloque 3"/>
    <x v="0"/>
    <s v="NO"/>
    <n v="0.63"/>
    <n v="0"/>
  </r>
  <r>
    <x v="1356"/>
    <s v="LC-14"/>
    <x v="0"/>
    <s v="Abandono Permanente"/>
    <s v="No Posee"/>
    <x v="3"/>
    <s v="Lomas del Cuy- Cerro Grande Sur"/>
    <x v="0"/>
    <s v="NO"/>
    <s v="NO"/>
    <s v="NO"/>
  </r>
  <r>
    <x v="1357"/>
    <s v="N-12"/>
    <x v="0"/>
    <s v="Reserva Recuperación Secundaria"/>
    <s v="No Posee"/>
    <x v="4"/>
    <s v="Las Heras Central Sur"/>
    <x v="0"/>
    <s v="NO"/>
    <s v="NO"/>
    <s v="NO"/>
  </r>
  <r>
    <x v="1358"/>
    <s v="CnE-59"/>
    <x v="0"/>
    <s v="Espera Equipo Reparación"/>
    <s v="Inyección"/>
    <x v="5"/>
    <s v="Barranca Baya Bloque 26"/>
    <x v="1"/>
    <s v="NO"/>
    <n v="0"/>
    <n v="0"/>
  </r>
  <r>
    <x v="1359"/>
    <s v="CnE-112"/>
    <x v="0"/>
    <s v="Produciendo"/>
    <s v="Inyección"/>
    <x v="1"/>
    <s v="Barranca Baya Bloque 26"/>
    <x v="0"/>
    <s v="NO"/>
    <n v="0"/>
    <n v="0"/>
  </r>
  <r>
    <x v="1360"/>
    <s v="CnE-607"/>
    <x v="0"/>
    <s v="Abandono Permanente"/>
    <s v="No Posee"/>
    <x v="3"/>
    <s v="Barranca Baya Bloque 37"/>
    <x v="0"/>
    <s v="NO"/>
    <n v="0"/>
    <n v="0"/>
  </r>
  <r>
    <x v="1361"/>
    <s v="CnE-639"/>
    <x v="0"/>
    <s v="Produciendo"/>
    <s v="Electro Sumergible"/>
    <x v="1"/>
    <s v="Barranca Baya"/>
    <x v="0"/>
    <s v="NO"/>
    <n v="1.05"/>
    <n v="0"/>
  </r>
  <r>
    <x v="1362"/>
    <s v="CnE-646"/>
    <x v="0"/>
    <s v="Produciendo"/>
    <s v="Electro Sumergible"/>
    <x v="1"/>
    <s v="Barranca Baya Bloque 36"/>
    <x v="0"/>
    <s v="NO"/>
    <n v="4.92"/>
    <n v="0"/>
  </r>
  <r>
    <x v="1363"/>
    <s v="CnE-717"/>
    <x v="0"/>
    <s v="Espera Equipo Reparación"/>
    <s v="Bombeo Mecánico"/>
    <x v="7"/>
    <s v="Barranca Baya Bloque 36"/>
    <x v="0"/>
    <s v="NO"/>
    <n v="1.68"/>
    <n v="0"/>
  </r>
  <r>
    <x v="1364"/>
    <s v="CnE-742"/>
    <x v="0"/>
    <s v="Produciendo"/>
    <s v="Electro Sumergible"/>
    <x v="1"/>
    <s v="Barranca Baya Bloque 37"/>
    <x v="0"/>
    <s v="NO"/>
    <n v="4.2990000000000004"/>
    <n v="0"/>
  </r>
  <r>
    <x v="1365"/>
    <s v="CnE-815"/>
    <x v="0"/>
    <s v="Abandono Permanente"/>
    <s v="No Posee"/>
    <x v="3"/>
    <s v="Barranca Baya Bloque 37"/>
    <x v="0"/>
    <s v="NO"/>
    <n v="0.56000000000000005"/>
    <n v="0"/>
  </r>
  <r>
    <x v="1366"/>
    <s v="BB-4"/>
    <x v="0"/>
    <s v="Abandono Permanente"/>
    <s v="No Posee"/>
    <x v="3"/>
    <s v="Barranca Baya"/>
    <x v="0"/>
    <s v="NO"/>
    <s v="NO"/>
    <s v="NO"/>
  </r>
  <r>
    <x v="1367"/>
    <s v="CnE-137"/>
    <x v="0"/>
    <s v="Produciendo"/>
    <s v="Bombeo Mecánico"/>
    <x v="1"/>
    <s v="Barranca Baya Bloque 38"/>
    <x v="0"/>
    <s v="NO"/>
    <n v="0.40800000000000003"/>
    <n v="0"/>
  </r>
  <r>
    <x v="1368"/>
    <s v="ECE-1"/>
    <x v="0"/>
    <s v="Produciendo"/>
    <s v="Pistoneo"/>
    <x v="1"/>
    <s v="Barranca Baya Bloque 36"/>
    <x v="0"/>
    <s v="Oportunidad"/>
    <n v="0.221"/>
    <n v="0"/>
  </r>
  <r>
    <x v="1369"/>
    <s v="CnE-480"/>
    <x v="0"/>
    <s v="Abandono Permanente"/>
    <s v="No Posee"/>
    <x v="3"/>
    <s v="Barranca Baya Bloque 37"/>
    <x v="0"/>
    <s v="NO"/>
    <s v="NO"/>
    <s v="NO"/>
  </r>
  <r>
    <x v="1370"/>
    <s v="LH-491"/>
    <x v="0"/>
    <s v="Produciendo"/>
    <s v="Pistoneo"/>
    <x v="1"/>
    <s v="Las Heras Central Sur"/>
    <x v="0"/>
    <s v="NO"/>
    <n v="0.21100000000000002"/>
    <n v="0"/>
  </r>
  <r>
    <x v="1371"/>
    <s v="CG-196"/>
    <x v="0"/>
    <s v="Abandono Permanente"/>
    <s v="No Posee"/>
    <x v="3"/>
    <s v="Barranca Baya Cerro Grande Norte"/>
    <x v="0"/>
    <s v="NO"/>
    <s v="NO"/>
    <s v="NO"/>
  </r>
  <r>
    <x v="1372"/>
    <s v="CG-526a"/>
    <x v="0"/>
    <s v="Reserva Recuperación Secundaria"/>
    <s v="No Posee"/>
    <x v="4"/>
    <s v="Cerro Grande Central"/>
    <x v="0"/>
    <s v="NO"/>
    <n v="0.13300000000000001"/>
    <n v="0"/>
  </r>
  <r>
    <x v="1373"/>
    <s v="LH-12"/>
    <x v="0"/>
    <s v="Abandono Permanente"/>
    <s v="No Posee"/>
    <x v="3"/>
    <s v="Las Heras Bloque 2"/>
    <x v="0"/>
    <s v="NO"/>
    <s v="NO"/>
    <s v="NO"/>
  </r>
  <r>
    <x v="1374"/>
    <s v="LH-385"/>
    <x v="0"/>
    <s v="En Estudio"/>
    <s v="No Posee"/>
    <x v="4"/>
    <s v="Las Heras Central Sur"/>
    <x v="0"/>
    <s v="NO"/>
    <s v="NO"/>
    <s v="NO"/>
  </r>
  <r>
    <x v="1375"/>
    <s v="LH-701"/>
    <x v="0"/>
    <s v="Produciendo"/>
    <s v="Pistoneo"/>
    <x v="1"/>
    <s v="Las Heras Bloque 2"/>
    <x v="0"/>
    <s v="NO"/>
    <n v="0.10400000000000001"/>
    <n v="0"/>
  </r>
  <r>
    <x v="1376"/>
    <s v="LH-875"/>
    <x v="0"/>
    <s v="Abandono Permanente"/>
    <s v="No Posee"/>
    <x v="3"/>
    <s v="Las Heras Las Heras Bloque 3"/>
    <x v="0"/>
    <s v="NO"/>
    <n v="0"/>
    <n v="0"/>
  </r>
  <r>
    <x v="1377"/>
    <s v="CG-270"/>
    <x v="0"/>
    <s v="Reserva Recuperación Secundaria"/>
    <s v="No Posee"/>
    <x v="4"/>
    <s v="Barranca Baya Cerro Grande Norte"/>
    <x v="0"/>
    <s v="NO"/>
    <s v="NO"/>
    <s v="NO"/>
  </r>
  <r>
    <x v="1378"/>
    <s v="CG-301"/>
    <x v="0"/>
    <s v="Espera Equipo Reparación"/>
    <s v="Inyección"/>
    <x v="4"/>
    <s v="Cerro Grande Central"/>
    <x v="0"/>
    <s v="NO"/>
    <n v="0"/>
    <n v="0"/>
  </r>
  <r>
    <x v="1379"/>
    <s v="CG-424"/>
    <x v="0"/>
    <s v="Produciendo"/>
    <s v="Bombeo Mecánico"/>
    <x v="1"/>
    <s v="Cerro Grande Central"/>
    <x v="0"/>
    <s v="NO"/>
    <n v="1.254"/>
    <n v="0"/>
  </r>
  <r>
    <x v="1380"/>
    <s v="CG-466"/>
    <x v="0"/>
    <s v="Espera Equipo Reparación"/>
    <s v="Inyección"/>
    <x v="5"/>
    <s v="Barranca Baya Cerro Grande Norte"/>
    <x v="1"/>
    <s v="NO"/>
    <n v="0"/>
    <n v="0"/>
  </r>
  <r>
    <x v="1381"/>
    <s v="CnE-490"/>
    <x v="0"/>
    <s v="En Estudio"/>
    <s v="Pistoneo"/>
    <x v="5"/>
    <s v="Barranca Baya Bloque 36"/>
    <x v="1"/>
    <s v="NO"/>
    <n v="0.35800000000000004"/>
    <n v="0"/>
  </r>
  <r>
    <x v="1382"/>
    <s v="CnE-621"/>
    <x v="0"/>
    <s v="Produciendo"/>
    <s v="Electro Sumergible"/>
    <x v="1"/>
    <s v="Barranca Baya"/>
    <x v="0"/>
    <s v="NO"/>
    <n v="3.3000000000000002E-2"/>
    <n v="0"/>
  </r>
  <r>
    <x v="1383"/>
    <s v="CnE-768"/>
    <x v="0"/>
    <s v="En Estudio"/>
    <s v="Bombeo Mecánico"/>
    <x v="5"/>
    <s v="Barranca Baya Bloque 38"/>
    <x v="1"/>
    <s v="NO"/>
    <n v="0.05"/>
    <n v="0"/>
  </r>
  <r>
    <x v="1384"/>
    <s v="BB-62"/>
    <x v="0"/>
    <s v="Produciendo"/>
    <s v="Bombeo Mecánico"/>
    <x v="1"/>
    <s v="Barranca Baya"/>
    <x v="0"/>
    <s v="NO"/>
    <n v="4.1669999999999998"/>
    <n v="0"/>
  </r>
  <r>
    <x v="1385"/>
    <s v="BB-102"/>
    <x v="0"/>
    <s v="En Estudio"/>
    <s v="Pistoneo"/>
    <x v="5"/>
    <s v="Barranca Baya"/>
    <x v="1"/>
    <s v="NO"/>
    <n v="0.192"/>
    <n v="0"/>
  </r>
  <r>
    <x v="1386"/>
    <s v="LH-8"/>
    <x v="0"/>
    <s v="Reserva Recuperación Secundaria"/>
    <s v="Pistoneo"/>
    <x v="4"/>
    <s v="Las Heras Central Sur"/>
    <x v="0"/>
    <s v="NO"/>
    <n v="0.16500000000000001"/>
    <n v="0"/>
  </r>
  <r>
    <x v="1387"/>
    <s v="LH-588"/>
    <x v="0"/>
    <s v="Produciendo"/>
    <s v="Inyección"/>
    <x v="1"/>
    <s v="Las Heras Central Sur"/>
    <x v="0"/>
    <s v="NO"/>
    <n v="0"/>
    <n v="0"/>
  </r>
  <r>
    <x v="1388"/>
    <s v="LH-70"/>
    <x v="0"/>
    <s v="Reserva Recuperación Secundaria"/>
    <s v="Pistoneo"/>
    <x v="4"/>
    <s v="Las Heras Central Sur"/>
    <x v="0"/>
    <s v="NO"/>
    <n v="0.35500000000000004"/>
    <n v="0"/>
  </r>
  <r>
    <x v="1389"/>
    <s v="CG-143"/>
    <x v="0"/>
    <s v="En Estudio"/>
    <s v="No Posee"/>
    <x v="5"/>
    <s v="Cerro Grande Central"/>
    <x v="1"/>
    <s v="NO"/>
    <n v="0.96"/>
    <n v="0"/>
  </r>
  <r>
    <x v="1390"/>
    <s v="CG-116"/>
    <x v="0"/>
    <s v="Produciendo"/>
    <s v="Bombeo Mecánico"/>
    <x v="1"/>
    <s v="Barranca Baya Bloque 26"/>
    <x v="0"/>
    <s v="NO"/>
    <n v="1.125"/>
    <n v="0"/>
  </r>
  <r>
    <x v="1391"/>
    <s v="LH-982a"/>
    <x v="0"/>
    <s v="Abandono Permanente"/>
    <s v="No Posee"/>
    <x v="3"/>
    <s v="Las Heras Central Sur"/>
    <x v="0"/>
    <s v="NO"/>
    <n v="0.28300000000000003"/>
    <n v="0"/>
  </r>
  <r>
    <x v="1392"/>
    <s v="CG-529a"/>
    <x v="0"/>
    <s v="Reserva Recuperación Secundaria"/>
    <s v="Pistoneo"/>
    <x v="4"/>
    <s v="Cerro Grande Central"/>
    <x v="0"/>
    <s v="NO"/>
    <n v="0.10700000000000001"/>
    <n v="0"/>
  </r>
  <r>
    <x v="1393"/>
    <s v="LH-1002a"/>
    <x v="0"/>
    <s v="Produciendo"/>
    <s v="Inyección"/>
    <x v="1"/>
    <s v="Las Heras Central Sur"/>
    <x v="0"/>
    <s v="NO"/>
    <n v="0"/>
    <n v="0"/>
  </r>
  <r>
    <x v="1394"/>
    <s v="LH-1083a"/>
    <x v="0"/>
    <s v="Reserva Recuperación Secundaria"/>
    <s v="Pistoneo"/>
    <x v="4"/>
    <s v="Las Heras Central Sur"/>
    <x v="0"/>
    <s v="NO"/>
    <n v="0.12200000000000001"/>
    <n v="0"/>
  </r>
  <r>
    <x v="1395"/>
    <s v="LH-1086a"/>
    <x v="0"/>
    <s v="Produciendo"/>
    <s v="Bombeo Mecánico"/>
    <x v="1"/>
    <s v="Las Heras Central Sur"/>
    <x v="0"/>
    <s v="NO"/>
    <n v="0.98100000000000009"/>
    <n v="0"/>
  </r>
  <r>
    <x v="1396"/>
    <s v="CnE-930a"/>
    <x v="0"/>
    <s v="Abandono Permanente"/>
    <s v="No Posee"/>
    <x v="3"/>
    <s v="Barranca Baya Bloque 36"/>
    <x v="0"/>
    <s v="NO"/>
    <s v="NO"/>
    <s v="NO"/>
  </r>
  <r>
    <x v="1397"/>
    <s v="BB-109"/>
    <x v="0"/>
    <s v="Espera Equipo Reparación"/>
    <s v="Bombeo Mecánico"/>
    <x v="5"/>
    <s v="Barranca Baya"/>
    <x v="1"/>
    <s v="NO"/>
    <n v="0.46700000000000003"/>
    <n v="0"/>
  </r>
  <r>
    <x v="1398"/>
    <s v="CG-820"/>
    <x v="0"/>
    <s v="Produciendo"/>
    <s v="Bombeo Mecánico"/>
    <x v="1"/>
    <s v="Cerro Grande Central"/>
    <x v="0"/>
    <s v="NO"/>
    <n v="2.173"/>
    <n v="0"/>
  </r>
  <r>
    <x v="1399"/>
    <s v="BB-121"/>
    <x v="0"/>
    <s v="En Estudio"/>
    <s v="Inyección"/>
    <x v="4"/>
    <s v="Barranca Baya"/>
    <x v="0"/>
    <s v="NO"/>
    <n v="0"/>
    <n v="0"/>
  </r>
  <r>
    <x v="1400"/>
    <s v="LH-1239"/>
    <x v="0"/>
    <s v="Espera Equipo Reparación"/>
    <s v="No Posee"/>
    <x v="8"/>
    <s v="Las Heras Cerro Grande Sur"/>
    <x v="1"/>
    <s v="Oportunidad"/>
    <n v="1.3680000000000001"/>
    <n v="0"/>
  </r>
  <r>
    <x v="1401"/>
    <s v="CnE-1342"/>
    <x v="0"/>
    <s v="Espera Equipo Reparación"/>
    <s v="Bombeo Mecánico"/>
    <x v="5"/>
    <s v="Barranca Baya Bloque 37"/>
    <x v="1"/>
    <s v="NO"/>
    <n v="0.252"/>
    <n v="0"/>
  </r>
  <r>
    <x v="1402"/>
    <s v="CnE-1414"/>
    <x v="0"/>
    <s v="Produciendo"/>
    <s v="Bombeo Mecánico"/>
    <x v="1"/>
    <s v="Barranca Baya Bloque 30"/>
    <x v="0"/>
    <s v="NO"/>
    <n v="1.5"/>
    <n v="0"/>
  </r>
  <r>
    <x v="1403"/>
    <s v="CnE-1386"/>
    <x v="0"/>
    <s v="Espera Equipo Reparación"/>
    <s v="Bombeo Mecánico"/>
    <x v="5"/>
    <s v="Barranca Baya Bloque 30"/>
    <x v="1"/>
    <s v="NO"/>
    <n v="0.36"/>
    <n v="0"/>
  </r>
  <r>
    <x v="1404"/>
    <s v="LH-1131a"/>
    <x v="0"/>
    <s v="Produciendo"/>
    <s v="Bombeo Mecánico"/>
    <x v="1"/>
    <s v="Las Heras Las Heras Bloque 3"/>
    <x v="0"/>
    <s v="NO"/>
    <n v="0.311"/>
    <n v="0"/>
  </r>
  <r>
    <x v="1405"/>
    <s v="CG-605a"/>
    <x v="0"/>
    <s v="Produciendo"/>
    <s v="Electro Sumergible"/>
    <x v="1"/>
    <s v="Cerro Grande Central"/>
    <x v="0"/>
    <s v="NO"/>
    <n v="2"/>
    <n v="0"/>
  </r>
  <r>
    <x v="1406"/>
    <s v="CnE-1127"/>
    <x v="0"/>
    <s v="Produciendo"/>
    <s v="Bombeo Mecánico"/>
    <x v="1"/>
    <s v="Barranca Baya Bloque 36"/>
    <x v="0"/>
    <s v="NO"/>
    <n v="1.6500000000000001"/>
    <n v="0"/>
  </r>
  <r>
    <x v="1407"/>
    <s v="CG-750"/>
    <x v="0"/>
    <s v="Produciendo"/>
    <s v="Bombeo Mecánico"/>
    <x v="1"/>
    <s v="Cerro Grande Central"/>
    <x v="0"/>
    <s v="NO"/>
    <n v="0.88400000000000001"/>
    <n v="0"/>
  </r>
  <r>
    <x v="1408"/>
    <s v="CG.a-812"/>
    <x v="0"/>
    <s v="Reserva Recuperación Secundaria"/>
    <s v="Bombeo Mecánico"/>
    <x v="4"/>
    <s v="Cerro Grande Central"/>
    <x v="0"/>
    <s v="NO"/>
    <n v="1.24"/>
    <n v="0"/>
  </r>
  <r>
    <x v="1409"/>
    <s v="CnE-1194"/>
    <x v="0"/>
    <s v="Produciendo"/>
    <s v="Pistoneo"/>
    <x v="1"/>
    <s v="Barranca Baya Bloque 38"/>
    <x v="0"/>
    <s v="NO"/>
    <n v="9.6000000000000002E-2"/>
    <n v="0"/>
  </r>
  <r>
    <x v="1410"/>
    <s v="LH-1248"/>
    <x v="0"/>
    <s v="Produciendo"/>
    <s v="Inyección"/>
    <x v="1"/>
    <s v="Las Heras Las Heras Bloque 3"/>
    <x v="0"/>
    <s v="NO"/>
    <n v="0"/>
    <n v="0"/>
  </r>
  <r>
    <x v="1411"/>
    <s v="LH-1260"/>
    <x v="0"/>
    <s v="Produciendo"/>
    <s v="Bombeo Mecánico"/>
    <x v="1"/>
    <s v="Las Heras Central Sur"/>
    <x v="0"/>
    <s v="NO"/>
    <n v="0.81200000000000006"/>
    <n v="0"/>
  </r>
  <r>
    <x v="1412"/>
    <s v="CnE-1384"/>
    <x v="0"/>
    <s v="Espera Equipo Reparación"/>
    <s v="Electro Sumergible"/>
    <x v="6"/>
    <s v="Barranca Baya Bloque 30"/>
    <x v="0"/>
    <s v="Oportunidad"/>
    <n v="1.2"/>
    <s v="Ultimo Año"/>
  </r>
  <r>
    <x v="1413"/>
    <s v="CnE-1421a"/>
    <x v="0"/>
    <s v="Produciendo"/>
    <s v="Bombeo Mecánico"/>
    <x v="1"/>
    <s v="Barranca Baya Bloque 30"/>
    <x v="0"/>
    <s v="NO"/>
    <n v="2.7600000000000002"/>
    <n v="0"/>
  </r>
  <r>
    <x v="1414"/>
    <s v="CG-983a"/>
    <x v="0"/>
    <s v="Produciendo"/>
    <s v="Bombeo Mecánico"/>
    <x v="1"/>
    <m/>
    <x v="0"/>
    <s v="NO"/>
    <n v="4.6399999999999997"/>
    <n v="0"/>
  </r>
  <r>
    <x v="1415"/>
    <s v="CnE-1432"/>
    <x v="0"/>
    <s v="Espera Equipo Reparación"/>
    <s v="Bombeo Mecánico"/>
    <x v="2"/>
    <s v="Barranca Baya Bloque 30"/>
    <x v="0"/>
    <s v="NO"/>
    <n v="0.3"/>
    <s v="Ultimo Año"/>
  </r>
  <r>
    <x v="1416"/>
    <s v="CnE-1125"/>
    <x v="0"/>
    <s v="Produciendo"/>
    <s v="Bombeo Mecánico"/>
    <x v="1"/>
    <s v="Barranca Baya Bloque 36"/>
    <x v="0"/>
    <s v="NO"/>
    <n v="0.72"/>
    <n v="0"/>
  </r>
  <r>
    <x v="1417"/>
    <s v="LH-1234"/>
    <x v="0"/>
    <s v="Produciendo"/>
    <s v="Bombeo Mecánico"/>
    <x v="1"/>
    <s v="Las Heras Central Sur"/>
    <x v="0"/>
    <s v="NO"/>
    <n v="0.17100000000000001"/>
    <n v="0"/>
  </r>
  <r>
    <x v="1418"/>
    <s v="CnE-1227(d)a"/>
    <x v="0"/>
    <s v="En Estudio"/>
    <s v="Pistoneo"/>
    <x v="5"/>
    <s v="Barranca Baya Bloque 36"/>
    <x v="1"/>
    <s v="NO"/>
    <n v="4.8000000000000001E-2"/>
    <n v="0"/>
  </r>
  <r>
    <x v="1419"/>
    <s v="CnE-1240"/>
    <x v="0"/>
    <s v="Produciendo"/>
    <s v="Bombeo Mecánico"/>
    <x v="1"/>
    <s v="Barranca Baya Bloque 36"/>
    <x v="0"/>
    <s v="NO"/>
    <n v="2.3180000000000001"/>
    <n v="0"/>
  </r>
  <r>
    <x v="1420"/>
    <s v="CnE-1237"/>
    <x v="0"/>
    <s v="Reserva Recuperación Secundaria"/>
    <s v="Pistoneo"/>
    <x v="4"/>
    <s v="Barranca Baya Bloque 40"/>
    <x v="0"/>
    <s v="NO"/>
    <n v="0.192"/>
    <n v="0"/>
  </r>
  <r>
    <x v="1421"/>
    <s v="LH-1247"/>
    <x v="0"/>
    <s v="Produciendo"/>
    <s v="Bombeo Mecánico"/>
    <x v="1"/>
    <s v="Las Heras Central Sur"/>
    <x v="0"/>
    <s v="NO"/>
    <n v="1.1760000000000002"/>
    <n v="0"/>
  </r>
  <r>
    <x v="1422"/>
    <s v="CG-727"/>
    <x v="0"/>
    <s v="Produciendo"/>
    <s v="Bombeo Mecánico"/>
    <x v="1"/>
    <s v="Cerro Grande Central"/>
    <x v="0"/>
    <s v="NO"/>
    <n v="0.51600000000000001"/>
    <n v="0"/>
  </r>
  <r>
    <x v="1423"/>
    <s v="CG-765"/>
    <x v="0"/>
    <s v="Produciendo"/>
    <s v="Bombeo Mecánico"/>
    <x v="1"/>
    <s v="Cerro Grande Central"/>
    <x v="0"/>
    <s v="NO"/>
    <n v="0.67200000000000004"/>
    <n v="0"/>
  </r>
  <r>
    <x v="1424"/>
    <s v="CG-798"/>
    <x v="0"/>
    <s v="Produciendo"/>
    <s v="Bombeo Mecánico"/>
    <x v="1"/>
    <s v="Cerro Grande Central"/>
    <x v="0"/>
    <s v="NO"/>
    <n v="0.70000000000000007"/>
    <n v="0"/>
  </r>
  <r>
    <x v="1425"/>
    <s v="CnE.a-1282"/>
    <x v="0"/>
    <s v="Reserva Recuperación Secundaria"/>
    <s v="Bombeo Mecánico"/>
    <x v="4"/>
    <s v="Barranca Baya Bloque 36"/>
    <x v="0"/>
    <s v="NO"/>
    <n v="0.2"/>
    <n v="0"/>
  </r>
  <r>
    <x v="1426"/>
    <s v="CnE-1345"/>
    <x v="0"/>
    <s v="Espera Equipo Reparación"/>
    <s v="Bombeo Mecánico"/>
    <x v="0"/>
    <s v="Barranca Baya Bloque 37"/>
    <x v="0"/>
    <s v="NO"/>
    <n v="0.49500000000000005"/>
    <s v="Ultimos 6 meses"/>
  </r>
  <r>
    <x v="1427"/>
    <s v="CnE-1393a"/>
    <x v="0"/>
    <s v="Produciendo"/>
    <s v="Bombeo Mecánico"/>
    <x v="1"/>
    <s v="Barranca Baya Bloque 37"/>
    <x v="0"/>
    <s v="NO"/>
    <n v="5.8000000000000003E-2"/>
    <n v="0"/>
  </r>
  <r>
    <x v="1428"/>
    <s v="CnE-1413a"/>
    <x v="0"/>
    <s v="Produciendo"/>
    <s v="Bombeo Mecánico"/>
    <x v="1"/>
    <s v="Barranca Baya Bloque 36"/>
    <x v="0"/>
    <s v="NO"/>
    <n v="1.6"/>
    <n v="0"/>
  </r>
  <r>
    <x v="1429"/>
    <s v="BB-160"/>
    <x v="0"/>
    <s v="Produciendo"/>
    <s v="Bombeo Mecánico"/>
    <x v="1"/>
    <s v="Barranca Baya"/>
    <x v="0"/>
    <s v="NO"/>
    <n v="2.9"/>
    <n v="0"/>
  </r>
  <r>
    <x v="1430"/>
    <s v="CG-784"/>
    <x v="0"/>
    <s v="Produciendo"/>
    <s v="Bombeo Mecánico"/>
    <x v="1"/>
    <s v="Cerro Grande Central"/>
    <x v="0"/>
    <s v="NO"/>
    <n v="1.1760000000000002"/>
    <n v="0"/>
  </r>
  <r>
    <x v="1431"/>
    <s v="CnE.a-1096"/>
    <x v="0"/>
    <s v="En Estudio"/>
    <s v="Bombeo Mecánico"/>
    <x v="5"/>
    <s v="Barranca Baya Bloque 37"/>
    <x v="1"/>
    <s v="NO"/>
    <n v="0.253"/>
    <n v="0"/>
  </r>
  <r>
    <x v="1432"/>
    <s v="CG-725"/>
    <x v="0"/>
    <s v="Produciendo"/>
    <s v="Bombeo Mecánico"/>
    <x v="1"/>
    <s v="Cerro Grande Central"/>
    <x v="0"/>
    <s v="NO"/>
    <n v="2.08"/>
    <n v="0"/>
  </r>
  <r>
    <x v="1433"/>
    <s v="BB-116"/>
    <x v="0"/>
    <s v="Reserva Recuperación Secundaria"/>
    <s v="Pistoneo"/>
    <x v="2"/>
    <s v="Barranca Baya"/>
    <x v="0"/>
    <s v="NO"/>
    <n v="0.01"/>
    <s v="Ultimo Año"/>
  </r>
  <r>
    <x v="1434"/>
    <s v="CG-822"/>
    <x v="0"/>
    <s v="Espera Equipo Reparación"/>
    <s v="Bombeo Mecánico"/>
    <x v="5"/>
    <s v="Cerro Grande Central"/>
    <x v="1"/>
    <s v="NO"/>
    <n v="3.5"/>
    <s v="Ultimo Año"/>
  </r>
  <r>
    <x v="1435"/>
    <s v="CnE-1186"/>
    <x v="0"/>
    <s v="Produciendo"/>
    <s v="Inyección"/>
    <x v="1"/>
    <s v="Barranca Baya Bloque 37"/>
    <x v="0"/>
    <s v="NO"/>
    <n v="0"/>
    <n v="0"/>
  </r>
  <r>
    <x v="1436"/>
    <s v="CnE-1226"/>
    <x v="0"/>
    <s v="Reserva Recuperación Secundaria"/>
    <s v="Bombeo Mecánico"/>
    <x v="4"/>
    <s v="Barranca Baya Bloque 36"/>
    <x v="0"/>
    <s v="NO"/>
    <n v="0.4"/>
    <n v="0"/>
  </r>
  <r>
    <x v="1437"/>
    <s v="CnE-1300"/>
    <x v="0"/>
    <s v="Abandono Permanente"/>
    <s v="No Posee"/>
    <x v="3"/>
    <s v="Barranca Baya Bloque 36"/>
    <x v="0"/>
    <s v="NO"/>
    <n v="4"/>
    <n v="0"/>
  </r>
  <r>
    <x v="1438"/>
    <s v="BB-143(d)"/>
    <x v="0"/>
    <s v="Produciendo"/>
    <s v="Bombeo Mecánico"/>
    <x v="1"/>
    <s v="Barranca Baya"/>
    <x v="0"/>
    <s v="NO"/>
    <n v="1.32"/>
    <n v="0"/>
  </r>
  <r>
    <x v="1439"/>
    <s v="CnE-1280"/>
    <x v="0"/>
    <s v="Produciendo"/>
    <s v="Inyección"/>
    <x v="1"/>
    <s v="Barranca Baya Bloque 30"/>
    <x v="0"/>
    <s v="NO"/>
    <n v="0"/>
    <n v="0"/>
  </r>
  <r>
    <x v="1440"/>
    <s v="LC-983a"/>
    <x v="0"/>
    <s v="Produciendo"/>
    <s v="Bombeo Mecánico"/>
    <x v="1"/>
    <s v="Cerro Grande Noreste"/>
    <x v="0"/>
    <s v="NO"/>
    <n v="1.4000000000000001"/>
    <n v="0"/>
  </r>
  <r>
    <x v="1441"/>
    <s v="CG-905"/>
    <x v="0"/>
    <s v="Produciendo"/>
    <s v="Bombeo Mecánico"/>
    <x v="1"/>
    <s v="Barranca Baya Bloque 26"/>
    <x v="0"/>
    <s v="NO"/>
    <n v="1.8"/>
    <n v="0"/>
  </r>
  <r>
    <x v="1442"/>
    <s v="CG-580a"/>
    <x v="0"/>
    <s v="Produciendo"/>
    <s v="Pistoneo"/>
    <x v="1"/>
    <s v="Cerro Grande Central"/>
    <x v="0"/>
    <s v="NO"/>
    <n v="0.10400000000000001"/>
    <n v="0"/>
  </r>
  <r>
    <x v="1443"/>
    <s v="LH-1145a"/>
    <x v="0"/>
    <s v="Produciendo"/>
    <s v="Inyección"/>
    <x v="1"/>
    <s v="Las Heras Central Sur"/>
    <x v="0"/>
    <s v="NO"/>
    <n v="0"/>
    <n v="0"/>
  </r>
  <r>
    <x v="1444"/>
    <s v="CnE-1310(d)"/>
    <x v="0"/>
    <s v="Espera Equipo Reparación"/>
    <s v="Bombeo Mecánico"/>
    <x v="5"/>
    <s v="Barranca Baya Bloque 30"/>
    <x v="1"/>
    <s v="NO"/>
    <n v="0.6"/>
    <s v="Ultimo Año"/>
  </r>
  <r>
    <x v="1445"/>
    <s v="CnE-1311"/>
    <x v="0"/>
    <s v="Espera Equipo Reparación"/>
    <s v="Bombeo Mecánico"/>
    <x v="5"/>
    <s v="Barranca Baya Bloque 30"/>
    <x v="1"/>
    <s v="NO"/>
    <n v="0.09"/>
    <n v="0"/>
  </r>
  <r>
    <x v="1446"/>
    <s v="CG-953(d)"/>
    <x v="0"/>
    <s v="Reserva Recuperación Secundaria"/>
    <s v="Bombeo Mecánico"/>
    <x v="4"/>
    <s v="Barranca Baya Bloque 26"/>
    <x v="0"/>
    <s v="NO"/>
    <n v="0.57600000000000007"/>
    <n v="0"/>
  </r>
  <r>
    <x v="1447"/>
    <s v="CnE-156"/>
    <x v="0"/>
    <s v="Produciendo"/>
    <s v="Inyección"/>
    <x v="1"/>
    <s v="Barranca Baya Bloque 26"/>
    <x v="0"/>
    <s v="NO"/>
    <n v="0"/>
    <n v="0"/>
  </r>
  <r>
    <x v="1448"/>
    <s v="CnE-196"/>
    <x v="0"/>
    <s v="Reserva Recuperación Secundaria"/>
    <s v="Inyección"/>
    <x v="4"/>
    <s v="Barranca Baya Bloque 30"/>
    <x v="0"/>
    <s v="NO"/>
    <n v="0"/>
    <n v="0"/>
  </r>
  <r>
    <x v="1449"/>
    <s v="CnE-349"/>
    <x v="0"/>
    <s v="Abandono Permanente"/>
    <s v="No Posee"/>
    <x v="3"/>
    <s v="Barranca Baya Bloque 36"/>
    <x v="0"/>
    <s v="NO"/>
    <n v="0"/>
    <n v="0"/>
  </r>
  <r>
    <x v="1450"/>
    <s v="CnE-471"/>
    <x v="0"/>
    <s v="Produciendo"/>
    <s v="Inyección"/>
    <x v="1"/>
    <s v="Barranca Baya Bloque 38"/>
    <x v="0"/>
    <s v="NO"/>
    <n v="0"/>
    <n v="0"/>
  </r>
  <r>
    <x v="1451"/>
    <s v="CnE-484"/>
    <x v="0"/>
    <s v="En Estudio"/>
    <s v="Electro Sumergible"/>
    <x v="5"/>
    <s v="Barranca Baya Bloque 36"/>
    <x v="1"/>
    <s v="NO"/>
    <n v="0"/>
    <n v="0"/>
  </r>
  <r>
    <x v="1452"/>
    <s v="CnE-686"/>
    <x v="0"/>
    <s v="Abandono Permanente"/>
    <s v="No Posee"/>
    <x v="3"/>
    <s v="Barranca Baya Bloque 38"/>
    <x v="0"/>
    <s v="NO"/>
    <n v="0.6"/>
    <n v="0"/>
  </r>
  <r>
    <x v="1453"/>
    <s v="CnE-814"/>
    <x v="0"/>
    <s v="Reserva Recuperación Secundaria"/>
    <s v="Pistoneo"/>
    <x v="2"/>
    <s v="Barranca Baya Bloque 37"/>
    <x v="0"/>
    <s v="NO"/>
    <n v="0.01"/>
    <s v="Ultimo Año"/>
  </r>
  <r>
    <x v="1454"/>
    <s v="CES-4"/>
    <x v="0"/>
    <s v="En Estudio"/>
    <s v="No Posee"/>
    <x v="6"/>
    <s v="Barranca Baya Bloque 40"/>
    <x v="0"/>
    <s v="Oportunidad"/>
    <n v="1.19"/>
    <n v="0"/>
  </r>
  <r>
    <x v="1455"/>
    <s v="CnE-29(I)"/>
    <x v="0"/>
    <s v="Produciendo"/>
    <s v="Bombeo Mecánico"/>
    <x v="1"/>
    <s v="Barranca Baya Bloque 26"/>
    <x v="0"/>
    <s v="NO"/>
    <n v="1.56"/>
    <n v="0"/>
  </r>
  <r>
    <x v="1456"/>
    <s v="CnE-32"/>
    <x v="0"/>
    <s v="Reserva Recuperación Secundaria"/>
    <s v="No Posee"/>
    <x v="4"/>
    <s v="Barranca Baya Bloque 30"/>
    <x v="0"/>
    <s v="NO"/>
    <n v="0.3"/>
    <n v="0"/>
  </r>
  <r>
    <x v="1457"/>
    <s v="CnE-48"/>
    <x v="0"/>
    <s v="Abandono Permanente"/>
    <s v="No Posee"/>
    <x v="3"/>
    <s v="Barranca Baya Bloque 36"/>
    <x v="0"/>
    <s v="NO"/>
    <s v="NO"/>
    <s v="NO"/>
  </r>
  <r>
    <x v="1458"/>
    <s v="CnE-855"/>
    <x v="0"/>
    <s v="Produciendo"/>
    <s v="Inyección"/>
    <x v="1"/>
    <s v="Barranca Baya Bloque 30"/>
    <x v="0"/>
    <s v="NO"/>
    <n v="0"/>
    <n v="0"/>
  </r>
  <r>
    <x v="1459"/>
    <s v="CnE-567"/>
    <x v="0"/>
    <s v="Abandono Permanente"/>
    <s v="No Posee"/>
    <x v="3"/>
    <s v="Barranca Baya Bloque 37"/>
    <x v="0"/>
    <s v="NO"/>
    <s v="NO"/>
    <s v="NO"/>
  </r>
  <r>
    <x v="1460"/>
    <s v="LH-101"/>
    <x v="0"/>
    <s v="Abandono Permanente"/>
    <s v="No Posee"/>
    <x v="3"/>
    <s v="Las Heras Las Heras Bloque 3"/>
    <x v="0"/>
    <s v="NO"/>
    <n v="0"/>
    <n v="0"/>
  </r>
  <r>
    <x v="1461"/>
    <s v="LH-262"/>
    <x v="0"/>
    <s v="Abandono Permanente"/>
    <s v="No Posee"/>
    <x v="3"/>
    <s v="Las Heras Central Sur"/>
    <x v="0"/>
    <s v="NO"/>
    <s v="NO"/>
    <s v="NO"/>
  </r>
  <r>
    <x v="1462"/>
    <s v="LH-401"/>
    <x v="0"/>
    <s v="Abandono Permanente"/>
    <s v="No Posee"/>
    <x v="3"/>
    <s v="Las Heras Bloque 2"/>
    <x v="0"/>
    <s v="NO"/>
    <s v="NO"/>
    <s v="NO"/>
  </r>
  <r>
    <x v="1463"/>
    <s v="LH-436"/>
    <x v="0"/>
    <s v="Reserva Recuperación Secundaria"/>
    <s v="Pistoneo"/>
    <x v="4"/>
    <s v="Las Heras Central Sur"/>
    <x v="0"/>
    <s v="NO"/>
    <n v="6.9000000000000006E-2"/>
    <n v="0"/>
  </r>
  <r>
    <x v="1464"/>
    <s v="CG-141"/>
    <x v="0"/>
    <s v="Reserva Recuperación Secundaria"/>
    <s v="No Posee"/>
    <x v="4"/>
    <s v="Cerro Grande Central"/>
    <x v="0"/>
    <s v="NO"/>
    <s v="NO"/>
    <s v="NO"/>
  </r>
  <r>
    <x v="1465"/>
    <s v="CG-9"/>
    <x v="0"/>
    <s v="Abandono Permanente"/>
    <s v="No Posee"/>
    <x v="3"/>
    <s v="Barranca Baya Cerro Grande Noroeste"/>
    <x v="0"/>
    <s v="NO"/>
    <s v="NO"/>
    <s v="NO"/>
  </r>
  <r>
    <x v="1466"/>
    <s v="CG-84"/>
    <x v="0"/>
    <s v="Reserva Recuperación Secundaria"/>
    <s v="Bombeo Mecánico"/>
    <x v="4"/>
    <s v="Barranca Baya Bloque 26"/>
    <x v="0"/>
    <s v="NO"/>
    <n v="0.16"/>
    <n v="0"/>
  </r>
  <r>
    <x v="1467"/>
    <s v="CG-101"/>
    <x v="0"/>
    <s v="Produciendo"/>
    <s v="Bombeo Mecánico"/>
    <x v="1"/>
    <s v="Barranca Baya Bloque 26"/>
    <x v="0"/>
    <s v="NO"/>
    <n v="1.32"/>
    <n v="0"/>
  </r>
  <r>
    <x v="1468"/>
    <s v="CG-612a"/>
    <x v="0"/>
    <s v="Produciendo"/>
    <s v="Bombeo Mecánico"/>
    <x v="1"/>
    <s v="Cerro Grande Central"/>
    <x v="0"/>
    <s v="NO"/>
    <n v="3.5"/>
    <n v="0"/>
  </r>
  <r>
    <x v="1469"/>
    <s v="CnE-970"/>
    <x v="0"/>
    <s v="Produciendo"/>
    <s v="Bombeo Mecánico"/>
    <x v="1"/>
    <s v="Barranca Baya Bloque 36"/>
    <x v="0"/>
    <s v="NO"/>
    <n v="1.8"/>
    <n v="0"/>
  </r>
  <r>
    <x v="1470"/>
    <s v="CG-769"/>
    <x v="0"/>
    <s v="Produciendo"/>
    <s v="Bombeo Mecánico"/>
    <x v="1"/>
    <s v="Cerro Grande Central"/>
    <x v="0"/>
    <s v="NO"/>
    <n v="2.2000000000000002"/>
    <n v="0"/>
  </r>
  <r>
    <x v="1471"/>
    <s v="CG-810"/>
    <x v="0"/>
    <s v="Reserva Recuperación Secundaria"/>
    <s v="Pistoneo"/>
    <x v="4"/>
    <s v="Cerro Grande Central"/>
    <x v="0"/>
    <s v="NO"/>
    <n v="9.7000000000000003E-2"/>
    <n v="0"/>
  </r>
  <r>
    <x v="1472"/>
    <s v="CG-830"/>
    <x v="0"/>
    <s v="Produciendo"/>
    <s v="Bombeo Mecánico"/>
    <x v="1"/>
    <s v="Cerro Grande Central"/>
    <x v="0"/>
    <s v="NO"/>
    <n v="1.26"/>
    <n v="0"/>
  </r>
  <r>
    <x v="1473"/>
    <s v="CnE-1246(d)"/>
    <x v="0"/>
    <s v="Produciendo"/>
    <s v="Bombeo Mecánico"/>
    <x v="1"/>
    <s v="Barranca Baya Bloque 30"/>
    <x v="0"/>
    <s v="NO"/>
    <n v="7.7"/>
    <n v="0"/>
  </r>
  <r>
    <x v="1474"/>
    <s v="CnE-1270a"/>
    <x v="0"/>
    <s v="Produciendo"/>
    <s v="Bombeo Mecánico"/>
    <x v="1"/>
    <s v="Barranca Baya Bloque 30"/>
    <x v="0"/>
    <s v="NO"/>
    <n v="1.2"/>
    <n v="0"/>
  </r>
  <r>
    <x v="1475"/>
    <s v="CnE-1239"/>
    <x v="0"/>
    <s v="Parado Alta Rap"/>
    <s v="Bombeo Mecánico"/>
    <x v="5"/>
    <s v="Barranca Baya Bloque 36"/>
    <x v="1"/>
    <s v="NO"/>
    <n v="0.55000000000000004"/>
    <n v="0"/>
  </r>
  <r>
    <x v="1476"/>
    <s v="CnE-1319"/>
    <x v="0"/>
    <s v="Reserva Recuperación Secundaria"/>
    <s v="Bombeo Mecánico"/>
    <x v="4"/>
    <s v="Barranca Baya Bloque 36"/>
    <x v="0"/>
    <s v="NO"/>
    <n v="1.17"/>
    <n v="0"/>
  </r>
  <r>
    <x v="1477"/>
    <s v="CnE-1329(d)"/>
    <x v="0"/>
    <s v="Reserva Recuperación Secundaria"/>
    <s v="Bombeo Mecánico"/>
    <x v="7"/>
    <s v="Barranca Baya Bloque 37"/>
    <x v="0"/>
    <s v="NO"/>
    <n v="2.1"/>
    <n v="0"/>
  </r>
  <r>
    <x v="1478"/>
    <s v="LH-135"/>
    <x v="0"/>
    <s v="Produciendo"/>
    <s v="Bombeo Mecánico"/>
    <x v="1"/>
    <s v="Las Heras Bloque 2"/>
    <x v="0"/>
    <s v="NO"/>
    <n v="2.42"/>
    <n v="0"/>
  </r>
  <r>
    <x v="1479"/>
    <s v="LH-214"/>
    <x v="0"/>
    <s v="Abandono Permanente"/>
    <s v="No Posee"/>
    <x v="3"/>
    <s v="Las Heras Bloque 2"/>
    <x v="0"/>
    <s v="NO"/>
    <n v="0"/>
    <n v="0"/>
  </r>
  <r>
    <x v="1480"/>
    <s v="LH-608"/>
    <x v="0"/>
    <s v="Reserva Recuperación Secundaria"/>
    <s v="Bombeo Mecánico"/>
    <x v="4"/>
    <s v="Las Heras Central Sur"/>
    <x v="0"/>
    <s v="NO"/>
    <n v="0.45400000000000001"/>
    <n v="0"/>
  </r>
  <r>
    <x v="1481"/>
    <s v="LH-632"/>
    <x v="0"/>
    <s v="En Estudio"/>
    <s v="Bombeo Mecánico"/>
    <x v="5"/>
    <s v="Las Heras Central Sur"/>
    <x v="1"/>
    <s v="NO"/>
    <n v="0.3"/>
    <n v="0"/>
  </r>
  <r>
    <x v="1482"/>
    <s v="LH-650"/>
    <x v="0"/>
    <s v="Produciendo"/>
    <s v="Inyección"/>
    <x v="1"/>
    <s v="Las Heras Central Sur"/>
    <x v="0"/>
    <s v="NO"/>
    <n v="0"/>
    <n v="0"/>
  </r>
  <r>
    <x v="1483"/>
    <s v="LH-717"/>
    <x v="0"/>
    <s v="Reserva Recuperación Secundaria"/>
    <s v="Inyección"/>
    <x v="4"/>
    <s v="Las Heras Central Sur"/>
    <x v="0"/>
    <s v="NO"/>
    <n v="0"/>
    <n v="0"/>
  </r>
  <r>
    <x v="1484"/>
    <s v="CG-90"/>
    <x v="0"/>
    <s v="Produciendo"/>
    <s v="Bombeo Mecánico"/>
    <x v="1"/>
    <s v="Barranca Baya Bloque 26"/>
    <x v="0"/>
    <s v="NO"/>
    <n v="2.52"/>
    <n v="0"/>
  </r>
  <r>
    <x v="1485"/>
    <s v="CG-150"/>
    <x v="0"/>
    <s v="Produciendo"/>
    <s v="Bombeo Mecánico"/>
    <x v="1"/>
    <s v="Barranca Baya Bloque 26"/>
    <x v="0"/>
    <s v="NO"/>
    <n v="3.68"/>
    <n v="0"/>
  </r>
  <r>
    <x v="1486"/>
    <s v="CG-218"/>
    <x v="0"/>
    <s v="Espera Equipo Reparación"/>
    <s v="Inyección"/>
    <x v="6"/>
    <s v="Barranca Baya Cerro Grande Norte"/>
    <x v="0"/>
    <s v="Oportunidad"/>
    <n v="0"/>
    <n v="0"/>
  </r>
  <r>
    <x v="1487"/>
    <s v="CG-414"/>
    <x v="0"/>
    <s v="Abandono Permanente"/>
    <s v="No Posee"/>
    <x v="3"/>
    <s v="Cerro Grande Central"/>
    <x v="0"/>
    <s v="NO"/>
    <n v="0"/>
    <n v="0"/>
  </r>
  <r>
    <x v="1488"/>
    <s v="CG-438"/>
    <x v="0"/>
    <s v="Produciendo"/>
    <s v="Inyección"/>
    <x v="1"/>
    <s v="Cerro Grande Noreste"/>
    <x v="0"/>
    <s v="NO"/>
    <n v="0"/>
    <n v="0"/>
  </r>
  <r>
    <x v="1489"/>
    <s v="CG-450"/>
    <x v="0"/>
    <s v="Produciendo"/>
    <s v="Bombeo Mecánico"/>
    <x v="1"/>
    <s v="Barranca Baya Bloque 26"/>
    <x v="0"/>
    <s v="NO"/>
    <n v="1.32"/>
    <n v="0"/>
  </r>
  <r>
    <x v="1490"/>
    <s v="ECa-4"/>
    <x v="0"/>
    <s v="Abandono Permanente"/>
    <s v="No Posee"/>
    <x v="3"/>
    <s v="Cerro Grande Noreste"/>
    <x v="0"/>
    <s v="NO"/>
    <n v="7.98"/>
    <n v="0"/>
  </r>
  <r>
    <x v="1491"/>
    <s v="CnE-215"/>
    <x v="0"/>
    <s v="En Estudio"/>
    <s v="Bombeo Mecánico"/>
    <x v="6"/>
    <s v="Barranca Baya Bloque 30"/>
    <x v="0"/>
    <s v="Oportunidad"/>
    <n v="1.47"/>
    <s v="Ultimos 6 meses"/>
  </r>
  <r>
    <x v="1492"/>
    <s v="CnE-449"/>
    <x v="0"/>
    <s v="Produciendo"/>
    <s v="Bombeo Mecánico"/>
    <x v="1"/>
    <s v="Barranca Baya Bloque 36"/>
    <x v="0"/>
    <s v="NO"/>
    <n v="0.15"/>
    <n v="0"/>
  </r>
  <r>
    <x v="1493"/>
    <s v="CnE-510"/>
    <x v="0"/>
    <s v="Produciendo"/>
    <s v="Bombeo Mecánico"/>
    <x v="1"/>
    <s v="Barranca Baya Bloque 37"/>
    <x v="0"/>
    <s v="NO"/>
    <n v="1.1880000000000002"/>
    <n v="0"/>
  </r>
  <r>
    <x v="1494"/>
    <s v="CnE-644"/>
    <x v="0"/>
    <s v="En Estudio"/>
    <s v="No Posee"/>
    <x v="5"/>
    <s v="Barranca Baya"/>
    <x v="1"/>
    <s v="NO"/>
    <n v="1.03"/>
    <n v="0"/>
  </r>
  <r>
    <x v="1495"/>
    <s v="CnE-676"/>
    <x v="0"/>
    <s v="Produciendo"/>
    <s v="Bombeo Mecánico"/>
    <x v="1"/>
    <s v="Barranca Baya Bloque 37"/>
    <x v="0"/>
    <s v="NO"/>
    <n v="5.6000000000000001E-2"/>
    <n v="0"/>
  </r>
  <r>
    <x v="1496"/>
    <s v="CnE-782"/>
    <x v="0"/>
    <s v="Produciendo"/>
    <s v="Pistoneo"/>
    <x v="1"/>
    <s v="Barranca Baya Bloque 37"/>
    <x v="0"/>
    <s v="NO"/>
    <n v="6.7000000000000004E-2"/>
    <n v="0"/>
  </r>
  <r>
    <x v="1497"/>
    <s v="CnE-797"/>
    <x v="0"/>
    <s v="Produciendo"/>
    <s v="Inyección"/>
    <x v="1"/>
    <s v="Barranca Baya Bloque 36"/>
    <x v="0"/>
    <s v="NO"/>
    <n v="0"/>
    <n v="0"/>
  </r>
  <r>
    <x v="1498"/>
    <s v="CnE-847"/>
    <x v="0"/>
    <s v="Produciendo"/>
    <s v="Inyección"/>
    <x v="1"/>
    <s v="Barranca Baya Bloque 36"/>
    <x v="0"/>
    <s v="NO"/>
    <n v="0"/>
    <n v="0"/>
  </r>
  <r>
    <x v="1499"/>
    <s v="BB-50"/>
    <x v="0"/>
    <s v="Reserva Recuperación Secundaria"/>
    <s v="Pistoneo"/>
    <x v="2"/>
    <s v="Barranca Baya"/>
    <x v="0"/>
    <s v="NO"/>
    <n v="1.9E-2"/>
    <s v="Ultimo Año"/>
  </r>
  <r>
    <x v="1500"/>
    <s v="BB-99"/>
    <x v="0"/>
    <s v="En Estudio"/>
    <s v="Surgente"/>
    <x v="5"/>
    <s v="Barranca Baya"/>
    <x v="1"/>
    <s v="NO"/>
    <n v="0.25"/>
    <n v="0"/>
  </r>
  <r>
    <x v="1501"/>
    <s v="BB-101"/>
    <x v="0"/>
    <s v="Produciendo"/>
    <s v="Pistoneo"/>
    <x v="1"/>
    <s v="Barranca Baya"/>
    <x v="0"/>
    <s v="NO"/>
    <n v="9.6000000000000002E-2"/>
    <n v="0"/>
  </r>
  <r>
    <x v="1502"/>
    <s v="CES-1"/>
    <x v="0"/>
    <s v="Reserva Recuperación Secundaria"/>
    <s v="Pistoneo"/>
    <x v="4"/>
    <s v="Barranca Baya Bloque 36"/>
    <x v="0"/>
    <s v="NO"/>
    <n v="2.9000000000000001E-2"/>
    <n v="0"/>
  </r>
  <r>
    <x v="1503"/>
    <s v="CnE-842(I)"/>
    <x v="0"/>
    <s v="Reserva Recuperación Secundaria"/>
    <s v="No Posee"/>
    <x v="4"/>
    <s v="Barranca Baya Bloque 37"/>
    <x v="0"/>
    <s v="NO"/>
    <n v="0"/>
    <n v="0"/>
  </r>
  <r>
    <x v="1504"/>
    <s v="BB-36"/>
    <x v="0"/>
    <s v="Abandono Permanente"/>
    <s v="No Posee"/>
    <x v="3"/>
    <s v="Barranca Baya Bloque 36"/>
    <x v="0"/>
    <s v="NO"/>
    <s v="NO"/>
    <s v="NO"/>
  </r>
  <r>
    <x v="1505"/>
    <s v="CG-496"/>
    <x v="0"/>
    <s v="Espera Equipo Reparación"/>
    <s v="Inyección"/>
    <x v="4"/>
    <s v="Cerro Grande Noreste"/>
    <x v="0"/>
    <s v="NO"/>
    <n v="0"/>
    <n v="0"/>
  </r>
  <r>
    <x v="1506"/>
    <s v="LH-110"/>
    <x v="0"/>
    <s v="Produciendo"/>
    <s v="Pistoneo"/>
    <x v="1"/>
    <s v="Las Heras Las Heras Bloque 3"/>
    <x v="0"/>
    <s v="NO"/>
    <n v="0.192"/>
    <n v="0"/>
  </r>
  <r>
    <x v="1507"/>
    <s v="CG-23"/>
    <x v="0"/>
    <s v="A Abandonar"/>
    <s v="No Posee"/>
    <x v="5"/>
    <s v="Cerro Grande Central"/>
    <x v="1"/>
    <s v="NO"/>
    <s v="NO"/>
    <s v="NO"/>
  </r>
  <r>
    <x v="1508"/>
    <s v="CG-124"/>
    <x v="0"/>
    <s v="Reserva Recuperación Secundaria"/>
    <s v="No Posee"/>
    <x v="4"/>
    <s v="Cerro Grande Central"/>
    <x v="0"/>
    <s v="NO"/>
    <s v="NO"/>
    <s v="NO"/>
  </r>
  <r>
    <x v="1509"/>
    <s v="CG-131"/>
    <x v="0"/>
    <s v="Abandono Permanente"/>
    <s v="No Posee"/>
    <x v="3"/>
    <s v="Cerro Grande Central"/>
    <x v="0"/>
    <s v="NO"/>
    <s v="NO"/>
    <s v="NO"/>
  </r>
  <r>
    <x v="1510"/>
    <s v="CG-45"/>
    <x v="0"/>
    <s v="Produciendo"/>
    <s v="Inyección"/>
    <x v="1"/>
    <s v="Barranca Baya Cerro Grande Sur"/>
    <x v="0"/>
    <s v="Oportunidad"/>
    <n v="0"/>
    <n v="0"/>
  </r>
  <r>
    <x v="1511"/>
    <s v="CG-126"/>
    <x v="0"/>
    <s v="Produciendo"/>
    <s v="Bombeo Mecánico"/>
    <x v="1"/>
    <s v="Cerro Grande Central"/>
    <x v="0"/>
    <s v="NO"/>
    <n v="2.1"/>
    <n v="0"/>
  </r>
  <r>
    <x v="1512"/>
    <s v="LH-213"/>
    <x v="0"/>
    <s v="Abandono Permanente"/>
    <s v="No Posee"/>
    <x v="3"/>
    <s v="Las Heras Bloque 2"/>
    <x v="0"/>
    <s v="NO"/>
    <n v="0.99"/>
    <n v="0"/>
  </r>
  <r>
    <x v="1513"/>
    <s v="LH-221"/>
    <x v="0"/>
    <s v="Abandono Permanente"/>
    <s v="No Posee"/>
    <x v="3"/>
    <s v="Las Heras Bloque 2"/>
    <x v="0"/>
    <s v="NO"/>
    <n v="0"/>
    <n v="0"/>
  </r>
  <r>
    <x v="1514"/>
    <s v="LH-271"/>
    <x v="0"/>
    <s v="Produciendo"/>
    <s v="Inyección"/>
    <x v="1"/>
    <s v="Las Heras Central Sur"/>
    <x v="0"/>
    <s v="NO"/>
    <n v="0"/>
    <n v="0"/>
  </r>
  <r>
    <x v="1515"/>
    <s v="LH-509"/>
    <x v="0"/>
    <s v="Reserva Recuperación Secundaria"/>
    <s v="Pistoneo"/>
    <x v="4"/>
    <s v="Las Heras Central Sur"/>
    <x v="0"/>
    <s v="NO"/>
    <n v="9.6000000000000002E-2"/>
    <n v="0"/>
  </r>
  <r>
    <x v="1516"/>
    <s v="LH-585"/>
    <x v="0"/>
    <s v="Reserva Recuperación Secundaria"/>
    <s v="Pistoneo"/>
    <x v="4"/>
    <s v="Las Heras Central Sur"/>
    <x v="0"/>
    <s v="NO"/>
    <n v="9.7000000000000003E-2"/>
    <n v="0"/>
  </r>
  <r>
    <x v="1517"/>
    <s v="LH-855"/>
    <x v="0"/>
    <s v="Abandono Permanente"/>
    <s v="No Posee"/>
    <x v="3"/>
    <s v="Las Heras Las Heras Bloque 3"/>
    <x v="0"/>
    <s v="NO"/>
    <n v="0.27"/>
    <n v="0"/>
  </r>
  <r>
    <x v="1518"/>
    <s v="CG-88"/>
    <x v="0"/>
    <s v="Produciendo"/>
    <s v="Bombeo Mecánico"/>
    <x v="1"/>
    <s v="Barranca Baya Bloque 26"/>
    <x v="0"/>
    <s v="NO"/>
    <n v="2"/>
    <n v="0"/>
  </r>
  <r>
    <x v="1519"/>
    <s v="CG-229"/>
    <x v="0"/>
    <s v="Reserva Recuperación Secundaria"/>
    <s v="No Posee"/>
    <x v="4"/>
    <s v="Cerro Grande Central"/>
    <x v="0"/>
    <s v="NO"/>
    <s v="NO"/>
    <s v="NO"/>
  </r>
  <r>
    <x v="1520"/>
    <s v="CG-290"/>
    <x v="0"/>
    <s v="Reserva Recuperación Secundaria"/>
    <s v="No Posee"/>
    <x v="4"/>
    <s v="Cerro Grande Central"/>
    <x v="0"/>
    <s v="NO"/>
    <n v="0"/>
    <n v="0"/>
  </r>
  <r>
    <x v="1521"/>
    <s v="CG-485"/>
    <x v="0"/>
    <s v="Produciendo"/>
    <s v="Inyección"/>
    <x v="1"/>
    <s v="Barranca Baya Cerro Grande Noroeste"/>
    <x v="0"/>
    <s v="NO"/>
    <n v="0"/>
    <n v="0"/>
  </r>
  <r>
    <x v="1522"/>
    <s v="ECa-2"/>
    <x v="0"/>
    <s v="Parado Zona Alejada"/>
    <s v="No Posee"/>
    <x v="5"/>
    <s v="Cerro Grande Noreste"/>
    <x v="1"/>
    <s v="NO"/>
    <s v="NO"/>
    <s v="NO"/>
  </r>
  <r>
    <x v="1523"/>
    <s v="CnE-287"/>
    <x v="0"/>
    <s v="Reserva Recuperación Secundaria"/>
    <s v="No Posee"/>
    <x v="4"/>
    <s v="Barranca Baya Bloque 30"/>
    <x v="0"/>
    <s v="NO"/>
    <s v="NO"/>
    <s v="NO"/>
  </r>
  <r>
    <x v="1524"/>
    <s v="CnE-483"/>
    <x v="0"/>
    <s v="Abandono Permanente"/>
    <s v="No Posee"/>
    <x v="3"/>
    <s v="Barranca Baya"/>
    <x v="0"/>
    <s v="NO"/>
    <n v="0.14200000000000002"/>
    <n v="0"/>
  </r>
  <r>
    <x v="1525"/>
    <s v="CnE-591"/>
    <x v="0"/>
    <s v="Produciendo"/>
    <s v="Pistoneo"/>
    <x v="1"/>
    <s v="Barranca Baya Bloque 38"/>
    <x v="0"/>
    <s v="NO"/>
    <n v="9.5000000000000001E-2"/>
    <n v="0"/>
  </r>
  <r>
    <x v="1526"/>
    <s v="CnE-612"/>
    <x v="0"/>
    <s v="Abandono Permanente"/>
    <s v="No Posee"/>
    <x v="3"/>
    <s v="Barranca Baya"/>
    <x v="0"/>
    <s v="NO"/>
    <n v="0.97200000000000009"/>
    <n v="0"/>
  </r>
  <r>
    <x v="1527"/>
    <s v="CnE-638"/>
    <x v="0"/>
    <s v="Produciendo"/>
    <s v="Bombeo Mecánico"/>
    <x v="1"/>
    <s v="Barranca Baya Bloque 37"/>
    <x v="0"/>
    <s v="NO"/>
    <n v="1.19"/>
    <n v="0"/>
  </r>
  <r>
    <x v="1528"/>
    <s v="CnE-674"/>
    <x v="0"/>
    <s v="Produciendo"/>
    <s v="Pistoneo"/>
    <x v="1"/>
    <s v="Barranca Baya Bloque 37"/>
    <x v="0"/>
    <s v="NO"/>
    <n v="0.1"/>
    <n v="0"/>
  </r>
  <r>
    <x v="1529"/>
    <s v="CnE-738"/>
    <x v="0"/>
    <s v="Reserva Recuperación Secundaria"/>
    <s v="Pistoneo"/>
    <x v="4"/>
    <s v="Barranca Baya Bloque 38"/>
    <x v="0"/>
    <s v="NO"/>
    <n v="2.9000000000000001E-2"/>
    <n v="0"/>
  </r>
  <r>
    <x v="1530"/>
    <s v="LH-1026a"/>
    <x v="0"/>
    <s v="Abandono Permanente"/>
    <s v="No Posee"/>
    <x v="3"/>
    <s v="Las Heras Central Sur"/>
    <x v="0"/>
    <s v="NO"/>
    <s v="NO"/>
    <s v="NO"/>
  </r>
  <r>
    <x v="1531"/>
    <s v="LH-1052a"/>
    <x v="0"/>
    <s v="Reserva Recuperación Secundaria"/>
    <s v="Pistoneo"/>
    <x v="2"/>
    <s v="Las Heras Bloque 2"/>
    <x v="0"/>
    <s v="NO"/>
    <n v="0.10400000000000001"/>
    <s v="Ultimo Año"/>
  </r>
  <r>
    <x v="1532"/>
    <s v="LH-1064a"/>
    <x v="0"/>
    <s v="Reserva Recuperación Secundaria"/>
    <s v="Pistoneo"/>
    <x v="4"/>
    <s v="Las Heras Bloque 2"/>
    <x v="0"/>
    <s v="NO"/>
    <n v="0.20400000000000001"/>
    <n v="0"/>
  </r>
  <r>
    <x v="1533"/>
    <s v="CG-559a"/>
    <x v="0"/>
    <s v="A Abandonar Por Alta Rap"/>
    <s v="Bombeo Mecánico"/>
    <x v="5"/>
    <s v="Barranca Baya Bloque 26"/>
    <x v="1"/>
    <s v="NO"/>
    <n v="0.50800000000000001"/>
    <n v="0"/>
  </r>
  <r>
    <x v="1534"/>
    <s v="LH-1146a"/>
    <x v="0"/>
    <s v="En Estudio"/>
    <s v="Bombeo Mecánico"/>
    <x v="2"/>
    <s v="Las Heras Central Sur"/>
    <x v="0"/>
    <s v="NO"/>
    <n v="0.6"/>
    <s v="Ultimo Año"/>
  </r>
  <r>
    <x v="1535"/>
    <s v="CnE-952a"/>
    <x v="0"/>
    <s v="Produciendo"/>
    <s v="Bombeo Mecánico"/>
    <x v="1"/>
    <s v="Barranca Baya Bloque 30"/>
    <x v="0"/>
    <s v="NO"/>
    <n v="0.84"/>
    <n v="0"/>
  </r>
  <r>
    <x v="1536"/>
    <s v="LH-1173"/>
    <x v="0"/>
    <s v="Produciendo"/>
    <s v="Bombeo Mecánico"/>
    <x v="1"/>
    <s v="Las Heras Central Sur"/>
    <x v="0"/>
    <s v="NO"/>
    <n v="1.3800000000000001"/>
    <n v="0"/>
  </r>
  <r>
    <x v="1537"/>
    <s v="CnE-1038"/>
    <x v="0"/>
    <s v="Produciendo"/>
    <s v="Electro Sumergible"/>
    <x v="1"/>
    <s v="Barranca Baya Bloque 30"/>
    <x v="0"/>
    <s v="NO"/>
    <n v="1.03"/>
    <n v="0"/>
  </r>
  <r>
    <x v="1538"/>
    <s v="BB-110"/>
    <x v="0"/>
    <s v="Reserva Recuperación Secundaria"/>
    <s v="No Posee"/>
    <x v="4"/>
    <s v="Barranca Baya Bloque 36"/>
    <x v="0"/>
    <s v="NO"/>
    <s v="NO"/>
    <s v="NO"/>
  </r>
  <r>
    <x v="1539"/>
    <s v="CG.a-814"/>
    <x v="0"/>
    <s v="Produciendo"/>
    <s v="Bombeo Mecánico"/>
    <x v="1"/>
    <s v="Cerro Grande Central"/>
    <x v="0"/>
    <s v="NO"/>
    <n v="6"/>
    <n v="0"/>
  </r>
  <r>
    <x v="1540"/>
    <s v="CG-871"/>
    <x v="0"/>
    <s v="Produciendo"/>
    <s v="Bombeo Mecánico"/>
    <x v="1"/>
    <s v="Cerro Grande Central"/>
    <x v="0"/>
    <s v="NO"/>
    <n v="0.52500000000000002"/>
    <n v="0"/>
  </r>
  <r>
    <x v="1541"/>
    <s v="CnE-1255"/>
    <x v="0"/>
    <s v="Produciendo"/>
    <s v="Bombeo Mecánico"/>
    <x v="1"/>
    <s v="Barranca Baya Bloque 36"/>
    <x v="0"/>
    <s v="NO"/>
    <n v="1.5"/>
    <n v="0"/>
  </r>
  <r>
    <x v="1542"/>
    <s v="CnE-1225a"/>
    <x v="0"/>
    <s v="Produciendo"/>
    <s v="Bombeo Mecánico"/>
    <x v="1"/>
    <s v="Barranca Baya Bloque 30"/>
    <x v="0"/>
    <s v="NO"/>
    <n v="0.88"/>
    <n v="0"/>
  </r>
  <r>
    <x v="1543"/>
    <s v="CnE-1291"/>
    <x v="0"/>
    <s v="Produciendo"/>
    <s v="Bombeo Mecánico"/>
    <x v="1"/>
    <s v="Barranca Baya Bloque 30"/>
    <x v="0"/>
    <s v="NO"/>
    <n v="0.78"/>
    <n v="0"/>
  </r>
  <r>
    <x v="1544"/>
    <s v="CnE-1292"/>
    <x v="0"/>
    <s v="Produciendo"/>
    <s v="Bombeo Mecánico"/>
    <x v="1"/>
    <s v="Barranca Baya Bloque 26"/>
    <x v="0"/>
    <s v="NO"/>
    <n v="0.82000000000000006"/>
    <n v="0"/>
  </r>
  <r>
    <x v="1545"/>
    <s v="LC-975a"/>
    <x v="0"/>
    <s v="Produciendo"/>
    <s v="Bombeo Mecánico"/>
    <x v="1"/>
    <s v="Lomas del Cuy- Cerro Grande Sur"/>
    <x v="0"/>
    <s v="NO"/>
    <n v="3.12"/>
    <n v="0"/>
  </r>
  <r>
    <x v="1546"/>
    <s v="LH-1160"/>
    <x v="0"/>
    <s v="Reserva Recuperación Secundaria"/>
    <s v="Bombeo Mecánico"/>
    <x v="2"/>
    <s v="Las Heras Bloque 2"/>
    <x v="0"/>
    <s v="NO"/>
    <n v="1.32"/>
    <s v="Ultimo Año"/>
  </r>
  <r>
    <x v="1547"/>
    <s v="O-202"/>
    <x v="0"/>
    <s v="En Estudio"/>
    <s v="No Posee"/>
    <x v="5"/>
    <s v="Barranca Baya Bloque 40"/>
    <x v="1"/>
    <s v="NO"/>
    <s v="NO"/>
    <s v="NO"/>
  </r>
  <r>
    <x v="1548"/>
    <s v="LH-216"/>
    <x v="0"/>
    <s v="Abandono Permanente"/>
    <s v="No Posee"/>
    <x v="3"/>
    <s v="Las Heras Bloque 2"/>
    <x v="0"/>
    <s v="NO"/>
    <n v="0.80500000000000005"/>
    <n v="0"/>
  </r>
  <r>
    <x v="1549"/>
    <s v="LH-246"/>
    <x v="0"/>
    <s v="Produciendo"/>
    <s v="Bombeo Mecánico"/>
    <x v="1"/>
    <s v="Las Heras Central Sur"/>
    <x v="0"/>
    <s v="NO"/>
    <n v="2.25"/>
    <n v="0"/>
  </r>
  <r>
    <x v="1550"/>
    <s v="LH-644"/>
    <x v="0"/>
    <s v="Reserva Recuperación Secundaria"/>
    <s v="Pistoneo"/>
    <x v="4"/>
    <s v="Las Heras Central Sur"/>
    <x v="0"/>
    <s v="NO"/>
    <n v="0.38500000000000001"/>
    <n v="0"/>
  </r>
  <r>
    <x v="1551"/>
    <s v="LH-799"/>
    <x v="0"/>
    <s v="Reserva Recuperación Secundaria"/>
    <s v="No Posee"/>
    <x v="4"/>
    <s v="Las Heras Central Sur"/>
    <x v="0"/>
    <s v="NO"/>
    <n v="0.11800000000000001"/>
    <n v="0"/>
  </r>
  <r>
    <x v="1552"/>
    <s v="LH-863"/>
    <x v="0"/>
    <s v="Reserva Recuperación Secundaria"/>
    <s v="No Posee"/>
    <x v="4"/>
    <s v="Las Heras Central Sur"/>
    <x v="0"/>
    <s v="NO"/>
    <n v="0.94800000000000006"/>
    <n v="0"/>
  </r>
  <r>
    <x v="1553"/>
    <s v="LH-904"/>
    <x v="0"/>
    <s v="Reserva Recuperación Secundaria"/>
    <s v="No Posee"/>
    <x v="4"/>
    <s v="Las Heras Las Heras Bloque 3"/>
    <x v="0"/>
    <s v="NO"/>
    <n v="0.58600000000000008"/>
    <n v="0"/>
  </r>
  <r>
    <x v="1554"/>
    <s v="CG-193"/>
    <x v="0"/>
    <s v="Abandono Permanente"/>
    <s v="No Posee"/>
    <x v="3"/>
    <s v="Barranca Baya Cerro Grande Norte"/>
    <x v="0"/>
    <s v="NO"/>
    <n v="0.5"/>
    <n v="0"/>
  </r>
  <r>
    <x v="1555"/>
    <s v="CG-203"/>
    <x v="0"/>
    <s v="Reserva Recuperación Secundaria"/>
    <s v="No Posee"/>
    <x v="4"/>
    <s v="Barranca Baya Bloque 26"/>
    <x v="0"/>
    <s v="NO"/>
    <n v="0.86"/>
    <n v="0"/>
  </r>
  <r>
    <x v="1556"/>
    <s v="CG-214"/>
    <x v="0"/>
    <s v="Reserva Recuperación Secundaria"/>
    <s v="No Posee"/>
    <x v="4"/>
    <s v="Barranca Baya Cerro Grande Norte"/>
    <x v="0"/>
    <s v="NO"/>
    <s v="NO"/>
    <s v="NO"/>
  </r>
  <r>
    <x v="1557"/>
    <s v="N-42"/>
    <x v="0"/>
    <s v="Abandono Permanente"/>
    <s v="No Posee"/>
    <x v="3"/>
    <s v="Las Heras Bloque 2"/>
    <x v="0"/>
    <s v="NO"/>
    <s v="NO"/>
    <s v="NO"/>
  </r>
  <r>
    <x v="1558"/>
    <s v="CnE-51"/>
    <x v="0"/>
    <s v="Produciendo"/>
    <s v="Inyección"/>
    <x v="1"/>
    <s v="Barranca Baya Bloque 26"/>
    <x v="0"/>
    <s v="NO"/>
    <n v="0"/>
    <n v="0"/>
  </r>
  <r>
    <x v="1559"/>
    <s v="CnE-170"/>
    <x v="0"/>
    <s v="Produciendo"/>
    <s v="Bombeo Mecánico"/>
    <x v="1"/>
    <s v="Barranca Baya Bloque 40"/>
    <x v="0"/>
    <s v="NO"/>
    <n v="0.88"/>
    <n v="0"/>
  </r>
  <r>
    <x v="1560"/>
    <s v="CnE-224"/>
    <x v="0"/>
    <s v="Abandono Permanente"/>
    <s v="No Posee"/>
    <x v="3"/>
    <s v="Barranca Baya Bloque 38"/>
    <x v="0"/>
    <s v="NO"/>
    <s v="NO"/>
    <s v="NO"/>
  </r>
  <r>
    <x v="1561"/>
    <s v="CnE-230"/>
    <x v="0"/>
    <s v="Espera Equipo Reparación"/>
    <s v="No Posee"/>
    <x v="4"/>
    <s v="Barranca Baya Bloque 30"/>
    <x v="0"/>
    <s v="NO"/>
    <n v="0"/>
    <n v="0"/>
  </r>
  <r>
    <x v="1562"/>
    <s v="CnE-267"/>
    <x v="0"/>
    <s v="Produciendo"/>
    <s v="Bombeo Mecánico"/>
    <x v="1"/>
    <s v="Barranca Baya Bloque 30"/>
    <x v="0"/>
    <s v="NO"/>
    <n v="1.8"/>
    <n v="0"/>
  </r>
  <r>
    <x v="1563"/>
    <s v="CnE-311"/>
    <x v="0"/>
    <s v="Espera Equipo Reparación"/>
    <s v="Electro Sumergible"/>
    <x v="6"/>
    <s v="Barranca Baya Bloque 30"/>
    <x v="0"/>
    <s v="Oportunidad"/>
    <n v="3.88"/>
    <s v="Ultimos 6 meses"/>
  </r>
  <r>
    <x v="1564"/>
    <s v="CnE-347"/>
    <x v="0"/>
    <s v="En Estudio"/>
    <s v="No Posee"/>
    <x v="5"/>
    <s v="Barranca Baya Bloque 36"/>
    <x v="1"/>
    <s v="NO"/>
    <n v="0.34"/>
    <n v="0"/>
  </r>
  <r>
    <x v="1565"/>
    <s v="CnE-520"/>
    <x v="0"/>
    <s v="Reserva Recuperación Secundaria"/>
    <s v="Pistoneo"/>
    <x v="4"/>
    <s v="Barranca Baya Bloque 36"/>
    <x v="0"/>
    <s v="NO"/>
    <n v="2.9000000000000001E-2"/>
    <n v="0"/>
  </r>
  <r>
    <x v="1566"/>
    <s v="CnE-633"/>
    <x v="0"/>
    <s v="Abandono Permanente"/>
    <s v="No Posee"/>
    <x v="3"/>
    <s v="Barranca Baya Bloque 36"/>
    <x v="0"/>
    <s v="NO"/>
    <n v="8.7799999999999994"/>
    <n v="0"/>
  </r>
  <r>
    <x v="1567"/>
    <s v="CnE-826"/>
    <x v="0"/>
    <s v="Produciendo"/>
    <s v="Pistoneo"/>
    <x v="1"/>
    <s v="Barranca Baya Bloque 36"/>
    <x v="0"/>
    <s v="NO"/>
    <n v="0.192"/>
    <n v="0"/>
  </r>
  <r>
    <x v="1568"/>
    <s v="LH-963"/>
    <x v="0"/>
    <s v="Produciendo"/>
    <s v="Cavidad Progresiva"/>
    <x v="1"/>
    <s v="Las Heras Central Sur"/>
    <x v="0"/>
    <s v="NO"/>
    <n v="0.114"/>
    <n v="0"/>
  </r>
  <r>
    <x v="1569"/>
    <s v="BB-1"/>
    <x v="0"/>
    <s v="Abandono Permanente"/>
    <s v="No Posee"/>
    <x v="3"/>
    <s v="Barranca Baya"/>
    <x v="0"/>
    <s v="NO"/>
    <s v="NO"/>
    <s v="NO"/>
  </r>
  <r>
    <x v="1570"/>
    <s v="LH-280"/>
    <x v="0"/>
    <s v="Reserva Recuperación Secundaria"/>
    <s v="Bombeo Mecánico"/>
    <x v="2"/>
    <s v="Las Heras Central Sur"/>
    <x v="0"/>
    <s v="NO"/>
    <n v="0.66500000000000004"/>
    <s v="Ultimo Año"/>
  </r>
  <r>
    <x v="1571"/>
    <s v="CG-298"/>
    <x v="0"/>
    <s v="Produciendo"/>
    <s v="Bombeo Mecánico"/>
    <x v="1"/>
    <s v="Cerro Grande Central"/>
    <x v="0"/>
    <s v="NO"/>
    <n v="1.7870000000000001"/>
    <n v="0"/>
  </r>
  <r>
    <x v="1572"/>
    <s v="CG-38"/>
    <x v="0"/>
    <s v="Abandono Permanente"/>
    <s v="No Posee"/>
    <x v="3"/>
    <s v="Cerro Grande Central"/>
    <x v="0"/>
    <s v="NO"/>
    <s v="NO"/>
    <s v="NO"/>
  </r>
  <r>
    <x v="1573"/>
    <s v="CG-522a"/>
    <x v="0"/>
    <s v="Reserva Recuperación Secundaria"/>
    <s v="No Posee"/>
    <x v="4"/>
    <s v="Cerro Grande Central"/>
    <x v="0"/>
    <s v="NO"/>
    <n v="0.92800000000000005"/>
    <n v="0"/>
  </r>
  <r>
    <x v="1574"/>
    <s v="LH-988a"/>
    <x v="0"/>
    <s v="Produciendo"/>
    <s v="Bombeo Mecánico"/>
    <x v="1"/>
    <s v="Las Heras Central Sur"/>
    <x v="0"/>
    <s v="NO"/>
    <n v="0.9870000000000001"/>
    <n v="0"/>
  </r>
  <r>
    <x v="1575"/>
    <s v="CG-592a"/>
    <x v="0"/>
    <s v="Produciendo"/>
    <s v="Bombeo Mecánico"/>
    <x v="1"/>
    <s v="Cerro Grande Central"/>
    <x v="0"/>
    <s v="NO"/>
    <n v="2.82"/>
    <n v="0"/>
  </r>
  <r>
    <x v="1576"/>
    <s v="LH-1121a"/>
    <x v="0"/>
    <s v="Produciendo"/>
    <s v="Bombeo Mecánico"/>
    <x v="1"/>
    <s v="Las Heras Central Sur"/>
    <x v="0"/>
    <s v="NO"/>
    <n v="1.36"/>
    <n v="0"/>
  </r>
  <r>
    <x v="1577"/>
    <s v="CG-675"/>
    <x v="0"/>
    <s v="Produciendo"/>
    <s v="Bombeo Mecánico"/>
    <x v="1"/>
    <s v="Cerro Grande Central"/>
    <x v="0"/>
    <s v="NO"/>
    <n v="0.752"/>
    <n v="0"/>
  </r>
  <r>
    <x v="1578"/>
    <s v="CG-698"/>
    <x v="0"/>
    <s v="Produciendo"/>
    <s v="Pistoneo"/>
    <x v="1"/>
    <s v="Cerro Grande Central"/>
    <x v="0"/>
    <s v="NO"/>
    <n v="0.10400000000000001"/>
    <n v="0"/>
  </r>
  <r>
    <x v="1579"/>
    <s v="CnE-1049"/>
    <x v="0"/>
    <s v="Espera Equipo Reparación"/>
    <s v="Pistoneo"/>
    <x v="0"/>
    <s v="Barranca Baya Bloque 30"/>
    <x v="0"/>
    <s v="NO"/>
    <n v="9.6000000000000002E-2"/>
    <s v="Ultimos 6 meses"/>
  </r>
  <r>
    <x v="1580"/>
    <s v="CnE-1057"/>
    <x v="0"/>
    <s v="Produciendo"/>
    <s v="Bombeo Mecánico"/>
    <x v="1"/>
    <s v="Barranca Baya Bloque 30"/>
    <x v="0"/>
    <s v="NO"/>
    <n v="0.42"/>
    <n v="0"/>
  </r>
  <r>
    <x v="1581"/>
    <s v="CnE-1135"/>
    <x v="0"/>
    <s v="Espera Equipo Reparación"/>
    <s v="Bombeo Mecánico"/>
    <x v="5"/>
    <s v="Barranca Baya Bloque 38"/>
    <x v="1"/>
    <s v="NO"/>
    <n v="0.24"/>
    <n v="0"/>
  </r>
  <r>
    <x v="1582"/>
    <s v="CnE-1203"/>
    <x v="0"/>
    <s v="Produciendo"/>
    <s v="Bombeo Mecánico"/>
    <x v="1"/>
    <s v="Barranca Baya Bloque 26"/>
    <x v="0"/>
    <s v="NO"/>
    <n v="2.25"/>
    <n v="0"/>
  </r>
  <r>
    <x v="1583"/>
    <s v="BB-132"/>
    <x v="0"/>
    <s v="Espera Equipo Reparación"/>
    <s v="Bombeo Mecánico"/>
    <x v="7"/>
    <s v="Barranca Baya"/>
    <x v="0"/>
    <s v="NO"/>
    <n v="4.5600000000000005"/>
    <s v="Ultimos 6 meses"/>
  </r>
  <r>
    <x v="1584"/>
    <s v="CnE-1229a"/>
    <x v="0"/>
    <s v="Reserva Recuperación Secundaria"/>
    <s v="Bombeo Mecánico"/>
    <x v="4"/>
    <s v="Barranca Baya Bloque 36"/>
    <x v="0"/>
    <s v="NO"/>
    <n v="0.9"/>
    <n v="0"/>
  </r>
  <r>
    <x v="1585"/>
    <s v="BB-136"/>
    <x v="0"/>
    <s v="Reserva Recuperación Secundaria"/>
    <s v="Pistoneo"/>
    <x v="4"/>
    <s v="Barranca Baya"/>
    <x v="0"/>
    <s v="NO"/>
    <n v="0.14400000000000002"/>
    <n v="0"/>
  </r>
  <r>
    <x v="1586"/>
    <s v="BB-175"/>
    <x v="0"/>
    <s v="Produciendo"/>
    <s v="Bombeo Mecánico"/>
    <x v="1"/>
    <s v="Barranca Baya"/>
    <x v="0"/>
    <s v="NO"/>
    <n v="0.60099999999999998"/>
    <n v="0"/>
  </r>
  <r>
    <x v="1587"/>
    <s v="BB-177"/>
    <x v="0"/>
    <s v="Espera Equipo Reparación"/>
    <s v="Bombeo Mecánico"/>
    <x v="0"/>
    <s v="Barranca Baya"/>
    <x v="0"/>
    <s v="NO"/>
    <n v="1.21"/>
    <s v="Ultimos 6 meses"/>
  </r>
  <r>
    <x v="1588"/>
    <s v="LH-103"/>
    <x v="0"/>
    <s v="Reserva Recuperación Secundaria"/>
    <s v="Pistoneo"/>
    <x v="4"/>
    <s v="Las Heras Cerro Grande Sur"/>
    <x v="0"/>
    <s v="NO"/>
    <n v="0.188"/>
    <n v="0"/>
  </r>
  <r>
    <x v="1589"/>
    <s v="LH-270"/>
    <x v="0"/>
    <s v="Abandono Permanente"/>
    <s v="No Posee"/>
    <x v="3"/>
    <s v="Las Heras Central Sur"/>
    <x v="0"/>
    <s v="NO"/>
    <s v="NO"/>
    <s v="NO"/>
  </r>
  <r>
    <x v="1590"/>
    <s v="CG-24"/>
    <x v="0"/>
    <s v="Produciendo"/>
    <s v="Inyección"/>
    <x v="1"/>
    <s v="Barranca Baya Cerro Grande Sur"/>
    <x v="0"/>
    <s v="Oportunidad"/>
    <n v="0"/>
    <n v="0"/>
  </r>
  <r>
    <x v="1591"/>
    <s v="CnE-885a"/>
    <x v="0"/>
    <s v="Reserva Recuperación Secundaria"/>
    <s v="Pistoneo"/>
    <x v="6"/>
    <s v="Barranca Baya Bloque 36"/>
    <x v="0"/>
    <s v="Oportunidad"/>
    <n v="1.9E-2"/>
    <s v="Ultimo Año"/>
  </r>
  <r>
    <x v="1592"/>
    <s v="CnE-887"/>
    <x v="0"/>
    <s v="Produciendo"/>
    <s v="Bombeo Mecánico"/>
    <x v="1"/>
    <s v="Barranca Baya Bloque 30"/>
    <x v="0"/>
    <s v="NO"/>
    <n v="1.05"/>
    <n v="0"/>
  </r>
  <r>
    <x v="1593"/>
    <s v="CG-562a"/>
    <x v="0"/>
    <s v="Produciendo"/>
    <s v="Bombeo Mecánico"/>
    <x v="1"/>
    <s v="Cerro Grande Central"/>
    <x v="0"/>
    <s v="NO"/>
    <n v="1.95"/>
    <n v="0"/>
  </r>
  <r>
    <x v="1594"/>
    <s v="LH-1126a"/>
    <x v="0"/>
    <s v="Produciendo"/>
    <s v="Surgente por Casing"/>
    <x v="1"/>
    <s v="Las Heras Cerro Grande Sur"/>
    <x v="0"/>
    <s v="NO"/>
    <n v="1.887"/>
    <n v="0"/>
  </r>
  <r>
    <x v="1595"/>
    <s v="CG-678"/>
    <x v="0"/>
    <s v="Produciendo"/>
    <s v="Bombeo Mecánico"/>
    <x v="1"/>
    <s v="Cerro Grande Central"/>
    <x v="0"/>
    <s v="NO"/>
    <n v="0.66"/>
    <n v="0"/>
  </r>
  <r>
    <x v="1596"/>
    <s v="CnE-1045"/>
    <x v="0"/>
    <s v="Produciendo"/>
    <s v="Pistoneo"/>
    <x v="1"/>
    <s v="Barranca Baya Bloque 36"/>
    <x v="0"/>
    <s v="NO"/>
    <n v="1.034"/>
    <n v="0"/>
  </r>
  <r>
    <x v="1597"/>
    <s v="LH-1211"/>
    <x v="0"/>
    <s v="Espera Equipo Reparación"/>
    <s v="Bombeo Mecánico"/>
    <x v="0"/>
    <s v="Las Heras Central Sur"/>
    <x v="0"/>
    <s v="NO"/>
    <n v="0.504"/>
    <s v="Ultimos 6 meses"/>
  </r>
  <r>
    <x v="1598"/>
    <s v="CG-867"/>
    <x v="0"/>
    <s v="Produciendo"/>
    <s v="Bombeo Mecánico"/>
    <x v="1"/>
    <s v="Cerro Grande Central"/>
    <x v="0"/>
    <s v="NO"/>
    <n v="2.2000000000000002"/>
    <n v="0"/>
  </r>
  <r>
    <x v="1599"/>
    <s v="CnE-1286a"/>
    <x v="0"/>
    <s v="Reserva Recuperación Secundaria"/>
    <s v="Bombeo Mecánico"/>
    <x v="0"/>
    <s v="Barranca Baya Bloque 37"/>
    <x v="0"/>
    <s v="NO"/>
    <n v="0.501"/>
    <s v="Ultimos 6 meses"/>
  </r>
  <r>
    <x v="1600"/>
    <s v="CG-826a"/>
    <x v="0"/>
    <s v="Produciendo"/>
    <s v="Bombeo Mecánico"/>
    <x v="1"/>
    <s v="Cerro Grande Central"/>
    <x v="0"/>
    <s v="NO"/>
    <n v="2.85"/>
    <n v="0"/>
  </r>
  <r>
    <x v="1601"/>
    <s v="CnE-1320(d)[]a"/>
    <x v="0"/>
    <s v="Produciendo"/>
    <s v="Bombeo Mecánico"/>
    <x v="1"/>
    <s v="Barranca Baya Bloque 40"/>
    <x v="0"/>
    <s v="NO"/>
    <n v="0.57700000000000007"/>
    <n v="0"/>
  </r>
  <r>
    <x v="1602"/>
    <s v="CnE-1332"/>
    <x v="0"/>
    <s v="Produciendo"/>
    <s v="Pistoneo"/>
    <x v="1"/>
    <s v="Barranca Baya Bloque 37"/>
    <x v="0"/>
    <s v="NO"/>
    <n v="6.7000000000000004E-2"/>
    <n v="0"/>
  </r>
  <r>
    <x v="1603"/>
    <s v="LH-621"/>
    <x v="0"/>
    <s v="Reserva Recuperación Secundaria"/>
    <s v="Inyección"/>
    <x v="4"/>
    <s v="Las Heras Central Sur"/>
    <x v="0"/>
    <s v="NO"/>
    <n v="0"/>
    <n v="0"/>
  </r>
  <r>
    <x v="1604"/>
    <s v="LH-627"/>
    <x v="0"/>
    <s v="Reserva Recuperación Secundaria"/>
    <s v="Pistoneo"/>
    <x v="4"/>
    <s v="Las Heras Central Sur"/>
    <x v="0"/>
    <s v="NO"/>
    <n v="0.14500000000000002"/>
    <n v="0"/>
  </r>
  <r>
    <x v="1605"/>
    <s v="LH-804"/>
    <x v="0"/>
    <s v="Produciendo"/>
    <s v="Inyección"/>
    <x v="1"/>
    <s v="Las Heras Central Sur"/>
    <x v="0"/>
    <s v="NO"/>
    <n v="0"/>
    <n v="0"/>
  </r>
  <r>
    <x v="1606"/>
    <s v="LH-881"/>
    <x v="0"/>
    <s v="Espera Equipo Reparación"/>
    <s v="Inyección"/>
    <x v="5"/>
    <s v="Las Heras Central Sur"/>
    <x v="1"/>
    <s v="NO"/>
    <n v="0"/>
    <n v="0"/>
  </r>
  <r>
    <x v="1607"/>
    <s v="LH-890"/>
    <x v="0"/>
    <s v="Reserva Recuperación Secundaria"/>
    <s v="Inyección"/>
    <x v="4"/>
    <s v="Las Heras Bloque 2"/>
    <x v="0"/>
    <s v="NO"/>
    <n v="0"/>
    <n v="0"/>
  </r>
  <r>
    <x v="1608"/>
    <s v="LH-938"/>
    <x v="0"/>
    <s v="Produciendo"/>
    <s v="Inyección"/>
    <x v="1"/>
    <s v="Las Heras Central Sur"/>
    <x v="0"/>
    <s v="NO"/>
    <n v="0"/>
    <n v="0"/>
  </r>
  <r>
    <x v="1609"/>
    <s v="CG-60"/>
    <x v="0"/>
    <s v="Produciendo"/>
    <s v="Pistoneo"/>
    <x v="1"/>
    <s v="Barranca Baya Cerro Grande Noroeste"/>
    <x v="0"/>
    <s v="NO"/>
    <n v="0.27"/>
    <n v="0"/>
  </r>
  <r>
    <x v="1610"/>
    <s v="CG-391"/>
    <x v="0"/>
    <s v="Reserva Recuperación Secundaria"/>
    <s v="No Posee"/>
    <x v="4"/>
    <s v="Barranca Baya Bloque 26"/>
    <x v="0"/>
    <s v="NO"/>
    <n v="0.36"/>
    <n v="0"/>
  </r>
  <r>
    <x v="1611"/>
    <s v="CG-398"/>
    <x v="0"/>
    <s v="Produciendo"/>
    <s v="Bombeo Mecánico"/>
    <x v="1"/>
    <s v="Barranca Baya Cerro Grande Norte"/>
    <x v="0"/>
    <s v="NO"/>
    <n v="1.7"/>
    <n v="0"/>
  </r>
  <r>
    <x v="1612"/>
    <s v="CG-444"/>
    <x v="0"/>
    <s v="Produciendo"/>
    <s v="Bombeo Mecánico"/>
    <x v="1"/>
    <s v="Cerro Grande Central"/>
    <x v="0"/>
    <s v="NO"/>
    <n v="1"/>
    <n v="0"/>
  </r>
  <r>
    <x v="1613"/>
    <s v="CG-488"/>
    <x v="0"/>
    <s v="Produciendo"/>
    <s v="Bombeo Mecánico"/>
    <x v="1"/>
    <s v="Barranca Baya Cerro Grande Noroeste"/>
    <x v="0"/>
    <s v="NO"/>
    <n v="1.6740000000000002"/>
    <n v="0"/>
  </r>
  <r>
    <x v="1614"/>
    <s v="LC-20"/>
    <x v="0"/>
    <s v="Reserva Recuperación Secundaria"/>
    <s v="No Posee"/>
    <x v="7"/>
    <s v="Lomas del Cuy- Cerro Grande Noroeste"/>
    <x v="0"/>
    <s v="NO"/>
    <n v="22.400000000000002"/>
    <n v="0"/>
  </r>
  <r>
    <x v="1615"/>
    <s v="LH-144"/>
    <x v="0"/>
    <s v="Produciendo"/>
    <s v="Cavidad Progresiva"/>
    <x v="1"/>
    <s v="Las Heras Bloque 2"/>
    <x v="0"/>
    <s v="NO"/>
    <n v="0.71500000000000008"/>
    <n v="0"/>
  </r>
  <r>
    <x v="1616"/>
    <s v="LH-254"/>
    <x v="0"/>
    <s v="Espera Equipo Reparación"/>
    <s v="Electro Sumergible"/>
    <x v="5"/>
    <s v="Las Heras Central Sur"/>
    <x v="1"/>
    <s v="NO"/>
    <n v="0.22500000000000001"/>
    <n v="0"/>
  </r>
  <r>
    <x v="1617"/>
    <s v="LH-776"/>
    <x v="0"/>
    <s v="Produciendo"/>
    <s v="Inyección"/>
    <x v="1"/>
    <s v="Las Heras Cerro Grande Sur"/>
    <x v="0"/>
    <s v="NO"/>
    <n v="0"/>
    <n v="0"/>
  </r>
  <r>
    <x v="1618"/>
    <s v="LH-839"/>
    <x v="0"/>
    <s v="Abandono Permanente"/>
    <s v="No Posee"/>
    <x v="3"/>
    <s v="Las Heras Bloque 2"/>
    <x v="0"/>
    <s v="NO"/>
    <n v="0.68"/>
    <n v="0"/>
  </r>
  <r>
    <x v="1619"/>
    <s v="LH-876"/>
    <x v="0"/>
    <s v="Produciendo"/>
    <s v="Bombeo Mecánico"/>
    <x v="1"/>
    <s v="Las Heras Central Sur"/>
    <x v="0"/>
    <s v="NO"/>
    <n v="0.88"/>
    <n v="0"/>
  </r>
  <r>
    <x v="1620"/>
    <s v="CG-3"/>
    <x v="0"/>
    <s v="Abandono Permanente"/>
    <s v="No Posee"/>
    <x v="3"/>
    <s v="Barranca Baya Bloque 26"/>
    <x v="0"/>
    <s v="NO"/>
    <s v="NO"/>
    <s v="NO"/>
  </r>
  <r>
    <x v="1621"/>
    <s v="CG-83"/>
    <x v="0"/>
    <s v="Produciendo"/>
    <s v="Inyección"/>
    <x v="1"/>
    <s v="Barranca Baya Bloque 26"/>
    <x v="0"/>
    <s v="NO"/>
    <n v="0"/>
    <n v="0"/>
  </r>
  <r>
    <x v="1622"/>
    <s v="CG-185"/>
    <x v="0"/>
    <s v="Produciendo"/>
    <s v="Inyección"/>
    <x v="1"/>
    <s v="Barranca Baya Cerro Grande Norte"/>
    <x v="0"/>
    <s v="NO"/>
    <n v="0"/>
    <n v="0"/>
  </r>
  <r>
    <x v="1623"/>
    <s v="CG-365"/>
    <x v="0"/>
    <s v="Produciendo"/>
    <s v="Bombeo Mecánico"/>
    <x v="1"/>
    <s v="Barranca Baya Bloque 26"/>
    <x v="0"/>
    <s v="NO"/>
    <n v="2.4"/>
    <n v="0"/>
  </r>
  <r>
    <x v="1624"/>
    <s v="CG-413"/>
    <x v="0"/>
    <s v="Abandono Permanente"/>
    <s v="No Posee"/>
    <x v="3"/>
    <s v="Cerro Grande Central"/>
    <x v="0"/>
    <s v="NO"/>
    <s v="NO"/>
    <s v="NO"/>
  </r>
  <r>
    <x v="1625"/>
    <s v="CG-719"/>
    <x v="0"/>
    <s v="Espera Equipo Reparación"/>
    <s v="Inyección"/>
    <x v="5"/>
    <s v="Cerro Grande Central"/>
    <x v="1"/>
    <s v="NO"/>
    <n v="0"/>
    <n v="0"/>
  </r>
  <r>
    <x v="1626"/>
    <s v="CG-839"/>
    <x v="0"/>
    <s v="Produciendo"/>
    <s v="Bombeo Mecánico"/>
    <x v="1"/>
    <s v="Barranca Baya Cerro Grande Noroeste"/>
    <x v="0"/>
    <s v="NO"/>
    <n v="3.2550000000000003"/>
    <n v="0"/>
  </r>
  <r>
    <x v="1627"/>
    <s v="CG-894"/>
    <x v="0"/>
    <s v="Espera Equipo Reparación"/>
    <s v="Bombeo Mecánico"/>
    <x v="5"/>
    <s v="Cerro Grande Noreste"/>
    <x v="1"/>
    <s v="NO"/>
    <n v="0.84"/>
    <n v="0"/>
  </r>
  <r>
    <x v="1628"/>
    <s v="CG-917(d)"/>
    <x v="0"/>
    <s v="Espera Equipo Reparación"/>
    <s v="Bombeo Mecánico"/>
    <x v="2"/>
    <s v="Barranca Baya Bloque 26"/>
    <x v="0"/>
    <s v="NO"/>
    <n v="7.0000000000000007E-2"/>
    <s v="Ultimo Año"/>
  </r>
  <r>
    <x v="1629"/>
    <s v="CnE-1337"/>
    <x v="0"/>
    <s v="Produciendo"/>
    <s v="Bombeo Mecánico"/>
    <x v="1"/>
    <s v="Barranca Baya Bloque 30"/>
    <x v="0"/>
    <s v="NO"/>
    <n v="1.2"/>
    <n v="0"/>
  </r>
  <r>
    <x v="1630"/>
    <s v="CnE.a-1438a"/>
    <x v="0"/>
    <s v="Espera Equipo Reparación"/>
    <s v="Bombeo Mecánico"/>
    <x v="6"/>
    <s v="Barranca Baya Bloque 30"/>
    <x v="0"/>
    <s v="Oportunidad"/>
    <n v="1.0780000000000001"/>
    <s v="Ultimos 6 meses"/>
  </r>
  <r>
    <x v="1631"/>
    <s v="LH-30a"/>
    <x v="0"/>
    <s v="Reserva Recuperación Secundaria"/>
    <s v="No Posee"/>
    <x v="4"/>
    <s v="Cerro Grande Central"/>
    <x v="0"/>
    <s v="NO"/>
    <s v="NO"/>
    <s v="NO"/>
  </r>
  <r>
    <x v="1632"/>
    <s v="CnE-919a"/>
    <x v="0"/>
    <s v="Espera Equipo Reparación"/>
    <s v="Bombeo Mecánico"/>
    <x v="5"/>
    <s v="Barranca Baya Bloque 30"/>
    <x v="1"/>
    <s v="NO"/>
    <n v="0.47000000000000003"/>
    <n v="0"/>
  </r>
  <r>
    <x v="1633"/>
    <s v="LH-1118a"/>
    <x v="0"/>
    <s v="Reserva Recuperación Secundaria"/>
    <s v="Bombeo Mecánico"/>
    <x v="4"/>
    <s v="Las Heras Central Sur"/>
    <x v="0"/>
    <s v="NO"/>
    <n v="0.52"/>
    <n v="0"/>
  </r>
  <r>
    <x v="1634"/>
    <s v="LH-1111a"/>
    <x v="0"/>
    <s v="Espera Equipo Reparación"/>
    <s v="Bombeo Mecánico"/>
    <x v="5"/>
    <s v="Las Heras Central Sur"/>
    <x v="1"/>
    <s v="NO"/>
    <n v="0.21200000000000002"/>
    <s v="Ultimo Año"/>
  </r>
  <r>
    <x v="1635"/>
    <s v="CnE-948a"/>
    <x v="0"/>
    <s v="Produciendo"/>
    <s v="Inyección"/>
    <x v="1"/>
    <s v="Barranca Baya Bloque 30"/>
    <x v="0"/>
    <s v="NO"/>
    <n v="0"/>
    <n v="0"/>
  </r>
  <r>
    <x v="1636"/>
    <s v="LH-1156a"/>
    <x v="0"/>
    <s v="Produciendo"/>
    <s v="Bombeo Mecánico"/>
    <x v="1"/>
    <s v="Las Heras Las Heras Bloque 3"/>
    <x v="0"/>
    <s v="NO"/>
    <n v="0.93600000000000005"/>
    <n v="0"/>
  </r>
  <r>
    <x v="1637"/>
    <s v="CnE-968"/>
    <x v="0"/>
    <s v="Produciendo"/>
    <s v="Inyección"/>
    <x v="1"/>
    <s v="Barranca Baya Bloque 36"/>
    <x v="0"/>
    <s v="NO"/>
    <n v="0"/>
    <n v="0"/>
  </r>
  <r>
    <x v="1638"/>
    <s v="CG-674"/>
    <x v="0"/>
    <s v="En Estudio"/>
    <s v="Bombeo Mecánico"/>
    <x v="4"/>
    <s v="Cerro Grande Central"/>
    <x v="0"/>
    <s v="NO"/>
    <n v="8.7000000000000008E-2"/>
    <n v="0"/>
  </r>
  <r>
    <x v="1639"/>
    <s v="CnE-997"/>
    <x v="0"/>
    <s v="Produciendo"/>
    <s v="Inyección"/>
    <x v="1"/>
    <s v="Barranca Baya Bloque 30"/>
    <x v="0"/>
    <s v="NO"/>
    <n v="0"/>
    <n v="0"/>
  </r>
  <r>
    <x v="1640"/>
    <s v="LH-1191"/>
    <x v="0"/>
    <s v="Produciendo"/>
    <s v="Bombeo Mecánico"/>
    <x v="1"/>
    <s v="Las Heras Central Sur"/>
    <x v="0"/>
    <s v="NO"/>
    <n v="0.9"/>
    <n v="0"/>
  </r>
  <r>
    <x v="1641"/>
    <s v="CG-701"/>
    <x v="0"/>
    <s v="Produciendo"/>
    <s v="Bombeo Mecánico"/>
    <x v="1"/>
    <s v="Cerro Grande Central"/>
    <x v="0"/>
    <s v="NO"/>
    <n v="0.875"/>
    <n v="0"/>
  </r>
  <r>
    <x v="1642"/>
    <s v="CnE-1085a"/>
    <x v="0"/>
    <s v="Produciendo"/>
    <s v="Bombeo Mecánico"/>
    <x v="1"/>
    <s v="Barranca Baya Bloque 38"/>
    <x v="0"/>
    <s v="NO"/>
    <n v="0.72"/>
    <n v="0"/>
  </r>
  <r>
    <x v="1643"/>
    <s v="CnE-1093"/>
    <x v="0"/>
    <s v="Espera Equipo Reparación"/>
    <s v="Inyección"/>
    <x v="5"/>
    <s v="Barranca Baya Bloque 38"/>
    <x v="1"/>
    <s v="NO"/>
    <n v="0"/>
    <n v="0"/>
  </r>
  <r>
    <x v="1644"/>
    <s v="CG-722"/>
    <x v="0"/>
    <s v="Produciendo"/>
    <s v="Bombeo Mecánico"/>
    <x v="1"/>
    <s v="Cerro Grande Central"/>
    <x v="0"/>
    <s v="NO"/>
    <n v="0.36"/>
    <n v="0"/>
  </r>
  <r>
    <x v="1645"/>
    <s v="LH-1206"/>
    <x v="0"/>
    <s v="Produciendo"/>
    <s v="Bombeo Mecánico"/>
    <x v="1"/>
    <s v="Las Heras Central Sur"/>
    <x v="0"/>
    <s v="NO"/>
    <n v="0.56800000000000006"/>
    <n v="0"/>
  </r>
  <r>
    <x v="1646"/>
    <s v="CG-801"/>
    <x v="0"/>
    <s v="Produciendo"/>
    <s v="Pistoneo"/>
    <x v="1"/>
    <s v="Barranca Baya Cerro Grande Noroeste"/>
    <x v="0"/>
    <s v="NO"/>
    <n v="0.48"/>
    <n v="0"/>
  </r>
  <r>
    <x v="1647"/>
    <s v="LH-1216"/>
    <x v="0"/>
    <s v="Produciendo"/>
    <s v="Bombeo Mecánico"/>
    <x v="1"/>
    <s v="Las Heras Central Sur"/>
    <x v="0"/>
    <s v="NO"/>
    <n v="0.55500000000000005"/>
    <n v="0"/>
  </r>
  <r>
    <x v="1648"/>
    <s v="CG-837"/>
    <x v="0"/>
    <s v="Produciendo"/>
    <s v="Cavidad Progresiva"/>
    <x v="1"/>
    <s v="Barranca Baya Cerro Grande Noroeste"/>
    <x v="0"/>
    <s v="NO"/>
    <n v="3.72"/>
    <n v="0"/>
  </r>
  <r>
    <x v="1649"/>
    <s v="CnE-1100"/>
    <x v="0"/>
    <s v="Reserva Recuperación Secundaria"/>
    <s v="Bombeo Mecánico"/>
    <x v="4"/>
    <s v="Barranca Baya Bloque 30"/>
    <x v="0"/>
    <s v="NO"/>
    <n v="1.17"/>
    <n v="0"/>
  </r>
  <r>
    <x v="1650"/>
    <s v="CnE-1187"/>
    <x v="0"/>
    <s v="Produciendo"/>
    <s v="Bombeo Mecánico"/>
    <x v="1"/>
    <s v="Barranca Baya Bloque 37"/>
    <x v="0"/>
    <s v="NO"/>
    <n v="4.7E-2"/>
    <n v="0"/>
  </r>
  <r>
    <x v="1651"/>
    <s v="CnE-1220"/>
    <x v="0"/>
    <s v="Produciendo"/>
    <s v="Bombeo Mecánico"/>
    <x v="1"/>
    <s v="Barranca Baya Bloque 30"/>
    <x v="0"/>
    <s v="NO"/>
    <n v="1.1500000000000001"/>
    <n v="0"/>
  </r>
  <r>
    <x v="1652"/>
    <s v="CG-864"/>
    <x v="0"/>
    <s v="Produciendo"/>
    <s v="Bombeo Mecánico"/>
    <x v="1"/>
    <s v="Cerro Grande Central"/>
    <x v="0"/>
    <s v="NO"/>
    <n v="2.4"/>
    <n v="0"/>
  </r>
  <r>
    <x v="1653"/>
    <s v="LH-1128a"/>
    <x v="0"/>
    <s v="Produciendo"/>
    <s v="Bombeo Mecánico"/>
    <x v="1"/>
    <s v="Las Heras Las Heras Bloque 3"/>
    <x v="0"/>
    <s v="NO"/>
    <n v="0.39"/>
    <n v="0"/>
  </r>
  <r>
    <x v="1654"/>
    <s v="CG-616"/>
    <x v="0"/>
    <s v="Produciendo"/>
    <s v="Bombeo Mecánico"/>
    <x v="1"/>
    <s v="Cerro Grande Central"/>
    <x v="0"/>
    <s v="NO"/>
    <n v="0.33900000000000002"/>
    <n v="0"/>
  </r>
  <r>
    <x v="1655"/>
    <s v="CnE-992"/>
    <x v="0"/>
    <s v="Reserva Recuperación Secundaria"/>
    <s v="Bombeo Mecánico"/>
    <x v="6"/>
    <s v="Barranca Baya Bloque 36"/>
    <x v="0"/>
    <s v="Oportunidad"/>
    <n v="0.88"/>
    <n v="0"/>
  </r>
  <r>
    <x v="1656"/>
    <s v="CG-645"/>
    <x v="0"/>
    <s v="Produciendo"/>
    <s v="Bombeo Mecánico"/>
    <x v="1"/>
    <s v="Cerro Grande Central"/>
    <x v="0"/>
    <s v="NO"/>
    <n v="0.92700000000000005"/>
    <n v="0"/>
  </r>
  <r>
    <x v="1657"/>
    <s v="CG-660"/>
    <x v="0"/>
    <s v="Produciendo"/>
    <s v="Bombeo Mecánico"/>
    <x v="1"/>
    <s v="Cerro Grande Central"/>
    <x v="0"/>
    <s v="NO"/>
    <n v="1.95"/>
    <n v="0"/>
  </r>
  <r>
    <x v="1658"/>
    <s v="CG-676"/>
    <x v="0"/>
    <s v="Produciendo"/>
    <s v="Bombeo Mecánico"/>
    <x v="1"/>
    <s v="Cerro Grande Central"/>
    <x v="0"/>
    <s v="NO"/>
    <n v="0.66"/>
    <n v="0"/>
  </r>
  <r>
    <x v="1659"/>
    <s v="CnE-1051"/>
    <x v="0"/>
    <s v="Produciendo"/>
    <s v="Bombeo Mecánico"/>
    <x v="1"/>
    <s v="Barranca Baya Bloque 30"/>
    <x v="0"/>
    <s v="NO"/>
    <n v="0.96"/>
    <n v="0"/>
  </r>
  <r>
    <x v="1660"/>
    <s v="CG-746"/>
    <x v="0"/>
    <s v="Produciendo"/>
    <s v="Bombeo Mecánico"/>
    <x v="1"/>
    <s v="Cerro Grande Central"/>
    <x v="0"/>
    <s v="NO"/>
    <n v="1.32"/>
    <n v="0"/>
  </r>
  <r>
    <x v="1661"/>
    <s v="CG.a-760"/>
    <x v="0"/>
    <s v="Produciendo"/>
    <s v="Bombeo Mecánico"/>
    <x v="1"/>
    <s v="Cerro Grande Noreste"/>
    <x v="0"/>
    <s v="NO"/>
    <n v="1.625"/>
    <n v="0"/>
  </r>
  <r>
    <x v="1662"/>
    <s v="BB-111"/>
    <x v="0"/>
    <s v="En Estudio"/>
    <s v="Pistoneo"/>
    <x v="5"/>
    <s v="Barranca Baya Bloque 36"/>
    <x v="1"/>
    <s v="NO"/>
    <n v="0.21400000000000002"/>
    <n v="0"/>
  </r>
  <r>
    <x v="1663"/>
    <s v="CG-744"/>
    <x v="0"/>
    <s v="Produciendo"/>
    <s v="Electro Sumergible"/>
    <x v="1"/>
    <s v="Cerro Grande Central"/>
    <x v="0"/>
    <s v="NO"/>
    <n v="1.86"/>
    <n v="0"/>
  </r>
  <r>
    <x v="1664"/>
    <s v="CG-898a"/>
    <x v="0"/>
    <s v="Produciendo"/>
    <s v="Bombeo Mecánico"/>
    <x v="1"/>
    <s v="Barranca Baya Bloque 26"/>
    <x v="0"/>
    <s v="NO"/>
    <n v="1.2"/>
    <n v="0"/>
  </r>
  <r>
    <x v="1665"/>
    <s v="CnE-1278"/>
    <x v="0"/>
    <s v="Produciendo"/>
    <s v="Bombeo Mecánico"/>
    <x v="1"/>
    <s v="Barranca Baya Bloque 30"/>
    <x v="0"/>
    <s v="NO"/>
    <n v="0.42"/>
    <n v="0"/>
  </r>
  <r>
    <x v="1666"/>
    <s v="CnE-1293"/>
    <x v="0"/>
    <s v="Produciendo"/>
    <s v="Bombeo Mecánico"/>
    <x v="1"/>
    <s v="Barranca Baya Bloque 30"/>
    <x v="0"/>
    <s v="NO"/>
    <n v="2.09"/>
    <n v="0"/>
  </r>
  <r>
    <x v="1667"/>
    <s v="CG-907"/>
    <x v="0"/>
    <s v="Produciendo"/>
    <s v="Bombeo Mecánico"/>
    <x v="1"/>
    <s v="Cerro Grande Noreste"/>
    <x v="0"/>
    <s v="NO"/>
    <n v="2.64"/>
    <n v="0"/>
  </r>
  <r>
    <x v="1668"/>
    <s v="CnE-1370"/>
    <x v="0"/>
    <s v="Produciendo"/>
    <s v="Bombeo Mecánico"/>
    <x v="1"/>
    <s v="Barranca Baya Bloque 26"/>
    <x v="0"/>
    <s v="NO"/>
    <n v="2.7"/>
    <n v="0"/>
  </r>
  <r>
    <x v="1669"/>
    <s v="CG-975a"/>
    <x v="0"/>
    <s v="Produciendo"/>
    <s v="Cavidad Progresiva"/>
    <x v="1"/>
    <s v="Barranca Baya Cerro Grande Sur"/>
    <x v="0"/>
    <s v="NO"/>
    <n v="3.61"/>
    <n v="0"/>
  </r>
  <r>
    <x v="1670"/>
    <s v="LH-523"/>
    <x v="0"/>
    <s v="Reserva Recuperación Secundaria"/>
    <s v="Pistoneo"/>
    <x v="4"/>
    <s v="Las Heras Central Sur"/>
    <x v="0"/>
    <s v="NO"/>
    <n v="0.11600000000000001"/>
    <n v="0"/>
  </r>
  <r>
    <x v="1671"/>
    <s v="LH-535"/>
    <x v="0"/>
    <s v="Abandono Permanente"/>
    <s v="No Posee"/>
    <x v="3"/>
    <s v="Las Heras Las Heras Bloque 3"/>
    <x v="0"/>
    <s v="NO"/>
    <s v="NO"/>
    <s v="NO"/>
  </r>
  <r>
    <x v="1672"/>
    <s v="CG-6"/>
    <x v="0"/>
    <s v="Reserva Recuperación Secundaria"/>
    <s v="Bombeo Mecánico"/>
    <x v="4"/>
    <s v="Barranca Baya Cerro Grande Noroeste"/>
    <x v="0"/>
    <s v="NO"/>
    <n v="0.61299999999999999"/>
    <n v="0"/>
  </r>
  <r>
    <x v="1673"/>
    <s v="CG-191"/>
    <x v="0"/>
    <s v="Produciendo"/>
    <s v="Bombeo Mecánico"/>
    <x v="1"/>
    <s v="Barranca Baya Cerro Grande Norte"/>
    <x v="0"/>
    <s v="NO"/>
    <n v="2.625"/>
    <n v="0"/>
  </r>
  <r>
    <x v="1674"/>
    <s v="LC-634a"/>
    <x v="0"/>
    <s v="Produciendo"/>
    <s v="Bombeo Mecánico"/>
    <x v="1"/>
    <s v="Lomas del Cuy- Cerro Grande Norte"/>
    <x v="0"/>
    <s v="NO"/>
    <n v="1.512"/>
    <n v="0"/>
  </r>
  <r>
    <x v="1675"/>
    <s v="CnE-39"/>
    <x v="0"/>
    <s v="Produciendo"/>
    <s v="Bombeo Mecánico"/>
    <x v="1"/>
    <s v="Barranca Baya Bloque 26"/>
    <x v="0"/>
    <s v="NO"/>
    <n v="1.28"/>
    <n v="0"/>
  </r>
  <r>
    <x v="1676"/>
    <s v="CnE-110"/>
    <x v="0"/>
    <s v="Produciendo"/>
    <s v="Bombeo Mecánico"/>
    <x v="1"/>
    <s v="Barranca Baya Bloque 26"/>
    <x v="0"/>
    <s v="NO"/>
    <n v="0.64"/>
    <n v="0"/>
  </r>
  <r>
    <x v="1677"/>
    <s v="CnE-141"/>
    <x v="0"/>
    <s v="Produciendo"/>
    <s v="Bombeo Mecánico"/>
    <x v="1"/>
    <s v="Barranca Baya Bloque 40"/>
    <x v="0"/>
    <s v="NO"/>
    <n v="0.9"/>
    <n v="0"/>
  </r>
  <r>
    <x v="1678"/>
    <s v="CnE-220"/>
    <x v="0"/>
    <s v="Produciendo"/>
    <s v="Bombeo Mecánico"/>
    <x v="1"/>
    <s v="Barranca Baya Bloque 30"/>
    <x v="0"/>
    <s v="NO"/>
    <n v="2.88"/>
    <n v="0"/>
  </r>
  <r>
    <x v="1679"/>
    <s v="CnE-255"/>
    <x v="0"/>
    <s v="Produciendo"/>
    <s v="Bombeo Mecánico"/>
    <x v="1"/>
    <s v="Barranca Baya Bloque 30"/>
    <x v="0"/>
    <s v="NO"/>
    <n v="0.8"/>
    <n v="0"/>
  </r>
  <r>
    <x v="1680"/>
    <s v="CnE-257"/>
    <x v="0"/>
    <s v="Produciendo"/>
    <s v="Bombeo Mecánico"/>
    <x v="1"/>
    <s v="Barranca Baya Bloque 30"/>
    <x v="0"/>
    <s v="NO"/>
    <n v="2.835"/>
    <n v="0"/>
  </r>
  <r>
    <x v="1681"/>
    <s v="CnE-323"/>
    <x v="0"/>
    <s v="Espera Equipo Reparación"/>
    <s v="Inyección"/>
    <x v="5"/>
    <s v="Barranca Baya Bloque 30"/>
    <x v="1"/>
    <s v="NO"/>
    <n v="0"/>
    <n v="0"/>
  </r>
  <r>
    <x v="1682"/>
    <s v="CnE-407"/>
    <x v="0"/>
    <s v="Produciendo"/>
    <s v="Inyección"/>
    <x v="1"/>
    <s v="Barranca Baya Bloque 36"/>
    <x v="0"/>
    <s v="NO"/>
    <n v="0"/>
    <n v="0"/>
  </r>
  <r>
    <x v="1683"/>
    <s v="CnE-410"/>
    <x v="0"/>
    <s v="Produciendo"/>
    <s v="Bombeo Mecánico"/>
    <x v="1"/>
    <s v="Barranca Baya Bloque 36"/>
    <x v="0"/>
    <s v="NO"/>
    <n v="1.2"/>
    <n v="0"/>
  </r>
  <r>
    <x v="1684"/>
    <s v="CnE-445"/>
    <x v="0"/>
    <s v="Produciendo"/>
    <s v="Inyección"/>
    <x v="1"/>
    <s v="Barranca Baya Bloque 36"/>
    <x v="0"/>
    <s v="NO"/>
    <n v="0"/>
    <n v="0"/>
  </r>
  <r>
    <x v="1685"/>
    <s v="LH.a-2"/>
    <x v="0"/>
    <s v="Abandono Permanente"/>
    <s v="No Posee"/>
    <x v="3"/>
    <s v="Las Heras Las Heras Bloque 3"/>
    <x v="0"/>
    <s v="NO"/>
    <n v="8.900000000000001E-2"/>
    <n v="0"/>
  </r>
  <r>
    <x v="1686"/>
    <s v="LH-100"/>
    <x v="0"/>
    <s v="Produciendo"/>
    <s v="Inyección"/>
    <x v="1"/>
    <s v="Las Heras Las Heras Bloque 3"/>
    <x v="0"/>
    <s v="NO"/>
    <n v="0"/>
    <n v="0"/>
  </r>
  <r>
    <x v="1687"/>
    <s v="LH-506"/>
    <x v="0"/>
    <s v="Parado Alta Rap"/>
    <s v="Bombeo Mecánico"/>
    <x v="5"/>
    <s v="Las Heras Central Sur"/>
    <x v="1"/>
    <s v="NO"/>
    <n v="0.47500000000000003"/>
    <n v="0"/>
  </r>
  <r>
    <x v="1688"/>
    <s v="LH-584"/>
    <x v="0"/>
    <s v="Reserva Recuperación Secundaria"/>
    <s v="Bombeo Mecánico"/>
    <x v="4"/>
    <s v="Las Heras Central Sur"/>
    <x v="0"/>
    <s v="NO"/>
    <n v="8.5000000000000006E-2"/>
    <n v="0"/>
  </r>
  <r>
    <x v="1689"/>
    <s v="LH-604"/>
    <x v="0"/>
    <s v="En Estudio"/>
    <s v="No Posee"/>
    <x v="2"/>
    <s v="Las Heras Central Sur"/>
    <x v="0"/>
    <s v="NO"/>
    <n v="0.42"/>
    <s v="Ultimo Año"/>
  </r>
  <r>
    <x v="1690"/>
    <s v="LH-702"/>
    <x v="0"/>
    <s v="Produciendo"/>
    <s v="Pistoneo"/>
    <x v="1"/>
    <s v="Las Heras Cerro Grande Sur"/>
    <x v="0"/>
    <s v="NO"/>
    <n v="0.10400000000000001"/>
    <n v="0"/>
  </r>
  <r>
    <x v="1691"/>
    <s v="LH-872"/>
    <x v="0"/>
    <s v="Produciendo"/>
    <s v="Bombeo Mecánico"/>
    <x v="1"/>
    <s v="Las Heras Central Sur"/>
    <x v="0"/>
    <s v="NO"/>
    <n v="7.0000000000000007E-2"/>
    <n v="0"/>
  </r>
  <r>
    <x v="1692"/>
    <s v="LH-877"/>
    <x v="0"/>
    <s v="Espera Equipo Reparación"/>
    <s v="Inyección"/>
    <x v="5"/>
    <s v="Las Heras Central Sur"/>
    <x v="1"/>
    <s v="NO"/>
    <n v="0"/>
    <n v="0"/>
  </r>
  <r>
    <x v="1693"/>
    <s v="CG-114"/>
    <x v="0"/>
    <s v="Produciendo"/>
    <s v="Bombeo Mecánico"/>
    <x v="1"/>
    <s v="Barranca Baya Bloque 26"/>
    <x v="0"/>
    <s v="NO"/>
    <n v="0.84"/>
    <n v="0"/>
  </r>
  <r>
    <x v="1694"/>
    <s v="CG-181"/>
    <x v="0"/>
    <s v="Produciendo"/>
    <s v="Bombeo Mecánico"/>
    <x v="1"/>
    <s v="Cerro Grande Central"/>
    <x v="0"/>
    <s v="NO"/>
    <n v="0.52"/>
    <n v="0"/>
  </r>
  <r>
    <x v="1695"/>
    <s v="CG-227"/>
    <x v="0"/>
    <s v="Produciendo"/>
    <s v="Pistoneo"/>
    <x v="1"/>
    <s v="Cerro Grande Central"/>
    <x v="0"/>
    <s v="NO"/>
    <n v="0.10400000000000001"/>
    <n v="0"/>
  </r>
  <r>
    <x v="1696"/>
    <s v="CG-242"/>
    <x v="0"/>
    <s v="Produciendo"/>
    <s v="Bombeo Mecánico"/>
    <x v="1"/>
    <s v="Barranca Baya Cerro Grande Norte"/>
    <x v="0"/>
    <s v="NO"/>
    <n v="2.1"/>
    <n v="0"/>
  </r>
  <r>
    <x v="1697"/>
    <s v="CG-378"/>
    <x v="0"/>
    <s v="Produciendo"/>
    <s v="Bombeo Mecánico"/>
    <x v="1"/>
    <s v="Barranca Baya Bloque 26"/>
    <x v="0"/>
    <s v="NO"/>
    <n v="1.1000000000000001"/>
    <n v="0"/>
  </r>
  <r>
    <x v="1698"/>
    <s v="CG-425"/>
    <x v="0"/>
    <s v="Reserva Recuperación Secundaria"/>
    <s v="No Posee"/>
    <x v="4"/>
    <s v="Cerro Grande Central"/>
    <x v="0"/>
    <s v="NO"/>
    <n v="0.64"/>
    <n v="0"/>
  </r>
  <r>
    <x v="1699"/>
    <s v="CG-428"/>
    <x v="0"/>
    <s v="Produciendo"/>
    <s v="Electro Sumergible"/>
    <x v="1"/>
    <s v="Barranca Baya Cerro Grande Norte"/>
    <x v="0"/>
    <s v="NO"/>
    <n v="1.375"/>
    <n v="0"/>
  </r>
  <r>
    <x v="1700"/>
    <s v="CG-446"/>
    <x v="0"/>
    <s v="Produciendo"/>
    <s v="Bombeo Mecánico"/>
    <x v="1"/>
    <s v="Cerro Grande Central"/>
    <x v="0"/>
    <s v="NO"/>
    <n v="1.798"/>
    <n v="0"/>
  </r>
  <r>
    <x v="1701"/>
    <s v="N-51"/>
    <x v="0"/>
    <s v="Abandono Permanente"/>
    <s v="No Posee"/>
    <x v="3"/>
    <s v="Las Heras Las Heras Bloque 3"/>
    <x v="0"/>
    <s v="NO"/>
    <n v="0.08"/>
    <n v="0"/>
  </r>
  <r>
    <x v="1702"/>
    <s v="CnE-54"/>
    <x v="0"/>
    <s v="Reserva Recuperación Secundaria"/>
    <s v="Inyección"/>
    <x v="4"/>
    <s v="Barranca Baya Bloque 26"/>
    <x v="0"/>
    <s v="NO"/>
    <n v="0"/>
    <n v="0"/>
  </r>
  <r>
    <x v="1703"/>
    <s v="CnE-133"/>
    <x v="0"/>
    <s v="Produciendo"/>
    <s v="Bombeo Mecánico"/>
    <x v="1"/>
    <s v="Barranca Baya Bloque 37"/>
    <x v="0"/>
    <s v="NO"/>
    <n v="1.109"/>
    <n v="0"/>
  </r>
  <r>
    <x v="1704"/>
    <s v="CnE-357"/>
    <x v="0"/>
    <s v="Espera Equipo Reparación"/>
    <s v="No Posee"/>
    <x v="5"/>
    <s v="Barranca Baya Bloque 36"/>
    <x v="1"/>
    <s v="NO"/>
    <n v="0.68500000000000005"/>
    <n v="0"/>
  </r>
  <r>
    <x v="1705"/>
    <s v="CnE-542"/>
    <x v="0"/>
    <s v="Produciendo"/>
    <s v="Bombeo Mecánico"/>
    <x v="1"/>
    <s v="Barranca Baya Bloque 36"/>
    <x v="0"/>
    <s v="NO"/>
    <n v="0.78"/>
    <n v="0"/>
  </r>
  <r>
    <x v="1706"/>
    <s v="CnE-648"/>
    <x v="0"/>
    <s v="Parado Alta Rap"/>
    <s v="Bombeo Mecánico"/>
    <x v="5"/>
    <s v="Barranca Baya Bloque 37"/>
    <x v="1"/>
    <s v="NO"/>
    <n v="0.45"/>
    <n v="0"/>
  </r>
  <r>
    <x v="1707"/>
    <s v="N-53"/>
    <x v="0"/>
    <s v="Abandono Permanente"/>
    <s v="No Posee"/>
    <x v="3"/>
    <s v="Barranca Baya Cerro Grande Norte"/>
    <x v="0"/>
    <s v="NO"/>
    <s v="NO"/>
    <s v="NO"/>
  </r>
  <r>
    <x v="1708"/>
    <s v="CnE-12"/>
    <x v="0"/>
    <s v="Reserva Recuperación Secundaria"/>
    <s v="No Posee"/>
    <x v="4"/>
    <s v="Barranca Baya Bloque 30"/>
    <x v="0"/>
    <s v="NO"/>
    <n v="0.74"/>
    <n v="0"/>
  </r>
  <r>
    <x v="1709"/>
    <s v="CnE-37"/>
    <x v="0"/>
    <s v="Espera Equipo Reparación"/>
    <s v="Bombeo Mecánico"/>
    <x v="5"/>
    <s v="Barranca Baya Bloque 26"/>
    <x v="1"/>
    <s v="NO"/>
    <n v="0.26500000000000001"/>
    <n v="0"/>
  </r>
  <r>
    <x v="1710"/>
    <s v="CnE-68"/>
    <x v="0"/>
    <s v="Produciendo"/>
    <s v="Bombeo Mecánico"/>
    <x v="1"/>
    <s v="Barranca Baya Bloque 26"/>
    <x v="0"/>
    <s v="NO"/>
    <n v="0.70000000000000007"/>
    <n v="0"/>
  </r>
  <r>
    <x v="1711"/>
    <s v="CnE-111"/>
    <x v="0"/>
    <s v="Espera Equipo Reparación"/>
    <s v="Bombeo Mecánico"/>
    <x v="5"/>
    <s v="Barranca Baya Bloque 26"/>
    <x v="1"/>
    <s v="NO"/>
    <n v="0.39"/>
    <n v="0"/>
  </r>
  <r>
    <x v="1712"/>
    <s v="CnE-114"/>
    <x v="0"/>
    <s v="Reserva Recuperación Secundaria"/>
    <s v="No Posee"/>
    <x v="4"/>
    <s v="Barranca Baya Bloque 26"/>
    <x v="0"/>
    <s v="NO"/>
    <s v="NO"/>
    <s v="NO"/>
  </r>
  <r>
    <x v="1713"/>
    <s v="CnE-322"/>
    <x v="0"/>
    <s v="Produciendo"/>
    <s v="Bombeo Mecánico"/>
    <x v="1"/>
    <s v="Barranca Baya Bloque 30"/>
    <x v="0"/>
    <s v="NO"/>
    <n v="0.99"/>
    <n v="0"/>
  </r>
  <r>
    <x v="1714"/>
    <s v="CnE-328"/>
    <x v="0"/>
    <s v="Produciendo"/>
    <s v="Inyección"/>
    <x v="1"/>
    <s v="Barranca Baya Bloque 36"/>
    <x v="0"/>
    <s v="NO"/>
    <n v="0"/>
    <n v="0"/>
  </r>
  <r>
    <x v="1715"/>
    <s v="CnE-335"/>
    <x v="0"/>
    <s v="Espera Equipo Reparación"/>
    <s v="No Posee"/>
    <x v="5"/>
    <s v="Barranca Baya Bloque 36"/>
    <x v="1"/>
    <s v="NO"/>
    <n v="1.32"/>
    <n v="0"/>
  </r>
  <r>
    <x v="1716"/>
    <s v="CnE-336"/>
    <x v="0"/>
    <s v="Reserva Recuperación Secundaria"/>
    <s v="Inyección"/>
    <x v="4"/>
    <s v="Barranca Baya Bloque 36"/>
    <x v="0"/>
    <s v="NO"/>
    <n v="0"/>
    <n v="0"/>
  </r>
  <r>
    <x v="1717"/>
    <s v="CnE-363"/>
    <x v="0"/>
    <s v="Espera Equipo Reparación"/>
    <s v="Bombeo Mecánico"/>
    <x v="5"/>
    <s v="Barranca Baya Bloque 36"/>
    <x v="1"/>
    <s v="NO"/>
    <n v="0.48"/>
    <n v="0"/>
  </r>
  <r>
    <x v="1718"/>
    <s v="CnE-425"/>
    <x v="0"/>
    <s v="Produciendo"/>
    <s v="Inyección"/>
    <x v="1"/>
    <s v="Barranca Baya Bloque 36"/>
    <x v="0"/>
    <s v="NO"/>
    <n v="0"/>
    <n v="0"/>
  </r>
  <r>
    <x v="1719"/>
    <s v="CnE-545"/>
    <x v="0"/>
    <s v="Reserva Recuperación Secundaria"/>
    <s v="No Posee"/>
    <x v="4"/>
    <s v="Barranca Baya Bloque 36"/>
    <x v="0"/>
    <s v="NO"/>
    <n v="0.69700000000000006"/>
    <n v="0"/>
  </r>
  <r>
    <x v="1720"/>
    <s v="CnE-546"/>
    <x v="0"/>
    <s v="Produciendo"/>
    <s v="Pistoneo"/>
    <x v="1"/>
    <s v="Barranca Baya Bloque 36"/>
    <x v="0"/>
    <s v="NO"/>
    <n v="9.5000000000000001E-2"/>
    <n v="0"/>
  </r>
  <r>
    <x v="1721"/>
    <s v="CnE-619"/>
    <x v="0"/>
    <s v="Espera Equipo Reparación"/>
    <s v="Bombeo Mecánico"/>
    <x v="5"/>
    <s v="Barranca Baya Bloque 37"/>
    <x v="1"/>
    <s v="NO"/>
    <n v="1.98"/>
    <n v="0"/>
  </r>
  <r>
    <x v="1722"/>
    <s v="CnE-659"/>
    <x v="0"/>
    <s v="Produciendo"/>
    <s v="Bombeo Mecánico"/>
    <x v="1"/>
    <s v="Barranca Baya Bloque 37"/>
    <x v="0"/>
    <s v="NO"/>
    <n v="1.53"/>
    <n v="0"/>
  </r>
  <r>
    <x v="1723"/>
    <s v="CnE-743"/>
    <x v="0"/>
    <s v="En Estudio"/>
    <s v="Inyección"/>
    <x v="5"/>
    <s v="Barranca Baya Bloque 38"/>
    <x v="1"/>
    <s v="NO"/>
    <n v="0"/>
    <n v="0"/>
  </r>
  <r>
    <x v="1724"/>
    <s v="CnE-841"/>
    <x v="0"/>
    <s v="En Estudio"/>
    <s v="Bombeo Mecánico"/>
    <x v="5"/>
    <s v="Barranca Baya Bloque 36"/>
    <x v="1"/>
    <s v="NO"/>
    <n v="0"/>
    <n v="0"/>
  </r>
  <r>
    <x v="1725"/>
    <s v="CnE-457"/>
    <x v="0"/>
    <s v="En Estudio"/>
    <s v="Bombeo Mecánico"/>
    <x v="5"/>
    <s v="Barranca Baya Bloque 37"/>
    <x v="1"/>
    <s v="NO"/>
    <n v="0.312"/>
    <n v="0"/>
  </r>
  <r>
    <x v="1726"/>
    <s v="CnE-517"/>
    <x v="0"/>
    <s v="Produciendo"/>
    <s v="Bombeo Mecánico"/>
    <x v="1"/>
    <s v="Barranca Baya Bloque 30"/>
    <x v="0"/>
    <s v="NO"/>
    <n v="1.02"/>
    <n v="0"/>
  </r>
  <r>
    <x v="1727"/>
    <s v="CnE-637"/>
    <x v="0"/>
    <s v="Produciendo"/>
    <s v="Pistoneo"/>
    <x v="1"/>
    <s v="Barranca Baya"/>
    <x v="0"/>
    <s v="Oportunidad"/>
    <n v="0.192"/>
    <n v="0"/>
  </r>
  <r>
    <x v="1728"/>
    <s v="CnE-684"/>
    <x v="0"/>
    <s v="Abandono Permanente"/>
    <s v="No Posee"/>
    <x v="3"/>
    <s v="Barranca Baya Bloque 36"/>
    <x v="0"/>
    <s v="NO"/>
    <s v="NO"/>
    <s v="NO"/>
  </r>
  <r>
    <x v="1729"/>
    <s v="CnE-726"/>
    <x v="0"/>
    <s v="Produciendo"/>
    <s v="Bombeo Mecánico"/>
    <x v="1"/>
    <s v="Barranca Baya Bloque 38"/>
    <x v="0"/>
    <s v="NO"/>
    <n v="0.95000000000000007"/>
    <n v="0"/>
  </r>
  <r>
    <x v="1730"/>
    <s v="CnE-751"/>
    <x v="0"/>
    <s v="Produciendo"/>
    <s v="Bombeo Mecánico"/>
    <x v="1"/>
    <s v="Barranca Baya Bloque 37"/>
    <x v="0"/>
    <s v="NO"/>
    <n v="0.48900000000000005"/>
    <n v="0"/>
  </r>
  <r>
    <x v="1731"/>
    <s v="CnE-777"/>
    <x v="0"/>
    <s v="Produciendo"/>
    <s v="Electro Sumergible"/>
    <x v="1"/>
    <s v="Barranca Baya Bloque 36"/>
    <x v="0"/>
    <s v="NO"/>
    <n v="0.96"/>
    <n v="0"/>
  </r>
  <r>
    <x v="1732"/>
    <s v="CnE-784"/>
    <x v="0"/>
    <s v="Parado Alta Rap"/>
    <s v="Bombeo Mecánico"/>
    <x v="5"/>
    <s v="Barranca Baya Bloque 37"/>
    <x v="1"/>
    <s v="NO"/>
    <n v="0.2"/>
    <n v="0"/>
  </r>
  <r>
    <x v="1733"/>
    <s v="CnE-818"/>
    <x v="0"/>
    <s v="Produciendo"/>
    <s v="Bombeo Mecánico"/>
    <x v="1"/>
    <s v="Barranca Baya Bloque 37"/>
    <x v="0"/>
    <s v="NO"/>
    <n v="0.1"/>
    <n v="0"/>
  </r>
  <r>
    <x v="1734"/>
    <s v="LH-43"/>
    <x v="0"/>
    <s v="Abandono Permanente"/>
    <s v="No Posee"/>
    <x v="3"/>
    <s v="Las Heras Central Sur"/>
    <x v="0"/>
    <s v="NO"/>
    <s v="NO"/>
    <s v="NO"/>
  </r>
  <r>
    <x v="1735"/>
    <s v="CnE-857"/>
    <x v="0"/>
    <s v="Produciendo"/>
    <s v="Bombeo Mecánico"/>
    <x v="1"/>
    <s v="Barranca Baya Bloque 37"/>
    <x v="0"/>
    <s v="NO"/>
    <n v="1.7050000000000001"/>
    <n v="0"/>
  </r>
  <r>
    <x v="1736"/>
    <s v="LH-97"/>
    <x v="0"/>
    <s v="Reserva Recuperación Secundaria"/>
    <s v="Pistoneo"/>
    <x v="4"/>
    <s v="Las Heras Bloque 2"/>
    <x v="0"/>
    <s v="NO"/>
    <n v="9.4E-2"/>
    <n v="0"/>
  </r>
  <r>
    <x v="1737"/>
    <s v="LH-238"/>
    <x v="0"/>
    <s v="Abandono Permanente"/>
    <s v="No Posee"/>
    <x v="3"/>
    <s v="Las Heras Central Sur"/>
    <x v="0"/>
    <s v="NO"/>
    <s v="NO"/>
    <s v="NO"/>
  </r>
  <r>
    <x v="1738"/>
    <s v="BO-1"/>
    <x v="0"/>
    <s v="Abandono Permanente"/>
    <s v="No Posee"/>
    <x v="3"/>
    <s v="Barranca Baya"/>
    <x v="0"/>
    <s v="NO"/>
    <s v="NO"/>
    <s v="NO"/>
  </r>
  <r>
    <x v="1739"/>
    <s v="CnE-866"/>
    <x v="0"/>
    <s v="Reserva Recuperación Secundaria"/>
    <s v="No Posee"/>
    <x v="4"/>
    <s v="Barranca Baya Bloque 36"/>
    <x v="0"/>
    <s v="NO"/>
    <n v="1.052"/>
    <n v="0"/>
  </r>
  <r>
    <x v="1740"/>
    <s v="LC-635a"/>
    <x v="0"/>
    <s v="Abandono Permanente"/>
    <s v="No Posee"/>
    <x v="3"/>
    <s v="Lomas del Cuy- Cerro Grande Norte"/>
    <x v="0"/>
    <s v="NO"/>
    <s v="NO"/>
    <s v="NO"/>
  </r>
  <r>
    <x v="1741"/>
    <s v="CnE-731"/>
    <x v="0"/>
    <s v="En Estudio"/>
    <s v="Inyección"/>
    <x v="5"/>
    <s v="Barranca Baya Bloque 40"/>
    <x v="1"/>
    <s v="NO"/>
    <n v="0"/>
    <n v="0"/>
  </r>
  <r>
    <x v="1742"/>
    <s v="CnE-788"/>
    <x v="0"/>
    <s v="Reserva Recuperación Secundaria"/>
    <s v="Bombeo Mecánico"/>
    <x v="4"/>
    <s v="Barranca Baya Bloque 30"/>
    <x v="0"/>
    <s v="NO"/>
    <n v="0.25"/>
    <n v="0"/>
  </r>
  <r>
    <x v="1743"/>
    <s v="CnE-820"/>
    <x v="0"/>
    <s v="Produciendo"/>
    <s v="Bombeo Mecánico"/>
    <x v="1"/>
    <s v="Barranca Baya Bloque 40"/>
    <x v="0"/>
    <s v="NO"/>
    <n v="2"/>
    <n v="0"/>
  </r>
  <r>
    <x v="1744"/>
    <s v="BB-35"/>
    <x v="0"/>
    <s v="Produciendo"/>
    <s v="Bombeo Mecánico"/>
    <x v="1"/>
    <s v="Barranca Baya Bloque 36"/>
    <x v="0"/>
    <s v="NO"/>
    <n v="1.2"/>
    <n v="0"/>
  </r>
  <r>
    <x v="1745"/>
    <s v="CnE-127"/>
    <x v="0"/>
    <s v="Reserva Recuperación Secundaria"/>
    <s v="No Posee"/>
    <x v="4"/>
    <s v="Barranca Baya Bloque 30"/>
    <x v="0"/>
    <s v="NO"/>
    <n v="0.33600000000000002"/>
    <n v="0"/>
  </r>
  <r>
    <x v="1746"/>
    <s v="CnE-289"/>
    <x v="0"/>
    <s v="Abandono Permanente"/>
    <s v="No Posee"/>
    <x v="3"/>
    <s v="Barranca Baya Bloque 30"/>
    <x v="0"/>
    <s v="NO"/>
    <s v="NO"/>
    <s v="NO"/>
  </r>
  <r>
    <x v="1747"/>
    <s v="LH-112"/>
    <x v="0"/>
    <s v="Abandono Permanente"/>
    <s v="No Posee"/>
    <x v="3"/>
    <s v="Las Heras Las Heras Bloque 3"/>
    <x v="0"/>
    <s v="NO"/>
    <s v="NO"/>
    <s v="NO"/>
  </r>
  <r>
    <x v="1748"/>
    <s v="LH-544"/>
    <x v="0"/>
    <s v="Reserva Recuperación Secundaria"/>
    <s v="Pistoneo"/>
    <x v="4"/>
    <s v="Las Heras Central Sur"/>
    <x v="0"/>
    <s v="NO"/>
    <n v="0.216"/>
    <n v="0"/>
  </r>
  <r>
    <x v="1749"/>
    <s v="CnE-4"/>
    <x v="0"/>
    <s v="Reserva Recuperación Secundaria"/>
    <s v="No Posee"/>
    <x v="4"/>
    <s v="Barranca Baya Bloque 40"/>
    <x v="0"/>
    <s v="NO"/>
    <s v="NO"/>
    <s v="NO"/>
  </r>
  <r>
    <x v="1750"/>
    <s v="LH-965"/>
    <x v="0"/>
    <s v="Produciendo"/>
    <s v="Bombeo Mecánico"/>
    <x v="1"/>
    <s v="Las Heras Central Sur"/>
    <x v="0"/>
    <s v="NO"/>
    <n v="0.92"/>
    <n v="0"/>
  </r>
  <r>
    <x v="1751"/>
    <s v="LH-199"/>
    <x v="0"/>
    <s v="Abandono Permanente"/>
    <s v="No Posee"/>
    <x v="3"/>
    <s v="Las Heras Las Heras Bloque 3"/>
    <x v="0"/>
    <s v="NO"/>
    <s v="NO"/>
    <s v="NO"/>
  </r>
  <r>
    <x v="1752"/>
    <s v="LH-697"/>
    <x v="0"/>
    <s v="Produciendo"/>
    <s v="Inyección"/>
    <x v="1"/>
    <s v="Las Heras Cerro Grande Sur"/>
    <x v="0"/>
    <s v="NO"/>
    <n v="0"/>
    <n v="0"/>
  </r>
  <r>
    <x v="1753"/>
    <s v="LH-828"/>
    <x v="0"/>
    <s v="Abandono Permanente"/>
    <s v="No Posee"/>
    <x v="3"/>
    <s v="Las Heras Central Sur"/>
    <x v="0"/>
    <s v="NO"/>
    <n v="0"/>
    <n v="0"/>
  </r>
  <r>
    <x v="1754"/>
    <s v="LH-920"/>
    <x v="0"/>
    <s v="Produciendo"/>
    <s v="Pistoneo"/>
    <x v="1"/>
    <s v="Las Heras Central Sur"/>
    <x v="0"/>
    <s v="NO"/>
    <n v="0.154"/>
    <n v="0"/>
  </r>
  <r>
    <x v="1755"/>
    <s v="LH-927"/>
    <x v="0"/>
    <s v="Produciendo"/>
    <s v="Bombeo Mecánico"/>
    <x v="1"/>
    <s v="Las Heras Central Sur"/>
    <x v="0"/>
    <s v="NO"/>
    <n v="0.70000000000000007"/>
    <n v="0"/>
  </r>
  <r>
    <x v="1756"/>
    <s v="CG-72"/>
    <x v="0"/>
    <s v="Espera Equipo Reparación"/>
    <s v="Cavidad Progresiva"/>
    <x v="6"/>
    <s v="Barranca Baya Cerro Grande Noroeste"/>
    <x v="0"/>
    <s v="Oportunidad"/>
    <n v="1.022"/>
    <s v="Ultimo Año"/>
  </r>
  <r>
    <x v="1757"/>
    <s v="CG-91"/>
    <x v="0"/>
    <s v="Reserva Recuperación Secundaria"/>
    <s v="No Posee"/>
    <x v="4"/>
    <s v="Barranca Baya Bloque 26"/>
    <x v="0"/>
    <s v="NO"/>
    <n v="0.65400000000000003"/>
    <n v="0"/>
  </r>
  <r>
    <x v="1758"/>
    <s v="CG-215"/>
    <x v="0"/>
    <s v="Produciendo"/>
    <s v="Bombeo Mecánico"/>
    <x v="1"/>
    <s v="Barranca Baya Cerro Grande Norte"/>
    <x v="0"/>
    <s v="NO"/>
    <n v="2.16"/>
    <n v="0"/>
  </r>
  <r>
    <x v="1759"/>
    <s v="CG-385"/>
    <x v="0"/>
    <s v="Reserva Recuperación Secundaria"/>
    <s v="No Posee"/>
    <x v="4"/>
    <s v="Barranca Baya Bloque 26"/>
    <x v="0"/>
    <s v="NO"/>
    <n v="0.04"/>
    <n v="0"/>
  </r>
  <r>
    <x v="1760"/>
    <s v="CG-442"/>
    <x v="0"/>
    <s v="Reserva Recuperación Secundaria"/>
    <s v="No Posee"/>
    <x v="4"/>
    <s v="Barranca Baya Bloque 26"/>
    <x v="0"/>
    <s v="NO"/>
    <n v="0.64600000000000002"/>
    <n v="0"/>
  </r>
  <r>
    <x v="1761"/>
    <s v="CG-506"/>
    <x v="0"/>
    <s v="Espera Equipo Reparación"/>
    <s v="Bombeo Mecánico"/>
    <x v="5"/>
    <s v="Barranca Baya Las Heras Bloque 3"/>
    <x v="1"/>
    <s v="NO"/>
    <n v="1.232"/>
    <n v="0"/>
  </r>
  <r>
    <x v="1762"/>
    <s v="LC-454"/>
    <x v="0"/>
    <s v="Produciendo"/>
    <s v="Bombeo Mecánico"/>
    <x v="1"/>
    <s v="Lomas del Cuy- Cerro Grande Noroeste"/>
    <x v="0"/>
    <s v="NO"/>
    <n v="1.97"/>
    <n v="0"/>
  </r>
  <r>
    <x v="1763"/>
    <s v="N-43"/>
    <x v="0"/>
    <s v="Abandono Permanente"/>
    <s v="No Posee"/>
    <x v="3"/>
    <s v="Las Heras Bloque 2"/>
    <x v="0"/>
    <s v="NO"/>
    <s v="NO"/>
    <s v="NO"/>
  </r>
  <r>
    <x v="1764"/>
    <s v="CnE-105"/>
    <x v="0"/>
    <s v="En Estudio"/>
    <s v="No Posee"/>
    <x v="0"/>
    <s v="Barranca Baya Bloque 26"/>
    <x v="0"/>
    <s v="NO"/>
    <n v="0.9"/>
    <s v="Ultimos 6 meses"/>
  </r>
  <r>
    <x v="1765"/>
    <s v="CnE-142"/>
    <x v="0"/>
    <s v="Reserva Recuperación Secundaria"/>
    <s v="No Posee"/>
    <x v="4"/>
    <s v="Barranca Baya Bloque 40"/>
    <x v="0"/>
    <s v="NO"/>
    <s v="NO"/>
    <s v="NO"/>
  </r>
  <r>
    <x v="1766"/>
    <s v="CnE-291"/>
    <x v="0"/>
    <s v="Produciendo"/>
    <s v="Pistoneo"/>
    <x v="1"/>
    <s v="Barranca Baya Bloque 40"/>
    <x v="0"/>
    <s v="NO"/>
    <n v="0.125"/>
    <n v="0"/>
  </r>
  <r>
    <x v="1767"/>
    <s v="CnE-334"/>
    <x v="0"/>
    <s v="Produciendo"/>
    <s v="Bombeo Mecánico"/>
    <x v="1"/>
    <s v="Barranca Baya Bloque 36"/>
    <x v="0"/>
    <s v="NO"/>
    <n v="0.497"/>
    <n v="0"/>
  </r>
  <r>
    <x v="1768"/>
    <s v="CnE-399"/>
    <x v="0"/>
    <s v="Produciendo"/>
    <s v="Inyección"/>
    <x v="1"/>
    <s v="Barranca Baya Bloque 36"/>
    <x v="0"/>
    <s v="NO"/>
    <n v="0"/>
    <n v="0"/>
  </r>
  <r>
    <x v="1769"/>
    <s v="CnE-526"/>
    <x v="0"/>
    <s v="Produciendo"/>
    <s v="Bombeo Mecánico"/>
    <x v="1"/>
    <s v="Barranca Baya Bloque 37"/>
    <x v="0"/>
    <s v="NO"/>
    <n v="1.5640000000000001"/>
    <n v="0"/>
  </r>
  <r>
    <x v="1770"/>
    <s v="CnE-557"/>
    <x v="0"/>
    <s v="Produciendo"/>
    <s v="Inyección"/>
    <x v="1"/>
    <s v="Barranca Baya Bloque 36"/>
    <x v="0"/>
    <s v="NO"/>
    <n v="0"/>
    <n v="0"/>
  </r>
  <r>
    <x v="1771"/>
    <s v="CnE-606"/>
    <x v="0"/>
    <s v="Espera Equipo Reparación"/>
    <s v="Inyección"/>
    <x v="4"/>
    <s v="Barranca Baya Bloque 37"/>
    <x v="0"/>
    <s v="NO"/>
    <n v="0"/>
    <n v="0"/>
  </r>
  <r>
    <x v="1772"/>
    <s v="CnE-687"/>
    <x v="0"/>
    <s v="Produciendo"/>
    <s v="Bombeo Mecánico"/>
    <x v="1"/>
    <s v="Barranca Baya Bloque 37"/>
    <x v="0"/>
    <s v="NO"/>
    <n v="0.73499999999999999"/>
    <n v="0"/>
  </r>
  <r>
    <x v="1773"/>
    <s v="CnE-708"/>
    <x v="0"/>
    <s v="En Estudio"/>
    <s v="No Posee"/>
    <x v="5"/>
    <s v="Barranca Baya Bloque 37"/>
    <x v="1"/>
    <s v="NO"/>
    <n v="0"/>
    <n v="0"/>
  </r>
  <r>
    <x v="1774"/>
    <s v="CnE-793"/>
    <x v="0"/>
    <s v="En Estudio"/>
    <s v="No Posee"/>
    <x v="5"/>
    <s v="Barranca Baya Bloque 38"/>
    <x v="1"/>
    <s v="NO"/>
    <n v="0.04"/>
    <n v="0"/>
  </r>
  <r>
    <x v="1775"/>
    <s v="BB-53"/>
    <x v="0"/>
    <s v="Reserva Recuperación Secundaria"/>
    <s v="Bombeo Mecánico"/>
    <x v="4"/>
    <s v="Barranca Baya"/>
    <x v="0"/>
    <s v="NO"/>
    <n v="1.3340000000000001"/>
    <n v="0"/>
  </r>
  <r>
    <x v="1776"/>
    <s v="LH-128"/>
    <x v="0"/>
    <s v="Reserva Recuperación Secundaria"/>
    <s v="Pistoneo"/>
    <x v="4"/>
    <s v="Las Heras Las Heras Bloque 3"/>
    <x v="0"/>
    <s v="NO"/>
    <n v="3.9E-2"/>
    <n v="0"/>
  </r>
  <r>
    <x v="1777"/>
    <s v="LH-310"/>
    <x v="0"/>
    <s v="Abandono Permanente"/>
    <s v="No Posee"/>
    <x v="3"/>
    <s v="Las Heras Bloque 2"/>
    <x v="0"/>
    <s v="NO"/>
    <s v="NO"/>
    <s v="NO"/>
  </r>
  <r>
    <x v="1778"/>
    <s v="LH-531"/>
    <x v="0"/>
    <s v="Abandono Permanente"/>
    <s v="No Posee"/>
    <x v="3"/>
    <s v="Las Heras Las Heras Bloque 3"/>
    <x v="0"/>
    <s v="NO"/>
    <n v="0"/>
    <n v="0"/>
  </r>
  <r>
    <x v="1779"/>
    <s v="LH-577"/>
    <x v="0"/>
    <s v="Produciendo"/>
    <s v="Pistoneo"/>
    <x v="1"/>
    <s v="Las Heras Central Sur"/>
    <x v="0"/>
    <s v="NO"/>
    <n v="0.159"/>
    <n v="0"/>
  </r>
  <r>
    <x v="1780"/>
    <s v="LH-607"/>
    <x v="0"/>
    <s v="Reserva Recuperación Secundaria"/>
    <s v="Pistoneo"/>
    <x v="4"/>
    <s v="Las Heras Central Sur"/>
    <x v="0"/>
    <s v="NO"/>
    <n v="0.42400000000000004"/>
    <n v="0"/>
  </r>
  <r>
    <x v="1781"/>
    <s v="LH-673"/>
    <x v="0"/>
    <s v="En Estudio"/>
    <s v="Inyección"/>
    <x v="5"/>
    <s v="Las Heras Central Sur"/>
    <x v="1"/>
    <s v="NO"/>
    <n v="0"/>
    <n v="0"/>
  </r>
  <r>
    <x v="1782"/>
    <s v="LH-694"/>
    <x v="0"/>
    <s v="Produciendo"/>
    <s v="Inyección"/>
    <x v="1"/>
    <s v="Las Heras Cerro Grande Sur"/>
    <x v="0"/>
    <s v="Oportunidad"/>
    <n v="0"/>
    <n v="0"/>
  </r>
  <r>
    <x v="1783"/>
    <s v="LH-845"/>
    <x v="0"/>
    <s v="Abandono Permanente"/>
    <s v="No Posee"/>
    <x v="3"/>
    <s v="Las Heras Las Heras Bloque 3"/>
    <x v="0"/>
    <s v="NO"/>
    <n v="0"/>
    <n v="0"/>
  </r>
  <r>
    <x v="1784"/>
    <s v="CG-161"/>
    <x v="0"/>
    <s v="Reserva Recuperación Secundaria"/>
    <s v="No Posee"/>
    <x v="4"/>
    <s v="Cerro Grande Central"/>
    <x v="0"/>
    <s v="NO"/>
    <n v="0.21100000000000002"/>
    <n v="0"/>
  </r>
  <r>
    <x v="1785"/>
    <s v="CG-354"/>
    <x v="0"/>
    <s v="Espera Equipo Reparación"/>
    <s v="Inyección"/>
    <x v="5"/>
    <s v="Cerro Grande Central"/>
    <x v="1"/>
    <s v="NO"/>
    <n v="0"/>
    <n v="0"/>
  </r>
  <r>
    <x v="1786"/>
    <s v="LC-451"/>
    <x v="0"/>
    <s v="Produciendo"/>
    <s v="Inyección"/>
    <x v="1"/>
    <s v="Lomas del Cuy- Cerro Grande Noroeste"/>
    <x v="0"/>
    <s v="NO"/>
    <n v="0"/>
    <n v="0"/>
  </r>
  <r>
    <x v="1787"/>
    <s v="CnE-154"/>
    <x v="0"/>
    <s v="Reserva Recuperación Secundaria"/>
    <s v="Bombeo Mecánico"/>
    <x v="4"/>
    <s v="Barranca Baya Bloque 26"/>
    <x v="0"/>
    <s v="NO"/>
    <n v="0.28999999999999998"/>
    <n v="0"/>
  </r>
  <r>
    <x v="1788"/>
    <s v="CnE-221"/>
    <x v="0"/>
    <s v="Produciendo"/>
    <s v="Pistoneo"/>
    <x v="1"/>
    <s v="Barranca Baya Bloque 30"/>
    <x v="0"/>
    <s v="NO"/>
    <n v="9.6000000000000002E-2"/>
    <n v="0"/>
  </r>
  <r>
    <x v="1789"/>
    <s v="CnE-467"/>
    <x v="0"/>
    <s v="Produciendo"/>
    <s v="Inyección"/>
    <x v="1"/>
    <s v="Barranca Baya Bloque 37"/>
    <x v="0"/>
    <s v="NO"/>
    <n v="0"/>
    <n v="0"/>
  </r>
  <r>
    <x v="1790"/>
    <s v="CnE-473"/>
    <x v="0"/>
    <s v="Produciendo"/>
    <s v="Pistoneo"/>
    <x v="1"/>
    <s v="Barranca Baya Bloque 36"/>
    <x v="0"/>
    <s v="NO"/>
    <n v="2.9000000000000001E-2"/>
    <n v="0"/>
  </r>
  <r>
    <x v="1791"/>
    <s v="CnE-553"/>
    <x v="0"/>
    <s v="Espera Equipo Reparación"/>
    <s v="Bombeo Mecánico"/>
    <x v="6"/>
    <s v="Barranca Baya"/>
    <x v="0"/>
    <s v="Oportunidad"/>
    <n v="4.6000000000000005"/>
    <s v="Ultimos 6 meses"/>
  </r>
  <r>
    <x v="1792"/>
    <s v="CnE-651"/>
    <x v="0"/>
    <s v="Reserva Recuperación Secundaria"/>
    <s v="No Posee"/>
    <x v="4"/>
    <s v="Barranca Baya"/>
    <x v="0"/>
    <s v="NO"/>
    <n v="0.13800000000000001"/>
    <n v="0"/>
  </r>
  <r>
    <x v="1793"/>
    <s v="CnE-730"/>
    <x v="0"/>
    <s v="Produciendo"/>
    <s v="Bombeo Mecánico"/>
    <x v="1"/>
    <s v="Barranca Baya Bloque 40"/>
    <x v="0"/>
    <s v="NO"/>
    <n v="0.45"/>
    <n v="0"/>
  </r>
  <r>
    <x v="1794"/>
    <s v="CnE-848"/>
    <x v="0"/>
    <s v="Reserva Recuperación Secundaria"/>
    <s v="Inyección"/>
    <x v="4"/>
    <s v="Barranca Baya Bloque 36"/>
    <x v="0"/>
    <s v="NO"/>
    <n v="0"/>
    <n v="0"/>
  </r>
  <r>
    <x v="1795"/>
    <s v="BB-55"/>
    <x v="0"/>
    <s v="En Estudio"/>
    <s v="Bombeo Mecánico"/>
    <x v="5"/>
    <s v="Barranca Baya"/>
    <x v="1"/>
    <s v="NO"/>
    <n v="1.5"/>
    <n v="0"/>
  </r>
  <r>
    <x v="1796"/>
    <s v="BB-91"/>
    <x v="0"/>
    <s v="Produciendo"/>
    <s v="Pistoneo"/>
    <x v="1"/>
    <s v="Barranca Baya"/>
    <x v="0"/>
    <s v="NO"/>
    <n v="9.5000000000000001E-2"/>
    <n v="0"/>
  </r>
  <r>
    <x v="1797"/>
    <s v="CnE-204"/>
    <x v="0"/>
    <s v="Abandono Permanente"/>
    <s v="No Posee"/>
    <x v="3"/>
    <s v="Barranca Baya Bloque 37"/>
    <x v="0"/>
    <s v="NO"/>
    <s v="NO"/>
    <s v="NO"/>
  </r>
  <r>
    <x v="1798"/>
    <s v="LH-675"/>
    <x v="0"/>
    <s v="Produciendo"/>
    <s v="Cavidad Progresiva"/>
    <x v="1"/>
    <s v="Las Heras Central Sur"/>
    <x v="0"/>
    <s v="NO"/>
    <n v="0.32800000000000001"/>
    <n v="0"/>
  </r>
  <r>
    <x v="1799"/>
    <s v="LH-691"/>
    <x v="0"/>
    <s v="Produciendo"/>
    <s v="Inyección"/>
    <x v="1"/>
    <s v="Las Heras Cerro Grande Sur"/>
    <x v="0"/>
    <s v="NO"/>
    <n v="0"/>
    <n v="0"/>
  </r>
  <r>
    <x v="1800"/>
    <s v="CG-81"/>
    <x v="0"/>
    <s v="Abandono Permanente"/>
    <s v="No Posee"/>
    <x v="3"/>
    <s v="Cerro Grande Central"/>
    <x v="0"/>
    <s v="NO"/>
    <s v="NO"/>
    <s v="NO"/>
  </r>
  <r>
    <x v="1801"/>
    <s v="LC-627"/>
    <x v="0"/>
    <s v="Abandono Permanente"/>
    <s v="No Posee"/>
    <x v="3"/>
    <s v="Lomas del Cuy- Cerro Grande Noroeste"/>
    <x v="0"/>
    <s v="NO"/>
    <n v="4.9000000000000002E-2"/>
    <n v="0"/>
  </r>
  <r>
    <x v="1802"/>
    <s v="LH-1077"/>
    <x v="0"/>
    <s v="Reserva Recuperación Secundaria"/>
    <s v="Pistoneo"/>
    <x v="4"/>
    <s v="Las Heras Bloque 2"/>
    <x v="0"/>
    <s v="NO"/>
    <n v="0.32400000000000001"/>
    <n v="0"/>
  </r>
  <r>
    <x v="1803"/>
    <s v="LH-1089a"/>
    <x v="0"/>
    <s v="Produciendo"/>
    <s v="Bombeo Mecánico"/>
    <x v="1"/>
    <s v="Las Heras Las Heras Bloque 3"/>
    <x v="0"/>
    <s v="NO"/>
    <n v="1.0090000000000001"/>
    <n v="0"/>
  </r>
  <r>
    <x v="1804"/>
    <s v="CnE-915a"/>
    <x v="0"/>
    <s v="Reserva Recuperación Secundaria"/>
    <s v="Pistoneo"/>
    <x v="4"/>
    <s v="Barranca Baya Bloque 36"/>
    <x v="0"/>
    <s v="NO"/>
    <n v="0.5"/>
    <n v="0"/>
  </r>
  <r>
    <x v="1805"/>
    <s v="LH-1096a"/>
    <x v="0"/>
    <s v="Reserva Recuperación Secundaria"/>
    <s v="Pistoneo"/>
    <x v="4"/>
    <s v="Las Heras Bloque 2"/>
    <x v="0"/>
    <s v="NO"/>
    <n v="0.188"/>
    <n v="0"/>
  </r>
  <r>
    <x v="1806"/>
    <s v="CnE.a-934"/>
    <x v="0"/>
    <s v="Produciendo"/>
    <s v="Bombeo Mecánico"/>
    <x v="1"/>
    <s v="Barranca Baya Bloque 36"/>
    <x v="0"/>
    <s v="NO"/>
    <n v="3.52"/>
    <n v="0"/>
  </r>
  <r>
    <x v="1807"/>
    <s v="CnE-943a"/>
    <x v="0"/>
    <s v="Produciendo"/>
    <s v="Bombeo Mecánico"/>
    <x v="1"/>
    <s v="Barranca Baya Bloque 30"/>
    <x v="0"/>
    <s v="NO"/>
    <n v="0.4"/>
    <n v="0"/>
  </r>
  <r>
    <x v="1808"/>
    <s v="CG-617"/>
    <x v="0"/>
    <s v="En Estudio"/>
    <s v="Bombeo Mecánico"/>
    <x v="0"/>
    <s v="Cerro Grande Central"/>
    <x v="0"/>
    <s v="NO"/>
    <n v="0.44"/>
    <s v="Ultimos 6 meses"/>
  </r>
  <r>
    <x v="1809"/>
    <s v="CG-668"/>
    <x v="0"/>
    <s v="Espera Equipo Reparación"/>
    <s v="Inyección"/>
    <x v="5"/>
    <s v="Cerro Grande Central"/>
    <x v="1"/>
    <s v="NO"/>
    <n v="0"/>
    <n v="0"/>
  </r>
  <r>
    <x v="1810"/>
    <s v="CnE-1021"/>
    <x v="0"/>
    <s v="Espera Equipo Reparación"/>
    <s v="Bombeo Mecánico"/>
    <x v="5"/>
    <s v="Barranca Baya Bloque 30"/>
    <x v="1"/>
    <s v="NO"/>
    <n v="0.13"/>
    <n v="0"/>
  </r>
  <r>
    <x v="1811"/>
    <s v="CnE-1138"/>
    <x v="0"/>
    <s v="En Estudio"/>
    <s v="Bombeo Mecánico"/>
    <x v="5"/>
    <s v="Barranca Baya Bloque 38"/>
    <x v="1"/>
    <s v="NO"/>
    <n v="0.215"/>
    <n v="0"/>
  </r>
  <r>
    <x v="1812"/>
    <s v="CG.a-873"/>
    <x v="0"/>
    <s v="Produciendo"/>
    <s v="Bombeo Mecánico"/>
    <x v="1"/>
    <s v="Cerro Grande Central"/>
    <x v="0"/>
    <s v="NO"/>
    <n v="0.90800000000000003"/>
    <n v="0"/>
  </r>
  <r>
    <x v="1813"/>
    <s v="LH-1241a"/>
    <x v="0"/>
    <s v="Produciendo"/>
    <s v="Bombeo Mecánico"/>
    <x v="1"/>
    <s v="Las Heras Bloque 2"/>
    <x v="0"/>
    <s v="NO"/>
    <n v="0.91600000000000004"/>
    <n v="0"/>
  </r>
  <r>
    <x v="1814"/>
    <s v="CG-942"/>
    <x v="0"/>
    <s v="Produciendo"/>
    <s v="Bombeo Mecánico"/>
    <x v="1"/>
    <s v="Cerro Grande Central"/>
    <x v="0"/>
    <s v="NO"/>
    <n v="7.400000000000001E-2"/>
    <n v="0"/>
  </r>
  <r>
    <x v="1815"/>
    <s v="BB-161"/>
    <x v="0"/>
    <s v="Reserva Recuperación Secundaria"/>
    <s v="Pistoneo"/>
    <x v="2"/>
    <s v="Barranca Baya Bloque 36"/>
    <x v="0"/>
    <s v="NO"/>
    <n v="1.9E-2"/>
    <s v="Ultimo Año"/>
  </r>
  <r>
    <x v="1816"/>
    <s v="CnE-893a"/>
    <x v="0"/>
    <s v="Produciendo"/>
    <s v="Bombeo Mecánico"/>
    <x v="1"/>
    <s v="Barranca Baya Bloque 30"/>
    <x v="0"/>
    <s v="NO"/>
    <n v="4.42"/>
    <n v="0"/>
  </r>
  <r>
    <x v="1817"/>
    <s v="CnE-910a"/>
    <x v="0"/>
    <s v="Espera Equipo Reparación"/>
    <s v="Inyección"/>
    <x v="5"/>
    <s v="Barranca Baya Bloque 30"/>
    <x v="1"/>
    <s v="NO"/>
    <n v="0"/>
    <s v="Ultimo Año"/>
  </r>
  <r>
    <x v="1818"/>
    <s v="LH-1116a"/>
    <x v="0"/>
    <s v="Produciendo"/>
    <s v="Pistoneo"/>
    <x v="1"/>
    <s v="Las Heras Central Sur"/>
    <x v="0"/>
    <s v="NO"/>
    <n v="1.1180000000000001"/>
    <n v="0"/>
  </r>
  <r>
    <x v="1819"/>
    <s v="LH-1133a"/>
    <x v="0"/>
    <s v="Abandono Permanente"/>
    <s v="No Posee"/>
    <x v="3"/>
    <s v="Las Heras Las Heras Bloque 3"/>
    <x v="0"/>
    <s v="NO"/>
    <s v="NO"/>
    <s v="NO"/>
  </r>
  <r>
    <x v="1820"/>
    <s v="CnE.a-961"/>
    <x v="0"/>
    <s v="Espera Equipo Reparación"/>
    <s v="Bombeo Mecánico"/>
    <x v="5"/>
    <s v="Barranca Baya"/>
    <x v="1"/>
    <s v="NO"/>
    <n v="0.80600000000000005"/>
    <n v="0"/>
  </r>
  <r>
    <x v="1821"/>
    <s v="CG-679"/>
    <x v="0"/>
    <s v="Produciendo"/>
    <s v="Bombeo Mecánico"/>
    <x v="1"/>
    <s v="Cerro Grande Central"/>
    <x v="0"/>
    <s v="NO"/>
    <n v="0.8"/>
    <n v="0"/>
  </r>
  <r>
    <x v="1822"/>
    <s v="CnE-1056"/>
    <x v="0"/>
    <s v="Produciendo"/>
    <s v="Bombeo Mecánico"/>
    <x v="1"/>
    <s v="Barranca Baya Bloque 30"/>
    <x v="0"/>
    <s v="NO"/>
    <n v="0.58500000000000008"/>
    <n v="0"/>
  </r>
  <r>
    <x v="1823"/>
    <s v="CnE-1083"/>
    <x v="0"/>
    <s v="Produciendo"/>
    <s v="Inyección"/>
    <x v="1"/>
    <s v="Barranca Baya Bloque 38"/>
    <x v="0"/>
    <s v="NO"/>
    <n v="0"/>
    <n v="0"/>
  </r>
  <r>
    <x v="1824"/>
    <s v="CnE-1140"/>
    <x v="0"/>
    <s v="Produciendo"/>
    <s v="Bombeo Mecánico"/>
    <x v="1"/>
    <s v="Barranca Baya Bloque 38"/>
    <x v="0"/>
    <s v="NO"/>
    <n v="0.13500000000000001"/>
    <n v="0"/>
  </r>
  <r>
    <x v="1825"/>
    <s v="CG-783"/>
    <x v="0"/>
    <s v="Produciendo"/>
    <s v="Bombeo Mecánico"/>
    <x v="1"/>
    <s v="Cerro Grande Central"/>
    <x v="0"/>
    <s v="NO"/>
    <n v="0.56000000000000005"/>
    <n v="0"/>
  </r>
  <r>
    <x v="1826"/>
    <s v="CnE-1313"/>
    <x v="0"/>
    <s v="Espera Equipo Reparación"/>
    <s v="Bombeo Mecánico"/>
    <x v="5"/>
    <s v="Barranca Baya Bloque 30"/>
    <x v="1"/>
    <s v="NO"/>
    <n v="5.1450000000000005"/>
    <n v="0"/>
  </r>
  <r>
    <x v="1827"/>
    <s v="CnE-1375"/>
    <x v="0"/>
    <s v="Produciendo"/>
    <s v="Bombeo Mecánico"/>
    <x v="1"/>
    <s v="Barranca Baya Bloque 30"/>
    <x v="0"/>
    <s v="NO"/>
    <n v="1.1000000000000001"/>
    <n v="0"/>
  </r>
  <r>
    <x v="1828"/>
    <s v="LH-9"/>
    <x v="0"/>
    <s v="Abandono Permanente"/>
    <s v="No Posee"/>
    <x v="3"/>
    <s v="Las Heras Central Sur"/>
    <x v="0"/>
    <s v="NO"/>
    <n v="0"/>
    <n v="0"/>
  </r>
  <r>
    <x v="1829"/>
    <s v="CnE-290"/>
    <x v="0"/>
    <s v="Abandono Permanente"/>
    <s v="No Posee"/>
    <x v="3"/>
    <s v="Barranca Baya Bloque 40"/>
    <x v="0"/>
    <s v="NO"/>
    <s v="NO"/>
    <s v="NO"/>
  </r>
  <r>
    <x v="1830"/>
    <s v="LH-206"/>
    <x v="0"/>
    <s v="Abandono Permanente"/>
    <s v="No Posee"/>
    <x v="3"/>
    <s v="Las Heras Bloque 2"/>
    <x v="0"/>
    <s v="NO"/>
    <s v="NO"/>
    <s v="NO"/>
  </r>
  <r>
    <x v="1831"/>
    <s v="LH-534"/>
    <x v="0"/>
    <s v="Abandono Permanente"/>
    <s v="No Posee"/>
    <x v="3"/>
    <s v="Las Heras Las Heras Bloque 3"/>
    <x v="0"/>
    <s v="NO"/>
    <s v="NO"/>
    <s v="NO"/>
  </r>
  <r>
    <x v="1832"/>
    <s v="CG-94"/>
    <x v="0"/>
    <s v="Reserva Recuperación Secundaria"/>
    <s v="No Posee"/>
    <x v="4"/>
    <s v="Barranca Baya Bloque 26"/>
    <x v="0"/>
    <s v="NO"/>
    <s v="NO"/>
    <s v="NO"/>
  </r>
  <r>
    <x v="1833"/>
    <s v="CG-527a"/>
    <x v="0"/>
    <s v="Produciendo"/>
    <s v="Bombeo Mecánico"/>
    <x v="1"/>
    <s v="Cerro Grande Central"/>
    <x v="0"/>
    <s v="NO"/>
    <n v="1.83"/>
    <n v="0"/>
  </r>
  <r>
    <x v="1834"/>
    <s v="BB-104a"/>
    <x v="0"/>
    <s v="Reserva Recuperación Secundaria"/>
    <s v="Pistoneo"/>
    <x v="4"/>
    <s v="Barranca Baya Bloque 36"/>
    <x v="0"/>
    <s v="NO"/>
    <n v="6.7000000000000004E-2"/>
    <n v="0"/>
  </r>
  <r>
    <x v="1835"/>
    <s v="CnE-883a"/>
    <x v="0"/>
    <s v="Produciendo"/>
    <s v="Inyección"/>
    <x v="1"/>
    <s v="Barranca Baya Bloque 36"/>
    <x v="0"/>
    <s v="NO"/>
    <n v="0"/>
    <n v="0"/>
  </r>
  <r>
    <x v="1836"/>
    <s v="LH-1049a"/>
    <x v="0"/>
    <s v="Produciendo"/>
    <s v="Bombeo Mecánico"/>
    <x v="1"/>
    <s v="Las Heras Bloque 2"/>
    <x v="0"/>
    <s v="NO"/>
    <n v="0.75"/>
    <n v="0"/>
  </r>
  <r>
    <x v="1837"/>
    <s v="CnE-899a"/>
    <x v="0"/>
    <s v="Produciendo"/>
    <s v="Inyección"/>
    <x v="1"/>
    <s v="Barranca Baya Bloque 30"/>
    <x v="0"/>
    <s v="NO"/>
    <n v="0"/>
    <n v="0"/>
  </r>
  <r>
    <x v="1838"/>
    <s v="CG-571a"/>
    <x v="0"/>
    <s v="Produciendo"/>
    <s v="Bombeo Mecánico"/>
    <x v="1"/>
    <s v="Cerro Grande Noreste"/>
    <x v="0"/>
    <s v="NO"/>
    <n v="1.26"/>
    <n v="0"/>
  </r>
  <r>
    <x v="1839"/>
    <s v="CG-589a"/>
    <x v="0"/>
    <s v="Produciendo"/>
    <s v="Inyección"/>
    <x v="1"/>
    <s v="Cerro Grande Central"/>
    <x v="0"/>
    <s v="NO"/>
    <n v="0"/>
    <n v="0"/>
  </r>
  <r>
    <x v="1840"/>
    <s v="LH-967"/>
    <x v="0"/>
    <s v="Reserva Recuperación Secundaria"/>
    <s v="Pistoneo"/>
    <x v="4"/>
    <s v="Las Heras Central Sur"/>
    <x v="0"/>
    <s v="NO"/>
    <n v="0.193"/>
    <n v="0"/>
  </r>
  <r>
    <x v="1841"/>
    <s v="CG-493"/>
    <x v="0"/>
    <s v="Produciendo"/>
    <s v="Bombeo Mecánico"/>
    <x v="1"/>
    <s v="Barranca Baya Cerro Grande Noroeste"/>
    <x v="0"/>
    <s v="NO"/>
    <n v="1.5"/>
    <n v="0"/>
  </r>
  <r>
    <x v="1842"/>
    <s v="LC-67"/>
    <x v="0"/>
    <s v="Reserva Recuperación Secundaria"/>
    <s v="No Posee"/>
    <x v="4"/>
    <s v="Lomas del Cuy- Cerro Grande Noroeste"/>
    <x v="0"/>
    <s v="NO"/>
    <s v="NO"/>
    <s v="NO"/>
  </r>
  <r>
    <x v="1843"/>
    <s v="LH-589"/>
    <x v="0"/>
    <s v="Produciendo"/>
    <s v="Inyección"/>
    <x v="1"/>
    <s v="Las Heras Central Sur"/>
    <x v="0"/>
    <s v="NO"/>
    <n v="0"/>
    <n v="0"/>
  </r>
  <r>
    <x v="1844"/>
    <s v="LH-105"/>
    <x v="0"/>
    <s v="Produciendo"/>
    <s v="Bombeo Mecánico"/>
    <x v="1"/>
    <s v="Las Heras Cerro Grande Sur"/>
    <x v="0"/>
    <s v="NO"/>
    <n v="6.0280000000000005"/>
    <n v="0"/>
  </r>
  <r>
    <x v="1845"/>
    <s v="LH-108"/>
    <x v="0"/>
    <s v="Abandono Permanente"/>
    <s v="No Posee"/>
    <x v="3"/>
    <s v="Las Heras Las Heras Bloque 3"/>
    <x v="0"/>
    <s v="NO"/>
    <n v="0"/>
    <n v="0"/>
  </r>
  <r>
    <x v="1846"/>
    <s v="CG-202"/>
    <x v="0"/>
    <s v="Abandono Permanente"/>
    <s v="No Posee"/>
    <x v="3"/>
    <s v="Cerro Grande Central"/>
    <x v="0"/>
    <s v="NO"/>
    <n v="0.442"/>
    <n v="0"/>
  </r>
  <r>
    <x v="1847"/>
    <s v="CG-304"/>
    <x v="0"/>
    <s v="Reserva Recuperación Secundaria"/>
    <s v="No Posee"/>
    <x v="4"/>
    <s v="Cerro Grande Central"/>
    <x v="0"/>
    <s v="NO"/>
    <s v="NO"/>
    <s v="NO"/>
  </r>
  <r>
    <x v="1848"/>
    <s v="LH-198"/>
    <x v="0"/>
    <s v="Abandono Permanente"/>
    <s v="No Posee"/>
    <x v="3"/>
    <s v="Las Heras Las Heras Bloque 3"/>
    <x v="0"/>
    <s v="NO"/>
    <s v="NO"/>
    <s v="NO"/>
  </r>
  <r>
    <x v="1849"/>
    <s v="LH-236"/>
    <x v="0"/>
    <s v="Abandono Permanente"/>
    <s v="No Posee"/>
    <x v="3"/>
    <s v="Las Heras Central Sur"/>
    <x v="0"/>
    <s v="NO"/>
    <s v="NO"/>
    <s v="NO"/>
  </r>
  <r>
    <x v="1850"/>
    <s v="LH-249"/>
    <x v="0"/>
    <s v="Abandono Permanente"/>
    <s v="No Posee"/>
    <x v="3"/>
    <s v="Las Heras Bloque 2"/>
    <x v="0"/>
    <s v="NO"/>
    <s v="NO"/>
    <s v="NO"/>
  </r>
  <r>
    <x v="1851"/>
    <s v="LH-455"/>
    <x v="0"/>
    <s v="Produciendo"/>
    <s v="Pistoneo"/>
    <x v="1"/>
    <s v="Las Heras Central Sur"/>
    <x v="0"/>
    <s v="NO"/>
    <n v="0.114"/>
    <n v="0"/>
  </r>
  <r>
    <x v="1852"/>
    <s v="LH-524"/>
    <x v="0"/>
    <s v="Reserva Recuperación Secundaria"/>
    <s v="Pistoneo"/>
    <x v="4"/>
    <s v="Las Heras Central Sur"/>
    <x v="0"/>
    <s v="NO"/>
    <n v="0.17900000000000002"/>
    <n v="0"/>
  </r>
  <r>
    <x v="1853"/>
    <s v="LH-682"/>
    <x v="0"/>
    <s v="Reserva Recuperación Secundaria"/>
    <s v="Bombeo Mecánico"/>
    <x v="4"/>
    <s v="Las Heras Central Sur"/>
    <x v="0"/>
    <s v="NO"/>
    <n v="0.32400000000000001"/>
    <n v="0"/>
  </r>
  <r>
    <x v="1854"/>
    <s v="LH-990a"/>
    <x v="0"/>
    <s v="Reserva Recuperación Secundaria"/>
    <s v="Bombeo Mecánico"/>
    <x v="4"/>
    <s v="Las Heras Central Sur"/>
    <x v="0"/>
    <s v="NO"/>
    <n v="0.29899999999999999"/>
    <n v="0"/>
  </r>
  <r>
    <x v="1855"/>
    <s v="CnE-1139"/>
    <x v="0"/>
    <s v="Produciendo"/>
    <s v="Bombeo Mecánico"/>
    <x v="1"/>
    <s v="Barranca Baya Bloque 38"/>
    <x v="0"/>
    <s v="NO"/>
    <n v="2.4700000000000002"/>
    <n v="0"/>
  </r>
  <r>
    <x v="1856"/>
    <s v="CG-796"/>
    <x v="0"/>
    <s v="Produciendo"/>
    <s v="Bombeo Mecánico"/>
    <x v="1"/>
    <s v="Cerro Grande Noreste"/>
    <x v="0"/>
    <s v="NO"/>
    <n v="1.6500000000000001"/>
    <n v="0"/>
  </r>
  <r>
    <x v="1857"/>
    <s v="LH-1210"/>
    <x v="0"/>
    <s v="Produciendo"/>
    <s v="Bombeo Mecánico"/>
    <x v="1"/>
    <s v="Las Heras Bloque 2"/>
    <x v="0"/>
    <s v="NO"/>
    <n v="0.85"/>
    <n v="0"/>
  </r>
  <r>
    <x v="1858"/>
    <s v="LH-1209"/>
    <x v="0"/>
    <s v="Produciendo"/>
    <s v="Bombeo Mecánico"/>
    <x v="1"/>
    <s v="Las Heras Central Sur"/>
    <x v="0"/>
    <s v="NO"/>
    <n v="0.9"/>
    <n v="0"/>
  </r>
  <r>
    <x v="1859"/>
    <s v="CnE-1241(d)"/>
    <x v="0"/>
    <s v="Produciendo"/>
    <s v="Electro Sumergible"/>
    <x v="1"/>
    <s v="Barranca Baya Bloque 30"/>
    <x v="0"/>
    <s v="NO"/>
    <n v="0.97500000000000009"/>
    <n v="0"/>
  </r>
  <r>
    <x v="1860"/>
    <s v="CnE-1257"/>
    <x v="0"/>
    <s v="Produciendo"/>
    <s v="Bombeo Mecánico"/>
    <x v="1"/>
    <s v="Barranca Baya Bloque 30"/>
    <x v="0"/>
    <s v="NO"/>
    <n v="0.6"/>
    <n v="0"/>
  </r>
  <r>
    <x v="1861"/>
    <s v="CnE-1279"/>
    <x v="0"/>
    <s v="Produciendo"/>
    <s v="Bombeo Mecánico"/>
    <x v="1"/>
    <s v="Barranca Baya Bloque 30"/>
    <x v="0"/>
    <s v="Oportunidad"/>
    <n v="0.8"/>
    <n v="0"/>
  </r>
  <r>
    <x v="1862"/>
    <s v="CnE-1312"/>
    <x v="0"/>
    <s v="Produciendo"/>
    <s v="Bombeo Mecánico"/>
    <x v="1"/>
    <s v="Barranca Baya Bloque 30"/>
    <x v="0"/>
    <s v="NO"/>
    <n v="1"/>
    <n v="0"/>
  </r>
  <r>
    <x v="1863"/>
    <s v="CnE-1327"/>
    <x v="0"/>
    <s v="Produciendo"/>
    <s v="Bombeo Mecánico"/>
    <x v="1"/>
    <s v="Barranca Baya Bloque 37"/>
    <x v="0"/>
    <s v="NO"/>
    <n v="6.6000000000000003E-2"/>
    <n v="0"/>
  </r>
  <r>
    <x v="1864"/>
    <s v="LH-1134a"/>
    <x v="0"/>
    <s v="Produciendo"/>
    <s v="Bombeo Mecánico"/>
    <x v="1"/>
    <s v="Las Heras Las Heras Bloque 3"/>
    <x v="0"/>
    <s v="NO"/>
    <n v="0.8"/>
    <n v="0"/>
  </r>
  <r>
    <x v="1865"/>
    <s v="CnE-965"/>
    <x v="0"/>
    <s v="Abandono Permanente"/>
    <s v="No Posee"/>
    <x v="3"/>
    <s v="Barranca Baya Bloque 36"/>
    <x v="0"/>
    <s v="NO"/>
    <n v="0.14800000000000002"/>
    <n v="0"/>
  </r>
  <r>
    <x v="1866"/>
    <s v="CG-688"/>
    <x v="0"/>
    <s v="Produciendo"/>
    <s v="Inyección"/>
    <x v="1"/>
    <s v="Cerro Grande Central"/>
    <x v="0"/>
    <s v="NO"/>
    <n v="0"/>
    <n v="0"/>
  </r>
  <r>
    <x v="1867"/>
    <s v="CG-665"/>
    <x v="0"/>
    <s v="Produciendo"/>
    <s v="Bombeo Mecánico"/>
    <x v="1"/>
    <s v="Cerro Grande Central"/>
    <x v="0"/>
    <s v="NO"/>
    <n v="1.05"/>
    <n v="0"/>
  </r>
  <r>
    <x v="1868"/>
    <s v="CnE-1035"/>
    <x v="0"/>
    <s v="Produciendo"/>
    <s v="Bombeo Mecánico"/>
    <x v="1"/>
    <s v="Barranca Baya Bloque 30"/>
    <x v="0"/>
    <s v="NO"/>
    <n v="0.42"/>
    <n v="0"/>
  </r>
  <r>
    <x v="1869"/>
    <s v="CnE-1060"/>
    <x v="0"/>
    <s v="Reserva Recuperación Secundaria"/>
    <s v="Bombeo Mecánico"/>
    <x v="4"/>
    <s v="Barranca Baya Bloque 30"/>
    <x v="0"/>
    <s v="NO"/>
    <n v="0.8"/>
    <n v="0"/>
  </r>
  <r>
    <x v="1870"/>
    <s v="LH-1203"/>
    <x v="0"/>
    <s v="Produciendo"/>
    <s v="Bombeo Mecánico"/>
    <x v="1"/>
    <s v="Las Heras Central Sur"/>
    <x v="0"/>
    <s v="NO"/>
    <n v="1.1400000000000001"/>
    <n v="0"/>
  </r>
  <r>
    <x v="1871"/>
    <s v="CnE-1118"/>
    <x v="0"/>
    <s v="Produciendo"/>
    <s v="Electro Sumergible"/>
    <x v="1"/>
    <s v="Barranca Baya Bloque 36"/>
    <x v="0"/>
    <s v="NO"/>
    <n v="1.5270000000000001"/>
    <n v="0"/>
  </r>
  <r>
    <x v="1872"/>
    <s v="CnE-1117"/>
    <x v="0"/>
    <s v="En Estudio"/>
    <s v="Bombeo Mecánico"/>
    <x v="5"/>
    <s v="Barranca Baya Bloque 36"/>
    <x v="1"/>
    <s v="NO"/>
    <n v="0.9"/>
    <n v="0"/>
  </r>
  <r>
    <x v="1873"/>
    <s v="CG-805"/>
    <x v="0"/>
    <s v="Produciendo"/>
    <s v="Bombeo Mecánico"/>
    <x v="1"/>
    <s v="Cerro Grande Central"/>
    <x v="0"/>
    <s v="NO"/>
    <n v="0.45"/>
    <n v="0"/>
  </r>
  <r>
    <x v="1874"/>
    <s v="CnE-1193"/>
    <x v="0"/>
    <s v="Produciendo"/>
    <s v="Bombeo Mecánico"/>
    <x v="1"/>
    <s v="Barranca Baya Bloque 38"/>
    <x v="0"/>
    <s v="NO"/>
    <n v="1.54"/>
    <n v="0"/>
  </r>
  <r>
    <x v="1875"/>
    <s v="CnE.xp-1250"/>
    <x v="0"/>
    <s v="En Estudio"/>
    <s v="Bombeo Mecánico"/>
    <x v="5"/>
    <s v="Barranca Baya Bloque 37"/>
    <x v="1"/>
    <s v="NO"/>
    <n v="0.47500000000000003"/>
    <n v="0"/>
  </r>
  <r>
    <x v="1876"/>
    <s v="CnE-1347"/>
    <x v="0"/>
    <s v="En Estudio"/>
    <s v="Bombeo Mecánico"/>
    <x v="5"/>
    <s v="Barranca Baya Bloque 37"/>
    <x v="1"/>
    <s v="NO"/>
    <n v="0.58800000000000008"/>
    <n v="0"/>
  </r>
  <r>
    <x v="1877"/>
    <s v="CnE-1390"/>
    <x v="0"/>
    <s v="Produciendo"/>
    <s v="Bombeo Mecánico"/>
    <x v="1"/>
    <s v="Barranca Baya Bloque 40"/>
    <x v="0"/>
    <s v="NO"/>
    <n v="0.70000000000000007"/>
    <n v="0"/>
  </r>
  <r>
    <x v="1878"/>
    <s v="CG-540a"/>
    <x v="0"/>
    <s v="Abandono Permanente"/>
    <s v="No Posee"/>
    <x v="3"/>
    <s v="Barranca Baya Cerro Grande Norte"/>
    <x v="0"/>
    <s v="NO"/>
    <s v="NO"/>
    <s v="NO"/>
  </r>
  <r>
    <x v="1879"/>
    <s v="LH-980a"/>
    <x v="0"/>
    <s v="Produciendo"/>
    <s v="Bombeo Mecánico"/>
    <x v="1"/>
    <s v="Las Heras Central Sur"/>
    <x v="0"/>
    <s v="NO"/>
    <n v="1.4080000000000001"/>
    <n v="0"/>
  </r>
  <r>
    <x v="1880"/>
    <s v="LH-60a"/>
    <x v="0"/>
    <s v="Produciendo"/>
    <s v="Bombeo Mecánico"/>
    <x v="1"/>
    <s v="Las Heras Central Sur"/>
    <x v="0"/>
    <s v="NO"/>
    <n v="0.75"/>
    <n v="0"/>
  </r>
  <r>
    <x v="1881"/>
    <s v="LH-1025a"/>
    <x v="0"/>
    <s v="Produciendo"/>
    <s v="Pistoneo"/>
    <x v="1"/>
    <s v="Las Heras Central Sur"/>
    <x v="0"/>
    <s v="NO"/>
    <n v="0.19"/>
    <n v="0"/>
  </r>
  <r>
    <x v="1882"/>
    <s v="CG-593"/>
    <x v="0"/>
    <s v="Produciendo"/>
    <s v="Inyección"/>
    <x v="1"/>
    <s v="Cerro Grande Central"/>
    <x v="0"/>
    <s v="NO"/>
    <n v="0"/>
    <n v="0"/>
  </r>
  <r>
    <x v="1883"/>
    <s v="CnE-956a"/>
    <x v="0"/>
    <s v="Produciendo"/>
    <s v="Bombeo Mecánico"/>
    <x v="1"/>
    <s v="Barranca Baya Bloque 30"/>
    <x v="0"/>
    <s v="NO"/>
    <n v="1.4000000000000001"/>
    <n v="0"/>
  </r>
  <r>
    <x v="1884"/>
    <s v="CnE-1037"/>
    <x v="0"/>
    <s v="Produciendo"/>
    <s v="Bombeo Mecánico"/>
    <x v="1"/>
    <s v="Barranca Baya Bloque 30"/>
    <x v="0"/>
    <s v="NO"/>
    <n v="0.6"/>
    <n v="0"/>
  </r>
  <r>
    <x v="1885"/>
    <s v="CG-661"/>
    <x v="0"/>
    <s v="Produciendo"/>
    <s v="Bombeo Mecánico"/>
    <x v="1"/>
    <s v="Cerro Grande Central"/>
    <x v="0"/>
    <s v="NO"/>
    <n v="0.93600000000000005"/>
    <n v="0"/>
  </r>
  <r>
    <x v="1886"/>
    <s v="CnE-1007"/>
    <x v="0"/>
    <s v="Produciendo"/>
    <s v="Bombeo Mecánico"/>
    <x v="1"/>
    <s v="Barranca Baya Bloque 30"/>
    <x v="0"/>
    <s v="NO"/>
    <n v="2.25"/>
    <n v="0"/>
  </r>
  <r>
    <x v="1887"/>
    <s v="CnE-998"/>
    <x v="0"/>
    <s v="Produciendo"/>
    <s v="Bombeo Mecánico"/>
    <x v="1"/>
    <s v="Barranca Baya Bloque 30"/>
    <x v="0"/>
    <s v="NO"/>
    <n v="1.1000000000000001"/>
    <n v="0"/>
  </r>
  <r>
    <x v="1888"/>
    <s v="CG-649"/>
    <x v="0"/>
    <s v="Produciendo"/>
    <s v="Bombeo Mecánico"/>
    <x v="1"/>
    <s v="Cerro Grande Central"/>
    <x v="0"/>
    <s v="NO"/>
    <n v="1.35"/>
    <n v="0"/>
  </r>
  <r>
    <x v="1889"/>
    <s v="CG-687"/>
    <x v="0"/>
    <s v="Produciendo"/>
    <s v="Inyección"/>
    <x v="1"/>
    <s v="Cerro Grande Central"/>
    <x v="0"/>
    <s v="NO"/>
    <n v="0"/>
    <n v="0"/>
  </r>
  <r>
    <x v="1890"/>
    <s v="CnE-1094"/>
    <x v="0"/>
    <s v="Produciendo"/>
    <s v="Pistoneo"/>
    <x v="1"/>
    <s v="Barranca Baya Bloque 38"/>
    <x v="0"/>
    <s v="NO"/>
    <n v="9.6000000000000002E-2"/>
    <n v="0"/>
  </r>
  <r>
    <x v="1891"/>
    <s v="CnE-1153"/>
    <x v="0"/>
    <s v="Produciendo"/>
    <s v="Bombeo Mecánico"/>
    <x v="1"/>
    <s v="Barranca Baya Bloque 36"/>
    <x v="0"/>
    <s v="NO"/>
    <n v="1.6500000000000001"/>
    <n v="0"/>
  </r>
  <r>
    <x v="1892"/>
    <s v="LH-1235"/>
    <x v="0"/>
    <s v="Produciendo"/>
    <s v="Bombeo Mecánico"/>
    <x v="1"/>
    <s v="Las Heras Central Sur"/>
    <x v="0"/>
    <s v="NO"/>
    <n v="1.2070000000000001"/>
    <n v="0"/>
  </r>
  <r>
    <x v="1893"/>
    <s v="BB-135"/>
    <x v="0"/>
    <s v="Produciendo"/>
    <s v="Bombeo Mecánico"/>
    <x v="1"/>
    <s v="Barranca Baya"/>
    <x v="0"/>
    <s v="NO"/>
    <n v="1.458"/>
    <n v="0"/>
  </r>
  <r>
    <x v="1894"/>
    <s v="CnE-1230"/>
    <x v="0"/>
    <s v="Reserva Recuperación Secundaria"/>
    <s v="Pistoneo"/>
    <x v="4"/>
    <s v="Barranca Baya Bloque 36"/>
    <x v="0"/>
    <s v="NO"/>
    <n v="0"/>
    <n v="0"/>
  </r>
  <r>
    <x v="1895"/>
    <s v="CnE-1331"/>
    <x v="0"/>
    <s v="Parado Alta Rap"/>
    <s v="Bombeo Mecánico"/>
    <x v="5"/>
    <s v="Barranca Baya Bloque 37"/>
    <x v="1"/>
    <s v="NO"/>
    <n v="0.04"/>
    <n v="0"/>
  </r>
  <r>
    <x v="1896"/>
    <s v="CG-939"/>
    <x v="0"/>
    <s v="Produciendo"/>
    <s v="Bombeo Mecánico"/>
    <x v="1"/>
    <s v="Cerro Grande Central"/>
    <x v="0"/>
    <s v="NO"/>
    <n v="1.732"/>
    <n v="0"/>
  </r>
  <r>
    <x v="1897"/>
    <s v="LH-1259"/>
    <x v="0"/>
    <s v="Produciendo"/>
    <s v="Bombeo Mecánico"/>
    <x v="1"/>
    <s v="Las Heras Cerro Grande Sur"/>
    <x v="0"/>
    <s v="NO"/>
    <n v="1.8"/>
    <n v="0"/>
  </r>
  <r>
    <x v="1898"/>
    <s v="CnE-1457a"/>
    <x v="0"/>
    <s v="Produciendo"/>
    <s v="Bombeo Mecánico"/>
    <x v="1"/>
    <s v="Barranca Baya Bloque 36"/>
    <x v="0"/>
    <s v="NO"/>
    <n v="0.65600000000000003"/>
    <n v="0"/>
  </r>
  <r>
    <x v="1899"/>
    <s v="LH-41"/>
    <x v="0"/>
    <s v="Reserva Recuperación Secundaria"/>
    <s v="Pistoneo"/>
    <x v="4"/>
    <s v="Las Heras Bloque 2"/>
    <x v="0"/>
    <s v="NO"/>
    <n v="4.9000000000000002E-2"/>
    <n v="0"/>
  </r>
  <r>
    <x v="1900"/>
    <s v="LH-599"/>
    <x v="0"/>
    <s v="Produciendo"/>
    <s v="Inyección"/>
    <x v="1"/>
    <s v="Las Heras Central Sur"/>
    <x v="0"/>
    <s v="NO"/>
    <n v="0"/>
    <n v="0"/>
  </r>
  <r>
    <x v="1901"/>
    <s v="LH-622"/>
    <x v="0"/>
    <s v="Reserva Recuperación Secundaria"/>
    <s v="Pistoneo"/>
    <x v="4"/>
    <s v="Las Heras Central Sur"/>
    <x v="0"/>
    <s v="NO"/>
    <n v="8.900000000000001E-2"/>
    <n v="0"/>
  </r>
  <r>
    <x v="1902"/>
    <s v="LH-623"/>
    <x v="0"/>
    <s v="Produciendo"/>
    <s v="Pistoneo"/>
    <x v="1"/>
    <s v="Las Heras Central Sur"/>
    <x v="0"/>
    <s v="NO"/>
    <n v="0.114"/>
    <n v="0"/>
  </r>
  <r>
    <x v="1903"/>
    <s v="LH-640"/>
    <x v="0"/>
    <s v="Produciendo"/>
    <s v="Bombeo Mecánico"/>
    <x v="1"/>
    <s v="Las Heras Central Sur"/>
    <x v="0"/>
    <s v="NO"/>
    <n v="0.65"/>
    <n v="0"/>
  </r>
  <r>
    <x v="1904"/>
    <s v="LH-713"/>
    <x v="0"/>
    <s v="Espera Equipo Reparación"/>
    <s v="Cavidad Progresiva"/>
    <x v="6"/>
    <s v="Las Heras Central Sur"/>
    <x v="0"/>
    <s v="Oportunidad"/>
    <n v="1.45"/>
    <n v="0"/>
  </r>
  <r>
    <x v="1905"/>
    <s v="CG-122"/>
    <x v="0"/>
    <s v="Espera Equipo Reparación"/>
    <s v="Inyección"/>
    <x v="5"/>
    <s v="Barranca Baya Las Heras Bloque 3"/>
    <x v="1"/>
    <s v="NO"/>
    <n v="0"/>
    <n v="0"/>
  </r>
  <r>
    <x v="1906"/>
    <s v="CG-160"/>
    <x v="0"/>
    <s v="Espera Equipo Reparación"/>
    <s v="Inyección"/>
    <x v="4"/>
    <s v="Barranca Baya Bloque 26"/>
    <x v="0"/>
    <s v="NO"/>
    <n v="0"/>
    <n v="0"/>
  </r>
  <r>
    <x v="1907"/>
    <s v="CG-165"/>
    <x v="0"/>
    <s v="A Abandonar Por Alta Rap"/>
    <s v="Bombeo Mecánico"/>
    <x v="5"/>
    <s v="Barranca Baya Bloque 26"/>
    <x v="1"/>
    <s v="NO"/>
    <n v="2.4E-2"/>
    <n v="0"/>
  </r>
  <r>
    <x v="1908"/>
    <s v="CG-245"/>
    <x v="0"/>
    <s v="Produciendo"/>
    <s v="Electro Sumergible"/>
    <x v="1"/>
    <s v="Barranca Baya Cerro Grande Norte"/>
    <x v="0"/>
    <s v="NO"/>
    <n v="1.7"/>
    <n v="0"/>
  </r>
  <r>
    <x v="1909"/>
    <s v="CG-278"/>
    <x v="0"/>
    <s v="Espera Equipo Reparación"/>
    <s v="Bombeo Mecánico"/>
    <x v="7"/>
    <s v="Barranca Baya Cerro Grande Sur"/>
    <x v="0"/>
    <s v="NO"/>
    <n v="3.2040000000000002"/>
    <n v="0"/>
  </r>
  <r>
    <x v="1910"/>
    <s v="CG-404"/>
    <x v="0"/>
    <s v="Abandono Permanente"/>
    <s v="No Posee"/>
    <x v="3"/>
    <s v="Cerro Grande Central"/>
    <x v="0"/>
    <s v="NO"/>
    <s v="NO"/>
    <s v="NO"/>
  </r>
  <r>
    <x v="1911"/>
    <s v="LC-73"/>
    <x v="0"/>
    <s v="Abandono Permanente"/>
    <s v="No Posee"/>
    <x v="3"/>
    <s v="Lomas del Cuy- Cerro Grande Norte"/>
    <x v="0"/>
    <s v="NO"/>
    <s v="NO"/>
    <s v="NO"/>
  </r>
  <r>
    <x v="1912"/>
    <s v="LC-537"/>
    <x v="0"/>
    <s v="Produciendo"/>
    <s v="Bombeo Mecánico"/>
    <x v="1"/>
    <s v="Lomas del Cuy- Cerro Grande Noroeste"/>
    <x v="0"/>
    <s v="NO"/>
    <n v="2.8160000000000003"/>
    <n v="0"/>
  </r>
  <r>
    <x v="1913"/>
    <s v="CnE-132"/>
    <x v="0"/>
    <s v="Reserva Recuperación Secundaria"/>
    <s v="No Posee"/>
    <x v="4"/>
    <s v="Barranca Baya Bloque 40"/>
    <x v="0"/>
    <s v="NO"/>
    <s v="NO"/>
    <s v="NO"/>
  </r>
  <r>
    <x v="1914"/>
    <s v="CnE-140"/>
    <x v="0"/>
    <s v="Abandono Permanente"/>
    <s v="No Posee"/>
    <x v="3"/>
    <s v="Barranca Baya Bloque 40"/>
    <x v="0"/>
    <s v="NO"/>
    <s v="NO"/>
    <s v="NO"/>
  </r>
  <r>
    <x v="1915"/>
    <s v="CnE-466"/>
    <x v="0"/>
    <s v="Produciendo"/>
    <s v="Bombeo Mecánico"/>
    <x v="1"/>
    <s v="Barranca Baya Bloque 37"/>
    <x v="0"/>
    <s v="NO"/>
    <n v="1.2450000000000001"/>
    <n v="0"/>
  </r>
  <r>
    <x v="1916"/>
    <s v="CnE-571"/>
    <x v="0"/>
    <s v="Reserva Recuperación Secundaria"/>
    <s v="Inyección"/>
    <x v="4"/>
    <s v="Barranca Baya"/>
    <x v="0"/>
    <s v="NO"/>
    <n v="0"/>
    <n v="0"/>
  </r>
  <r>
    <x v="1917"/>
    <s v="CnE-583"/>
    <x v="0"/>
    <s v="Produciendo"/>
    <s v="Bombeo Mecánico"/>
    <x v="1"/>
    <s v="Barranca Baya Bloque 36"/>
    <x v="0"/>
    <s v="NO"/>
    <n v="3"/>
    <n v="0"/>
  </r>
  <r>
    <x v="1918"/>
    <s v="CnE-685"/>
    <x v="0"/>
    <s v="Produciendo"/>
    <s v="Bombeo Mecánico"/>
    <x v="1"/>
    <s v="Barranca Baya Bloque 38"/>
    <x v="0"/>
    <s v="NO"/>
    <n v="1.19"/>
    <n v="0"/>
  </r>
  <r>
    <x v="1919"/>
    <s v="CnE-753"/>
    <x v="0"/>
    <s v="Produciendo"/>
    <s v="Bombeo Mecánico"/>
    <x v="1"/>
    <s v="Barranca Baya Bloque 37"/>
    <x v="0"/>
    <s v="NO"/>
    <n v="0.32300000000000001"/>
    <n v="0"/>
  </r>
  <r>
    <x v="1920"/>
    <s v="CnE-804"/>
    <x v="0"/>
    <s v="Abandono Temporal"/>
    <s v="Pistoneo"/>
    <x v="5"/>
    <s v="Barranca Baya Bloque 37"/>
    <x v="1"/>
    <s v="NO"/>
    <n v="0.28800000000000003"/>
    <n v="0"/>
  </r>
  <r>
    <x v="1921"/>
    <s v="LH-1045a"/>
    <x v="0"/>
    <s v="Reserva Recuperación Secundaria"/>
    <s v="Pistoneo"/>
    <x v="4"/>
    <s v="Las Heras Bloque 2"/>
    <x v="0"/>
    <s v="NO"/>
    <n v="0.188"/>
    <n v="0"/>
  </r>
  <r>
    <x v="1922"/>
    <s v="CnE-896"/>
    <x v="0"/>
    <s v="Produciendo"/>
    <s v="Bombeo Mecánico"/>
    <x v="1"/>
    <s v="Barranca Baya Bloque 30"/>
    <x v="0"/>
    <s v="NO"/>
    <n v="2.4"/>
    <n v="0"/>
  </r>
  <r>
    <x v="1923"/>
    <s v="CnE-906a"/>
    <x v="0"/>
    <s v="Produciendo"/>
    <s v="Bombeo Mecánico"/>
    <x v="1"/>
    <s v="Barranca Baya Bloque 30"/>
    <x v="0"/>
    <s v="NO"/>
    <n v="1.044"/>
    <n v="0"/>
  </r>
  <r>
    <x v="1924"/>
    <s v="LH-1087a"/>
    <x v="0"/>
    <s v="Reserva Recuperación Secundaria"/>
    <s v="Bombeo Mecánico"/>
    <x v="4"/>
    <s v="Las Heras Central Sur"/>
    <x v="0"/>
    <s v="NO"/>
    <n v="0.8"/>
    <n v="0"/>
  </r>
  <r>
    <x v="1925"/>
    <s v="CnE-979"/>
    <x v="0"/>
    <s v="Reserva Recuperación Secundaria"/>
    <s v="Pistoneo"/>
    <x v="0"/>
    <s v="Barranca Baya Bloque 36"/>
    <x v="0"/>
    <s v="NO"/>
    <n v="0.01"/>
    <s v="Ultimos 6 meses"/>
  </r>
  <r>
    <x v="1926"/>
    <s v="CnE-1024"/>
    <x v="0"/>
    <s v="Espera Equipo Reparación"/>
    <s v="Bombeo Mecánico"/>
    <x v="0"/>
    <s v="Barranca Baya Bloque 30"/>
    <x v="0"/>
    <s v="NO"/>
    <n v="1"/>
    <s v="Ultimos 6 meses"/>
  </r>
  <r>
    <x v="1927"/>
    <s v="CG-671"/>
    <x v="0"/>
    <s v="En Estudio"/>
    <s v="Bombeo Mecánico"/>
    <x v="4"/>
    <s v="Cerro Grande Central"/>
    <x v="0"/>
    <s v="NO"/>
    <n v="0.4"/>
    <n v="0"/>
  </r>
  <r>
    <x v="1928"/>
    <s v="CnE-1042"/>
    <x v="0"/>
    <s v="Produciendo"/>
    <s v="Bombeo Mecánico"/>
    <x v="1"/>
    <s v="Barranca Baya Bloque 36"/>
    <x v="0"/>
    <s v="NO"/>
    <n v="2.125"/>
    <n v="0"/>
  </r>
  <r>
    <x v="1929"/>
    <s v="CnE-1157"/>
    <x v="0"/>
    <s v="Reserva Recuperación Secundaria"/>
    <s v="Bombeo Mecánico"/>
    <x v="0"/>
    <s v="Barranca Baya Bloque 36"/>
    <x v="0"/>
    <s v="NO"/>
    <n v="0.3"/>
    <s v="Ultimos 6 meses"/>
  </r>
  <r>
    <x v="1930"/>
    <s v="CG-941"/>
    <x v="0"/>
    <s v="Produciendo"/>
    <s v="Bombeo Mecánico"/>
    <x v="1"/>
    <s v="Cerro Grande Central"/>
    <x v="0"/>
    <s v="Oportunidad"/>
    <n v="0.73799999999999999"/>
    <n v="0"/>
  </r>
  <r>
    <x v="1931"/>
    <s v="CnE-1381"/>
    <x v="0"/>
    <s v="Produciendo"/>
    <s v="Bombeo Mecánico"/>
    <x v="1"/>
    <s v="Barranca Baya Bloque 36"/>
    <x v="0"/>
    <s v="NO"/>
    <n v="0.629"/>
    <n v="0"/>
  </r>
  <r>
    <x v="1932"/>
    <s v="CnE-1423a"/>
    <x v="0"/>
    <s v="Produciendo"/>
    <s v="Bombeo Mecánico"/>
    <x v="1"/>
    <s v="Barranca Baya Bloque 30"/>
    <x v="0"/>
    <s v="NO"/>
    <n v="3.5"/>
    <n v="0"/>
  </r>
  <r>
    <x v="1933"/>
    <s v="CnE-884a"/>
    <x v="0"/>
    <s v="Reserva Recuperación Secundaria"/>
    <s v="No Posee"/>
    <x v="4"/>
    <s v="Barranca Baya Bloque 36"/>
    <x v="0"/>
    <s v="NO"/>
    <n v="0.6"/>
    <n v="0"/>
  </r>
  <r>
    <x v="1934"/>
    <s v="LH-86"/>
    <x v="0"/>
    <s v="Espera Equipo Reparación"/>
    <s v="Inyección"/>
    <x v="5"/>
    <s v="Las Heras Bloque 2"/>
    <x v="1"/>
    <s v="NO"/>
    <n v="0"/>
    <n v="0"/>
  </r>
  <r>
    <x v="1935"/>
    <s v="LH-88"/>
    <x v="0"/>
    <s v="Produciendo"/>
    <s v="Inyección"/>
    <x v="1"/>
    <s v="Las Heras Bloque 2"/>
    <x v="0"/>
    <s v="NO"/>
    <n v="0"/>
    <n v="0"/>
  </r>
  <r>
    <x v="1936"/>
    <s v="LH-748"/>
    <x v="0"/>
    <s v="Abandono Permanente"/>
    <s v="No Posee"/>
    <x v="3"/>
    <s v="Las Heras Bloque 2"/>
    <x v="0"/>
    <s v="NO"/>
    <n v="0.18"/>
    <n v="0"/>
  </r>
  <r>
    <x v="1937"/>
    <s v="LH-831"/>
    <x v="0"/>
    <s v="Abandono Permanente"/>
    <s v="No Posee"/>
    <x v="3"/>
    <s v="Las Heras Las Heras Bloque 3"/>
    <x v="0"/>
    <s v="NO"/>
    <n v="0.49500000000000005"/>
    <n v="0"/>
  </r>
  <r>
    <x v="1938"/>
    <s v="LH-861"/>
    <x v="0"/>
    <s v="Produciendo"/>
    <s v="Bombeo Mecánico"/>
    <x v="1"/>
    <s v="Las Heras Central Sur"/>
    <x v="0"/>
    <s v="NO"/>
    <n v="1.6"/>
    <n v="0"/>
  </r>
  <r>
    <x v="1939"/>
    <s v="LH-905"/>
    <x v="0"/>
    <s v="Produciendo"/>
    <s v="Pistoneo"/>
    <x v="1"/>
    <s v="Las Heras Central Sur"/>
    <x v="0"/>
    <s v="NO"/>
    <n v="0.161"/>
    <n v="0"/>
  </r>
  <r>
    <x v="1940"/>
    <s v="LH-924"/>
    <x v="0"/>
    <s v="Abandono Permanente"/>
    <s v="No Posee"/>
    <x v="3"/>
    <s v="Las Heras Central Sur"/>
    <x v="0"/>
    <s v="NO"/>
    <n v="0.26100000000000001"/>
    <n v="0"/>
  </r>
  <r>
    <x v="1941"/>
    <s v="CG-42"/>
    <x v="0"/>
    <s v="Produciendo"/>
    <s v="Bombeo Mecánico"/>
    <x v="1"/>
    <s v="Barranca Baya Bloque 26"/>
    <x v="0"/>
    <s v="NO"/>
    <n v="0.70000000000000007"/>
    <n v="0"/>
  </r>
  <r>
    <x v="1942"/>
    <s v="CG-155"/>
    <x v="0"/>
    <s v="Produciendo"/>
    <s v="Bombeo Mecánico"/>
    <x v="1"/>
    <s v="Cerro Grande Central"/>
    <x v="0"/>
    <s v="NO"/>
    <n v="0.5"/>
    <n v="0"/>
  </r>
  <r>
    <x v="1943"/>
    <s v="CG-241"/>
    <x v="0"/>
    <s v="Reserva Recuperación Secundaria"/>
    <s v="No Posee"/>
    <x v="4"/>
    <s v="Barranca Baya Cerro Grande Norte"/>
    <x v="0"/>
    <s v="NO"/>
    <s v="NO"/>
    <s v="NO"/>
  </r>
  <r>
    <x v="1944"/>
    <s v="CG.a-289"/>
    <x v="0"/>
    <s v="Produciendo"/>
    <s v="Bombeo Mecánico"/>
    <x v="1"/>
    <s v="Cerro Grande Central"/>
    <x v="0"/>
    <s v="NO"/>
    <n v="1.3860000000000001"/>
    <n v="0"/>
  </r>
  <r>
    <x v="1945"/>
    <s v="CnE-325"/>
    <x v="0"/>
    <s v="Espera Equipo Reparación"/>
    <s v="No Posee"/>
    <x v="5"/>
    <s v="Barranca Baya Bloque 36"/>
    <x v="1"/>
    <s v="NO"/>
    <n v="0.34900000000000003"/>
    <n v="0"/>
  </r>
  <r>
    <x v="1946"/>
    <s v="LH-111"/>
    <x v="0"/>
    <s v="A Abandonar Por Razones Técnicas"/>
    <s v="Inyección"/>
    <x v="5"/>
    <s v="Las Heras Las Heras Bloque 3"/>
    <x v="1"/>
    <s v="NO"/>
    <n v="0"/>
    <n v="0"/>
  </r>
  <r>
    <x v="1947"/>
    <s v="LH-243"/>
    <x v="0"/>
    <s v="En Estudio"/>
    <s v="No Posee"/>
    <x v="2"/>
    <s v="Las Heras Central Sur"/>
    <x v="0"/>
    <s v="NO"/>
    <n v="1.0290000000000001"/>
    <s v="Ultimo Año"/>
  </r>
  <r>
    <x v="1948"/>
    <s v="LH-285"/>
    <x v="0"/>
    <s v="Produciendo"/>
    <s v="Bombeo Mecánico"/>
    <x v="1"/>
    <s v="Las Heras Central Sur"/>
    <x v="0"/>
    <s v="NO"/>
    <n v="1.2"/>
    <n v="0"/>
  </r>
  <r>
    <x v="1949"/>
    <s v="LH-294"/>
    <x v="0"/>
    <s v="Abandono Permanente"/>
    <s v="No Posee"/>
    <x v="3"/>
    <s v="Las Heras Central Sur"/>
    <x v="0"/>
    <s v="NO"/>
    <s v="NO"/>
    <s v="NO"/>
  </r>
  <r>
    <x v="1950"/>
    <s v="LH-166"/>
    <x v="0"/>
    <s v="Produciendo"/>
    <s v="Inyección"/>
    <x v="1"/>
    <s v="Las Heras Las Heras Bloque 3"/>
    <x v="0"/>
    <s v="NO"/>
    <n v="0"/>
    <n v="0"/>
  </r>
  <r>
    <x v="1951"/>
    <s v="LH-511"/>
    <x v="0"/>
    <s v="Produciendo"/>
    <s v="Pistoneo"/>
    <x v="1"/>
    <s v="Las Heras Central Sur"/>
    <x v="0"/>
    <s v="NO"/>
    <n v="0.19"/>
    <n v="0"/>
  </r>
  <r>
    <x v="1952"/>
    <s v="LH.a-553"/>
    <x v="0"/>
    <s v="Produciendo"/>
    <s v="Bombeo Mecánico"/>
    <x v="1"/>
    <s v="Las Heras Central Sur"/>
    <x v="0"/>
    <s v="NO"/>
    <n v="1.3170000000000002"/>
    <n v="0"/>
  </r>
  <r>
    <x v="1953"/>
    <s v="LH-637"/>
    <x v="0"/>
    <s v="Produciendo"/>
    <s v="Pistoneo"/>
    <x v="1"/>
    <s v="Las Heras Central Sur"/>
    <x v="0"/>
    <s v="NO"/>
    <n v="0.17300000000000001"/>
    <n v="0"/>
  </r>
  <r>
    <x v="1954"/>
    <s v="LH-686"/>
    <x v="0"/>
    <s v="Reserva Recuperación Secundaria"/>
    <s v="No Posee"/>
    <x v="4"/>
    <s v="Las Heras Central Sur"/>
    <x v="0"/>
    <s v="NO"/>
    <s v="NO"/>
    <s v="NO"/>
  </r>
  <r>
    <x v="1955"/>
    <s v="LH-735"/>
    <x v="0"/>
    <s v="En Estudio"/>
    <s v="No Posee"/>
    <x v="7"/>
    <s v="Las Heras Central Sur"/>
    <x v="0"/>
    <s v="NO"/>
    <n v="1.5"/>
    <s v="Ultimo Año"/>
  </r>
  <r>
    <x v="1956"/>
    <s v="LH-899"/>
    <x v="0"/>
    <s v="Abandono Permanente"/>
    <s v="No Posee"/>
    <x v="3"/>
    <s v="Las Heras Central Sur"/>
    <x v="0"/>
    <s v="NO"/>
    <n v="0.57999999999999996"/>
    <n v="0"/>
  </r>
  <r>
    <x v="1957"/>
    <s v="LH-951"/>
    <x v="0"/>
    <s v="Produciendo"/>
    <s v="Pistoneo"/>
    <x v="1"/>
    <s v="Las Heras Central Sur"/>
    <x v="0"/>
    <s v="NO"/>
    <n v="0.18"/>
    <n v="0"/>
  </r>
  <r>
    <x v="1958"/>
    <s v="CG-169"/>
    <x v="0"/>
    <s v="Reserva Recuperación Secundaria"/>
    <s v="No Posee"/>
    <x v="4"/>
    <s v="Cerro Grande Central"/>
    <x v="0"/>
    <s v="NO"/>
    <s v="NO"/>
    <s v="NO"/>
  </r>
  <r>
    <x v="1959"/>
    <s v="CG-233"/>
    <x v="0"/>
    <s v="Reserva Recuperación Secundaria"/>
    <s v="No Posee"/>
    <x v="4"/>
    <s v="Barranca Baya Cerro Grande Norte"/>
    <x v="0"/>
    <s v="NO"/>
    <s v="NO"/>
    <s v="NO"/>
  </r>
  <r>
    <x v="1960"/>
    <s v="CG-400"/>
    <x v="0"/>
    <s v="Produciendo"/>
    <s v="Bombeo Mecánico"/>
    <x v="1"/>
    <s v="Barranca Baya Cerro Grande Noroeste"/>
    <x v="0"/>
    <s v="NO"/>
    <n v="0.96600000000000008"/>
    <n v="0"/>
  </r>
  <r>
    <x v="1961"/>
    <s v="CG-478"/>
    <x v="0"/>
    <s v="Produciendo"/>
    <s v="Bombeo Mecánico"/>
    <x v="1"/>
    <s v="Barranca Baya Las Heras Bloque 3"/>
    <x v="0"/>
    <s v="NO"/>
    <n v="1.2190000000000001"/>
    <n v="0"/>
  </r>
  <r>
    <x v="1962"/>
    <s v="LC-535"/>
    <x v="0"/>
    <s v="Abandono Permanente"/>
    <s v="No Posee"/>
    <x v="3"/>
    <s v="Lomas del Cuy- Cerro Grande Noroeste"/>
    <x v="0"/>
    <s v="NO"/>
    <n v="1.03"/>
    <n v="0"/>
  </r>
  <r>
    <x v="1963"/>
    <s v="CnE-295"/>
    <x v="0"/>
    <s v="Produciendo"/>
    <s v="Pistoneo"/>
    <x v="1"/>
    <s v="Barranca Baya Bloque 38"/>
    <x v="0"/>
    <s v="NO"/>
    <n v="0.115"/>
    <n v="0"/>
  </r>
  <r>
    <x v="1964"/>
    <s v="CnE-431"/>
    <x v="0"/>
    <s v="Espera Equipo Reparación"/>
    <s v="Bombeo Mecánico"/>
    <x v="5"/>
    <s v="Barranca Baya Bloque 30"/>
    <x v="1"/>
    <s v="NO"/>
    <n v="0.9"/>
    <n v="0"/>
  </r>
  <r>
    <x v="1965"/>
    <s v="CnE-434"/>
    <x v="0"/>
    <s v="Abandono Permanente"/>
    <s v="No Posee"/>
    <x v="3"/>
    <s v="Barranca Baya Bloque 30"/>
    <x v="0"/>
    <s v="NO"/>
    <n v="0.94000000000000006"/>
    <n v="0"/>
  </r>
  <r>
    <x v="1966"/>
    <s v="CnE-541"/>
    <x v="0"/>
    <s v="Produciendo"/>
    <s v="Inyección"/>
    <x v="1"/>
    <s v="Barranca Baya Bloque 36"/>
    <x v="0"/>
    <s v="NO"/>
    <n v="0"/>
    <n v="0"/>
  </r>
  <r>
    <x v="1967"/>
    <s v="CnE-665"/>
    <x v="0"/>
    <s v="Produciendo"/>
    <s v="Bombeo Mecánico"/>
    <x v="1"/>
    <s v="Barranca Baya Bloque 36"/>
    <x v="0"/>
    <s v="NO"/>
    <n v="0.255"/>
    <n v="0"/>
  </r>
  <r>
    <x v="1968"/>
    <s v="CnE-693"/>
    <x v="0"/>
    <s v="Produciendo"/>
    <s v="Bombeo Mecánico"/>
    <x v="1"/>
    <s v="Barranca Baya Bloque 37"/>
    <x v="0"/>
    <s v="NO"/>
    <n v="1.87"/>
    <n v="0"/>
  </r>
  <r>
    <x v="1969"/>
    <s v="CnE-709"/>
    <x v="0"/>
    <s v="Produciendo"/>
    <s v="Bombeo Mecánico"/>
    <x v="1"/>
    <s v="Barranca Baya"/>
    <x v="0"/>
    <s v="NO"/>
    <n v="9.43"/>
    <n v="0"/>
  </r>
  <r>
    <x v="1970"/>
    <s v="CnE-758"/>
    <x v="0"/>
    <s v="Produciendo"/>
    <s v="Inyección"/>
    <x v="1"/>
    <s v="Barranca Baya Bloque 36"/>
    <x v="0"/>
    <s v="NO"/>
    <n v="0"/>
    <n v="0"/>
  </r>
  <r>
    <x v="1971"/>
    <s v="CnE-766"/>
    <x v="0"/>
    <s v="Produciendo"/>
    <s v="Bombeo Mecánico"/>
    <x v="1"/>
    <s v="Barranca Baya Bloque 30"/>
    <x v="0"/>
    <s v="NO"/>
    <n v="1.1000000000000001"/>
    <n v="0"/>
  </r>
  <r>
    <x v="1972"/>
    <s v="BB-30"/>
    <x v="0"/>
    <s v="Espera Equipo Reparación"/>
    <s v="Bombeo Mecánico"/>
    <x v="5"/>
    <s v="Barranca Baya"/>
    <x v="1"/>
    <s v="NO"/>
    <n v="0.84800000000000009"/>
    <n v="0"/>
  </r>
  <r>
    <x v="1973"/>
    <s v="BB-94"/>
    <x v="0"/>
    <s v="Reserva Recuperación Secundaria"/>
    <s v="Bombeo Mecánico"/>
    <x v="4"/>
    <s v="Barranca Baya"/>
    <x v="0"/>
    <s v="NO"/>
    <n v="0.44"/>
    <n v="0"/>
  </r>
  <r>
    <x v="1974"/>
    <s v="CnE-853"/>
    <x v="0"/>
    <s v="Reserva Recuperación Secundaria"/>
    <s v="No Posee"/>
    <x v="4"/>
    <s v="Barranca Baya Bloque 36"/>
    <x v="0"/>
    <s v="NO"/>
    <n v="0.33900000000000002"/>
    <n v="0"/>
  </r>
  <r>
    <x v="1975"/>
    <s v="LH-3"/>
    <x v="0"/>
    <s v="Abandono Permanente"/>
    <s v="No Posee"/>
    <x v="3"/>
    <s v="Las Heras Cerro Grande Sur"/>
    <x v="0"/>
    <s v="NO"/>
    <n v="0"/>
    <n v="0"/>
  </r>
  <r>
    <x v="1976"/>
    <s v="LH-59"/>
    <x v="0"/>
    <s v="Produciendo"/>
    <s v="Pistoneo"/>
    <x v="1"/>
    <s v="Las Heras Cerro Grande Sur"/>
    <x v="0"/>
    <s v="NO"/>
    <n v="0.10400000000000001"/>
    <n v="0"/>
  </r>
  <r>
    <x v="1977"/>
    <s v="LC-632a"/>
    <x v="0"/>
    <s v="Abandono Permanente"/>
    <s v="No Posee"/>
    <x v="3"/>
    <s v="Lomas del Cuy- Cerro Grande Norte"/>
    <x v="0"/>
    <s v="NO"/>
    <s v="NO"/>
    <s v="NO"/>
  </r>
  <r>
    <x v="1978"/>
    <s v="N-11"/>
    <x v="0"/>
    <s v="Abandono Permanente"/>
    <s v="No Posee"/>
    <x v="3"/>
    <s v="Lomas del Cuy- Cerro Grande Sur"/>
    <x v="0"/>
    <s v="NO"/>
    <s v="NO"/>
    <s v="NO"/>
  </r>
  <r>
    <x v="1979"/>
    <s v="CnE-73"/>
    <x v="0"/>
    <s v="Produciendo"/>
    <s v="Inyección"/>
    <x v="1"/>
    <s v="Barranca Baya Bloque 26"/>
    <x v="0"/>
    <s v="NO"/>
    <n v="0"/>
    <n v="0"/>
  </r>
  <r>
    <x v="1980"/>
    <s v="CnE-272"/>
    <x v="0"/>
    <s v="Produciendo"/>
    <s v="Bombeo Mecánico"/>
    <x v="1"/>
    <s v="Barranca Baya Bloque 30"/>
    <x v="0"/>
    <s v="NO"/>
    <n v="0.42"/>
    <n v="0"/>
  </r>
  <r>
    <x v="1981"/>
    <s v="CnE-348"/>
    <x v="0"/>
    <s v="Produciendo"/>
    <s v="Electro Sumergible"/>
    <x v="1"/>
    <s v="Barranca Baya Bloque 36"/>
    <x v="0"/>
    <s v="NO"/>
    <n v="2.121"/>
    <n v="0"/>
  </r>
  <r>
    <x v="1982"/>
    <s v="CnE-375"/>
    <x v="0"/>
    <s v="Abandono Permanente"/>
    <s v="No Posee"/>
    <x v="3"/>
    <s v="Barranca Baya Bloque 36"/>
    <x v="0"/>
    <s v="NO"/>
    <s v="NO"/>
    <s v="NO"/>
  </r>
  <r>
    <x v="1983"/>
    <s v="CnE-380"/>
    <x v="0"/>
    <s v="Produciendo"/>
    <s v="Inyección"/>
    <x v="1"/>
    <s v="Barranca Baya Bloque 36"/>
    <x v="0"/>
    <s v="NO"/>
    <n v="0"/>
    <n v="0"/>
  </r>
  <r>
    <x v="1984"/>
    <s v="CnE-396"/>
    <x v="0"/>
    <s v="Espera Equipo Reparación"/>
    <s v="Bombeo Mecánico"/>
    <x v="2"/>
    <s v="Barranca Baya Bloque 36"/>
    <x v="0"/>
    <s v="NO"/>
    <n v="0.33"/>
    <s v="Ultimo Año"/>
  </r>
  <r>
    <x v="1985"/>
    <s v="CnE-430"/>
    <x v="0"/>
    <s v="Produciendo"/>
    <s v="Bombeo Mecánico"/>
    <x v="1"/>
    <s v="Barranca Baya Bloque 30"/>
    <x v="0"/>
    <s v="NO"/>
    <n v="2"/>
    <n v="0"/>
  </r>
  <r>
    <x v="1986"/>
    <s v="CnE-519"/>
    <x v="0"/>
    <s v="Produciendo"/>
    <s v="Inyección"/>
    <x v="1"/>
    <s v="Barranca Baya Bloque 37"/>
    <x v="0"/>
    <s v="NO"/>
    <n v="0"/>
    <n v="0"/>
  </r>
  <r>
    <x v="1987"/>
    <s v="CnE-529"/>
    <x v="0"/>
    <s v="Produciendo"/>
    <s v="Inyección"/>
    <x v="1"/>
    <s v="Barranca Baya Bloque 37"/>
    <x v="0"/>
    <s v="NO"/>
    <n v="0"/>
    <n v="0"/>
  </r>
  <r>
    <x v="1988"/>
    <s v="CnE-757"/>
    <x v="0"/>
    <s v="Produciendo"/>
    <s v="Inyección"/>
    <x v="1"/>
    <s v="Barranca Baya Bloque 37"/>
    <x v="0"/>
    <s v="NO"/>
    <n v="0"/>
    <n v="0"/>
  </r>
  <r>
    <x v="1989"/>
    <s v="LH-99"/>
    <x v="0"/>
    <s v="Produciendo"/>
    <s v="Cavidad Progresiva"/>
    <x v="1"/>
    <s v="Las Heras Las Heras Bloque 3"/>
    <x v="0"/>
    <s v="NO"/>
    <n v="1"/>
    <n v="0"/>
  </r>
  <r>
    <x v="1990"/>
    <s v="LH-117"/>
    <x v="0"/>
    <s v="Produciendo"/>
    <s v="Inyección"/>
    <x v="1"/>
    <s v="Las Heras Las Heras Bloque 3"/>
    <x v="0"/>
    <s v="NO"/>
    <n v="0"/>
    <n v="0"/>
  </r>
  <r>
    <x v="1991"/>
    <s v="CG-281"/>
    <x v="0"/>
    <s v="Abandono Permanente"/>
    <s v="No Posee"/>
    <x v="3"/>
    <s v="Cerro Grande Central"/>
    <x v="0"/>
    <s v="NO"/>
    <s v="NO"/>
    <s v="NO"/>
  </r>
  <r>
    <x v="1992"/>
    <s v="LH-188"/>
    <x v="0"/>
    <s v="Abandono Permanente"/>
    <s v="No Posee"/>
    <x v="3"/>
    <s v="Las Heras Las Heras Bloque 3"/>
    <x v="0"/>
    <s v="NO"/>
    <s v="NO"/>
    <s v="NO"/>
  </r>
  <r>
    <x v="1993"/>
    <s v="CG-194"/>
    <x v="0"/>
    <s v="Reserva Recuperación Secundaria"/>
    <s v="No Posee"/>
    <x v="4"/>
    <s v="Barranca Baya Cerro Grande Norte"/>
    <x v="0"/>
    <s v="NO"/>
    <n v="0.58800000000000008"/>
    <n v="0"/>
  </r>
  <r>
    <x v="1994"/>
    <s v="CG-53"/>
    <x v="0"/>
    <s v="Produciendo"/>
    <s v="Cavidad Progresiva"/>
    <x v="1"/>
    <s v="Barranca Baya Cerro Grande Sur"/>
    <x v="0"/>
    <s v="NO"/>
    <n v="1.0370000000000001"/>
    <n v="0"/>
  </r>
  <r>
    <x v="1995"/>
    <s v="LH-1008a"/>
    <x v="0"/>
    <s v="Reserva Recuperación Secundaria"/>
    <s v="Bombeo Mecánico"/>
    <x v="4"/>
    <s v="Las Heras Central Sur"/>
    <x v="0"/>
    <s v="NO"/>
    <n v="0.28500000000000003"/>
    <n v="0"/>
  </r>
  <r>
    <x v="1996"/>
    <s v="LH-1024a"/>
    <x v="0"/>
    <s v="Reserva Recuperación Secundaria"/>
    <s v="Bombeo Mecánico"/>
    <x v="4"/>
    <s v="Las Heras Central Sur"/>
    <x v="0"/>
    <s v="NO"/>
    <n v="0.47000000000000003"/>
    <n v="0"/>
  </r>
  <r>
    <x v="1997"/>
    <s v="LH-1060a"/>
    <x v="0"/>
    <s v="Abandono Permanente"/>
    <s v="No Posee"/>
    <x v="3"/>
    <s v="Las Heras Central Sur"/>
    <x v="0"/>
    <s v="NO"/>
    <n v="0.29200000000000004"/>
    <n v="0"/>
  </r>
  <r>
    <x v="1998"/>
    <s v="CG-564a"/>
    <x v="0"/>
    <s v="Produciendo"/>
    <s v="Bombeo Mecánico"/>
    <x v="1"/>
    <s v="Cerro Grande Noreste"/>
    <x v="0"/>
    <s v="NO"/>
    <n v="2.1120000000000001"/>
    <n v="0"/>
  </r>
  <r>
    <x v="1999"/>
    <s v="LH-1120"/>
    <x v="0"/>
    <s v="Abandono Permanente"/>
    <s v="No Posee"/>
    <x v="3"/>
    <s v="Las Heras Bloque 2"/>
    <x v="0"/>
    <s v="NO"/>
    <n v="0.74099999999999999"/>
    <n v="0"/>
  </r>
  <r>
    <x v="2000"/>
    <s v="CnE-1277"/>
    <x v="0"/>
    <s v="Produciendo"/>
    <s v="Bombeo Mecánico"/>
    <x v="1"/>
    <s v="Barranca Baya Bloque 30"/>
    <x v="0"/>
    <s v="NO"/>
    <n v="1.36"/>
    <n v="0"/>
  </r>
  <r>
    <x v="2001"/>
    <s v="CnE.a-1340"/>
    <x v="0"/>
    <s v="Produciendo"/>
    <s v="Bombeo Mecánico"/>
    <x v="1"/>
    <s v="Barranca Baya Bloque 30"/>
    <x v="0"/>
    <s v="NO"/>
    <n v="1.5"/>
    <n v="0"/>
  </r>
  <r>
    <x v="2002"/>
    <s v="LH-96"/>
    <x v="0"/>
    <s v="Espera Equipo Reparación"/>
    <s v="Bombeo Mecánico"/>
    <x v="5"/>
    <s v="Las Heras Las Heras Bloque 3"/>
    <x v="1"/>
    <s v="NO"/>
    <n v="0.59799999999999998"/>
    <n v="0"/>
  </r>
  <r>
    <x v="2003"/>
    <s v="LH-187"/>
    <x v="0"/>
    <s v="Espera Equipo Reparación"/>
    <s v="Inyección"/>
    <x v="6"/>
    <s v="Las Heras Bloque 2"/>
    <x v="0"/>
    <s v="Oportunidad"/>
    <n v="0"/>
    <s v="Ultimo Año"/>
  </r>
  <r>
    <x v="2004"/>
    <s v="LH-486"/>
    <x v="0"/>
    <s v="Reserva Recuperación Secundaria"/>
    <s v="Bombeo Mecánico"/>
    <x v="4"/>
    <s v="Las Heras Central Sur"/>
    <x v="0"/>
    <s v="NO"/>
    <n v="0.56000000000000005"/>
    <n v="0"/>
  </r>
  <r>
    <x v="2005"/>
    <s v="LH-65"/>
    <x v="0"/>
    <s v="Abandono Permanente"/>
    <s v="No Posee"/>
    <x v="3"/>
    <s v="Las Heras Bloque 2"/>
    <x v="0"/>
    <s v="NO"/>
    <n v="0.5"/>
    <n v="0"/>
  </r>
  <r>
    <x v="2006"/>
    <s v="LH-114"/>
    <x v="0"/>
    <s v="Produciendo"/>
    <s v="Bombeo Mecánico"/>
    <x v="1"/>
    <s v="Las Heras Las Heras Bloque 3"/>
    <x v="0"/>
    <s v="NO"/>
    <n v="1.61"/>
    <n v="0"/>
  </r>
  <r>
    <x v="2007"/>
    <s v="LH-139"/>
    <x v="0"/>
    <s v="Produciendo"/>
    <s v="Bombeo Mecánico"/>
    <x v="1"/>
    <s v="Las Heras Bloque 2"/>
    <x v="0"/>
    <s v="NO"/>
    <n v="2.1"/>
    <n v="0"/>
  </r>
  <r>
    <x v="2008"/>
    <s v="LH-164"/>
    <x v="0"/>
    <s v="Produciendo"/>
    <s v="Bombeo Mecánico"/>
    <x v="1"/>
    <s v="Las Heras Las Heras Bloque 3"/>
    <x v="0"/>
    <s v="NO"/>
    <n v="0.26"/>
    <n v="0"/>
  </r>
  <r>
    <x v="2009"/>
    <s v="LH-277"/>
    <x v="0"/>
    <s v="Produciendo"/>
    <s v="Bombeo Mecánico"/>
    <x v="1"/>
    <s v="Las Heras Central Sur"/>
    <x v="0"/>
    <s v="NO"/>
    <n v="3.8880000000000003"/>
    <n v="0"/>
  </r>
  <r>
    <x v="2010"/>
    <s v="LH-283"/>
    <x v="0"/>
    <s v="Produciendo"/>
    <s v="Bombeo Mecánico"/>
    <x v="1"/>
    <s v="Las Heras Central Sur"/>
    <x v="0"/>
    <s v="NO"/>
    <n v="2.31"/>
    <n v="0"/>
  </r>
  <r>
    <x v="2011"/>
    <s v="LH-732"/>
    <x v="0"/>
    <s v="A Abandonar"/>
    <s v="No Posee"/>
    <x v="5"/>
    <s v="Las Heras Cerro Grande Sur"/>
    <x v="1"/>
    <s v="NO"/>
    <n v="0.09"/>
    <n v="0"/>
  </r>
  <r>
    <x v="2012"/>
    <s v="LH-734"/>
    <x v="0"/>
    <s v="Produciendo"/>
    <s v="Pistoneo"/>
    <x v="1"/>
    <s v="Las Heras Bloque 2"/>
    <x v="0"/>
    <s v="NO"/>
    <n v="0.10400000000000001"/>
    <n v="0"/>
  </r>
  <r>
    <x v="2013"/>
    <s v="LH-818"/>
    <x v="0"/>
    <s v="Reserva Recuperación Secundaria"/>
    <s v="No Posee"/>
    <x v="7"/>
    <s v="Las Heras Bloque 2"/>
    <x v="0"/>
    <s v="NO"/>
    <n v="5.9850000000000003"/>
    <n v="0"/>
  </r>
  <r>
    <x v="2014"/>
    <s v="CG-127"/>
    <x v="0"/>
    <s v="Produciendo"/>
    <s v="Bombeo Mecánico"/>
    <x v="1"/>
    <s v="Cerro Grande Central"/>
    <x v="0"/>
    <s v="NO"/>
    <n v="1.08"/>
    <n v="0"/>
  </r>
  <r>
    <x v="2015"/>
    <s v="CG-394"/>
    <x v="0"/>
    <s v="Produciendo"/>
    <s v="Cavidad Progresiva"/>
    <x v="1"/>
    <s v="Barranca Baya Cerro Grande Noroeste"/>
    <x v="0"/>
    <s v="NO"/>
    <n v="3.71"/>
    <n v="0"/>
  </r>
  <r>
    <x v="2016"/>
    <s v="CG-445"/>
    <x v="0"/>
    <s v="Reserva Recuperación Secundaria"/>
    <s v="No Posee"/>
    <x v="4"/>
    <s v="Barranca Baya Bloque 26"/>
    <x v="0"/>
    <s v="NO"/>
    <n v="0.22"/>
    <n v="0"/>
  </r>
  <r>
    <x v="2017"/>
    <s v="LC-116"/>
    <x v="0"/>
    <s v="Produciendo"/>
    <s v="Bombeo Mecánico"/>
    <x v="1"/>
    <s v="Lomas del Cuy- Cerro Grande Sur"/>
    <x v="0"/>
    <s v="NO"/>
    <n v="2.3000000000000003"/>
    <n v="0"/>
  </r>
  <r>
    <x v="2018"/>
    <s v="CnE-96"/>
    <x v="0"/>
    <s v="Espera Equipo Reparación"/>
    <s v="Bombeo Mecánico"/>
    <x v="5"/>
    <s v="Barranca Baya Bloque 30"/>
    <x v="1"/>
    <s v="NO"/>
    <n v="0.60799999999999998"/>
    <n v="0"/>
  </r>
  <r>
    <x v="2019"/>
    <s v="CnE-122"/>
    <x v="0"/>
    <s v="Reserva Recuperación Secundaria"/>
    <s v="Bombeo Mecánico"/>
    <x v="4"/>
    <s v="Barranca Baya Bloque 40"/>
    <x v="0"/>
    <s v="NO"/>
    <n v="0.25"/>
    <n v="0"/>
  </r>
  <r>
    <x v="2020"/>
    <s v="CnE-194"/>
    <x v="0"/>
    <s v="En Estudio"/>
    <s v="Bombeo Mecánico"/>
    <x v="2"/>
    <s v="Barranca Baya Bloque 40"/>
    <x v="0"/>
    <s v="NO"/>
    <n v="0.84"/>
    <s v="Ultimo Año"/>
  </r>
  <r>
    <x v="2021"/>
    <s v="CnE-228"/>
    <x v="0"/>
    <s v="Produciendo"/>
    <s v="Bombeo Mecánico"/>
    <x v="1"/>
    <s v="Barranca Baya Bloque 30"/>
    <x v="0"/>
    <s v="NO"/>
    <n v="0.87"/>
    <n v="0"/>
  </r>
  <r>
    <x v="2022"/>
    <s v="CnE-231"/>
    <x v="0"/>
    <s v="Produciendo"/>
    <s v="Bombeo Mecánico"/>
    <x v="1"/>
    <s v="Barranca Baya Bloque 30"/>
    <x v="0"/>
    <s v="NO"/>
    <n v="2.4500000000000002"/>
    <n v="0"/>
  </r>
  <r>
    <x v="2023"/>
    <s v="CnE-270"/>
    <x v="0"/>
    <s v="Produciendo"/>
    <s v="Inyección"/>
    <x v="1"/>
    <s v="Barranca Baya Bloque 30"/>
    <x v="0"/>
    <s v="NO"/>
    <n v="0"/>
    <n v="0"/>
  </r>
  <r>
    <x v="2024"/>
    <s v="CnE-301"/>
    <x v="0"/>
    <s v="Produciendo"/>
    <s v="Bombeo Mecánico"/>
    <x v="1"/>
    <s v="Barranca Baya Bloque 26"/>
    <x v="0"/>
    <s v="NO"/>
    <n v="0.3"/>
    <n v="0"/>
  </r>
  <r>
    <x v="2025"/>
    <s v="CnE-415"/>
    <x v="0"/>
    <s v="Produciendo"/>
    <s v="Electro Sumergible"/>
    <x v="1"/>
    <s v="Barranca Baya Bloque 37"/>
    <x v="0"/>
    <s v="NO"/>
    <n v="1.99"/>
    <n v="0"/>
  </r>
  <r>
    <x v="2026"/>
    <s v="CnE-494"/>
    <x v="0"/>
    <s v="Reserva Recuperación Secundaria"/>
    <s v="No Posee"/>
    <x v="4"/>
    <s v="Barranca Baya Bloque 37"/>
    <x v="0"/>
    <s v="NO"/>
    <s v="NO"/>
    <s v="NO"/>
  </r>
  <r>
    <x v="2027"/>
    <s v="CnE-537"/>
    <x v="0"/>
    <s v="Espera Equipo Reparación"/>
    <s v="Inyección"/>
    <x v="5"/>
    <s v="Barranca Baya Bloque 37"/>
    <x v="1"/>
    <s v="NO"/>
    <n v="0"/>
    <n v="0"/>
  </r>
  <r>
    <x v="2028"/>
    <s v="CnE-714"/>
    <x v="0"/>
    <s v="Produciendo"/>
    <s v="Inyección"/>
    <x v="1"/>
    <s v="Barranca Baya Bloque 37"/>
    <x v="0"/>
    <s v="NO"/>
    <n v="0"/>
    <n v="0"/>
  </r>
  <r>
    <x v="2029"/>
    <s v="CnE-811"/>
    <x v="0"/>
    <s v="Produciendo"/>
    <s v="Inyección"/>
    <x v="1"/>
    <s v="Barranca Baya Bloque 36"/>
    <x v="0"/>
    <s v="NO"/>
    <n v="0"/>
    <n v="0"/>
  </r>
  <r>
    <x v="2030"/>
    <s v="BB-33"/>
    <x v="0"/>
    <s v="A Abandonar"/>
    <s v="Bombeo Mecánico"/>
    <x v="5"/>
    <s v="Barranca Baya Bloque 36"/>
    <x v="1"/>
    <s v="NO"/>
    <n v="0.3"/>
    <n v="0"/>
  </r>
  <r>
    <x v="2031"/>
    <s v="BB-88"/>
    <x v="0"/>
    <s v="Reserva Recuperación Secundaria"/>
    <s v="Inyección"/>
    <x v="4"/>
    <s v="Barranca Baya"/>
    <x v="0"/>
    <s v="NO"/>
    <n v="0"/>
    <n v="0"/>
  </r>
  <r>
    <x v="2032"/>
    <s v="CES-5"/>
    <x v="0"/>
    <s v="En Estudio"/>
    <s v="No Posee"/>
    <x v="5"/>
    <s v="Barranca Baya Bloque 30"/>
    <x v="1"/>
    <s v="NO"/>
    <s v="NO"/>
    <s v="NO"/>
  </r>
  <r>
    <x v="2033"/>
    <s v="CnE-47"/>
    <x v="0"/>
    <s v="Produciendo"/>
    <s v="Inyección"/>
    <x v="1"/>
    <s v="Barranca Baya Bloque 26"/>
    <x v="0"/>
    <s v="NO"/>
    <n v="0"/>
    <n v="0"/>
  </r>
  <r>
    <x v="2034"/>
    <s v="LH-289"/>
    <x v="0"/>
    <s v="Abandono Permanente"/>
    <s v="No Posee"/>
    <x v="3"/>
    <s v="Las Heras Cerro Grande Sur"/>
    <x v="0"/>
    <s v="NO"/>
    <n v="0.13800000000000001"/>
    <n v="0"/>
  </r>
  <r>
    <x v="2035"/>
    <s v="LH-540"/>
    <x v="0"/>
    <s v="Abandono Permanente"/>
    <s v="No Posee"/>
    <x v="3"/>
    <s v="Las Heras Bloque 2"/>
    <x v="0"/>
    <s v="NO"/>
    <s v="NO"/>
    <s v="NO"/>
  </r>
  <r>
    <x v="2036"/>
    <s v="CG-139"/>
    <x v="0"/>
    <s v="Produciendo"/>
    <s v="Pistoneo"/>
    <x v="1"/>
    <s v="Cerro Grande Central"/>
    <x v="0"/>
    <s v="NO"/>
    <n v="0.113"/>
    <n v="0"/>
  </r>
  <r>
    <x v="2037"/>
    <s v="CG-98"/>
    <x v="0"/>
    <s v="Produciendo"/>
    <s v="Bombeo Mecánico"/>
    <x v="1"/>
    <s v="Barranca Baya Bloque 26"/>
    <x v="0"/>
    <s v="NO"/>
    <n v="1.33"/>
    <n v="0"/>
  </r>
  <r>
    <x v="2038"/>
    <s v="CG-520"/>
    <x v="0"/>
    <s v="Abandono Temporal"/>
    <s v="No Posee"/>
    <x v="5"/>
    <s v="Cerro Grande Central"/>
    <x v="1"/>
    <s v="NO"/>
    <n v="0.4"/>
    <n v="0"/>
  </r>
  <r>
    <x v="2039"/>
    <s v="LH-1000a"/>
    <x v="0"/>
    <s v="Produciendo"/>
    <s v="Bombeo Mecánico"/>
    <x v="1"/>
    <s v="Las Heras Central Sur"/>
    <x v="0"/>
    <s v="NO"/>
    <n v="1.35"/>
    <n v="0"/>
  </r>
  <r>
    <x v="2040"/>
    <s v="LH-1061a"/>
    <x v="0"/>
    <s v="Produciendo"/>
    <s v="Inyección"/>
    <x v="1"/>
    <s v="Las Heras Central Sur"/>
    <x v="0"/>
    <s v="Oportunidad"/>
    <n v="0"/>
    <n v="0"/>
  </r>
  <r>
    <x v="2041"/>
    <s v="CG-561a"/>
    <x v="0"/>
    <s v="Abandono Permanente"/>
    <s v="No Posee"/>
    <x v="3"/>
    <s v="Cerro Grande Noreste"/>
    <x v="0"/>
    <s v="NO"/>
    <s v="NO"/>
    <s v="NO"/>
  </r>
  <r>
    <x v="2042"/>
    <s v="CG-587a"/>
    <x v="0"/>
    <s v="Produciendo"/>
    <s v="Bombeo Mecánico"/>
    <x v="1"/>
    <s v="Cerro Grande Noreste"/>
    <x v="0"/>
    <s v="NO"/>
    <n v="3.84"/>
    <n v="0"/>
  </r>
  <r>
    <x v="2043"/>
    <s v="CG-579a"/>
    <x v="0"/>
    <s v="Produciendo"/>
    <s v="Pistoneo"/>
    <x v="1"/>
    <s v="Cerro Grande Central"/>
    <x v="0"/>
    <s v="NO"/>
    <n v="0.18"/>
    <n v="0"/>
  </r>
  <r>
    <x v="2044"/>
    <s v="CG-591a"/>
    <x v="0"/>
    <s v="Reserva Recuperación Secundaria"/>
    <s v="Pistoneo"/>
    <x v="4"/>
    <s v="Cerro Grande Central"/>
    <x v="0"/>
    <s v="NO"/>
    <n v="9.7000000000000003E-2"/>
    <n v="0"/>
  </r>
  <r>
    <x v="2045"/>
    <s v="LH-1132a"/>
    <x v="0"/>
    <s v="Abandono Permanente"/>
    <s v="No Posee"/>
    <x v="3"/>
    <s v="Las Heras Las Heras Bloque 3"/>
    <x v="0"/>
    <s v="NO"/>
    <n v="1.669"/>
    <n v="0"/>
  </r>
  <r>
    <x v="2046"/>
    <s v="LH-1166"/>
    <x v="0"/>
    <s v="Produciendo"/>
    <s v="Bombeo Mecánico"/>
    <x v="1"/>
    <s v="Las Heras Las Heras Bloque 3"/>
    <x v="0"/>
    <s v="NO"/>
    <n v="0.78100000000000003"/>
    <n v="0"/>
  </r>
  <r>
    <x v="2047"/>
    <s v="LH-1181"/>
    <x v="0"/>
    <s v="Produciendo"/>
    <s v="Bombeo Mecánico"/>
    <x v="1"/>
    <s v="Las Heras Central Sur"/>
    <x v="0"/>
    <s v="NO"/>
    <n v="1"/>
    <n v="0"/>
  </r>
  <r>
    <x v="2048"/>
    <s v="CnE-1025"/>
    <x v="0"/>
    <s v="Reserva Recuperación Secundaria"/>
    <s v="No Posee"/>
    <x v="6"/>
    <s v="Barranca Baya Bloque 30"/>
    <x v="0"/>
    <s v="Oportunidad"/>
    <n v="0.77"/>
    <n v="0"/>
  </r>
  <r>
    <x v="2049"/>
    <s v="LH-1184"/>
    <x v="0"/>
    <s v="Reserva Recuperación Secundaria"/>
    <s v="Bombeo Mecánico"/>
    <x v="2"/>
    <s v="Las Heras Central Sur"/>
    <x v="0"/>
    <s v="NO"/>
    <n v="0.66"/>
    <s v="Ultimo Año"/>
  </r>
  <r>
    <x v="2050"/>
    <s v="CG-712"/>
    <x v="0"/>
    <s v="Produciendo"/>
    <s v="Bombeo Mecánico"/>
    <x v="1"/>
    <s v="Cerro Grande Noreste"/>
    <x v="0"/>
    <s v="NO"/>
    <n v="2.3000000000000003"/>
    <n v="0"/>
  </r>
  <r>
    <x v="2051"/>
    <s v="CnE-1089"/>
    <x v="0"/>
    <s v="Produciendo"/>
    <s v="Inyección"/>
    <x v="1"/>
    <s v="Barranca Baya Bloque 38"/>
    <x v="0"/>
    <s v="NO"/>
    <n v="0"/>
    <n v="0"/>
  </r>
  <r>
    <x v="2052"/>
    <s v="LC-636a"/>
    <x v="0"/>
    <s v="Reserva Recuperación Secundaria"/>
    <s v="Bombeo Mecánico"/>
    <x v="4"/>
    <s v="Lomas del Cuy- Cerro Grande Norte"/>
    <x v="0"/>
    <s v="NO"/>
    <n v="0.6"/>
    <n v="0"/>
  </r>
  <r>
    <x v="2053"/>
    <s v="LH-1015a"/>
    <x v="0"/>
    <s v="Abandono Permanente"/>
    <s v="No Posee"/>
    <x v="3"/>
    <s v="Las Heras Las Heras Bloque 3"/>
    <x v="0"/>
    <s v="NO"/>
    <n v="5.04"/>
    <n v="0"/>
  </r>
  <r>
    <x v="2054"/>
    <s v="CnE-905"/>
    <x v="0"/>
    <s v="Produciendo"/>
    <s v="Electro Sumergible"/>
    <x v="1"/>
    <s v="Barranca Baya Bloque 30"/>
    <x v="0"/>
    <s v="NO"/>
    <n v="1.1000000000000001"/>
    <n v="0"/>
  </r>
  <r>
    <x v="2055"/>
    <s v="CnE-907a"/>
    <x v="0"/>
    <s v="Produciendo"/>
    <s v="Bombeo Mecánico"/>
    <x v="1"/>
    <s v="Barranca Baya Bloque 38"/>
    <x v="0"/>
    <s v="NO"/>
    <n v="2.5300000000000002"/>
    <n v="0"/>
  </r>
  <r>
    <x v="2056"/>
    <s v="CnE-976"/>
    <x v="0"/>
    <s v="Produciendo"/>
    <s v="Bombeo Mecánico"/>
    <x v="1"/>
    <s v="Barranca Baya Bloque 36"/>
    <x v="0"/>
    <s v="NO"/>
    <n v="0.96"/>
    <n v="0"/>
  </r>
  <r>
    <x v="2057"/>
    <s v="CnE-1026"/>
    <x v="0"/>
    <s v="Produciendo"/>
    <s v="Bombeo Mecánico"/>
    <x v="1"/>
    <s v="Barranca Baya Bloque 30"/>
    <x v="0"/>
    <s v="NO"/>
    <n v="1.04"/>
    <n v="0"/>
  </r>
  <r>
    <x v="2058"/>
    <s v="CnE-1087"/>
    <x v="0"/>
    <s v="Produciendo"/>
    <s v="Inyección"/>
    <x v="1"/>
    <s v="Barranca Baya Bloque 38"/>
    <x v="0"/>
    <s v="NO"/>
    <n v="0"/>
    <n v="0"/>
  </r>
  <r>
    <x v="2059"/>
    <s v="CG-723"/>
    <x v="0"/>
    <s v="Reserva Recuperación Secundaria"/>
    <s v="Inyección"/>
    <x v="4"/>
    <s v="Cerro Grande Central"/>
    <x v="0"/>
    <s v="NO"/>
    <n v="0"/>
    <n v="0"/>
  </r>
  <r>
    <x v="2060"/>
    <s v="CG-718"/>
    <x v="0"/>
    <s v="Produciendo"/>
    <s v="Bombeo Mecánico"/>
    <x v="1"/>
    <s v="Cerro Grande Central"/>
    <x v="0"/>
    <s v="NO"/>
    <n v="1.462"/>
    <n v="0"/>
  </r>
  <r>
    <x v="2061"/>
    <s v="CnE-1147"/>
    <x v="0"/>
    <s v="Produciendo"/>
    <s v="Pistoneo"/>
    <x v="1"/>
    <s v="Barranca Baya Bloque 38"/>
    <x v="0"/>
    <s v="NO"/>
    <n v="9.5000000000000001E-2"/>
    <n v="0"/>
  </r>
  <r>
    <x v="2062"/>
    <s v="BB-113"/>
    <x v="0"/>
    <s v="Produciendo"/>
    <s v="Bombeo Mecánico"/>
    <x v="1"/>
    <s v="Barranca Baya Bloque 36"/>
    <x v="0"/>
    <s v="NO"/>
    <n v="1.4000000000000001"/>
    <n v="0"/>
  </r>
  <r>
    <x v="2063"/>
    <s v="CG-840"/>
    <x v="0"/>
    <s v="Produciendo"/>
    <s v="Bombeo Mecánico"/>
    <x v="1"/>
    <s v="Barranca Baya Cerro Grande Sur"/>
    <x v="0"/>
    <s v="NO"/>
    <n v="1.04"/>
    <n v="0"/>
  </r>
  <r>
    <x v="2064"/>
    <s v="BB-133"/>
    <x v="0"/>
    <s v="Produciendo"/>
    <s v="Pistoneo"/>
    <x v="1"/>
    <s v="Barranca Baya"/>
    <x v="0"/>
    <s v="NO"/>
    <n v="2.9000000000000001E-2"/>
    <n v="0"/>
  </r>
  <r>
    <x v="2065"/>
    <s v="CnE-1299"/>
    <x v="0"/>
    <s v="Parado Alta Rap"/>
    <s v="Bombeo Mecánico"/>
    <x v="5"/>
    <s v="Barranca Baya Bloque 36"/>
    <x v="1"/>
    <s v="NO"/>
    <n v="8.0000000000000002E-3"/>
    <n v="0"/>
  </r>
  <r>
    <x v="2066"/>
    <s v="CG-950"/>
    <x v="0"/>
    <s v="En Estudio"/>
    <s v="Bombeo Mecánico"/>
    <x v="5"/>
    <s v="Cerro Grande Central"/>
    <x v="1"/>
    <s v="NO"/>
    <n v="0.72"/>
    <n v="0"/>
  </r>
  <r>
    <x v="2067"/>
    <s v="LC.IA-977a"/>
    <x v="0"/>
    <s v="Produciendo"/>
    <s v="Inyección"/>
    <x v="1"/>
    <s v="Lomas del Cuy- Cerro Grande Sur"/>
    <x v="0"/>
    <s v="NO"/>
    <n v="0"/>
    <n v="0"/>
  </r>
  <r>
    <x v="2068"/>
    <s v="CG-980a"/>
    <x v="0"/>
    <s v="Produciendo"/>
    <s v="Bombeo Mecánico"/>
    <x v="1"/>
    <s v="Cerro Grande Noreste"/>
    <x v="0"/>
    <s v="Oportunidad"/>
    <n v="1.218"/>
    <n v="0"/>
  </r>
  <r>
    <x v="2069"/>
    <s v="CnE-1458a"/>
    <x v="0"/>
    <s v="Produciendo"/>
    <s v="Bombeo Mecánico"/>
    <x v="1"/>
    <s v="Barranca Baya Bloque 36"/>
    <x v="0"/>
    <s v="NO"/>
    <n v="0.90400000000000003"/>
    <n v="0"/>
  </r>
  <r>
    <x v="2070"/>
    <s v="CnE-1321"/>
    <x v="0"/>
    <s v="Produciendo"/>
    <s v="Bombeo Mecánico"/>
    <x v="1"/>
    <s v="Barranca Baya Bloque 36"/>
    <x v="0"/>
    <s v="NO"/>
    <n v="2.6680000000000001"/>
    <n v="0"/>
  </r>
  <r>
    <x v="2071"/>
    <s v="LH-559"/>
    <x v="0"/>
    <s v="Abandono Permanente"/>
    <s v="No Posee"/>
    <x v="3"/>
    <s v="Las Heras Las Heras Bloque 3"/>
    <x v="0"/>
    <s v="NO"/>
    <s v="NO"/>
    <s v="NO"/>
  </r>
  <r>
    <x v="2072"/>
    <s v="LH-690"/>
    <x v="0"/>
    <s v="Produciendo"/>
    <s v="Bombeo Mecánico"/>
    <x v="1"/>
    <s v="Las Heras Cerro Grande Sur"/>
    <x v="0"/>
    <s v="NO"/>
    <n v="2.5910000000000002"/>
    <n v="0"/>
  </r>
  <r>
    <x v="2073"/>
    <s v="LH-819"/>
    <x v="0"/>
    <s v="Produciendo"/>
    <s v="Pistoneo"/>
    <x v="1"/>
    <s v="Las Heras Bloque 2"/>
    <x v="0"/>
    <s v="NO"/>
    <n v="0.10400000000000001"/>
    <n v="0"/>
  </r>
  <r>
    <x v="2074"/>
    <s v="LH-903"/>
    <x v="0"/>
    <s v="Reserva Recuperación Secundaria"/>
    <s v="Bombeo Mecánico"/>
    <x v="4"/>
    <s v="Las Heras Las Heras Bloque 3"/>
    <x v="0"/>
    <s v="NO"/>
    <n v="0.42200000000000004"/>
    <n v="0"/>
  </r>
  <r>
    <x v="2075"/>
    <s v="LH-945"/>
    <x v="0"/>
    <s v="Produciendo"/>
    <s v="Bombeo Mecánico"/>
    <x v="1"/>
    <s v="Las Heras Bloque 2"/>
    <x v="0"/>
    <s v="NO"/>
    <n v="0.75"/>
    <n v="0"/>
  </r>
  <r>
    <x v="2076"/>
    <s v="CG-66"/>
    <x v="0"/>
    <s v="Produciendo"/>
    <s v="Cavidad Progresiva"/>
    <x v="1"/>
    <s v="Las Heras Cerro Grande Sur"/>
    <x v="0"/>
    <s v="NO"/>
    <n v="1.5"/>
    <n v="0"/>
  </r>
  <r>
    <x v="2077"/>
    <s v="CG-132"/>
    <x v="0"/>
    <s v="En Estudio"/>
    <s v="Bombeo Mecánico"/>
    <x v="5"/>
    <s v="Barranca Baya Bloque 26"/>
    <x v="1"/>
    <s v="NO"/>
    <n v="1.44"/>
    <n v="0"/>
  </r>
  <r>
    <x v="2078"/>
    <s v="CG-369"/>
    <x v="0"/>
    <s v="Reserva Recuperación Secundaria"/>
    <s v="Pistoneo"/>
    <x v="4"/>
    <s v="Cerro Grande Central"/>
    <x v="0"/>
    <s v="NO"/>
    <n v="9.7000000000000003E-2"/>
    <n v="0"/>
  </r>
  <r>
    <x v="2079"/>
    <s v="LC-22"/>
    <x v="0"/>
    <s v="Reserva Recuperación Secundaria"/>
    <s v="Inyección"/>
    <x v="4"/>
    <s v="Lomas del Cuy- Cerro Grande Noroeste"/>
    <x v="0"/>
    <s v="NO"/>
    <n v="0"/>
    <n v="0"/>
  </r>
  <r>
    <x v="2080"/>
    <s v="CnE-165"/>
    <x v="0"/>
    <s v="Reserva Recuperación Secundaria"/>
    <s v="Bombeo Mecánico"/>
    <x v="4"/>
    <s v="Barranca Baya Bloque 30"/>
    <x v="0"/>
    <s v="NO"/>
    <n v="0.4"/>
    <n v="0"/>
  </r>
  <r>
    <x v="2081"/>
    <s v="CnE-210"/>
    <x v="0"/>
    <s v="Produciendo"/>
    <s v="Pistoneo"/>
    <x v="1"/>
    <s v="Barranca Baya Bloque 30"/>
    <x v="0"/>
    <s v="NO"/>
    <n v="0.125"/>
    <n v="0"/>
  </r>
  <r>
    <x v="2082"/>
    <s v="CnE-216"/>
    <x v="0"/>
    <s v="Produciendo"/>
    <s v="Bombeo Mecánico"/>
    <x v="1"/>
    <s v="Barranca Baya Bloque 30"/>
    <x v="0"/>
    <s v="NO"/>
    <n v="0.8"/>
    <n v="0"/>
  </r>
  <r>
    <x v="2083"/>
    <s v="CnE-365"/>
    <x v="0"/>
    <s v="Espera Equipo Reparación"/>
    <s v="No Posee"/>
    <x v="5"/>
    <s v="Barranca Baya Bloque 36"/>
    <x v="1"/>
    <s v="NO"/>
    <n v="0"/>
    <n v="0"/>
  </r>
  <r>
    <x v="2084"/>
    <s v="CnE-385"/>
    <x v="0"/>
    <s v="Reserva Recuperación Secundaria"/>
    <s v="No Posee"/>
    <x v="4"/>
    <s v="Barranca Baya Bloque 36"/>
    <x v="0"/>
    <s v="NO"/>
    <s v="NO"/>
    <s v="NO"/>
  </r>
  <r>
    <x v="2085"/>
    <s v="CnE-549"/>
    <x v="0"/>
    <s v="Reserva Recuperación Secundaria"/>
    <s v="No Posee"/>
    <x v="4"/>
    <s v="Barranca Baya"/>
    <x v="0"/>
    <s v="NO"/>
    <n v="0.09"/>
    <n v="0"/>
  </r>
  <r>
    <x v="2086"/>
    <s v="CnE-558"/>
    <x v="0"/>
    <s v="Produciendo"/>
    <s v="Inyección"/>
    <x v="1"/>
    <s v="Barranca Baya Bloque 36"/>
    <x v="0"/>
    <s v="NO"/>
    <n v="0"/>
    <n v="0"/>
  </r>
  <r>
    <x v="2087"/>
    <s v="CnE-615"/>
    <x v="0"/>
    <s v="Reserva Recuperación Secundaria"/>
    <s v="Bombeo Mecánico"/>
    <x v="4"/>
    <s v="Barranca Baya Bloque 37"/>
    <x v="0"/>
    <s v="NO"/>
    <n v="0.38"/>
    <n v="0"/>
  </r>
  <r>
    <x v="2088"/>
    <s v="CnE-673"/>
    <x v="0"/>
    <s v="Produciendo"/>
    <s v="Bombeo Mecánico"/>
    <x v="1"/>
    <s v="Barranca Baya Bloque 36"/>
    <x v="0"/>
    <s v="NO"/>
    <n v="0.94600000000000006"/>
    <n v="0"/>
  </r>
  <r>
    <x v="2089"/>
    <s v="CnE-774"/>
    <x v="0"/>
    <s v="Produciendo"/>
    <s v="Bombeo Mecánico"/>
    <x v="1"/>
    <s v="Barranca Baya Bloque 37"/>
    <x v="0"/>
    <s v="NO"/>
    <n v="0.63"/>
    <n v="0"/>
  </r>
  <r>
    <x v="2090"/>
    <s v="CnE-838"/>
    <x v="0"/>
    <s v="Produciendo"/>
    <s v="Bombeo Mecánico"/>
    <x v="1"/>
    <s v="Barranca Baya Bloque 36"/>
    <x v="0"/>
    <s v="NO"/>
    <n v="0.22500000000000001"/>
    <n v="0"/>
  </r>
  <r>
    <x v="2091"/>
    <s v="LH-175"/>
    <x v="0"/>
    <s v="Reserva Recuperación Secundaria"/>
    <s v="No Posee"/>
    <x v="4"/>
    <s v="Las Heras Las Heras Bloque 3"/>
    <x v="0"/>
    <s v="NO"/>
    <n v="0.80500000000000005"/>
    <n v="0"/>
  </r>
  <r>
    <x v="2092"/>
    <s v="LH-176"/>
    <x v="0"/>
    <s v="Produciendo"/>
    <s v="Pistoneo"/>
    <x v="1"/>
    <s v="Las Heras Las Heras Bloque 3"/>
    <x v="0"/>
    <s v="NO"/>
    <n v="0.10400000000000001"/>
    <n v="0"/>
  </r>
  <r>
    <x v="2093"/>
    <s v="LH-260"/>
    <x v="0"/>
    <s v="Produciendo"/>
    <s v="Bombeo Mecánico"/>
    <x v="1"/>
    <s v="Las Heras Central Sur"/>
    <x v="0"/>
    <s v="NO"/>
    <n v="2.7120000000000002"/>
    <n v="0"/>
  </r>
  <r>
    <x v="2094"/>
    <s v="LH-325"/>
    <x v="0"/>
    <s v="Produciendo"/>
    <s v="Pistoneo"/>
    <x v="1"/>
    <s v="Las Heras Central Sur"/>
    <x v="0"/>
    <s v="NO"/>
    <n v="0.21100000000000002"/>
    <n v="0"/>
  </r>
  <r>
    <x v="2095"/>
    <s v="LH-501"/>
    <x v="0"/>
    <s v="Reserva Recuperación Secundaria"/>
    <s v="Pistoneo"/>
    <x v="4"/>
    <s v="Las Heras Central Sur"/>
    <x v="0"/>
    <s v="NO"/>
    <n v="7.6999999999999999E-2"/>
    <n v="0"/>
  </r>
  <r>
    <x v="2096"/>
    <s v="LH-510"/>
    <x v="0"/>
    <s v="En Estudio"/>
    <s v="Bombeo Mecánico"/>
    <x v="5"/>
    <s v="Las Heras Central Sur"/>
    <x v="1"/>
    <s v="NO"/>
    <n v="1.2"/>
    <n v="0"/>
  </r>
  <r>
    <x v="2097"/>
    <s v="LH-618"/>
    <x v="0"/>
    <s v="Produciendo"/>
    <s v="Pistoneo"/>
    <x v="1"/>
    <s v="Las Heras Central Sur"/>
    <x v="0"/>
    <s v="NO"/>
    <n v="0.187"/>
    <n v="0"/>
  </r>
  <r>
    <x v="2098"/>
    <s v="LH-768"/>
    <x v="0"/>
    <s v="Produciendo"/>
    <s v="Inyección"/>
    <x v="1"/>
    <s v="Las Heras Bloque 2"/>
    <x v="0"/>
    <s v="NO"/>
    <n v="0"/>
    <n v="0"/>
  </r>
  <r>
    <x v="2099"/>
    <s v="LH-775"/>
    <x v="0"/>
    <s v="Produciendo"/>
    <s v="Inyección"/>
    <x v="1"/>
    <s v="Las Heras Bloque 2"/>
    <x v="0"/>
    <s v="NO"/>
    <n v="0"/>
    <n v="0"/>
  </r>
  <r>
    <x v="2100"/>
    <s v="LH-887"/>
    <x v="0"/>
    <s v="Abandono Permanente"/>
    <s v="No Posee"/>
    <x v="3"/>
    <s v="Las Heras Las Heras Bloque 3"/>
    <x v="0"/>
    <s v="NO"/>
    <n v="0"/>
    <n v="0"/>
  </r>
  <r>
    <x v="2101"/>
    <s v="LH-902"/>
    <x v="0"/>
    <s v="Reserva Recuperación Secundaria"/>
    <s v="Pistoneo"/>
    <x v="4"/>
    <s v="Las Heras Las Heras Bloque 3"/>
    <x v="0"/>
    <s v="NO"/>
    <n v="6.7000000000000004E-2"/>
    <n v="0"/>
  </r>
  <r>
    <x v="2102"/>
    <s v="LH-906"/>
    <x v="0"/>
    <s v="Produciendo"/>
    <s v="Pistoneo"/>
    <x v="1"/>
    <s v="Las Heras Central Sur"/>
    <x v="0"/>
    <s v="NO"/>
    <n v="0.152"/>
    <n v="0"/>
  </r>
  <r>
    <x v="2103"/>
    <s v="LH-958"/>
    <x v="0"/>
    <s v="Reserva Recuperación Secundaria"/>
    <s v="Inyección"/>
    <x v="4"/>
    <s v="Las Heras Las Heras Bloque 3"/>
    <x v="0"/>
    <s v="NO"/>
    <n v="0"/>
    <n v="0"/>
  </r>
  <r>
    <x v="2104"/>
    <s v="CG-13"/>
    <x v="0"/>
    <s v="Produciendo"/>
    <s v="Bombeo Mecánico"/>
    <x v="1"/>
    <s v="Barranca Baya Las Heras Bloque 3"/>
    <x v="0"/>
    <s v="NO"/>
    <n v="1.2"/>
    <n v="0"/>
  </r>
  <r>
    <x v="2105"/>
    <s v="CG-16"/>
    <x v="0"/>
    <s v="Produciendo"/>
    <s v="Bombeo Mecánico"/>
    <x v="1"/>
    <s v="Lomas del Cuy- Cerro Grande Noroeste"/>
    <x v="0"/>
    <s v="NO"/>
    <n v="1.79"/>
    <n v="0"/>
  </r>
  <r>
    <x v="2106"/>
    <s v="CG-157"/>
    <x v="0"/>
    <s v="Produciendo"/>
    <s v="Cavidad Progresiva"/>
    <x v="1"/>
    <s v="Cerro Grande Central"/>
    <x v="0"/>
    <s v="NO"/>
    <n v="2.56"/>
    <n v="0"/>
  </r>
  <r>
    <x v="2107"/>
    <s v="CG-239"/>
    <x v="0"/>
    <s v="Abandono Permanente"/>
    <s v="No Posee"/>
    <x v="3"/>
    <s v="Cerro Grande Central"/>
    <x v="0"/>
    <s v="NO"/>
    <n v="0"/>
    <n v="0"/>
  </r>
  <r>
    <x v="2108"/>
    <s v="CG-284"/>
    <x v="0"/>
    <s v="Produciendo"/>
    <s v="Bombeo Mecánico"/>
    <x v="1"/>
    <s v="Barranca Baya Cerro Grande Norte"/>
    <x v="0"/>
    <s v="NO"/>
    <n v="1.69"/>
    <n v="0"/>
  </r>
  <r>
    <x v="2109"/>
    <s v="CG-393"/>
    <x v="0"/>
    <s v="Produciendo"/>
    <s v="Cavidad Progresiva"/>
    <x v="1"/>
    <s v="Barranca Baya Cerro Grande Noroeste"/>
    <x v="0"/>
    <s v="NO"/>
    <n v="3.12"/>
    <n v="0"/>
  </r>
  <r>
    <x v="2110"/>
    <s v="CG-411"/>
    <x v="0"/>
    <s v="Parado Zona Alejada"/>
    <s v="No Posee"/>
    <x v="5"/>
    <s v="Cerro Grande Central"/>
    <x v="1"/>
    <s v="NO"/>
    <n v="0"/>
    <n v="0"/>
  </r>
  <r>
    <x v="2111"/>
    <s v="CnE-11"/>
    <x v="0"/>
    <s v="Abandono Permanente"/>
    <s v="No Posee"/>
    <x v="3"/>
    <s v="Barranca Baya Bloque 40"/>
    <x v="0"/>
    <s v="NO"/>
    <n v="0"/>
    <n v="0"/>
  </r>
  <r>
    <x v="2112"/>
    <s v="CnE-38"/>
    <x v="0"/>
    <s v="Produciendo"/>
    <s v="Inyección"/>
    <x v="1"/>
    <s v="Barranca Baya Bloque 26"/>
    <x v="0"/>
    <s v="NO"/>
    <n v="0"/>
    <n v="0"/>
  </r>
  <r>
    <x v="2113"/>
    <s v="CnE-42"/>
    <x v="0"/>
    <s v="Produciendo"/>
    <s v="Inyección"/>
    <x v="1"/>
    <s v="Barranca Baya Bloque 26"/>
    <x v="0"/>
    <s v="NO"/>
    <n v="0"/>
    <n v="0"/>
  </r>
  <r>
    <x v="2114"/>
    <s v="CnE-69"/>
    <x v="0"/>
    <s v="Produciendo"/>
    <s v="Electro Sumergible"/>
    <x v="1"/>
    <s v="Barranca Baya Bloque 26"/>
    <x v="0"/>
    <s v="NO"/>
    <n v="1.76"/>
    <n v="0"/>
  </r>
  <r>
    <x v="2115"/>
    <s v="CG-606a"/>
    <x v="0"/>
    <s v="Produciendo"/>
    <s v="Electro Sumergible"/>
    <x v="1"/>
    <s v="Cerro Grande Central"/>
    <x v="0"/>
    <s v="NO"/>
    <n v="1.58"/>
    <n v="0"/>
  </r>
  <r>
    <x v="2116"/>
    <s v="LH-1175"/>
    <x v="0"/>
    <s v="Produciendo"/>
    <s v="Bombeo Mecánico"/>
    <x v="1"/>
    <s v="Las Heras Central Sur"/>
    <x v="0"/>
    <s v="NO"/>
    <n v="1.4000000000000001"/>
    <n v="0"/>
  </r>
  <r>
    <x v="2117"/>
    <s v="CG-633"/>
    <x v="0"/>
    <s v="Produciendo"/>
    <s v="Inyección"/>
    <x v="1"/>
    <s v="Cerro Grande Central"/>
    <x v="0"/>
    <s v="NO"/>
    <n v="0"/>
    <n v="0"/>
  </r>
  <r>
    <x v="2118"/>
    <s v="CG-706"/>
    <x v="0"/>
    <s v="Produciendo"/>
    <s v="Inyección"/>
    <x v="1"/>
    <s v="Cerro Grande Central"/>
    <x v="0"/>
    <s v="NO"/>
    <n v="0"/>
    <n v="0"/>
  </r>
  <r>
    <x v="2119"/>
    <s v="LH-1212"/>
    <x v="0"/>
    <s v="Produciendo"/>
    <s v="Bombeo Mecánico"/>
    <x v="1"/>
    <s v="Las Heras Central Sur"/>
    <x v="0"/>
    <s v="NO"/>
    <n v="0.19600000000000001"/>
    <n v="0"/>
  </r>
  <r>
    <x v="2120"/>
    <s v="CnE-1148"/>
    <x v="0"/>
    <s v="Produciendo"/>
    <s v="Bombeo Mecánico"/>
    <x v="1"/>
    <s v="Barranca Baya Bloque 37"/>
    <x v="0"/>
    <s v="NO"/>
    <n v="0.14600000000000002"/>
    <n v="0"/>
  </r>
  <r>
    <x v="2121"/>
    <s v="CG-767"/>
    <x v="0"/>
    <s v="Produciendo"/>
    <s v="Electro Sumergible"/>
    <x v="1"/>
    <s v="Cerro Grande Central"/>
    <x v="0"/>
    <s v="NO"/>
    <n v="1.56"/>
    <n v="0"/>
  </r>
  <r>
    <x v="2122"/>
    <s v="CG.xp-910"/>
    <x v="0"/>
    <s v="Produciendo"/>
    <s v="Bombeo Mecánico"/>
    <x v="1"/>
    <s v="Barranca Baya Bloque 30"/>
    <x v="0"/>
    <s v="NO"/>
    <n v="0.8"/>
    <n v="0"/>
  </r>
  <r>
    <x v="2123"/>
    <s v="CnE-1287"/>
    <x v="0"/>
    <s v="Produciendo"/>
    <s v="Bombeo Mecánico"/>
    <x v="1"/>
    <s v="Barranca Baya Bloque 37"/>
    <x v="0"/>
    <s v="NO"/>
    <n v="0.79"/>
    <n v="0"/>
  </r>
  <r>
    <x v="2124"/>
    <s v="BB-176"/>
    <x v="0"/>
    <s v="En Estudio"/>
    <s v="Bombeo Mecánico"/>
    <x v="5"/>
    <s v="Barranca Baya"/>
    <x v="1"/>
    <s v="NO"/>
    <n v="6.0000000000000001E-3"/>
    <n v="0"/>
  </r>
  <r>
    <x v="2125"/>
    <s v="LC-984"/>
    <x v="0"/>
    <s v="Produciendo"/>
    <s v="Bombeo Mecánico"/>
    <x v="1"/>
    <s v="Lomas del Cuy- Cerro Grande Noroeste"/>
    <x v="0"/>
    <s v="NO"/>
    <n v="1.9020000000000001"/>
    <n v="0"/>
  </r>
  <r>
    <x v="2126"/>
    <s v="BBO-1"/>
    <x v="0"/>
    <s v="Abandono Permanente"/>
    <s v="No Posee"/>
    <x v="3"/>
    <s v="Barranca Baya"/>
    <x v="0"/>
    <s v="NO"/>
    <s v="NO"/>
    <s v="NO"/>
  </r>
  <r>
    <x v="2127"/>
    <s v="CnE-21"/>
    <x v="0"/>
    <s v="Abandono Permanente"/>
    <s v="No Posee"/>
    <x v="3"/>
    <s v="Barranca Baya Bloque 26"/>
    <x v="0"/>
    <s v="NO"/>
    <s v="NO"/>
    <s v="NO"/>
  </r>
  <r>
    <x v="2128"/>
    <s v="CnE-134"/>
    <x v="0"/>
    <s v="Abandono Permanente"/>
    <s v="No Posee"/>
    <x v="3"/>
    <s v="Barranca Baya Bloque 38"/>
    <x v="0"/>
    <s v="NO"/>
    <n v="0.35000000000000003"/>
    <n v="0"/>
  </r>
  <r>
    <x v="2129"/>
    <s v="CG-531a"/>
    <x v="0"/>
    <s v="Abandono Permanente"/>
    <s v="No Posee"/>
    <x v="3"/>
    <s v="Cerro Grande Central"/>
    <x v="0"/>
    <s v="NO"/>
    <s v="NO"/>
    <s v="NO"/>
  </r>
  <r>
    <x v="2130"/>
    <s v="LH-991a"/>
    <x v="0"/>
    <s v="Produciendo"/>
    <s v="Bombeo Mecánico"/>
    <x v="1"/>
    <s v="Las Heras Central Sur"/>
    <x v="0"/>
    <s v="NO"/>
    <n v="0.81400000000000006"/>
    <n v="0"/>
  </r>
  <r>
    <x v="2131"/>
    <s v="LH-1007a"/>
    <x v="0"/>
    <s v="Reserva Recuperación Secundaria"/>
    <s v="Pistoneo"/>
    <x v="4"/>
    <s v="Las Heras Central Sur"/>
    <x v="0"/>
    <s v="NO"/>
    <n v="0"/>
    <n v="0"/>
  </r>
  <r>
    <x v="2132"/>
    <s v="CnE-903a"/>
    <x v="0"/>
    <s v="Produciendo"/>
    <s v="Bombeo Mecánico"/>
    <x v="1"/>
    <s v="Barranca Baya Bloque 36"/>
    <x v="0"/>
    <s v="NO"/>
    <n v="5.44"/>
    <n v="0"/>
  </r>
  <r>
    <x v="2133"/>
    <s v="LH-182a"/>
    <x v="0"/>
    <s v="Abandono Permanente"/>
    <s v="No Posee"/>
    <x v="3"/>
    <s v="Las Heras Las Heras Bloque 3"/>
    <x v="0"/>
    <s v="NO"/>
    <n v="0.41400000000000003"/>
    <n v="0"/>
  </r>
  <r>
    <x v="2134"/>
    <s v="LH-1066a"/>
    <x v="0"/>
    <s v="Abandono Permanente"/>
    <s v="No Posee"/>
    <x v="3"/>
    <s v="Las Heras Central Sur"/>
    <x v="0"/>
    <s v="NO"/>
    <n v="0.432"/>
    <n v="0"/>
  </r>
  <r>
    <x v="2135"/>
    <s v="CnE-926a"/>
    <x v="0"/>
    <s v="En Estudio"/>
    <s v="Bombeo Mecánico"/>
    <x v="5"/>
    <s v="Barranca Baya Bloque 36"/>
    <x v="1"/>
    <s v="NO"/>
    <n v="0.51"/>
    <n v="0"/>
  </r>
  <r>
    <x v="2136"/>
    <s v="LH-1155a"/>
    <x v="0"/>
    <s v="Produciendo"/>
    <s v="Bombeo Mecánico"/>
    <x v="1"/>
    <s v="Las Heras Las Heras Bloque 3"/>
    <x v="0"/>
    <s v="NO"/>
    <n v="1.35"/>
    <n v="0"/>
  </r>
  <r>
    <x v="2137"/>
    <s v="CnE-963"/>
    <x v="0"/>
    <s v="Espera Equipo Reparación"/>
    <s v="Bombeo Mecánico"/>
    <x v="5"/>
    <s v="Barranca Baya Bloque 37"/>
    <x v="1"/>
    <s v="NO"/>
    <n v="0"/>
    <n v="0"/>
  </r>
  <r>
    <x v="2138"/>
    <s v="CG-636"/>
    <x v="0"/>
    <s v="Produciendo"/>
    <s v="Bombeo Mecánico"/>
    <x v="1"/>
    <s v="Cerro Grande Central"/>
    <x v="0"/>
    <s v="NO"/>
    <n v="4.8"/>
    <n v="0"/>
  </r>
  <r>
    <x v="2139"/>
    <s v="CnE-1050"/>
    <x v="0"/>
    <s v="Produciendo"/>
    <s v="Bombeo Mecánico"/>
    <x v="1"/>
    <s v="Barranca Baya Bloque 30"/>
    <x v="0"/>
    <s v="NO"/>
    <n v="2.15"/>
    <n v="0"/>
  </r>
  <r>
    <x v="2140"/>
    <s v="CnE-1059"/>
    <x v="0"/>
    <s v="Espera Equipo Reparación"/>
    <s v="Bombeo Mecánico"/>
    <x v="2"/>
    <s v="Barranca Baya Bloque 30"/>
    <x v="0"/>
    <s v="NO"/>
    <n v="0.38500000000000001"/>
    <s v="Ultimo Año"/>
  </r>
  <r>
    <x v="2141"/>
    <s v="LH-1207"/>
    <x v="0"/>
    <s v="Produciendo"/>
    <s v="Bombeo Mecánico"/>
    <x v="1"/>
    <s v="Las Heras Central Sur"/>
    <x v="0"/>
    <s v="NO"/>
    <n v="1.2"/>
    <n v="0"/>
  </r>
  <r>
    <x v="2142"/>
    <s v="CnE.a-1136"/>
    <x v="0"/>
    <s v="En Estudio"/>
    <s v="Bombeo Mecánico"/>
    <x v="5"/>
    <s v="Barranca Baya Bloque 36"/>
    <x v="1"/>
    <s v="NO"/>
    <n v="0.65"/>
    <n v="0"/>
  </r>
  <r>
    <x v="2143"/>
    <s v="LH-102"/>
    <x v="0"/>
    <s v="Abandono Permanente"/>
    <s v="No Posee"/>
    <x v="3"/>
    <s v="Las Heras Las Heras Bloque 3"/>
    <x v="0"/>
    <s v="NO"/>
    <s v="NO"/>
    <s v="NO"/>
  </r>
  <r>
    <x v="2144"/>
    <s v="LH-201"/>
    <x v="0"/>
    <s v="Abandono Permanente"/>
    <s v="No Posee"/>
    <x v="3"/>
    <s v="Las Heras Bloque 2"/>
    <x v="0"/>
    <s v="NO"/>
    <n v="0"/>
    <n v="0"/>
  </r>
  <r>
    <x v="2145"/>
    <s v="LH-288"/>
    <x v="0"/>
    <s v="Produciendo"/>
    <s v="Cavidad Progresiva"/>
    <x v="1"/>
    <s v="Las Heras Central Sur"/>
    <x v="0"/>
    <s v="NO"/>
    <n v="0.83500000000000008"/>
    <n v="0"/>
  </r>
  <r>
    <x v="2146"/>
    <s v="LH-488"/>
    <x v="0"/>
    <s v="Produciendo"/>
    <s v="Bombeo Mecánico"/>
    <x v="1"/>
    <s v="Las Heras Central Sur"/>
    <x v="0"/>
    <s v="NO"/>
    <n v="1.69"/>
    <n v="0"/>
  </r>
  <r>
    <x v="2147"/>
    <s v="LH-532"/>
    <x v="0"/>
    <s v="Abandono Permanente"/>
    <s v="No Posee"/>
    <x v="3"/>
    <s v="Las Heras Las Heras Bloque 3"/>
    <x v="0"/>
    <s v="NO"/>
    <n v="0"/>
    <n v="0"/>
  </r>
  <r>
    <x v="2148"/>
    <s v="LH-564"/>
    <x v="0"/>
    <s v="Produciendo"/>
    <s v="Inyección"/>
    <x v="1"/>
    <s v="Las Heras Las Heras Bloque 3"/>
    <x v="0"/>
    <s v="NO"/>
    <n v="0"/>
    <n v="0"/>
  </r>
  <r>
    <x v="2149"/>
    <s v="LH-638"/>
    <x v="0"/>
    <s v="Espera Equipo Reparación"/>
    <s v="Inyección"/>
    <x v="5"/>
    <s v="Las Heras Central Sur"/>
    <x v="1"/>
    <s v="NO"/>
    <n v="0"/>
    <n v="0"/>
  </r>
  <r>
    <x v="2150"/>
    <s v="LH-642"/>
    <x v="0"/>
    <s v="Produciendo"/>
    <s v="Inyección"/>
    <x v="1"/>
    <s v="Las Heras Central Sur"/>
    <x v="0"/>
    <s v="NO"/>
    <n v="0"/>
    <n v="0"/>
  </r>
  <r>
    <x v="2151"/>
    <s v="LH-779"/>
    <x v="0"/>
    <s v="Reserva Recuperación Secundaria"/>
    <s v="Pistoneo"/>
    <x v="4"/>
    <s v="Las Heras Central Sur"/>
    <x v="0"/>
    <s v="NO"/>
    <n v="9.7000000000000003E-2"/>
    <n v="0"/>
  </r>
  <r>
    <x v="2152"/>
    <s v="CG-435"/>
    <x v="0"/>
    <s v="Produciendo"/>
    <s v="Inyección"/>
    <x v="1"/>
    <s v="Cerro Grande Central"/>
    <x v="0"/>
    <s v="NO"/>
    <n v="0"/>
    <n v="0"/>
  </r>
  <r>
    <x v="2153"/>
    <s v="CG-473"/>
    <x v="0"/>
    <s v="Reserva Recuperación Secundaria"/>
    <s v="Bombeo Mecánico"/>
    <x v="4"/>
    <s v="Barranca Baya Las Heras Bloque 3"/>
    <x v="0"/>
    <s v="NO"/>
    <n v="0.63700000000000001"/>
    <n v="0"/>
  </r>
  <r>
    <x v="2154"/>
    <s v="CG-507"/>
    <x v="0"/>
    <s v="Reserva Recuperación Secundaria"/>
    <s v="Inyección"/>
    <x v="4"/>
    <s v="Barranca Baya Las Heras Bloque 3"/>
    <x v="0"/>
    <s v="NO"/>
    <n v="0"/>
    <n v="0"/>
  </r>
  <r>
    <x v="2155"/>
    <s v="CnE-193"/>
    <x v="0"/>
    <s v="Abandono Permanente"/>
    <s v="No Posee"/>
    <x v="3"/>
    <s v="Barranca Baya Bloque 37"/>
    <x v="0"/>
    <s v="NO"/>
    <s v="NO"/>
    <s v="NO"/>
  </r>
  <r>
    <x v="2156"/>
    <s v="LH-261"/>
    <x v="0"/>
    <s v="Abandono Permanente"/>
    <s v="No Posee"/>
    <x v="3"/>
    <s v="Las Heras Central Sur"/>
    <x v="0"/>
    <s v="NO"/>
    <s v="NO"/>
    <s v="NO"/>
  </r>
  <r>
    <x v="2157"/>
    <s v="CG-120"/>
    <x v="0"/>
    <s v="Produciendo"/>
    <s v="Bombeo Mecánico"/>
    <x v="1"/>
    <s v="Barranca Baya Bloque 26"/>
    <x v="0"/>
    <s v="NO"/>
    <n v="0.48"/>
    <n v="0"/>
  </r>
  <r>
    <x v="2158"/>
    <s v="CnE-879a"/>
    <x v="0"/>
    <s v="Produciendo"/>
    <s v="Bombeo Mecánico"/>
    <x v="1"/>
    <s v="Barranca Baya Bloque 40"/>
    <x v="0"/>
    <s v="NO"/>
    <n v="0.83200000000000007"/>
    <n v="0"/>
  </r>
  <r>
    <x v="2159"/>
    <s v="LH-68a"/>
    <x v="0"/>
    <s v="Reserva Recuperación Secundaria"/>
    <s v="Bombeo Mecánico"/>
    <x v="2"/>
    <s v="Las Heras Central Sur"/>
    <x v="0"/>
    <s v="NO"/>
    <n v="0.59400000000000008"/>
    <s v="Ultimo Año"/>
  </r>
  <r>
    <x v="2160"/>
    <s v="CnE-74"/>
    <x v="0"/>
    <s v="Reserva Recuperación Secundaria"/>
    <s v="Bombeo Mecánico"/>
    <x v="4"/>
    <s v="Barranca Baya Bloque 26"/>
    <x v="0"/>
    <s v="NO"/>
    <n v="0.25"/>
    <n v="0"/>
  </r>
  <r>
    <x v="2161"/>
    <s v="CnE-103"/>
    <x v="0"/>
    <s v="En Estudio"/>
    <s v="Bombeo Mecánico"/>
    <x v="2"/>
    <s v="Barranca Baya Bloque 40"/>
    <x v="0"/>
    <s v="NO"/>
    <n v="0.68"/>
    <s v="Ultimo Año"/>
  </r>
  <r>
    <x v="2162"/>
    <s v="CnE-190"/>
    <x v="0"/>
    <s v="Parado Alta Rap"/>
    <s v="Bombeo Mecánico"/>
    <x v="5"/>
    <s v="Barranca Baya Bloque 38"/>
    <x v="1"/>
    <s v="NO"/>
    <n v="1"/>
    <n v="0"/>
  </r>
  <r>
    <x v="2163"/>
    <s v="CnE-360"/>
    <x v="0"/>
    <s v="Produciendo"/>
    <s v="Electro Sumergible"/>
    <x v="1"/>
    <s v="Barranca Baya Bloque 36"/>
    <x v="0"/>
    <s v="NO"/>
    <n v="0.73599999999999999"/>
    <n v="0"/>
  </r>
  <r>
    <x v="2164"/>
    <s v="CnE-364"/>
    <x v="0"/>
    <s v="Produciendo"/>
    <s v="Inyección"/>
    <x v="1"/>
    <s v="Barranca Baya Bloque 36"/>
    <x v="0"/>
    <s v="NO"/>
    <n v="0"/>
    <n v="0"/>
  </r>
  <r>
    <x v="2165"/>
    <s v="CnE-367"/>
    <x v="0"/>
    <s v="Reserva Recuperación Secundaria"/>
    <s v="Bombeo Mecánico"/>
    <x v="4"/>
    <s v="Barranca Baya Bloque 36"/>
    <x v="0"/>
    <s v="NO"/>
    <n v="0.6"/>
    <n v="0"/>
  </r>
  <r>
    <x v="2166"/>
    <s v="CnE-381"/>
    <x v="0"/>
    <s v="Reserva Recuperación Secundaria"/>
    <s v="No Posee"/>
    <x v="4"/>
    <s v="Barranca Baya Bloque 36"/>
    <x v="0"/>
    <s v="NO"/>
    <n v="0.08"/>
    <n v="0"/>
  </r>
  <r>
    <x v="2167"/>
    <s v="CnE-409"/>
    <x v="0"/>
    <s v="Produciendo"/>
    <s v="Inyección"/>
    <x v="1"/>
    <s v="Barranca Baya Bloque 36"/>
    <x v="0"/>
    <s v="NO"/>
    <n v="0"/>
    <n v="0"/>
  </r>
  <r>
    <x v="2168"/>
    <s v="CnE-417"/>
    <x v="0"/>
    <s v="Produciendo"/>
    <s v="Bombeo Mecánico"/>
    <x v="1"/>
    <s v="Barranca Baya Bloque 37"/>
    <x v="0"/>
    <s v="NO"/>
    <n v="0.8580000000000001"/>
    <n v="0"/>
  </r>
  <r>
    <x v="2169"/>
    <s v="CnE-439"/>
    <x v="0"/>
    <s v="Produciendo"/>
    <s v="Bombeo Mecánico"/>
    <x v="1"/>
    <s v="Barranca Baya Bloque 36"/>
    <x v="0"/>
    <s v="NO"/>
    <n v="0.44"/>
    <n v="0"/>
  </r>
  <r>
    <x v="2170"/>
    <s v="CnE-451"/>
    <x v="0"/>
    <s v="Produciendo"/>
    <s v="Bombeo Mecánico"/>
    <x v="1"/>
    <s v="Barranca Baya Bloque 37"/>
    <x v="0"/>
    <s v="NO"/>
    <n v="1.8440000000000001"/>
    <n v="0"/>
  </r>
  <r>
    <x v="2171"/>
    <s v="CnE-452"/>
    <x v="0"/>
    <s v="Produciendo"/>
    <s v="Inyección"/>
    <x v="1"/>
    <s v="Barranca Baya Bloque 37"/>
    <x v="0"/>
    <s v="NO"/>
    <n v="0"/>
    <n v="0"/>
  </r>
  <r>
    <x v="2172"/>
    <s v="CnE-507"/>
    <x v="0"/>
    <s v="Parado Alta Rap"/>
    <s v="Electro Sumergible"/>
    <x v="5"/>
    <s v="Barranca Baya Bloque 36"/>
    <x v="1"/>
    <s v="NO"/>
    <n v="1.08"/>
    <n v="0"/>
  </r>
  <r>
    <x v="2173"/>
    <s v="CnE-527"/>
    <x v="0"/>
    <s v="Produciendo"/>
    <s v="Electro Sumergible"/>
    <x v="1"/>
    <s v="Barranca Baya Bloque 37"/>
    <x v="0"/>
    <s v="NO"/>
    <n v="1.0720000000000001"/>
    <n v="0"/>
  </r>
  <r>
    <x v="2174"/>
    <s v="CnE-528"/>
    <x v="0"/>
    <s v="En Estudio"/>
    <s v="Bombeo Mecánico"/>
    <x v="5"/>
    <s v="Barranca Baya Bloque 37"/>
    <x v="1"/>
    <s v="NO"/>
    <n v="0.93"/>
    <n v="0"/>
  </r>
  <r>
    <x v="2175"/>
    <s v="CnE-530"/>
    <x v="0"/>
    <s v="Reserva Recuperación Secundaria"/>
    <s v="Bombeo Mecánico"/>
    <x v="4"/>
    <s v="Barranca Baya Bloque 37"/>
    <x v="0"/>
    <s v="NO"/>
    <n v="0.27500000000000002"/>
    <n v="0"/>
  </r>
  <r>
    <x v="2176"/>
    <s v="CnE-577"/>
    <x v="0"/>
    <s v="Reserva Recuperación Secundaria"/>
    <s v="No Posee"/>
    <x v="4"/>
    <s v="Barranca Baya"/>
    <x v="0"/>
    <s v="NO"/>
    <n v="0.75"/>
    <n v="0"/>
  </r>
  <r>
    <x v="2177"/>
    <s v="CnE-594"/>
    <x v="0"/>
    <s v="Reserva Recuperación Secundaria"/>
    <s v="Pistoneo"/>
    <x v="4"/>
    <s v="Barranca Baya Bloque 38"/>
    <x v="0"/>
    <s v="NO"/>
    <n v="2.9000000000000001E-2"/>
    <n v="0"/>
  </r>
  <r>
    <x v="2178"/>
    <s v="CnE-617"/>
    <x v="0"/>
    <s v="Produciendo"/>
    <s v="Inyección"/>
    <x v="1"/>
    <s v="Barranca Baya Bloque 36"/>
    <x v="0"/>
    <s v="NO"/>
    <n v="0"/>
    <n v="0"/>
  </r>
  <r>
    <x v="2179"/>
    <s v="CnE-625"/>
    <x v="0"/>
    <s v="Produciendo"/>
    <s v="Inyección"/>
    <x v="1"/>
    <s v="Barranca Baya"/>
    <x v="0"/>
    <s v="NO"/>
    <n v="0"/>
    <n v="0"/>
  </r>
  <r>
    <x v="2180"/>
    <s v="CnE-635"/>
    <x v="0"/>
    <s v="Produciendo"/>
    <s v="Inyección"/>
    <x v="1"/>
    <s v="Barranca Baya"/>
    <x v="0"/>
    <s v="NO"/>
    <n v="0"/>
    <n v="0"/>
  </r>
  <r>
    <x v="2181"/>
    <s v="CnE-647"/>
    <x v="0"/>
    <s v="En Estudio"/>
    <s v="No Posee"/>
    <x v="5"/>
    <s v="Barranca Baya Bloque 38"/>
    <x v="1"/>
    <s v="NO"/>
    <n v="0.1"/>
    <n v="0"/>
  </r>
  <r>
    <x v="2182"/>
    <s v="CnE-650"/>
    <x v="0"/>
    <s v="Produciendo"/>
    <s v="Pistoneo"/>
    <x v="1"/>
    <s v="Barranca Baya"/>
    <x v="0"/>
    <s v="NO"/>
    <n v="6.7000000000000004E-2"/>
    <n v="0"/>
  </r>
  <r>
    <x v="2183"/>
    <s v="CnE-702"/>
    <x v="0"/>
    <s v="Produciendo"/>
    <s v="Pistoneo"/>
    <x v="1"/>
    <s v="Barranca Baya Bloque 37"/>
    <x v="0"/>
    <s v="NO"/>
    <n v="6.7000000000000004E-2"/>
    <n v="0"/>
  </r>
  <r>
    <x v="2184"/>
    <s v="CnE-715"/>
    <x v="0"/>
    <s v="Produciendo"/>
    <s v="Bombeo Mecánico"/>
    <x v="1"/>
    <s v="Barranca Baya Bloque 37"/>
    <x v="0"/>
    <s v="NO"/>
    <n v="1.1120000000000001"/>
    <n v="0"/>
  </r>
  <r>
    <x v="2185"/>
    <s v="CnE-754"/>
    <x v="0"/>
    <s v="Espera Equipo Reparación"/>
    <s v="Bombeo Mecánico"/>
    <x v="2"/>
    <s v="Barranca Baya Bloque 37"/>
    <x v="0"/>
    <s v="NO"/>
    <n v="0.12100000000000001"/>
    <s v="Ultimo Año"/>
  </r>
  <r>
    <x v="2186"/>
    <s v="CnE-765"/>
    <x v="0"/>
    <s v="Reserva Recuperación Secundaria"/>
    <s v="No Posee"/>
    <x v="4"/>
    <s v="Barranca Baya Bloque 30"/>
    <x v="0"/>
    <s v="NO"/>
    <n v="0"/>
    <n v="0"/>
  </r>
  <r>
    <x v="2187"/>
    <s v="CnE-800"/>
    <x v="0"/>
    <s v="Produciendo"/>
    <s v="Bombeo Mecánico"/>
    <x v="1"/>
    <s v="Barranca Baya Bloque 37"/>
    <x v="0"/>
    <s v="NO"/>
    <n v="0.52500000000000002"/>
    <n v="0"/>
  </r>
  <r>
    <x v="2188"/>
    <s v="CnE-835"/>
    <x v="0"/>
    <s v="Produciendo"/>
    <s v="Inyección"/>
    <x v="1"/>
    <s v="Barranca Baya Bloque 30"/>
    <x v="0"/>
    <s v="NO"/>
    <n v="0"/>
    <n v="0"/>
  </r>
  <r>
    <x v="2189"/>
    <s v="CnE-842"/>
    <x v="0"/>
    <s v="Abandono Permanente"/>
    <s v="No Posee"/>
    <x v="3"/>
    <s v="Barranca Baya Bloque 37"/>
    <x v="0"/>
    <s v="NO"/>
    <n v="0"/>
    <n v="0"/>
  </r>
  <r>
    <x v="2190"/>
    <s v="LH-1084a"/>
    <x v="0"/>
    <s v="Abandono Permanente"/>
    <s v="No Posee"/>
    <x v="3"/>
    <s v="Las Heras Bloque 2"/>
    <x v="0"/>
    <s v="NO"/>
    <s v="NO"/>
    <s v="NO"/>
  </r>
  <r>
    <x v="2191"/>
    <s v="CG-608a"/>
    <x v="0"/>
    <s v="Produciendo"/>
    <s v="Bombeo Mecánico"/>
    <x v="1"/>
    <s v="Cerro Grande Noreste"/>
    <x v="0"/>
    <s v="NO"/>
    <n v="4.5"/>
    <n v="0"/>
  </r>
  <r>
    <x v="2192"/>
    <s v="LH-1217"/>
    <x v="0"/>
    <s v="Reserva Recuperación Secundaria"/>
    <s v="Pistoneo"/>
    <x v="2"/>
    <s v="Las Heras Central Sur"/>
    <x v="0"/>
    <s v="NO"/>
    <n v="0.01"/>
    <s v="Ultimo Año"/>
  </r>
  <r>
    <x v="2193"/>
    <s v="CG-825"/>
    <x v="0"/>
    <s v="Produciendo"/>
    <s v="Inyección"/>
    <x v="1"/>
    <s v="Cerro Grande Central"/>
    <x v="0"/>
    <s v="NO"/>
    <n v="0"/>
    <n v="0"/>
  </r>
  <r>
    <x v="2194"/>
    <s v="CG-816"/>
    <x v="0"/>
    <s v="Produciendo"/>
    <s v="Bombeo Mecánico"/>
    <x v="1"/>
    <s v="Cerro Grande Central"/>
    <x v="0"/>
    <s v="NO"/>
    <n v="1.1840000000000002"/>
    <n v="0"/>
  </r>
  <r>
    <x v="2195"/>
    <s v="CnE-1130"/>
    <x v="0"/>
    <s v="En Estudio"/>
    <s v="Bombeo Mecánico"/>
    <x v="5"/>
    <s v="Barranca Baya Bloque 36"/>
    <x v="1"/>
    <s v="NO"/>
    <n v="0.5"/>
    <n v="0"/>
  </r>
  <r>
    <x v="2196"/>
    <s v="CnE-1196"/>
    <x v="0"/>
    <s v="Reserva Recuperación Secundaria"/>
    <s v="Bombeo Mecánico"/>
    <x v="4"/>
    <s v="Barranca Baya Bloque 38"/>
    <x v="0"/>
    <s v="NO"/>
    <n v="0.72"/>
    <n v="0"/>
  </r>
  <r>
    <x v="2197"/>
    <s v="CnE-1271"/>
    <x v="0"/>
    <s v="Produciendo"/>
    <s v="Inyección"/>
    <x v="1"/>
    <s v="Barranca Baya Bloque 30"/>
    <x v="0"/>
    <s v="NO"/>
    <n v="0"/>
    <n v="0"/>
  </r>
  <r>
    <x v="2198"/>
    <s v="BB-145"/>
    <x v="0"/>
    <s v="Produciendo"/>
    <s v="Bombeo Mecánico"/>
    <x v="1"/>
    <s v="Barranca Baya"/>
    <x v="0"/>
    <s v="NO"/>
    <n v="1.248"/>
    <n v="0"/>
  </r>
  <r>
    <x v="2199"/>
    <s v="CnE-1306"/>
    <x v="0"/>
    <s v="Espera Equipo Reparación"/>
    <s v="Bombeo Mecánico"/>
    <x v="5"/>
    <s v="Barranca Baya Bloque 40"/>
    <x v="1"/>
    <s v="NO"/>
    <n v="0.78"/>
    <n v="0"/>
  </r>
  <r>
    <x v="2200"/>
    <s v="CG-874"/>
    <x v="0"/>
    <s v="Produciendo"/>
    <s v="Surgente por Casing"/>
    <x v="1"/>
    <s v="Barranca Baya Cerro Grande Noroeste"/>
    <x v="0"/>
    <s v="NO"/>
    <n v="0.72"/>
    <n v="0"/>
  </r>
  <r>
    <x v="2201"/>
    <s v="CG-955"/>
    <x v="0"/>
    <s v="Reserva Recuperación Secundaria"/>
    <s v="No Posee"/>
    <x v="4"/>
    <s v="Cerro Grande Noreste"/>
    <x v="0"/>
    <s v="NO"/>
    <s v="NO"/>
    <s v="NO"/>
  </r>
  <r>
    <x v="2202"/>
    <s v="O-171"/>
    <x v="0"/>
    <s v="Abandono Permanente"/>
    <s v="No Posee"/>
    <x v="3"/>
    <s v="Barranca Baya"/>
    <x v="0"/>
    <s v="NO"/>
    <s v="NO"/>
    <s v="NO"/>
  </r>
  <r>
    <x v="2203"/>
    <s v="LH-90"/>
    <x v="0"/>
    <s v="Reserva Recuperación Secundaria"/>
    <s v="No Posee"/>
    <x v="4"/>
    <s v="Las Heras Bloque 2"/>
    <x v="0"/>
    <s v="NO"/>
    <s v="NO"/>
    <s v="NO"/>
  </r>
  <r>
    <x v="2204"/>
    <s v="LH-240"/>
    <x v="0"/>
    <s v="Abandono Permanente"/>
    <s v="No Posee"/>
    <x v="3"/>
    <s v="Las Heras Central Sur"/>
    <x v="0"/>
    <s v="NO"/>
    <n v="3.4000000000000002E-2"/>
    <n v="0"/>
  </r>
  <r>
    <x v="2205"/>
    <s v="LH-662"/>
    <x v="0"/>
    <s v="Abandono Permanente"/>
    <s v="No Posee"/>
    <x v="3"/>
    <s v="Las Heras Central Sur"/>
    <x v="0"/>
    <s v="NO"/>
    <s v="NO"/>
    <s v="NO"/>
  </r>
  <r>
    <x v="2206"/>
    <s v="LH-674"/>
    <x v="0"/>
    <s v="Abandono Permanente"/>
    <s v="No Posee"/>
    <x v="3"/>
    <s v="Las Heras Central Sur"/>
    <x v="0"/>
    <s v="NO"/>
    <s v="NO"/>
    <s v="NO"/>
  </r>
  <r>
    <x v="2207"/>
    <s v="LH-698"/>
    <x v="0"/>
    <s v="Produciendo"/>
    <s v="Electro Sumergible"/>
    <x v="1"/>
    <s v="Las Heras Bloque 2"/>
    <x v="0"/>
    <s v="NO"/>
    <n v="1.25"/>
    <n v="0"/>
  </r>
  <r>
    <x v="2208"/>
    <s v="LH-719"/>
    <x v="0"/>
    <s v="Reserva Recuperación Secundaria"/>
    <s v="Pistoneo"/>
    <x v="4"/>
    <s v="Las Heras Central Sur"/>
    <x v="0"/>
    <s v="NO"/>
    <n v="1.9E-2"/>
    <n v="0"/>
  </r>
  <r>
    <x v="2209"/>
    <s v="LH-789"/>
    <x v="0"/>
    <s v="Reserva Recuperación Secundaria"/>
    <s v="Bombeo Mecánico"/>
    <x v="4"/>
    <s v="Las Heras Central Sur"/>
    <x v="0"/>
    <s v="NO"/>
    <n v="0.04"/>
    <n v="0"/>
  </r>
  <r>
    <x v="2210"/>
    <s v="LH-795"/>
    <x v="0"/>
    <s v="Abandono Permanente"/>
    <s v="No Posee"/>
    <x v="3"/>
    <s v="Las Heras Bloque 2"/>
    <x v="0"/>
    <s v="NO"/>
    <n v="0"/>
    <n v="0"/>
  </r>
  <r>
    <x v="2211"/>
    <s v="LH-809"/>
    <x v="0"/>
    <s v="Reserva Recuperación Secundaria"/>
    <s v="Inyección"/>
    <x v="4"/>
    <s v="Las Heras Central Sur"/>
    <x v="0"/>
    <s v="NO"/>
    <n v="0"/>
    <n v="0"/>
  </r>
  <r>
    <x v="2212"/>
    <s v="LH-857"/>
    <x v="0"/>
    <s v="Produciendo"/>
    <s v="Bombeo Mecánico"/>
    <x v="1"/>
    <s v="Las Heras Central Sur"/>
    <x v="0"/>
    <s v="NO"/>
    <n v="0.61199999999999999"/>
    <n v="0"/>
  </r>
  <r>
    <x v="2213"/>
    <s v="LH-934"/>
    <x v="0"/>
    <s v="Produciendo"/>
    <s v="Inyección"/>
    <x v="1"/>
    <s v="Las Heras Central Sur"/>
    <x v="0"/>
    <s v="NO"/>
    <n v="0"/>
    <n v="0"/>
  </r>
  <r>
    <x v="2214"/>
    <s v="CG-49"/>
    <x v="0"/>
    <s v="Reserva Recuperación Secundaria"/>
    <s v="No Posee"/>
    <x v="4"/>
    <s v="Barranca Baya Bloque 26"/>
    <x v="0"/>
    <s v="NO"/>
    <n v="0.30599999999999999"/>
    <n v="0"/>
  </r>
  <r>
    <x v="2215"/>
    <s v="CG-85"/>
    <x v="0"/>
    <s v="Espera Equipo Reparación"/>
    <s v="Inyección"/>
    <x v="5"/>
    <s v="Barranca Baya Bloque 26"/>
    <x v="1"/>
    <s v="NO"/>
    <n v="0"/>
    <s v="Ultimo Año"/>
  </r>
  <r>
    <x v="2216"/>
    <s v="CG-248"/>
    <x v="0"/>
    <s v="Produciendo"/>
    <s v="Inyección"/>
    <x v="1"/>
    <s v="Barranca Baya Cerro Grande Norte"/>
    <x v="0"/>
    <s v="NO"/>
    <n v="0"/>
    <n v="0"/>
  </r>
  <r>
    <x v="2217"/>
    <s v="CG-292"/>
    <x v="0"/>
    <s v="Produciendo"/>
    <s v="Bombeo Mecánico"/>
    <x v="1"/>
    <s v="Cerro Grande Central"/>
    <x v="0"/>
    <s v="NO"/>
    <n v="1.06"/>
    <n v="0"/>
  </r>
  <r>
    <x v="2218"/>
    <s v="CG-377"/>
    <x v="0"/>
    <s v="Produciendo"/>
    <s v="Electro Sumergible"/>
    <x v="1"/>
    <s v="Barranca Baya Bloque 26"/>
    <x v="0"/>
    <s v="NO"/>
    <n v="0.73"/>
    <n v="0"/>
  </r>
  <r>
    <x v="2219"/>
    <s v="CG-505"/>
    <x v="0"/>
    <s v="En Estudio"/>
    <s v="Bombeo Mecánico"/>
    <x v="5"/>
    <s v="Barranca Baya Las Heras Bloque 3"/>
    <x v="1"/>
    <s v="NO"/>
    <n v="0.13900000000000001"/>
    <n v="0"/>
  </r>
  <r>
    <x v="2220"/>
    <s v="LC-171"/>
    <x v="0"/>
    <s v="Reserva Recuperación Secundaria"/>
    <s v="Pistoneo"/>
    <x v="4"/>
    <s v="Lomas del Cuy- Cerro Grande Sur"/>
    <x v="0"/>
    <s v="NO"/>
    <n v="0.186"/>
    <n v="0"/>
  </r>
  <r>
    <x v="2221"/>
    <s v="CnE-15"/>
    <x v="0"/>
    <s v="Produciendo"/>
    <s v="Inyección"/>
    <x v="1"/>
    <s v="Barranca Baya Bloque 26"/>
    <x v="0"/>
    <s v="NO"/>
    <n v="0"/>
    <n v="0"/>
  </r>
  <r>
    <x v="2222"/>
    <s v="CnE-58"/>
    <x v="0"/>
    <s v="Reserva Recuperación Secundaria"/>
    <s v="No Posee"/>
    <x v="4"/>
    <s v="Barranca Baya Bloque 26"/>
    <x v="0"/>
    <s v="NO"/>
    <n v="0.26700000000000002"/>
    <n v="0"/>
  </r>
  <r>
    <x v="2223"/>
    <s v="CnE-552"/>
    <x v="0"/>
    <s v="En Estudio"/>
    <s v="Bombeo Mecánico"/>
    <x v="5"/>
    <s v="Barranca Baya"/>
    <x v="1"/>
    <s v="NO"/>
    <n v="0.6"/>
    <n v="0"/>
  </r>
  <r>
    <x v="2224"/>
    <s v="CnE-622"/>
    <x v="0"/>
    <s v="Produciendo"/>
    <s v="Bombeo Mecánico"/>
    <x v="1"/>
    <s v="Barranca Baya Bloque 36"/>
    <x v="0"/>
    <s v="NO"/>
    <n v="1.02"/>
    <n v="0"/>
  </r>
  <r>
    <x v="2225"/>
    <s v="CnE-727"/>
    <x v="0"/>
    <s v="Produciendo"/>
    <s v="Electro Sumergible"/>
    <x v="1"/>
    <s v="Barranca Baya Bloque 37"/>
    <x v="0"/>
    <s v="NO"/>
    <n v="1.85"/>
    <n v="0"/>
  </r>
  <r>
    <x v="2226"/>
    <s v="CnE-778"/>
    <x v="0"/>
    <s v="A Abandonar"/>
    <s v="Surgente por Casing"/>
    <x v="5"/>
    <s v="Barranca Baya"/>
    <x v="1"/>
    <s v="NO"/>
    <n v="1.5000000000000001E-2"/>
    <n v="0"/>
  </r>
  <r>
    <x v="2227"/>
    <s v="BB-2"/>
    <x v="0"/>
    <s v="Abandono Permanente"/>
    <s v="No Posee"/>
    <x v="3"/>
    <s v="Barranca Baya"/>
    <x v="0"/>
    <s v="NO"/>
    <s v="NO"/>
    <s v="NO"/>
  </r>
  <r>
    <x v="2228"/>
    <s v="CnE-5"/>
    <x v="0"/>
    <s v="Abandono Permanente"/>
    <s v="No Posee"/>
    <x v="3"/>
    <s v="Barranca Baya Bloque 40"/>
    <x v="0"/>
    <s v="NO"/>
    <s v="NO"/>
    <s v="NO"/>
  </r>
  <r>
    <x v="2229"/>
    <s v="CnE-91"/>
    <x v="0"/>
    <s v="Reserva Recuperación Secundaria"/>
    <s v="No Posee"/>
    <x v="4"/>
    <s v="Barranca Baya Bloque 36"/>
    <x v="0"/>
    <s v="NO"/>
    <s v="NO"/>
    <s v="NO"/>
  </r>
  <r>
    <x v="2230"/>
    <s v="LC-54"/>
    <x v="0"/>
    <s v="Abandono Permanente"/>
    <s v="No Posee"/>
    <x v="3"/>
    <s v="Lomas del Cuy- Cerro Grande Sur"/>
    <x v="0"/>
    <s v="NO"/>
    <s v="NO"/>
    <s v="NO"/>
  </r>
  <r>
    <x v="2231"/>
    <s v="CnE-86"/>
    <x v="0"/>
    <s v="Reserva Recuperación Secundaria"/>
    <s v="No Posee"/>
    <x v="4"/>
    <s v="Barranca Baya Bloque 26"/>
    <x v="0"/>
    <s v="NO"/>
    <n v="0.878"/>
    <n v="0"/>
  </r>
  <r>
    <x v="2232"/>
    <s v="CnE-129"/>
    <x v="0"/>
    <s v="Reserva Recuperación Secundaria"/>
    <s v="Inyección"/>
    <x v="4"/>
    <s v="Barranca Baya Bloque 30"/>
    <x v="0"/>
    <s v="NO"/>
    <n v="0"/>
    <n v="0"/>
  </r>
  <r>
    <x v="2233"/>
    <s v="CnE-150"/>
    <x v="0"/>
    <s v="Reserva Recuperación Secundaria"/>
    <s v="No Posee"/>
    <x v="4"/>
    <s v="Barranca Baya Bloque 26"/>
    <x v="0"/>
    <s v="NO"/>
    <n v="0.36399999999999999"/>
    <n v="0"/>
  </r>
  <r>
    <x v="2234"/>
    <s v="CnE-282"/>
    <x v="0"/>
    <s v="Produciendo"/>
    <s v="Pistoneo"/>
    <x v="1"/>
    <s v="Barranca Baya Bloque 40"/>
    <x v="0"/>
    <s v="NO"/>
    <n v="0.192"/>
    <n v="0"/>
  </r>
  <r>
    <x v="2235"/>
    <s v="CnE-284"/>
    <x v="0"/>
    <s v="Espera Equipo Reparación"/>
    <s v="No Posee"/>
    <x v="4"/>
    <s v="Barranca Baya Bloque 30"/>
    <x v="0"/>
    <s v="NO"/>
    <n v="0"/>
    <n v="0"/>
  </r>
  <r>
    <x v="2236"/>
    <s v="CnE-418"/>
    <x v="0"/>
    <s v="En Estudio"/>
    <s v="Inyección"/>
    <x v="5"/>
    <s v="Barranca Baya Bloque 37"/>
    <x v="1"/>
    <s v="NO"/>
    <n v="0"/>
    <n v="0"/>
  </r>
  <r>
    <x v="2237"/>
    <s v="CnE-461"/>
    <x v="0"/>
    <s v="Produciendo"/>
    <s v="Inyección"/>
    <x v="1"/>
    <s v="Barranca Baya Bloque 37"/>
    <x v="0"/>
    <s v="NO"/>
    <n v="0"/>
    <n v="0"/>
  </r>
  <r>
    <x v="2238"/>
    <s v="CnE-492"/>
    <x v="0"/>
    <s v="Produciendo"/>
    <s v="Electro Sumergible"/>
    <x v="1"/>
    <s v="Barranca Baya Bloque 37"/>
    <x v="0"/>
    <s v="NO"/>
    <n v="0.71800000000000008"/>
    <n v="0"/>
  </r>
  <r>
    <x v="2239"/>
    <s v="CnE-657"/>
    <x v="0"/>
    <s v="Produciendo"/>
    <s v="Inyección"/>
    <x v="1"/>
    <s v="Barranca Baya"/>
    <x v="0"/>
    <s v="NO"/>
    <n v="0"/>
    <n v="0"/>
  </r>
  <r>
    <x v="2240"/>
    <s v="CnE-666"/>
    <x v="0"/>
    <s v="Produciendo"/>
    <s v="Electro Sumergible"/>
    <x v="1"/>
    <s v="Barranca Baya Bloque 37"/>
    <x v="0"/>
    <s v="NO"/>
    <n v="1.42"/>
    <n v="0"/>
  </r>
  <r>
    <x v="2241"/>
    <s v="CnE-732"/>
    <x v="0"/>
    <s v="Produciendo"/>
    <s v="Pistoneo"/>
    <x v="1"/>
    <s v="Barranca Baya Bloque 36"/>
    <x v="0"/>
    <s v="NO"/>
    <n v="9.5000000000000001E-2"/>
    <n v="0"/>
  </r>
  <r>
    <x v="2242"/>
    <s v="LH-53"/>
    <x v="0"/>
    <s v="Reserva Recuperación Secundaria"/>
    <s v="Inyección"/>
    <x v="4"/>
    <s v="Las Heras Las Heras Bloque 3"/>
    <x v="0"/>
    <s v="NO"/>
    <n v="0"/>
    <n v="0"/>
  </r>
  <r>
    <x v="2243"/>
    <s v="LH-143"/>
    <x v="0"/>
    <s v="Abandono Permanente"/>
    <s v="No Posee"/>
    <x v="3"/>
    <s v="Las Heras Bloque 2"/>
    <x v="0"/>
    <s v="NO"/>
    <n v="0"/>
    <n v="0"/>
  </r>
  <r>
    <x v="2244"/>
    <s v="LH-174"/>
    <x v="0"/>
    <s v="Espera Equipo Reparación"/>
    <s v="Inyección"/>
    <x v="5"/>
    <s v="Las Heras Las Heras Bloque 3"/>
    <x v="1"/>
    <s v="NO"/>
    <n v="0"/>
    <n v="0"/>
  </r>
  <r>
    <x v="2245"/>
    <s v="LH-483"/>
    <x v="0"/>
    <s v="Reserva Recuperación Secundaria"/>
    <s v="Inyección"/>
    <x v="2"/>
    <s v="Las Heras Central Sur"/>
    <x v="0"/>
    <s v="NO"/>
    <n v="0"/>
    <s v="Ultimo Año"/>
  </r>
  <r>
    <x v="2246"/>
    <s v="LH-571"/>
    <x v="0"/>
    <s v="Produciendo"/>
    <s v="Pistoneo"/>
    <x v="1"/>
    <s v="Las Heras Central Sur"/>
    <x v="0"/>
    <s v="NO"/>
    <n v="0.14200000000000002"/>
    <n v="0"/>
  </r>
  <r>
    <x v="2247"/>
    <s v="LH-617"/>
    <x v="0"/>
    <s v="Espera Equipo Reparación"/>
    <s v="Inyección"/>
    <x v="5"/>
    <s v="Las Heras Central Sur"/>
    <x v="1"/>
    <s v="NO"/>
    <n v="0"/>
    <n v="0"/>
  </r>
  <r>
    <x v="2248"/>
    <s v="LH-648"/>
    <x v="0"/>
    <s v="Reserva Recuperación Secundaria"/>
    <s v="Pistoneo"/>
    <x v="4"/>
    <s v="Las Heras Bloque 2"/>
    <x v="0"/>
    <s v="NO"/>
    <n v="0.28900000000000003"/>
    <n v="0"/>
  </r>
  <r>
    <x v="2249"/>
    <s v="LH-832"/>
    <x v="0"/>
    <s v="Reserva Recuperación Secundaria"/>
    <s v="No Posee"/>
    <x v="4"/>
    <s v="Las Heras Central Sur"/>
    <x v="0"/>
    <s v="NO"/>
    <n v="0.624"/>
    <n v="0"/>
  </r>
  <r>
    <x v="2250"/>
    <s v="LH-841"/>
    <x v="0"/>
    <s v="En Estudio"/>
    <s v="No Posee"/>
    <x v="5"/>
    <s v="Las Heras Central Sur"/>
    <x v="1"/>
    <s v="NO"/>
    <n v="0.84"/>
    <n v="0"/>
  </r>
  <r>
    <x v="2251"/>
    <s v="LH-882"/>
    <x v="0"/>
    <s v="Produciendo"/>
    <s v="Pistoneo"/>
    <x v="1"/>
    <s v="Las Heras Central Sur"/>
    <x v="0"/>
    <s v="NO"/>
    <n v="0.14200000000000002"/>
    <n v="0"/>
  </r>
  <r>
    <x v="2252"/>
    <s v="LH-933"/>
    <x v="0"/>
    <s v="Produciendo"/>
    <s v="Bombeo Mecánico"/>
    <x v="1"/>
    <s v="Las Heras Central Sur"/>
    <x v="0"/>
    <s v="NO"/>
    <n v="1.25"/>
    <n v="0"/>
  </r>
  <r>
    <x v="2253"/>
    <s v="LH-937"/>
    <x v="0"/>
    <s v="Reserva Recuperación Secundaria"/>
    <s v="Pistoneo"/>
    <x v="4"/>
    <s v="Las Heras Bloque 2"/>
    <x v="0"/>
    <s v="NO"/>
    <s v="NO"/>
    <s v="NO"/>
  </r>
  <r>
    <x v="2254"/>
    <s v="CG-17"/>
    <x v="0"/>
    <s v="Produciendo"/>
    <s v="Inyección"/>
    <x v="1"/>
    <s v="Lomas del Cuy- Cerro Grande Noroeste"/>
    <x v="0"/>
    <s v="NO"/>
    <n v="0"/>
    <n v="0"/>
  </r>
  <r>
    <x v="2255"/>
    <s v="CG-108"/>
    <x v="0"/>
    <s v="Reserva Recuperación Secundaria"/>
    <s v="No Posee"/>
    <x v="4"/>
    <s v="Cerro Grande Central"/>
    <x v="0"/>
    <s v="NO"/>
    <n v="0"/>
    <n v="0"/>
  </r>
  <r>
    <x v="2256"/>
    <s v="CG-294"/>
    <x v="0"/>
    <s v="Reserva Recuperación Secundaria"/>
    <s v="No Posee"/>
    <x v="4"/>
    <s v="Barranca Baya Cerro Grande Norte"/>
    <x v="0"/>
    <s v="NO"/>
    <n v="0"/>
    <n v="0"/>
  </r>
  <r>
    <x v="2257"/>
    <s v="CG-370"/>
    <x v="0"/>
    <s v="Produciendo"/>
    <s v="Bombeo Mecánico"/>
    <x v="1"/>
    <s v="Cerro Grande Central"/>
    <x v="0"/>
    <s v="NO"/>
    <n v="0.72"/>
    <n v="0"/>
  </r>
  <r>
    <x v="2258"/>
    <s v="CG-403"/>
    <x v="0"/>
    <s v="Reserva Recuperación Secundaria"/>
    <s v="No Posee"/>
    <x v="7"/>
    <s v="Cerro Grande Central"/>
    <x v="0"/>
    <s v="NO"/>
    <n v="2.52"/>
    <n v="0"/>
  </r>
  <r>
    <x v="2259"/>
    <s v="CG-418"/>
    <x v="0"/>
    <s v="Reserva Recuperación Secundaria"/>
    <s v="No Posee"/>
    <x v="4"/>
    <s v="Cerro Grande Central"/>
    <x v="0"/>
    <s v="NO"/>
    <n v="0.91"/>
    <n v="0"/>
  </r>
  <r>
    <x v="2260"/>
    <s v="CG-433"/>
    <x v="0"/>
    <s v="Reserva Recuperación Secundaria"/>
    <s v="No Posee"/>
    <x v="4"/>
    <s v="Cerro Grande Central"/>
    <x v="0"/>
    <s v="NO"/>
    <n v="0.8"/>
    <n v="0"/>
  </r>
  <r>
    <x v="2261"/>
    <s v="CG-434"/>
    <x v="0"/>
    <s v="Produciendo"/>
    <s v="Bombeo Mecánico"/>
    <x v="1"/>
    <s v="Cerro Grande Central"/>
    <x v="0"/>
    <s v="NO"/>
    <n v="0.83300000000000007"/>
    <n v="0"/>
  </r>
  <r>
    <x v="2262"/>
    <s v="CG-439"/>
    <x v="0"/>
    <s v="Produciendo"/>
    <s v="Bombeo Mecánico"/>
    <x v="1"/>
    <s v="Barranca Baya Cerro Grande Sur"/>
    <x v="0"/>
    <s v="NO"/>
    <n v="2.1"/>
    <n v="0"/>
  </r>
  <r>
    <x v="2263"/>
    <s v="CG-449"/>
    <x v="0"/>
    <s v="Produciendo"/>
    <s v="Bombeo Mecánico"/>
    <x v="1"/>
    <s v="Cerro Grande Noreste"/>
    <x v="0"/>
    <s v="NO"/>
    <n v="1.62"/>
    <n v="0"/>
  </r>
  <r>
    <x v="2264"/>
    <s v="CG-467"/>
    <x v="0"/>
    <s v="Produciendo"/>
    <s v="Bombeo Mecánico"/>
    <x v="1"/>
    <s v="Cerro Grande Central"/>
    <x v="0"/>
    <s v="NO"/>
    <n v="1.5"/>
    <n v="0"/>
  </r>
  <r>
    <x v="2265"/>
    <s v="CG-511"/>
    <x v="0"/>
    <s v="Produciendo"/>
    <s v="Bombeo Mecánico"/>
    <x v="1"/>
    <s v="Cerro Grande Central"/>
    <x v="0"/>
    <s v="NO"/>
    <n v="1.482"/>
    <n v="0"/>
  </r>
  <r>
    <x v="2266"/>
    <s v="LC-30"/>
    <x v="0"/>
    <s v="Produciendo"/>
    <s v="Bombeo Mecánico"/>
    <x v="1"/>
    <s v="Lomas del Cuy- Cerro Grande Noroeste"/>
    <x v="0"/>
    <s v="NO"/>
    <n v="0.83600000000000008"/>
    <n v="0"/>
  </r>
  <r>
    <x v="2267"/>
    <s v="LC-91"/>
    <x v="0"/>
    <s v="Abandono Permanente"/>
    <s v="No Posee"/>
    <x v="3"/>
    <s v="Lomas del Cuy- Cerro Grande Noroeste"/>
    <x v="0"/>
    <s v="NO"/>
    <n v="0.92"/>
    <n v="0"/>
  </r>
  <r>
    <x v="2268"/>
    <s v="N-30"/>
    <x v="0"/>
    <s v="Reserva Recuperación Secundaria"/>
    <s v="Recoil"/>
    <x v="4"/>
    <s v="Las Heras Central Sur"/>
    <x v="0"/>
    <s v="NO"/>
    <n v="0.498"/>
    <n v="0"/>
  </r>
  <r>
    <x v="2269"/>
    <s v="CnE-31"/>
    <x v="0"/>
    <s v="Espera Equipo Reparación"/>
    <s v="Bombeo Mecánico"/>
    <x v="5"/>
    <s v="Barranca Baya Bloque 30"/>
    <x v="1"/>
    <s v="NO"/>
    <n v="0.9"/>
    <n v="0"/>
  </r>
  <r>
    <x v="2270"/>
    <s v="CnE-198"/>
    <x v="0"/>
    <s v="Produciendo"/>
    <s v="Inyección"/>
    <x v="1"/>
    <s v="Barranca Baya Bloque 30"/>
    <x v="0"/>
    <s v="NO"/>
    <n v="0"/>
    <n v="0"/>
  </r>
  <r>
    <x v="2271"/>
    <s v="CnE-206"/>
    <x v="0"/>
    <s v="Abandono Permanente"/>
    <s v="No Posee"/>
    <x v="3"/>
    <s v="Barranca Baya Bloque 26"/>
    <x v="0"/>
    <s v="NO"/>
    <n v="1"/>
    <n v="0"/>
  </r>
  <r>
    <x v="2272"/>
    <s v="CnE-244"/>
    <x v="0"/>
    <s v="En Estudio"/>
    <s v="Bombeo Mecánico"/>
    <x v="5"/>
    <s v="Barranca Baya Bloque 30"/>
    <x v="1"/>
    <s v="NO"/>
    <n v="3.1"/>
    <n v="0"/>
  </r>
  <r>
    <x v="2273"/>
    <s v="CnE-317"/>
    <x v="0"/>
    <s v="Produciendo"/>
    <s v="Bombeo Mecánico"/>
    <x v="1"/>
    <s v="Barranca Baya Bloque 30"/>
    <x v="0"/>
    <s v="NO"/>
    <n v="1.28"/>
    <n v="0"/>
  </r>
  <r>
    <x v="2274"/>
    <s v="CnE-337"/>
    <x v="0"/>
    <s v="En Estudio"/>
    <s v="Pistoneo"/>
    <x v="5"/>
    <s v="Barranca Baya Bloque 36"/>
    <x v="1"/>
    <s v="NO"/>
    <n v="5.8000000000000003E-2"/>
    <n v="0"/>
  </r>
  <r>
    <x v="2275"/>
    <s v="CnE-432"/>
    <x v="0"/>
    <s v="Reserva Recuperación Secundaria"/>
    <s v="No Posee"/>
    <x v="4"/>
    <s v="Barranca Baya Bloque 26"/>
    <x v="0"/>
    <s v="NO"/>
    <n v="0.98"/>
    <n v="0"/>
  </r>
  <r>
    <x v="2276"/>
    <s v="CnE-446"/>
    <x v="0"/>
    <s v="Produciendo"/>
    <s v="Bombeo Mecánico"/>
    <x v="1"/>
    <s v="Barranca Baya Bloque 36"/>
    <x v="0"/>
    <s v="NO"/>
    <n v="1.02"/>
    <n v="0"/>
  </r>
  <r>
    <x v="2277"/>
    <s v="CnE-464"/>
    <x v="0"/>
    <s v="Produciendo"/>
    <s v="Bombeo Mecánico"/>
    <x v="1"/>
    <s v="Barranca Baya Bloque 30"/>
    <x v="0"/>
    <s v="NO"/>
    <n v="1.1500000000000001"/>
    <n v="0"/>
  </r>
  <r>
    <x v="2278"/>
    <s v="CnE-562"/>
    <x v="0"/>
    <s v="Produciendo"/>
    <s v="Electro Sumergible"/>
    <x v="1"/>
    <s v="Barranca Baya"/>
    <x v="0"/>
    <s v="NO"/>
    <n v="4.32"/>
    <n v="0"/>
  </r>
  <r>
    <x v="2279"/>
    <s v="CnE-572"/>
    <x v="0"/>
    <s v="Produciendo"/>
    <s v="Bombeo Mecánico"/>
    <x v="1"/>
    <s v="Barranca Baya Bloque 36"/>
    <x v="0"/>
    <s v="NO"/>
    <n v="0.9"/>
    <n v="0"/>
  </r>
  <r>
    <x v="2280"/>
    <s v="CnE-581"/>
    <x v="0"/>
    <s v="Espera Equipo Reparación"/>
    <s v="Inyección"/>
    <x v="0"/>
    <s v="Barranca Baya"/>
    <x v="0"/>
    <s v="NO"/>
    <n v="0"/>
    <s v="Ultimos 6 meses"/>
  </r>
  <r>
    <x v="2281"/>
    <s v="CnE-697"/>
    <x v="0"/>
    <s v="Produciendo"/>
    <s v="Electro Sumergible"/>
    <x v="1"/>
    <s v="Barranca Baya Bloque 38"/>
    <x v="0"/>
    <s v="NO"/>
    <n v="2.3540000000000001"/>
    <n v="0"/>
  </r>
  <r>
    <x v="2282"/>
    <s v="CnE-828"/>
    <x v="0"/>
    <s v="Completado / Esperando Producción"/>
    <s v="Bombeo Mecánico"/>
    <x v="1"/>
    <s v="Barranca Baya Bloque 36"/>
    <x v="0"/>
    <s v="NO"/>
    <n v="2.56"/>
    <n v="0"/>
  </r>
  <r>
    <x v="2283"/>
    <s v="CG-640"/>
    <x v="0"/>
    <s v="En Estudio"/>
    <s v="Bombeo Mecánico"/>
    <x v="5"/>
    <s v="Cerro Grande Noreste"/>
    <x v="1"/>
    <s v="NO"/>
    <n v="0.98"/>
    <n v="0"/>
  </r>
  <r>
    <x v="2284"/>
    <s v="BB-67"/>
    <x v="0"/>
    <s v="Produciendo"/>
    <s v="Bombeo Mecánico"/>
    <x v="1"/>
    <s v="Barranca Baya Bloque 36"/>
    <x v="0"/>
    <s v="NO"/>
    <n v="1.8"/>
    <n v="0"/>
  </r>
  <r>
    <x v="2285"/>
    <s v="BB-70"/>
    <x v="0"/>
    <s v="Abandono Permanente"/>
    <s v="No Posee"/>
    <x v="3"/>
    <s v="Barranca Baya"/>
    <x v="0"/>
    <s v="NO"/>
    <n v="0"/>
    <n v="0"/>
  </r>
  <r>
    <x v="2286"/>
    <s v="LHS-3"/>
    <x v="0"/>
    <s v="Abandono Permanente"/>
    <s v="No Posee"/>
    <x v="3"/>
    <s v="Las Heras Bloque 2"/>
    <x v="0"/>
    <s v="NO"/>
    <n v="0.78300000000000003"/>
    <n v="0"/>
  </r>
  <r>
    <x v="2287"/>
    <s v="LH-263"/>
    <x v="0"/>
    <s v="Produciendo"/>
    <s v="Bombeo Mecánico"/>
    <x v="1"/>
    <s v="Las Heras Central Sur"/>
    <x v="0"/>
    <s v="NO"/>
    <n v="0.255"/>
    <n v="0"/>
  </r>
  <r>
    <x v="2288"/>
    <s v="CnE-13"/>
    <x v="0"/>
    <s v="Abandono Permanente"/>
    <s v="No Posee"/>
    <x v="3"/>
    <s v="Barranca Baya Bloque 36"/>
    <x v="0"/>
    <s v="NO"/>
    <s v="NO"/>
    <s v="NO"/>
  </r>
  <r>
    <x v="2289"/>
    <s v="LC-64"/>
    <x v="0"/>
    <s v="Produciendo"/>
    <s v="Bombeo Mecánico"/>
    <x v="1"/>
    <s v="Lomas del Cuy- Cerro Grande Sur"/>
    <x v="0"/>
    <s v="NO"/>
    <n v="2.7390000000000003"/>
    <n v="0"/>
  </r>
  <r>
    <x v="2290"/>
    <s v="LC-27"/>
    <x v="0"/>
    <s v="Reserva Recuperación Secundaria"/>
    <s v="No Posee"/>
    <x v="4"/>
    <s v="Lomas del Cuy- Cerro Grande Noroeste"/>
    <x v="0"/>
    <s v="NO"/>
    <n v="0.65600000000000003"/>
    <n v="0"/>
  </r>
  <r>
    <x v="2291"/>
    <s v="CG-293"/>
    <x v="0"/>
    <s v="Reserva Recuperación Secundaria"/>
    <s v="No Posee"/>
    <x v="4"/>
    <s v="Cerro Grande Central"/>
    <x v="0"/>
    <s v="NO"/>
    <s v="NO"/>
    <s v="NO"/>
  </r>
  <r>
    <x v="2292"/>
    <s v="LH-177"/>
    <x v="0"/>
    <s v="Abandono Permanente"/>
    <s v="No Posee"/>
    <x v="3"/>
    <s v="Las Heras Las Heras Bloque 3"/>
    <x v="0"/>
    <s v="NO"/>
    <s v="NO"/>
    <s v="NO"/>
  </r>
  <r>
    <x v="2293"/>
    <s v="LH-233"/>
    <x v="0"/>
    <s v="Espera Equipo Reparación"/>
    <s v="Inyección"/>
    <x v="5"/>
    <s v="Las Heras Central Sur"/>
    <x v="1"/>
    <s v="NO"/>
    <n v="0"/>
    <n v="0"/>
  </r>
  <r>
    <x v="2294"/>
    <s v="LH-265"/>
    <x v="0"/>
    <s v="Produciendo"/>
    <s v="Bombeo Mecánico"/>
    <x v="1"/>
    <s v="Las Heras Central Sur"/>
    <x v="0"/>
    <s v="NO"/>
    <n v="0.55200000000000005"/>
    <n v="0"/>
  </r>
  <r>
    <x v="2295"/>
    <s v="LH-466"/>
    <x v="0"/>
    <s v="Abandono Permanente"/>
    <s v="No Posee"/>
    <x v="3"/>
    <s v="Las Heras Central Sur"/>
    <x v="0"/>
    <s v="NO"/>
    <n v="0.24"/>
    <n v="0"/>
  </r>
  <r>
    <x v="2296"/>
    <s v="CG-89"/>
    <x v="0"/>
    <s v="Produciendo"/>
    <s v="Bombeo Mecánico"/>
    <x v="1"/>
    <s v="Barranca Baya Bloque 26"/>
    <x v="0"/>
    <s v="NO"/>
    <n v="1.35"/>
    <n v="0"/>
  </r>
  <r>
    <x v="2297"/>
    <s v="LC-631a"/>
    <x v="0"/>
    <s v="Reserva Recuperación Secundaria"/>
    <s v="No Posee"/>
    <x v="7"/>
    <s v="Lomas del Cuy- Cerro Grande Noroeste"/>
    <x v="0"/>
    <s v="NO"/>
    <n v="1.76"/>
    <n v="0"/>
  </r>
  <r>
    <x v="2298"/>
    <s v="LH-87"/>
    <x v="0"/>
    <s v="Produciendo"/>
    <s v="Bombeo Mecánico"/>
    <x v="1"/>
    <s v="Las Heras Bloque 2"/>
    <x v="0"/>
    <s v="NO"/>
    <n v="1.26"/>
    <n v="0"/>
  </r>
  <r>
    <x v="2299"/>
    <s v="LH-232"/>
    <x v="0"/>
    <s v="Abandono Permanente"/>
    <s v="No Posee"/>
    <x v="3"/>
    <s v="Las Heras Central Sur"/>
    <x v="0"/>
    <s v="NO"/>
    <n v="0"/>
    <n v="0"/>
  </r>
  <r>
    <x v="2300"/>
    <s v="LH-299"/>
    <x v="0"/>
    <s v="Produciendo"/>
    <s v="Pistoneo"/>
    <x v="1"/>
    <s v="Las Heras Central Sur"/>
    <x v="0"/>
    <s v="NO"/>
    <n v="0.18"/>
    <n v="0"/>
  </r>
  <r>
    <x v="2301"/>
    <s v="LH-628"/>
    <x v="0"/>
    <s v="Reserva Recuperación Secundaria"/>
    <s v="Inyección"/>
    <x v="4"/>
    <s v="Las Heras Central Sur"/>
    <x v="0"/>
    <s v="NO"/>
    <n v="0"/>
    <n v="0"/>
  </r>
  <r>
    <x v="2302"/>
    <s v="LH-666"/>
    <x v="0"/>
    <s v="Produciendo"/>
    <s v="Bombeo Mecánico"/>
    <x v="1"/>
    <s v="Las Heras Central Sur"/>
    <x v="0"/>
    <s v="NO"/>
    <n v="0.92200000000000004"/>
    <n v="0"/>
  </r>
  <r>
    <x v="2303"/>
    <s v="LH-803"/>
    <x v="0"/>
    <s v="Produciendo"/>
    <s v="Bombeo Mecánico"/>
    <x v="1"/>
    <s v="Las Heras Central Sur"/>
    <x v="0"/>
    <s v="NO"/>
    <n v="0.22"/>
    <n v="0"/>
  </r>
  <r>
    <x v="2304"/>
    <s v="LH.a-843"/>
    <x v="0"/>
    <s v="Produciendo"/>
    <s v="Inyección"/>
    <x v="1"/>
    <s v="Las Heras Central Sur"/>
    <x v="0"/>
    <s v="NO"/>
    <n v="0"/>
    <n v="0"/>
  </r>
  <r>
    <x v="2305"/>
    <s v="LH-921"/>
    <x v="0"/>
    <s v="Reserva Recuperación Secundaria"/>
    <s v="Pistoneo"/>
    <x v="4"/>
    <s v="Las Heras Central Sur"/>
    <x v="0"/>
    <s v="NO"/>
    <n v="9.7000000000000003E-2"/>
    <n v="0"/>
  </r>
  <r>
    <x v="2306"/>
    <s v="CG-138"/>
    <x v="0"/>
    <s v="Reserva Recuperación Secundaria"/>
    <s v="No Posee"/>
    <x v="4"/>
    <s v="Cerro Grande Central"/>
    <x v="0"/>
    <s v="NO"/>
    <n v="1.02"/>
    <n v="0"/>
  </r>
  <r>
    <x v="2307"/>
    <s v="CG-162"/>
    <x v="0"/>
    <s v="Reserva Recuperación Secundaria"/>
    <s v="No Posee"/>
    <x v="7"/>
    <s v="Cerro Grande Central"/>
    <x v="0"/>
    <s v="NO"/>
    <n v="1.56"/>
    <n v="0"/>
  </r>
  <r>
    <x v="2308"/>
    <s v="CG-231"/>
    <x v="0"/>
    <s v="Produciendo"/>
    <s v="Bombeo Mecánico"/>
    <x v="1"/>
    <s v="Barranca Baya Cerro Grande Norte"/>
    <x v="0"/>
    <s v="NO"/>
    <n v="0.88"/>
    <n v="0"/>
  </r>
  <r>
    <x v="2309"/>
    <s v="CG-252"/>
    <x v="0"/>
    <s v="Produciendo"/>
    <s v="Bombeo Mecánico"/>
    <x v="1"/>
    <s v="Cerro Grande Central"/>
    <x v="0"/>
    <s v="NO"/>
    <n v="0.80500000000000005"/>
    <n v="0"/>
  </r>
  <r>
    <x v="2310"/>
    <s v="CG-359"/>
    <x v="0"/>
    <s v="Produciendo"/>
    <s v="Pistoneo"/>
    <x v="1"/>
    <s v="Cerro Grande Central"/>
    <x v="0"/>
    <s v="NO"/>
    <n v="0.191"/>
    <n v="0"/>
  </r>
  <r>
    <x v="2311"/>
    <s v="CG-419"/>
    <x v="0"/>
    <s v="Reserva Recuperación Secundaria"/>
    <s v="No Posee"/>
    <x v="4"/>
    <s v="Barranca Baya Cerro Grande Norte"/>
    <x v="0"/>
    <s v="NO"/>
    <n v="1.36"/>
    <n v="0"/>
  </r>
  <r>
    <x v="2312"/>
    <s v="CG-421"/>
    <x v="0"/>
    <s v="Produciendo"/>
    <s v="Bombeo Mecánico"/>
    <x v="1"/>
    <s v="Cerro Grande Central"/>
    <x v="0"/>
    <s v="NO"/>
    <n v="1.3"/>
    <n v="0"/>
  </r>
  <r>
    <x v="2313"/>
    <s v="LC-119"/>
    <x v="0"/>
    <s v="Produciendo"/>
    <s v="Bombeo Mecánico"/>
    <x v="1"/>
    <s v="Lomas del Cuy- Cerro Grande Sur"/>
    <x v="0"/>
    <s v="NO"/>
    <n v="3.48"/>
    <n v="0"/>
  </r>
  <r>
    <x v="2314"/>
    <s v="CnE-41"/>
    <x v="0"/>
    <s v="Espera Equipo Reparación"/>
    <s v="Inyección"/>
    <x v="5"/>
    <s v="Barranca Baya Bloque 26"/>
    <x v="1"/>
    <s v="NO"/>
    <n v="0"/>
    <s v="Ultimo Año"/>
  </r>
  <r>
    <x v="2315"/>
    <s v="CnE-161"/>
    <x v="0"/>
    <s v="Reserva Recuperación Secundaria"/>
    <s v="Bombeo Mecánico"/>
    <x v="4"/>
    <s v="Barranca Baya Bloque 30"/>
    <x v="0"/>
    <s v="NO"/>
    <n v="0.255"/>
    <n v="0"/>
  </r>
  <r>
    <x v="2316"/>
    <s v="CnE-208"/>
    <x v="0"/>
    <s v="Produciendo"/>
    <s v="Bombeo Mecánico"/>
    <x v="1"/>
    <s v="Barranca Baya Bloque 30"/>
    <x v="0"/>
    <s v="NO"/>
    <n v="0.78"/>
    <n v="0"/>
  </r>
  <r>
    <x v="2317"/>
    <s v="CnE-222"/>
    <x v="0"/>
    <s v="Abandono Permanente"/>
    <s v="No Posee"/>
    <x v="3"/>
    <s v="Barranca Baya Bloque 37"/>
    <x v="0"/>
    <s v="NO"/>
    <s v="NO"/>
    <s v="NO"/>
  </r>
  <r>
    <x v="2318"/>
    <s v="CnE-243"/>
    <x v="0"/>
    <s v="Produciendo"/>
    <s v="Bombeo Mecánico"/>
    <x v="1"/>
    <s v="Barranca Baya Bloque 30"/>
    <x v="0"/>
    <s v="NO"/>
    <n v="1.8"/>
    <n v="0"/>
  </r>
  <r>
    <x v="2319"/>
    <s v="CnE-303"/>
    <x v="0"/>
    <s v="Produciendo"/>
    <s v="Electro Sumergible"/>
    <x v="1"/>
    <s v="Barranca Baya Bloque 26"/>
    <x v="0"/>
    <s v="NO"/>
    <n v="1.53"/>
    <n v="0"/>
  </r>
  <r>
    <x v="2320"/>
    <s v="CnE-331"/>
    <x v="0"/>
    <s v="Espera Equipo Reparación"/>
    <s v="Electro Sumergible"/>
    <x v="2"/>
    <s v="Barranca Baya Bloque 26"/>
    <x v="0"/>
    <s v="NO"/>
    <n v="0.56000000000000005"/>
    <s v="Ultimo Año"/>
  </r>
  <r>
    <x v="2321"/>
    <s v="CnE-354"/>
    <x v="0"/>
    <s v="Produciendo"/>
    <s v="Electro Sumergible"/>
    <x v="1"/>
    <s v="Barranca Baya Bloque 36"/>
    <x v="0"/>
    <s v="NO"/>
    <n v="1.7590000000000001"/>
    <n v="0"/>
  </r>
  <r>
    <x v="2322"/>
    <s v="CnE-614"/>
    <x v="0"/>
    <s v="Espera Equipo Reparación"/>
    <s v="Bombeo Mecánico"/>
    <x v="6"/>
    <s v="Barranca Baya"/>
    <x v="0"/>
    <s v="Oportunidad"/>
    <n v="0.46"/>
    <n v="0"/>
  </r>
  <r>
    <x v="2323"/>
    <s v="CnE-624"/>
    <x v="0"/>
    <s v="Produciendo"/>
    <s v="Pistoneo"/>
    <x v="1"/>
    <s v="Barranca Baya"/>
    <x v="0"/>
    <s v="NO"/>
    <n v="4.8000000000000001E-2"/>
    <n v="0"/>
  </r>
  <r>
    <x v="2324"/>
    <s v="CnE-663"/>
    <x v="0"/>
    <s v="Parado Alta Rap"/>
    <s v="Bombeo Mecánico"/>
    <x v="5"/>
    <s v="Barranca Baya Bloque 37"/>
    <x v="1"/>
    <s v="NO"/>
    <n v="0.48"/>
    <n v="0"/>
  </r>
  <r>
    <x v="2325"/>
    <s v="CnE-670"/>
    <x v="0"/>
    <s v="Produciendo"/>
    <s v="Inyección"/>
    <x v="1"/>
    <s v="Barranca Baya Bloque 37"/>
    <x v="0"/>
    <s v="NO"/>
    <n v="0"/>
    <n v="0"/>
  </r>
  <r>
    <x v="2326"/>
    <s v="CnE-675"/>
    <x v="0"/>
    <s v="Reserva Recuperación Secundaria"/>
    <s v="No Posee"/>
    <x v="4"/>
    <s v="Barranca Baya Bloque 38"/>
    <x v="0"/>
    <s v="NO"/>
    <n v="0.22900000000000001"/>
    <n v="0"/>
  </r>
  <r>
    <x v="2327"/>
    <s v="CnE-681"/>
    <x v="0"/>
    <s v="Produciendo"/>
    <s v="Bombeo Mecánico"/>
    <x v="1"/>
    <s v="Barranca Baya Bloque 36"/>
    <x v="0"/>
    <s v="NO"/>
    <n v="2"/>
    <n v="0"/>
  </r>
  <r>
    <x v="2328"/>
    <s v="CnE-720"/>
    <x v="0"/>
    <s v="Produciendo"/>
    <s v="Inyección"/>
    <x v="1"/>
    <s v="Barranca Baya Bloque 36"/>
    <x v="0"/>
    <s v="NO"/>
    <n v="0"/>
    <n v="0"/>
  </r>
  <r>
    <x v="2329"/>
    <s v="CnE-736"/>
    <x v="0"/>
    <s v="Produciendo"/>
    <s v="Pistoneo"/>
    <x v="1"/>
    <s v="Barranca Baya Bloque 36"/>
    <x v="0"/>
    <s v="NO"/>
    <n v="9.5000000000000001E-2"/>
    <n v="0"/>
  </r>
  <r>
    <x v="2330"/>
    <s v="CnE-781"/>
    <x v="0"/>
    <s v="Reserva Recuperación Secundaria"/>
    <s v="No Posee"/>
    <x v="4"/>
    <s v="Barranca Baya Bloque 37"/>
    <x v="0"/>
    <s v="NO"/>
    <n v="0.3"/>
    <n v="0"/>
  </r>
  <r>
    <x v="2331"/>
    <s v="CG-603a"/>
    <x v="0"/>
    <s v="Produciendo"/>
    <s v="Bombeo Mecánico"/>
    <x v="1"/>
    <s v="Cerro Grande Central"/>
    <x v="0"/>
    <s v="NO"/>
    <n v="0.54"/>
    <n v="0"/>
  </r>
  <r>
    <x v="2332"/>
    <s v="LH-1188"/>
    <x v="0"/>
    <s v="Parado Alta Rap"/>
    <s v="Bombeo Mecánico"/>
    <x v="5"/>
    <s v="Las Heras Central Sur"/>
    <x v="1"/>
    <s v="NO"/>
    <n v="0.56200000000000006"/>
    <n v="0"/>
  </r>
  <r>
    <x v="2333"/>
    <s v="LH-1193"/>
    <x v="0"/>
    <s v="Produciendo"/>
    <s v="Bombeo Mecánico"/>
    <x v="1"/>
    <s v="Las Heras Central Sur"/>
    <x v="0"/>
    <s v="NO"/>
    <n v="0.70000000000000007"/>
    <n v="0"/>
  </r>
  <r>
    <x v="2334"/>
    <s v="LH-1199"/>
    <x v="0"/>
    <s v="Produciendo"/>
    <s v="Pistoneo"/>
    <x v="1"/>
    <s v="Las Heras Central Sur"/>
    <x v="0"/>
    <s v="NO"/>
    <n v="0.192"/>
    <n v="0"/>
  </r>
  <r>
    <x v="2335"/>
    <s v="CG-724"/>
    <x v="0"/>
    <s v="Produciendo"/>
    <s v="Bombeo Mecánico"/>
    <x v="1"/>
    <s v="Cerro Grande Central"/>
    <x v="0"/>
    <s v="NO"/>
    <n v="1.129"/>
    <n v="0"/>
  </r>
  <r>
    <x v="2336"/>
    <s v="CnE-1142"/>
    <x v="0"/>
    <s v="Produciendo"/>
    <s v="Bombeo Mecánico"/>
    <x v="1"/>
    <s v="Barranca Baya Bloque 36"/>
    <x v="0"/>
    <s v="NO"/>
    <n v="1.68"/>
    <n v="0"/>
  </r>
  <r>
    <x v="2337"/>
    <s v="CnE-1245"/>
    <x v="0"/>
    <s v="Produciendo"/>
    <s v="Bombeo Mecánico"/>
    <x v="1"/>
    <s v="Barranca Baya Bloque 30"/>
    <x v="0"/>
    <s v="NO"/>
    <n v="4.9000000000000004"/>
    <n v="0"/>
  </r>
  <r>
    <x v="2338"/>
    <s v="CG-949"/>
    <x v="0"/>
    <s v="Produciendo"/>
    <s v="Pistoneo"/>
    <x v="1"/>
    <s v="Cerro Grande Central"/>
    <x v="0"/>
    <s v="NO"/>
    <n v="0.182"/>
    <n v="0"/>
  </r>
  <r>
    <x v="2339"/>
    <s v="CG-981a"/>
    <x v="0"/>
    <s v="Produciendo"/>
    <s v="Bombeo Mecánico"/>
    <x v="1"/>
    <s v="Cerro Grande Noreste"/>
    <x v="0"/>
    <s v="NO"/>
    <n v="3"/>
    <n v="0"/>
  </r>
  <r>
    <x v="2340"/>
    <s v="CnE-1463a"/>
    <x v="0"/>
    <s v="Produciendo"/>
    <s v="Bombeo Mecánico"/>
    <x v="1"/>
    <m/>
    <x v="0"/>
    <s v="NO"/>
    <n v="0.75"/>
    <n v="0"/>
  </r>
  <r>
    <x v="2341"/>
    <s v="CnE-1124"/>
    <x v="0"/>
    <s v="En Estudio"/>
    <s v="Bombeo Mecánico"/>
    <x v="5"/>
    <s v="Barranca Baya Bloque 36"/>
    <x v="1"/>
    <s v="NO"/>
    <n v="0.4"/>
    <n v="0"/>
  </r>
  <r>
    <x v="2342"/>
    <s v="CnE-1143"/>
    <x v="0"/>
    <s v="Produciendo"/>
    <s v="Bombeo Mecánico"/>
    <x v="1"/>
    <s v="Barranca Baya Bloque 36"/>
    <x v="0"/>
    <s v="NO"/>
    <n v="1.4950000000000001"/>
    <n v="0"/>
  </r>
  <r>
    <x v="2343"/>
    <s v="LH-1227"/>
    <x v="0"/>
    <s v="Produciendo"/>
    <s v="Bombeo Mecánico"/>
    <x v="1"/>
    <s v="Las Heras Cerro Grande Sur"/>
    <x v="0"/>
    <s v="NO"/>
    <n v="1.9000000000000001"/>
    <n v="0"/>
  </r>
  <r>
    <x v="2344"/>
    <s v="CnE-1252(d)"/>
    <x v="0"/>
    <s v="Produciendo"/>
    <s v="Bombeo Mecánico"/>
    <x v="1"/>
    <s v="Barranca Baya Bloque 40"/>
    <x v="0"/>
    <s v="NO"/>
    <n v="1.48"/>
    <n v="0"/>
  </r>
  <r>
    <x v="2345"/>
    <s v="BB.xp-183a"/>
    <x v="0"/>
    <s v="Abandono Permanente"/>
    <s v="No Posee"/>
    <x v="3"/>
    <s v="Barranca Baya"/>
    <x v="0"/>
    <s v="NO"/>
    <s v="NO"/>
    <s v="NO"/>
  </r>
  <r>
    <x v="2346"/>
    <s v="LH-1310"/>
    <x v="0"/>
    <s v="Produciendo"/>
    <s v="Bombeo Mecánico"/>
    <x v="1"/>
    <s v="Las Heras Bloque 2"/>
    <x v="0"/>
    <s v="NO"/>
    <n v="1.71"/>
    <n v="0"/>
  </r>
  <r>
    <x v="2347"/>
    <s v="BB-73"/>
    <x v="0"/>
    <s v="Abandono Permanente"/>
    <s v="No Posee"/>
    <x v="3"/>
    <s v="Barranca Baya"/>
    <x v="0"/>
    <s v="NO"/>
    <n v="0"/>
    <n v="0"/>
  </r>
  <r>
    <x v="2348"/>
    <s v="LH-92"/>
    <x v="0"/>
    <s v="Reserva Recuperación Secundaria"/>
    <s v="No Posee"/>
    <x v="4"/>
    <s v="Las Heras Central Sur"/>
    <x v="0"/>
    <s v="NO"/>
    <s v="NO"/>
    <s v="NO"/>
  </r>
  <r>
    <x v="2349"/>
    <s v="LH-125"/>
    <x v="0"/>
    <s v="Abandono Permanente"/>
    <s v="No Posee"/>
    <x v="3"/>
    <s v="Las Heras Las Heras Bloque 3"/>
    <x v="0"/>
    <s v="NO"/>
    <n v="0.108"/>
    <n v="0"/>
  </r>
  <r>
    <x v="2350"/>
    <s v="LH-296"/>
    <x v="0"/>
    <s v="Abandono Permanente"/>
    <s v="No Posee"/>
    <x v="3"/>
    <s v="Las Heras Central Sur"/>
    <x v="0"/>
    <s v="NO"/>
    <s v="NO"/>
    <s v="NO"/>
  </r>
  <r>
    <x v="2351"/>
    <s v="CnE-878a"/>
    <x v="0"/>
    <s v="Abandono Permanente"/>
    <s v="No Posee"/>
    <x v="3"/>
    <s v="Barranca Baya Bloque 36"/>
    <x v="0"/>
    <s v="NO"/>
    <n v="0.06"/>
    <n v="0"/>
  </r>
  <r>
    <x v="2352"/>
    <s v="LH-981a"/>
    <x v="0"/>
    <s v="Produciendo"/>
    <s v="Bombeo Mecánico"/>
    <x v="1"/>
    <s v="Las Heras Central Sur"/>
    <x v="0"/>
    <s v="NO"/>
    <n v="0.9"/>
    <n v="0"/>
  </r>
  <r>
    <x v="2353"/>
    <s v="CG-545a"/>
    <x v="0"/>
    <s v="Reserva Recuperación Secundaria"/>
    <s v="No Posee"/>
    <x v="4"/>
    <s v="Cerro Grande Central"/>
    <x v="0"/>
    <s v="NO"/>
    <n v="0.82000000000000006"/>
    <n v="0"/>
  </r>
  <r>
    <x v="2354"/>
    <s v="LH-1051a"/>
    <x v="0"/>
    <s v="Reserva Recuperación Secundaria"/>
    <s v="Pistoneo"/>
    <x v="4"/>
    <s v="Las Heras Bloque 2"/>
    <x v="0"/>
    <s v="NO"/>
    <n v="4.7E-2"/>
    <n v="0"/>
  </r>
  <r>
    <x v="2355"/>
    <s v="LH-1072a"/>
    <x v="0"/>
    <s v="Reserva Recuperación Secundaria"/>
    <s v="Bombeo Mecánico"/>
    <x v="4"/>
    <s v="Las Heras Central Sur"/>
    <x v="0"/>
    <s v="NO"/>
    <n v="0.375"/>
    <n v="0"/>
  </r>
  <r>
    <x v="2356"/>
    <s v="LH-1067a"/>
    <x v="0"/>
    <s v="Reserva Recuperación Secundaria"/>
    <s v="Pistoneo"/>
    <x v="4"/>
    <s v="Las Heras Central Sur"/>
    <x v="0"/>
    <s v="NO"/>
    <n v="3.2000000000000001E-2"/>
    <n v="0"/>
  </r>
  <r>
    <x v="2357"/>
    <s v="CG-554a"/>
    <x v="0"/>
    <s v="Reserva Recuperación Secundaria"/>
    <s v="Bombeo Mecánico"/>
    <x v="4"/>
    <s v="Cerro Grande Central"/>
    <x v="0"/>
    <s v="NO"/>
    <n v="0.09"/>
    <n v="0"/>
  </r>
  <r>
    <x v="2358"/>
    <s v="LH-1102a"/>
    <x v="0"/>
    <s v="Produciendo"/>
    <s v="Cavidad Progresiva"/>
    <x v="1"/>
    <s v="Las Heras Bloque 2"/>
    <x v="0"/>
    <s v="NO"/>
    <n v="0.51500000000000001"/>
    <n v="0"/>
  </r>
  <r>
    <x v="2359"/>
    <s v="CnE-937a"/>
    <x v="0"/>
    <s v="Espera Equipo Reparación"/>
    <s v="Cavidad Progresiva"/>
    <x v="5"/>
    <s v="Barranca Baya Bloque 30"/>
    <x v="1"/>
    <s v="NO"/>
    <n v="1.62"/>
    <n v="0"/>
  </r>
  <r>
    <x v="2360"/>
    <s v="CnE-1006"/>
    <x v="0"/>
    <s v="Produciendo"/>
    <s v="Bombeo Mecánico"/>
    <x v="1"/>
    <s v="Barranca Baya Bloque 30"/>
    <x v="0"/>
    <s v="NO"/>
    <n v="0.93"/>
    <n v="0"/>
  </r>
  <r>
    <x v="2361"/>
    <s v="CnE-1110"/>
    <x v="0"/>
    <s v="En Estudio"/>
    <s v="Bombeo Mecánico"/>
    <x v="5"/>
    <s v="Barranca Baya Bloque 40"/>
    <x v="1"/>
    <s v="NO"/>
    <n v="1.32"/>
    <n v="0"/>
  </r>
  <r>
    <x v="2362"/>
    <s v="CnE-1224(d)"/>
    <x v="0"/>
    <s v="En Estudio"/>
    <s v="Bombeo Mecánico"/>
    <x v="5"/>
    <s v="Barranca Baya Bloque 36"/>
    <x v="1"/>
    <s v="NO"/>
    <n v="0.66"/>
    <n v="0"/>
  </r>
  <r>
    <x v="2363"/>
    <s v="CG-880"/>
    <x v="0"/>
    <s v="Produciendo"/>
    <s v="Bombeo Mecánico"/>
    <x v="1"/>
    <s v="Cerro Grande Central"/>
    <x v="0"/>
    <s v="NO"/>
    <n v="0.90800000000000003"/>
    <n v="0"/>
  </r>
  <r>
    <x v="2364"/>
    <s v="BB-61"/>
    <x v="0"/>
    <s v="Produciendo"/>
    <s v="Bombeo Mecánico"/>
    <x v="1"/>
    <s v="Barranca Baya"/>
    <x v="0"/>
    <s v="NO"/>
    <n v="1.52"/>
    <n v="0"/>
  </r>
  <r>
    <x v="2365"/>
    <s v="CG-752"/>
    <x v="0"/>
    <s v="Produciendo"/>
    <s v="Bombeo Mecánico"/>
    <x v="1"/>
    <s v="Cerro Grande Central"/>
    <x v="0"/>
    <s v="NO"/>
    <n v="2.38"/>
    <n v="0"/>
  </r>
  <r>
    <x v="2366"/>
    <s v="CG-747"/>
    <x v="0"/>
    <s v="Produciendo"/>
    <s v="Bombeo Mecánico"/>
    <x v="1"/>
    <s v="Cerro Grande Central"/>
    <x v="0"/>
    <s v="NO"/>
    <n v="3.04"/>
    <n v="0"/>
  </r>
  <r>
    <x v="2367"/>
    <s v="CG-800"/>
    <x v="0"/>
    <s v="Reserva Recuperación Secundaria"/>
    <s v="Bombeo Mecánico"/>
    <x v="4"/>
    <s v="Barranca Baya Cerro Grande Norte"/>
    <x v="0"/>
    <s v="NO"/>
    <n v="0.18"/>
    <n v="0"/>
  </r>
  <r>
    <x v="2368"/>
    <s v="CG-834"/>
    <x v="0"/>
    <s v="Produciendo"/>
    <s v="Bombeo Mecánico"/>
    <x v="1"/>
    <s v="Cerro Grande Central"/>
    <x v="0"/>
    <s v="NO"/>
    <n v="1.95"/>
    <n v="0"/>
  </r>
  <r>
    <x v="2369"/>
    <s v="LH-1231"/>
    <x v="0"/>
    <s v="Produciendo"/>
    <s v="Bombeo Mecánico"/>
    <x v="1"/>
    <s v="Las Heras Central Sur"/>
    <x v="0"/>
    <s v="NO"/>
    <n v="1.3440000000000001"/>
    <n v="0"/>
  </r>
  <r>
    <x v="2370"/>
    <s v="CG-815"/>
    <x v="0"/>
    <s v="Produciendo"/>
    <s v="Bombeo Mecánico"/>
    <x v="1"/>
    <s v="Barranca Baya Cerro Grande Sur"/>
    <x v="0"/>
    <s v="NO"/>
    <n v="2.52"/>
    <n v="0"/>
  </r>
  <r>
    <x v="2371"/>
    <s v="CG-896"/>
    <x v="0"/>
    <s v="Produciendo"/>
    <s v="Bombeo Mecánico"/>
    <x v="1"/>
    <s v="Barranca Baya Bloque 26"/>
    <x v="0"/>
    <s v="NO"/>
    <n v="1.2"/>
    <n v="0"/>
  </r>
  <r>
    <x v="2372"/>
    <s v="CG-877"/>
    <x v="0"/>
    <s v="Produciendo"/>
    <s v="Pistoneo"/>
    <x v="1"/>
    <s v="Cerro Grande Central"/>
    <x v="0"/>
    <s v="NO"/>
    <n v="0.191"/>
    <n v="0"/>
  </r>
  <r>
    <x v="2373"/>
    <s v="CnE-1322a"/>
    <x v="0"/>
    <s v="Produciendo"/>
    <s v="Bombeo Mecánico"/>
    <x v="1"/>
    <s v="Barranca Baya Bloque 38"/>
    <x v="0"/>
    <s v="NO"/>
    <n v="1.5410000000000001"/>
    <n v="0"/>
  </r>
  <r>
    <x v="2374"/>
    <s v="BB-151"/>
    <x v="0"/>
    <s v="Produciendo"/>
    <s v="Bombeo Mecánico"/>
    <x v="1"/>
    <s v="Barranca Baya"/>
    <x v="0"/>
    <s v="NO"/>
    <n v="0.24"/>
    <n v="0"/>
  </r>
  <r>
    <x v="2375"/>
    <s v="LH-974a"/>
    <x v="0"/>
    <s v="Produciendo"/>
    <s v="Bombeo Mecánico"/>
    <x v="1"/>
    <s v="Las Heras Central Sur"/>
    <x v="0"/>
    <s v="NO"/>
    <n v="0.97500000000000009"/>
    <n v="0"/>
  </r>
  <r>
    <x v="2376"/>
    <s v="BB-106a"/>
    <x v="0"/>
    <s v="Produciendo"/>
    <s v="Bombeo Mecánico"/>
    <x v="1"/>
    <s v="Barranca Baya Bloque 36"/>
    <x v="0"/>
    <s v="NO"/>
    <n v="1.26"/>
    <n v="0"/>
  </r>
  <r>
    <x v="2377"/>
    <s v="BB-10"/>
    <x v="0"/>
    <s v="Produciendo"/>
    <s v="Pistoneo"/>
    <x v="1"/>
    <s v="Barranca Baya"/>
    <x v="0"/>
    <s v="NO"/>
    <n v="9.5000000000000001E-2"/>
    <n v="0"/>
  </r>
  <r>
    <x v="2378"/>
    <s v="LH-197"/>
    <x v="0"/>
    <s v="Abandono Permanente"/>
    <s v="No Posee"/>
    <x v="3"/>
    <s v="Las Heras Las Heras Bloque 3"/>
    <x v="0"/>
    <s v="NO"/>
    <n v="9.6000000000000002E-2"/>
    <n v="0"/>
  </r>
  <r>
    <x v="2379"/>
    <s v="CnE-862"/>
    <x v="0"/>
    <s v="Produciendo"/>
    <s v="Bombeo Mecánico"/>
    <x v="1"/>
    <s v="Barranca Baya Bloque 36"/>
    <x v="0"/>
    <s v="NO"/>
    <n v="2.94"/>
    <n v="0"/>
  </r>
  <r>
    <x v="2380"/>
    <s v="CG-152"/>
    <x v="0"/>
    <s v="Produciendo"/>
    <s v="Bombeo Mecánico"/>
    <x v="1"/>
    <s v="Barranca Baya Cerro Grande Norte"/>
    <x v="0"/>
    <s v="NO"/>
    <n v="1.56"/>
    <n v="0"/>
  </r>
  <r>
    <x v="2381"/>
    <s v="CnE-868"/>
    <x v="0"/>
    <s v="Produciendo"/>
    <s v="Pistoneo"/>
    <x v="1"/>
    <s v="Barranca Baya Bloque 36"/>
    <x v="0"/>
    <s v="NO"/>
    <n v="0.125"/>
    <n v="0"/>
  </r>
  <r>
    <x v="2382"/>
    <s v="CnE-870"/>
    <x v="0"/>
    <s v="Abandono Permanente"/>
    <s v="No Posee"/>
    <x v="3"/>
    <s v="Barranca Baya Bloque 36"/>
    <x v="0"/>
    <s v="NO"/>
    <s v="NO"/>
    <s v="NO"/>
  </r>
  <r>
    <x v="2383"/>
    <s v="CnE-882a"/>
    <x v="0"/>
    <s v="Produciendo"/>
    <s v="Bombeo Mecánico"/>
    <x v="1"/>
    <s v="Barranca Baya Bloque 36"/>
    <x v="0"/>
    <s v="NO"/>
    <n v="1.242"/>
    <n v="0"/>
  </r>
  <r>
    <x v="2384"/>
    <s v="LH-987a"/>
    <x v="0"/>
    <s v="Espera Equipo Reparación"/>
    <s v="Inyección"/>
    <x v="5"/>
    <s v="Las Heras Central Sur"/>
    <x v="1"/>
    <s v="NO"/>
    <n v="0"/>
    <n v="0"/>
  </r>
  <r>
    <x v="2385"/>
    <s v="CnE-1144"/>
    <x v="0"/>
    <s v="Reserva Recuperación Secundaria"/>
    <s v="Bombeo Mecánico"/>
    <x v="4"/>
    <s v="Barranca Baya Bloque 36"/>
    <x v="0"/>
    <s v="NO"/>
    <n v="0.3"/>
    <n v="0"/>
  </r>
  <r>
    <x v="2386"/>
    <s v="BB-128"/>
    <x v="0"/>
    <s v="Produciendo"/>
    <s v="Inyección"/>
    <x v="1"/>
    <s v="Barranca Baya"/>
    <x v="0"/>
    <s v="NO"/>
    <n v="0"/>
    <n v="0"/>
  </r>
  <r>
    <x v="2387"/>
    <s v="CnE-1199(d)"/>
    <x v="0"/>
    <s v="Produciendo"/>
    <s v="Pistoneo"/>
    <x v="1"/>
    <s v="Barranca Baya Bloque 37"/>
    <x v="0"/>
    <s v="NO"/>
    <n v="0.88200000000000001"/>
    <s v="Ultimos 6 meses"/>
  </r>
  <r>
    <x v="2388"/>
    <s v="LH-1242"/>
    <x v="0"/>
    <s v="Produciendo"/>
    <s v="Bombeo Mecánico"/>
    <x v="1"/>
    <s v="Las Heras Central Sur"/>
    <x v="0"/>
    <s v="NO"/>
    <n v="1.3120000000000001"/>
    <n v="0"/>
  </r>
  <r>
    <x v="2389"/>
    <s v="CG-868"/>
    <x v="0"/>
    <s v="Produciendo"/>
    <s v="Surgente por Casing"/>
    <x v="1"/>
    <s v="Barranca Baya Cerro Grande Noroeste"/>
    <x v="0"/>
    <s v="Oportunidad"/>
    <n v="0.31"/>
    <n v="0"/>
  </r>
  <r>
    <x v="2390"/>
    <s v="CnE-1315(d)"/>
    <x v="0"/>
    <s v="Produciendo"/>
    <s v="Bombeo Mecánico"/>
    <x v="1"/>
    <s v="Barranca Baya Bloque 40"/>
    <x v="0"/>
    <s v="NO"/>
    <n v="0.8"/>
    <n v="0"/>
  </r>
  <r>
    <x v="2391"/>
    <s v="CnE-1385"/>
    <x v="0"/>
    <s v="Produciendo"/>
    <s v="Bombeo Mecánico"/>
    <x v="1"/>
    <s v="Barranca Baya Bloque 30"/>
    <x v="0"/>
    <s v="NO"/>
    <n v="1.25"/>
    <n v="0"/>
  </r>
  <r>
    <x v="2392"/>
    <s v="CnE-1411"/>
    <x v="0"/>
    <s v="En Estudio"/>
    <s v="Bombeo Mecánico"/>
    <x v="5"/>
    <s v="Barranca Baya Bloque 37"/>
    <x v="1"/>
    <s v="NO"/>
    <n v="0.6"/>
    <n v="0"/>
  </r>
  <r>
    <x v="2393"/>
    <s v="LH-995a"/>
    <x v="0"/>
    <s v="Produciendo"/>
    <s v="Pistoneo"/>
    <x v="1"/>
    <s v="Las Heras Central Sur"/>
    <x v="0"/>
    <s v="NO"/>
    <n v="0.11900000000000001"/>
    <n v="0"/>
  </r>
  <r>
    <x v="2394"/>
    <s v="LH-999a"/>
    <x v="0"/>
    <s v="Produciendo"/>
    <s v="Inyección"/>
    <x v="1"/>
    <s v="Las Heras Central Sur"/>
    <x v="0"/>
    <s v="NO"/>
    <n v="0"/>
    <n v="0"/>
  </r>
  <r>
    <x v="2395"/>
    <s v="LH-1042a"/>
    <x v="0"/>
    <s v="Reserva Recuperación Secundaria"/>
    <s v="No Posee"/>
    <x v="4"/>
    <s v="Las Heras Central Sur"/>
    <x v="0"/>
    <s v="NO"/>
    <n v="0.54"/>
    <n v="0"/>
  </r>
  <r>
    <x v="2396"/>
    <s v="LH-1035a"/>
    <x v="0"/>
    <s v="Espera Equipo Reparación"/>
    <s v="Inyección"/>
    <x v="5"/>
    <s v="Las Heras Las Heras Bloque 3"/>
    <x v="1"/>
    <s v="NO"/>
    <n v="0"/>
    <n v="0"/>
  </r>
  <r>
    <x v="2397"/>
    <s v="CnE-911a"/>
    <x v="0"/>
    <s v="Produciendo"/>
    <s v="Bombeo Mecánico"/>
    <x v="1"/>
    <s v="Barranca Baya Bloque 30"/>
    <x v="0"/>
    <s v="NO"/>
    <n v="2.7"/>
    <n v="0"/>
  </r>
  <r>
    <x v="2398"/>
    <s v="LH-1090a"/>
    <x v="0"/>
    <s v="Abandono Permanente"/>
    <s v="No Posee"/>
    <x v="3"/>
    <s v="Las Heras Las Heras Bloque 3"/>
    <x v="0"/>
    <s v="NO"/>
    <n v="0.03"/>
    <n v="0"/>
  </r>
  <r>
    <x v="2399"/>
    <s v="LH-1a"/>
    <x v="0"/>
    <s v="En Proyecto"/>
    <s v="No Posee"/>
    <x v="4"/>
    <s v="Las Heras Central Sur"/>
    <x v="0"/>
    <s v="NO"/>
    <s v="NO"/>
    <s v="NO"/>
  </r>
  <r>
    <x v="2400"/>
    <s v="LH-1122a"/>
    <x v="0"/>
    <s v="Reserva Recuperación Secundaria"/>
    <s v="Bombeo Mecánico"/>
    <x v="4"/>
    <s v="Las Heras Central Sur"/>
    <x v="0"/>
    <s v="NO"/>
    <n v="0.6"/>
    <n v="0"/>
  </r>
  <r>
    <x v="2401"/>
    <s v="LH-77"/>
    <x v="0"/>
    <s v="Produciendo"/>
    <s v="Bombeo Mecánico"/>
    <x v="1"/>
    <s v="Las Heras Cerro Grande Sur"/>
    <x v="0"/>
    <s v="NO"/>
    <n v="1.5"/>
    <n v="0"/>
  </r>
  <r>
    <x v="2402"/>
    <s v="LH-267"/>
    <x v="0"/>
    <s v="Produciendo"/>
    <s v="Cavidad Progresiva"/>
    <x v="1"/>
    <s v="Las Heras Central Sur"/>
    <x v="0"/>
    <s v="NO"/>
    <n v="1.1120000000000001"/>
    <n v="0"/>
  </r>
  <r>
    <x v="2403"/>
    <s v="LH-282"/>
    <x v="0"/>
    <s v="Produciendo"/>
    <s v="Bombeo Mecánico"/>
    <x v="1"/>
    <s v="Las Heras Central Sur"/>
    <x v="0"/>
    <s v="NO"/>
    <n v="1.645"/>
    <n v="0"/>
  </r>
  <r>
    <x v="2404"/>
    <s v="LH-292"/>
    <x v="0"/>
    <s v="Produciendo"/>
    <s v="Cavidad Progresiva"/>
    <x v="1"/>
    <s v="Las Heras Central Sur"/>
    <x v="0"/>
    <s v="NO"/>
    <n v="0.114"/>
    <n v="0"/>
  </r>
  <r>
    <x v="2405"/>
    <s v="LH-542"/>
    <x v="0"/>
    <s v="Abandono Permanente"/>
    <s v="No Posee"/>
    <x v="3"/>
    <s v="Las Heras Central Sur"/>
    <x v="0"/>
    <s v="NO"/>
    <n v="1.5000000000000001E-2"/>
    <n v="0"/>
  </r>
  <r>
    <x v="2406"/>
    <s v="LH-568"/>
    <x v="0"/>
    <s v="Produciendo"/>
    <s v="Pistoneo"/>
    <x v="1"/>
    <s v="Las Heras Central Sur"/>
    <x v="0"/>
    <s v="NO"/>
    <n v="0.10400000000000001"/>
    <n v="0"/>
  </r>
  <r>
    <x v="2407"/>
    <s v="LH-626"/>
    <x v="0"/>
    <s v="Reserva Recuperación Secundaria"/>
    <s v="Pistoneo"/>
    <x v="4"/>
    <s v="Las Heras Central Sur"/>
    <x v="0"/>
    <s v="NO"/>
    <n v="5.5E-2"/>
    <n v="0"/>
  </r>
  <r>
    <x v="2408"/>
    <s v="LH-687"/>
    <x v="0"/>
    <s v="Reserva Recuperación Secundaria"/>
    <s v="Pistoneo"/>
    <x v="4"/>
    <s v="Las Heras Central Sur"/>
    <x v="0"/>
    <s v="NO"/>
    <n v="0.17900000000000002"/>
    <n v="0"/>
  </r>
  <r>
    <x v="2409"/>
    <s v="LH-693"/>
    <x v="0"/>
    <s v="Produciendo"/>
    <s v="Inyección"/>
    <x v="1"/>
    <s v="Las Heras Cerro Grande Sur"/>
    <x v="0"/>
    <s v="NO"/>
    <n v="0"/>
    <n v="0"/>
  </r>
  <r>
    <x v="2410"/>
    <s v="LH-716"/>
    <x v="0"/>
    <s v="Produciendo"/>
    <s v="Bombeo Mecánico"/>
    <x v="1"/>
    <s v="Las Heras Central Sur"/>
    <x v="0"/>
    <s v="NO"/>
    <n v="0.13700000000000001"/>
    <n v="0"/>
  </r>
  <r>
    <x v="2411"/>
    <s v="LH-752"/>
    <x v="0"/>
    <s v="Abandono Permanente"/>
    <s v="No Posee"/>
    <x v="3"/>
    <s v="Las Heras Central Sur"/>
    <x v="0"/>
    <s v="NO"/>
    <n v="0"/>
    <n v="0"/>
  </r>
  <r>
    <x v="2412"/>
    <s v="LH-753"/>
    <x v="0"/>
    <s v="Espera Equipo Reparación"/>
    <s v="Bombeo Mecánico"/>
    <x v="5"/>
    <s v="Las Heras Central Sur"/>
    <x v="1"/>
    <s v="NO"/>
    <n v="0.40600000000000003"/>
    <n v="0"/>
  </r>
  <r>
    <x v="2413"/>
    <s v="LH-808"/>
    <x v="0"/>
    <s v="Produciendo"/>
    <s v="Cavidad Progresiva"/>
    <x v="1"/>
    <s v="Las Heras Central Sur"/>
    <x v="0"/>
    <s v="NO"/>
    <n v="0.69600000000000006"/>
    <n v="0"/>
  </r>
  <r>
    <x v="2414"/>
    <s v="BB-48"/>
    <x v="0"/>
    <s v="En Estudio"/>
    <s v="Bombeo Mecánico"/>
    <x v="5"/>
    <s v="Barranca Baya"/>
    <x v="1"/>
    <s v="NO"/>
    <n v="0.5"/>
    <n v="0"/>
  </r>
  <r>
    <x v="2415"/>
    <s v="LH-966"/>
    <x v="0"/>
    <s v="Produciendo"/>
    <s v="Bombeo Mecánico"/>
    <x v="1"/>
    <s v="Las Heras Bloque 2"/>
    <x v="0"/>
    <s v="NO"/>
    <n v="0.84"/>
    <n v="0"/>
  </r>
  <r>
    <x v="2416"/>
    <s v="BB-66"/>
    <x v="0"/>
    <s v="Abandono Permanente"/>
    <s v="No Posee"/>
    <x v="3"/>
    <s v="Barranca Baya"/>
    <x v="0"/>
    <s v="NO"/>
    <s v="NO"/>
    <s v="NO"/>
  </r>
  <r>
    <x v="2417"/>
    <s v="CnE-3"/>
    <x v="0"/>
    <s v="Abandono Permanente"/>
    <s v="No Posee"/>
    <x v="3"/>
    <s v="Barranca Baya Bloque 40"/>
    <x v="0"/>
    <s v="NO"/>
    <s v="NO"/>
    <s v="NO"/>
  </r>
  <r>
    <x v="2418"/>
    <s v="CnE-10"/>
    <x v="0"/>
    <s v="Abandono Permanente"/>
    <s v="No Posee"/>
    <x v="3"/>
    <s v="Barranca Baya Bloque 40"/>
    <x v="0"/>
    <s v="NO"/>
    <s v="NO"/>
    <s v="NO"/>
  </r>
  <r>
    <x v="2419"/>
    <s v="CnE-95"/>
    <x v="0"/>
    <s v="Produciendo"/>
    <s v="Bombeo Mecánico"/>
    <x v="1"/>
    <s v="Barranca Baya Bloque 30"/>
    <x v="0"/>
    <s v="NO"/>
    <n v="1.2"/>
    <n v="0"/>
  </r>
  <r>
    <x v="2420"/>
    <s v="CnE-195"/>
    <x v="0"/>
    <s v="Reserva Recuperación Secundaria"/>
    <s v="No Posee"/>
    <x v="4"/>
    <s v="Barranca Baya Bloque 30"/>
    <x v="0"/>
    <s v="NO"/>
    <n v="0.437"/>
    <n v="0"/>
  </r>
  <r>
    <x v="2421"/>
    <s v="LH-10"/>
    <x v="0"/>
    <s v="Reserva Recuperación Secundaria"/>
    <s v="Pistoneo"/>
    <x v="4"/>
    <s v="Las Heras Central Sur"/>
    <x v="0"/>
    <s v="NO"/>
    <n v="0.52500000000000002"/>
    <n v="0"/>
  </r>
  <r>
    <x v="2422"/>
    <s v="CnE-339"/>
    <x v="0"/>
    <s v="Produciendo"/>
    <s v="Bombeo Mecánico"/>
    <x v="1"/>
    <s v="Barranca Baya Bloque 36"/>
    <x v="0"/>
    <s v="NO"/>
    <n v="0.252"/>
    <n v="0"/>
  </r>
  <r>
    <x v="2423"/>
    <s v="LH-115"/>
    <x v="0"/>
    <s v="Produciendo"/>
    <s v="Bombeo Mecánico"/>
    <x v="1"/>
    <s v="Las Heras Las Heras Bloque 3"/>
    <x v="0"/>
    <s v="NO"/>
    <n v="0.51"/>
    <n v="0"/>
  </r>
  <r>
    <x v="2424"/>
    <s v="LH-257"/>
    <x v="0"/>
    <s v="Abandono Permanente"/>
    <s v="No Posee"/>
    <x v="3"/>
    <s v="Las Heras Bloque 2"/>
    <x v="0"/>
    <s v="NO"/>
    <s v="NO"/>
    <s v="NO"/>
  </r>
  <r>
    <x v="2425"/>
    <s v="CG-125"/>
    <x v="0"/>
    <s v="Espera Equipo Reparación"/>
    <s v="Bombeo Mecánico"/>
    <x v="5"/>
    <s v="Cerro Grande Central"/>
    <x v="1"/>
    <s v="NO"/>
    <n v="1.35"/>
    <n v="0"/>
  </r>
  <r>
    <x v="2426"/>
    <s v="CG.a-624"/>
    <x v="0"/>
    <s v="Produciendo"/>
    <s v="Bombeo Mecánico"/>
    <x v="1"/>
    <s v="Cerro Grande Central"/>
    <x v="0"/>
    <s v="NO"/>
    <n v="2.2400000000000002"/>
    <n v="0"/>
  </r>
  <r>
    <x v="2427"/>
    <s v="LH-1182"/>
    <x v="0"/>
    <s v="Produciendo"/>
    <s v="Bombeo Mecánico"/>
    <x v="1"/>
    <s v="Las Heras Central Sur"/>
    <x v="0"/>
    <s v="NO"/>
    <n v="0.93600000000000005"/>
    <n v="0"/>
  </r>
  <r>
    <x v="2428"/>
    <s v="CG-622"/>
    <x v="0"/>
    <s v="Produciendo"/>
    <s v="Pistoneo"/>
    <x v="1"/>
    <s v="Cerro Grande Central"/>
    <x v="0"/>
    <s v="NO"/>
    <n v="0.182"/>
    <n v="0"/>
  </r>
  <r>
    <x v="2429"/>
    <s v="LH-1176"/>
    <x v="0"/>
    <s v="Produciendo"/>
    <s v="Inyección"/>
    <x v="1"/>
    <s v="Las Heras Central Sur"/>
    <x v="0"/>
    <s v="NO"/>
    <n v="0"/>
    <n v="0"/>
  </r>
  <r>
    <x v="2430"/>
    <s v="CG-648"/>
    <x v="0"/>
    <s v="Produciendo"/>
    <s v="Bombeo Mecánico"/>
    <x v="1"/>
    <s v="Cerro Grande Central"/>
    <x v="0"/>
    <s v="NO"/>
    <n v="0.97600000000000009"/>
    <n v="0"/>
  </r>
  <r>
    <x v="2431"/>
    <s v="LH-1194"/>
    <x v="0"/>
    <s v="Produciendo"/>
    <s v="Bombeo Mecánico"/>
    <x v="1"/>
    <s v="Las Heras Central Sur"/>
    <x v="0"/>
    <s v="NO"/>
    <n v="0.89700000000000002"/>
    <n v="0"/>
  </r>
  <r>
    <x v="2432"/>
    <s v="CG-709"/>
    <x v="0"/>
    <s v="Produciendo"/>
    <s v="Bombeo Mecánico"/>
    <x v="1"/>
    <s v="Barranca Baya Cerro Grande Norte"/>
    <x v="0"/>
    <s v="NO"/>
    <n v="2.52"/>
    <n v="0"/>
  </r>
  <r>
    <x v="2433"/>
    <s v="CnE-1088"/>
    <x v="0"/>
    <s v="Produciendo"/>
    <s v="Bombeo Mecánico"/>
    <x v="1"/>
    <s v="Barranca Baya Bloque 38"/>
    <x v="0"/>
    <s v="NO"/>
    <n v="1.5750000000000002"/>
    <n v="0"/>
  </r>
  <r>
    <x v="2434"/>
    <s v="LH-1129"/>
    <x v="0"/>
    <s v="Produciendo"/>
    <s v="Bombeo Mecánico"/>
    <x v="1"/>
    <s v="Las Heras Las Heras Bloque 3"/>
    <x v="0"/>
    <s v="NO"/>
    <n v="0.35400000000000004"/>
    <n v="0"/>
  </r>
  <r>
    <x v="2435"/>
    <s v="LH-1062a"/>
    <x v="0"/>
    <s v="Abandono Permanente"/>
    <s v="No Posee"/>
    <x v="3"/>
    <s v="Las Heras Central Sur"/>
    <x v="0"/>
    <s v="NO"/>
    <s v="NO"/>
    <s v="NO"/>
  </r>
  <r>
    <x v="2436"/>
    <s v="CnE-908a"/>
    <x v="0"/>
    <s v="Produciendo"/>
    <s v="Bombeo Mecánico"/>
    <x v="1"/>
    <s v="Barranca Baya Bloque 30"/>
    <x v="0"/>
    <s v="NO"/>
    <n v="2.8860000000000001"/>
    <n v="0"/>
  </r>
  <r>
    <x v="2437"/>
    <s v="CnE-917a"/>
    <x v="0"/>
    <s v="Produciendo"/>
    <s v="Bombeo Mecánico"/>
    <x v="1"/>
    <s v="Barranca Baya Bloque 30"/>
    <x v="0"/>
    <s v="NO"/>
    <n v="0.66"/>
    <n v="0"/>
  </r>
  <r>
    <x v="2438"/>
    <s v="CG-566a"/>
    <x v="0"/>
    <s v="Produciendo"/>
    <s v="Inyección"/>
    <x v="1"/>
    <s v="Cerro Grande Central"/>
    <x v="0"/>
    <s v="NO"/>
    <n v="0"/>
    <n v="0"/>
  </r>
  <r>
    <x v="2439"/>
    <s v="CnE-949a"/>
    <x v="0"/>
    <s v="Espera Equipo Reparación"/>
    <s v="No Posee"/>
    <x v="4"/>
    <s v="Barranca Baya Bloque 30"/>
    <x v="0"/>
    <s v="NO"/>
    <n v="0"/>
    <n v="0"/>
  </r>
  <r>
    <x v="2440"/>
    <s v="CG-628"/>
    <x v="0"/>
    <s v="Produciendo"/>
    <s v="Bombeo Mecánico"/>
    <x v="1"/>
    <s v="Cerro Grande Central"/>
    <x v="0"/>
    <s v="NO"/>
    <n v="2"/>
    <n v="0"/>
  </r>
  <r>
    <x v="2441"/>
    <s v="CG-632"/>
    <x v="0"/>
    <s v="Produciendo"/>
    <s v="Bombeo Mecánico"/>
    <x v="1"/>
    <s v="Cerro Grande Central"/>
    <x v="0"/>
    <s v="NO"/>
    <n v="1.0920000000000001"/>
    <n v="0"/>
  </r>
  <r>
    <x v="2442"/>
    <s v="CG-638"/>
    <x v="0"/>
    <s v="Produciendo"/>
    <s v="Bombeo Mecánico"/>
    <x v="1"/>
    <s v="Cerro Grande Central"/>
    <x v="0"/>
    <s v="NO"/>
    <n v="0.72400000000000009"/>
    <n v="0"/>
  </r>
  <r>
    <x v="2443"/>
    <s v="CG-714"/>
    <x v="0"/>
    <s v="Produciendo"/>
    <s v="Bombeo Mecánico"/>
    <x v="1"/>
    <s v="Cerro Grande Central"/>
    <x v="0"/>
    <s v="NO"/>
    <n v="4.4000000000000004"/>
    <n v="0"/>
  </r>
  <r>
    <x v="2444"/>
    <s v="CnE-1055"/>
    <x v="0"/>
    <s v="Produciendo"/>
    <s v="Electro Sumergible"/>
    <x v="1"/>
    <s v="Barranca Baya Bloque 30"/>
    <x v="0"/>
    <s v="NO"/>
    <n v="1.17"/>
    <n v="0"/>
  </r>
  <r>
    <x v="2445"/>
    <s v="CnE-1063"/>
    <x v="0"/>
    <s v="Produciendo"/>
    <s v="Inyección"/>
    <x v="1"/>
    <s v="Barranca Baya Bloque 30"/>
    <x v="0"/>
    <s v="NO"/>
    <n v="0"/>
    <n v="0"/>
  </r>
  <r>
    <x v="2446"/>
    <s v="CnE-966"/>
    <x v="0"/>
    <s v="Produciendo"/>
    <s v="Bombeo Mecánico"/>
    <x v="1"/>
    <s v="Barranca Baya Bloque 36"/>
    <x v="0"/>
    <s v="NO"/>
    <n v="1.54"/>
    <n v="0"/>
  </r>
  <r>
    <x v="2447"/>
    <s v="CG-630"/>
    <x v="0"/>
    <s v="Produciendo"/>
    <s v="Inyección"/>
    <x v="1"/>
    <s v="Cerro Grande Central"/>
    <x v="0"/>
    <s v="NO"/>
    <n v="0"/>
    <n v="0"/>
  </r>
  <r>
    <x v="2448"/>
    <s v="CG-686"/>
    <x v="0"/>
    <s v="Produciendo"/>
    <s v="Bombeo Mecánico"/>
    <x v="1"/>
    <s v="Cerro Grande Central"/>
    <x v="0"/>
    <s v="NO"/>
    <n v="0.77"/>
    <n v="0"/>
  </r>
  <r>
    <x v="2449"/>
    <s v="CG-685"/>
    <x v="0"/>
    <s v="Produciendo"/>
    <s v="Bombeo Mecánico"/>
    <x v="1"/>
    <s v="Cerro Grande Central"/>
    <x v="0"/>
    <s v="NO"/>
    <n v="1.32"/>
    <n v="0"/>
  </r>
  <r>
    <x v="2450"/>
    <s v="CG-711"/>
    <x v="0"/>
    <s v="Produciendo"/>
    <s v="Bombeo Mecánico"/>
    <x v="1"/>
    <s v="Cerro Grande Central"/>
    <x v="0"/>
    <s v="NO"/>
    <n v="0.72799999999999998"/>
    <n v="0"/>
  </r>
  <r>
    <x v="2451"/>
    <s v="CnE-1058"/>
    <x v="0"/>
    <s v="Produciendo"/>
    <s v="Bombeo Mecánico"/>
    <x v="1"/>
    <s v="Barranca Baya Bloque 30"/>
    <x v="0"/>
    <s v="NO"/>
    <n v="6.8900000000000006"/>
    <n v="0"/>
  </r>
  <r>
    <x v="2452"/>
    <s v="LH-1205"/>
    <x v="0"/>
    <s v="Produciendo"/>
    <s v="Bombeo Mecánico"/>
    <x v="1"/>
    <s v="Las Heras Central Sur"/>
    <x v="0"/>
    <s v="NO"/>
    <n v="0.56000000000000005"/>
    <n v="0"/>
  </r>
  <r>
    <x v="2453"/>
    <s v="LH-1204"/>
    <x v="0"/>
    <s v="Reserva Recuperación Secundaria"/>
    <s v="Bombeo Mecánico"/>
    <x v="4"/>
    <s v="Las Heras Central Sur"/>
    <x v="0"/>
    <s v="NO"/>
    <n v="0.38"/>
    <n v="0"/>
  </r>
  <r>
    <x v="2454"/>
    <s v="CG-802"/>
    <x v="0"/>
    <s v="Produciendo"/>
    <s v="Bombeo Mecánico"/>
    <x v="1"/>
    <s v="Barranca Baya Cerro Grande Noroeste"/>
    <x v="0"/>
    <s v="NO"/>
    <n v="0.98"/>
    <n v="0"/>
  </r>
  <r>
    <x v="2455"/>
    <s v="CnE-1121"/>
    <x v="0"/>
    <s v="Produciendo"/>
    <s v="Bombeo Mecánico"/>
    <x v="1"/>
    <s v="Barranca Baya Bloque 36"/>
    <x v="0"/>
    <s v="NO"/>
    <n v="0.46200000000000002"/>
    <n v="0"/>
  </r>
  <r>
    <x v="2456"/>
    <s v="CnE-1213"/>
    <x v="0"/>
    <s v="Produciendo"/>
    <s v="Bombeo Mecánico"/>
    <x v="1"/>
    <s v="Barranca Baya Bloque 30"/>
    <x v="0"/>
    <s v="NO"/>
    <n v="2.4"/>
    <n v="0"/>
  </r>
  <r>
    <x v="2457"/>
    <s v="CnE-1192"/>
    <x v="0"/>
    <s v="Parado Alta Rap"/>
    <s v="Bombeo Mecánico"/>
    <x v="5"/>
    <s v="Barranca Baya Bloque 38"/>
    <x v="1"/>
    <s v="NO"/>
    <n v="0.2"/>
    <n v="0"/>
  </r>
  <r>
    <x v="2458"/>
    <s v="CnE-1206"/>
    <x v="0"/>
    <s v="Espera Equipo Reparación"/>
    <s v="Bombeo Mecánico"/>
    <x v="0"/>
    <s v="Barranca Baya Bloque 30"/>
    <x v="0"/>
    <s v="NO"/>
    <n v="0.65"/>
    <s v="Ultimos 6 meses"/>
  </r>
  <r>
    <x v="2459"/>
    <s v="LH-1233"/>
    <x v="0"/>
    <s v="Produciendo"/>
    <s v="Bombeo Mecánico"/>
    <x v="1"/>
    <s v="Las Heras Bloque 2"/>
    <x v="0"/>
    <s v="NO"/>
    <n v="0.66"/>
    <n v="0"/>
  </r>
  <r>
    <x v="2460"/>
    <s v="CG-943"/>
    <x v="0"/>
    <s v="Produciendo"/>
    <s v="Bombeo Mecánico"/>
    <x v="1"/>
    <s v="Cerro Grande Central"/>
    <x v="0"/>
    <s v="NO"/>
    <n v="1.248"/>
    <n v="0"/>
  </r>
  <r>
    <x v="2461"/>
    <s v="LH-862"/>
    <x v="0"/>
    <s v="Reserva Recuperación Secundaria"/>
    <s v="Pistoneo"/>
    <x v="4"/>
    <s v="Las Heras Bloque 2"/>
    <x v="0"/>
    <s v="NO"/>
    <n v="9.7000000000000003E-2"/>
    <n v="0"/>
  </r>
  <r>
    <x v="2462"/>
    <s v="LH-871"/>
    <x v="0"/>
    <s v="Produciendo"/>
    <s v="Pistoneo"/>
    <x v="1"/>
    <s v="Las Heras Bloque 2"/>
    <x v="0"/>
    <s v="NO"/>
    <n v="0.10400000000000001"/>
    <n v="0"/>
  </r>
  <r>
    <x v="2463"/>
    <s v="CG-118"/>
    <x v="0"/>
    <s v="Espera Equipo Reparación"/>
    <s v="Bombeo Mecánico"/>
    <x v="5"/>
    <s v="Barranca Baya Bloque 26"/>
    <x v="1"/>
    <s v="NO"/>
    <n v="1.6"/>
    <n v="0"/>
  </r>
  <r>
    <x v="2464"/>
    <s v="CG-313"/>
    <x v="0"/>
    <s v="Produciendo"/>
    <s v="Bombeo Mecánico"/>
    <x v="1"/>
    <s v="Barranca Baya Cerro Grande Norte"/>
    <x v="0"/>
    <s v="NO"/>
    <n v="2.16"/>
    <n v="0"/>
  </r>
  <r>
    <x v="2465"/>
    <s v="CG-362"/>
    <x v="0"/>
    <s v="Produciendo"/>
    <s v="Pistoneo"/>
    <x v="1"/>
    <s v="Cerro Grande Central"/>
    <x v="0"/>
    <s v="NO"/>
    <n v="0.10400000000000001"/>
    <n v="0"/>
  </r>
  <r>
    <x v="2466"/>
    <s v="CG-388"/>
    <x v="0"/>
    <s v="Reserva Recuperación Secundaria"/>
    <s v="Pistoneo"/>
    <x v="4"/>
    <s v="Cerro Grande Central"/>
    <x v="0"/>
    <s v="NO"/>
    <n v="0.14500000000000002"/>
    <n v="0"/>
  </r>
  <r>
    <x v="2467"/>
    <s v="CG-402"/>
    <x v="0"/>
    <s v="Reserva Recuperación Secundaria"/>
    <s v="No Posee"/>
    <x v="4"/>
    <s v="Cerro Grande Central"/>
    <x v="0"/>
    <s v="NO"/>
    <n v="1.032"/>
    <n v="0"/>
  </r>
  <r>
    <x v="2468"/>
    <s v="CG-417"/>
    <x v="0"/>
    <s v="Abandono Permanente"/>
    <s v="No Posee"/>
    <x v="3"/>
    <s v="Barranca Baya Cerro Grande Norte"/>
    <x v="0"/>
    <s v="NO"/>
    <s v="NO"/>
    <s v="NO"/>
  </r>
  <r>
    <x v="2469"/>
    <s v="LC-120"/>
    <x v="0"/>
    <s v="Reserva Recuperación Secundaria"/>
    <s v="Pistoneo"/>
    <x v="4"/>
    <s v="Lomas del Cuy- Cerro Grande Noroeste"/>
    <x v="0"/>
    <s v="NO"/>
    <n v="0"/>
    <n v="0"/>
  </r>
  <r>
    <x v="2470"/>
    <s v="N-19"/>
    <x v="0"/>
    <s v="Abandono Permanente"/>
    <s v="No Posee"/>
    <x v="3"/>
    <s v="Las Heras Las Heras Bloque 3"/>
    <x v="0"/>
    <s v="NO"/>
    <n v="0.05"/>
    <n v="0"/>
  </r>
  <r>
    <x v="2471"/>
    <s v="CnE-146"/>
    <x v="0"/>
    <s v="Produciendo"/>
    <s v="Inyección"/>
    <x v="1"/>
    <s v="Barranca Baya Bloque 40"/>
    <x v="0"/>
    <s v="NO"/>
    <n v="0"/>
    <n v="0"/>
  </r>
  <r>
    <x v="2472"/>
    <s v="CnE-227"/>
    <x v="0"/>
    <s v="Abandono Permanente"/>
    <s v="No Posee"/>
    <x v="3"/>
    <s v="Barranca Baya Bloque 38"/>
    <x v="0"/>
    <s v="NO"/>
    <n v="0"/>
    <n v="0"/>
  </r>
  <r>
    <x v="2473"/>
    <s v="CnE-232"/>
    <x v="0"/>
    <s v="En Estudio"/>
    <s v="Inyección"/>
    <x v="5"/>
    <s v="Barranca Baya Bloque 30"/>
    <x v="1"/>
    <s v="NO"/>
    <n v="0"/>
    <n v="0"/>
  </r>
  <r>
    <x v="2474"/>
    <s v="CnE-278"/>
    <x v="0"/>
    <s v="Produciendo"/>
    <s v="Inyección"/>
    <x v="1"/>
    <s v="Barranca Baya Bloque 30"/>
    <x v="0"/>
    <s v="NO"/>
    <n v="0"/>
    <n v="0"/>
  </r>
  <r>
    <x v="2475"/>
    <s v="CnE-413"/>
    <x v="0"/>
    <s v="Reserva Recuperación Secundaria"/>
    <s v="No Posee"/>
    <x v="4"/>
    <s v="Barranca Baya Bloque 36"/>
    <x v="0"/>
    <s v="NO"/>
    <n v="0"/>
    <n v="0"/>
  </r>
  <r>
    <x v="2476"/>
    <s v="CnE-498"/>
    <x v="0"/>
    <s v="En Estudio"/>
    <s v="Bombeo Mecánico"/>
    <x v="5"/>
    <s v="Barranca Baya Bloque 37"/>
    <x v="1"/>
    <s v="NO"/>
    <n v="1.44"/>
    <n v="0"/>
  </r>
  <r>
    <x v="2477"/>
    <s v="CnE-568"/>
    <x v="0"/>
    <s v="Reserva Recuperación Secundaria"/>
    <s v="No Posee"/>
    <x v="4"/>
    <s v="Barranca Baya Bloque 40"/>
    <x v="0"/>
    <s v="NO"/>
    <n v="0"/>
    <n v="0"/>
  </r>
  <r>
    <x v="2478"/>
    <s v="CnE-642"/>
    <x v="0"/>
    <s v="Produciendo"/>
    <s v="Inyección"/>
    <x v="1"/>
    <s v="Barranca Baya"/>
    <x v="0"/>
    <s v="NO"/>
    <n v="0"/>
    <n v="0"/>
  </r>
  <r>
    <x v="2479"/>
    <s v="CnE-669"/>
    <x v="0"/>
    <s v="Produciendo"/>
    <s v="Bombeo Mecánico"/>
    <x v="1"/>
    <s v="Barranca Baya Bloque 37"/>
    <x v="0"/>
    <s v="NO"/>
    <n v="0.28600000000000003"/>
    <n v="0"/>
  </r>
  <r>
    <x v="2480"/>
    <s v="CnE-724"/>
    <x v="0"/>
    <s v="En Estudio"/>
    <s v="Inyección"/>
    <x v="5"/>
    <s v="Barranca Baya Bloque 37"/>
    <x v="1"/>
    <s v="NO"/>
    <n v="0"/>
    <n v="0"/>
  </r>
  <r>
    <x v="2481"/>
    <s v="BB-89"/>
    <x v="0"/>
    <s v="Espera Equipo Reparación"/>
    <s v="Bombeo Mecánico"/>
    <x v="5"/>
    <s v="Barranca Baya"/>
    <x v="1"/>
    <s v="NO"/>
    <n v="0.8"/>
    <n v="0"/>
  </r>
  <r>
    <x v="2482"/>
    <s v="LH-73"/>
    <x v="0"/>
    <s v="Abandono Permanente"/>
    <s v="No Posee"/>
    <x v="3"/>
    <s v="Las Heras Las Heras Bloque 3"/>
    <x v="0"/>
    <s v="NO"/>
    <n v="5.9850000000000003"/>
    <n v="0"/>
  </r>
  <r>
    <x v="2483"/>
    <s v="LH-118"/>
    <x v="0"/>
    <s v="Reserva Recuperación Secundaria"/>
    <s v="Inyección"/>
    <x v="4"/>
    <s v="Las Heras Las Heras Bloque 3"/>
    <x v="0"/>
    <s v="NO"/>
    <n v="0"/>
    <n v="0"/>
  </r>
  <r>
    <x v="2484"/>
    <s v="LH-156"/>
    <x v="0"/>
    <s v="Abandono Permanente"/>
    <s v="No Posee"/>
    <x v="3"/>
    <s v="Las Heras Central Sur"/>
    <x v="0"/>
    <s v="NO"/>
    <n v="0.25"/>
    <n v="0"/>
  </r>
  <r>
    <x v="2485"/>
    <s v="CG-205"/>
    <x v="0"/>
    <s v="Reserva Recuperación Secundaria"/>
    <s v="No Posee"/>
    <x v="4"/>
    <s v="Barranca Baya Cerro Grande Norte"/>
    <x v="0"/>
    <s v="NO"/>
    <s v="NO"/>
    <s v="NO"/>
  </r>
  <r>
    <x v="2486"/>
    <s v="LH-457"/>
    <x v="0"/>
    <s v="Abandono Permanente"/>
    <s v="No Posee"/>
    <x v="3"/>
    <s v="Las Heras Central Sur"/>
    <x v="0"/>
    <s v="NO"/>
    <s v="NO"/>
    <s v="NO"/>
  </r>
  <r>
    <x v="2487"/>
    <s v="CnE-877a"/>
    <x v="0"/>
    <s v="Abandono Permanente"/>
    <s v="No Posee"/>
    <x v="3"/>
    <s v="Barranca Baya Bloque 36"/>
    <x v="0"/>
    <s v="NO"/>
    <s v="NO"/>
    <s v="NO"/>
  </r>
  <r>
    <x v="2488"/>
    <s v="CG-513a"/>
    <x v="0"/>
    <s v="Produciendo"/>
    <s v="Bombeo Mecánico"/>
    <x v="1"/>
    <s v="Cerro Grande Noreste"/>
    <x v="0"/>
    <s v="NO"/>
    <n v="1.5"/>
    <n v="0"/>
  </r>
  <r>
    <x v="2489"/>
    <s v="CnE-942a"/>
    <x v="0"/>
    <s v="En Estudio"/>
    <s v="Bombeo Mecánico"/>
    <x v="5"/>
    <s v="Barranca Baya Bloque 30"/>
    <x v="1"/>
    <s v="NO"/>
    <n v="1.8"/>
    <n v="0"/>
  </r>
  <r>
    <x v="2490"/>
    <s v="CnE-946a"/>
    <x v="0"/>
    <s v="Produciendo"/>
    <s v="Bombeo Mecánico"/>
    <x v="1"/>
    <s v="Barranca Baya Bloque 30"/>
    <x v="0"/>
    <s v="NO"/>
    <n v="0.9"/>
    <n v="0"/>
  </r>
  <r>
    <x v="2491"/>
    <s v="LH-1147a"/>
    <x v="0"/>
    <s v="Produciendo"/>
    <s v="Bombeo Mecánico"/>
    <x v="1"/>
    <s v="Las Heras Las Heras Bloque 3"/>
    <x v="0"/>
    <s v="NO"/>
    <n v="1.5"/>
    <n v="0"/>
  </r>
  <r>
    <x v="2492"/>
    <s v="CG-673"/>
    <x v="0"/>
    <s v="Produciendo"/>
    <s v="Bombeo Mecánico"/>
    <x v="1"/>
    <s v="Cerro Grande Central"/>
    <x v="0"/>
    <s v="NO"/>
    <n v="0.55000000000000004"/>
    <n v="0"/>
  </r>
  <r>
    <x v="2493"/>
    <s v="LH-37"/>
    <x v="0"/>
    <s v="Abandono Permanente"/>
    <s v="No Posee"/>
    <x v="3"/>
    <s v="Las Heras Las Heras Bloque 3"/>
    <x v="0"/>
    <s v="NO"/>
    <n v="1.25"/>
    <n v="0"/>
  </r>
  <r>
    <x v="2494"/>
    <s v="LH-85"/>
    <x v="0"/>
    <s v="Produciendo"/>
    <s v="Bombeo Mecánico"/>
    <x v="1"/>
    <s v="Las Heras Bloque 2"/>
    <x v="0"/>
    <s v="NO"/>
    <n v="1.2150000000000001"/>
    <n v="0"/>
  </r>
  <r>
    <x v="2495"/>
    <s v="LH-180"/>
    <x v="0"/>
    <s v="Abandono Permanente"/>
    <s v="No Posee"/>
    <x v="3"/>
    <s v="Las Heras Las Heras Bloque 3"/>
    <x v="0"/>
    <s v="NO"/>
    <n v="0"/>
    <n v="0"/>
  </r>
  <r>
    <x v="2496"/>
    <s v="LH-200"/>
    <x v="0"/>
    <s v="Abandono Permanente"/>
    <s v="No Posee"/>
    <x v="3"/>
    <s v="Las Heras Bloque 2"/>
    <x v="0"/>
    <s v="NO"/>
    <s v="NO"/>
    <s v="NO"/>
  </r>
  <r>
    <x v="2497"/>
    <s v="LH-212"/>
    <x v="0"/>
    <s v="Abandono Permanente"/>
    <s v="No Posee"/>
    <x v="3"/>
    <s v="Las Heras Bloque 2"/>
    <x v="0"/>
    <s v="NO"/>
    <s v="NO"/>
    <s v="NO"/>
  </r>
  <r>
    <x v="2498"/>
    <s v="LH-529"/>
    <x v="0"/>
    <s v="Espera Equipo Reparación"/>
    <s v="Bombeo Mecánico"/>
    <x v="0"/>
    <s v="Las Heras Las Heras Bloque 3"/>
    <x v="0"/>
    <s v="NO"/>
    <n v="0.52800000000000002"/>
    <s v="Ultimos 6 meses"/>
  </r>
  <r>
    <x v="2499"/>
    <s v="LH-700"/>
    <x v="0"/>
    <s v="En Estudio"/>
    <s v="No Posee"/>
    <x v="2"/>
    <s v="Las Heras Bloque 2"/>
    <x v="0"/>
    <s v="NO"/>
    <n v="0.86399999999999999"/>
    <s v="Ultimo Año"/>
  </r>
  <r>
    <x v="2500"/>
    <s v="LH-707"/>
    <x v="0"/>
    <s v="Produciendo"/>
    <s v="Bombeo Mecánico"/>
    <x v="1"/>
    <s v="Las Heras Central Sur"/>
    <x v="0"/>
    <s v="NO"/>
    <n v="1.9680000000000002"/>
    <n v="0"/>
  </r>
  <r>
    <x v="2501"/>
    <s v="LH-714"/>
    <x v="0"/>
    <s v="En Estudio"/>
    <s v="Pistoneo"/>
    <x v="5"/>
    <s v="Las Heras Central Sur"/>
    <x v="1"/>
    <s v="NO"/>
    <n v="0.70000000000000007"/>
    <n v="0"/>
  </r>
  <r>
    <x v="2502"/>
    <s v="LH-833"/>
    <x v="0"/>
    <s v="Produciendo"/>
    <s v="Bombeo Mecánico"/>
    <x v="1"/>
    <s v="Las Heras Central Sur"/>
    <x v="0"/>
    <s v="NO"/>
    <n v="1.08"/>
    <n v="0"/>
  </r>
  <r>
    <x v="2503"/>
    <s v="LH-910"/>
    <x v="0"/>
    <s v="Reserva Recuperación Secundaria"/>
    <s v="Pistoneo"/>
    <x v="4"/>
    <s v="Las Heras Bloque 2"/>
    <x v="0"/>
    <s v="NO"/>
    <n v="0.155"/>
    <n v="0"/>
  </r>
  <r>
    <x v="2504"/>
    <s v="CG-18"/>
    <x v="0"/>
    <s v="Espera Equipo Reparación"/>
    <s v="Bombeo Mecánico"/>
    <x v="5"/>
    <s v="Barranca Baya Cerro Grande Noroeste"/>
    <x v="1"/>
    <s v="NO"/>
    <n v="0.61"/>
    <n v="0"/>
  </r>
  <r>
    <x v="2505"/>
    <s v="CG-149"/>
    <x v="0"/>
    <s v="En Estudio"/>
    <s v="Bombeo Mecánico"/>
    <x v="4"/>
    <s v="Barranca Baya Bloque 26"/>
    <x v="0"/>
    <s v="NO"/>
    <n v="0.6"/>
    <n v="0"/>
  </r>
  <r>
    <x v="2506"/>
    <s v="CG-158"/>
    <x v="0"/>
    <s v="Espera Equipo Reparación"/>
    <s v="Inyección"/>
    <x v="5"/>
    <s v="Cerro Grande Central"/>
    <x v="1"/>
    <s v="NO"/>
    <n v="0"/>
    <s v="Ultimo Año"/>
  </r>
  <r>
    <x v="2507"/>
    <s v="CG-230"/>
    <x v="0"/>
    <s v="Produciendo"/>
    <s v="Bombeo Mecánico"/>
    <x v="1"/>
    <s v="Cerro Grande Central"/>
    <x v="0"/>
    <s v="NO"/>
    <n v="0.92900000000000005"/>
    <n v="0"/>
  </r>
  <r>
    <x v="2508"/>
    <s v="CG-273"/>
    <x v="0"/>
    <s v="Abandono Permanente"/>
    <s v="No Posee"/>
    <x v="3"/>
    <s v="Cerro Grande Noreste"/>
    <x v="0"/>
    <s v="NO"/>
    <s v="NO"/>
    <s v="NO"/>
  </r>
  <r>
    <x v="2509"/>
    <s v="CG-325"/>
    <x v="0"/>
    <s v="Produciendo"/>
    <s v="Bombeo Mecánico"/>
    <x v="1"/>
    <s v="Barranca Baya Cerro Grande Norte"/>
    <x v="0"/>
    <s v="NO"/>
    <n v="2.2960000000000003"/>
    <n v="0"/>
  </r>
  <r>
    <x v="2510"/>
    <s v="CG-443"/>
    <x v="0"/>
    <s v="En Estudio"/>
    <s v="No Posee"/>
    <x v="5"/>
    <s v="Barranca Baya Bloque 26"/>
    <x v="1"/>
    <s v="NO"/>
    <n v="0.48"/>
    <n v="0"/>
  </r>
  <r>
    <x v="2511"/>
    <s v="CnE-109"/>
    <x v="0"/>
    <s v="Produciendo"/>
    <s v="Electro Sumergible"/>
    <x v="1"/>
    <s v="Barranca Baya Bloque 26"/>
    <x v="0"/>
    <s v="NO"/>
    <n v="1.6"/>
    <n v="0"/>
  </r>
  <r>
    <x v="2512"/>
    <s v="CnE-155"/>
    <x v="0"/>
    <s v="Espera Equipo Reparación"/>
    <s v="Bombeo Mecánico"/>
    <x v="5"/>
    <s v="Barranca Baya Bloque 26"/>
    <x v="1"/>
    <s v="NO"/>
    <n v="0"/>
    <n v="0"/>
  </r>
  <r>
    <x v="2513"/>
    <s v="CnE-218"/>
    <x v="0"/>
    <s v="Produciendo"/>
    <s v="Bombeo Mecánico"/>
    <x v="1"/>
    <s v="Barranca Baya Bloque 30"/>
    <x v="0"/>
    <s v="NO"/>
    <n v="0.70000000000000007"/>
    <n v="0"/>
  </r>
  <r>
    <x v="2514"/>
    <s v="CnE-238"/>
    <x v="0"/>
    <s v="Reserva Recuperación Secundaria"/>
    <s v="Bombeo Mecánico"/>
    <x v="4"/>
    <s v="Barranca Baya Bloque 30"/>
    <x v="0"/>
    <s v="NO"/>
    <n v="0.44900000000000001"/>
    <n v="0"/>
  </r>
  <r>
    <x v="2515"/>
    <s v="CnE-262"/>
    <x v="0"/>
    <s v="Produciendo"/>
    <s v="Bombeo Mecánico"/>
    <x v="1"/>
    <s v="Barranca Baya Bloque 30"/>
    <x v="0"/>
    <s v="NO"/>
    <n v="0.88"/>
    <n v="0"/>
  </r>
  <r>
    <x v="2516"/>
    <s v="CnE-388"/>
    <x v="0"/>
    <s v="Reserva Recuperación Secundaria"/>
    <s v="No Posee"/>
    <x v="4"/>
    <s v="Barranca Baya Bloque 36"/>
    <x v="0"/>
    <s v="NO"/>
    <s v="NO"/>
    <s v="NO"/>
  </r>
  <r>
    <x v="2517"/>
    <s v="CnE-395"/>
    <x v="0"/>
    <s v="Produciendo"/>
    <s v="Bombeo Mecánico"/>
    <x v="1"/>
    <s v="Barranca Baya Bloque 36"/>
    <x v="0"/>
    <s v="NO"/>
    <n v="0.51"/>
    <n v="0"/>
  </r>
  <r>
    <x v="2518"/>
    <s v="CnE-419"/>
    <x v="0"/>
    <s v="Abandono Permanente"/>
    <s v="No Posee"/>
    <x v="3"/>
    <s v="Barranca Baya Bloque 37"/>
    <x v="0"/>
    <s v="NO"/>
    <s v="NO"/>
    <s v="NO"/>
  </r>
  <r>
    <x v="2519"/>
    <s v="CnE-437"/>
    <x v="0"/>
    <s v="Produciendo"/>
    <s v="Bombeo Mecánico"/>
    <x v="1"/>
    <s v="Barranca Baya Bloque 36"/>
    <x v="0"/>
    <s v="NO"/>
    <n v="0.93300000000000005"/>
    <n v="0"/>
  </r>
  <r>
    <x v="2520"/>
    <s v="CnE-447"/>
    <x v="0"/>
    <s v="Produciendo"/>
    <s v="Bombeo Mecánico"/>
    <x v="1"/>
    <s v="Barranca Baya Bloque 36"/>
    <x v="0"/>
    <s v="NO"/>
    <n v="1.92"/>
    <n v="0"/>
  </r>
  <r>
    <x v="2521"/>
    <s v="CnE-450"/>
    <x v="0"/>
    <s v="En Estudio"/>
    <s v="Bombeo Mecánico"/>
    <x v="5"/>
    <s v="Barranca Baya Bloque 36"/>
    <x v="1"/>
    <s v="NO"/>
    <n v="0.6"/>
    <n v="0"/>
  </r>
  <r>
    <x v="2522"/>
    <s v="CnE-597"/>
    <x v="0"/>
    <s v="Produciendo"/>
    <s v="Bombeo Mecánico"/>
    <x v="1"/>
    <s v="Barranca Baya Bloque 36"/>
    <x v="0"/>
    <s v="NO"/>
    <n v="1.44"/>
    <n v="0"/>
  </r>
  <r>
    <x v="2523"/>
    <s v="CnE-613"/>
    <x v="0"/>
    <s v="Abandono Permanente"/>
    <s v="No Posee"/>
    <x v="3"/>
    <s v="Barranca Baya Bloque 36"/>
    <x v="0"/>
    <s v="NO"/>
    <n v="0"/>
    <n v="0"/>
  </r>
  <r>
    <x v="2524"/>
    <s v="CnE-631"/>
    <x v="0"/>
    <s v="Produciendo"/>
    <s v="Inyección"/>
    <x v="1"/>
    <s v="Barranca Baya Bloque 36"/>
    <x v="0"/>
    <s v="NO"/>
    <n v="0"/>
    <n v="0"/>
  </r>
  <r>
    <x v="2525"/>
    <s v="CnE-767"/>
    <x v="0"/>
    <s v="Produciendo"/>
    <s v="Bombeo Mecánico"/>
    <x v="1"/>
    <s v="Barranca Baya Bloque 36"/>
    <x v="0"/>
    <s v="NO"/>
    <n v="0.85500000000000009"/>
    <n v="0"/>
  </r>
  <r>
    <x v="2526"/>
    <s v="CnE-829"/>
    <x v="0"/>
    <s v="En Estudio"/>
    <s v="No Posee"/>
    <x v="5"/>
    <s v="Barranca Baya Bloque 36"/>
    <x v="1"/>
    <s v="NO"/>
    <n v="0.36"/>
    <n v="0"/>
  </r>
  <r>
    <x v="2527"/>
    <s v="CnE-843"/>
    <x v="0"/>
    <s v="Produciendo"/>
    <s v="Bombeo Mecánico"/>
    <x v="1"/>
    <s v="Barranca Baya Bloque 36"/>
    <x v="0"/>
    <s v="NO"/>
    <n v="1.44"/>
    <n v="0"/>
  </r>
  <r>
    <x v="2528"/>
    <s v="CnE-889a"/>
    <x v="0"/>
    <s v="Espera Equipo Reparación"/>
    <s v="Bombeo Mecánico"/>
    <x v="5"/>
    <s v="Barranca Baya Bloque 30"/>
    <x v="1"/>
    <s v="NO"/>
    <n v="0.8"/>
    <n v="0"/>
  </r>
  <r>
    <x v="2529"/>
    <s v="LH-998a"/>
    <x v="0"/>
    <s v="Produciendo"/>
    <s v="Bombeo Mecánico"/>
    <x v="1"/>
    <s v="Las Heras Central Sur"/>
    <x v="0"/>
    <s v="NO"/>
    <n v="0.8"/>
    <n v="0"/>
  </r>
  <r>
    <x v="2530"/>
    <s v="CnE-900a"/>
    <x v="0"/>
    <s v="Produciendo"/>
    <s v="Bombeo Mecánico"/>
    <x v="1"/>
    <s v="Barranca Baya Bloque 36"/>
    <x v="0"/>
    <s v="Oportunidad"/>
    <n v="0.48400000000000004"/>
    <n v="0"/>
  </r>
  <r>
    <x v="2531"/>
    <s v="LC-974a"/>
    <x v="0"/>
    <s v="Produciendo"/>
    <s v="Cavidad Progresiva"/>
    <x v="1"/>
    <s v="Lomas del Cuy- Cerro Grande Sur"/>
    <x v="0"/>
    <s v="NO"/>
    <n v="4.5"/>
    <n v="0"/>
  </r>
  <r>
    <x v="2532"/>
    <s v="LH-1301"/>
    <x v="0"/>
    <s v="Produciendo"/>
    <s v="Bombeo Mecánico"/>
    <x v="1"/>
    <s v="Las Heras Bloque 2"/>
    <x v="0"/>
    <s v="NO"/>
    <n v="1.76"/>
    <n v="0"/>
  </r>
  <r>
    <x v="2533"/>
    <s v="CG-795"/>
    <x v="0"/>
    <s v="Produciendo"/>
    <s v="Bombeo Mecánico"/>
    <x v="1"/>
    <s v="Cerro Grande Noreste"/>
    <x v="0"/>
    <s v="NO"/>
    <n v="2.99"/>
    <n v="0"/>
  </r>
  <r>
    <x v="2534"/>
    <s v="CG-791"/>
    <x v="0"/>
    <s v="Produciendo"/>
    <s v="Pistoneo"/>
    <x v="1"/>
    <s v="Cerro Grande Central"/>
    <x v="0"/>
    <s v="NO"/>
    <n v="0.10400000000000001"/>
    <n v="0"/>
  </r>
  <r>
    <x v="2535"/>
    <s v="CG-748"/>
    <x v="0"/>
    <s v="Produciendo"/>
    <s v="Cavidad Progresiva"/>
    <x v="1"/>
    <s v="Cerro Grande Central"/>
    <x v="0"/>
    <s v="NO"/>
    <n v="0.63"/>
    <n v="0"/>
  </r>
  <r>
    <x v="2536"/>
    <s v="CnE-1145"/>
    <x v="0"/>
    <s v="Reserva Recuperación Secundaria"/>
    <s v="No Posee"/>
    <x v="4"/>
    <s v="Barranca Baya Bloque 38"/>
    <x v="0"/>
    <s v="NO"/>
    <s v="NO"/>
    <s v="NO"/>
  </r>
  <r>
    <x v="2537"/>
    <s v="BB-130"/>
    <x v="0"/>
    <s v="Produciendo"/>
    <s v="Bombeo Mecánico"/>
    <x v="1"/>
    <s v="Barranca Baya"/>
    <x v="0"/>
    <s v="NO"/>
    <n v="4.05"/>
    <n v="0"/>
  </r>
  <r>
    <x v="2538"/>
    <s v="LH-1222"/>
    <x v="0"/>
    <s v="Produciendo"/>
    <s v="Pistoneo"/>
    <x v="1"/>
    <s v="Las Heras Cerro Grande Sur"/>
    <x v="0"/>
    <s v="NO"/>
    <n v="1.6740000000000002"/>
    <n v="0"/>
  </r>
  <r>
    <x v="2539"/>
    <s v="CG-833"/>
    <x v="0"/>
    <s v="Produciendo"/>
    <s v="Bombeo Mecánico"/>
    <x v="1"/>
    <s v="Cerro Grande Central"/>
    <x v="0"/>
    <s v="NO"/>
    <n v="1.26"/>
    <n v="0"/>
  </r>
  <r>
    <x v="2540"/>
    <s v="LH-1261"/>
    <x v="0"/>
    <s v="Produciendo"/>
    <s v="Bombeo Mecánico"/>
    <x v="1"/>
    <s v="Las Heras Las Heras Bloque 3"/>
    <x v="0"/>
    <s v="NO"/>
    <n v="0.58800000000000008"/>
    <n v="0"/>
  </r>
  <r>
    <x v="2541"/>
    <s v="CnE-1326"/>
    <x v="0"/>
    <s v="Espera Equipo Reparación"/>
    <s v="Bombeo Mecánico"/>
    <x v="8"/>
    <s v="Barranca Baya Bloque 30"/>
    <x v="1"/>
    <s v="Oportunidad"/>
    <n v="0.71"/>
    <n v="0"/>
  </r>
  <r>
    <x v="2542"/>
    <s v="BB-32"/>
    <x v="0"/>
    <s v="Produciendo"/>
    <s v="Bombeo Mecánico"/>
    <x v="1"/>
    <s v="Barranca Baya"/>
    <x v="0"/>
    <s v="NO"/>
    <n v="3.3000000000000003"/>
    <n v="0"/>
  </r>
  <r>
    <x v="2543"/>
    <s v="CEO-1"/>
    <x v="0"/>
    <s v="Abandono Permanente"/>
    <s v="No Posee"/>
    <x v="3"/>
    <s v="Barranca Baya Bloque 37"/>
    <x v="0"/>
    <s v="NO"/>
    <s v="NO"/>
    <s v="NO"/>
  </r>
  <r>
    <x v="2544"/>
    <s v="BB-49"/>
    <x v="0"/>
    <s v="Produciendo"/>
    <s v="Bombeo Mecánico"/>
    <x v="1"/>
    <s v="Barranca Baya"/>
    <x v="0"/>
    <s v="NO"/>
    <n v="0.75900000000000001"/>
    <n v="0"/>
  </r>
  <r>
    <x v="2545"/>
    <s v="CnE-341"/>
    <x v="0"/>
    <s v="Reserva Recuperación Secundaria"/>
    <s v="No Posee"/>
    <x v="4"/>
    <s v="Barranca Baya Bloque 36"/>
    <x v="0"/>
    <s v="NO"/>
    <s v="NO"/>
    <s v="NO"/>
  </r>
  <r>
    <x v="2546"/>
    <s v="LH-167"/>
    <x v="0"/>
    <s v="Reserva Recuperación Secundaria"/>
    <s v="Bombeo Mecánico"/>
    <x v="4"/>
    <s v="Las Heras Las Heras Bloque 3"/>
    <x v="0"/>
    <s v="NO"/>
    <n v="0.10600000000000001"/>
    <n v="0"/>
  </r>
  <r>
    <x v="2547"/>
    <s v="LH-493"/>
    <x v="0"/>
    <s v="Abandono Permanente"/>
    <s v="No Posee"/>
    <x v="3"/>
    <s v="Las Heras Bloque 2"/>
    <x v="0"/>
    <s v="NO"/>
    <s v="NO"/>
    <s v="NO"/>
  </r>
  <r>
    <x v="2548"/>
    <s v="CG-145"/>
    <x v="0"/>
    <s v="Abandono Permanente"/>
    <s v="No Posee"/>
    <x v="3"/>
    <s v="Cerro Grande Central"/>
    <x v="0"/>
    <s v="NO"/>
    <s v="NO"/>
    <s v="NO"/>
  </r>
  <r>
    <x v="2549"/>
    <s v="CnE-867"/>
    <x v="0"/>
    <s v="Reserva Recuperación Secundaria"/>
    <s v="Bombeo Mecánico"/>
    <x v="4"/>
    <s v="Barranca Baya Bloque 36"/>
    <x v="0"/>
    <s v="NO"/>
    <n v="0.01"/>
    <n v="0"/>
  </r>
  <r>
    <x v="2550"/>
    <s v="CG-536a"/>
    <x v="0"/>
    <s v="Abandono Permanente"/>
    <s v="No Posee"/>
    <x v="3"/>
    <s v="Barranca Baya Cerro Grande Norte"/>
    <x v="0"/>
    <s v="NO"/>
    <s v="NO"/>
    <s v="NO"/>
  </r>
  <r>
    <x v="2551"/>
    <s v="CG-542a"/>
    <x v="0"/>
    <s v="Reserva Recuperación Secundaria"/>
    <s v="No Posee"/>
    <x v="4"/>
    <s v="Cerro Grande Central"/>
    <x v="0"/>
    <s v="NO"/>
    <n v="0.75600000000000001"/>
    <n v="0"/>
  </r>
  <r>
    <x v="2552"/>
    <s v="CG-538a"/>
    <x v="0"/>
    <s v="En Estudio"/>
    <s v="Bombeo Mecánico"/>
    <x v="5"/>
    <s v="Barranca Baya Bloque 26"/>
    <x v="1"/>
    <s v="NO"/>
    <n v="0.95000000000000007"/>
    <n v="0"/>
  </r>
  <r>
    <x v="2553"/>
    <s v="BB-13"/>
    <x v="0"/>
    <s v="Abandono Permanente"/>
    <s v="No Posee"/>
    <x v="3"/>
    <s v="Barranca Baya Bloque 36"/>
    <x v="0"/>
    <s v="NO"/>
    <n v="9.9000000000000005E-2"/>
    <n v="0"/>
  </r>
  <r>
    <x v="2554"/>
    <s v="BB-63"/>
    <x v="0"/>
    <s v="Produciendo"/>
    <s v="Bombeo Mecánico"/>
    <x v="1"/>
    <s v="Barranca Baya"/>
    <x v="0"/>
    <s v="NO"/>
    <n v="4.0860000000000003"/>
    <n v="0"/>
  </r>
  <r>
    <x v="2555"/>
    <s v="LHS-1"/>
    <x v="0"/>
    <s v="Produciendo"/>
    <s v="Pistoneo"/>
    <x v="1"/>
    <s v="Las Heras Bloque 2"/>
    <x v="0"/>
    <s v="NO"/>
    <n v="9.5000000000000001E-2"/>
    <n v="0"/>
  </r>
  <r>
    <x v="2556"/>
    <s v="BB-22"/>
    <x v="0"/>
    <s v="Produciendo"/>
    <s v="Bombeo Mecánico"/>
    <x v="1"/>
    <s v="Barranca Baya"/>
    <x v="0"/>
    <s v="NO"/>
    <n v="10.120000000000001"/>
    <n v="0"/>
  </r>
  <r>
    <x v="2557"/>
    <s v="BB-51"/>
    <x v="0"/>
    <s v="Abandono Permanente"/>
    <s v="No Posee"/>
    <x v="3"/>
    <s v="Barranca Baya"/>
    <x v="0"/>
    <s v="NO"/>
    <s v="NO"/>
    <s v="NO"/>
  </r>
  <r>
    <x v="2558"/>
    <s v="CnE-2"/>
    <x v="0"/>
    <s v="En Estudio"/>
    <s v="Bombeo Mecánico"/>
    <x v="5"/>
    <s v="Barranca Baya Bloque 40"/>
    <x v="1"/>
    <s v="NO"/>
    <n v="0.55000000000000004"/>
    <n v="0"/>
  </r>
  <r>
    <x v="2559"/>
    <s v="LH-200(I)"/>
    <x v="0"/>
    <s v="Abandono Permanente"/>
    <s v="No Posee"/>
    <x v="3"/>
    <s v="Las Heras Bloque 2"/>
    <x v="0"/>
    <s v="NO"/>
    <n v="0.89700000000000002"/>
    <n v="0"/>
  </r>
  <r>
    <x v="2560"/>
    <s v="LC-39"/>
    <x v="0"/>
    <s v="Produciendo"/>
    <s v="Bombeo Mecánico"/>
    <x v="1"/>
    <s v="Lomas del Cuy- Cerro Grande Noroeste"/>
    <x v="0"/>
    <s v="NO"/>
    <n v="1.8900000000000001"/>
    <n v="0"/>
  </r>
  <r>
    <x v="2561"/>
    <s v="CnE-481"/>
    <x v="0"/>
    <s v="Abandono Permanente"/>
    <s v="No Posee"/>
    <x v="3"/>
    <s v="Barranca Baya Bloque 38"/>
    <x v="0"/>
    <s v="NO"/>
    <n v="0.16800000000000001"/>
    <n v="0"/>
  </r>
  <r>
    <x v="2562"/>
    <s v="LH-74"/>
    <x v="0"/>
    <s v="Produciendo"/>
    <s v="Bombeo Mecánico"/>
    <x v="1"/>
    <s v="Las Heras Cerro Grande Sur"/>
    <x v="0"/>
    <s v="NO"/>
    <n v="2"/>
    <n v="0"/>
  </r>
  <r>
    <x v="2563"/>
    <s v="LH-121"/>
    <x v="0"/>
    <s v="Abandono Permanente"/>
    <s v="No Posee"/>
    <x v="3"/>
    <s v="Las Heras Las Heras Bloque 3"/>
    <x v="0"/>
    <s v="NO"/>
    <s v="NO"/>
    <s v="NO"/>
  </r>
  <r>
    <x v="2564"/>
    <s v="CG-221"/>
    <x v="0"/>
    <s v="Abandono Permanente"/>
    <s v="No Posee"/>
    <x v="3"/>
    <s v="Barranca Baya Cerro Grande Norte"/>
    <x v="0"/>
    <s v="NO"/>
    <s v="NO"/>
    <s v="NO"/>
  </r>
  <r>
    <x v="2565"/>
    <s v="CG-222"/>
    <x v="0"/>
    <s v="Abandono Permanente"/>
    <s v="No Posee"/>
    <x v="3"/>
    <s v="Barranca Baya Cerro Grande Norte"/>
    <x v="0"/>
    <s v="NO"/>
    <s v="NO"/>
    <s v="NO"/>
  </r>
  <r>
    <x v="2566"/>
    <s v="LH-202"/>
    <x v="0"/>
    <s v="Abandono Permanente"/>
    <s v="No Posee"/>
    <x v="3"/>
    <s v="Las Heras Bloque 2"/>
    <x v="0"/>
    <s v="NO"/>
    <s v="NO"/>
    <s v="NO"/>
  </r>
  <r>
    <x v="2567"/>
    <s v="LH-505"/>
    <x v="0"/>
    <s v="Produciendo"/>
    <s v="Bombeo Mecánico"/>
    <x v="1"/>
    <s v="Las Heras Central Sur"/>
    <x v="0"/>
    <s v="NO"/>
    <n v="1.05"/>
    <n v="0"/>
  </r>
  <r>
    <x v="2568"/>
    <s v="LH-591"/>
    <x v="0"/>
    <s v="Reserva Recuperación Secundaria"/>
    <s v="Pistoneo"/>
    <x v="4"/>
    <s v="Las Heras Central Sur"/>
    <x v="0"/>
    <s v="NO"/>
    <n v="9.2999999999999999E-2"/>
    <n v="0"/>
  </r>
  <r>
    <x v="2569"/>
    <s v="CnE-860"/>
    <x v="0"/>
    <s v="Produciendo"/>
    <s v="Bombeo Mecánico"/>
    <x v="1"/>
    <s v="Barranca Baya Bloque 36"/>
    <x v="0"/>
    <s v="NO"/>
    <n v="2.3000000000000003"/>
    <n v="0"/>
  </r>
  <r>
    <x v="2570"/>
    <s v="CG-22"/>
    <x v="0"/>
    <s v="Abandono Permanente"/>
    <s v="No Posee"/>
    <x v="3"/>
    <s v="Cerro Grande Central"/>
    <x v="0"/>
    <s v="NO"/>
    <s v="NO"/>
    <s v="NO"/>
  </r>
  <r>
    <x v="2571"/>
    <s v="CG-25"/>
    <x v="0"/>
    <s v="Produciendo"/>
    <s v="Bombeo Mecánico"/>
    <x v="1"/>
    <s v="Barranca Baya Cerro Grande Sur"/>
    <x v="0"/>
    <s v="NO"/>
    <n v="2"/>
    <n v="0"/>
  </r>
  <r>
    <x v="2572"/>
    <s v="CG-67"/>
    <x v="0"/>
    <s v="Produciendo"/>
    <s v="Inyección"/>
    <x v="1"/>
    <s v="Barranca Baya Cerro Grande Sur"/>
    <x v="0"/>
    <s v="Oportunidad"/>
    <n v="0"/>
    <n v="0"/>
  </r>
  <r>
    <x v="2573"/>
    <s v="LC-628a"/>
    <x v="0"/>
    <s v="Abandonado Por Razones Técnicas"/>
    <s v="No Posee"/>
    <x v="4"/>
    <s v="Lomas del Cuy- Cerro Grande Noroeste"/>
    <x v="0"/>
    <s v="NO"/>
    <s v="NO"/>
    <s v="NO"/>
  </r>
  <r>
    <x v="2574"/>
    <s v="LH-1010a"/>
    <x v="0"/>
    <s v="Abandono Permanente"/>
    <s v="No Posee"/>
    <x v="3"/>
    <s v="Las Heras Las Heras Bloque 3"/>
    <x v="0"/>
    <s v="NO"/>
    <n v="0.63"/>
    <n v="0"/>
  </r>
  <r>
    <x v="2575"/>
    <s v="O-2"/>
    <x v="0"/>
    <s v="Abandono Permanente"/>
    <s v="No Posee"/>
    <x v="3"/>
    <s v="Barranca Baya Bloque 36"/>
    <x v="0"/>
    <s v="NO"/>
    <s v="NO"/>
    <s v="NO"/>
  </r>
  <r>
    <x v="2576"/>
    <s v="LH-253"/>
    <x v="0"/>
    <s v="Produciendo"/>
    <s v="Inyección"/>
    <x v="1"/>
    <s v="Las Heras Central Sur"/>
    <x v="0"/>
    <s v="NO"/>
    <n v="0"/>
    <n v="0"/>
  </r>
  <r>
    <x v="2577"/>
    <s v="LH-322"/>
    <x v="0"/>
    <s v="Produciendo"/>
    <s v="Bombeo Mecánico"/>
    <x v="1"/>
    <s v="Las Heras Central Sur"/>
    <x v="0"/>
    <s v="NO"/>
    <n v="2.516"/>
    <n v="0"/>
  </r>
  <r>
    <x v="2578"/>
    <s v="LH-481"/>
    <x v="0"/>
    <s v="Produciendo"/>
    <s v="Pistoneo"/>
    <x v="1"/>
    <s v="Las Heras Central Sur"/>
    <x v="0"/>
    <s v="NO"/>
    <n v="8.6000000000000007E-2"/>
    <n v="0"/>
  </r>
  <r>
    <x v="2579"/>
    <s v="LH-578"/>
    <x v="0"/>
    <s v="Espera Equipo Reparación"/>
    <s v="Inyección"/>
    <x v="4"/>
    <s v="Las Heras Central Sur"/>
    <x v="0"/>
    <s v="NO"/>
    <n v="0"/>
    <n v="0"/>
  </r>
  <r>
    <x v="2580"/>
    <s v="LH-600"/>
    <x v="0"/>
    <s v="Reserva Recuperación Secundaria"/>
    <s v="Pistoneo"/>
    <x v="4"/>
    <s v="Las Heras Central Sur"/>
    <x v="0"/>
    <s v="NO"/>
    <n v="0.69000000000000006"/>
    <n v="0"/>
  </r>
  <r>
    <x v="2581"/>
    <s v="LH-643"/>
    <x v="0"/>
    <s v="Reserva Recuperación Secundaria"/>
    <s v="No Posee"/>
    <x v="4"/>
    <s v="Las Heras Central Sur"/>
    <x v="0"/>
    <s v="NO"/>
    <n v="0.08"/>
    <n v="0"/>
  </r>
  <r>
    <x v="2582"/>
    <s v="LH-656"/>
    <x v="0"/>
    <s v="Produciendo"/>
    <s v="Electro Sumergible"/>
    <x v="1"/>
    <s v="Las Heras Central Sur"/>
    <x v="0"/>
    <s v="NO"/>
    <n v="8.5000000000000006E-2"/>
    <n v="0"/>
  </r>
  <r>
    <x v="2583"/>
    <s v="LH-681"/>
    <x v="0"/>
    <s v="En Estudio"/>
    <s v="Inyección"/>
    <x v="5"/>
    <s v="Las Heras Central Sur"/>
    <x v="1"/>
    <s v="NO"/>
    <n v="0"/>
    <n v="0"/>
  </r>
  <r>
    <x v="2584"/>
    <s v="LH-800"/>
    <x v="0"/>
    <s v="Reserva Recuperación Secundaria"/>
    <s v="Pistoneo"/>
    <x v="4"/>
    <s v="Las Heras Central Sur"/>
    <x v="0"/>
    <s v="NO"/>
    <n v="6.6000000000000003E-2"/>
    <n v="0"/>
  </r>
  <r>
    <x v="2585"/>
    <s v="LH-801"/>
    <x v="0"/>
    <s v="Reserva Recuperación Secundaria"/>
    <s v="Pistoneo"/>
    <x v="2"/>
    <s v="Las Heras Central Sur"/>
    <x v="0"/>
    <s v="NO"/>
    <n v="1E-3"/>
    <s v="Ultimo Año"/>
  </r>
  <r>
    <x v="2586"/>
    <s v="LH-806"/>
    <x v="0"/>
    <s v="Produciendo"/>
    <s v="Cavidad Progresiva"/>
    <x v="1"/>
    <s v="Las Heras Central Sur"/>
    <x v="0"/>
    <s v="NO"/>
    <n v="0.59"/>
    <n v="0"/>
  </r>
  <r>
    <x v="2587"/>
    <s v="LH-848"/>
    <x v="0"/>
    <s v="Abandono Permanente"/>
    <s v="No Posee"/>
    <x v="3"/>
    <s v="Las Heras Central Sur"/>
    <x v="0"/>
    <s v="NO"/>
    <n v="0"/>
    <n v="0"/>
  </r>
  <r>
    <x v="2588"/>
    <s v="LH-880"/>
    <x v="0"/>
    <s v="Produciendo"/>
    <s v="Inyección"/>
    <x v="1"/>
    <s v="Las Heras Central Sur"/>
    <x v="0"/>
    <s v="NO"/>
    <n v="0"/>
    <n v="0"/>
  </r>
  <r>
    <x v="2589"/>
    <s v="LH-889"/>
    <x v="0"/>
    <s v="Reserva Recuperación Secundaria"/>
    <s v="Pistoneo"/>
    <x v="4"/>
    <s v="Las Heras Bloque 2"/>
    <x v="0"/>
    <s v="NO"/>
    <n v="9.7000000000000003E-2"/>
    <n v="0"/>
  </r>
  <r>
    <x v="2590"/>
    <s v="LH-894"/>
    <x v="0"/>
    <s v="Produciendo"/>
    <s v="Bombeo Mecánico"/>
    <x v="1"/>
    <s v="Las Heras Central Sur"/>
    <x v="0"/>
    <s v="NO"/>
    <n v="1.45"/>
    <n v="0"/>
  </r>
  <r>
    <x v="2591"/>
    <s v="LH-911"/>
    <x v="0"/>
    <s v="Espera Equipo Reparación"/>
    <s v="Inyección"/>
    <x v="5"/>
    <s v="Las Heras Central Sur"/>
    <x v="1"/>
    <s v="NO"/>
    <n v="0"/>
    <s v="Ultimo Año"/>
  </r>
  <r>
    <x v="2592"/>
    <s v="LH-914"/>
    <x v="0"/>
    <s v="Abandono Permanente"/>
    <s v="No Posee"/>
    <x v="3"/>
    <s v="Las Heras Central Sur"/>
    <x v="0"/>
    <s v="NO"/>
    <n v="0"/>
    <n v="0"/>
  </r>
  <r>
    <x v="2593"/>
    <s v="LH-940"/>
    <x v="0"/>
    <s v="En Estudio"/>
    <s v="Inyección"/>
    <x v="5"/>
    <s v="Las Heras Las Heras Bloque 3"/>
    <x v="1"/>
    <s v="NO"/>
    <n v="0"/>
    <n v="0"/>
  </r>
  <r>
    <x v="2594"/>
    <s v="LH-953"/>
    <x v="0"/>
    <s v="En Estudio"/>
    <s v="Inyección"/>
    <x v="5"/>
    <s v="Las Heras Las Heras Bloque 3"/>
    <x v="1"/>
    <s v="NO"/>
    <n v="0"/>
    <n v="0"/>
  </r>
  <r>
    <x v="2595"/>
    <s v="CG-123"/>
    <x v="0"/>
    <s v="Produciendo"/>
    <s v="Bombeo Mecánico"/>
    <x v="1"/>
    <s v="Barranca Baya Bloque 26"/>
    <x v="0"/>
    <s v="NO"/>
    <n v="3.24"/>
    <n v="0"/>
  </r>
  <r>
    <x v="2596"/>
    <s v="CG-184"/>
    <x v="0"/>
    <s v="Reserva Recuperación Secundaria"/>
    <s v="No Posee"/>
    <x v="4"/>
    <s v="Barranca Baya Cerro Grande Norte"/>
    <x v="0"/>
    <s v="NO"/>
    <n v="0"/>
    <n v="0"/>
  </r>
  <r>
    <x v="2597"/>
    <s v="CG-217"/>
    <x v="0"/>
    <s v="Reserva Recuperación Secundaria"/>
    <s v="No Posee"/>
    <x v="4"/>
    <s v="Barranca Baya Cerro Grande Norte"/>
    <x v="0"/>
    <s v="NO"/>
    <s v="NO"/>
    <s v="NO"/>
  </r>
  <r>
    <x v="2598"/>
    <s v="CG-234"/>
    <x v="0"/>
    <s v="Produciendo"/>
    <s v="Bombeo Mecánico"/>
    <x v="1"/>
    <s v="Cerro Grande Central"/>
    <x v="0"/>
    <s v="NO"/>
    <n v="1.47"/>
    <n v="0"/>
  </r>
  <r>
    <x v="2599"/>
    <s v="CG-268"/>
    <x v="0"/>
    <s v="Produciendo"/>
    <s v="Bombeo Mecánico"/>
    <x v="1"/>
    <s v="Cerro Grande Central"/>
    <x v="0"/>
    <s v="NO"/>
    <n v="1.2750000000000001"/>
    <n v="0"/>
  </r>
  <r>
    <x v="2600"/>
    <s v="CG-371"/>
    <x v="0"/>
    <s v="Espera Equipo Reparación"/>
    <s v="Bombeo Mecánico"/>
    <x v="0"/>
    <s v="Cerro Grande Central"/>
    <x v="0"/>
    <s v="NO"/>
    <n v="0.14400000000000002"/>
    <s v="Ultimos 6 meses"/>
  </r>
  <r>
    <x v="2601"/>
    <s v="CG-380"/>
    <x v="0"/>
    <s v="Produciendo"/>
    <s v="Bombeo Mecánico"/>
    <x v="1"/>
    <s v="Cerro Grande Central"/>
    <x v="0"/>
    <s v="NO"/>
    <n v="1.022"/>
    <n v="0"/>
  </r>
  <r>
    <x v="2602"/>
    <s v="CG-408"/>
    <x v="0"/>
    <s v="Abandono Permanente"/>
    <s v="No Posee"/>
    <x v="3"/>
    <s v="Barranca Baya Bloque 26"/>
    <x v="0"/>
    <s v="NO"/>
    <n v="0"/>
    <n v="0"/>
  </r>
  <r>
    <x v="2603"/>
    <s v="LC-76"/>
    <x v="0"/>
    <s v="Produciendo"/>
    <s v="Surgente por Casing"/>
    <x v="1"/>
    <s v="Lomas del Cuy- Cerro Grande Sur"/>
    <x v="0"/>
    <s v="NO"/>
    <n v="1.7"/>
    <n v="0"/>
  </r>
  <r>
    <x v="2604"/>
    <s v="LC-455"/>
    <x v="0"/>
    <s v="Produciendo"/>
    <s v="Inyección"/>
    <x v="1"/>
    <s v="Lomas del Cuy- Cerro Grande Noroeste"/>
    <x v="0"/>
    <s v="NO"/>
    <n v="0"/>
    <n v="0"/>
  </r>
  <r>
    <x v="2605"/>
    <s v="ECa-3"/>
    <x v="0"/>
    <s v="En Estudio"/>
    <s v="No Posee"/>
    <x v="5"/>
    <s v="Cerro Grande Central"/>
    <x v="1"/>
    <s v="NO"/>
    <s v="NO"/>
    <s v="NO"/>
  </r>
  <r>
    <x v="2606"/>
    <s v="CnE-46"/>
    <x v="0"/>
    <s v="Produciendo"/>
    <s v="Bombeo Mecánico"/>
    <x v="1"/>
    <s v="Barranca Baya Bloque 26"/>
    <x v="0"/>
    <s v="NO"/>
    <n v="1.8900000000000001"/>
    <n v="0"/>
  </r>
  <r>
    <x v="2607"/>
    <s v="CnE-71"/>
    <x v="0"/>
    <s v="Produciendo"/>
    <s v="Bombeo Mecánico"/>
    <x v="1"/>
    <s v="Barranca Baya Bloque 26"/>
    <x v="0"/>
    <s v="NO"/>
    <n v="3.52"/>
    <n v="0"/>
  </r>
  <r>
    <x v="2608"/>
    <s v="CnE-131"/>
    <x v="0"/>
    <s v="En Estudio"/>
    <s v="Bombeo Mecánico"/>
    <x v="5"/>
    <s v="Barranca Baya Bloque 38"/>
    <x v="1"/>
    <s v="NO"/>
    <n v="0.85"/>
    <n v="0"/>
  </r>
  <r>
    <x v="2609"/>
    <s v="CnE-207"/>
    <x v="0"/>
    <s v="Espera Equipo Reparación"/>
    <s v="Inyección"/>
    <x v="5"/>
    <s v="Barranca Baya Bloque 26"/>
    <x v="1"/>
    <s v="NO"/>
    <n v="0"/>
    <n v="0"/>
  </r>
  <r>
    <x v="2610"/>
    <s v="CnE-246"/>
    <x v="0"/>
    <s v="Reserva Recuperación Secundaria"/>
    <s v="Bombeo Mecánico"/>
    <x v="4"/>
    <s v="Barranca Baya Bloque 30"/>
    <x v="0"/>
    <s v="NO"/>
    <n v="0.28000000000000003"/>
    <n v="0"/>
  </r>
  <r>
    <x v="2611"/>
    <s v="CnE-299"/>
    <x v="0"/>
    <s v="Abandono Permanente"/>
    <s v="No Posee"/>
    <x v="3"/>
    <s v="Barranca Baya Bloque 30"/>
    <x v="0"/>
    <s v="NO"/>
    <n v="0"/>
    <n v="0"/>
  </r>
  <r>
    <x v="2612"/>
    <s v="CnE-309"/>
    <x v="0"/>
    <s v="Reserva Recuperación Secundaria"/>
    <s v="No Posee"/>
    <x v="4"/>
    <s v="Barranca Baya Bloque 30"/>
    <x v="0"/>
    <s v="NO"/>
    <n v="0"/>
    <n v="0"/>
  </r>
  <r>
    <x v="2613"/>
    <s v="CnE-338"/>
    <x v="0"/>
    <s v="En Estudio"/>
    <s v="No Posee"/>
    <x v="5"/>
    <s v="Barranca Baya Bloque 36"/>
    <x v="1"/>
    <s v="NO"/>
    <n v="0.56000000000000005"/>
    <n v="0"/>
  </r>
  <r>
    <x v="2614"/>
    <s v="CnE-376"/>
    <x v="0"/>
    <s v="Reserva Recuperación Secundaria"/>
    <s v="Bombeo Mecánico"/>
    <x v="4"/>
    <s v="Barranca Baya Bloque 36"/>
    <x v="0"/>
    <s v="NO"/>
    <n v="0.22"/>
    <n v="0"/>
  </r>
  <r>
    <x v="2615"/>
    <s v="CnE-401"/>
    <x v="0"/>
    <s v="Produciendo"/>
    <s v="Inyección"/>
    <x v="1"/>
    <s v="Barranca Baya Bloque 36"/>
    <x v="0"/>
    <s v="NO"/>
    <n v="0"/>
    <n v="0"/>
  </r>
  <r>
    <x v="2616"/>
    <s v="CnE-416"/>
    <x v="0"/>
    <s v="Produciendo"/>
    <s v="Pistoneo"/>
    <x v="1"/>
    <s v="Barranca Baya Bloque 37"/>
    <x v="0"/>
    <s v="NO"/>
    <n v="6.7000000000000004E-2"/>
    <n v="0"/>
  </r>
  <r>
    <x v="2617"/>
    <s v="CnE-423"/>
    <x v="0"/>
    <s v="Produciendo"/>
    <s v="Inyección"/>
    <x v="1"/>
    <s v="Barranca Baya Bloque 36"/>
    <x v="0"/>
    <s v="NO"/>
    <n v="0"/>
    <n v="0"/>
  </r>
  <r>
    <x v="2618"/>
    <s v="CnE-429"/>
    <x v="0"/>
    <s v="Reserva Recuperación Secundaria"/>
    <s v="Bombeo Mecánico"/>
    <x v="4"/>
    <s v="Barranca Baya Bloque 30"/>
    <x v="0"/>
    <s v="NO"/>
    <n v="0.92600000000000005"/>
    <n v="0"/>
  </r>
  <r>
    <x v="2619"/>
    <s v="CnE-436"/>
    <x v="0"/>
    <s v="Produciendo"/>
    <s v="Inyección"/>
    <x v="1"/>
    <s v="Barranca Baya Bloque 36"/>
    <x v="0"/>
    <s v="NO"/>
    <n v="0"/>
    <n v="0"/>
  </r>
  <r>
    <x v="2620"/>
    <s v="CnE-453"/>
    <x v="0"/>
    <s v="Produciendo"/>
    <s v="Inyección"/>
    <x v="1"/>
    <s v="Barranca Baya Bloque 37"/>
    <x v="0"/>
    <s v="NO"/>
    <n v="0"/>
    <n v="0"/>
  </r>
  <r>
    <x v="2621"/>
    <s v="CnE-580"/>
    <x v="0"/>
    <s v="Produciendo"/>
    <s v="Electro Sumergible"/>
    <x v="1"/>
    <s v="Barranca Baya"/>
    <x v="0"/>
    <s v="NO"/>
    <n v="1.9000000000000001"/>
    <n v="0"/>
  </r>
  <r>
    <x v="2622"/>
    <s v="CnE-629"/>
    <x v="0"/>
    <s v="Produciendo"/>
    <s v="Inyección"/>
    <x v="1"/>
    <s v="Barranca Baya"/>
    <x v="0"/>
    <s v="NO"/>
    <n v="0"/>
    <n v="0"/>
  </r>
  <r>
    <x v="2623"/>
    <s v="CnE-770"/>
    <x v="0"/>
    <s v="Produciendo"/>
    <s v="Bombeo Mecánico"/>
    <x v="1"/>
    <s v="Barranca Baya Bloque 30"/>
    <x v="0"/>
    <s v="NO"/>
    <n v="1.61"/>
    <n v="0"/>
  </r>
  <r>
    <x v="2624"/>
    <s v="LH-1004a"/>
    <x v="0"/>
    <s v="Reserva Recuperación Secundaria"/>
    <s v="Bombeo Mecánico"/>
    <x v="4"/>
    <s v="Las Heras Central Sur"/>
    <x v="0"/>
    <s v="NO"/>
    <n v="0.44"/>
    <n v="0"/>
  </r>
  <r>
    <x v="2625"/>
    <s v="LH-69"/>
    <x v="0"/>
    <s v="Reserva Recuperación Secundaria"/>
    <s v="Pistoneo"/>
    <x v="4"/>
    <s v="Las Heras Bloque 2"/>
    <x v="0"/>
    <s v="NO"/>
    <n v="0.20400000000000001"/>
    <n v="0"/>
  </r>
  <r>
    <x v="2626"/>
    <s v="LH-140"/>
    <x v="0"/>
    <s v="Reserva Recuperación Secundaria"/>
    <s v="No Posee"/>
    <x v="4"/>
    <s v="Las Heras Bloque 2"/>
    <x v="0"/>
    <s v="NO"/>
    <s v="NO"/>
    <s v="NO"/>
  </r>
  <r>
    <x v="2627"/>
    <s v="LH-149"/>
    <x v="0"/>
    <s v="Espera Equipo Reparación"/>
    <s v="Bombeo Mecánico"/>
    <x v="5"/>
    <s v="Las Heras Bloque 2"/>
    <x v="1"/>
    <s v="NO"/>
    <n v="0.94500000000000006"/>
    <s v="Ultimo Año"/>
  </r>
  <r>
    <x v="2628"/>
    <s v="LH-172"/>
    <x v="0"/>
    <s v="Reserva Recuperación Secundaria"/>
    <s v="Pistoneo"/>
    <x v="4"/>
    <s v="Las Heras Las Heras Bloque 3"/>
    <x v="0"/>
    <s v="NO"/>
    <n v="0.155"/>
    <n v="0"/>
  </r>
  <r>
    <x v="2629"/>
    <s v="LH-181"/>
    <x v="0"/>
    <s v="Espera Equipo Reparación"/>
    <s v="Inyección"/>
    <x v="5"/>
    <s v="Las Heras Las Heras Bloque 3"/>
    <x v="1"/>
    <s v="NO"/>
    <n v="0"/>
    <n v="0"/>
  </r>
  <r>
    <x v="2630"/>
    <s v="LH-573"/>
    <x v="0"/>
    <s v="Reserva Recuperación Secundaria"/>
    <s v="Pistoneo"/>
    <x v="4"/>
    <s v="Las Heras Central Sur"/>
    <x v="0"/>
    <s v="NO"/>
    <n v="0.18"/>
    <n v="0"/>
  </r>
  <r>
    <x v="2631"/>
    <s v="LH-665"/>
    <x v="0"/>
    <s v="Produciendo"/>
    <s v="Bombeo Mecánico"/>
    <x v="1"/>
    <s v="Las Heras Central Sur"/>
    <x v="0"/>
    <s v="NO"/>
    <n v="1.419"/>
    <n v="0"/>
  </r>
  <r>
    <x v="2632"/>
    <s v="LH-853"/>
    <x v="0"/>
    <s v="Produciendo"/>
    <s v="Bombeo Mecánico"/>
    <x v="1"/>
    <s v="Las Heras Central Sur"/>
    <x v="0"/>
    <s v="NO"/>
    <n v="0.8"/>
    <n v="0"/>
  </r>
  <r>
    <x v="2633"/>
    <s v="LH-858"/>
    <x v="0"/>
    <s v="Abandono Permanente"/>
    <s v="No Posee"/>
    <x v="3"/>
    <s v="Las Heras Central Sur"/>
    <x v="0"/>
    <s v="NO"/>
    <n v="0"/>
    <n v="0"/>
  </r>
  <r>
    <x v="2634"/>
    <s v="LH-895"/>
    <x v="0"/>
    <s v="Espera Equipo Reparación"/>
    <s v="Bombeo Mecánico"/>
    <x v="5"/>
    <s v="Las Heras Central Sur"/>
    <x v="1"/>
    <s v="NO"/>
    <n v="0.8"/>
    <s v="Ultimo Año"/>
  </r>
  <r>
    <x v="2635"/>
    <s v="LH-950"/>
    <x v="0"/>
    <s v="Abandono Permanente"/>
    <s v="No Posee"/>
    <x v="3"/>
    <s v="Las Heras Las Heras Bloque 3"/>
    <x v="0"/>
    <s v="NO"/>
    <n v="0"/>
    <n v="0"/>
  </r>
  <r>
    <x v="2636"/>
    <s v="CG.a-78"/>
    <x v="0"/>
    <s v="Reserva Recuperación Secundaria"/>
    <s v="Bombeo Mecánico"/>
    <x v="4"/>
    <s v="Barranca Baya Bloque 26"/>
    <x v="0"/>
    <s v="NO"/>
    <n v="0.8"/>
    <n v="0"/>
  </r>
  <r>
    <x v="2637"/>
    <s v="CG-119"/>
    <x v="0"/>
    <s v="Espera Equipo Reparación"/>
    <s v="Inyección"/>
    <x v="4"/>
    <s v="Barranca Baya Bloque 26"/>
    <x v="0"/>
    <s v="NO"/>
    <n v="0"/>
    <n v="0"/>
  </r>
  <r>
    <x v="2638"/>
    <s v="CG-235"/>
    <x v="0"/>
    <s v="Reserva Recuperación Secundaria"/>
    <s v="No Posee"/>
    <x v="4"/>
    <s v="Cerro Grande Central"/>
    <x v="0"/>
    <s v="NO"/>
    <n v="0.5"/>
    <n v="0"/>
  </r>
  <r>
    <x v="2639"/>
    <s v="CG-470"/>
    <x v="0"/>
    <s v="Reserva Recuperación Secundaria"/>
    <s v="No Posee"/>
    <x v="4"/>
    <s v="Barranca Baya Bloque 26"/>
    <x v="0"/>
    <s v="NO"/>
    <n v="0.24"/>
    <n v="0"/>
  </r>
  <r>
    <x v="2640"/>
    <s v="CG-472"/>
    <x v="0"/>
    <s v="Abandono Permanente"/>
    <s v="No Posee"/>
    <x v="3"/>
    <s v="Cerro Grande Noreste"/>
    <x v="0"/>
    <s v="NO"/>
    <n v="0"/>
    <n v="0"/>
  </r>
  <r>
    <x v="2641"/>
    <s v="LH-633"/>
    <x v="0"/>
    <s v="Parado Alta Rap"/>
    <s v="Bombeo Mecánico"/>
    <x v="5"/>
    <s v="Las Heras Central Sur"/>
    <x v="1"/>
    <s v="NO"/>
    <n v="0.61499999999999999"/>
    <n v="0"/>
  </r>
  <r>
    <x v="2642"/>
    <s v="LH-688"/>
    <x v="0"/>
    <s v="Reserva Recuperación Secundaria"/>
    <s v="Bombeo Mecánico"/>
    <x v="4"/>
    <s v="Las Heras Central Sur"/>
    <x v="0"/>
    <s v="NO"/>
    <n v="0.42900000000000005"/>
    <n v="0"/>
  </r>
  <r>
    <x v="2643"/>
    <s v="LH-696"/>
    <x v="0"/>
    <s v="Produciendo"/>
    <s v="Pistoneo"/>
    <x v="1"/>
    <s v="Las Heras Cerro Grande Sur"/>
    <x v="0"/>
    <s v="NO"/>
    <n v="0.10400000000000001"/>
    <n v="0"/>
  </r>
  <r>
    <x v="2644"/>
    <s v="LH-756"/>
    <x v="0"/>
    <s v="A Abandonar"/>
    <s v="Inyección"/>
    <x v="5"/>
    <s v="Las Heras Las Heras Bloque 3"/>
    <x v="1"/>
    <s v="NO"/>
    <n v="0"/>
    <n v="0"/>
  </r>
  <r>
    <x v="2645"/>
    <s v="LH-896"/>
    <x v="0"/>
    <s v="Produciendo"/>
    <s v="Bombeo Mecánico"/>
    <x v="1"/>
    <s v="Las Heras Central Sur"/>
    <x v="0"/>
    <s v="NO"/>
    <n v="1.0370000000000001"/>
    <n v="0"/>
  </r>
  <r>
    <x v="2646"/>
    <s v="LH-916"/>
    <x v="0"/>
    <s v="Reserva Recuperación Secundaria"/>
    <s v="Pistoneo"/>
    <x v="4"/>
    <s v="Las Heras Bloque 2"/>
    <x v="0"/>
    <s v="NO"/>
    <n v="9.7000000000000003E-2"/>
    <n v="0"/>
  </r>
  <r>
    <x v="2647"/>
    <s v="LH-917"/>
    <x v="0"/>
    <s v="Produciendo"/>
    <s v="Bombeo Mecánico"/>
    <x v="1"/>
    <s v="Las Heras Las Heras Bloque 3"/>
    <x v="0"/>
    <s v="NO"/>
    <n v="1.47"/>
    <n v="0"/>
  </r>
  <r>
    <x v="2648"/>
    <s v="CG-133"/>
    <x v="0"/>
    <s v="Produciendo"/>
    <s v="Bombeo Mecánico"/>
    <x v="1"/>
    <s v="Barranca Baya Bloque 26"/>
    <x v="0"/>
    <s v="NO"/>
    <n v="1.05"/>
    <n v="0"/>
  </r>
  <r>
    <x v="2649"/>
    <s v="CG-295"/>
    <x v="0"/>
    <s v="Produciendo"/>
    <s v="Bombeo Mecánico"/>
    <x v="1"/>
    <s v="Cerro Grande Central"/>
    <x v="0"/>
    <s v="NO"/>
    <n v="0.16500000000000001"/>
    <n v="0"/>
  </r>
  <r>
    <x v="2650"/>
    <s v="LC-362"/>
    <x v="0"/>
    <s v="Reserva Recuperación Secundaria"/>
    <s v="No Posee"/>
    <x v="4"/>
    <s v="Barranca Baya Cerro Grande Noroeste"/>
    <x v="0"/>
    <s v="NO"/>
    <n v="0"/>
    <n v="0"/>
  </r>
  <r>
    <x v="2651"/>
    <s v="LC-534"/>
    <x v="0"/>
    <s v="Abandono Permanente"/>
    <s v="No Posee"/>
    <x v="3"/>
    <s v="Lomas del Cuy- Cerro Grande Noroeste"/>
    <x v="0"/>
    <s v="NO"/>
    <n v="7.8E-2"/>
    <n v="0"/>
  </r>
  <r>
    <x v="2652"/>
    <s v="N-47"/>
    <x v="0"/>
    <s v="Abandono Permanente"/>
    <s v="No Posee"/>
    <x v="3"/>
    <s v="Las Heras Las Heras Bloque 3"/>
    <x v="0"/>
    <s v="NO"/>
    <s v="NO"/>
    <s v="NO"/>
  </r>
  <r>
    <x v="2653"/>
    <s v="CnE-107"/>
    <x v="0"/>
    <s v="Produciendo"/>
    <s v="Inyección"/>
    <x v="1"/>
    <s v="Barranca Baya Bloque 26"/>
    <x v="0"/>
    <s v="NO"/>
    <n v="0"/>
    <n v="0"/>
  </r>
  <r>
    <x v="2654"/>
    <s v="CnE-211"/>
    <x v="0"/>
    <s v="En Estudio"/>
    <s v="No Posee"/>
    <x v="5"/>
    <s v="Barranca Baya Bloque 30"/>
    <x v="1"/>
    <s v="NO"/>
    <n v="1.522"/>
    <n v="0"/>
  </r>
  <r>
    <x v="2655"/>
    <s v="CnE-280"/>
    <x v="0"/>
    <s v="Espera Equipo Reparación"/>
    <s v="Bombeo Mecánico"/>
    <x v="5"/>
    <s v="Barranca Baya Bloque 40"/>
    <x v="1"/>
    <s v="NO"/>
    <n v="1.17"/>
    <n v="0"/>
  </r>
  <r>
    <x v="2656"/>
    <s v="CnE-281"/>
    <x v="0"/>
    <s v="Produciendo"/>
    <s v="Electro Sumergible"/>
    <x v="1"/>
    <s v="Barranca Baya Bloque 30"/>
    <x v="0"/>
    <s v="NO"/>
    <n v="1.5"/>
    <n v="0"/>
  </r>
  <r>
    <x v="2657"/>
    <s v="CnE-320"/>
    <x v="0"/>
    <s v="Produciendo"/>
    <s v="Bombeo Mecánico"/>
    <x v="1"/>
    <s v="Barranca Baya Bloque 30"/>
    <x v="0"/>
    <s v="NO"/>
    <n v="0.68"/>
    <n v="0"/>
  </r>
  <r>
    <x v="2658"/>
    <s v="CnE-366"/>
    <x v="0"/>
    <s v="Produciendo"/>
    <s v="Inyección"/>
    <x v="1"/>
    <s v="Barranca Baya Bloque 36"/>
    <x v="0"/>
    <s v="NO"/>
    <n v="0"/>
    <n v="0"/>
  </r>
  <r>
    <x v="2659"/>
    <s v="CnE-438"/>
    <x v="0"/>
    <s v="Espera Equipo Reparación"/>
    <s v="Inyección"/>
    <x v="4"/>
    <s v="Barranca Baya Bloque 36"/>
    <x v="0"/>
    <s v="NO"/>
    <n v="0"/>
    <n v="0"/>
  </r>
  <r>
    <x v="2660"/>
    <s v="CnE-465"/>
    <x v="0"/>
    <s v="Produciendo"/>
    <s v="Bombeo Mecánico"/>
    <x v="1"/>
    <s v="Barranca Baya Bloque 37"/>
    <x v="0"/>
    <s v="NO"/>
    <n v="1.1520000000000001"/>
    <n v="0"/>
  </r>
  <r>
    <x v="2661"/>
    <s v="CnE-505"/>
    <x v="0"/>
    <s v="Produciendo"/>
    <s v="Inyección"/>
    <x v="1"/>
    <s v="Barranca Baya Bloque 36"/>
    <x v="0"/>
    <s v="NO"/>
    <n v="0"/>
    <n v="0"/>
  </r>
  <r>
    <x v="2662"/>
    <s v="CnE-840"/>
    <x v="0"/>
    <s v="Produciendo"/>
    <s v="Bombeo Mecánico"/>
    <x v="1"/>
    <s v="Barranca Baya Bloque 36"/>
    <x v="0"/>
    <s v="NO"/>
    <n v="0.72"/>
    <n v="0"/>
  </r>
  <r>
    <x v="2663"/>
    <s v="LH-581"/>
    <x v="0"/>
    <s v="Produciendo"/>
    <s v="Inyección"/>
    <x v="1"/>
    <s v="Las Heras Central Sur"/>
    <x v="0"/>
    <s v="NO"/>
    <n v="0"/>
    <n v="0"/>
  </r>
  <r>
    <x v="2664"/>
    <s v="LH-605"/>
    <x v="0"/>
    <s v="Produciendo"/>
    <s v="Pistoneo"/>
    <x v="1"/>
    <s v="Las Heras Central Sur"/>
    <x v="0"/>
    <s v="NO"/>
    <n v="0.12300000000000001"/>
    <n v="0"/>
  </r>
  <r>
    <x v="2665"/>
    <s v="LH-651"/>
    <x v="0"/>
    <s v="Produciendo"/>
    <s v="Inyección"/>
    <x v="1"/>
    <s v="Las Heras Central Sur"/>
    <x v="0"/>
    <s v="NO"/>
    <n v="0"/>
    <n v="0"/>
  </r>
  <r>
    <x v="2666"/>
    <s v="LH-792"/>
    <x v="0"/>
    <s v="Produciendo"/>
    <s v="Inyección"/>
    <x v="1"/>
    <s v="Las Heras Cerro Grande Sur"/>
    <x v="0"/>
    <s v="NO"/>
    <n v="0"/>
    <n v="0"/>
  </r>
  <r>
    <x v="2667"/>
    <s v="LH-840"/>
    <x v="0"/>
    <s v="Abandono Permanente"/>
    <s v="No Posee"/>
    <x v="3"/>
    <s v="Las Heras Bloque 2"/>
    <x v="0"/>
    <s v="NO"/>
    <n v="0.90300000000000002"/>
    <n v="0"/>
  </r>
  <r>
    <x v="2668"/>
    <s v="LH-936"/>
    <x v="0"/>
    <s v="Abandono Permanente"/>
    <s v="No Posee"/>
    <x v="3"/>
    <s v="Las Heras Las Heras Bloque 3"/>
    <x v="0"/>
    <s v="NO"/>
    <s v="NO"/>
    <s v="NO"/>
  </r>
  <r>
    <x v="2669"/>
    <s v="LH-959"/>
    <x v="0"/>
    <s v="Produciendo"/>
    <s v="Bombeo Mecánico"/>
    <x v="1"/>
    <s v="Las Heras Las Heras Bloque 3"/>
    <x v="0"/>
    <s v="NO"/>
    <n v="0.40800000000000003"/>
    <n v="0"/>
  </r>
  <r>
    <x v="2670"/>
    <s v="CG-58"/>
    <x v="0"/>
    <s v="Produciendo"/>
    <s v="Bombeo Mecánico"/>
    <x v="1"/>
    <s v="Barranca Baya Cerro Grande Sur"/>
    <x v="0"/>
    <s v="NO"/>
    <n v="1.26"/>
    <n v="0"/>
  </r>
  <r>
    <x v="2671"/>
    <s v="CG-170"/>
    <x v="0"/>
    <s v="Produciendo"/>
    <s v="Bombeo Mecánico"/>
    <x v="1"/>
    <s v="Cerro Grande Central"/>
    <x v="0"/>
    <s v="NO"/>
    <n v="0.71400000000000008"/>
    <n v="0"/>
  </r>
  <r>
    <x v="2672"/>
    <s v="CG-210"/>
    <x v="0"/>
    <s v="Produciendo"/>
    <s v="Bombeo Mecánico"/>
    <x v="1"/>
    <s v="Barranca Baya Cerro Grande Norte"/>
    <x v="0"/>
    <s v="NO"/>
    <n v="2.8000000000000003"/>
    <n v="0"/>
  </r>
  <r>
    <x v="2673"/>
    <s v="CG-250"/>
    <x v="0"/>
    <s v="Produciendo"/>
    <s v="Electro Sumergible"/>
    <x v="1"/>
    <s v="Barranca Baya Cerro Grande Norte"/>
    <x v="0"/>
    <s v="NO"/>
    <n v="1.425"/>
    <n v="0"/>
  </r>
  <r>
    <x v="2674"/>
    <s v="CG-343"/>
    <x v="0"/>
    <s v="Produciendo"/>
    <s v="Bombeo Mecánico"/>
    <x v="1"/>
    <s v="Barranca Baya Bloque 26"/>
    <x v="0"/>
    <s v="NO"/>
    <n v="0.75"/>
    <n v="0"/>
  </r>
  <r>
    <x v="2675"/>
    <s v="CG-379"/>
    <x v="0"/>
    <s v="Produciendo"/>
    <s v="Bombeo Mecánico"/>
    <x v="1"/>
    <s v="Barranca Baya Bloque 26"/>
    <x v="0"/>
    <s v="NO"/>
    <n v="1.19"/>
    <n v="0"/>
  </r>
  <r>
    <x v="2676"/>
    <s v="CG-440"/>
    <x v="0"/>
    <s v="Reserva Recuperación Secundaria"/>
    <s v="No Posee"/>
    <x v="4"/>
    <s v="Barranca Baya Bloque 26"/>
    <x v="0"/>
    <s v="NO"/>
    <n v="1.4570000000000001"/>
    <n v="0"/>
  </r>
  <r>
    <x v="2677"/>
    <s v="CG-500"/>
    <x v="0"/>
    <s v="Reserva Recuperación Secundaria"/>
    <s v="Bombeo Mecánico"/>
    <x v="2"/>
    <s v="Barranca Baya Las Heras Bloque 3"/>
    <x v="0"/>
    <s v="NO"/>
    <n v="0.15"/>
    <s v="Ultimo Año"/>
  </r>
  <r>
    <x v="2678"/>
    <s v="LC-21"/>
    <x v="0"/>
    <s v="Reserva Recuperación Secundaria"/>
    <s v="No Posee"/>
    <x v="4"/>
    <s v="Lomas del Cuy- Cerro Grande Noroeste"/>
    <x v="0"/>
    <s v="NO"/>
    <n v="0.54"/>
    <n v="0"/>
  </r>
  <r>
    <x v="2679"/>
    <s v="N-4"/>
    <x v="0"/>
    <s v="Abandono Permanente"/>
    <s v="No Posee"/>
    <x v="3"/>
    <s v="Lomas del Cuy- Cerro Grande Noroeste"/>
    <x v="0"/>
    <s v="NO"/>
    <s v="NO"/>
    <s v="NO"/>
  </r>
  <r>
    <x v="2680"/>
    <s v="N-38"/>
    <x v="0"/>
    <s v="Abandono Permanente"/>
    <s v="No Posee"/>
    <x v="3"/>
    <s v="Las Heras Bloque 2"/>
    <x v="0"/>
    <s v="NO"/>
    <s v="NO"/>
    <s v="NO"/>
  </r>
  <r>
    <x v="2681"/>
    <s v="CnE-33"/>
    <x v="0"/>
    <s v="Espera Equipo Reparación"/>
    <s v="Inyección"/>
    <x v="5"/>
    <s v="Barranca Baya Bloque 26"/>
    <x v="1"/>
    <s v="NO"/>
    <n v="0"/>
    <s v="Ultimo Año"/>
  </r>
  <r>
    <x v="2682"/>
    <s v="CnE-201"/>
    <x v="0"/>
    <s v="Reserva Recuperación Secundaria"/>
    <s v="Pistoneo"/>
    <x v="4"/>
    <s v="Barranca Baya Bloque 40"/>
    <x v="0"/>
    <s v="NO"/>
    <n v="2.9000000000000001E-2"/>
    <n v="0"/>
  </r>
  <r>
    <x v="2683"/>
    <s v="CnE-251"/>
    <x v="0"/>
    <s v="En Estudio"/>
    <s v="Inyección"/>
    <x v="5"/>
    <s v="Barranca Baya Bloque 30"/>
    <x v="1"/>
    <s v="NO"/>
    <n v="0"/>
    <n v="0"/>
  </r>
  <r>
    <x v="2684"/>
    <s v="CnE-379"/>
    <x v="0"/>
    <s v="Espera Equipo Reparación"/>
    <s v="No Posee"/>
    <x v="5"/>
    <s v="Barranca Baya Bloque 36"/>
    <x v="1"/>
    <s v="NO"/>
    <n v="0.6"/>
    <n v="0"/>
  </r>
  <r>
    <x v="2685"/>
    <s v="CnE-406"/>
    <x v="0"/>
    <s v="Reserva Recuperación Secundaria"/>
    <s v="No Posee"/>
    <x v="4"/>
    <s v="Barranca Baya Bloque 36"/>
    <x v="0"/>
    <s v="NO"/>
    <n v="0"/>
    <n v="0"/>
  </r>
  <r>
    <x v="2686"/>
    <s v="CnE-478"/>
    <x v="0"/>
    <s v="Abandono Permanente"/>
    <s v="No Posee"/>
    <x v="3"/>
    <s v="Barranca Baya Bloque 37"/>
    <x v="0"/>
    <s v="NO"/>
    <n v="0"/>
    <n v="0"/>
  </r>
  <r>
    <x v="2687"/>
    <s v="CnE-514"/>
    <x v="0"/>
    <s v="Espera Equipo Reparación"/>
    <s v="Inyección"/>
    <x v="5"/>
    <s v="Barranca Baya Bloque 37"/>
    <x v="1"/>
    <s v="NO"/>
    <n v="0"/>
    <s v="Ultimo Año"/>
  </r>
  <r>
    <x v="2688"/>
    <s v="CnE-531"/>
    <x v="0"/>
    <s v="Produciendo"/>
    <s v="Bombeo Mecánico"/>
    <x v="1"/>
    <s v="Barranca Baya Bloque 37"/>
    <x v="0"/>
    <s v="NO"/>
    <n v="0.75800000000000001"/>
    <n v="0"/>
  </r>
  <r>
    <x v="2689"/>
    <s v="CnE-661"/>
    <x v="0"/>
    <s v="Espera Equipo Reparación"/>
    <s v="Electro Sumergible"/>
    <x v="5"/>
    <s v="Barranca Baya Bloque 36"/>
    <x v="1"/>
    <s v="NO"/>
    <n v="0.71"/>
    <n v="0"/>
  </r>
  <r>
    <x v="2690"/>
    <s v="CnE-728"/>
    <x v="0"/>
    <s v="Produciendo"/>
    <s v="Pistoneo"/>
    <x v="1"/>
    <s v="Barranca Baya Bloque 37"/>
    <x v="0"/>
    <s v="NO"/>
    <n v="0.115"/>
    <n v="0"/>
  </r>
  <r>
    <x v="2691"/>
    <s v="CnE-786"/>
    <x v="0"/>
    <s v="Produciendo"/>
    <s v="Electro Sumergible"/>
    <x v="1"/>
    <s v="Barranca Baya Bloque 36"/>
    <x v="0"/>
    <s v="NO"/>
    <n v="1.18"/>
    <n v="0"/>
  </r>
  <r>
    <x v="2692"/>
    <s v="CnE-792"/>
    <x v="0"/>
    <s v="Produciendo"/>
    <s v="Pistoneo"/>
    <x v="1"/>
    <s v="Barranca Baya Bloque 37"/>
    <x v="0"/>
    <s v="NO"/>
    <n v="4.8000000000000001E-2"/>
    <n v="0"/>
  </r>
  <r>
    <x v="2693"/>
    <s v="PSA-1"/>
    <x v="0"/>
    <s v="Produciendo"/>
    <s v="Bombeo Mecánico"/>
    <x v="1"/>
    <s v="Cerro Grande Central"/>
    <x v="0"/>
    <s v="NO"/>
    <n v="0.24200000000000002"/>
    <n v="0"/>
  </r>
  <r>
    <x v="2694"/>
    <s v="CG-498a"/>
    <x v="0"/>
    <s v="Reserva Recuperación Secundaria"/>
    <s v="Bombeo Mecánico"/>
    <x v="4"/>
    <s v="Barranca Baya Bloque 26"/>
    <x v="0"/>
    <s v="NO"/>
    <n v="0.08"/>
    <n v="0"/>
  </r>
  <r>
    <x v="2695"/>
    <s v="LH-1127a"/>
    <x v="0"/>
    <s v="Produciendo"/>
    <s v="Bombeo Mecánico"/>
    <x v="1"/>
    <s v="Las Heras Las Heras Bloque 3"/>
    <x v="0"/>
    <s v="NO"/>
    <n v="1.06"/>
    <n v="0"/>
  </r>
  <r>
    <x v="2696"/>
    <s v="LH-1164"/>
    <x v="0"/>
    <s v="Produciendo"/>
    <s v="Bombeo Mecánico"/>
    <x v="1"/>
    <s v="Las Heras Central Sur"/>
    <x v="0"/>
    <s v="NO"/>
    <n v="0.8"/>
    <n v="0"/>
  </r>
  <r>
    <x v="2697"/>
    <s v="LH-1170"/>
    <x v="0"/>
    <s v="Abandono Permanente"/>
    <s v="No Posee"/>
    <x v="3"/>
    <s v="Las Heras Las Heras Bloque 3"/>
    <x v="0"/>
    <s v="NO"/>
    <n v="0.95700000000000007"/>
    <n v="0"/>
  </r>
  <r>
    <x v="2698"/>
    <s v="LH-1177"/>
    <x v="0"/>
    <s v="Espera Equipo Reparación"/>
    <s v="Bombeo Mecánico"/>
    <x v="5"/>
    <s v="Las Heras Central Sur"/>
    <x v="1"/>
    <s v="NO"/>
    <n v="0.57500000000000007"/>
    <n v="0"/>
  </r>
  <r>
    <x v="2699"/>
    <s v="CG-659"/>
    <x v="0"/>
    <s v="Produciendo"/>
    <s v="Bombeo Mecánico"/>
    <x v="1"/>
    <s v="Cerro Grande Central"/>
    <x v="0"/>
    <s v="NO"/>
    <n v="0.64500000000000002"/>
    <n v="0"/>
  </r>
  <r>
    <x v="2700"/>
    <s v="CnE-1001"/>
    <x v="0"/>
    <s v="Produciendo"/>
    <s v="Bombeo Mecánico"/>
    <x v="1"/>
    <s v="Barranca Baya Bloque 30"/>
    <x v="0"/>
    <s v="NO"/>
    <n v="0.5"/>
    <n v="0"/>
  </r>
  <r>
    <x v="2701"/>
    <s v="LH-1187"/>
    <x v="0"/>
    <s v="Produciendo"/>
    <s v="Bombeo Mecánico"/>
    <x v="1"/>
    <s v="Las Heras Central Sur"/>
    <x v="0"/>
    <s v="NO"/>
    <n v="2"/>
    <n v="0"/>
  </r>
  <r>
    <x v="2702"/>
    <s v="CnE-1052"/>
    <x v="0"/>
    <s v="Produciendo"/>
    <s v="Bombeo Mecánico"/>
    <x v="1"/>
    <s v="Barranca Baya Bloque 30"/>
    <x v="0"/>
    <s v="NO"/>
    <n v="1.68"/>
    <n v="0"/>
  </r>
  <r>
    <x v="2703"/>
    <s v="CnE.a-1137"/>
    <x v="0"/>
    <s v="Parado Alta Rap"/>
    <s v="Bombeo Mecánico"/>
    <x v="5"/>
    <s v="Barranca Baya Bloque 37"/>
    <x v="1"/>
    <s v="NO"/>
    <n v="1.35"/>
    <n v="0"/>
  </r>
  <r>
    <x v="2704"/>
    <s v="CG-788"/>
    <x v="0"/>
    <s v="Produciendo"/>
    <s v="Bombeo Mecánico"/>
    <x v="1"/>
    <s v="Cerro Grande Central"/>
    <x v="0"/>
    <s v="NO"/>
    <n v="1.798"/>
    <n v="0"/>
  </r>
  <r>
    <x v="2705"/>
    <s v="CnE-1197"/>
    <x v="0"/>
    <s v="Reserva Recuperación Secundaria"/>
    <s v="Bombeo Mecánico"/>
    <x v="4"/>
    <s v="Barranca Baya Bloque 37"/>
    <x v="0"/>
    <s v="NO"/>
    <n v="0.55500000000000005"/>
    <n v="0"/>
  </r>
  <r>
    <x v="2706"/>
    <s v="LH-1224"/>
    <x v="0"/>
    <s v="Produciendo"/>
    <s v="Bombeo Mecánico"/>
    <x v="1"/>
    <s v="Las Heras Cerro Grande Sur"/>
    <x v="0"/>
    <s v="NO"/>
    <n v="1.3360000000000001"/>
    <n v="0"/>
  </r>
  <r>
    <x v="2707"/>
    <s v="LH-1230"/>
    <x v="0"/>
    <s v="Produciendo"/>
    <s v="Bombeo Mecánico"/>
    <x v="1"/>
    <s v="Las Heras Central Sur"/>
    <x v="0"/>
    <s v="NO"/>
    <n v="1.54"/>
    <n v="0"/>
  </r>
  <r>
    <x v="2708"/>
    <s v="LH-1253a"/>
    <x v="0"/>
    <s v="Produciendo"/>
    <s v="Bombeo Mecánico"/>
    <x v="1"/>
    <s v="Las Heras Central Sur"/>
    <x v="0"/>
    <s v="NO"/>
    <n v="0.14100000000000001"/>
    <n v="0"/>
  </r>
  <r>
    <x v="2709"/>
    <s v="CnE-1377"/>
    <x v="0"/>
    <s v="Produciendo"/>
    <s v="Bombeo Mecánico"/>
    <x v="1"/>
    <s v="Barranca Baya Bloque 30"/>
    <x v="0"/>
    <s v="NO"/>
    <n v="2.0100000000000002"/>
    <n v="0"/>
  </r>
  <r>
    <x v="2710"/>
    <s v="LH-113"/>
    <x v="0"/>
    <s v="Produciendo"/>
    <s v="Bombeo Mecánico"/>
    <x v="1"/>
    <s v="Las Heras Las Heras Bloque 3"/>
    <x v="0"/>
    <s v="NO"/>
    <n v="0.91"/>
    <n v="0"/>
  </r>
  <r>
    <x v="2711"/>
    <s v="LH-209"/>
    <x v="0"/>
    <s v="Abandono Permanente"/>
    <s v="No Posee"/>
    <x v="3"/>
    <s v="Las Heras Bloque 2"/>
    <x v="0"/>
    <s v="NO"/>
    <s v="NO"/>
    <s v="NO"/>
  </r>
  <r>
    <x v="2712"/>
    <s v="LH-331"/>
    <x v="0"/>
    <s v="Produciendo"/>
    <s v="Bombeo Mecánico"/>
    <x v="1"/>
    <s v="Las Heras Central Sur"/>
    <x v="0"/>
    <s v="NO"/>
    <n v="1.502"/>
    <n v="0"/>
  </r>
  <r>
    <x v="2713"/>
    <s v="LH-583"/>
    <x v="0"/>
    <s v="Abandono Permanente"/>
    <s v="No Posee"/>
    <x v="3"/>
    <s v="Las Heras Las Heras Bloque 3"/>
    <x v="0"/>
    <s v="NO"/>
    <s v="NO"/>
    <s v="NO"/>
  </r>
  <r>
    <x v="2714"/>
    <s v="LH-624"/>
    <x v="0"/>
    <s v="Reserva Recuperación Secundaria"/>
    <s v="Inyección"/>
    <x v="4"/>
    <s v="Las Heras Central Sur"/>
    <x v="0"/>
    <s v="NO"/>
    <n v="0"/>
    <n v="0"/>
  </r>
  <r>
    <x v="2715"/>
    <s v="LH-664"/>
    <x v="0"/>
    <s v="Abandono Permanente"/>
    <s v="No Posee"/>
    <x v="3"/>
    <s v="Las Heras Central Sur"/>
    <x v="0"/>
    <s v="NO"/>
    <s v="NO"/>
    <s v="NO"/>
  </r>
  <r>
    <x v="2716"/>
    <s v="LH-814"/>
    <x v="0"/>
    <s v="Produciendo"/>
    <s v="Inyección"/>
    <x v="1"/>
    <s v="Las Heras Central Sur"/>
    <x v="0"/>
    <s v="NO"/>
    <n v="0"/>
    <n v="0"/>
  </r>
  <r>
    <x v="2717"/>
    <s v="LH-884"/>
    <x v="0"/>
    <s v="Espera Equipo Reparación"/>
    <s v="Inyección"/>
    <x v="5"/>
    <s v="Las Heras Central Sur"/>
    <x v="1"/>
    <s v="NO"/>
    <n v="0"/>
    <n v="0"/>
  </r>
  <r>
    <x v="2718"/>
    <s v="LH-932"/>
    <x v="0"/>
    <s v="Produciendo"/>
    <s v="Bombeo Mecánico"/>
    <x v="1"/>
    <s v="Las Heras Bloque 2"/>
    <x v="0"/>
    <s v="NO"/>
    <n v="1.05"/>
    <n v="0"/>
  </r>
  <r>
    <x v="2719"/>
    <s v="CG-243"/>
    <x v="0"/>
    <s v="Reserva Recuperación Secundaria"/>
    <s v="No Posee"/>
    <x v="4"/>
    <s v="Barranca Baya Cerro Grande Norte"/>
    <x v="0"/>
    <s v="NO"/>
    <s v="NO"/>
    <s v="NO"/>
  </r>
  <r>
    <x v="2720"/>
    <s v="CG-296"/>
    <x v="0"/>
    <s v="Produciendo"/>
    <s v="Bombeo Mecánico"/>
    <x v="1"/>
    <s v="Barranca Baya Cerro Grande Norte"/>
    <x v="0"/>
    <s v="NO"/>
    <n v="1.204"/>
    <n v="0"/>
  </r>
  <r>
    <x v="2721"/>
    <s v="CG-447"/>
    <x v="0"/>
    <s v="Reserva Recuperación Secundaria"/>
    <s v="No Posee"/>
    <x v="4"/>
    <s v="Cerro Grande Central"/>
    <x v="0"/>
    <s v="NO"/>
    <n v="0.5"/>
    <n v="0"/>
  </r>
  <r>
    <x v="2722"/>
    <s v="CG-475"/>
    <x v="0"/>
    <s v="Produciendo"/>
    <s v="Bombeo Mecánico"/>
    <x v="1"/>
    <s v="Barranca Baya Las Heras Bloque 3"/>
    <x v="0"/>
    <s v="NO"/>
    <n v="1.6520000000000001"/>
    <n v="0"/>
  </r>
  <r>
    <x v="2723"/>
    <s v="CG-486"/>
    <x v="0"/>
    <s v="Espera Equipo Reparación"/>
    <s v="Inyección"/>
    <x v="5"/>
    <s v="Barranca Baya Cerro Grande Noroeste"/>
    <x v="1"/>
    <s v="NO"/>
    <n v="0"/>
    <n v="0"/>
  </r>
  <r>
    <x v="2724"/>
    <s v="CG-510"/>
    <x v="0"/>
    <s v="Abandono Permanente"/>
    <s v="No Posee"/>
    <x v="3"/>
    <s v="Barranca Baya Las Heras Bloque 3"/>
    <x v="0"/>
    <s v="NO"/>
    <n v="0"/>
    <n v="0"/>
  </r>
  <r>
    <x v="2725"/>
    <s v="LC-533"/>
    <x v="0"/>
    <s v="Produciendo"/>
    <s v="Bombeo Mecánico"/>
    <x v="1"/>
    <s v="Lomas del Cuy- Cerro Grande Noroeste"/>
    <x v="0"/>
    <s v="NO"/>
    <n v="3"/>
    <n v="0"/>
  </r>
  <r>
    <x v="2726"/>
    <s v="CnE-175"/>
    <x v="0"/>
    <s v="Reserva Recuperación Secundaria"/>
    <s v="Bombeo Mecánico"/>
    <x v="4"/>
    <s v="Barranca Baya Bloque 40"/>
    <x v="0"/>
    <s v="NO"/>
    <n v="0.24"/>
    <n v="0"/>
  </r>
  <r>
    <x v="2727"/>
    <s v="CnE-324"/>
    <x v="0"/>
    <s v="Espera Equipo Reparación"/>
    <s v="Electro Sumergible"/>
    <x v="6"/>
    <s v="Barranca Baya Bloque 30"/>
    <x v="0"/>
    <s v="Oportunidad"/>
    <n v="2.72"/>
    <s v="Ultimos 6 meses"/>
  </r>
  <r>
    <x v="2728"/>
    <s v="CnE-377"/>
    <x v="0"/>
    <s v="Abandono Permanente"/>
    <s v="No Posee"/>
    <x v="3"/>
    <s v="Barranca Baya Bloque 36"/>
    <x v="0"/>
    <s v="NO"/>
    <n v="0.14000000000000001"/>
    <n v="0"/>
  </r>
  <r>
    <x v="2729"/>
    <s v="CnE-508"/>
    <x v="0"/>
    <s v="Parado Alta Rap"/>
    <s v="Bombeo Mecánico"/>
    <x v="5"/>
    <s v="Barranca Baya Bloque 37"/>
    <x v="1"/>
    <s v="NO"/>
    <n v="0.4"/>
    <n v="0"/>
  </r>
  <r>
    <x v="2730"/>
    <s v="CnE-626"/>
    <x v="0"/>
    <s v="Abandono Permanente"/>
    <s v="No Posee"/>
    <x v="3"/>
    <s v="Barranca Baya"/>
    <x v="0"/>
    <s v="NO"/>
    <n v="0"/>
    <n v="0"/>
  </r>
  <r>
    <x v="2731"/>
    <s v="CnE-640"/>
    <x v="0"/>
    <s v="Produciendo"/>
    <s v="Surgente por Casing"/>
    <x v="1"/>
    <s v="Barranca Baya"/>
    <x v="0"/>
    <s v="NO"/>
    <n v="0.94500000000000006"/>
    <n v="0"/>
  </r>
  <r>
    <x v="2732"/>
    <s v="CnE-707"/>
    <x v="0"/>
    <s v="Parado Alta Rap"/>
    <s v="Bombeo Mecánico"/>
    <x v="6"/>
    <s v="Barranca Baya Bloque 37"/>
    <x v="0"/>
    <s v="Oportunidad"/>
    <n v="1.1400000000000001"/>
    <n v="0"/>
  </r>
  <r>
    <x v="2733"/>
    <s v="CnE-711"/>
    <x v="0"/>
    <s v="Parado Alta Rap"/>
    <s v="Bombeo Mecánico"/>
    <x v="5"/>
    <s v="Barranca Baya Bloque 37"/>
    <x v="1"/>
    <s v="NO"/>
    <n v="0"/>
    <n v="0"/>
  </r>
  <r>
    <x v="2734"/>
    <s v="CnE-803"/>
    <x v="0"/>
    <s v="Abandono Permanente"/>
    <s v="No Posee"/>
    <x v="3"/>
    <s v="Barranca Baya Bloque 37"/>
    <x v="0"/>
    <s v="NO"/>
    <n v="0"/>
    <n v="0"/>
  </r>
  <r>
    <x v="2735"/>
    <s v="CG-283"/>
    <x v="0"/>
    <s v="Abandono Permanente"/>
    <s v="No Posee"/>
    <x v="3"/>
    <s v="Cerro Grande Central"/>
    <x v="0"/>
    <s v="NO"/>
    <s v="NO"/>
    <s v="NO"/>
  </r>
  <r>
    <x v="2736"/>
    <s v="LH-438"/>
    <x v="0"/>
    <s v="Abandono Permanente"/>
    <s v="No Posee"/>
    <x v="3"/>
    <s v="Las Heras Central Sur"/>
    <x v="0"/>
    <s v="NO"/>
    <n v="1.131"/>
    <n v="0"/>
  </r>
  <r>
    <x v="2737"/>
    <s v="CGN-1"/>
    <x v="0"/>
    <s v="Abandono Permanente"/>
    <s v="No Posee"/>
    <x v="3"/>
    <s v="Cerro Grande Noreste"/>
    <x v="0"/>
    <s v="NO"/>
    <s v="NO"/>
    <s v="NO"/>
  </r>
  <r>
    <x v="2738"/>
    <s v="CnE-26"/>
    <x v="0"/>
    <s v="Reserva Recuperación Secundaria"/>
    <s v="No Posee"/>
    <x v="4"/>
    <s v="Barranca Baya Bloque 26"/>
    <x v="0"/>
    <s v="NO"/>
    <n v="0.83900000000000008"/>
    <n v="0"/>
  </r>
  <r>
    <x v="2739"/>
    <s v="LH-566"/>
    <x v="0"/>
    <s v="Espera Equipo Reparación"/>
    <s v="Inyección"/>
    <x v="5"/>
    <s v="Las Heras Central Sur"/>
    <x v="1"/>
    <s v="NO"/>
    <n v="0"/>
    <n v="0"/>
  </r>
  <r>
    <x v="2740"/>
    <s v="CG-533a"/>
    <x v="0"/>
    <s v="Reserva Recuperación Secundaria"/>
    <s v="No Posee"/>
    <x v="4"/>
    <s v="Barranca Baya Cerro Grande Norte"/>
    <x v="0"/>
    <s v="NO"/>
    <n v="1.1760000000000002"/>
    <n v="0"/>
  </r>
  <r>
    <x v="2741"/>
    <s v="CG-534a"/>
    <x v="0"/>
    <s v="Reserva Recuperación Secundaria"/>
    <s v="Pistoneo"/>
    <x v="4"/>
    <s v="Barranca Baya Cerro Grande Norte"/>
    <x v="0"/>
    <s v="NO"/>
    <n v="0.24400000000000002"/>
    <n v="0"/>
  </r>
  <r>
    <x v="2742"/>
    <s v="LH-6"/>
    <x v="0"/>
    <s v="Produciendo"/>
    <s v="Inyección"/>
    <x v="1"/>
    <s v="Las Heras Las Heras Bloque 3"/>
    <x v="0"/>
    <s v="NO"/>
    <n v="0"/>
    <n v="0"/>
  </r>
  <r>
    <x v="2743"/>
    <s v="LH-597"/>
    <x v="0"/>
    <s v="Produciendo"/>
    <s v="Bombeo Mecánico"/>
    <x v="1"/>
    <s v="Las Heras Central Sur"/>
    <x v="0"/>
    <s v="NO"/>
    <n v="1.6"/>
    <n v="0"/>
  </r>
  <r>
    <x v="2744"/>
    <s v="LH-619"/>
    <x v="0"/>
    <s v="Produciendo"/>
    <s v="Pistoneo"/>
    <x v="1"/>
    <s v="Las Heras Central Sur"/>
    <x v="0"/>
    <s v="NO"/>
    <n v="1.0920000000000001"/>
    <n v="0"/>
  </r>
  <r>
    <x v="2745"/>
    <s v="LH-739"/>
    <x v="0"/>
    <s v="Abandono Permanente"/>
    <s v="No Posee"/>
    <x v="3"/>
    <s v="Las Heras Bloque 2"/>
    <x v="0"/>
    <s v="NO"/>
    <s v="NO"/>
    <s v="NO"/>
  </r>
  <r>
    <x v="2746"/>
    <s v="LH-778"/>
    <x v="0"/>
    <s v="Reserva Recuperación Secundaria"/>
    <s v="No Posee"/>
    <x v="4"/>
    <s v="Las Heras Cerro Grande Sur"/>
    <x v="0"/>
    <s v="NO"/>
    <s v="NO"/>
    <s v="NO"/>
  </r>
  <r>
    <x v="2747"/>
    <s v="LH-837"/>
    <x v="0"/>
    <s v="Abandono Permanente"/>
    <s v="No Posee"/>
    <x v="3"/>
    <s v="Las Heras Bloque 2"/>
    <x v="0"/>
    <s v="NO"/>
    <n v="0.45"/>
    <n v="0"/>
  </r>
  <r>
    <x v="2748"/>
    <s v="CG-115"/>
    <x v="0"/>
    <s v="Reserva Recuperación Secundaria"/>
    <s v="No Posee"/>
    <x v="4"/>
    <s v="Barranca Baya Bloque 26"/>
    <x v="0"/>
    <s v="NO"/>
    <n v="0.8"/>
    <n v="0"/>
  </r>
  <r>
    <x v="2749"/>
    <s v="CG-178"/>
    <x v="0"/>
    <s v="Produciendo"/>
    <s v="Bombeo Mecánico"/>
    <x v="1"/>
    <s v="Cerro Grande Central"/>
    <x v="0"/>
    <s v="NO"/>
    <n v="2.2800000000000002"/>
    <n v="0"/>
  </r>
  <r>
    <x v="2750"/>
    <s v="CG-209"/>
    <x v="0"/>
    <s v="Produciendo"/>
    <s v="Inyección"/>
    <x v="1"/>
    <s v="Barranca Baya Cerro Grande Norte"/>
    <x v="0"/>
    <s v="NO"/>
    <n v="0"/>
    <n v="0"/>
  </r>
  <r>
    <x v="2751"/>
    <s v="CG-228"/>
    <x v="0"/>
    <s v="Produciendo"/>
    <s v="Bombeo Mecánico"/>
    <x v="1"/>
    <s v="Barranca Baya Bloque 26"/>
    <x v="0"/>
    <s v="NO"/>
    <n v="1.8"/>
    <n v="0"/>
  </r>
  <r>
    <x v="2752"/>
    <s v="CG-254"/>
    <x v="0"/>
    <s v="Reserva Recuperación Secundaria"/>
    <s v="Bombeo Mecánico"/>
    <x v="4"/>
    <s v="Cerro Grande Central"/>
    <x v="0"/>
    <s v="NO"/>
    <n v="1.1220000000000001"/>
    <n v="0"/>
  </r>
  <r>
    <x v="2753"/>
    <s v="CG-406"/>
    <x v="0"/>
    <s v="Reserva Recuperación Secundaria"/>
    <s v="No Posee"/>
    <x v="4"/>
    <s v="Barranca Baya Bloque 26"/>
    <x v="0"/>
    <s v="NO"/>
    <n v="0.68600000000000005"/>
    <n v="0"/>
  </r>
  <r>
    <x v="2754"/>
    <s v="CG-412"/>
    <x v="0"/>
    <s v="Abandono Permanente"/>
    <s v="No Posee"/>
    <x v="3"/>
    <s v="Cerro Grande Central"/>
    <x v="0"/>
    <s v="NO"/>
    <s v="NO"/>
    <s v="NO"/>
  </r>
  <r>
    <x v="2755"/>
    <s v="CG-453"/>
    <x v="0"/>
    <s v="Produciendo"/>
    <s v="Bombeo Mecánico"/>
    <x v="1"/>
    <s v="Cerro Grande Central"/>
    <x v="0"/>
    <s v="NO"/>
    <n v="0.72"/>
    <n v="0"/>
  </r>
  <r>
    <x v="2756"/>
    <s v="CG-502"/>
    <x v="0"/>
    <s v="Produciendo"/>
    <s v="Bombeo Mecánico"/>
    <x v="1"/>
    <s v="Barranca Baya Las Heras Bloque 3"/>
    <x v="0"/>
    <s v="NO"/>
    <n v="0.434"/>
    <n v="0"/>
  </r>
  <r>
    <x v="2757"/>
    <s v="N-59"/>
    <x v="0"/>
    <s v="Abandono Permanente"/>
    <s v="No Posee"/>
    <x v="3"/>
    <s v="Lomas del Cuy- Cerro Grande Norte"/>
    <x v="0"/>
    <s v="NO"/>
    <s v="NO"/>
    <s v="NO"/>
  </r>
  <r>
    <x v="2758"/>
    <s v="CnE-121"/>
    <x v="0"/>
    <s v="Produciendo"/>
    <s v="Bombeo Mecánico"/>
    <x v="1"/>
    <s v="Barranca Baya Bloque 40"/>
    <x v="0"/>
    <s v="NO"/>
    <n v="1.26"/>
    <n v="0"/>
  </r>
  <r>
    <x v="2759"/>
    <s v="CnE-200"/>
    <x v="0"/>
    <s v="Produciendo"/>
    <s v="Pistoneo"/>
    <x v="1"/>
    <s v="Barranca Baya Bloque 38"/>
    <x v="0"/>
    <s v="NO"/>
    <n v="9.6000000000000002E-2"/>
    <n v="0"/>
  </r>
  <r>
    <x v="2760"/>
    <s v="CnE-205"/>
    <x v="0"/>
    <s v="Produciendo"/>
    <s v="Electro Sumergible"/>
    <x v="1"/>
    <s v="Barranca Baya Bloque 26"/>
    <x v="0"/>
    <s v="NO"/>
    <n v="1.01"/>
    <n v="0"/>
  </r>
  <r>
    <x v="2761"/>
    <s v="CnE-250"/>
    <x v="0"/>
    <s v="Produciendo"/>
    <s v="Bombeo Mecánico"/>
    <x v="1"/>
    <s v="Barranca Baya Bloque 30"/>
    <x v="0"/>
    <s v="NO"/>
    <n v="2.2000000000000002"/>
    <n v="0"/>
  </r>
  <r>
    <x v="2762"/>
    <s v="CnE-288"/>
    <x v="0"/>
    <s v="Produciendo"/>
    <s v="Pistoneo"/>
    <x v="1"/>
    <s v="Barranca Baya Bloque 30"/>
    <x v="0"/>
    <s v="NO"/>
    <n v="0.115"/>
    <n v="0"/>
  </r>
  <r>
    <x v="2763"/>
    <s v="CnE-513"/>
    <x v="0"/>
    <s v="Produciendo"/>
    <s v="Electro Sumergible"/>
    <x v="1"/>
    <s v="Barranca Baya Bloque 36"/>
    <x v="0"/>
    <s v="NO"/>
    <n v="1.98"/>
    <n v="0"/>
  </r>
  <r>
    <x v="2764"/>
    <s v="CnE-645"/>
    <x v="0"/>
    <s v="Produciendo"/>
    <s v="Bombeo Mecánico"/>
    <x v="1"/>
    <s v="Barranca Baya"/>
    <x v="0"/>
    <s v="NO"/>
    <n v="1.1200000000000001"/>
    <n v="0"/>
  </r>
  <r>
    <x v="2765"/>
    <s v="CnE-704"/>
    <x v="0"/>
    <s v="Reserva Recuperación Secundaria"/>
    <s v="No Posee"/>
    <x v="4"/>
    <s v="Barranca Baya Bloque 38"/>
    <x v="0"/>
    <s v="NO"/>
    <n v="0.45"/>
    <n v="0"/>
  </r>
  <r>
    <x v="2766"/>
    <s v="N-9"/>
    <x v="0"/>
    <s v="Abandono Permanente"/>
    <s v="No Posee"/>
    <x v="3"/>
    <s v="Barranca Baya Cerro Grande Noroeste"/>
    <x v="0"/>
    <s v="NO"/>
    <s v="NO"/>
    <s v="NO"/>
  </r>
  <r>
    <x v="2767"/>
    <s v="N-28"/>
    <x v="0"/>
    <s v="Abandono Permanente"/>
    <s v="No Posee"/>
    <x v="3"/>
    <s v="Lomas del Cuy- Cerro Grande Noroeste"/>
    <x v="0"/>
    <s v="NO"/>
    <n v="1.6640000000000001"/>
    <n v="0"/>
  </r>
  <r>
    <x v="2768"/>
    <s v="CnE-98"/>
    <x v="0"/>
    <s v="Reserva Recuperación Secundaria"/>
    <s v="No Posee"/>
    <x v="4"/>
    <s v="Barranca Baya Bloque 26"/>
    <x v="0"/>
    <s v="NO"/>
    <n v="0.6"/>
    <n v="0"/>
  </r>
  <r>
    <x v="2769"/>
    <s v="CnE-229"/>
    <x v="0"/>
    <s v="Produciendo"/>
    <s v="Inyección"/>
    <x v="1"/>
    <s v="Barranca Baya Bloque 30"/>
    <x v="0"/>
    <s v="NO"/>
    <n v="0"/>
    <n v="0"/>
  </r>
  <r>
    <x v="2770"/>
    <s v="CnE-253"/>
    <x v="0"/>
    <s v="Produciendo"/>
    <s v="Bombeo Mecánico"/>
    <x v="1"/>
    <s v="Barranca Baya Bloque 30"/>
    <x v="0"/>
    <s v="NO"/>
    <n v="0.52500000000000002"/>
    <n v="0"/>
  </r>
  <r>
    <x v="2771"/>
    <s v="CnE-265"/>
    <x v="0"/>
    <s v="Produciendo"/>
    <s v="Bombeo Mecánico"/>
    <x v="1"/>
    <s v="Barranca Baya Bloque 30"/>
    <x v="0"/>
    <s v="NO"/>
    <n v="1.1400000000000001"/>
    <n v="0"/>
  </r>
  <r>
    <x v="2772"/>
    <s v="CnE-463"/>
    <x v="0"/>
    <s v="Produciendo"/>
    <s v="Bombeo Mecánico"/>
    <x v="1"/>
    <s v="Barranca Baya Bloque 30"/>
    <x v="0"/>
    <s v="NO"/>
    <n v="0.60799999999999998"/>
    <n v="0"/>
  </r>
  <r>
    <x v="2773"/>
    <s v="CnE-525"/>
    <x v="0"/>
    <s v="Produciendo"/>
    <s v="Bombeo Mecánico"/>
    <x v="1"/>
    <s v="Barranca Baya Bloque 37"/>
    <x v="0"/>
    <s v="NO"/>
    <n v="0.75"/>
    <n v="0"/>
  </r>
  <r>
    <x v="2774"/>
    <s v="CnE-570"/>
    <x v="0"/>
    <s v="En Estudio"/>
    <s v="Electro Sumergible"/>
    <x v="5"/>
    <s v="Barranca Baya Bloque 36"/>
    <x v="1"/>
    <s v="NO"/>
    <n v="1.04"/>
    <n v="0"/>
  </r>
  <r>
    <x v="2775"/>
    <s v="CnE-649"/>
    <x v="0"/>
    <s v="Reserva Recuperación Secundaria"/>
    <s v="Pistoneo"/>
    <x v="2"/>
    <s v="Barranca Baya"/>
    <x v="0"/>
    <s v="NO"/>
    <n v="0.01"/>
    <s v="Ultimo Año"/>
  </r>
  <r>
    <x v="2776"/>
    <s v="CnE-721"/>
    <x v="0"/>
    <s v="Produciendo"/>
    <s v="Bombeo Mecánico"/>
    <x v="1"/>
    <s v="Barranca Baya Bloque 37"/>
    <x v="0"/>
    <s v="NO"/>
    <n v="0.27800000000000002"/>
    <n v="0"/>
  </r>
  <r>
    <x v="2777"/>
    <s v="CnE-771"/>
    <x v="0"/>
    <s v="Produciendo"/>
    <s v="Electro Sumergible"/>
    <x v="1"/>
    <s v="Barranca Baya Bloque 36"/>
    <x v="0"/>
    <s v="Oportunidad"/>
    <n v="2.4500000000000002"/>
    <n v="0"/>
  </r>
  <r>
    <x v="2778"/>
    <s v="CnE-844"/>
    <x v="0"/>
    <s v="Produciendo"/>
    <s v="Bombeo Mecánico"/>
    <x v="1"/>
    <s v="Barranca Baya Bloque 37"/>
    <x v="0"/>
    <s v="NO"/>
    <n v="2.875"/>
    <n v="0"/>
  </r>
  <r>
    <x v="2779"/>
    <s v="BB-54"/>
    <x v="0"/>
    <s v="Abandono Permanente"/>
    <s v="No Posee"/>
    <x v="3"/>
    <s v="Barranca Baya"/>
    <x v="0"/>
    <s v="NO"/>
    <n v="4.92"/>
    <n v="0"/>
  </r>
  <r>
    <x v="2780"/>
    <s v="BB-96"/>
    <x v="0"/>
    <s v="Produciendo"/>
    <s v="Inyección"/>
    <x v="1"/>
    <s v="Barranca Baya"/>
    <x v="0"/>
    <s v="NO"/>
    <n v="0"/>
    <n v="0"/>
  </r>
  <r>
    <x v="2781"/>
    <s v="LH-79"/>
    <x v="0"/>
    <s v="Abandono Permanente"/>
    <s v="No Posee"/>
    <x v="3"/>
    <s v="Las Heras Cerro Grande Sur"/>
    <x v="0"/>
    <s v="NO"/>
    <n v="0.14400000000000002"/>
    <n v="0"/>
  </r>
  <r>
    <x v="2782"/>
    <s v="LH-284"/>
    <x v="0"/>
    <s v="Reserva Recuperación Secundaria"/>
    <s v="No Posee"/>
    <x v="4"/>
    <s v="Las Heras Central Sur"/>
    <x v="0"/>
    <s v="NO"/>
    <n v="7.3000000000000009E-2"/>
    <n v="0"/>
  </r>
  <r>
    <x v="2783"/>
    <s v="LC-625"/>
    <x v="0"/>
    <s v="Produciendo"/>
    <s v="Bombeo Mecánico"/>
    <x v="1"/>
    <s v="Lomas del Cuy- Cerro Grande Noroeste"/>
    <x v="0"/>
    <s v="NO"/>
    <n v="0.44"/>
    <n v="0"/>
  </r>
  <r>
    <x v="2784"/>
    <s v="CnE-864"/>
    <x v="0"/>
    <s v="Produciendo"/>
    <s v="Inyección"/>
    <x v="1"/>
    <s v="Barranca Baya Bloque 36"/>
    <x v="0"/>
    <s v="NO"/>
    <n v="0"/>
    <n v="0"/>
  </r>
  <r>
    <x v="2785"/>
    <s v="LH-1019a"/>
    <x v="0"/>
    <s v="Abandono Permanente"/>
    <s v="No Posee"/>
    <x v="3"/>
    <s v="Las Heras Las Heras Bloque 3"/>
    <x v="0"/>
    <s v="NO"/>
    <n v="1.7290000000000001"/>
    <n v="0"/>
  </r>
  <r>
    <x v="2786"/>
    <s v="CnE-901a"/>
    <x v="0"/>
    <s v="Reserva Recuperación Secundaria"/>
    <s v="Pistoneo"/>
    <x v="4"/>
    <s v="Barranca Baya Bloque 36"/>
    <x v="0"/>
    <s v="NO"/>
    <n v="2.9000000000000001E-2"/>
    <n v="0"/>
  </r>
  <r>
    <x v="2787"/>
    <s v="LH-1078a"/>
    <x v="0"/>
    <s v="Produciendo"/>
    <s v="Bombeo Mecánico"/>
    <x v="1"/>
    <s v="Las Heras Central Sur"/>
    <x v="0"/>
    <s v="NO"/>
    <n v="1.6280000000000001"/>
    <n v="0"/>
  </r>
  <r>
    <x v="2788"/>
    <s v="CG-560a"/>
    <x v="0"/>
    <s v="Produciendo"/>
    <s v="Inyección"/>
    <x v="1"/>
    <s v="Cerro Grande Noreste"/>
    <x v="0"/>
    <s v="NO"/>
    <n v="0"/>
    <n v="0"/>
  </r>
  <r>
    <x v="2789"/>
    <s v="CnE-922a"/>
    <x v="0"/>
    <s v="Reserva Recuperación Secundaria"/>
    <s v="Pistoneo"/>
    <x v="4"/>
    <s v="Barranca Baya Bloque 36"/>
    <x v="0"/>
    <s v="NO"/>
    <n v="0.192"/>
    <n v="0"/>
  </r>
  <r>
    <x v="2790"/>
    <s v="BB-97"/>
    <x v="0"/>
    <s v="Produciendo"/>
    <s v="Electro Sumergible"/>
    <x v="1"/>
    <s v="Barranca Baya"/>
    <x v="0"/>
    <s v="NO"/>
    <n v="3.6"/>
    <n v="0"/>
  </r>
  <r>
    <x v="2791"/>
    <s v="LH-13"/>
    <x v="0"/>
    <s v="Reserva Recuperación Secundaria"/>
    <s v="Inyección"/>
    <x v="4"/>
    <s v="Las Heras Central Sur"/>
    <x v="0"/>
    <s v="NO"/>
    <n v="0"/>
    <n v="0"/>
  </r>
  <r>
    <x v="2792"/>
    <s v="LH-42"/>
    <x v="0"/>
    <s v="Espera Equipo Reparación"/>
    <s v="Bombeo Mecánico"/>
    <x v="5"/>
    <s v="Las Heras Central Sur"/>
    <x v="1"/>
    <s v="NO"/>
    <n v="1.2"/>
    <s v="Ultimo Año"/>
  </r>
  <r>
    <x v="2793"/>
    <s v="LH-281"/>
    <x v="0"/>
    <s v="Produciendo"/>
    <s v="Bombeo Mecánico"/>
    <x v="1"/>
    <s v="Las Heras Central Sur"/>
    <x v="0"/>
    <s v="NO"/>
    <n v="0.375"/>
    <n v="0"/>
  </r>
  <r>
    <x v="2794"/>
    <s v="LH-543"/>
    <x v="0"/>
    <s v="Reserva Recuperación Secundaria"/>
    <s v="Pistoneo"/>
    <x v="4"/>
    <s v="Las Heras Central Sur"/>
    <x v="0"/>
    <s v="NO"/>
    <n v="0.38500000000000001"/>
    <n v="0"/>
  </r>
  <r>
    <x v="2795"/>
    <s v="CnE-859"/>
    <x v="0"/>
    <s v="Produciendo"/>
    <s v="Bombeo Mecánico"/>
    <x v="1"/>
    <s v="Barranca Baya Bloque 36"/>
    <x v="0"/>
    <s v="NO"/>
    <n v="1.6"/>
    <n v="0"/>
  </r>
  <r>
    <x v="2796"/>
    <s v="CG-5"/>
    <x v="0"/>
    <s v="Produciendo"/>
    <s v="Bombeo Mecánico"/>
    <x v="1"/>
    <s v="Barranca Baya Cerro Grande Noroeste"/>
    <x v="0"/>
    <s v="NO"/>
    <n v="2.2200000000000002"/>
    <n v="0"/>
  </r>
  <r>
    <x v="2797"/>
    <s v="O-173"/>
    <x v="0"/>
    <s v="Abandono Permanente"/>
    <s v="No Posee"/>
    <x v="5"/>
    <s v="Barranca Baya"/>
    <x v="1"/>
    <s v="NO"/>
    <s v="NO"/>
    <s v="NO"/>
  </r>
  <r>
    <x v="2798"/>
    <s v="LH-130"/>
    <x v="0"/>
    <s v="Produciendo"/>
    <s v="Inyección"/>
    <x v="1"/>
    <s v="Las Heras Las Heras Bloque 3"/>
    <x v="0"/>
    <s v="NO"/>
    <n v="0"/>
    <n v="0"/>
  </r>
  <r>
    <x v="2799"/>
    <s v="LH-131"/>
    <x v="0"/>
    <s v="Produciendo"/>
    <s v="Pistoneo"/>
    <x v="1"/>
    <s v="Las Heras Las Heras Bloque 3"/>
    <x v="0"/>
    <s v="NO"/>
    <n v="0.221"/>
    <n v="0"/>
  </r>
  <r>
    <x v="2800"/>
    <s v="LH-168"/>
    <x v="0"/>
    <s v="Abandono Permanente"/>
    <s v="No Posee"/>
    <x v="3"/>
    <s v="Las Heras Las Heras Bloque 3"/>
    <x v="0"/>
    <s v="NO"/>
    <n v="0"/>
    <n v="0"/>
  </r>
  <r>
    <x v="2801"/>
    <s v="LH-274"/>
    <x v="0"/>
    <s v="Produciendo"/>
    <s v="Bombeo Mecánico"/>
    <x v="1"/>
    <s v="Las Heras Cerro Grande Sur"/>
    <x v="0"/>
    <s v="NO"/>
    <n v="0.70000000000000007"/>
    <n v="0"/>
  </r>
  <r>
    <x v="2802"/>
    <s v="LH-332"/>
    <x v="0"/>
    <s v="Reserva Recuperación Secundaria"/>
    <s v="Pistoneo"/>
    <x v="4"/>
    <s v="Las Heras Central Sur"/>
    <x v="0"/>
    <s v="NO"/>
    <n v="2.8000000000000001E-2"/>
    <n v="0"/>
  </r>
  <r>
    <x v="2803"/>
    <s v="LH-598"/>
    <x v="0"/>
    <s v="Reserva Recuperación Secundaria"/>
    <s v="No Posee"/>
    <x v="4"/>
    <s v="Las Heras Central Sur"/>
    <x v="0"/>
    <s v="NO"/>
    <n v="0.8"/>
    <n v="0"/>
  </r>
  <r>
    <x v="2804"/>
    <s v="LH-767"/>
    <x v="0"/>
    <s v="Produciendo"/>
    <s v="Pistoneo"/>
    <x v="1"/>
    <s v="Las Heras Bloque 2"/>
    <x v="0"/>
    <s v="NO"/>
    <n v="0.113"/>
    <n v="0"/>
  </r>
  <r>
    <x v="2805"/>
    <s v="LH-834"/>
    <x v="0"/>
    <s v="Reserva Recuperación Secundaria"/>
    <s v="Bombeo Mecánico"/>
    <x v="4"/>
    <s v="Las Heras Central Sur"/>
    <x v="0"/>
    <s v="NO"/>
    <n v="0.2"/>
    <n v="0"/>
  </r>
  <r>
    <x v="2806"/>
    <s v="LH-919"/>
    <x v="0"/>
    <s v="Produciendo"/>
    <s v="Bombeo Mecánico"/>
    <x v="1"/>
    <s v="Las Heras Las Heras Bloque 3"/>
    <x v="0"/>
    <s v="NO"/>
    <n v="1.085"/>
    <n v="0"/>
  </r>
  <r>
    <x v="2807"/>
    <s v="CG-19"/>
    <x v="0"/>
    <s v="Produciendo"/>
    <s v="Bombeo Mecánico"/>
    <x v="1"/>
    <s v="Barranca Baya Las Heras Bloque 3"/>
    <x v="0"/>
    <s v="NO"/>
    <n v="1.071"/>
    <n v="0"/>
  </r>
  <r>
    <x v="2808"/>
    <s v="CG-109"/>
    <x v="0"/>
    <s v="Espera Equipo Reparación"/>
    <s v="No Posee"/>
    <x v="5"/>
    <s v="Barranca Baya Bloque 26"/>
    <x v="1"/>
    <s v="NO"/>
    <n v="0.8"/>
    <s v="Ultimo Año"/>
  </r>
  <r>
    <x v="2809"/>
    <s v="CG-121"/>
    <x v="0"/>
    <s v="Abandono Permanente"/>
    <s v="No Posee"/>
    <x v="3"/>
    <s v="Barranca Baya Las Heras Bloque 3"/>
    <x v="0"/>
    <s v="NO"/>
    <n v="0.03"/>
    <n v="0"/>
  </r>
  <r>
    <x v="2810"/>
    <s v="CG-156"/>
    <x v="0"/>
    <s v="Produciendo"/>
    <s v="Inyección"/>
    <x v="1"/>
    <s v="Cerro Grande Central"/>
    <x v="0"/>
    <s v="NO"/>
    <n v="0"/>
    <n v="0"/>
  </r>
  <r>
    <x v="2811"/>
    <s v="CG-180"/>
    <x v="0"/>
    <s v="Produciendo"/>
    <s v="Bombeo Mecánico"/>
    <x v="1"/>
    <s v="Cerro Grande Central"/>
    <x v="0"/>
    <s v="NO"/>
    <n v="1.1000000000000001"/>
    <n v="0"/>
  </r>
  <r>
    <x v="2812"/>
    <s v="CG-375"/>
    <x v="0"/>
    <s v="Reserva Recuperación Secundaria"/>
    <s v="No Posee"/>
    <x v="4"/>
    <s v="Barranca Baya Bloque 26"/>
    <x v="0"/>
    <s v="NO"/>
    <n v="0.46"/>
    <n v="0"/>
  </r>
  <r>
    <x v="2813"/>
    <s v="CG-427"/>
    <x v="0"/>
    <s v="Reserva Recuperación Secundaria"/>
    <s v="Inyección"/>
    <x v="4"/>
    <s v="Barranca Baya Bloque 26"/>
    <x v="0"/>
    <s v="NO"/>
    <n v="0"/>
    <n v="0"/>
  </r>
  <r>
    <x v="2814"/>
    <s v="LC-167"/>
    <x v="0"/>
    <s v="Reserva Recuperación Secundaria"/>
    <s v="No Posee"/>
    <x v="4"/>
    <s v="Lomas del Cuy- Cerro Grande Sur"/>
    <x v="0"/>
    <s v="NO"/>
    <n v="0.65"/>
    <n v="0"/>
  </r>
  <r>
    <x v="2815"/>
    <s v="LC-538"/>
    <x v="0"/>
    <s v="Produciendo"/>
    <s v="Bombeo Mecánico"/>
    <x v="1"/>
    <s v="Lomas del Cuy- Cerro Grande Noroeste"/>
    <x v="0"/>
    <s v="NO"/>
    <n v="1.802"/>
    <n v="0"/>
  </r>
  <r>
    <x v="2816"/>
    <s v="CnE-16"/>
    <x v="0"/>
    <s v="Espera Equipo Reparación"/>
    <s v="Inyección"/>
    <x v="5"/>
    <s v="Barranca Baya Bloque 26"/>
    <x v="1"/>
    <s v="NO"/>
    <n v="0"/>
    <n v="0"/>
  </r>
  <r>
    <x v="2817"/>
    <s v="CnE-45"/>
    <x v="0"/>
    <s v="Produciendo"/>
    <s v="Inyección"/>
    <x v="1"/>
    <s v="Barranca Baya Bloque 26"/>
    <x v="0"/>
    <s v="NO"/>
    <n v="0"/>
    <n v="0"/>
  </r>
  <r>
    <x v="2818"/>
    <s v="CnE-197"/>
    <x v="0"/>
    <s v="Produciendo"/>
    <s v="Bombeo Mecánico"/>
    <x v="1"/>
    <s v="Barranca Baya Bloque 30"/>
    <x v="0"/>
    <s v="NO"/>
    <n v="0.75"/>
    <n v="0"/>
  </r>
  <r>
    <x v="2819"/>
    <s v="CnE-258"/>
    <x v="0"/>
    <s v="Produciendo"/>
    <s v="Bombeo Mecánico"/>
    <x v="1"/>
    <s v="Barranca Baya Bloque 30"/>
    <x v="0"/>
    <s v="NO"/>
    <n v="0.71200000000000008"/>
    <n v="0"/>
  </r>
  <r>
    <x v="2820"/>
    <s v="CnE-308"/>
    <x v="0"/>
    <s v="Produciendo"/>
    <s v="Inyección"/>
    <x v="1"/>
    <s v="Barranca Baya Bloque 26"/>
    <x v="0"/>
    <s v="NO"/>
    <n v="0"/>
    <n v="0"/>
  </r>
  <r>
    <x v="2821"/>
    <s v="CnE-351"/>
    <x v="0"/>
    <s v="Reserva Recuperación Secundaria"/>
    <s v="No Posee"/>
    <x v="4"/>
    <s v="Barranca Baya Bloque 36"/>
    <x v="0"/>
    <s v="NO"/>
    <n v="0.24"/>
    <n v="0"/>
  </r>
  <r>
    <x v="2822"/>
    <s v="CnE-392"/>
    <x v="0"/>
    <s v="Reserva Recuperación Secundaria"/>
    <s v="No Posee"/>
    <x v="4"/>
    <s v="Barranca Baya Bloque 36"/>
    <x v="0"/>
    <s v="NO"/>
    <n v="0.88"/>
    <n v="0"/>
  </r>
  <r>
    <x v="2823"/>
    <s v="CnE-441"/>
    <x v="0"/>
    <s v="Produciendo"/>
    <s v="Bombeo Mecánico"/>
    <x v="1"/>
    <s v="Barranca Baya Bloque 36"/>
    <x v="0"/>
    <s v="NO"/>
    <n v="0.6"/>
    <n v="0"/>
  </r>
  <r>
    <x v="2824"/>
    <s v="SCa-1"/>
    <x v="0"/>
    <s v="Reserva Recuperación Secundaria"/>
    <s v="Bombeo Mecánico"/>
    <x v="4"/>
    <s v="Barranca Baya Bloque 30"/>
    <x v="0"/>
    <s v="NO"/>
    <n v="0.51900000000000002"/>
    <n v="0"/>
  </r>
  <r>
    <x v="2825"/>
    <s v="CnE-854"/>
    <x v="0"/>
    <s v="Abandono Permanente"/>
    <s v="No Posee"/>
    <x v="3"/>
    <s v="Barranca Baya Bloque 36"/>
    <x v="0"/>
    <s v="NO"/>
    <n v="0.18"/>
    <n v="0"/>
  </r>
  <r>
    <x v="2826"/>
    <s v="CnE-136"/>
    <x v="0"/>
    <s v="Abandono Permanente"/>
    <s v="Pistoneo"/>
    <x v="5"/>
    <s v="Barranca Baya Bloque 38"/>
    <x v="1"/>
    <s v="NO"/>
    <n v="0.192"/>
    <n v="0"/>
  </r>
  <r>
    <x v="2827"/>
    <s v="CEO-3"/>
    <x v="0"/>
    <s v="Abandono Permanente"/>
    <s v="No Posee"/>
    <x v="3"/>
    <s v="Barranca Baya Bloque 30"/>
    <x v="0"/>
    <s v="NO"/>
    <s v="NO"/>
    <s v="NO"/>
  </r>
  <r>
    <x v="2828"/>
    <s v="CEO-4"/>
    <x v="0"/>
    <s v="Abandono Permanente"/>
    <s v="No Posee"/>
    <x v="3"/>
    <s v="Barranca Baya Bloque 37"/>
    <x v="0"/>
    <s v="NO"/>
    <s v="NO"/>
    <s v="NO"/>
  </r>
  <r>
    <x v="2829"/>
    <s v="CG-374"/>
    <x v="0"/>
    <s v="Reserva Recuperación Secundaria"/>
    <s v="No Posee"/>
    <x v="4"/>
    <s v="Barranca Baya Bloque 26"/>
    <x v="0"/>
    <s v="NO"/>
    <n v="0.158"/>
    <n v="0"/>
  </r>
  <r>
    <x v="2830"/>
    <s v="LH-480"/>
    <x v="0"/>
    <s v="Reserva Recuperación Secundaria"/>
    <s v="Pistoneo"/>
    <x v="2"/>
    <s v="Las Heras Central Sur"/>
    <x v="0"/>
    <s v="NO"/>
    <n v="2.8000000000000001E-2"/>
    <s v="Ultimo Año"/>
  </r>
  <r>
    <x v="2831"/>
    <s v="CG-299"/>
    <x v="0"/>
    <s v="Reserva Recuperación Secundaria"/>
    <s v="No Posee"/>
    <x v="4"/>
    <s v="Cerro Grande Central"/>
    <x v="0"/>
    <s v="NO"/>
    <s v="NO"/>
    <s v="NO"/>
  </r>
  <r>
    <x v="2832"/>
    <s v="LH-179"/>
    <x v="0"/>
    <s v="Abandono Permanente"/>
    <s v="No Posee"/>
    <x v="3"/>
    <s v="Las Heras Las Heras Bloque 3"/>
    <x v="0"/>
    <s v="NO"/>
    <s v="NO"/>
    <s v="NO"/>
  </r>
  <r>
    <x v="2833"/>
    <s v="CG-43"/>
    <x v="0"/>
    <s v="Espera Equipo Reparación"/>
    <s v="No Posee"/>
    <x v="4"/>
    <s v="Barranca Baya Cerro Grande Sur"/>
    <x v="0"/>
    <s v="NO"/>
    <n v="0"/>
    <n v="0"/>
  </r>
  <r>
    <x v="2834"/>
    <s v="BB-105a"/>
    <x v="0"/>
    <s v="Reserva Recuperación Secundaria"/>
    <s v="No Posee"/>
    <x v="4"/>
    <s v="Barranca Baya Bloque 36"/>
    <x v="0"/>
    <s v="NO"/>
    <n v="0.35000000000000003"/>
    <n v="0"/>
  </r>
  <r>
    <x v="2835"/>
    <s v="LH-49"/>
    <x v="0"/>
    <s v="Produciendo"/>
    <s v="Bombeo Mecánico"/>
    <x v="1"/>
    <s v="Las Heras Las Heras Bloque 3"/>
    <x v="0"/>
    <s v="NO"/>
    <n v="0.9"/>
    <n v="0"/>
  </r>
  <r>
    <x v="2836"/>
    <s v="LH-155"/>
    <x v="0"/>
    <s v="Abandono Permanente"/>
    <s v="No Posee"/>
    <x v="3"/>
    <s v="Las Heras Bloque 2"/>
    <x v="0"/>
    <s v="NO"/>
    <n v="0"/>
    <n v="0"/>
  </r>
  <r>
    <x v="2837"/>
    <s v="LH-157"/>
    <x v="0"/>
    <s v="Reserva Recuperación Secundaria"/>
    <s v="Pistoneo"/>
    <x v="4"/>
    <s v="Las Heras Cerro Grande Sur"/>
    <x v="0"/>
    <s v="NO"/>
    <n v="0.01"/>
    <n v="0"/>
  </r>
  <r>
    <x v="2838"/>
    <s v="LH-252"/>
    <x v="0"/>
    <s v="Produciendo"/>
    <s v="Inyección"/>
    <x v="1"/>
    <s v="Las Heras Central Sur"/>
    <x v="0"/>
    <s v="NO"/>
    <n v="0"/>
    <n v="0"/>
  </r>
  <r>
    <x v="2839"/>
    <s v="LH-558"/>
    <x v="0"/>
    <s v="Produciendo"/>
    <s v="Bombeo Mecánico"/>
    <x v="1"/>
    <s v="Las Heras Las Heras Bloque 3"/>
    <x v="0"/>
    <s v="NO"/>
    <n v="0.79200000000000004"/>
    <n v="0"/>
  </r>
  <r>
    <x v="2840"/>
    <s v="LH-579"/>
    <x v="0"/>
    <s v="Produciendo"/>
    <s v="Bombeo Mecánico"/>
    <x v="1"/>
    <s v="Las Heras Central Sur"/>
    <x v="0"/>
    <s v="NO"/>
    <n v="0.24700000000000003"/>
    <n v="0"/>
  </r>
  <r>
    <x v="2841"/>
    <s v="LH-699"/>
    <x v="0"/>
    <s v="Produciendo"/>
    <s v="Pistoneo"/>
    <x v="1"/>
    <s v="Las Heras Bloque 2"/>
    <x v="0"/>
    <s v="NO"/>
    <n v="0.113"/>
    <n v="0"/>
  </r>
  <r>
    <x v="2842"/>
    <s v="LH-854"/>
    <x v="0"/>
    <s v="Abandono Permanente"/>
    <s v="No Posee"/>
    <x v="3"/>
    <s v="Las Heras Central Sur"/>
    <x v="0"/>
    <s v="NO"/>
    <s v="NO"/>
    <s v="NO"/>
  </r>
  <r>
    <x v="2843"/>
    <s v="LH-878"/>
    <x v="0"/>
    <s v="Produciendo"/>
    <s v="Cavidad Progresiva"/>
    <x v="1"/>
    <s v="Las Heras Bloque 2"/>
    <x v="0"/>
    <s v="NO"/>
    <n v="1.3360000000000001"/>
    <n v="0"/>
  </r>
  <r>
    <x v="2844"/>
    <s v="LH-939"/>
    <x v="0"/>
    <s v="Produciendo"/>
    <s v="Inyección"/>
    <x v="1"/>
    <s v="Las Heras Bloque 2"/>
    <x v="0"/>
    <s v="NO"/>
    <n v="0"/>
    <n v="0"/>
  </r>
  <r>
    <x v="2845"/>
    <s v="LH-941"/>
    <x v="0"/>
    <s v="Espera Equipo Reparación"/>
    <s v="Bombeo Mecánico"/>
    <x v="5"/>
    <s v="Las Heras Bloque 2"/>
    <x v="1"/>
    <s v="NO"/>
    <n v="0.37"/>
    <n v="0"/>
  </r>
  <r>
    <x v="2846"/>
    <s v="CG-26"/>
    <x v="0"/>
    <s v="Produciendo"/>
    <s v="Bombeo Mecánico"/>
    <x v="1"/>
    <s v="Lomas del Cuy- Cerro Grande Noroeste"/>
    <x v="0"/>
    <s v="NO"/>
    <n v="0.57600000000000007"/>
    <n v="0"/>
  </r>
  <r>
    <x v="2847"/>
    <s v="CG-79"/>
    <x v="0"/>
    <s v="Reserva Recuperación Secundaria"/>
    <s v="No Posee"/>
    <x v="4"/>
    <s v="Barranca Baya Bloque 26"/>
    <x v="0"/>
    <s v="NO"/>
    <n v="0.496"/>
    <n v="0"/>
  </r>
  <r>
    <x v="2848"/>
    <s v="CG-82"/>
    <x v="0"/>
    <s v="Produciendo"/>
    <s v="Inyección"/>
    <x v="1"/>
    <s v="Barranca Baya Bloque 26"/>
    <x v="0"/>
    <s v="NO"/>
    <n v="0"/>
    <n v="0"/>
  </r>
  <r>
    <x v="2849"/>
    <s v="CG-103"/>
    <x v="0"/>
    <s v="Espera Equipo Reparación"/>
    <s v="Bombeo Mecánico"/>
    <x v="5"/>
    <s v="Barranca Baya Bloque 26"/>
    <x v="1"/>
    <s v="NO"/>
    <n v="0.6"/>
    <n v="0"/>
  </r>
  <r>
    <x v="2850"/>
    <s v="CG-219"/>
    <x v="0"/>
    <s v="Produciendo"/>
    <s v="Pistoneo"/>
    <x v="1"/>
    <s v="Cerro Grande Central"/>
    <x v="0"/>
    <s v="NO"/>
    <n v="0.12300000000000001"/>
    <n v="0"/>
  </r>
  <r>
    <x v="2851"/>
    <s v="CG-225"/>
    <x v="0"/>
    <s v="Reserva Recuperación Secundaria"/>
    <s v="No Posee"/>
    <x v="4"/>
    <s v="Barranca Baya Cerro Grande Norte"/>
    <x v="0"/>
    <s v="NO"/>
    <n v="0"/>
    <n v="0"/>
  </r>
  <r>
    <x v="2852"/>
    <s v="CG-256"/>
    <x v="0"/>
    <s v="Reserva Recuperación Secundaria"/>
    <s v="No Posee"/>
    <x v="4"/>
    <s v="Cerro Grande Central"/>
    <x v="0"/>
    <s v="NO"/>
    <s v="NO"/>
    <s v="NO"/>
  </r>
  <r>
    <x v="2853"/>
    <s v="CG-279"/>
    <x v="0"/>
    <s v="Produciendo"/>
    <s v="Electro Sumergible"/>
    <x v="1"/>
    <s v="Barranca Baya Cerro Grande Sur"/>
    <x v="0"/>
    <s v="NO"/>
    <n v="4.7700000000000005"/>
    <n v="0"/>
  </r>
  <r>
    <x v="2854"/>
    <s v="CG-280"/>
    <x v="0"/>
    <s v="Produciendo"/>
    <s v="Inyección"/>
    <x v="1"/>
    <s v="Barranca Baya Cerro Grande Sur"/>
    <x v="0"/>
    <s v="NO"/>
    <n v="0"/>
    <n v="0"/>
  </r>
  <r>
    <x v="2855"/>
    <s v="CG-426"/>
    <x v="0"/>
    <s v="Reserva Recuperación Secundaria"/>
    <s v="No Posee"/>
    <x v="4"/>
    <s v="Cerro Grande Central"/>
    <x v="0"/>
    <s v="NO"/>
    <n v="0.68"/>
    <n v="0"/>
  </r>
  <r>
    <x v="2856"/>
    <s v="CG-441"/>
    <x v="0"/>
    <s v="Produciendo"/>
    <s v="Bombeo Mecánico"/>
    <x v="1"/>
    <s v="Cerro Grande Central"/>
    <x v="0"/>
    <s v="NO"/>
    <n v="1.5"/>
    <n v="0"/>
  </r>
  <r>
    <x v="2857"/>
    <s v="CG-455"/>
    <x v="0"/>
    <s v="Espera Equipo Reparación"/>
    <s v="Bombeo Mecánico"/>
    <x v="5"/>
    <s v="Cerro Grande Central"/>
    <x v="1"/>
    <s v="NO"/>
    <n v="0.23700000000000002"/>
    <n v="0"/>
  </r>
  <r>
    <x v="2858"/>
    <s v="CnE-40"/>
    <x v="0"/>
    <s v="Espera Equipo Reparación"/>
    <s v="Inyección"/>
    <x v="6"/>
    <s v="Barranca Baya Bloque 26"/>
    <x v="0"/>
    <s v="Oportunidad"/>
    <n v="0"/>
    <n v="0"/>
  </r>
  <r>
    <x v="2859"/>
    <s v="CnE-44"/>
    <x v="0"/>
    <s v="Abandono Permanente"/>
    <s v="No Posee"/>
    <x v="3"/>
    <s v="Barranca Baya Bloque 26"/>
    <x v="0"/>
    <s v="NO"/>
    <n v="0.42"/>
    <n v="0"/>
  </r>
  <r>
    <x v="2860"/>
    <s v="CnE-163"/>
    <x v="0"/>
    <s v="Produciendo"/>
    <s v="Pistoneo"/>
    <x v="1"/>
    <s v="Barranca Baya Bloque 30"/>
    <x v="0"/>
    <s v="NO"/>
    <n v="2.9000000000000001E-2"/>
    <n v="0"/>
  </r>
  <r>
    <x v="2861"/>
    <s v="CnE-261"/>
    <x v="0"/>
    <s v="Produciendo"/>
    <s v="Inyección"/>
    <x v="1"/>
    <s v="Barranca Baya Bloque 30"/>
    <x v="0"/>
    <s v="NO"/>
    <n v="0"/>
    <n v="0"/>
  </r>
  <r>
    <x v="2862"/>
    <s v="CnE-283"/>
    <x v="0"/>
    <s v="Produciendo"/>
    <s v="Bombeo Mecánico"/>
    <x v="1"/>
    <s v="Barranca Baya Bloque 30"/>
    <x v="0"/>
    <s v="NO"/>
    <n v="4.9000000000000004"/>
    <n v="0"/>
  </r>
  <r>
    <x v="2863"/>
    <s v="CnE-394"/>
    <x v="0"/>
    <s v="Produciendo"/>
    <s v="Inyección"/>
    <x v="1"/>
    <s v="Barranca Baya Bloque 36"/>
    <x v="0"/>
    <s v="NO"/>
    <n v="0"/>
    <n v="0"/>
  </r>
  <r>
    <x v="2864"/>
    <s v="CnE-468"/>
    <x v="0"/>
    <s v="Produciendo"/>
    <s v="Bombeo Mecánico"/>
    <x v="1"/>
    <s v="Barranca Baya Bloque 37"/>
    <x v="0"/>
    <s v="NO"/>
    <n v="1.296"/>
    <n v="0"/>
  </r>
  <r>
    <x v="2865"/>
    <s v="CnE-487"/>
    <x v="0"/>
    <s v="Reserva Recuperación Secundaria"/>
    <s v="Bombeo Mecánico"/>
    <x v="4"/>
    <s v="Barranca Baya Bloque 37"/>
    <x v="0"/>
    <s v="NO"/>
    <n v="0.58400000000000007"/>
    <n v="0"/>
  </r>
  <r>
    <x v="2866"/>
    <s v="CnE-500"/>
    <x v="0"/>
    <s v="Produciendo"/>
    <s v="Inyección"/>
    <x v="1"/>
    <s v="Barranca Baya Bloque 37"/>
    <x v="0"/>
    <s v="NO"/>
    <n v="0"/>
    <n v="0"/>
  </r>
  <r>
    <x v="2867"/>
    <s v="CnE-628"/>
    <x v="0"/>
    <s v="Reserva Recuperación Secundaria"/>
    <s v="Pistoneo"/>
    <x v="4"/>
    <s v="Barranca Baya"/>
    <x v="0"/>
    <s v="NO"/>
    <n v="2.9000000000000001E-2"/>
    <n v="0"/>
  </r>
  <r>
    <x v="2868"/>
    <s v="CnE-655"/>
    <x v="0"/>
    <s v="En Estudio"/>
    <s v="Bombeo Mecánico"/>
    <x v="5"/>
    <s v="Barranca Baya Bloque 37"/>
    <x v="1"/>
    <s v="NO"/>
    <n v="0.41300000000000003"/>
    <n v="0"/>
  </r>
  <r>
    <x v="2869"/>
    <s v="CnE-672"/>
    <x v="0"/>
    <s v="Produciendo"/>
    <s v="Bombeo Mecánico"/>
    <x v="1"/>
    <s v="Barranca Baya Bloque 36"/>
    <x v="0"/>
    <s v="NO"/>
    <n v="4.3"/>
    <n v="0"/>
  </r>
  <r>
    <x v="2870"/>
    <s v="CnE-699"/>
    <x v="0"/>
    <s v="Reserva Recuperación Secundaria"/>
    <s v="Bombeo Mecánico"/>
    <x v="4"/>
    <s v="Barranca Baya Bloque 37"/>
    <x v="0"/>
    <s v="NO"/>
    <n v="1.1520000000000001"/>
    <n v="0"/>
  </r>
  <r>
    <x v="2871"/>
    <s v="CnE-705"/>
    <x v="0"/>
    <s v="Produciendo"/>
    <s v="Pistoneo"/>
    <x v="1"/>
    <s v="Barranca Baya Bloque 37"/>
    <x v="0"/>
    <s v="NO"/>
    <n v="0.192"/>
    <n v="0"/>
  </r>
  <r>
    <x v="2872"/>
    <s v="CnE-718"/>
    <x v="0"/>
    <s v="Parado Alta Rap"/>
    <s v="Electro Sumergible"/>
    <x v="5"/>
    <s v="Barranca Baya Bloque 36"/>
    <x v="1"/>
    <s v="NO"/>
    <n v="0.6"/>
    <n v="0"/>
  </r>
  <r>
    <x v="2873"/>
    <s v="CnE-719"/>
    <x v="0"/>
    <s v="A Abandonar Por Baja Producción"/>
    <s v="Bombeo Mecánico"/>
    <x v="5"/>
    <s v="Barranca Baya Bloque 36"/>
    <x v="1"/>
    <s v="NO"/>
    <n v="0.45500000000000002"/>
    <n v="0"/>
  </r>
  <r>
    <x v="2874"/>
    <s v="CnE-750"/>
    <x v="0"/>
    <s v="Reserva Recuperación Secundaria"/>
    <s v="No Posee"/>
    <x v="4"/>
    <s v="Barranca Baya Bloque 37"/>
    <x v="0"/>
    <s v="NO"/>
    <n v="0.67200000000000004"/>
    <n v="0"/>
  </r>
  <r>
    <x v="2875"/>
    <s v="CnE-761"/>
    <x v="0"/>
    <s v="Produciendo"/>
    <s v="Bombeo Mecánico"/>
    <x v="1"/>
    <s v="Barranca Baya Bloque 30"/>
    <x v="0"/>
    <s v="NO"/>
    <n v="1.24"/>
    <n v="0"/>
  </r>
  <r>
    <x v="2876"/>
    <s v="CnE-845"/>
    <x v="0"/>
    <s v="Espera Equipo Reparación"/>
    <s v="Bombeo Mecánico"/>
    <x v="5"/>
    <s v="Barranca Baya Bloque 40"/>
    <x v="1"/>
    <s v="NO"/>
    <n v="0.75"/>
    <n v="0"/>
  </r>
  <r>
    <x v="2877"/>
    <s v="BB-149"/>
    <x v="0"/>
    <s v="Reserva Recuperación Secundaria"/>
    <s v="Bombeo Mecánico"/>
    <x v="4"/>
    <s v="Barranca Baya"/>
    <x v="0"/>
    <s v="NO"/>
    <n v="0.96"/>
    <n v="0"/>
  </r>
  <r>
    <x v="2878"/>
    <s v="CG.IA-976"/>
    <x v="0"/>
    <s v="Produciendo"/>
    <s v="Inyección"/>
    <x v="1"/>
    <s v="Barranca Baya Cerro Grande Noroeste"/>
    <x v="0"/>
    <s v="NO"/>
    <n v="0"/>
    <n v="0"/>
  </r>
  <r>
    <x v="2879"/>
    <s v="LH-1043a"/>
    <x v="0"/>
    <s v="Produciendo"/>
    <s v="Bombeo Mecánico"/>
    <x v="1"/>
    <s v="Las Heras Central Sur"/>
    <x v="0"/>
    <s v="NO"/>
    <n v="0.71"/>
    <n v="0"/>
  </r>
  <r>
    <x v="2880"/>
    <s v="CG-570a"/>
    <x v="0"/>
    <s v="Produciendo"/>
    <s v="Bombeo Mecánico"/>
    <x v="1"/>
    <s v="Cerro Grande Central"/>
    <x v="0"/>
    <s v="NO"/>
    <n v="1.45"/>
    <n v="0"/>
  </r>
  <r>
    <x v="2881"/>
    <s v="CG-567a"/>
    <x v="0"/>
    <s v="Produciendo"/>
    <s v="Inyección"/>
    <x v="1"/>
    <s v="Cerro Grande Central"/>
    <x v="0"/>
    <s v="NO"/>
    <n v="0"/>
    <n v="0"/>
  </r>
  <r>
    <x v="2882"/>
    <s v="CnE-921a"/>
    <x v="0"/>
    <s v="En Estudio"/>
    <s v="No Posee"/>
    <x v="5"/>
    <s v="Barranca Baya Bloque 36"/>
    <x v="1"/>
    <s v="NO"/>
    <s v="NO"/>
    <s v="NO"/>
  </r>
  <r>
    <x v="2883"/>
    <s v="CG-578a"/>
    <x v="0"/>
    <s v="Produciendo"/>
    <s v="Bombeo Mecánico"/>
    <x v="1"/>
    <s v="Cerro Grande Central"/>
    <x v="0"/>
    <s v="NO"/>
    <n v="1.113"/>
    <n v="0"/>
  </r>
  <r>
    <x v="2884"/>
    <s v="CnE-927a"/>
    <x v="0"/>
    <s v="Produciendo"/>
    <s v="Inyección"/>
    <x v="1"/>
    <s v="Barranca Baya Bloque 30"/>
    <x v="0"/>
    <s v="NO"/>
    <n v="0"/>
    <n v="0"/>
  </r>
  <r>
    <x v="2885"/>
    <s v="CnE-933a"/>
    <x v="0"/>
    <s v="Produciendo"/>
    <s v="Inyección"/>
    <x v="1"/>
    <s v="Barranca Baya Bloque 30"/>
    <x v="0"/>
    <s v="NO"/>
    <n v="0"/>
    <n v="0"/>
  </r>
  <r>
    <x v="2886"/>
    <s v="CG-620"/>
    <x v="0"/>
    <s v="Produciendo"/>
    <s v="Bombeo Mecánico"/>
    <x v="1"/>
    <s v="Cerro Grande Central"/>
    <x v="0"/>
    <s v="NO"/>
    <n v="1.1500000000000001"/>
    <n v="0"/>
  </r>
  <r>
    <x v="2887"/>
    <s v="LH-1167"/>
    <x v="0"/>
    <s v="Produciendo"/>
    <s v="Bombeo Mecánico"/>
    <x v="1"/>
    <s v="Las Heras Las Heras Bloque 3"/>
    <x v="0"/>
    <s v="NO"/>
    <n v="1.159"/>
    <n v="0"/>
  </r>
  <r>
    <x v="2888"/>
    <s v="LH-1178"/>
    <x v="0"/>
    <s v="En Estudio"/>
    <s v="Bombeo Mecánico"/>
    <x v="2"/>
    <s v="Las Heras Central Sur"/>
    <x v="0"/>
    <s v="NO"/>
    <n v="0.93"/>
    <s v="Ultimo Año"/>
  </r>
  <r>
    <x v="2889"/>
    <s v="CG-615"/>
    <x v="0"/>
    <s v="Espera Equipo Reparación"/>
    <s v="No Posee"/>
    <x v="4"/>
    <s v="Cerro Grande Central"/>
    <x v="0"/>
    <s v="NO"/>
    <n v="0"/>
    <n v="0"/>
  </r>
  <r>
    <x v="2890"/>
    <s v="CnE-1008"/>
    <x v="0"/>
    <s v="Produciendo"/>
    <s v="Bombeo Mecánico"/>
    <x v="1"/>
    <s v="Barranca Baya Bloque 30"/>
    <x v="0"/>
    <s v="NO"/>
    <n v="0.88"/>
    <n v="0"/>
  </r>
  <r>
    <x v="2891"/>
    <s v="CG-697"/>
    <x v="0"/>
    <s v="Reserva Recuperación Secundaria"/>
    <s v="Bombeo Mecánico"/>
    <x v="4"/>
    <s v="Cerro Grande Central"/>
    <x v="0"/>
    <s v="NO"/>
    <n v="0.126"/>
    <n v="0"/>
  </r>
  <r>
    <x v="2892"/>
    <s v="CG-702"/>
    <x v="0"/>
    <s v="Espera Equipo Reparación"/>
    <s v="Bombeo Mecánico"/>
    <x v="5"/>
    <s v="Cerro Grande Central"/>
    <x v="1"/>
    <s v="NO"/>
    <n v="0.70500000000000007"/>
    <s v="Ultimo Año"/>
  </r>
  <r>
    <x v="2893"/>
    <s v="CG-728"/>
    <x v="0"/>
    <s v="Produciendo"/>
    <s v="Bombeo Mecánico"/>
    <x v="1"/>
    <s v="Cerro Grande Central"/>
    <x v="0"/>
    <s v="NO"/>
    <n v="0.28000000000000003"/>
    <n v="0"/>
  </r>
  <r>
    <x v="2894"/>
    <s v="LH-1208"/>
    <x v="0"/>
    <s v="Produciendo"/>
    <s v="Bombeo Mecánico"/>
    <x v="1"/>
    <s v="Las Heras Central Sur"/>
    <x v="0"/>
    <s v="NO"/>
    <n v="1.3860000000000001"/>
    <n v="0"/>
  </r>
  <r>
    <x v="2895"/>
    <s v="CnE-1150"/>
    <x v="0"/>
    <s v="Produciendo"/>
    <s v="Bombeo Mecánico"/>
    <x v="1"/>
    <s v="Barranca Baya Bloque 37"/>
    <x v="0"/>
    <s v="NO"/>
    <n v="0.108"/>
    <n v="0"/>
  </r>
  <r>
    <x v="2896"/>
    <s v="CnE-1231(d)a"/>
    <x v="0"/>
    <s v="Produciendo"/>
    <s v="Bombeo Mecánico"/>
    <x v="1"/>
    <s v="Barranca Baya Bloque 36"/>
    <x v="0"/>
    <s v="NO"/>
    <n v="1.2"/>
    <n v="0"/>
  </r>
  <r>
    <x v="2897"/>
    <s v="CG-859(d)"/>
    <x v="0"/>
    <s v="Produciendo"/>
    <s v="Bombeo Mecánico"/>
    <x v="1"/>
    <s v="Cerro Grande Central"/>
    <x v="0"/>
    <s v="NO"/>
    <n v="5.5200000000000005"/>
    <n v="0"/>
  </r>
  <r>
    <x v="2898"/>
    <s v="CnE-1238(d)"/>
    <x v="0"/>
    <s v="Produciendo"/>
    <s v="Bombeo Mecánico"/>
    <x v="1"/>
    <s v="Barranca Baya Bloque 40"/>
    <x v="0"/>
    <s v="NO"/>
    <n v="0.52200000000000002"/>
    <n v="0"/>
  </r>
  <r>
    <x v="2899"/>
    <s v="CG-967"/>
    <x v="0"/>
    <s v="Produciendo"/>
    <s v="Bombeo Mecánico"/>
    <x v="1"/>
    <s v="Barranca Baya Las Heras Bloque 3"/>
    <x v="0"/>
    <s v="NO"/>
    <n v="3.42"/>
    <n v="0"/>
  </r>
  <r>
    <x v="2900"/>
    <s v="BB-144"/>
    <x v="0"/>
    <s v="Produciendo"/>
    <s v="Bombeo Mecánico"/>
    <x v="1"/>
    <s v="Barranca Baya"/>
    <x v="0"/>
    <s v="NO"/>
    <n v="0.57200000000000006"/>
    <n v="0"/>
  </r>
  <r>
    <x v="2901"/>
    <s v="CnE-1298(d)"/>
    <x v="0"/>
    <s v="En Estudio"/>
    <s v="Bombeo Mecánico"/>
    <x v="5"/>
    <s v="Barranca Baya Bloque 40"/>
    <x v="1"/>
    <s v="NO"/>
    <n v="2.6"/>
    <n v="0"/>
  </r>
  <r>
    <x v="2902"/>
    <s v="CnE-1425a"/>
    <x v="0"/>
    <s v="Produciendo"/>
    <s v="Bombeo Mecánico"/>
    <x v="1"/>
    <s v="Barranca Baya Bloque 30"/>
    <x v="0"/>
    <s v="NO"/>
    <n v="0.84"/>
    <n v="0"/>
  </r>
  <r>
    <x v="2903"/>
    <s v="LH-969a"/>
    <x v="0"/>
    <s v="Produciendo"/>
    <s v="Bombeo Mecánico"/>
    <x v="1"/>
    <s v="Las Heras Las Heras Bloque 3"/>
    <x v="0"/>
    <s v="NO"/>
    <n v="1.3050000000000002"/>
    <n v="0"/>
  </r>
  <r>
    <x v="2904"/>
    <s v="LH-970a"/>
    <x v="0"/>
    <s v="Produciendo"/>
    <s v="Cavidad Progresiva"/>
    <x v="1"/>
    <s v="Las Heras Las Heras Bloque 3"/>
    <x v="0"/>
    <s v="NO"/>
    <n v="0.18"/>
    <n v="0"/>
  </r>
  <r>
    <x v="2905"/>
    <s v="LH-183a"/>
    <x v="0"/>
    <s v="Produciendo"/>
    <s v="Bombeo Mecánico"/>
    <x v="1"/>
    <s v="Las Heras Las Heras Bloque 3"/>
    <x v="0"/>
    <s v="NO"/>
    <n v="0.93700000000000006"/>
    <n v="0"/>
  </r>
  <r>
    <x v="2906"/>
    <s v="LH-1063a"/>
    <x v="0"/>
    <s v="Reserva Recuperación Secundaria"/>
    <s v="Pistoneo"/>
    <x v="4"/>
    <s v="Las Heras Bloque 2"/>
    <x v="0"/>
    <s v="NO"/>
    <n v="0.54"/>
    <n v="0"/>
  </r>
  <r>
    <x v="2907"/>
    <s v="CnE-923a"/>
    <x v="0"/>
    <s v="Espera Equipo Reparación"/>
    <s v="Inyección"/>
    <x v="5"/>
    <s v="Barranca Baya Bloque 30"/>
    <x v="1"/>
    <s v="NO"/>
    <n v="0"/>
    <s v="Ultimo Año"/>
  </r>
  <r>
    <x v="2908"/>
    <s v="LH-1136a"/>
    <x v="0"/>
    <s v="Produciendo"/>
    <s v="Bombeo Mecánico"/>
    <x v="1"/>
    <s v="Las Heras Central Sur"/>
    <x v="0"/>
    <s v="NO"/>
    <n v="1.8660000000000001"/>
    <n v="0"/>
  </r>
  <r>
    <x v="2909"/>
    <s v="LH-1151a"/>
    <x v="0"/>
    <s v="Produciendo"/>
    <s v="Bombeo Mecánico"/>
    <x v="1"/>
    <s v="Las Heras Central Sur"/>
    <x v="0"/>
    <s v="NO"/>
    <n v="3.2560000000000002"/>
    <n v="0"/>
  </r>
  <r>
    <x v="2910"/>
    <s v="LH-1029a"/>
    <x v="0"/>
    <s v="En Estudio"/>
    <s v="Bombeo Mecánico"/>
    <x v="5"/>
    <s v="Las Heras Central Sur"/>
    <x v="1"/>
    <s v="NO"/>
    <n v="0.68"/>
    <n v="0"/>
  </r>
  <r>
    <x v="2911"/>
    <s v="LH-1068a"/>
    <x v="0"/>
    <s v="Produciendo"/>
    <s v="Bombeo Mecánico"/>
    <x v="1"/>
    <s v="Las Heras Central Sur"/>
    <x v="0"/>
    <s v="NO"/>
    <n v="1.04"/>
    <n v="0"/>
  </r>
  <r>
    <x v="2912"/>
    <s v="LH-78a"/>
    <x v="0"/>
    <s v="Reserva Recuperación Secundaria"/>
    <s v="Bombeo Mecánico"/>
    <x v="4"/>
    <s v="Las Heras Las Heras Bloque 3"/>
    <x v="0"/>
    <s v="NO"/>
    <n v="0.54500000000000004"/>
    <n v="0"/>
  </r>
  <r>
    <x v="2913"/>
    <s v="LH-1099a"/>
    <x v="0"/>
    <s v="Produciendo"/>
    <s v="Bombeo Mecánico"/>
    <x v="1"/>
    <s v="Las Heras Central Sur"/>
    <x v="0"/>
    <s v="NO"/>
    <n v="1.44"/>
    <n v="0"/>
  </r>
  <r>
    <x v="2914"/>
    <s v="LH-1115a"/>
    <x v="0"/>
    <s v="Produciendo"/>
    <s v="Pistoneo"/>
    <x v="1"/>
    <s v="Las Heras Central Sur"/>
    <x v="0"/>
    <s v="NO"/>
    <n v="0.154"/>
    <n v="0"/>
  </r>
  <r>
    <x v="2915"/>
    <s v="CnE-947a"/>
    <x v="0"/>
    <s v="Produciendo"/>
    <s v="Inyección"/>
    <x v="1"/>
    <s v="Barranca Baya Bloque 30"/>
    <x v="0"/>
    <s v="NO"/>
    <n v="0"/>
    <n v="0"/>
  </r>
  <r>
    <x v="2916"/>
    <s v="LH-1162a"/>
    <x v="0"/>
    <s v="Produciendo"/>
    <s v="Bombeo Mecánico"/>
    <x v="1"/>
    <s v="Las Heras Las Heras Bloque 3"/>
    <x v="0"/>
    <s v="NO"/>
    <n v="0.70000000000000007"/>
    <n v="0"/>
  </r>
  <r>
    <x v="2917"/>
    <s v="LH-1165"/>
    <x v="0"/>
    <s v="Produciendo"/>
    <s v="Bombeo Mecánico"/>
    <x v="1"/>
    <s v="Las Heras Central Sur"/>
    <x v="0"/>
    <s v="NO"/>
    <n v="0.91"/>
    <n v="0"/>
  </r>
  <r>
    <x v="2918"/>
    <s v="CnE-969"/>
    <x v="0"/>
    <s v="Produciendo"/>
    <s v="Inyección"/>
    <x v="1"/>
    <s v="Barranca Baya Bloque 36"/>
    <x v="0"/>
    <s v="NO"/>
    <n v="0"/>
    <n v="0"/>
  </r>
  <r>
    <x v="2919"/>
    <s v="LH-1047a"/>
    <x v="0"/>
    <s v="Produciendo"/>
    <s v="Bombeo Mecánico"/>
    <x v="1"/>
    <s v="Las Heras Bloque 2"/>
    <x v="0"/>
    <s v="NO"/>
    <n v="0.91"/>
    <n v="0"/>
  </r>
  <r>
    <x v="2920"/>
    <s v="LH-1069a"/>
    <x v="0"/>
    <s v="Produciendo"/>
    <s v="Bombeo Mecánico"/>
    <x v="1"/>
    <s v="Las Heras Central Sur"/>
    <x v="0"/>
    <s v="NO"/>
    <n v="1.1880000000000002"/>
    <n v="0"/>
  </r>
  <r>
    <x v="2921"/>
    <s v="CG-549a"/>
    <x v="0"/>
    <s v="Reserva Recuperación Secundaria"/>
    <s v="Inyección"/>
    <x v="4"/>
    <s v="Cerro Grande Central"/>
    <x v="0"/>
    <s v="NO"/>
    <n v="0"/>
    <n v="0"/>
  </r>
  <r>
    <x v="2922"/>
    <s v="CG-572a"/>
    <x v="0"/>
    <s v="Produciendo"/>
    <s v="Bombeo Mecánico"/>
    <x v="1"/>
    <s v="Cerro Grande Central"/>
    <x v="0"/>
    <s v="NO"/>
    <n v="1.391"/>
    <n v="0"/>
  </r>
  <r>
    <x v="2923"/>
    <s v="CnE-924a"/>
    <x v="0"/>
    <s v="Produciendo"/>
    <s v="Bombeo Mecánico"/>
    <x v="1"/>
    <s v="Barranca Baya Bloque 30"/>
    <x v="0"/>
    <s v="NO"/>
    <n v="0.70000000000000007"/>
    <n v="0"/>
  </r>
  <r>
    <x v="2924"/>
    <s v="CG-577a"/>
    <x v="0"/>
    <s v="Produciendo"/>
    <s v="Bombeo Mecánico"/>
    <x v="1"/>
    <s v="Cerro Grande Central"/>
    <x v="0"/>
    <s v="NO"/>
    <n v="0.2"/>
    <n v="0"/>
  </r>
  <r>
    <x v="2925"/>
    <s v="CnE-936a"/>
    <x v="0"/>
    <s v="Abandono Permanente"/>
    <s v="No Posee"/>
    <x v="3"/>
    <s v="Barranca Baya Bloque 36"/>
    <x v="0"/>
    <s v="NO"/>
    <n v="0"/>
    <n v="0"/>
  </r>
  <r>
    <x v="2926"/>
    <s v="CnE-939a"/>
    <x v="0"/>
    <s v="Produciendo"/>
    <s v="Electro Sumergible"/>
    <x v="1"/>
    <s v="Barranca Baya Bloque 30"/>
    <x v="0"/>
    <s v="NO"/>
    <n v="0.78"/>
    <n v="0"/>
  </r>
  <r>
    <x v="2927"/>
    <s v="LH-1110a"/>
    <x v="0"/>
    <s v="Produciendo"/>
    <s v="Bombeo Mecánico"/>
    <x v="1"/>
    <s v="Las Heras Las Heras Bloque 3"/>
    <x v="0"/>
    <s v="NO"/>
    <n v="2.4210000000000003"/>
    <n v="0"/>
  </r>
  <r>
    <x v="2928"/>
    <s v="LH-1148a"/>
    <x v="0"/>
    <s v="Produciendo"/>
    <s v="Cavidad Progresiva"/>
    <x v="1"/>
    <s v="Las Heras Las Heras Bloque 3"/>
    <x v="0"/>
    <s v="NO"/>
    <n v="0.27"/>
    <n v="0"/>
  </r>
  <r>
    <x v="2929"/>
    <s v="CG-664"/>
    <x v="0"/>
    <s v="Produciendo"/>
    <s v="Bombeo Mecánico"/>
    <x v="1"/>
    <s v="Cerro Grande Central"/>
    <x v="0"/>
    <s v="NO"/>
    <n v="0.68900000000000006"/>
    <n v="0"/>
  </r>
  <r>
    <x v="2930"/>
    <s v="CG-662"/>
    <x v="0"/>
    <s v="Produciendo"/>
    <s v="Bombeo Mecánico"/>
    <x v="1"/>
    <s v="Cerro Grande Central"/>
    <x v="0"/>
    <s v="NO"/>
    <n v="1.08"/>
    <n v="0"/>
  </r>
  <r>
    <x v="2931"/>
    <s v="CnE-1010"/>
    <x v="0"/>
    <s v="Produciendo"/>
    <s v="Inyección"/>
    <x v="1"/>
    <s v="Barranca Baya Bloque 30"/>
    <x v="0"/>
    <s v="NO"/>
    <n v="0"/>
    <n v="0"/>
  </r>
  <r>
    <x v="2932"/>
    <s v="CnE-560"/>
    <x v="0"/>
    <s v="Reserva Recuperación Secundaria"/>
    <s v="Pistoneo"/>
    <x v="4"/>
    <s v="Barranca Baya"/>
    <x v="0"/>
    <s v="NO"/>
    <n v="0"/>
    <n v="0"/>
  </r>
  <r>
    <x v="2933"/>
    <s v="CnE-573"/>
    <x v="0"/>
    <s v="Produciendo"/>
    <s v="Inyección"/>
    <x v="1"/>
    <s v="Barranca Baya Bloque 36"/>
    <x v="0"/>
    <s v="NO"/>
    <n v="0"/>
    <n v="0"/>
  </r>
  <r>
    <x v="2934"/>
    <s v="CnE-574"/>
    <x v="0"/>
    <s v="Espera Equipo Reparación"/>
    <s v="Electro Sumergible"/>
    <x v="5"/>
    <s v="Barranca Baya Bloque 37"/>
    <x v="1"/>
    <s v="NO"/>
    <n v="1"/>
    <n v="0"/>
  </r>
  <r>
    <x v="2935"/>
    <s v="BB-31"/>
    <x v="0"/>
    <s v="Abandono Permanente"/>
    <s v="No Posee"/>
    <x v="3"/>
    <s v="Barranca Baya"/>
    <x v="0"/>
    <s v="NO"/>
    <n v="0"/>
    <n v="0"/>
  </r>
  <r>
    <x v="2936"/>
    <s v="BB-87"/>
    <x v="0"/>
    <s v="Espera Equipo Reparación"/>
    <s v="Surgente por Casing"/>
    <x v="6"/>
    <s v="Barranca Baya"/>
    <x v="0"/>
    <s v="Oportunidad"/>
    <n v="7.0000000000000001E-3"/>
    <n v="0"/>
  </r>
  <r>
    <x v="2937"/>
    <s v="CnE-286"/>
    <x v="0"/>
    <s v="Reserva Recuperación Secundaria"/>
    <s v="No Posee"/>
    <x v="4"/>
    <s v="Barranca Baya Bloque 30"/>
    <x v="0"/>
    <s v="NO"/>
    <s v="NO"/>
    <s v="NO"/>
  </r>
  <r>
    <x v="2938"/>
    <s v="LH-548"/>
    <x v="0"/>
    <s v="Produciendo"/>
    <s v="Surgente por Casing"/>
    <x v="1"/>
    <s v="Las Heras Central Sur"/>
    <x v="0"/>
    <s v="NO"/>
    <n v="4.1000000000000002E-2"/>
    <n v="0"/>
  </r>
  <r>
    <x v="2939"/>
    <s v="CnE-459"/>
    <x v="0"/>
    <s v="Produciendo"/>
    <s v="Pistoneo"/>
    <x v="1"/>
    <s v="Barranca Baya Bloque 36"/>
    <x v="0"/>
    <s v="NO"/>
    <n v="9.5000000000000001E-2"/>
    <n v="0"/>
  </r>
  <r>
    <x v="2940"/>
    <s v="LH-258"/>
    <x v="0"/>
    <s v="Abandono Permanente"/>
    <s v="No Posee"/>
    <x v="3"/>
    <s v="Las Heras Central Sur"/>
    <x v="0"/>
    <s v="NO"/>
    <s v="NO"/>
    <s v="NO"/>
  </r>
  <r>
    <x v="2941"/>
    <s v="LH-272"/>
    <x v="0"/>
    <s v="Abandono Permanente"/>
    <s v="No Posee"/>
    <x v="3"/>
    <s v="Las Heras Central Sur"/>
    <x v="0"/>
    <s v="NO"/>
    <s v="NO"/>
    <s v="NO"/>
  </r>
  <r>
    <x v="2942"/>
    <s v="LH-649"/>
    <x v="0"/>
    <s v="Abandono Permanente"/>
    <s v="No Posee"/>
    <x v="3"/>
    <s v="Las Heras Central Sur"/>
    <x v="0"/>
    <s v="NO"/>
    <n v="5.9850000000000003"/>
    <n v="0"/>
  </r>
  <r>
    <x v="2943"/>
    <s v="CG-54"/>
    <x v="0"/>
    <s v="Produciendo"/>
    <s v="Cavidad Progresiva"/>
    <x v="1"/>
    <s v="Barranca Baya Cerro Grande Sur"/>
    <x v="0"/>
    <s v="NO"/>
    <n v="1.8800000000000001"/>
    <n v="0"/>
  </r>
  <r>
    <x v="2944"/>
    <s v="CG-47"/>
    <x v="0"/>
    <s v="Produciendo"/>
    <s v="Bombeo Mecánico"/>
    <x v="1"/>
    <s v="Barranca Baya Bloque 26"/>
    <x v="0"/>
    <s v="NO"/>
    <n v="1.1000000000000001"/>
    <n v="0"/>
  </r>
  <r>
    <x v="2945"/>
    <s v="CnE-872a"/>
    <x v="0"/>
    <s v="Abandono Permanente"/>
    <s v="No Posee"/>
    <x v="3"/>
    <s v="Barranca Baya Bloque 30"/>
    <x v="0"/>
    <s v="NO"/>
    <s v="NO"/>
    <s v="NO"/>
  </r>
  <r>
    <x v="2946"/>
    <s v="LH-1105a"/>
    <x v="0"/>
    <s v="Produciendo"/>
    <s v="Inyección"/>
    <x v="1"/>
    <s v="Las Heras Las Heras Bloque 3"/>
    <x v="0"/>
    <s v="NO"/>
    <n v="0"/>
    <n v="0"/>
  </r>
  <r>
    <x v="2947"/>
    <s v="CnE-950a"/>
    <x v="0"/>
    <s v="Produciendo"/>
    <s v="Electro Sumergible"/>
    <x v="1"/>
    <s v="Barranca Baya Bloque 36"/>
    <x v="0"/>
    <s v="NO"/>
    <n v="2.2600000000000002"/>
    <n v="0"/>
  </r>
  <r>
    <x v="2948"/>
    <s v="LH-1158a"/>
    <x v="0"/>
    <s v="Produciendo"/>
    <s v="Bombeo Mecánico"/>
    <x v="1"/>
    <s v="Las Heras Central Sur"/>
    <x v="0"/>
    <s v="NO"/>
    <n v="0.127"/>
    <n v="0"/>
  </r>
  <r>
    <x v="2949"/>
    <s v="LH-1185"/>
    <x v="0"/>
    <s v="Produciendo"/>
    <s v="Bombeo Mecánico"/>
    <x v="1"/>
    <s v="Las Heras Bloque 2"/>
    <x v="0"/>
    <s v="NO"/>
    <n v="0.44700000000000001"/>
    <n v="0"/>
  </r>
  <r>
    <x v="2950"/>
    <s v="LH-1221"/>
    <x v="0"/>
    <s v="Produciendo"/>
    <s v="Bombeo Mecánico"/>
    <x v="1"/>
    <s v="Las Heras Central Sur"/>
    <x v="0"/>
    <s v="NO"/>
    <n v="1.508"/>
    <n v="0"/>
  </r>
  <r>
    <x v="2951"/>
    <s v="CnE-1149"/>
    <x v="0"/>
    <s v="Produciendo"/>
    <s v="Pistoneo"/>
    <x v="1"/>
    <s v="Barranca Baya Bloque 38"/>
    <x v="0"/>
    <s v="NO"/>
    <n v="0.24"/>
    <n v="0"/>
  </r>
  <r>
    <x v="2952"/>
    <s v="CnE-1146"/>
    <x v="0"/>
    <s v="Abandono Permanente"/>
    <s v="No Posee"/>
    <x v="3"/>
    <s v="Barranca Baya Bloque 38"/>
    <x v="0"/>
    <s v="NO"/>
    <n v="0.45"/>
    <n v="0"/>
  </r>
  <r>
    <x v="2953"/>
    <s v="LH-1223"/>
    <x v="0"/>
    <s v="Produciendo"/>
    <s v="Surgente"/>
    <x v="1"/>
    <s v="Las Heras Cerro Grande Sur"/>
    <x v="0"/>
    <s v="NO"/>
    <n v="1.26"/>
    <n v="0"/>
  </r>
  <r>
    <x v="2954"/>
    <s v="CG-806"/>
    <x v="0"/>
    <s v="Espera Equipo Reparación"/>
    <s v="Bombeo Mecánico"/>
    <x v="0"/>
    <s v="Cerro Grande Central"/>
    <x v="0"/>
    <s v="NO"/>
    <n v="1"/>
    <s v="Ultimos 6 meses"/>
  </r>
  <r>
    <x v="2955"/>
    <s v="BB-134"/>
    <x v="0"/>
    <s v="Produciendo"/>
    <s v="Bombeo Mecánico"/>
    <x v="1"/>
    <s v="Barranca Baya"/>
    <x v="0"/>
    <s v="NO"/>
    <n v="1.0350000000000001"/>
    <n v="0"/>
  </r>
  <r>
    <x v="2956"/>
    <s v="CnE-1268(d)"/>
    <x v="0"/>
    <s v="En Estudio"/>
    <s v="No Posee"/>
    <x v="5"/>
    <s v="Barranca Baya Bloque 40"/>
    <x v="1"/>
    <s v="NO"/>
    <s v="NO"/>
    <s v="NO"/>
  </r>
  <r>
    <x v="2957"/>
    <s v="CG-856"/>
    <x v="0"/>
    <s v="Produciendo"/>
    <s v="Inyección"/>
    <x v="1"/>
    <s v="Barranca Baya Cerro Grande Noroeste"/>
    <x v="0"/>
    <s v="NO"/>
    <n v="0"/>
    <n v="0"/>
  </r>
  <r>
    <x v="2958"/>
    <s v="CG-720(d)"/>
    <x v="0"/>
    <s v="Produciendo"/>
    <s v="Bombeo Mecánico"/>
    <x v="1"/>
    <s v="Cerro Grande Central"/>
    <x v="0"/>
    <s v="NO"/>
    <n v="2.0680000000000001"/>
    <n v="0"/>
  </r>
  <r>
    <x v="2959"/>
    <s v="LH-136"/>
    <x v="0"/>
    <s v="Reserva Recuperación Secundaria"/>
    <s v="Pistoneo"/>
    <x v="4"/>
    <s v="Las Heras Bloque 2"/>
    <x v="0"/>
    <s v="NO"/>
    <n v="1.5000000000000001E-2"/>
    <n v="0"/>
  </r>
  <r>
    <x v="2960"/>
    <s v="LH-278"/>
    <x v="0"/>
    <s v="Abandono Permanente"/>
    <s v="No Posee"/>
    <x v="3"/>
    <s v="Las Heras Central Sur"/>
    <x v="0"/>
    <s v="NO"/>
    <n v="0"/>
    <n v="0"/>
  </r>
  <r>
    <x v="2961"/>
    <s v="LH-879"/>
    <x v="0"/>
    <s v="Produciendo"/>
    <s v="Pistoneo"/>
    <x v="1"/>
    <s v="Las Heras Central Sur"/>
    <x v="0"/>
    <s v="NO"/>
    <n v="0.32"/>
    <n v="0"/>
  </r>
  <r>
    <x v="2962"/>
    <s v="LH-900"/>
    <x v="0"/>
    <s v="Produciendo"/>
    <s v="Bombeo Mecánico"/>
    <x v="1"/>
    <s v="Las Heras Las Heras Bloque 3"/>
    <x v="0"/>
    <s v="NO"/>
    <n v="1.722"/>
    <n v="0"/>
  </r>
  <r>
    <x v="2963"/>
    <s v="LH-908"/>
    <x v="0"/>
    <s v="Produciendo"/>
    <s v="Pistoneo"/>
    <x v="1"/>
    <s v="Las Heras Bloque 2"/>
    <x v="0"/>
    <s v="NO"/>
    <n v="0.10500000000000001"/>
    <n v="0"/>
  </r>
  <r>
    <x v="2964"/>
    <s v="LH-948"/>
    <x v="0"/>
    <s v="Reserva Recuperación Secundaria"/>
    <s v="Pistoneo"/>
    <x v="4"/>
    <s v="Las Heras Bloque 2"/>
    <x v="0"/>
    <s v="NO"/>
    <n v="0.01"/>
    <n v="0"/>
  </r>
  <r>
    <x v="2965"/>
    <s v="LH-957"/>
    <x v="0"/>
    <s v="Produciendo"/>
    <s v="Inyección"/>
    <x v="1"/>
    <s v="Las Heras Central Sur"/>
    <x v="0"/>
    <s v="NO"/>
    <n v="0"/>
    <n v="0"/>
  </r>
  <r>
    <x v="2966"/>
    <s v="CG-1"/>
    <x v="0"/>
    <s v="Produciendo"/>
    <s v="Cavidad Progresiva"/>
    <x v="1"/>
    <s v="Barranca Baya Las Heras Bloque 3"/>
    <x v="0"/>
    <s v="NO"/>
    <n v="0.77500000000000002"/>
    <n v="0"/>
  </r>
  <r>
    <x v="2967"/>
    <s v="CG-134"/>
    <x v="0"/>
    <s v="Produciendo"/>
    <s v="Bombeo Mecánico"/>
    <x v="1"/>
    <s v="Barranca Baya Bloque 26"/>
    <x v="0"/>
    <s v="NO"/>
    <n v="2"/>
    <n v="0"/>
  </r>
  <r>
    <x v="2968"/>
    <s v="CG-177"/>
    <x v="0"/>
    <s v="Reserva Recuperación Secundaria"/>
    <s v="Bombeo Mecánico"/>
    <x v="4"/>
    <s v="Cerro Grande Central"/>
    <x v="0"/>
    <s v="NO"/>
    <n v="0.47000000000000003"/>
    <n v="0"/>
  </r>
  <r>
    <x v="2969"/>
    <s v="CG-197"/>
    <x v="0"/>
    <s v="En Estudio"/>
    <s v="Bombeo Mecánico"/>
    <x v="5"/>
    <s v="Cerro Grande Central"/>
    <x v="1"/>
    <s v="NO"/>
    <n v="0.96600000000000008"/>
    <n v="0"/>
  </r>
  <r>
    <x v="2970"/>
    <s v="CG-220"/>
    <x v="0"/>
    <s v="Produciendo"/>
    <s v="Pistoneo"/>
    <x v="1"/>
    <s v="Cerro Grande Central"/>
    <x v="0"/>
    <s v="NO"/>
    <n v="0.10300000000000001"/>
    <n v="0"/>
  </r>
  <r>
    <x v="2971"/>
    <s v="CG-288"/>
    <x v="0"/>
    <s v="Produciendo"/>
    <s v="Bombeo Mecánico"/>
    <x v="1"/>
    <s v="Cerro Grande Central"/>
    <x v="0"/>
    <s v="NO"/>
    <n v="2.0100000000000002"/>
    <n v="0"/>
  </r>
  <r>
    <x v="2972"/>
    <s v="CG-305"/>
    <x v="0"/>
    <s v="Produciendo"/>
    <s v="Pistoneo"/>
    <x v="1"/>
    <s v="Barranca Baya Cerro Grande Norte"/>
    <x v="0"/>
    <s v="NO"/>
    <n v="0.10400000000000001"/>
    <n v="0"/>
  </r>
  <r>
    <x v="2973"/>
    <s v="CG-361"/>
    <x v="0"/>
    <s v="Reserva Recuperación Secundaria"/>
    <s v="No Posee"/>
    <x v="4"/>
    <s v="Barranca Baya Bloque 26"/>
    <x v="0"/>
    <s v="NO"/>
    <n v="1.03"/>
    <n v="0"/>
  </r>
  <r>
    <x v="2974"/>
    <s v="CG-457"/>
    <x v="0"/>
    <s v="Produciendo"/>
    <s v="Bombeo Mecánico"/>
    <x v="1"/>
    <s v="Cerro Grande Noreste"/>
    <x v="0"/>
    <s v="NO"/>
    <n v="4.05"/>
    <n v="0"/>
  </r>
  <r>
    <x v="2975"/>
    <s v="LH-968a"/>
    <x v="0"/>
    <s v="Produciendo"/>
    <s v="Bombeo Mecánico"/>
    <x v="1"/>
    <s v="Las Heras Las Heras Bloque 3"/>
    <x v="0"/>
    <s v="NO"/>
    <n v="0.32"/>
    <n v="0"/>
  </r>
  <r>
    <x v="2976"/>
    <s v="LH-976a"/>
    <x v="0"/>
    <s v="Reserva Recuperación Secundaria"/>
    <s v="Pistoneo"/>
    <x v="4"/>
    <s v="Las Heras Central Sur"/>
    <x v="0"/>
    <s v="NO"/>
    <n v="9.7000000000000003E-2"/>
    <n v="0"/>
  </r>
  <r>
    <x v="2977"/>
    <s v="LH-1041a"/>
    <x v="0"/>
    <s v="Produciendo"/>
    <s v="Bombeo Mecánico"/>
    <x v="1"/>
    <s v="Las Heras Central Sur"/>
    <x v="0"/>
    <s v="NO"/>
    <n v="0.36"/>
    <n v="0"/>
  </r>
  <r>
    <x v="2978"/>
    <s v="CnE-940a"/>
    <x v="0"/>
    <s v="En Proyecto"/>
    <s v="No Posee"/>
    <x v="4"/>
    <m/>
    <x v="0"/>
    <s v="NO"/>
    <s v="NO"/>
    <s v="NO"/>
  </r>
  <r>
    <x v="2979"/>
    <s v="LH-291"/>
    <x v="0"/>
    <s v="En Proyecto"/>
    <s v="No Posee"/>
    <x v="4"/>
    <m/>
    <x v="0"/>
    <s v="NO"/>
    <s v="NO"/>
    <s v="NO"/>
  </r>
  <r>
    <x v="2980"/>
    <s v="CR-2"/>
    <x v="0"/>
    <s v="Abandono Permanente"/>
    <s v="No Posee"/>
    <x v="3"/>
    <m/>
    <x v="0"/>
    <s v="NO"/>
    <s v="NO"/>
    <s v="NO"/>
  </r>
  <r>
    <x v="2981"/>
    <s v="LH-1114a"/>
    <x v="0"/>
    <s v="En Proyecto"/>
    <s v="No Posee"/>
    <x v="4"/>
    <m/>
    <x v="0"/>
    <s v="NO"/>
    <s v="NO"/>
    <s v="NO"/>
  </r>
  <r>
    <x v="2982"/>
    <s v="BO-3"/>
    <x v="0"/>
    <s v="Abandono Permanente"/>
    <s v="No Posee"/>
    <x v="3"/>
    <m/>
    <x v="0"/>
    <s v="NO"/>
    <s v="NO"/>
    <s v="NO"/>
  </r>
  <r>
    <x v="2983"/>
    <s v="CG-595a"/>
    <x v="0"/>
    <s v="En Proyecto"/>
    <s v="No Posee"/>
    <x v="4"/>
    <m/>
    <x v="0"/>
    <s v="NO"/>
    <s v="NO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9FA2E-45FE-482A-94DB-A9F2F869D8E6}" name="TablaDinámica2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" firstHeaderRow="1" firstDataRow="1" firstDataCol="1"/>
  <pivotFields count="11">
    <pivotField dataField="1" showAll="0">
      <items count="2985">
        <item x="2982"/>
        <item x="2983"/>
        <item x="2978"/>
        <item x="32"/>
        <item x="2980"/>
        <item x="2399"/>
        <item x="2981"/>
        <item x="2979"/>
        <item x="1569"/>
        <item x="1834"/>
        <item x="120"/>
        <item x="435"/>
        <item x="2227"/>
        <item x="374"/>
        <item x="1972"/>
        <item x="2935"/>
        <item x="2542"/>
        <item x="2030"/>
        <item x="1198"/>
        <item x="1744"/>
        <item x="1504"/>
        <item x="113"/>
        <item x="1366"/>
        <item x="1102"/>
        <item x="2416"/>
        <item x="2284"/>
        <item x="341"/>
        <item x="545"/>
        <item x="195"/>
        <item x="2285"/>
        <item x="852"/>
        <item x="1334"/>
        <item x="2347"/>
        <item x="1194"/>
        <item x="853"/>
        <item x="19"/>
        <item x="857"/>
        <item x="1131"/>
        <item x="2345"/>
        <item x="2377"/>
        <item x="272"/>
        <item x="1501"/>
        <item x="1385"/>
        <item x="755"/>
        <item x="2834"/>
        <item x="2376"/>
        <item x="1397"/>
        <item x="1538"/>
        <item x="1662"/>
        <item x="2062"/>
        <item x="1433"/>
        <item x="1295"/>
        <item x="1399"/>
        <item x="778"/>
        <item x="166"/>
        <item x="2386"/>
        <item x="779"/>
        <item x="2553"/>
        <item x="2537"/>
        <item x="1147"/>
        <item x="1583"/>
        <item x="2064"/>
        <item x="2955"/>
        <item x="1893"/>
        <item x="1585"/>
        <item x="671"/>
        <item x="1154"/>
        <item x="805"/>
        <item x="1438"/>
        <item x="2900"/>
        <item x="2198"/>
        <item x="2877"/>
        <item x="1062"/>
        <item x="2374"/>
        <item x="1429"/>
        <item x="1815"/>
        <item x="772"/>
        <item x="783"/>
        <item x="312"/>
        <item x="1586"/>
        <item x="2124"/>
        <item x="1587"/>
        <item x="15"/>
        <item x="950"/>
        <item x="2556"/>
        <item x="112"/>
        <item x="23"/>
        <item x="951"/>
        <item x="16"/>
        <item x="17"/>
        <item x="174"/>
        <item x="2414"/>
        <item x="2544"/>
        <item x="1499"/>
        <item x="2557"/>
        <item x="109"/>
        <item x="1775"/>
        <item x="2779"/>
        <item x="1795"/>
        <item x="110"/>
        <item x="633"/>
        <item x="397"/>
        <item x="114"/>
        <item x="1101"/>
        <item x="2364"/>
        <item x="1384"/>
        <item x="2554"/>
        <item x="18"/>
        <item x="398"/>
        <item x="111"/>
        <item x="1195"/>
        <item x="634"/>
        <item x="854"/>
        <item x="754"/>
        <item x="20"/>
        <item x="546"/>
        <item x="2936"/>
        <item x="2031"/>
        <item x="2481"/>
        <item x="21"/>
        <item x="1796"/>
        <item x="894"/>
        <item x="436"/>
        <item x="1973"/>
        <item x="895"/>
        <item x="2780"/>
        <item x="2790"/>
        <item x="437"/>
        <item x="1500"/>
        <item x="2126"/>
        <item x="1196"/>
        <item x="1738"/>
        <item x="2543"/>
        <item x="1040"/>
        <item x="2827"/>
        <item x="2828"/>
        <item x="1502"/>
        <item x="1103"/>
        <item x="1197"/>
        <item x="1454"/>
        <item x="2032"/>
        <item x="2966"/>
        <item x="131"/>
        <item x="2255"/>
        <item x="2809"/>
        <item x="1905"/>
        <item x="1508"/>
        <item x="2425"/>
        <item x="1511"/>
        <item x="2014"/>
        <item x="156"/>
        <item x="407"/>
        <item x="2104"/>
        <item x="652"/>
        <item x="1509"/>
        <item x="2306"/>
        <item x="2036"/>
        <item x="592"/>
        <item x="1464"/>
        <item x="417"/>
        <item x="1389"/>
        <item x="1341"/>
        <item x="821"/>
        <item x="117"/>
        <item x="923"/>
        <item x="2380"/>
        <item x="352"/>
        <item x="1044"/>
        <item x="132"/>
        <item x="2596"/>
        <item x="1622"/>
        <item x="77"/>
        <item x="864"/>
        <item x="1993"/>
        <item x="1353"/>
        <item x="1371"/>
        <item x="2969"/>
        <item x="1053"/>
        <item x="554"/>
        <item x="1846"/>
        <item x="863"/>
        <item x="2570"/>
        <item x="2564"/>
        <item x="2565"/>
        <item x="1507"/>
        <item x="1590"/>
        <item x="859"/>
        <item x="2508"/>
        <item x="393"/>
        <item x="1991"/>
        <item x="1944"/>
        <item x="1520"/>
        <item x="929"/>
        <item x="2217"/>
        <item x="2291"/>
        <item x="1571"/>
        <item x="2831"/>
        <item x="1620"/>
        <item x="1378"/>
        <item x="420"/>
        <item x="283"/>
        <item x="1847"/>
        <item x="1572"/>
        <item x="2467"/>
        <item x="2258"/>
        <item x="1910"/>
        <item x="738"/>
        <item x="2753"/>
        <item x="1250"/>
        <item x="2602"/>
        <item x="258"/>
        <item x="909"/>
        <item x="2110"/>
        <item x="2754"/>
        <item x="1624"/>
        <item x="1487"/>
        <item x="549"/>
        <item x="2468"/>
        <item x="1941"/>
        <item x="2944"/>
        <item x="2639"/>
        <item x="932"/>
        <item x="2640"/>
        <item x="2153"/>
        <item x="61"/>
        <item x="2722"/>
        <item x="1961"/>
        <item x="594"/>
        <item x="396"/>
        <item x="2214"/>
        <item x="85"/>
        <item x="1274"/>
        <item x="2796"/>
        <item x="733"/>
        <item x="344"/>
        <item x="2129"/>
        <item x="205"/>
        <item x="2740"/>
        <item x="2741"/>
        <item x="1109"/>
        <item x="2551"/>
        <item x="708"/>
        <item x="2921"/>
        <item x="2041"/>
        <item x="454"/>
        <item x="2924"/>
        <item x="455"/>
        <item x="287"/>
        <item x="1672"/>
        <item x="2426"/>
        <item x="377"/>
        <item x="1661"/>
        <item x="409"/>
        <item x="2636"/>
        <item x="2847"/>
        <item x="880"/>
        <item x="441"/>
        <item x="1800"/>
        <item x="1408"/>
        <item x="1539"/>
        <item x="2215"/>
        <item x="1812"/>
        <item x="2878"/>
        <item x="992"/>
        <item x="2122"/>
        <item x="253"/>
        <item x="1310"/>
        <item x="1467"/>
        <item x="529"/>
        <item x="2849"/>
        <item x="590"/>
        <item x="97"/>
        <item x="442"/>
        <item x="2808"/>
        <item x="1308"/>
        <item x="345"/>
        <item x="351"/>
        <item x="685"/>
        <item x="76"/>
        <item x="1693"/>
        <item x="2748"/>
        <item x="1390"/>
        <item x="485"/>
        <item x="2463"/>
        <item x="2637"/>
        <item x="1115"/>
        <item x="2157"/>
        <item x="2595"/>
        <item x="2077"/>
        <item x="2648"/>
        <item x="2967"/>
        <item x="98"/>
        <item x="591"/>
        <item x="1081"/>
        <item x="2548"/>
        <item x="530"/>
        <item x="2505"/>
        <item x="1485"/>
        <item x="408"/>
        <item x="1942"/>
        <item x="2810"/>
        <item x="2106"/>
        <item x="2506"/>
        <item x="391"/>
        <item x="2105"/>
        <item x="1906"/>
        <item x="1784"/>
        <item x="2307"/>
        <item x="531"/>
        <item x="606"/>
        <item x="1907"/>
        <item x="418"/>
        <item x="1958"/>
        <item x="2254"/>
        <item x="2671"/>
        <item x="486"/>
        <item x="906"/>
        <item x="2968"/>
        <item x="2749"/>
        <item x="734"/>
        <item x="2504"/>
        <item x="2811"/>
        <item x="1694"/>
        <item x="1165"/>
        <item x="2807"/>
        <item x="881"/>
        <item x="1673"/>
        <item x="822"/>
        <item x="1554"/>
        <item x="1133"/>
        <item x="201"/>
        <item x="26"/>
        <item x="1132"/>
        <item x="1555"/>
        <item x="487"/>
        <item x="2485"/>
        <item x="2750"/>
        <item x="2672"/>
        <item x="823"/>
        <item x="824"/>
        <item x="78"/>
        <item x="1556"/>
        <item x="1758"/>
        <item x="532"/>
        <item x="2597"/>
        <item x="1486"/>
        <item x="2850"/>
        <item x="2970"/>
        <item x="735"/>
        <item x="2851"/>
        <item x="825"/>
        <item x="1695"/>
        <item x="2751"/>
        <item x="1519"/>
        <item x="2507"/>
        <item x="2308"/>
        <item x="254"/>
        <item x="1959"/>
        <item x="2598"/>
        <item x="2638"/>
        <item x="907"/>
        <item x="419"/>
        <item x="533"/>
        <item x="2107"/>
        <item x="353"/>
        <item x="1943"/>
        <item x="1696"/>
        <item x="2719"/>
        <item x="79"/>
        <item x="1908"/>
        <item x="1354"/>
        <item x="392"/>
        <item x="2216"/>
        <item x="2571"/>
        <item x="2673"/>
        <item x="2309"/>
        <item x="2752"/>
        <item x="2852"/>
        <item x="2846"/>
        <item x="255"/>
        <item x="2599"/>
        <item x="1019"/>
        <item x="57"/>
        <item x="1377"/>
        <item x="1311"/>
        <item x="1909"/>
        <item x="2853"/>
        <item x="2854"/>
        <item x="919"/>
        <item x="2735"/>
        <item x="2108"/>
        <item x="882"/>
        <item x="488"/>
        <item x="2971"/>
        <item x="2256"/>
        <item x="2649"/>
        <item x="2720"/>
        <item x="607"/>
        <item x="2972"/>
        <item x="354"/>
        <item x="826"/>
        <item x="2464"/>
        <item x="608"/>
        <item x="489"/>
        <item x="827"/>
        <item x="394"/>
        <item x="2509"/>
        <item x="80"/>
        <item x="1020"/>
        <item x="1002"/>
        <item x="81"/>
        <item x="99"/>
        <item x="2674"/>
        <item x="1116"/>
        <item x="490"/>
        <item x="1785"/>
        <item x="1021"/>
        <item x="395"/>
        <item x="828"/>
        <item x="1003"/>
        <item x="2310"/>
        <item x="322"/>
        <item x="2973"/>
        <item x="2465"/>
        <item x="1249"/>
        <item x="256"/>
        <item x="1623"/>
        <item x="355"/>
        <item x="323"/>
        <item x="356"/>
        <item x="2078"/>
        <item x="2257"/>
        <item x="2600"/>
        <item x="609"/>
        <item x="2829"/>
        <item x="2812"/>
        <item x="82"/>
        <item x="2218"/>
        <item x="1697"/>
        <item x="2675"/>
        <item x="2601"/>
        <item x="908"/>
        <item x="736"/>
        <item x="1759"/>
        <item x="737"/>
        <item x="59"/>
        <item x="2466"/>
        <item x="883"/>
        <item x="1312"/>
        <item x="1610"/>
        <item x="2109"/>
        <item x="2015"/>
        <item x="324"/>
        <item x="257"/>
        <item x="829"/>
        <item x="1611"/>
        <item x="357"/>
        <item x="1960"/>
        <item x="2259"/>
        <item x="2311"/>
        <item x="491"/>
        <item x="2312"/>
        <item x="1313"/>
        <item x="1166"/>
        <item x="1379"/>
        <item x="1698"/>
        <item x="2855"/>
        <item x="2813"/>
        <item x="1699"/>
        <item x="1314"/>
        <item x="2833"/>
        <item x="1022"/>
        <item x="1082"/>
        <item x="1117"/>
        <item x="2260"/>
        <item x="2261"/>
        <item x="2152"/>
        <item x="593"/>
        <item x="325"/>
        <item x="1488"/>
        <item x="2262"/>
        <item x="2676"/>
        <item x="2856"/>
        <item x="1760"/>
        <item x="2510"/>
        <item x="1612"/>
        <item x="2016"/>
        <item x="1700"/>
        <item x="2721"/>
        <item x="259"/>
        <item x="2263"/>
        <item x="1510"/>
        <item x="1489"/>
        <item x="83"/>
        <item x="1251"/>
        <item x="2755"/>
        <item x="610"/>
        <item x="2857"/>
        <item x="611"/>
        <item x="2974"/>
        <item x="492"/>
        <item x="84"/>
        <item x="924"/>
        <item x="60"/>
        <item x="612"/>
        <item x="421"/>
        <item x="1167"/>
        <item x="358"/>
        <item x="157"/>
        <item x="1380"/>
        <item x="2264"/>
        <item x="158"/>
        <item x="758"/>
        <item x="1168"/>
        <item x="200"/>
        <item x="595"/>
        <item x="1083"/>
        <item x="613"/>
        <item x="534"/>
        <item x="1521"/>
        <item x="2723"/>
        <item x="493"/>
        <item x="1613"/>
        <item x="326"/>
        <item x="133"/>
        <item x="830"/>
        <item x="401"/>
        <item x="1841"/>
        <item x="566"/>
        <item x="1505"/>
        <item x="550"/>
        <item x="2694"/>
        <item x="2677"/>
        <item x="494"/>
        <item x="2756"/>
        <item x="422"/>
        <item x="1023"/>
        <item x="2219"/>
        <item x="1761"/>
        <item x="2154"/>
        <item x="1004"/>
        <item x="614"/>
        <item x="118"/>
        <item x="2724"/>
        <item x="2265"/>
        <item x="910"/>
        <item x="2488"/>
        <item x="960"/>
        <item x="359"/>
        <item x="1355"/>
        <item x="1315"/>
        <item x="931"/>
        <item x="2038"/>
        <item x="1210"/>
        <item x="1573"/>
        <item x="1045"/>
        <item x="653"/>
        <item x="1372"/>
        <item x="1833"/>
        <item x="958"/>
        <item x="1392"/>
        <item x="1994"/>
        <item x="2550"/>
        <item x="450"/>
        <item x="2552"/>
        <item x="562"/>
        <item x="2943"/>
        <item x="1878"/>
        <item x="933"/>
        <item x="558"/>
        <item x="2353"/>
        <item x="963"/>
        <item x="1263"/>
        <item x="568"/>
        <item x="172"/>
        <item x="2357"/>
        <item x="964"/>
        <item x="1066"/>
        <item x="379"/>
        <item x="936"/>
        <item x="1533"/>
        <item x="2788"/>
        <item x="1593"/>
        <item x="1055"/>
        <item x="1998"/>
        <item x="709"/>
        <item x="2438"/>
        <item x="2881"/>
        <item x="710"/>
        <item x="937"/>
        <item x="2880"/>
        <item x="1838"/>
        <item x="2922"/>
        <item x="1067"/>
        <item x="176"/>
        <item x="774"/>
        <item x="2883"/>
        <item x="2043"/>
        <item x="2670"/>
        <item x="1442"/>
        <item x="211"/>
        <item x="212"/>
        <item x="1282"/>
        <item x="2042"/>
        <item x="711"/>
        <item x="1839"/>
        <item x="979"/>
        <item x="2044"/>
        <item x="1575"/>
        <item x="1882"/>
        <item x="775"/>
        <item x="1223"/>
        <item x="1609"/>
        <item x="1224"/>
        <item x="2331"/>
        <item x="1057"/>
        <item x="1405"/>
        <item x="2115"/>
        <item x="1226"/>
        <item x="2191"/>
        <item x="229"/>
        <item x="210"/>
        <item x="716"/>
        <item x="1468"/>
        <item x="982"/>
        <item x="784"/>
        <item x="2889"/>
        <item x="1654"/>
        <item x="1808"/>
        <item x="382"/>
        <item x="983"/>
        <item x="2886"/>
        <item x="1278"/>
        <item x="2428"/>
        <item x="795"/>
        <item x="230"/>
        <item x="163"/>
        <item x="290"/>
        <item x="2440"/>
        <item x="763"/>
        <item x="390"/>
        <item x="2447"/>
        <item x="984"/>
        <item x="2441"/>
        <item x="2117"/>
        <item x="940"/>
        <item x="661"/>
        <item x="2138"/>
        <item x="232"/>
        <item x="2442"/>
        <item x="182"/>
        <item x="2283"/>
        <item x="383"/>
        <item x="764"/>
        <item x="1656"/>
        <item x="1071"/>
        <item x="786"/>
        <item x="2430"/>
        <item x="1888"/>
        <item x="217"/>
        <item x="662"/>
        <item x="2699"/>
        <item x="2076"/>
        <item x="1657"/>
        <item x="1885"/>
        <item x="2930"/>
        <item x="234"/>
        <item x="2929"/>
        <item x="1867"/>
        <item x="1809"/>
        <item x="1058"/>
        <item x="2572"/>
        <item x="291"/>
        <item x="1927"/>
        <item x="233"/>
        <item x="2492"/>
        <item x="1638"/>
        <item x="1577"/>
        <item x="1658"/>
        <item x="985"/>
        <item x="1595"/>
        <item x="1821"/>
        <item x="235"/>
        <item x="968"/>
        <item x="942"/>
        <item x="2449"/>
        <item x="2448"/>
        <item x="1889"/>
        <item x="1866"/>
        <item x="718"/>
        <item x="986"/>
        <item x="664"/>
        <item x="2891"/>
        <item x="1578"/>
        <item x="183"/>
        <item x="972"/>
        <item x="1641"/>
        <item x="2892"/>
        <item x="563"/>
        <item x="2118"/>
        <item x="2432"/>
        <item x="987"/>
        <item x="2450"/>
        <item x="2050"/>
        <item x="460"/>
        <item x="2443"/>
        <item x="797"/>
        <item x="219"/>
        <item x="1286"/>
        <item x="2060"/>
        <item x="1625"/>
        <item x="1756"/>
        <item x="2958"/>
        <item x="1644"/>
        <item x="2059"/>
        <item x="2335"/>
        <item x="1432"/>
        <item x="1422"/>
        <item x="2893"/>
        <item x="304"/>
        <item x="184"/>
        <item x="1663"/>
        <item x="1660"/>
        <item x="2366"/>
        <item x="2535"/>
        <item x="799"/>
        <item x="1407"/>
        <item x="777"/>
        <item x="2365"/>
        <item x="185"/>
        <item x="576"/>
        <item x="719"/>
        <item x="1423"/>
        <item x="946"/>
        <item x="2121"/>
        <item x="246"/>
        <item x="1470"/>
        <item x="1825"/>
        <item x="1430"/>
        <item x="294"/>
        <item x="788"/>
        <item x="384"/>
        <item x="2704"/>
        <item x="789"/>
        <item x="2534"/>
        <item x="462"/>
        <item x="665"/>
        <item x="2533"/>
        <item x="1856"/>
        <item x="236"/>
        <item x="1424"/>
        <item x="2367"/>
        <item x="1646"/>
        <item x="2454"/>
        <item x="945"/>
        <item x="303"/>
        <item x="1873"/>
        <item x="2954"/>
        <item x="1471"/>
        <item x="186"/>
        <item x="2370"/>
        <item x="2194"/>
        <item x="2848"/>
        <item x="1398"/>
        <item x="801"/>
        <item x="1434"/>
        <item x="2193"/>
        <item x="1600"/>
        <item x="1621"/>
        <item x="1472"/>
        <item x="666"/>
        <item x="1145"/>
        <item x="2539"/>
        <item x="2368"/>
        <item x="721"/>
        <item x="1648"/>
        <item x="1626"/>
        <item x="1466"/>
        <item x="2063"/>
        <item x="1269"/>
        <item x="802"/>
        <item x="1149"/>
        <item x="2957"/>
        <item x="221"/>
        <item x="1153"/>
        <item x="2897"/>
        <item x="416"/>
        <item x="1152"/>
        <item x="1652"/>
        <item x="1598"/>
        <item x="2389"/>
        <item x="240"/>
        <item x="589"/>
        <item x="298"/>
        <item x="1540"/>
        <item x="781"/>
        <item x="2200"/>
        <item x="467"/>
        <item x="299"/>
        <item x="2372"/>
        <item x="1518"/>
        <item x="2363"/>
        <item x="2296"/>
        <item x="1148"/>
        <item x="1061"/>
        <item x="1627"/>
        <item x="668"/>
        <item x="2371"/>
        <item x="1664"/>
        <item x="1465"/>
        <item x="1484"/>
        <item x="673"/>
        <item x="1441"/>
        <item x="1667"/>
        <item x="1757"/>
        <item x="793"/>
        <item x="192"/>
        <item x="1628"/>
        <item x="1234"/>
        <item x="37"/>
        <item x="58"/>
        <item x="991"/>
        <item x="1896"/>
        <item x="1832"/>
        <item x="1930"/>
        <item x="1814"/>
        <item x="2460"/>
        <item x="578"/>
        <item x="2338"/>
        <item x="75"/>
        <item x="2066"/>
        <item x="310"/>
        <item x="725"/>
        <item x="1446"/>
        <item x="2201"/>
        <item x="1155"/>
        <item x="468"/>
        <item x="2899"/>
        <item x="1669"/>
        <item x="579"/>
        <item x="2037"/>
        <item x="2068"/>
        <item x="2339"/>
        <item x="1414"/>
        <item x="2"/>
        <item x="1309"/>
        <item x="2737"/>
        <item x="1041"/>
        <item x="2418"/>
        <item x="1431"/>
        <item x="2111"/>
        <item x="1416"/>
        <item x="2142"/>
        <item x="2703"/>
        <item x="1142"/>
        <item x="916"/>
        <item x="400"/>
        <item x="741"/>
        <item x="147"/>
        <item x="1745"/>
        <item x="1087"/>
        <item x="1425"/>
        <item x="2232"/>
        <item x="2288"/>
        <item x="742"/>
        <item x="2128"/>
        <item x="2001"/>
        <item x="309"/>
        <item x="1318"/>
        <item x="2826"/>
        <item x="1367"/>
        <item x="1026"/>
        <item x="809"/>
        <item x="726"/>
        <item x="225"/>
        <item x="1630"/>
        <item x="917"/>
        <item x="2221"/>
        <item x="703"/>
        <item x="2155"/>
        <item x="2420"/>
        <item x="1448"/>
        <item x="2558"/>
        <item x="25"/>
        <item x="1797"/>
        <item x="2082"/>
        <item x="648"/>
        <item x="688"/>
        <item x="2472"/>
        <item x="1027"/>
        <item x="954"/>
        <item x="1199"/>
        <item x="2937"/>
        <item x="2762"/>
        <item x="1746"/>
        <item x="1829"/>
        <item x="1766"/>
        <item x="65"/>
        <item x="2417"/>
        <item x="2269"/>
        <item x="2274"/>
        <item x="2613"/>
        <item x="2422"/>
        <item x="497"/>
        <item x="505"/>
        <item x="2545"/>
        <item x="619"/>
        <item x="887"/>
        <item x="1176"/>
        <item x="540"/>
        <item x="363"/>
        <item x="1564"/>
        <item x="833"/>
        <item x="5"/>
        <item x="541"/>
        <item x="6"/>
        <item x="1982"/>
        <item x="2614"/>
        <item x="2728"/>
        <item x="268"/>
        <item x="426"/>
        <item x="1749"/>
        <item x="1043"/>
        <item x="2475"/>
        <item x="918"/>
        <item x="2025"/>
        <item x="2168"/>
        <item x="2236"/>
        <item x="404"/>
        <item x="7"/>
        <item x="2686"/>
        <item x="757"/>
        <item x="1369"/>
        <item x="2561"/>
        <item x="1033"/>
        <item x="1524"/>
        <item x="1451"/>
        <item x="1329"/>
        <item x="8"/>
        <item x="694"/>
        <item x="2228"/>
        <item x="115"/>
        <item x="1182"/>
        <item x="1090"/>
        <item x="1459"/>
        <item x="2477"/>
        <item x="512"/>
        <item x="2621"/>
        <item x="2280"/>
        <item x="1099"/>
        <item x="1917"/>
        <item x="624"/>
        <item x="1256"/>
        <item x="366"/>
        <item x="277"/>
        <item x="748"/>
        <item x="542"/>
        <item x="1525"/>
        <item x="143"/>
        <item x="1184"/>
        <item x="2177"/>
        <item x="1330"/>
        <item x="367"/>
        <item x="2522"/>
        <item x="11"/>
        <item x="700"/>
        <item x="749"/>
        <item x="513"/>
        <item x="1771"/>
        <item x="1360"/>
        <item x="695"/>
        <item x="105"/>
        <item x="1526"/>
        <item x="2523"/>
        <item x="146"/>
        <item x="753"/>
        <item x="2875"/>
        <item x="1128"/>
        <item x="2186"/>
        <item x="1971"/>
        <item x="698"/>
        <item x="1496"/>
        <item x="1742"/>
        <item x="360"/>
        <item x="1365"/>
        <item x="645"/>
        <item x="1333"/>
        <item x="632"/>
        <item x="2876"/>
        <item x="1974"/>
        <item x="2825"/>
        <item x="713"/>
        <item x="2569"/>
        <item x="2945"/>
        <item x="865"/>
        <item x="202"/>
        <item x="1816"/>
        <item x="646"/>
        <item x="2530"/>
        <item x="2055"/>
        <item x="2229"/>
        <item x="759"/>
        <item x="1217"/>
        <item x="618"/>
        <item x="2135"/>
        <item x="2884"/>
        <item x="978"/>
        <item x="499"/>
        <item x="1396"/>
        <item x="1806"/>
        <item x="571"/>
        <item x="1535"/>
        <item x="178"/>
        <item x="1227"/>
        <item x="1820"/>
        <item x="1875"/>
        <item x="244"/>
        <item x="739"/>
        <item x="218"/>
        <item x="2700"/>
        <item x="573"/>
        <item x="2360"/>
        <item x="1886"/>
        <item x="2890"/>
        <item x="943"/>
        <item x="1254"/>
        <item x="2931"/>
        <item x="969"/>
        <item x="1171"/>
        <item x="1810"/>
        <item x="1285"/>
        <item x="1229"/>
        <item x="1926"/>
        <item x="2048"/>
        <item x="2057"/>
        <item x="2161"/>
        <item x="1070"/>
        <item x="1228"/>
        <item x="941"/>
        <item x="1868"/>
        <item x="970"/>
        <item x="1884"/>
        <item x="1537"/>
        <item x="835"/>
        <item x="1928"/>
        <item x="663"/>
        <item x="165"/>
        <item x="1596"/>
        <item x="1230"/>
        <item x="766"/>
        <item x="1579"/>
        <item x="1764"/>
        <item x="2139"/>
        <item x="1659"/>
        <item x="2702"/>
        <item x="2444"/>
        <item x="1822"/>
        <item x="1580"/>
        <item x="2451"/>
        <item x="2140"/>
        <item x="1317"/>
        <item x="1869"/>
        <item x="2445"/>
        <item x="293"/>
        <item x="2653"/>
        <item x="712"/>
        <item x="1823"/>
        <item x="1231"/>
        <item x="1642"/>
        <item x="798"/>
        <item x="2058"/>
        <item x="2433"/>
        <item x="2051"/>
        <item x="2511"/>
        <item x="461"/>
        <item x="1233"/>
        <item x="1232"/>
        <item x="1643"/>
        <item x="1890"/>
        <item x="1059"/>
        <item x="1676"/>
        <item x="1649"/>
        <item x="803"/>
        <item x="780"/>
        <item x="465"/>
        <item x="1711"/>
        <item x="2361"/>
        <item x="42"/>
        <item x="41"/>
        <item x="575"/>
        <item x="295"/>
        <item x="1287"/>
        <item x="1074"/>
        <item x="1872"/>
        <item x="1871"/>
        <item x="305"/>
        <item x="1359"/>
        <item x="974"/>
        <item x="2455"/>
        <item x="2341"/>
        <item x="973"/>
        <item x="1406"/>
        <item x="800"/>
        <item x="2195"/>
        <item x="1075"/>
        <item x="1141"/>
        <item x="1581"/>
        <item x="1811"/>
        <item x="1855"/>
        <item x="1712"/>
        <item x="1824"/>
        <item x="1073"/>
        <item x="2336"/>
        <item x="2342"/>
        <item x="2385"/>
        <item x="2536"/>
        <item x="2952"/>
        <item x="2061"/>
        <item x="2120"/>
        <item x="2951"/>
        <item x="1120"/>
        <item x="2895"/>
        <item x="768"/>
        <item x="1891"/>
        <item x="464"/>
        <item x="1929"/>
        <item x="1143"/>
        <item x="767"/>
        <item x="790"/>
        <item x="44"/>
        <item x="501"/>
        <item x="1146"/>
        <item x="1435"/>
        <item x="1650"/>
        <item x="296"/>
        <item x="101"/>
        <item x="2457"/>
        <item x="1874"/>
        <item x="1409"/>
        <item x="2196"/>
        <item x="2705"/>
        <item x="2387"/>
        <item x="1708"/>
        <item x="740"/>
        <item x="238"/>
        <item x="1582"/>
        <item x="2458"/>
        <item x="239"/>
        <item x="2758"/>
        <item x="720"/>
        <item x="1144"/>
        <item x="988"/>
        <item x="2456"/>
        <item x="187"/>
        <item x="237"/>
        <item x="43"/>
        <item x="188"/>
        <item x="722"/>
        <item x="2019"/>
        <item x="1651"/>
        <item x="1270"/>
        <item x="2362"/>
        <item x="1542"/>
        <item x="1436"/>
        <item x="1418"/>
        <item x="241"/>
        <item x="1584"/>
        <item x="328"/>
        <item x="1894"/>
        <item x="2896"/>
        <item x="222"/>
        <item x="1420"/>
        <item x="2898"/>
        <item x="1475"/>
        <item x="885"/>
        <item x="1419"/>
        <item x="1859"/>
        <item x="2337"/>
        <item x="1473"/>
        <item x="769"/>
        <item x="723"/>
        <item x="2344"/>
        <item x="792"/>
        <item x="1541"/>
        <item x="1860"/>
        <item x="975"/>
        <item x="577"/>
        <item x="220"/>
        <item x="1150"/>
        <item x="2956"/>
        <item x="1474"/>
        <item x="2197"/>
        <item x="1151"/>
        <item x="190"/>
        <item x="191"/>
        <item x="2000"/>
        <item x="1665"/>
        <item x="1861"/>
        <item x="1439"/>
        <item x="804"/>
        <item x="0"/>
        <item x="1296"/>
        <item x="1599"/>
        <item x="2123"/>
        <item x="1543"/>
        <item x="1544"/>
        <item x="1666"/>
        <item x="806"/>
        <item x="2901"/>
        <item x="2065"/>
        <item x="1437"/>
        <item x="1063"/>
        <item x="1289"/>
        <item x="807"/>
        <item x="2199"/>
        <item x="947"/>
        <item x="2608"/>
        <item x="1444"/>
        <item x="1445"/>
        <item x="1862"/>
        <item x="1826"/>
        <item x="1297"/>
        <item x="2390"/>
        <item x="669"/>
        <item x="1476"/>
        <item x="1913"/>
        <item x="1601"/>
        <item x="2070"/>
        <item x="2373"/>
        <item x="1076"/>
        <item x="2541"/>
        <item x="1863"/>
        <item x="1477"/>
        <item x="1703"/>
        <item x="1288"/>
        <item x="1895"/>
        <item x="1602"/>
        <item x="782"/>
        <item x="1156"/>
        <item x="1629"/>
        <item x="989"/>
        <item x="1401"/>
        <item x="770"/>
        <item x="1426"/>
        <item x="1876"/>
        <item x="242"/>
        <item x="794"/>
        <item x="168"/>
        <item x="1077"/>
        <item x="243"/>
        <item x="771"/>
        <item x="1668"/>
        <item x="1235"/>
        <item x="1"/>
        <item x="1827"/>
        <item x="2709"/>
        <item x="1931"/>
        <item x="1412"/>
        <item x="2391"/>
        <item x="1403"/>
        <item x="300"/>
        <item x="1877"/>
        <item x="1427"/>
        <item x="1298"/>
        <item x="1914"/>
        <item x="1677"/>
        <item x="2392"/>
        <item x="1428"/>
        <item x="1402"/>
        <item x="169"/>
        <item x="1765"/>
        <item x="674"/>
        <item x="1413"/>
        <item x="949"/>
        <item x="1932"/>
        <item x="2902"/>
        <item x="1157"/>
        <item x="1415"/>
        <item x="302"/>
        <item x="1007"/>
        <item x="1158"/>
        <item x="1898"/>
        <item x="2069"/>
        <item x="2471"/>
        <item x="2340"/>
        <item x="3"/>
        <item x="88"/>
        <item x="502"/>
        <item x="2233"/>
        <item x="886"/>
        <item x="636"/>
        <item x="1172"/>
        <item x="1787"/>
        <item x="2512"/>
        <item x="1447"/>
        <item x="1319"/>
        <item x="2816"/>
        <item x="89"/>
        <item x="2315"/>
        <item x="836"/>
        <item x="2860"/>
        <item x="686"/>
        <item x="2080"/>
        <item x="102"/>
        <item x="1559"/>
        <item x="912"/>
        <item x="2726"/>
        <item x="743"/>
        <item x="264"/>
        <item x="2162"/>
        <item x="1320"/>
        <item x="2020"/>
        <item x="2818"/>
        <item x="2270"/>
        <item x="1321"/>
        <item x="2759"/>
        <item x="2682"/>
        <item x="687"/>
        <item x="2760"/>
        <item x="2271"/>
        <item x="2609"/>
        <item x="2316"/>
        <item x="2127"/>
        <item x="2081"/>
        <item x="2654"/>
        <item x="423"/>
        <item x="136"/>
        <item x="424"/>
        <item x="1491"/>
        <item x="953"/>
        <item x="2513"/>
        <item x="1029"/>
        <item x="1678"/>
        <item x="1788"/>
        <item x="2317"/>
        <item x="90"/>
        <item x="1560"/>
        <item x="2021"/>
        <item x="2769"/>
        <item x="1561"/>
        <item x="2022"/>
        <item x="2473"/>
        <item x="503"/>
        <item x="837"/>
        <item x="536"/>
        <item x="2514"/>
        <item x="91"/>
        <item x="1121"/>
        <item x="1173"/>
        <item x="2318"/>
        <item x="2272"/>
        <item x="1122"/>
        <item x="2610"/>
        <item x="1174"/>
        <item x="1322"/>
        <item x="537"/>
        <item x="2761"/>
        <item x="2683"/>
        <item x="504"/>
        <item x="2770"/>
        <item x="265"/>
        <item x="1679"/>
        <item x="637"/>
        <item x="1680"/>
        <item x="2819"/>
        <item x="1323"/>
        <item x="2738"/>
        <item x="638"/>
        <item x="2861"/>
        <item x="2515"/>
        <item x="538"/>
        <item x="1095"/>
        <item x="2771"/>
        <item x="1096"/>
        <item x="1562"/>
        <item x="1047"/>
        <item x="701"/>
        <item x="2023"/>
        <item x="704"/>
        <item x="1980"/>
        <item x="744"/>
        <item x="539"/>
        <item x="689"/>
        <item x="2474"/>
        <item x="329"/>
        <item x="2655"/>
        <item x="2656"/>
        <item x="2234"/>
        <item x="2862"/>
        <item x="2235"/>
        <item x="64"/>
        <item x="1523"/>
        <item x="555"/>
        <item x="1455"/>
        <item x="266"/>
        <item x="1963"/>
        <item x="1324"/>
        <item x="1123"/>
        <item x="2611"/>
        <item x="399"/>
        <item x="1175"/>
        <item x="2024"/>
        <item x="2319"/>
        <item x="137"/>
        <item x="2820"/>
        <item x="2612"/>
        <item x="361"/>
        <item x="1563"/>
        <item x="1325"/>
        <item x="2273"/>
        <item x="1456"/>
        <item x="2657"/>
        <item x="92"/>
        <item x="1713"/>
        <item x="1681"/>
        <item x="2727"/>
        <item x="1945"/>
        <item x="838"/>
        <item x="839"/>
        <item x="1714"/>
        <item x="4"/>
        <item x="2681"/>
        <item x="362"/>
        <item x="2320"/>
        <item x="690"/>
        <item x="1088"/>
        <item x="1767"/>
        <item x="1715"/>
        <item x="1716"/>
        <item x="1981"/>
        <item x="1449"/>
        <item x="888"/>
        <item x="2821"/>
        <item x="1089"/>
        <item x="425"/>
        <item x="2321"/>
        <item x="1030"/>
        <item x="267"/>
        <item x="1704"/>
        <item x="620"/>
        <item x="1031"/>
        <item x="952"/>
        <item x="2163"/>
        <item x="506"/>
        <item x="913"/>
        <item x="1717"/>
        <item x="2164"/>
        <item x="2083"/>
        <item x="2658"/>
        <item x="2165"/>
        <item x="840"/>
        <item x="507"/>
        <item x="1709"/>
        <item x="66"/>
        <item x="1201"/>
        <item x="1124"/>
        <item x="841"/>
        <item x="2684"/>
        <item x="2112"/>
        <item x="1983"/>
        <item x="2166"/>
        <item x="842"/>
        <item x="843"/>
        <item x="2084"/>
        <item x="138"/>
        <item x="2516"/>
        <item x="1675"/>
        <item x="2822"/>
        <item x="1177"/>
        <item x="2863"/>
        <item x="2517"/>
        <item x="1984"/>
        <item x="330"/>
        <item x="1768"/>
        <item x="2858"/>
        <item x="139"/>
        <item x="2615"/>
        <item x="140"/>
        <item x="364"/>
        <item x="427"/>
        <item x="691"/>
        <item x="2685"/>
        <item x="1682"/>
        <item x="1178"/>
        <item x="2167"/>
        <item x="2314"/>
        <item x="1683"/>
        <item x="428"/>
        <item x="2616"/>
        <item x="2518"/>
        <item x="2113"/>
        <item x="141"/>
        <item x="103"/>
        <item x="1032"/>
        <item x="2617"/>
        <item x="889"/>
        <item x="1718"/>
        <item x="1179"/>
        <item x="331"/>
        <item x="1097"/>
        <item x="2618"/>
        <item x="615"/>
        <item x="1985"/>
        <item x="1964"/>
        <item x="2275"/>
        <item x="332"/>
        <item x="1965"/>
        <item x="844"/>
        <item x="2619"/>
        <item x="2519"/>
        <item x="2659"/>
        <item x="2169"/>
        <item x="2859"/>
        <item x="621"/>
        <item x="2823"/>
        <item x="274"/>
        <item x="1125"/>
        <item x="429"/>
        <item x="1684"/>
        <item x="2276"/>
        <item x="2520"/>
        <item x="639"/>
        <item x="1492"/>
        <item x="2817"/>
        <item x="2521"/>
        <item x="2170"/>
        <item x="2171"/>
        <item x="2620"/>
        <item x="692"/>
        <item x="640"/>
        <item x="914"/>
        <item x="1725"/>
        <item x="1326"/>
        <item x="2939"/>
        <item x="2606"/>
        <item x="1180"/>
        <item x="2237"/>
        <item x="430"/>
        <item x="2772"/>
        <item x="2277"/>
        <item x="2660"/>
        <item x="1915"/>
        <item x="1789"/>
        <item x="2864"/>
        <item x="641"/>
        <item x="2033"/>
        <item x="333"/>
        <item x="1450"/>
        <item x="508"/>
        <item x="1790"/>
        <item x="1255"/>
        <item x="622"/>
        <item x="1457"/>
        <item x="693"/>
        <item x="1327"/>
        <item x="2865"/>
        <item x="1328"/>
        <item x="1034"/>
        <item x="884"/>
        <item x="1381"/>
        <item x="2238"/>
        <item x="623"/>
        <item x="2026"/>
        <item x="2476"/>
        <item x="275"/>
        <item x="498"/>
        <item x="2866"/>
        <item x="276"/>
        <item x="1008"/>
        <item x="2661"/>
        <item x="9"/>
        <item x="2172"/>
        <item x="2729"/>
        <item x="745"/>
        <item x="1558"/>
        <item x="1493"/>
        <item x="890"/>
        <item x="2763"/>
        <item x="2687"/>
        <item x="509"/>
        <item x="1726"/>
        <item x="510"/>
        <item x="1986"/>
        <item x="1565"/>
        <item x="1098"/>
        <item x="2773"/>
        <item x="1769"/>
        <item x="2173"/>
        <item x="2174"/>
        <item x="1987"/>
        <item x="135"/>
        <item x="2175"/>
        <item x="2688"/>
        <item x="915"/>
        <item x="845"/>
        <item x="1035"/>
        <item x="1181"/>
        <item x="1126"/>
        <item x="2027"/>
        <item x="1009"/>
        <item x="1702"/>
        <item x="846"/>
        <item x="1966"/>
        <item x="1705"/>
        <item x="104"/>
        <item x="1719"/>
        <item x="1720"/>
        <item x="1010"/>
        <item x="334"/>
        <item x="2085"/>
        <item x="616"/>
        <item x="511"/>
        <item x="431"/>
        <item x="2223"/>
        <item x="1791"/>
        <item x="10"/>
        <item x="142"/>
        <item x="1770"/>
        <item x="2086"/>
        <item x="1011"/>
        <item x="1335"/>
        <item x="2932"/>
        <item x="746"/>
        <item x="2278"/>
        <item x="365"/>
        <item x="702"/>
        <item x="2774"/>
        <item x="1916"/>
        <item x="2279"/>
        <item x="2933"/>
        <item x="2934"/>
        <item x="747"/>
        <item x="432"/>
        <item x="2176"/>
        <item x="1183"/>
        <item x="335"/>
        <item x="2222"/>
        <item x="1358"/>
        <item x="2322"/>
        <item x="2087"/>
        <item x="1331"/>
        <item x="2178"/>
        <item x="336"/>
        <item x="1721"/>
        <item x="625"/>
        <item x="1382"/>
        <item x="2224"/>
        <item x="847"/>
        <item x="2323"/>
        <item x="2179"/>
        <item x="2730"/>
        <item x="433"/>
        <item x="2867"/>
        <item x="2622"/>
        <item x="337"/>
        <item x="2524"/>
        <item x="696"/>
        <item x="1566"/>
        <item x="12"/>
        <item x="2180"/>
        <item x="269"/>
        <item x="1727"/>
        <item x="1527"/>
        <item x="1361"/>
        <item x="2731"/>
        <item x="1200"/>
        <item x="2478"/>
        <item x="543"/>
        <item x="1494"/>
        <item x="2764"/>
        <item x="1362"/>
        <item x="2181"/>
        <item x="1706"/>
        <item x="2775"/>
        <item x="2182"/>
        <item x="1792"/>
        <item x="848"/>
        <item x="544"/>
        <item x="1091"/>
        <item x="2868"/>
        <item x="1036"/>
        <item x="2239"/>
        <item x="642"/>
        <item x="1722"/>
        <item x="535"/>
        <item x="368"/>
        <item x="2689"/>
        <item x="643"/>
        <item x="2324"/>
        <item x="750"/>
        <item x="1967"/>
        <item x="2240"/>
        <item x="369"/>
        <item x="626"/>
        <item x="2479"/>
        <item x="24"/>
        <item x="2325"/>
        <item x="1185"/>
        <item x="2869"/>
        <item x="2088"/>
        <item x="1528"/>
        <item x="2326"/>
        <item x="1495"/>
        <item x="1186"/>
        <item x="514"/>
        <item x="13"/>
        <item x="1710"/>
        <item x="370"/>
        <item x="2327"/>
        <item x="371"/>
        <item x="1728"/>
        <item x="1918"/>
        <item x="1452"/>
        <item x="1772"/>
        <item x="627"/>
        <item x="278"/>
        <item x="2114"/>
        <item x="891"/>
        <item x="270"/>
        <item x="1037"/>
        <item x="1968"/>
        <item x="515"/>
        <item x="279"/>
        <item x="2281"/>
        <item x="1038"/>
        <item x="2870"/>
        <item x="617"/>
        <item x="849"/>
        <item x="644"/>
        <item x="2183"/>
        <item x="1332"/>
        <item x="2765"/>
        <item x="2871"/>
        <item x="751"/>
        <item x="2732"/>
        <item x="1773"/>
        <item x="1969"/>
        <item x="2607"/>
        <item x="697"/>
        <item x="2733"/>
        <item x="14"/>
        <item x="372"/>
        <item x="2028"/>
        <item x="2184"/>
        <item x="1187"/>
        <item x="1363"/>
        <item x="2872"/>
        <item x="2873"/>
        <item x="327"/>
        <item x="2328"/>
        <item x="2776"/>
        <item x="1188"/>
        <item x="106"/>
        <item x="2480"/>
        <item x="1257"/>
        <item x="1729"/>
        <item x="2225"/>
        <item x="2690"/>
        <item x="1039"/>
        <item x="1979"/>
        <item x="1793"/>
        <item x="1741"/>
        <item x="2241"/>
        <item x="434"/>
        <item x="1127"/>
        <item x="2329"/>
        <item x="1092"/>
        <item x="1529"/>
        <item x="628"/>
        <item x="2160"/>
        <item x="1093"/>
        <item x="1364"/>
        <item x="1723"/>
        <item x="1189"/>
        <item x="1253"/>
        <item x="2874"/>
        <item x="1730"/>
        <item x="892"/>
        <item x="1919"/>
        <item x="2185"/>
        <item x="629"/>
        <item x="338"/>
        <item x="1988"/>
        <item x="1970"/>
        <item x="752"/>
        <item x="2525"/>
        <item x="1383"/>
        <item x="373"/>
        <item x="1042"/>
        <item x="2623"/>
        <item x="2777"/>
        <item x="1129"/>
        <item x="516"/>
        <item x="2089"/>
        <item x="1731"/>
        <item x="2226"/>
        <item x="1190"/>
        <item x="1170"/>
        <item x="2330"/>
        <item x="1732"/>
        <item x="339"/>
        <item x="2691"/>
        <item x="517"/>
        <item x="834"/>
        <item x="107"/>
        <item x="2692"/>
        <item x="1774"/>
        <item x="1100"/>
        <item x="850"/>
        <item x="144"/>
        <item x="1497"/>
        <item x="271"/>
        <item x="1118"/>
        <item x="2187"/>
        <item x="2734"/>
        <item x="1920"/>
        <item x="518"/>
        <item x="1130"/>
        <item x="630"/>
        <item x="647"/>
        <item x="2029"/>
        <item x="1094"/>
        <item x="1453"/>
        <item x="631"/>
        <item x="1733"/>
        <item x="1191"/>
        <item x="263"/>
        <item x="1743"/>
        <item x="1192"/>
        <item x="1567"/>
        <item x="108"/>
        <item x="2282"/>
        <item x="2526"/>
        <item x="1193"/>
        <item x="2188"/>
        <item x="2090"/>
        <item x="519"/>
        <item x="2662"/>
        <item x="1724"/>
        <item x="2189"/>
        <item x="1503"/>
        <item x="2527"/>
        <item x="2778"/>
        <item x="1498"/>
        <item x="1794"/>
        <item x="851"/>
        <item x="520"/>
        <item x="340"/>
        <item x="893"/>
        <item x="1458"/>
        <item x="1735"/>
        <item x="2795"/>
        <item x="2231"/>
        <item x="1052"/>
        <item x="2379"/>
        <item x="957"/>
        <item x="2784"/>
        <item x="556"/>
        <item x="1739"/>
        <item x="2549"/>
        <item x="2381"/>
        <item x="38"/>
        <item x="1119"/>
        <item x="2382"/>
        <item x="557"/>
        <item x="448"/>
        <item x="714"/>
        <item x="866"/>
        <item x="2487"/>
        <item x="2351"/>
        <item x="2158"/>
        <item x="1028"/>
        <item x="286"/>
        <item x="2383"/>
        <item x="1835"/>
        <item x="1933"/>
        <item x="1591"/>
        <item x="1046"/>
        <item x="1592"/>
        <item x="378"/>
        <item x="2528"/>
        <item x="87"/>
        <item x="565"/>
        <item x="1212"/>
        <item x="46"/>
        <item x="207"/>
        <item x="446"/>
        <item x="1922"/>
        <item x="926"/>
        <item x="1216"/>
        <item x="1837"/>
        <item x="1316"/>
        <item x="2786"/>
        <item x="170"/>
        <item x="2132"/>
        <item x="306"/>
        <item x="2054"/>
        <item x="1923"/>
        <item x="2436"/>
        <item x="870"/>
        <item x="1817"/>
        <item x="2397"/>
        <item x="307"/>
        <item x="1804"/>
        <item x="1218"/>
        <item x="2437"/>
        <item x="715"/>
        <item x="1632"/>
        <item x="453"/>
        <item x="2882"/>
        <item x="2789"/>
        <item x="2907"/>
        <item x="2923"/>
        <item x="1221"/>
        <item x="1264"/>
        <item x="2885"/>
        <item x="2925"/>
        <item x="2359"/>
        <item x="871"/>
        <item x="2926"/>
        <item x="380"/>
        <item x="2489"/>
        <item x="1807"/>
        <item x="177"/>
        <item x="162"/>
        <item x="2490"/>
        <item x="2915"/>
        <item x="1635"/>
        <item x="2439"/>
        <item x="2419"/>
        <item x="2947"/>
        <item x="1276"/>
        <item x="760"/>
        <item x="761"/>
        <item x="1883"/>
        <item x="215"/>
        <item x="2018"/>
        <item x="216"/>
        <item x="2137"/>
        <item x="231"/>
        <item x="1865"/>
        <item x="2446"/>
        <item x="660"/>
        <item x="1637"/>
        <item x="2918"/>
        <item x="100"/>
        <item x="1469"/>
        <item x="796"/>
        <item x="458"/>
        <item x="572"/>
        <item x="179"/>
        <item x="967"/>
        <item x="2056"/>
        <item x="1069"/>
        <item x="785"/>
        <item x="1925"/>
        <item x="2768"/>
        <item x="180"/>
        <item x="1284"/>
        <item x="500"/>
        <item x="245"/>
        <item x="1655"/>
        <item x="164"/>
        <item x="224"/>
        <item x="675"/>
        <item x="580"/>
        <item x="1639"/>
        <item x="1887"/>
        <item x="930"/>
        <item x="1344"/>
        <item x="145"/>
        <item x="62"/>
        <item x="1522"/>
        <item x="2605"/>
        <item x="1490"/>
        <item x="1368"/>
        <item x="22"/>
        <item x="1204"/>
        <item x="260"/>
        <item x="927"/>
        <item x="2650"/>
        <item x="27"/>
        <item x="2297"/>
        <item x="1977"/>
        <item x="1911"/>
        <item x="1290"/>
        <item x="2067"/>
        <item x="2017"/>
        <item x="2313"/>
        <item x="911"/>
        <item x="2469"/>
        <item x="548"/>
        <item x="1356"/>
        <item x="1202"/>
        <item x="2814"/>
        <item x="2220"/>
        <item x="1614"/>
        <item x="2678"/>
        <item x="2079"/>
        <item x="955"/>
        <item x="2290"/>
        <item x="596"/>
        <item x="2266"/>
        <item x="2560"/>
        <item x="134"/>
        <item x="1786"/>
        <item x="1169"/>
        <item x="1084"/>
        <item x="1762"/>
        <item x="2604"/>
        <item x="2725"/>
        <item x="2651"/>
        <item x="1962"/>
        <item x="1912"/>
        <item x="2815"/>
        <item x="1025"/>
        <item x="2230"/>
        <item x="262"/>
        <item x="2783"/>
        <item x="1801"/>
        <item x="2573"/>
        <item x="39"/>
        <item x="1674"/>
        <item x="1740"/>
        <item x="2052"/>
        <item x="2289"/>
        <item x="495"/>
        <item x="1842"/>
        <item x="1337"/>
        <item x="2603"/>
        <item x="1252"/>
        <item x="831"/>
        <item x="1024"/>
        <item x="261"/>
        <item x="2267"/>
        <item x="2531"/>
        <item x="1545"/>
        <item x="1440"/>
        <item x="2125"/>
        <item x="2421"/>
        <item x="2574"/>
        <item x="1881"/>
        <item x="1530"/>
        <item x="159"/>
        <item x="227"/>
        <item x="2910"/>
        <item x="2355"/>
        <item x="961"/>
        <item x="1138"/>
        <item x="1802"/>
        <item x="281"/>
        <item x="981"/>
        <item x="1373"/>
        <item x="2791"/>
        <item x="551"/>
        <item x="2836"/>
        <item x="2484"/>
        <item x="552"/>
        <item x="1049"/>
        <item x="1685"/>
        <item x="2793"/>
        <item x="1975"/>
        <item x="1631"/>
        <item x="756"/>
        <item x="2493"/>
        <item x="597"/>
        <item x="1348"/>
        <item x="810"/>
        <item x="547"/>
        <item x="921"/>
        <item x="1462"/>
        <item x="1899"/>
        <item x="2792"/>
        <item x="1734"/>
        <item x="1463"/>
        <item x="198"/>
        <item x="2486"/>
        <item x="402"/>
        <item x="815"/>
        <item x="2547"/>
        <item x="1345"/>
        <item x="1687"/>
        <item x="2096"/>
        <item x="67"/>
        <item x="1259"/>
        <item x="900"/>
        <item x="877"/>
        <item x="1952"/>
        <item x="1209"/>
        <item x="2742"/>
        <item x="2942"/>
        <item x="2005"/>
        <item x="30"/>
        <item x="705"/>
        <item x="2625"/>
        <item x="197"/>
        <item x="1388"/>
        <item x="2482"/>
        <item x="1386"/>
        <item x="1244"/>
        <item x="1245"/>
        <item x="2747"/>
        <item x="1618"/>
        <item x="2667"/>
        <item x="2250"/>
        <item x="128"/>
        <item x="2304"/>
        <item x="2462"/>
        <item x="1691"/>
        <item x="1828"/>
        <item x="2348"/>
        <item x="2002"/>
        <item x="1736"/>
        <item x="119"/>
        <item x="2375"/>
        <item x="654"/>
        <item x="1211"/>
        <item x="1108"/>
        <item x="204"/>
        <item x="70"/>
        <item x="469"/>
        <item x="1686"/>
        <item x="2039"/>
        <item x="935"/>
        <item x="1393"/>
        <item x="1213"/>
        <item x="2624"/>
        <item x="934"/>
        <item x="445"/>
        <item x="2131"/>
        <item x="1995"/>
        <item x="206"/>
        <item x="1460"/>
        <item x="203"/>
        <item x="1214"/>
        <item x="444"/>
        <item x="560"/>
        <item x="2053"/>
        <item x="559"/>
        <item x="1134"/>
        <item x="1135"/>
        <item x="2785"/>
        <item x="2143"/>
        <item x="655"/>
        <item x="925"/>
        <item x="1136"/>
        <item x="1261"/>
        <item x="1996"/>
        <item x="1588"/>
        <item x="1215"/>
        <item x="1064"/>
        <item x="2396"/>
        <item x="1272"/>
        <item x="2977"/>
        <item x="2395"/>
        <item x="2879"/>
        <item x="1273"/>
        <item x="1921"/>
        <item x="447"/>
        <item x="2919"/>
        <item x="226"/>
        <item x="1836"/>
        <item x="1844"/>
        <item x="567"/>
        <item x="2354"/>
        <item x="1531"/>
        <item x="656"/>
        <item x="45"/>
        <item x="1054"/>
        <item x="869"/>
        <item x="1137"/>
        <item x="561"/>
        <item x="1262"/>
        <item x="1104"/>
        <item x="1997"/>
        <item x="2040"/>
        <item x="2435"/>
        <item x="2906"/>
        <item x="1532"/>
        <item x="173"/>
        <item x="2134"/>
        <item x="2356"/>
        <item x="2911"/>
        <item x="2920"/>
        <item x="1065"/>
        <item x="1280"/>
        <item x="1110"/>
        <item x="2787"/>
        <item x="208"/>
        <item x="1845"/>
        <item x="171"/>
        <item x="449"/>
        <item x="160"/>
        <item x="1394"/>
        <item x="2190"/>
        <item x="1281"/>
        <item x="1395"/>
        <item x="1924"/>
        <item x="47"/>
        <item x="1803"/>
        <item x="812"/>
        <item x="2398"/>
        <item x="451"/>
        <item x="308"/>
        <item x="977"/>
        <item x="452"/>
        <item x="228"/>
        <item x="1805"/>
        <item x="773"/>
        <item x="1219"/>
        <item x="2913"/>
        <item x="1506"/>
        <item x="175"/>
        <item x="1220"/>
        <item x="2358"/>
        <item x="657"/>
        <item x="2946"/>
        <item x="569"/>
        <item x="214"/>
        <item x="1265"/>
        <item x="658"/>
        <item x="1946"/>
        <item x="2927"/>
        <item x="1634"/>
        <item x="213"/>
        <item x="209"/>
        <item x="2914"/>
        <item x="1818"/>
        <item x="1633"/>
        <item x="1056"/>
        <item x="1747"/>
        <item x="1999"/>
        <item x="1576"/>
        <item x="2400"/>
        <item x="1222"/>
        <item x="161"/>
        <item x="570"/>
        <item x="1594"/>
        <item x="2695"/>
        <item x="1653"/>
        <item x="2434"/>
        <item x="2710"/>
        <item x="938"/>
        <item x="1404"/>
        <item x="2045"/>
        <item x="1819"/>
        <item x="1864"/>
        <item x="456"/>
        <item x="2908"/>
        <item x="1068"/>
        <item x="980"/>
        <item x="965"/>
        <item x="2006"/>
        <item x="872"/>
        <item x="288"/>
        <item x="873"/>
        <item x="939"/>
        <item x="1443"/>
        <item x="1534"/>
        <item x="2491"/>
        <item x="2928"/>
        <item x="776"/>
        <item x="2423"/>
        <item x="1225"/>
        <item x="2909"/>
        <item x="1277"/>
        <item x="1283"/>
        <item x="2136"/>
        <item x="1636"/>
        <item x="659"/>
        <item x="2948"/>
        <item x="457"/>
        <item x="470"/>
        <item x="1546"/>
        <item x="381"/>
        <item x="2916"/>
        <item x="966"/>
        <item x="2696"/>
        <item x="2917"/>
        <item x="2046"/>
        <item x="2887"/>
        <item x="1266"/>
        <item x="292"/>
        <item x="1990"/>
        <item x="2697"/>
        <item x="717"/>
        <item x="289"/>
        <item x="1536"/>
        <item x="459"/>
        <item x="2116"/>
        <item x="2429"/>
        <item x="2698"/>
        <item x="2888"/>
        <item x="762"/>
        <item x="2483"/>
        <item x="181"/>
        <item x="2047"/>
        <item x="2427"/>
        <item x="1072"/>
        <item x="2049"/>
        <item x="2949"/>
        <item x="765"/>
        <item x="2701"/>
        <item x="2332"/>
        <item x="971"/>
        <item x="1139"/>
        <item x="1640"/>
        <item x="574"/>
        <item x="2333"/>
        <item x="2431"/>
        <item x="944"/>
        <item x="1294"/>
        <item x="787"/>
        <item x="1140"/>
        <item x="2334"/>
        <item x="440"/>
        <item x="672"/>
        <item x="1870"/>
        <item x="2453"/>
        <item x="2452"/>
        <item x="1645"/>
        <item x="2141"/>
        <item x="2894"/>
        <item x="1858"/>
        <item x="2563"/>
        <item x="1857"/>
        <item x="1597"/>
        <item x="2119"/>
        <item x="463"/>
        <item x="1647"/>
        <item x="2192"/>
        <item x="1271"/>
        <item x="1267"/>
        <item x="1048"/>
        <item x="1268"/>
        <item x="2950"/>
        <item x="2538"/>
        <item x="2953"/>
        <item x="2706"/>
        <item x="791"/>
        <item x="667"/>
        <item x="2343"/>
        <item x="466"/>
        <item x="297"/>
        <item x="1105"/>
        <item x="2707"/>
        <item x="2369"/>
        <item x="167"/>
        <item x="2459"/>
        <item x="1417"/>
        <item x="1892"/>
        <item x="1060"/>
        <item x="1400"/>
        <item x="150"/>
        <item x="189"/>
        <item x="1813"/>
        <item x="2388"/>
        <item x="1236"/>
        <item x="1421"/>
        <item x="1410"/>
        <item x="724"/>
        <item x="2349"/>
        <item x="808"/>
        <item x="670"/>
        <item x="223"/>
        <item x="2708"/>
        <item x="193"/>
        <item x="311"/>
        <item x="194"/>
        <item x="990"/>
        <item x="1897"/>
        <item x="897"/>
        <item x="1411"/>
        <item x="2540"/>
        <item x="976"/>
        <item x="948"/>
        <item x="1012"/>
        <item x="1776"/>
        <item x="386"/>
        <item x="2798"/>
        <item x="301"/>
        <item x="2532"/>
        <item x="1291"/>
        <item x="1299"/>
        <item x="1292"/>
        <item x="1293"/>
        <item x="2799"/>
        <item x="2346"/>
        <item x="1300"/>
        <item x="121"/>
        <item x="813"/>
        <item x="1478"/>
        <item x="2959"/>
        <item x="1159"/>
        <item x="2007"/>
        <item x="2626"/>
        <item x="599"/>
        <item x="122"/>
        <item x="2243"/>
        <item x="1615"/>
        <item x="600"/>
        <item x="347"/>
        <item x="94"/>
        <item x="1160"/>
        <item x="2627"/>
        <item x="2837"/>
        <item x="861"/>
        <item x="2008"/>
        <item x="993"/>
        <item x="1950"/>
        <item x="2546"/>
        <item x="2800"/>
        <item x="123"/>
        <item x="375"/>
        <item x="1346"/>
        <item x="2628"/>
        <item x="2244"/>
        <item x="2091"/>
        <item x="2092"/>
        <item x="2292"/>
        <item x="1013"/>
        <item x="2832"/>
        <item x="2495"/>
        <item x="2629"/>
        <item x="2133"/>
        <item x="2905"/>
        <item x="994"/>
        <item x="581"/>
        <item x="2003"/>
        <item x="1992"/>
        <item x="471"/>
        <item x="124"/>
        <item x="582"/>
        <item x="412"/>
        <item x="2378"/>
        <item x="1848"/>
        <item x="1751"/>
        <item x="2496"/>
        <item x="2559"/>
        <item x="2144"/>
        <item x="2566"/>
        <item x="995"/>
        <item x="33"/>
        <item x="247"/>
        <item x="1830"/>
        <item x="898"/>
        <item x="315"/>
        <item x="2711"/>
        <item x="1237"/>
        <item x="2497"/>
        <item x="1512"/>
        <item x="1479"/>
        <item x="48"/>
        <item x="1548"/>
        <item x="1014"/>
        <item x="472"/>
        <item x="1513"/>
        <item x="521"/>
        <item x="522"/>
        <item x="1301"/>
        <item x="2299"/>
        <item x="2293"/>
        <item x="699"/>
        <item x="406"/>
        <item x="1849"/>
        <item x="151"/>
        <item x="1737"/>
        <item x="553"/>
        <item x="2204"/>
        <item x="273"/>
        <item x="196"/>
        <item x="116"/>
        <item x="1947"/>
        <item x="1106"/>
        <item x="1206"/>
        <item x="1549"/>
        <item x="248"/>
        <item x="856"/>
        <item x="1850"/>
        <item x="899"/>
        <item x="49"/>
        <item x="2838"/>
        <item x="2576"/>
        <item x="1616"/>
        <item x="343"/>
        <item x="729"/>
        <item x="2424"/>
        <item x="2940"/>
        <item x="1050"/>
        <item x="2093"/>
        <item x="2156"/>
        <item x="1461"/>
        <item x="2287"/>
        <item x="920"/>
        <item x="2294"/>
        <item x="1347"/>
        <item x="2402"/>
        <item x="1338"/>
        <item x="996"/>
        <item x="1589"/>
        <item x="1514"/>
        <item x="2941"/>
        <item x="649"/>
        <item x="2801"/>
        <item x="152"/>
        <item x="1161"/>
        <item x="2009"/>
        <item x="2960"/>
        <item x="1015"/>
        <item x="1570"/>
        <item x="2403"/>
        <item x="2010"/>
        <item x="2782"/>
        <item x="1948"/>
        <item x="1302"/>
        <item x="439"/>
        <item x="2145"/>
        <item x="2034"/>
        <item x="2404"/>
        <item x="280"/>
        <item x="1949"/>
        <item x="1207"/>
        <item x="2350"/>
        <item x="34"/>
        <item x="2300"/>
        <item x="874"/>
        <item x="1777"/>
        <item x="676"/>
        <item x="730"/>
        <item x="2577"/>
        <item x="2094"/>
        <item x="2712"/>
        <item x="2802"/>
        <item x="875"/>
        <item x="1111"/>
        <item x="1374"/>
        <item x="284"/>
        <item x="405"/>
        <item x="2736"/>
        <item x="1336"/>
        <item x="282"/>
        <item x="1851"/>
        <item x="1203"/>
        <item x="2295"/>
        <item x="148"/>
        <item x="35"/>
        <item x="36"/>
        <item x="956"/>
        <item x="860"/>
        <item x="814"/>
        <item x="598"/>
        <item x="2830"/>
        <item x="2578"/>
        <item x="249"/>
        <item x="2245"/>
        <item x="876"/>
        <item x="50"/>
        <item x="2004"/>
        <item x="149"/>
        <item x="2146"/>
        <item x="285"/>
        <item x="2835"/>
        <item x="153"/>
        <item x="1370"/>
        <item x="342"/>
        <item x="403"/>
        <item x="706"/>
        <item x="2095"/>
        <item x="154"/>
        <item x="1208"/>
        <item x="2567"/>
        <item x="199"/>
        <item x="1238"/>
        <item x="1515"/>
        <item x="858"/>
        <item x="1951"/>
        <item x="28"/>
        <item x="1670"/>
        <item x="1852"/>
        <item x="677"/>
        <item x="1303"/>
        <item x="1162"/>
        <item x="473"/>
        <item x="2498"/>
        <item x="2242"/>
        <item x="474"/>
        <item x="1778"/>
        <item x="2147"/>
        <item x="922"/>
        <item x="1831"/>
        <item x="1671"/>
        <item x="862"/>
        <item x="650"/>
        <item x="727"/>
        <item x="2035"/>
        <item x="376"/>
        <item x="2405"/>
        <item x="2794"/>
        <item x="1748"/>
        <item x="2938"/>
        <item x="250"/>
        <item x="411"/>
        <item x="475"/>
        <item x="1339"/>
        <item x="1051"/>
        <item x="901"/>
        <item x="2839"/>
        <item x="2071"/>
        <item x="1349"/>
        <item x="2148"/>
        <item x="1340"/>
        <item x="2739"/>
        <item x="651"/>
        <item x="2406"/>
        <item x="155"/>
        <item x="413"/>
        <item x="2246"/>
        <item x="51"/>
        <item x="2630"/>
        <item x="1112"/>
        <item x="316"/>
        <item x="1016"/>
        <item x="1779"/>
        <item x="2579"/>
        <item x="2840"/>
        <item x="29"/>
        <item x="1163"/>
        <item x="2663"/>
        <item x="902"/>
        <item x="2713"/>
        <item x="1688"/>
        <item x="1516"/>
        <item x="1304"/>
        <item x="583"/>
        <item x="1387"/>
        <item x="1843"/>
        <item x="1976"/>
        <item x="476"/>
        <item x="2568"/>
        <item x="1078"/>
        <item x="601"/>
        <item x="1305"/>
        <item x="2743"/>
        <item x="2803"/>
        <item x="1900"/>
        <item x="1880"/>
        <item x="2580"/>
        <item x="1239"/>
        <item x="1689"/>
        <item x="2664"/>
        <item x="251"/>
        <item x="1780"/>
        <item x="1480"/>
        <item x="997"/>
        <item x="1279"/>
        <item x="68"/>
        <item x="125"/>
        <item x="2247"/>
        <item x="2097"/>
        <item x="2744"/>
        <item x="1275"/>
        <item x="387"/>
        <item x="1603"/>
        <item x="1901"/>
        <item x="1902"/>
        <item x="2714"/>
        <item x="388"/>
        <item x="2407"/>
        <item x="1604"/>
        <item x="2301"/>
        <item x="389"/>
        <item x="903"/>
        <item x="523"/>
        <item x="1481"/>
        <item x="2641"/>
        <item x="1240"/>
        <item x="998"/>
        <item x="317"/>
        <item x="1953"/>
        <item x="2149"/>
        <item x="999"/>
        <item x="1903"/>
        <item x="904"/>
        <item x="2150"/>
        <item x="2581"/>
        <item x="1550"/>
        <item x="318"/>
        <item x="2248"/>
        <item x="1482"/>
        <item x="2665"/>
        <item x="602"/>
        <item x="603"/>
        <item x="2582"/>
        <item x="2205"/>
        <item x="2715"/>
        <item x="2631"/>
        <item x="2302"/>
        <item x="477"/>
        <item x="604"/>
        <item x="1781"/>
        <item x="2206"/>
        <item x="1798"/>
        <item x="95"/>
        <item x="478"/>
        <item x="2159"/>
        <item x="319"/>
        <item x="2583"/>
        <item x="1853"/>
        <item x="678"/>
        <item x="1954"/>
        <item x="2408"/>
        <item x="2642"/>
        <item x="414"/>
        <item x="2072"/>
        <item x="1799"/>
        <item x="1164"/>
        <item x="2409"/>
        <item x="1782"/>
        <item x="1241"/>
        <item x="2643"/>
        <item x="1752"/>
        <item x="2207"/>
        <item x="2841"/>
        <item x="2499"/>
        <item x="1375"/>
        <item x="1690"/>
        <item x="1017"/>
        <item x="1242"/>
        <item x="2500"/>
        <item x="52"/>
        <item x="1904"/>
        <item x="2501"/>
        <item x="2410"/>
        <item x="1483"/>
        <item x="1350"/>
        <item x="2208"/>
        <item x="348"/>
        <item x="679"/>
        <item x="2011"/>
        <item x="2012"/>
        <item x="1955"/>
        <item x="53"/>
        <item x="1113"/>
        <item x="1306"/>
        <item x="2745"/>
        <item x="2562"/>
        <item x="126"/>
        <item x="479"/>
        <item x="1936"/>
        <item x="1205"/>
        <item x="2411"/>
        <item x="2412"/>
        <item x="2644"/>
        <item x="410"/>
        <item x="127"/>
        <item x="2804"/>
        <item x="2098"/>
        <item x="2401"/>
        <item x="349"/>
        <item x="69"/>
        <item x="2099"/>
        <item x="1617"/>
        <item x="2746"/>
        <item x="2151"/>
        <item x="2912"/>
        <item x="350"/>
        <item x="2209"/>
        <item x="2781"/>
        <item x="2666"/>
        <item x="54"/>
        <item x="480"/>
        <item x="2210"/>
        <item x="905"/>
        <item x="1551"/>
        <item x="811"/>
        <item x="2584"/>
        <item x="2585"/>
        <item x="1079"/>
        <item x="2303"/>
        <item x="1605"/>
        <item x="584"/>
        <item x="2586"/>
        <item x="320"/>
        <item x="2413"/>
        <item x="2211"/>
        <item x="816"/>
        <item x="585"/>
        <item x="481"/>
        <item x="2716"/>
        <item x="524"/>
        <item x="415"/>
        <item x="731"/>
        <item x="2013"/>
        <item x="2073"/>
        <item x="1018"/>
        <item x="55"/>
        <item x="252"/>
        <item x="1080"/>
        <item x="1243"/>
        <item x="1753"/>
        <item x="680"/>
        <item x="93"/>
        <item x="586"/>
        <item x="1937"/>
        <item x="2249"/>
        <item x="2502"/>
        <item x="2805"/>
        <item x="681"/>
        <item x="1783"/>
        <item x="129"/>
        <item x="732"/>
        <item x="2587"/>
        <item x="1351"/>
        <item x="2494"/>
        <item x="130"/>
        <item x="2632"/>
        <item x="2842"/>
        <item x="1517"/>
        <item x="1000"/>
        <item x="2212"/>
        <item x="2633"/>
        <item x="525"/>
        <item x="1934"/>
        <item x="682"/>
        <item x="1938"/>
        <item x="2461"/>
        <item x="1552"/>
        <item x="2298"/>
        <item x="1376"/>
        <item x="1619"/>
        <item x="1692"/>
        <item x="2843"/>
        <item x="2961"/>
        <item x="1935"/>
        <item x="2588"/>
        <item x="1606"/>
        <item x="2251"/>
        <item x="817"/>
        <item x="2717"/>
        <item x="683"/>
        <item x="71"/>
        <item x="2100"/>
        <item x="2589"/>
        <item x="314"/>
        <item x="1607"/>
        <item x="482"/>
        <item x="1001"/>
        <item x="1114"/>
        <item x="2590"/>
        <item x="2634"/>
        <item x="2645"/>
        <item x="483"/>
        <item x="1956"/>
        <item x="2203"/>
        <item x="2962"/>
        <item x="96"/>
        <item x="2101"/>
        <item x="2074"/>
        <item x="1553"/>
        <item x="1939"/>
        <item x="2102"/>
        <item x="818"/>
        <item x="2963"/>
        <item x="72"/>
        <item x="728"/>
        <item x="2503"/>
        <item x="2591"/>
        <item x="73"/>
        <item x="1352"/>
        <item x="2592"/>
        <item x="962"/>
        <item x="2646"/>
        <item x="2647"/>
        <item x="56"/>
        <item x="2806"/>
        <item x="1754"/>
        <item x="2305"/>
        <item x="526"/>
        <item x="1940"/>
        <item x="74"/>
        <item x="1755"/>
        <item x="878"/>
        <item x="819"/>
        <item x="928"/>
        <item x="1246"/>
        <item x="321"/>
        <item x="2718"/>
        <item x="2252"/>
        <item x="2213"/>
        <item x="879"/>
        <item x="2668"/>
        <item x="2253"/>
        <item x="1608"/>
        <item x="2844"/>
        <item x="2593"/>
        <item x="2845"/>
        <item x="527"/>
        <item x="528"/>
        <item x="820"/>
        <item x="2075"/>
        <item x="1247"/>
        <item x="1307"/>
        <item x="2964"/>
        <item x="605"/>
        <item x="31"/>
        <item x="2635"/>
        <item x="1957"/>
        <item x="2594"/>
        <item x="684"/>
        <item x="587"/>
        <item x="2965"/>
        <item x="2103"/>
        <item x="2669"/>
        <item x="484"/>
        <item x="588"/>
        <item x="1248"/>
        <item x="1568"/>
        <item x="1750"/>
        <item x="2415"/>
        <item x="1840"/>
        <item x="2975"/>
        <item x="2903"/>
        <item x="2904"/>
        <item x="40"/>
        <item x="2976"/>
        <item x="1258"/>
        <item x="1879"/>
        <item x="2352"/>
        <item x="1391"/>
        <item x="1107"/>
        <item x="1260"/>
        <item x="1342"/>
        <item x="2384"/>
        <item x="1574"/>
        <item x="564"/>
        <item x="1989"/>
        <item x="1854"/>
        <item x="2130"/>
        <item x="707"/>
        <item x="867"/>
        <item x="868"/>
        <item x="2393"/>
        <item x="443"/>
        <item x="959"/>
        <item x="2529"/>
        <item x="2394"/>
        <item x="2555"/>
        <item x="438"/>
        <item x="2286"/>
        <item x="855"/>
        <item x="635"/>
        <item x="1978"/>
        <item x="1357"/>
        <item x="1085"/>
        <item x="2470"/>
        <item x="2767"/>
        <item x="2268"/>
        <item x="2680"/>
        <item x="2679"/>
        <item x="63"/>
        <item x="1557"/>
        <item x="1763"/>
        <item x="2652"/>
        <item x="1005"/>
        <item x="1006"/>
        <item x="1701"/>
        <item x="496"/>
        <item x="1707"/>
        <item x="86"/>
        <item x="1086"/>
        <item x="832"/>
        <item x="2757"/>
        <item x="2766"/>
        <item x="385"/>
        <item x="2202"/>
        <item x="2797"/>
        <item x="2575"/>
        <item x="313"/>
        <item x="346"/>
        <item x="1547"/>
        <item x="1343"/>
        <item x="896"/>
        <item x="2693"/>
        <item x="2824"/>
        <item t="default"/>
      </items>
    </pivotField>
    <pivotField showAll="0"/>
    <pivotField showAll="0">
      <items count="2">
        <item x="0"/>
        <item t="default"/>
      </items>
    </pivotField>
    <pivotField showAll="0"/>
    <pivotField showAll="0"/>
    <pivotField axis="axisRow" showAll="0">
      <items count="11">
        <item x="7"/>
        <item x="6"/>
        <item x="0"/>
        <item x="2"/>
        <item x="3"/>
        <item x="4"/>
        <item x="9"/>
        <item x="5"/>
        <item x="1"/>
        <item x="8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uenta de Pozo larg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92BE8-4D5D-4BC4-96ED-E0E0E289302A}" name="TablaDinámica4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B993" firstHeaderRow="1" firstDataRow="1" firstDataCol="1" rowPageCount="1" colPageCount="1"/>
  <pivotFields count="11">
    <pivotField axis="axisRow" showAll="0">
      <items count="2985">
        <item x="2982"/>
        <item x="2983"/>
        <item x="2978"/>
        <item x="32"/>
        <item x="2980"/>
        <item x="2399"/>
        <item x="2981"/>
        <item x="2979"/>
        <item x="1569"/>
        <item x="1834"/>
        <item x="120"/>
        <item x="435"/>
        <item x="2227"/>
        <item x="374"/>
        <item x="1972"/>
        <item x="2935"/>
        <item x="2542"/>
        <item x="2030"/>
        <item x="1198"/>
        <item x="1744"/>
        <item x="1504"/>
        <item x="113"/>
        <item x="1366"/>
        <item x="1102"/>
        <item x="2416"/>
        <item x="2284"/>
        <item x="341"/>
        <item x="545"/>
        <item x="195"/>
        <item x="2285"/>
        <item x="852"/>
        <item x="1334"/>
        <item x="2347"/>
        <item x="1194"/>
        <item x="853"/>
        <item x="19"/>
        <item x="857"/>
        <item x="1131"/>
        <item x="2345"/>
        <item x="2377"/>
        <item x="272"/>
        <item x="1501"/>
        <item x="1385"/>
        <item x="755"/>
        <item x="2834"/>
        <item x="2376"/>
        <item x="1397"/>
        <item x="1538"/>
        <item x="1662"/>
        <item x="2062"/>
        <item x="1433"/>
        <item x="1295"/>
        <item x="1399"/>
        <item x="778"/>
        <item x="166"/>
        <item x="2386"/>
        <item x="779"/>
        <item x="2553"/>
        <item x="2537"/>
        <item x="1147"/>
        <item x="1583"/>
        <item x="2064"/>
        <item x="2955"/>
        <item x="1893"/>
        <item x="1585"/>
        <item x="671"/>
        <item x="1154"/>
        <item x="805"/>
        <item x="1438"/>
        <item x="2900"/>
        <item x="2198"/>
        <item x="2877"/>
        <item x="1062"/>
        <item x="2374"/>
        <item x="1429"/>
        <item x="1815"/>
        <item x="772"/>
        <item x="783"/>
        <item x="312"/>
        <item x="1586"/>
        <item x="2124"/>
        <item x="1587"/>
        <item x="15"/>
        <item x="950"/>
        <item x="2556"/>
        <item x="112"/>
        <item x="23"/>
        <item x="951"/>
        <item x="16"/>
        <item x="17"/>
        <item x="174"/>
        <item x="2414"/>
        <item x="2544"/>
        <item x="1499"/>
        <item x="2557"/>
        <item x="109"/>
        <item x="1775"/>
        <item x="2779"/>
        <item x="1795"/>
        <item x="110"/>
        <item x="633"/>
        <item x="397"/>
        <item x="114"/>
        <item x="1101"/>
        <item x="2364"/>
        <item x="1384"/>
        <item x="2554"/>
        <item x="18"/>
        <item x="398"/>
        <item x="111"/>
        <item x="1195"/>
        <item x="634"/>
        <item x="854"/>
        <item x="754"/>
        <item x="20"/>
        <item x="546"/>
        <item x="2936"/>
        <item x="2031"/>
        <item x="2481"/>
        <item x="21"/>
        <item x="1796"/>
        <item x="894"/>
        <item x="436"/>
        <item x="1973"/>
        <item x="895"/>
        <item x="2780"/>
        <item x="2790"/>
        <item x="437"/>
        <item x="1500"/>
        <item x="2126"/>
        <item x="1196"/>
        <item x="1738"/>
        <item x="2543"/>
        <item x="1040"/>
        <item x="2827"/>
        <item x="2828"/>
        <item x="1502"/>
        <item x="1103"/>
        <item x="1197"/>
        <item x="1454"/>
        <item x="2032"/>
        <item x="2966"/>
        <item x="131"/>
        <item x="2255"/>
        <item x="2809"/>
        <item x="1905"/>
        <item x="1508"/>
        <item x="2425"/>
        <item x="1511"/>
        <item x="2014"/>
        <item x="156"/>
        <item x="407"/>
        <item x="2104"/>
        <item x="652"/>
        <item x="1509"/>
        <item x="2306"/>
        <item x="2036"/>
        <item x="592"/>
        <item x="1464"/>
        <item x="417"/>
        <item x="1389"/>
        <item x="1341"/>
        <item x="821"/>
        <item x="117"/>
        <item x="923"/>
        <item x="2380"/>
        <item x="352"/>
        <item x="1044"/>
        <item x="132"/>
        <item x="2596"/>
        <item x="1622"/>
        <item x="77"/>
        <item x="864"/>
        <item x="1993"/>
        <item x="1353"/>
        <item x="1371"/>
        <item x="2969"/>
        <item x="1053"/>
        <item x="554"/>
        <item x="1846"/>
        <item x="863"/>
        <item x="2570"/>
        <item x="2564"/>
        <item x="2565"/>
        <item x="1507"/>
        <item x="1590"/>
        <item x="859"/>
        <item x="2508"/>
        <item x="393"/>
        <item x="1991"/>
        <item x="1944"/>
        <item x="1520"/>
        <item x="929"/>
        <item x="2217"/>
        <item x="2291"/>
        <item x="1571"/>
        <item x="2831"/>
        <item x="1620"/>
        <item x="1378"/>
        <item x="420"/>
        <item x="283"/>
        <item x="1847"/>
        <item x="1572"/>
        <item x="2467"/>
        <item x="2258"/>
        <item x="1910"/>
        <item x="738"/>
        <item x="2753"/>
        <item x="1250"/>
        <item x="2602"/>
        <item x="258"/>
        <item x="909"/>
        <item x="2110"/>
        <item x="2754"/>
        <item x="1624"/>
        <item x="1487"/>
        <item x="549"/>
        <item x="2468"/>
        <item x="1941"/>
        <item x="2944"/>
        <item x="2639"/>
        <item x="932"/>
        <item x="2640"/>
        <item x="2153"/>
        <item x="61"/>
        <item x="2722"/>
        <item x="1961"/>
        <item x="594"/>
        <item x="396"/>
        <item x="2214"/>
        <item x="85"/>
        <item x="1274"/>
        <item x="2796"/>
        <item x="733"/>
        <item x="344"/>
        <item x="2129"/>
        <item x="205"/>
        <item x="2740"/>
        <item x="2741"/>
        <item x="1109"/>
        <item x="2551"/>
        <item x="708"/>
        <item x="2921"/>
        <item x="2041"/>
        <item x="454"/>
        <item x="2924"/>
        <item x="455"/>
        <item x="287"/>
        <item x="1672"/>
        <item x="2426"/>
        <item x="377"/>
        <item x="1661"/>
        <item x="409"/>
        <item x="2636"/>
        <item x="2847"/>
        <item x="880"/>
        <item x="441"/>
        <item x="1800"/>
        <item x="1408"/>
        <item x="1539"/>
        <item x="2215"/>
        <item x="1812"/>
        <item x="2878"/>
        <item x="992"/>
        <item x="2122"/>
        <item x="253"/>
        <item x="1310"/>
        <item x="1467"/>
        <item x="529"/>
        <item x="2849"/>
        <item x="590"/>
        <item x="97"/>
        <item x="442"/>
        <item x="2808"/>
        <item x="1308"/>
        <item x="345"/>
        <item x="351"/>
        <item x="685"/>
        <item x="76"/>
        <item x="1693"/>
        <item x="2748"/>
        <item x="1390"/>
        <item x="485"/>
        <item x="2463"/>
        <item x="2637"/>
        <item x="1115"/>
        <item x="2157"/>
        <item x="2595"/>
        <item x="2077"/>
        <item x="2648"/>
        <item x="2967"/>
        <item x="98"/>
        <item x="591"/>
        <item x="1081"/>
        <item x="2548"/>
        <item x="530"/>
        <item x="2505"/>
        <item x="1485"/>
        <item x="408"/>
        <item x="1942"/>
        <item x="2810"/>
        <item x="2106"/>
        <item x="2506"/>
        <item x="391"/>
        <item x="2105"/>
        <item x="1906"/>
        <item x="1784"/>
        <item x="2307"/>
        <item x="531"/>
        <item x="606"/>
        <item x="1907"/>
        <item x="418"/>
        <item x="1958"/>
        <item x="2254"/>
        <item x="2671"/>
        <item x="486"/>
        <item x="906"/>
        <item x="2968"/>
        <item x="2749"/>
        <item x="734"/>
        <item x="2504"/>
        <item x="2811"/>
        <item x="1694"/>
        <item x="1165"/>
        <item x="2807"/>
        <item x="881"/>
        <item x="1673"/>
        <item x="822"/>
        <item x="1554"/>
        <item x="1133"/>
        <item x="201"/>
        <item x="26"/>
        <item x="1132"/>
        <item x="1555"/>
        <item x="487"/>
        <item x="2485"/>
        <item x="2750"/>
        <item x="2672"/>
        <item x="823"/>
        <item x="824"/>
        <item x="78"/>
        <item x="1556"/>
        <item x="1758"/>
        <item x="532"/>
        <item x="2597"/>
        <item x="1486"/>
        <item x="2850"/>
        <item x="2970"/>
        <item x="735"/>
        <item x="2851"/>
        <item x="825"/>
        <item x="1695"/>
        <item x="2751"/>
        <item x="1519"/>
        <item x="2507"/>
        <item x="2308"/>
        <item x="254"/>
        <item x="1959"/>
        <item x="2598"/>
        <item x="2638"/>
        <item x="907"/>
        <item x="419"/>
        <item x="533"/>
        <item x="2107"/>
        <item x="353"/>
        <item x="1943"/>
        <item x="1696"/>
        <item x="2719"/>
        <item x="79"/>
        <item x="1908"/>
        <item x="1354"/>
        <item x="392"/>
        <item x="2216"/>
        <item x="2571"/>
        <item x="2673"/>
        <item x="2309"/>
        <item x="2752"/>
        <item x="2852"/>
        <item x="2846"/>
        <item x="255"/>
        <item x="2599"/>
        <item x="1019"/>
        <item x="57"/>
        <item x="1377"/>
        <item x="1311"/>
        <item x="1909"/>
        <item x="2853"/>
        <item x="2854"/>
        <item x="919"/>
        <item x="2735"/>
        <item x="2108"/>
        <item x="882"/>
        <item x="488"/>
        <item x="2971"/>
        <item x="2256"/>
        <item x="2649"/>
        <item x="2720"/>
        <item x="607"/>
        <item x="2972"/>
        <item x="354"/>
        <item x="826"/>
        <item x="2464"/>
        <item x="608"/>
        <item x="489"/>
        <item x="827"/>
        <item x="394"/>
        <item x="2509"/>
        <item x="80"/>
        <item x="1020"/>
        <item x="1002"/>
        <item x="81"/>
        <item x="99"/>
        <item x="2674"/>
        <item x="1116"/>
        <item x="490"/>
        <item x="1785"/>
        <item x="1021"/>
        <item x="395"/>
        <item x="828"/>
        <item x="1003"/>
        <item x="2310"/>
        <item x="322"/>
        <item x="2973"/>
        <item x="2465"/>
        <item x="1249"/>
        <item x="256"/>
        <item x="1623"/>
        <item x="355"/>
        <item x="323"/>
        <item x="356"/>
        <item x="2078"/>
        <item x="2257"/>
        <item x="2600"/>
        <item x="609"/>
        <item x="2829"/>
        <item x="2812"/>
        <item x="82"/>
        <item x="2218"/>
        <item x="1697"/>
        <item x="2675"/>
        <item x="2601"/>
        <item x="908"/>
        <item x="736"/>
        <item x="1759"/>
        <item x="737"/>
        <item x="59"/>
        <item x="2466"/>
        <item x="883"/>
        <item x="1312"/>
        <item x="1610"/>
        <item x="2109"/>
        <item x="2015"/>
        <item x="324"/>
        <item x="257"/>
        <item x="829"/>
        <item x="1611"/>
        <item x="357"/>
        <item x="1960"/>
        <item x="2259"/>
        <item x="2311"/>
        <item x="491"/>
        <item x="2312"/>
        <item x="1313"/>
        <item x="1166"/>
        <item x="1379"/>
        <item x="1698"/>
        <item x="2855"/>
        <item x="2813"/>
        <item x="1699"/>
        <item x="1314"/>
        <item x="2833"/>
        <item x="1022"/>
        <item x="1082"/>
        <item x="1117"/>
        <item x="2260"/>
        <item x="2261"/>
        <item x="2152"/>
        <item x="593"/>
        <item x="325"/>
        <item x="1488"/>
        <item x="2262"/>
        <item x="2676"/>
        <item x="2856"/>
        <item x="1760"/>
        <item x="2510"/>
        <item x="1612"/>
        <item x="2016"/>
        <item x="1700"/>
        <item x="2721"/>
        <item x="259"/>
        <item x="2263"/>
        <item x="1510"/>
        <item x="1489"/>
        <item x="83"/>
        <item x="1251"/>
        <item x="2755"/>
        <item x="610"/>
        <item x="2857"/>
        <item x="611"/>
        <item x="2974"/>
        <item x="492"/>
        <item x="84"/>
        <item x="924"/>
        <item x="60"/>
        <item x="612"/>
        <item x="421"/>
        <item x="1167"/>
        <item x="358"/>
        <item x="157"/>
        <item x="1380"/>
        <item x="2264"/>
        <item x="158"/>
        <item x="758"/>
        <item x="1168"/>
        <item x="200"/>
        <item x="595"/>
        <item x="1083"/>
        <item x="613"/>
        <item x="534"/>
        <item x="1521"/>
        <item x="2723"/>
        <item x="493"/>
        <item x="1613"/>
        <item x="326"/>
        <item x="133"/>
        <item x="830"/>
        <item x="401"/>
        <item x="1841"/>
        <item x="566"/>
        <item x="1505"/>
        <item x="550"/>
        <item x="2694"/>
        <item x="2677"/>
        <item x="494"/>
        <item x="2756"/>
        <item x="422"/>
        <item x="1023"/>
        <item x="2219"/>
        <item x="1761"/>
        <item x="2154"/>
        <item x="1004"/>
        <item x="614"/>
        <item x="118"/>
        <item x="2724"/>
        <item x="2265"/>
        <item x="910"/>
        <item x="2488"/>
        <item x="960"/>
        <item x="359"/>
        <item x="1355"/>
        <item x="1315"/>
        <item x="931"/>
        <item x="2038"/>
        <item x="1210"/>
        <item x="1573"/>
        <item x="1045"/>
        <item x="653"/>
        <item x="1372"/>
        <item x="1833"/>
        <item x="958"/>
        <item x="1392"/>
        <item x="1994"/>
        <item x="2550"/>
        <item x="450"/>
        <item x="2552"/>
        <item x="562"/>
        <item x="2943"/>
        <item x="1878"/>
        <item x="933"/>
        <item x="558"/>
        <item x="2353"/>
        <item x="963"/>
        <item x="1263"/>
        <item x="568"/>
        <item x="172"/>
        <item x="2357"/>
        <item x="964"/>
        <item x="1066"/>
        <item x="379"/>
        <item x="936"/>
        <item x="1533"/>
        <item x="2788"/>
        <item x="1593"/>
        <item x="1055"/>
        <item x="1998"/>
        <item x="709"/>
        <item x="2438"/>
        <item x="2881"/>
        <item x="710"/>
        <item x="937"/>
        <item x="2880"/>
        <item x="1838"/>
        <item x="2922"/>
        <item x="1067"/>
        <item x="176"/>
        <item x="774"/>
        <item x="2883"/>
        <item x="2043"/>
        <item x="2670"/>
        <item x="1442"/>
        <item x="211"/>
        <item x="212"/>
        <item x="1282"/>
        <item x="2042"/>
        <item x="711"/>
        <item x="1839"/>
        <item x="979"/>
        <item x="2044"/>
        <item x="1575"/>
        <item x="1882"/>
        <item x="775"/>
        <item x="1223"/>
        <item x="1609"/>
        <item x="1224"/>
        <item x="2331"/>
        <item x="1057"/>
        <item x="1405"/>
        <item x="2115"/>
        <item x="1226"/>
        <item x="2191"/>
        <item x="229"/>
        <item x="210"/>
        <item x="716"/>
        <item x="1468"/>
        <item x="982"/>
        <item x="784"/>
        <item x="2889"/>
        <item x="1654"/>
        <item x="1808"/>
        <item x="382"/>
        <item x="983"/>
        <item x="2886"/>
        <item x="1278"/>
        <item x="2428"/>
        <item x="795"/>
        <item x="230"/>
        <item x="163"/>
        <item x="290"/>
        <item x="2440"/>
        <item x="763"/>
        <item x="390"/>
        <item x="2447"/>
        <item x="984"/>
        <item x="2441"/>
        <item x="2117"/>
        <item x="940"/>
        <item x="661"/>
        <item x="2138"/>
        <item x="232"/>
        <item x="2442"/>
        <item x="182"/>
        <item x="2283"/>
        <item x="383"/>
        <item x="764"/>
        <item x="1656"/>
        <item x="1071"/>
        <item x="786"/>
        <item x="2430"/>
        <item x="1888"/>
        <item x="217"/>
        <item x="662"/>
        <item x="2699"/>
        <item x="2076"/>
        <item x="1657"/>
        <item x="1885"/>
        <item x="2930"/>
        <item x="234"/>
        <item x="2929"/>
        <item x="1867"/>
        <item x="1809"/>
        <item x="1058"/>
        <item x="2572"/>
        <item x="291"/>
        <item x="1927"/>
        <item x="233"/>
        <item x="2492"/>
        <item x="1638"/>
        <item x="1577"/>
        <item x="1658"/>
        <item x="985"/>
        <item x="1595"/>
        <item x="1821"/>
        <item x="235"/>
        <item x="968"/>
        <item x="942"/>
        <item x="2449"/>
        <item x="2448"/>
        <item x="1889"/>
        <item x="1866"/>
        <item x="718"/>
        <item x="986"/>
        <item x="664"/>
        <item x="2891"/>
        <item x="1578"/>
        <item x="183"/>
        <item x="972"/>
        <item x="1641"/>
        <item x="2892"/>
        <item x="563"/>
        <item x="2118"/>
        <item x="2432"/>
        <item x="987"/>
        <item x="2450"/>
        <item x="2050"/>
        <item x="460"/>
        <item x="2443"/>
        <item x="797"/>
        <item x="219"/>
        <item x="1286"/>
        <item x="2060"/>
        <item x="1625"/>
        <item x="1756"/>
        <item x="2958"/>
        <item x="1644"/>
        <item x="2059"/>
        <item x="2335"/>
        <item x="1432"/>
        <item x="1422"/>
        <item x="2893"/>
        <item x="304"/>
        <item x="184"/>
        <item x="1663"/>
        <item x="1660"/>
        <item x="2366"/>
        <item x="2535"/>
        <item x="799"/>
        <item x="1407"/>
        <item x="777"/>
        <item x="2365"/>
        <item x="185"/>
        <item x="576"/>
        <item x="719"/>
        <item x="1423"/>
        <item x="946"/>
        <item x="2121"/>
        <item x="246"/>
        <item x="1470"/>
        <item x="1825"/>
        <item x="1430"/>
        <item x="294"/>
        <item x="788"/>
        <item x="384"/>
        <item x="2704"/>
        <item x="789"/>
        <item x="2534"/>
        <item x="462"/>
        <item x="665"/>
        <item x="2533"/>
        <item x="1856"/>
        <item x="236"/>
        <item x="1424"/>
        <item x="2367"/>
        <item x="1646"/>
        <item x="2454"/>
        <item x="945"/>
        <item x="303"/>
        <item x="1873"/>
        <item x="2954"/>
        <item x="1471"/>
        <item x="186"/>
        <item x="2370"/>
        <item x="2194"/>
        <item x="2848"/>
        <item x="1398"/>
        <item x="801"/>
        <item x="1434"/>
        <item x="2193"/>
        <item x="1600"/>
        <item x="1621"/>
        <item x="1472"/>
        <item x="666"/>
        <item x="1145"/>
        <item x="2539"/>
        <item x="2368"/>
        <item x="721"/>
        <item x="1648"/>
        <item x="1626"/>
        <item x="1466"/>
        <item x="2063"/>
        <item x="1269"/>
        <item x="802"/>
        <item x="1149"/>
        <item x="2957"/>
        <item x="221"/>
        <item x="1153"/>
        <item x="2897"/>
        <item x="416"/>
        <item x="1152"/>
        <item x="1652"/>
        <item x="1598"/>
        <item x="2389"/>
        <item x="240"/>
        <item x="589"/>
        <item x="298"/>
        <item x="1540"/>
        <item x="781"/>
        <item x="2200"/>
        <item x="467"/>
        <item x="299"/>
        <item x="2372"/>
        <item x="1518"/>
        <item x="2363"/>
        <item x="2296"/>
        <item x="1148"/>
        <item x="1061"/>
        <item x="1627"/>
        <item x="668"/>
        <item x="2371"/>
        <item x="1664"/>
        <item x="1465"/>
        <item x="1484"/>
        <item x="673"/>
        <item x="1441"/>
        <item x="1667"/>
        <item x="1757"/>
        <item x="793"/>
        <item x="192"/>
        <item x="1628"/>
        <item x="1234"/>
        <item x="37"/>
        <item x="58"/>
        <item x="991"/>
        <item x="1896"/>
        <item x="1832"/>
        <item x="1930"/>
        <item x="1814"/>
        <item x="2460"/>
        <item x="578"/>
        <item x="2338"/>
        <item x="75"/>
        <item x="2066"/>
        <item x="310"/>
        <item x="725"/>
        <item x="1446"/>
        <item x="2201"/>
        <item x="1155"/>
        <item x="468"/>
        <item x="2899"/>
        <item x="1669"/>
        <item x="579"/>
        <item x="2037"/>
        <item x="2068"/>
        <item x="2339"/>
        <item x="1414"/>
        <item x="2"/>
        <item x="1309"/>
        <item x="2737"/>
        <item x="1041"/>
        <item x="2418"/>
        <item x="1431"/>
        <item x="2111"/>
        <item x="1416"/>
        <item x="2142"/>
        <item x="2703"/>
        <item x="1142"/>
        <item x="916"/>
        <item x="400"/>
        <item x="741"/>
        <item x="147"/>
        <item x="1745"/>
        <item x="1087"/>
        <item x="1425"/>
        <item x="2232"/>
        <item x="2288"/>
        <item x="742"/>
        <item x="2128"/>
        <item x="2001"/>
        <item x="309"/>
        <item x="1318"/>
        <item x="2826"/>
        <item x="1367"/>
        <item x="1026"/>
        <item x="809"/>
        <item x="726"/>
        <item x="225"/>
        <item x="1630"/>
        <item x="917"/>
        <item x="2221"/>
        <item x="703"/>
        <item x="2155"/>
        <item x="2420"/>
        <item x="1448"/>
        <item x="2558"/>
        <item x="25"/>
        <item x="1797"/>
        <item x="2082"/>
        <item x="648"/>
        <item x="688"/>
        <item x="2472"/>
        <item x="1027"/>
        <item x="954"/>
        <item x="1199"/>
        <item x="2937"/>
        <item x="2762"/>
        <item x="1746"/>
        <item x="1829"/>
        <item x="1766"/>
        <item x="65"/>
        <item x="2417"/>
        <item x="2269"/>
        <item x="2274"/>
        <item x="2613"/>
        <item x="2422"/>
        <item x="497"/>
        <item x="505"/>
        <item x="2545"/>
        <item x="619"/>
        <item x="887"/>
        <item x="1176"/>
        <item x="540"/>
        <item x="363"/>
        <item x="1564"/>
        <item x="833"/>
        <item x="5"/>
        <item x="541"/>
        <item x="6"/>
        <item x="1982"/>
        <item x="2614"/>
        <item x="2728"/>
        <item x="268"/>
        <item x="426"/>
        <item x="1749"/>
        <item x="1043"/>
        <item x="2475"/>
        <item x="918"/>
        <item x="2025"/>
        <item x="2168"/>
        <item x="2236"/>
        <item x="404"/>
        <item x="7"/>
        <item x="2686"/>
        <item x="757"/>
        <item x="1369"/>
        <item x="2561"/>
        <item x="1033"/>
        <item x="1524"/>
        <item x="1451"/>
        <item x="1329"/>
        <item x="8"/>
        <item x="694"/>
        <item x="2228"/>
        <item x="115"/>
        <item x="1182"/>
        <item x="1090"/>
        <item x="1459"/>
        <item x="2477"/>
        <item x="512"/>
        <item x="2621"/>
        <item x="2280"/>
        <item x="1099"/>
        <item x="1917"/>
        <item x="624"/>
        <item x="1256"/>
        <item x="366"/>
        <item x="277"/>
        <item x="748"/>
        <item x="542"/>
        <item x="1525"/>
        <item x="143"/>
        <item x="1184"/>
        <item x="2177"/>
        <item x="1330"/>
        <item x="367"/>
        <item x="2522"/>
        <item x="11"/>
        <item x="700"/>
        <item x="749"/>
        <item x="513"/>
        <item x="1771"/>
        <item x="1360"/>
        <item x="695"/>
        <item x="105"/>
        <item x="1526"/>
        <item x="2523"/>
        <item x="146"/>
        <item x="753"/>
        <item x="2875"/>
        <item x="1128"/>
        <item x="2186"/>
        <item x="1971"/>
        <item x="698"/>
        <item x="1496"/>
        <item x="1742"/>
        <item x="360"/>
        <item x="1365"/>
        <item x="645"/>
        <item x="1333"/>
        <item x="632"/>
        <item x="2876"/>
        <item x="1974"/>
        <item x="2825"/>
        <item x="713"/>
        <item x="2569"/>
        <item x="2945"/>
        <item x="865"/>
        <item x="202"/>
        <item x="1816"/>
        <item x="646"/>
        <item x="2530"/>
        <item x="2055"/>
        <item x="2229"/>
        <item x="759"/>
        <item x="1217"/>
        <item x="618"/>
        <item x="2135"/>
        <item x="2884"/>
        <item x="978"/>
        <item x="499"/>
        <item x="1396"/>
        <item x="1806"/>
        <item x="571"/>
        <item x="1535"/>
        <item x="178"/>
        <item x="1227"/>
        <item x="1820"/>
        <item x="1875"/>
        <item x="244"/>
        <item x="739"/>
        <item x="218"/>
        <item x="2700"/>
        <item x="573"/>
        <item x="2360"/>
        <item x="1886"/>
        <item x="2890"/>
        <item x="943"/>
        <item x="1254"/>
        <item x="2931"/>
        <item x="969"/>
        <item x="1171"/>
        <item x="1810"/>
        <item x="1285"/>
        <item x="1229"/>
        <item x="1926"/>
        <item x="2048"/>
        <item x="2057"/>
        <item x="2161"/>
        <item x="1070"/>
        <item x="1228"/>
        <item x="941"/>
        <item x="1868"/>
        <item x="970"/>
        <item x="1884"/>
        <item x="1537"/>
        <item x="835"/>
        <item x="1928"/>
        <item x="663"/>
        <item x="165"/>
        <item x="1596"/>
        <item x="1230"/>
        <item x="766"/>
        <item x="1579"/>
        <item x="1764"/>
        <item x="2139"/>
        <item x="1659"/>
        <item x="2702"/>
        <item x="2444"/>
        <item x="1822"/>
        <item x="1580"/>
        <item x="2451"/>
        <item x="2140"/>
        <item x="1317"/>
        <item x="1869"/>
        <item x="2445"/>
        <item x="293"/>
        <item x="2653"/>
        <item x="712"/>
        <item x="1823"/>
        <item x="1231"/>
        <item x="1642"/>
        <item x="798"/>
        <item x="2058"/>
        <item x="2433"/>
        <item x="2051"/>
        <item x="2511"/>
        <item x="461"/>
        <item x="1233"/>
        <item x="1232"/>
        <item x="1643"/>
        <item x="1890"/>
        <item x="1059"/>
        <item x="1676"/>
        <item x="1649"/>
        <item x="803"/>
        <item x="780"/>
        <item x="465"/>
        <item x="1711"/>
        <item x="2361"/>
        <item x="42"/>
        <item x="41"/>
        <item x="575"/>
        <item x="295"/>
        <item x="1287"/>
        <item x="1074"/>
        <item x="1872"/>
        <item x="1871"/>
        <item x="305"/>
        <item x="1359"/>
        <item x="974"/>
        <item x="2455"/>
        <item x="2341"/>
        <item x="973"/>
        <item x="1406"/>
        <item x="800"/>
        <item x="2195"/>
        <item x="1075"/>
        <item x="1141"/>
        <item x="1581"/>
        <item x="1811"/>
        <item x="1855"/>
        <item x="1712"/>
        <item x="1824"/>
        <item x="1073"/>
        <item x="2336"/>
        <item x="2342"/>
        <item x="2385"/>
        <item x="2536"/>
        <item x="2952"/>
        <item x="2061"/>
        <item x="2120"/>
        <item x="2951"/>
        <item x="1120"/>
        <item x="2895"/>
        <item x="768"/>
        <item x="1891"/>
        <item x="464"/>
        <item x="1929"/>
        <item x="1143"/>
        <item x="767"/>
        <item x="790"/>
        <item x="44"/>
        <item x="501"/>
        <item x="1146"/>
        <item x="1435"/>
        <item x="1650"/>
        <item x="296"/>
        <item x="101"/>
        <item x="2457"/>
        <item x="1874"/>
        <item x="1409"/>
        <item x="2196"/>
        <item x="2705"/>
        <item x="2387"/>
        <item x="1708"/>
        <item x="740"/>
        <item x="238"/>
        <item x="1582"/>
        <item x="2458"/>
        <item x="239"/>
        <item x="2758"/>
        <item x="720"/>
        <item x="1144"/>
        <item x="988"/>
        <item x="2456"/>
        <item x="187"/>
        <item x="237"/>
        <item x="43"/>
        <item x="188"/>
        <item x="722"/>
        <item x="2019"/>
        <item x="1651"/>
        <item x="1270"/>
        <item x="2362"/>
        <item x="1542"/>
        <item x="1436"/>
        <item x="1418"/>
        <item x="241"/>
        <item x="1584"/>
        <item x="328"/>
        <item x="1894"/>
        <item x="2896"/>
        <item x="222"/>
        <item x="1420"/>
        <item x="2898"/>
        <item x="1475"/>
        <item x="885"/>
        <item x="1419"/>
        <item x="1859"/>
        <item x="2337"/>
        <item x="1473"/>
        <item x="769"/>
        <item x="723"/>
        <item x="2344"/>
        <item x="792"/>
        <item x="1541"/>
        <item x="1860"/>
        <item x="975"/>
        <item x="577"/>
        <item x="220"/>
        <item x="1150"/>
        <item x="2956"/>
        <item x="1474"/>
        <item x="2197"/>
        <item x="1151"/>
        <item x="190"/>
        <item x="191"/>
        <item x="2000"/>
        <item x="1665"/>
        <item x="1861"/>
        <item x="1439"/>
        <item x="804"/>
        <item x="0"/>
        <item x="1296"/>
        <item x="1599"/>
        <item x="2123"/>
        <item x="1543"/>
        <item x="1544"/>
        <item x="1666"/>
        <item x="806"/>
        <item x="2901"/>
        <item x="2065"/>
        <item x="1437"/>
        <item x="1063"/>
        <item x="1289"/>
        <item x="807"/>
        <item x="2199"/>
        <item x="947"/>
        <item x="2608"/>
        <item x="1444"/>
        <item x="1445"/>
        <item x="1862"/>
        <item x="1826"/>
        <item x="1297"/>
        <item x="2390"/>
        <item x="669"/>
        <item x="1476"/>
        <item x="1913"/>
        <item x="1601"/>
        <item x="2070"/>
        <item x="2373"/>
        <item x="1076"/>
        <item x="2541"/>
        <item x="1863"/>
        <item x="1477"/>
        <item x="1703"/>
        <item x="1288"/>
        <item x="1895"/>
        <item x="1602"/>
        <item x="782"/>
        <item x="1156"/>
        <item x="1629"/>
        <item x="989"/>
        <item x="1401"/>
        <item x="770"/>
        <item x="1426"/>
        <item x="1876"/>
        <item x="242"/>
        <item x="794"/>
        <item x="168"/>
        <item x="1077"/>
        <item x="243"/>
        <item x="771"/>
        <item x="1668"/>
        <item x="1235"/>
        <item x="1"/>
        <item x="1827"/>
        <item x="2709"/>
        <item x="1931"/>
        <item x="1412"/>
        <item x="2391"/>
        <item x="1403"/>
        <item x="300"/>
        <item x="1877"/>
        <item x="1427"/>
        <item x="1298"/>
        <item x="1914"/>
        <item x="1677"/>
        <item x="2392"/>
        <item x="1428"/>
        <item x="1402"/>
        <item x="169"/>
        <item x="1765"/>
        <item x="674"/>
        <item x="1413"/>
        <item x="949"/>
        <item x="1932"/>
        <item x="2902"/>
        <item x="1157"/>
        <item x="1415"/>
        <item x="302"/>
        <item x="1007"/>
        <item x="1158"/>
        <item x="1898"/>
        <item x="2069"/>
        <item x="2471"/>
        <item x="2340"/>
        <item x="3"/>
        <item x="88"/>
        <item x="502"/>
        <item x="2233"/>
        <item x="886"/>
        <item x="636"/>
        <item x="1172"/>
        <item x="1787"/>
        <item x="2512"/>
        <item x="1447"/>
        <item x="1319"/>
        <item x="2816"/>
        <item x="89"/>
        <item x="2315"/>
        <item x="836"/>
        <item x="2860"/>
        <item x="686"/>
        <item x="2080"/>
        <item x="102"/>
        <item x="1559"/>
        <item x="912"/>
        <item x="2726"/>
        <item x="743"/>
        <item x="264"/>
        <item x="2162"/>
        <item x="1320"/>
        <item x="2020"/>
        <item x="2818"/>
        <item x="2270"/>
        <item x="1321"/>
        <item x="2759"/>
        <item x="2682"/>
        <item x="687"/>
        <item x="2760"/>
        <item x="2271"/>
        <item x="2609"/>
        <item x="2316"/>
        <item x="2127"/>
        <item x="2081"/>
        <item x="2654"/>
        <item x="423"/>
        <item x="136"/>
        <item x="424"/>
        <item x="1491"/>
        <item x="953"/>
        <item x="2513"/>
        <item x="1029"/>
        <item x="1678"/>
        <item x="1788"/>
        <item x="2317"/>
        <item x="90"/>
        <item x="1560"/>
        <item x="2021"/>
        <item x="2769"/>
        <item x="1561"/>
        <item x="2022"/>
        <item x="2473"/>
        <item x="503"/>
        <item x="837"/>
        <item x="536"/>
        <item x="2514"/>
        <item x="91"/>
        <item x="1121"/>
        <item x="1173"/>
        <item x="2318"/>
        <item x="2272"/>
        <item x="1122"/>
        <item x="2610"/>
        <item x="1174"/>
        <item x="1322"/>
        <item x="537"/>
        <item x="2761"/>
        <item x="2683"/>
        <item x="504"/>
        <item x="2770"/>
        <item x="265"/>
        <item x="1679"/>
        <item x="637"/>
        <item x="1680"/>
        <item x="2819"/>
        <item x="1323"/>
        <item x="2738"/>
        <item x="638"/>
        <item x="2861"/>
        <item x="2515"/>
        <item x="538"/>
        <item x="1095"/>
        <item x="2771"/>
        <item x="1096"/>
        <item x="1562"/>
        <item x="1047"/>
        <item x="701"/>
        <item x="2023"/>
        <item x="704"/>
        <item x="1980"/>
        <item x="744"/>
        <item x="539"/>
        <item x="689"/>
        <item x="2474"/>
        <item x="329"/>
        <item x="2655"/>
        <item x="2656"/>
        <item x="2234"/>
        <item x="2862"/>
        <item x="2235"/>
        <item x="64"/>
        <item x="1523"/>
        <item x="555"/>
        <item x="1455"/>
        <item x="266"/>
        <item x="1963"/>
        <item x="1324"/>
        <item x="1123"/>
        <item x="2611"/>
        <item x="399"/>
        <item x="1175"/>
        <item x="2024"/>
        <item x="2319"/>
        <item x="137"/>
        <item x="2820"/>
        <item x="2612"/>
        <item x="361"/>
        <item x="1563"/>
        <item x="1325"/>
        <item x="2273"/>
        <item x="1456"/>
        <item x="2657"/>
        <item x="92"/>
        <item x="1713"/>
        <item x="1681"/>
        <item x="2727"/>
        <item x="1945"/>
        <item x="838"/>
        <item x="839"/>
        <item x="1714"/>
        <item x="4"/>
        <item x="2681"/>
        <item x="362"/>
        <item x="2320"/>
        <item x="690"/>
        <item x="1088"/>
        <item x="1767"/>
        <item x="1715"/>
        <item x="1716"/>
        <item x="1981"/>
        <item x="1449"/>
        <item x="888"/>
        <item x="2821"/>
        <item x="1089"/>
        <item x="425"/>
        <item x="2321"/>
        <item x="1030"/>
        <item x="267"/>
        <item x="1704"/>
        <item x="620"/>
        <item x="1031"/>
        <item x="952"/>
        <item x="2163"/>
        <item x="506"/>
        <item x="913"/>
        <item x="1717"/>
        <item x="2164"/>
        <item x="2083"/>
        <item x="2658"/>
        <item x="2165"/>
        <item x="840"/>
        <item x="507"/>
        <item x="1709"/>
        <item x="66"/>
        <item x="1201"/>
        <item x="1124"/>
        <item x="841"/>
        <item x="2684"/>
        <item x="2112"/>
        <item x="1983"/>
        <item x="2166"/>
        <item x="842"/>
        <item x="843"/>
        <item x="2084"/>
        <item x="138"/>
        <item x="2516"/>
        <item x="1675"/>
        <item x="2822"/>
        <item x="1177"/>
        <item x="2863"/>
        <item x="2517"/>
        <item x="1984"/>
        <item x="330"/>
        <item x="1768"/>
        <item x="2858"/>
        <item x="139"/>
        <item x="2615"/>
        <item x="140"/>
        <item x="364"/>
        <item x="427"/>
        <item x="691"/>
        <item x="2685"/>
        <item x="1682"/>
        <item x="1178"/>
        <item x="2167"/>
        <item x="2314"/>
        <item x="1683"/>
        <item x="428"/>
        <item x="2616"/>
        <item x="2518"/>
        <item x="2113"/>
        <item x="141"/>
        <item x="103"/>
        <item x="1032"/>
        <item x="2617"/>
        <item x="889"/>
        <item x="1718"/>
        <item x="1179"/>
        <item x="331"/>
        <item x="1097"/>
        <item x="2618"/>
        <item x="615"/>
        <item x="1985"/>
        <item x="1964"/>
        <item x="2275"/>
        <item x="332"/>
        <item x="1965"/>
        <item x="844"/>
        <item x="2619"/>
        <item x="2519"/>
        <item x="2659"/>
        <item x="2169"/>
        <item x="2859"/>
        <item x="621"/>
        <item x="2823"/>
        <item x="274"/>
        <item x="1125"/>
        <item x="429"/>
        <item x="1684"/>
        <item x="2276"/>
        <item x="2520"/>
        <item x="639"/>
        <item x="1492"/>
        <item x="2817"/>
        <item x="2521"/>
        <item x="2170"/>
        <item x="2171"/>
        <item x="2620"/>
        <item x="692"/>
        <item x="640"/>
        <item x="914"/>
        <item x="1725"/>
        <item x="1326"/>
        <item x="2939"/>
        <item x="2606"/>
        <item x="1180"/>
        <item x="2237"/>
        <item x="430"/>
        <item x="2772"/>
        <item x="2277"/>
        <item x="2660"/>
        <item x="1915"/>
        <item x="1789"/>
        <item x="2864"/>
        <item x="641"/>
        <item x="2033"/>
        <item x="333"/>
        <item x="1450"/>
        <item x="508"/>
        <item x="1790"/>
        <item x="1255"/>
        <item x="622"/>
        <item x="1457"/>
        <item x="693"/>
        <item x="1327"/>
        <item x="2865"/>
        <item x="1328"/>
        <item x="1034"/>
        <item x="884"/>
        <item x="1381"/>
        <item x="2238"/>
        <item x="623"/>
        <item x="2026"/>
        <item x="2476"/>
        <item x="275"/>
        <item x="498"/>
        <item x="2866"/>
        <item x="276"/>
        <item x="1008"/>
        <item x="2661"/>
        <item x="9"/>
        <item x="2172"/>
        <item x="2729"/>
        <item x="745"/>
        <item x="1558"/>
        <item x="1493"/>
        <item x="890"/>
        <item x="2763"/>
        <item x="2687"/>
        <item x="509"/>
        <item x="1726"/>
        <item x="510"/>
        <item x="1986"/>
        <item x="1565"/>
        <item x="1098"/>
        <item x="2773"/>
        <item x="1769"/>
        <item x="2173"/>
        <item x="2174"/>
        <item x="1987"/>
        <item x="135"/>
        <item x="2175"/>
        <item x="2688"/>
        <item x="915"/>
        <item x="845"/>
        <item x="1035"/>
        <item x="1181"/>
        <item x="1126"/>
        <item x="2027"/>
        <item x="1009"/>
        <item x="1702"/>
        <item x="846"/>
        <item x="1966"/>
        <item x="1705"/>
        <item x="104"/>
        <item x="1719"/>
        <item x="1720"/>
        <item x="1010"/>
        <item x="334"/>
        <item x="2085"/>
        <item x="616"/>
        <item x="511"/>
        <item x="431"/>
        <item x="2223"/>
        <item x="1791"/>
        <item x="10"/>
        <item x="142"/>
        <item x="1770"/>
        <item x="2086"/>
        <item x="1011"/>
        <item x="1335"/>
        <item x="2932"/>
        <item x="746"/>
        <item x="2278"/>
        <item x="365"/>
        <item x="702"/>
        <item x="2774"/>
        <item x="1916"/>
        <item x="2279"/>
        <item x="2933"/>
        <item x="2934"/>
        <item x="747"/>
        <item x="432"/>
        <item x="2176"/>
        <item x="1183"/>
        <item x="335"/>
        <item x="2222"/>
        <item x="1358"/>
        <item x="2322"/>
        <item x="2087"/>
        <item x="1331"/>
        <item x="2178"/>
        <item x="336"/>
        <item x="1721"/>
        <item x="625"/>
        <item x="1382"/>
        <item x="2224"/>
        <item x="847"/>
        <item x="2323"/>
        <item x="2179"/>
        <item x="2730"/>
        <item x="433"/>
        <item x="2867"/>
        <item x="2622"/>
        <item x="337"/>
        <item x="2524"/>
        <item x="696"/>
        <item x="1566"/>
        <item x="12"/>
        <item x="2180"/>
        <item x="269"/>
        <item x="1727"/>
        <item x="1527"/>
        <item x="1361"/>
        <item x="2731"/>
        <item x="1200"/>
        <item x="2478"/>
        <item x="543"/>
        <item x="1494"/>
        <item x="2764"/>
        <item x="1362"/>
        <item x="2181"/>
        <item x="1706"/>
        <item x="2775"/>
        <item x="2182"/>
        <item x="1792"/>
        <item x="848"/>
        <item x="544"/>
        <item x="1091"/>
        <item x="2868"/>
        <item x="1036"/>
        <item x="2239"/>
        <item x="642"/>
        <item x="1722"/>
        <item x="535"/>
        <item x="368"/>
        <item x="2689"/>
        <item x="643"/>
        <item x="2324"/>
        <item x="750"/>
        <item x="1967"/>
        <item x="2240"/>
        <item x="369"/>
        <item x="626"/>
        <item x="2479"/>
        <item x="24"/>
        <item x="2325"/>
        <item x="1185"/>
        <item x="2869"/>
        <item x="2088"/>
        <item x="1528"/>
        <item x="2326"/>
        <item x="1495"/>
        <item x="1186"/>
        <item x="514"/>
        <item x="13"/>
        <item x="1710"/>
        <item x="370"/>
        <item x="2327"/>
        <item x="371"/>
        <item x="1728"/>
        <item x="1918"/>
        <item x="1452"/>
        <item x="1772"/>
        <item x="627"/>
        <item x="278"/>
        <item x="2114"/>
        <item x="891"/>
        <item x="270"/>
        <item x="1037"/>
        <item x="1968"/>
        <item x="515"/>
        <item x="279"/>
        <item x="2281"/>
        <item x="1038"/>
        <item x="2870"/>
        <item x="617"/>
        <item x="849"/>
        <item x="644"/>
        <item x="2183"/>
        <item x="1332"/>
        <item x="2765"/>
        <item x="2871"/>
        <item x="751"/>
        <item x="2732"/>
        <item x="1773"/>
        <item x="1969"/>
        <item x="2607"/>
        <item x="697"/>
        <item x="2733"/>
        <item x="14"/>
        <item x="372"/>
        <item x="2028"/>
        <item x="2184"/>
        <item x="1187"/>
        <item x="1363"/>
        <item x="2872"/>
        <item x="2873"/>
        <item x="327"/>
        <item x="2328"/>
        <item x="2776"/>
        <item x="1188"/>
        <item x="106"/>
        <item x="2480"/>
        <item x="1257"/>
        <item x="1729"/>
        <item x="2225"/>
        <item x="2690"/>
        <item x="1039"/>
        <item x="1979"/>
        <item x="1793"/>
        <item x="1741"/>
        <item x="2241"/>
        <item x="434"/>
        <item x="1127"/>
        <item x="2329"/>
        <item x="1092"/>
        <item x="1529"/>
        <item x="628"/>
        <item x="2160"/>
        <item x="1093"/>
        <item x="1364"/>
        <item x="1723"/>
        <item x="1189"/>
        <item x="1253"/>
        <item x="2874"/>
        <item x="1730"/>
        <item x="892"/>
        <item x="1919"/>
        <item x="2185"/>
        <item x="629"/>
        <item x="338"/>
        <item x="1988"/>
        <item x="1970"/>
        <item x="752"/>
        <item x="2525"/>
        <item x="1383"/>
        <item x="373"/>
        <item x="1042"/>
        <item x="2623"/>
        <item x="2777"/>
        <item x="1129"/>
        <item x="516"/>
        <item x="2089"/>
        <item x="1731"/>
        <item x="2226"/>
        <item x="1190"/>
        <item x="1170"/>
        <item x="2330"/>
        <item x="1732"/>
        <item x="339"/>
        <item x="2691"/>
        <item x="517"/>
        <item x="834"/>
        <item x="107"/>
        <item x="2692"/>
        <item x="1774"/>
        <item x="1100"/>
        <item x="850"/>
        <item x="144"/>
        <item x="1497"/>
        <item x="271"/>
        <item x="1118"/>
        <item x="2187"/>
        <item x="2734"/>
        <item x="1920"/>
        <item x="518"/>
        <item x="1130"/>
        <item x="630"/>
        <item x="647"/>
        <item x="2029"/>
        <item x="1094"/>
        <item x="1453"/>
        <item x="631"/>
        <item x="1733"/>
        <item x="1191"/>
        <item x="263"/>
        <item x="1743"/>
        <item x="1192"/>
        <item x="1567"/>
        <item x="108"/>
        <item x="2282"/>
        <item x="2526"/>
        <item x="1193"/>
        <item x="2188"/>
        <item x="2090"/>
        <item x="519"/>
        <item x="2662"/>
        <item x="1724"/>
        <item x="2189"/>
        <item x="1503"/>
        <item x="2527"/>
        <item x="2778"/>
        <item x="1498"/>
        <item x="1794"/>
        <item x="851"/>
        <item x="520"/>
        <item x="340"/>
        <item x="893"/>
        <item x="1458"/>
        <item x="1735"/>
        <item x="2795"/>
        <item x="2231"/>
        <item x="1052"/>
        <item x="2379"/>
        <item x="957"/>
        <item x="2784"/>
        <item x="556"/>
        <item x="1739"/>
        <item x="2549"/>
        <item x="2381"/>
        <item x="38"/>
        <item x="1119"/>
        <item x="2382"/>
        <item x="557"/>
        <item x="448"/>
        <item x="714"/>
        <item x="866"/>
        <item x="2487"/>
        <item x="2351"/>
        <item x="2158"/>
        <item x="1028"/>
        <item x="286"/>
        <item x="2383"/>
        <item x="1835"/>
        <item x="1933"/>
        <item x="1591"/>
        <item x="1046"/>
        <item x="1592"/>
        <item x="378"/>
        <item x="2528"/>
        <item x="87"/>
        <item x="565"/>
        <item x="1212"/>
        <item x="46"/>
        <item x="207"/>
        <item x="446"/>
        <item x="1922"/>
        <item x="926"/>
        <item x="1216"/>
        <item x="1837"/>
        <item x="1316"/>
        <item x="2786"/>
        <item x="170"/>
        <item x="2132"/>
        <item x="306"/>
        <item x="2054"/>
        <item x="1923"/>
        <item x="2436"/>
        <item x="870"/>
        <item x="1817"/>
        <item x="2397"/>
        <item x="307"/>
        <item x="1804"/>
        <item x="1218"/>
        <item x="2437"/>
        <item x="715"/>
        <item x="1632"/>
        <item x="453"/>
        <item x="2882"/>
        <item x="2789"/>
        <item x="2907"/>
        <item x="2923"/>
        <item x="1221"/>
        <item x="1264"/>
        <item x="2885"/>
        <item x="2925"/>
        <item x="2359"/>
        <item x="871"/>
        <item x="2926"/>
        <item x="380"/>
        <item x="2489"/>
        <item x="1807"/>
        <item x="177"/>
        <item x="162"/>
        <item x="2490"/>
        <item x="2915"/>
        <item x="1635"/>
        <item x="2439"/>
        <item x="2419"/>
        <item x="2947"/>
        <item x="1276"/>
        <item x="760"/>
        <item x="761"/>
        <item x="1883"/>
        <item x="215"/>
        <item x="2018"/>
        <item x="216"/>
        <item x="2137"/>
        <item x="231"/>
        <item x="1865"/>
        <item x="2446"/>
        <item x="660"/>
        <item x="1637"/>
        <item x="2918"/>
        <item x="100"/>
        <item x="1469"/>
        <item x="796"/>
        <item x="458"/>
        <item x="572"/>
        <item x="179"/>
        <item x="967"/>
        <item x="2056"/>
        <item x="1069"/>
        <item x="785"/>
        <item x="1925"/>
        <item x="2768"/>
        <item x="180"/>
        <item x="1284"/>
        <item x="500"/>
        <item x="245"/>
        <item x="1655"/>
        <item x="164"/>
        <item x="224"/>
        <item x="675"/>
        <item x="580"/>
        <item x="1639"/>
        <item x="1887"/>
        <item x="930"/>
        <item x="1344"/>
        <item x="145"/>
        <item x="62"/>
        <item x="1522"/>
        <item x="2605"/>
        <item x="1490"/>
        <item x="1368"/>
        <item x="22"/>
        <item x="1204"/>
        <item x="260"/>
        <item x="927"/>
        <item x="2650"/>
        <item x="27"/>
        <item x="2297"/>
        <item x="1977"/>
        <item x="1911"/>
        <item x="1290"/>
        <item x="2067"/>
        <item x="2017"/>
        <item x="2313"/>
        <item x="911"/>
        <item x="2469"/>
        <item x="548"/>
        <item x="1356"/>
        <item x="1202"/>
        <item x="2814"/>
        <item x="2220"/>
        <item x="1614"/>
        <item x="2678"/>
        <item x="2079"/>
        <item x="955"/>
        <item x="2290"/>
        <item x="596"/>
        <item x="2266"/>
        <item x="2560"/>
        <item x="134"/>
        <item x="1786"/>
        <item x="1169"/>
        <item x="1084"/>
        <item x="1762"/>
        <item x="2604"/>
        <item x="2725"/>
        <item x="2651"/>
        <item x="1962"/>
        <item x="1912"/>
        <item x="2815"/>
        <item x="1025"/>
        <item x="2230"/>
        <item x="262"/>
        <item x="2783"/>
        <item x="1801"/>
        <item x="2573"/>
        <item x="39"/>
        <item x="1674"/>
        <item x="1740"/>
        <item x="2052"/>
        <item x="2289"/>
        <item x="495"/>
        <item x="1842"/>
        <item x="1337"/>
        <item x="2603"/>
        <item x="1252"/>
        <item x="831"/>
        <item x="1024"/>
        <item x="261"/>
        <item x="2267"/>
        <item x="2531"/>
        <item x="1545"/>
        <item x="1440"/>
        <item x="2125"/>
        <item x="2421"/>
        <item x="2574"/>
        <item x="1881"/>
        <item x="1530"/>
        <item x="159"/>
        <item x="227"/>
        <item x="2910"/>
        <item x="2355"/>
        <item x="961"/>
        <item x="1138"/>
        <item x="1802"/>
        <item x="281"/>
        <item x="981"/>
        <item x="1373"/>
        <item x="2791"/>
        <item x="551"/>
        <item x="2836"/>
        <item x="2484"/>
        <item x="552"/>
        <item x="1049"/>
        <item x="1685"/>
        <item x="2793"/>
        <item x="1975"/>
        <item x="1631"/>
        <item x="756"/>
        <item x="2493"/>
        <item x="597"/>
        <item x="1348"/>
        <item x="810"/>
        <item x="547"/>
        <item x="921"/>
        <item x="1462"/>
        <item x="1899"/>
        <item x="2792"/>
        <item x="1734"/>
        <item x="1463"/>
        <item x="198"/>
        <item x="2486"/>
        <item x="402"/>
        <item x="815"/>
        <item x="2547"/>
        <item x="1345"/>
        <item x="1687"/>
        <item x="2096"/>
        <item x="67"/>
        <item x="1259"/>
        <item x="900"/>
        <item x="877"/>
        <item x="1952"/>
        <item x="1209"/>
        <item x="2742"/>
        <item x="2942"/>
        <item x="2005"/>
        <item x="30"/>
        <item x="705"/>
        <item x="2625"/>
        <item x="197"/>
        <item x="1388"/>
        <item x="2482"/>
        <item x="1386"/>
        <item x="1244"/>
        <item x="1245"/>
        <item x="2747"/>
        <item x="1618"/>
        <item x="2667"/>
        <item x="2250"/>
        <item x="128"/>
        <item x="2304"/>
        <item x="2462"/>
        <item x="1691"/>
        <item x="1828"/>
        <item x="2348"/>
        <item x="2002"/>
        <item x="1736"/>
        <item x="119"/>
        <item x="2375"/>
        <item x="654"/>
        <item x="1211"/>
        <item x="1108"/>
        <item x="204"/>
        <item x="70"/>
        <item x="469"/>
        <item x="1686"/>
        <item x="2039"/>
        <item x="935"/>
        <item x="1393"/>
        <item x="1213"/>
        <item x="2624"/>
        <item x="934"/>
        <item x="445"/>
        <item x="2131"/>
        <item x="1995"/>
        <item x="206"/>
        <item x="1460"/>
        <item x="203"/>
        <item x="1214"/>
        <item x="444"/>
        <item x="560"/>
        <item x="2053"/>
        <item x="559"/>
        <item x="1134"/>
        <item x="1135"/>
        <item x="2785"/>
        <item x="2143"/>
        <item x="655"/>
        <item x="925"/>
        <item x="1136"/>
        <item x="1261"/>
        <item x="1996"/>
        <item x="1588"/>
        <item x="1215"/>
        <item x="1064"/>
        <item x="2396"/>
        <item x="1272"/>
        <item x="2977"/>
        <item x="2395"/>
        <item x="2879"/>
        <item x="1273"/>
        <item x="1921"/>
        <item x="447"/>
        <item x="2919"/>
        <item x="226"/>
        <item x="1836"/>
        <item x="1844"/>
        <item x="567"/>
        <item x="2354"/>
        <item x="1531"/>
        <item x="656"/>
        <item x="45"/>
        <item x="1054"/>
        <item x="869"/>
        <item x="1137"/>
        <item x="561"/>
        <item x="1262"/>
        <item x="1104"/>
        <item x="1997"/>
        <item x="2040"/>
        <item x="2435"/>
        <item x="2906"/>
        <item x="1532"/>
        <item x="173"/>
        <item x="2134"/>
        <item x="2356"/>
        <item x="2911"/>
        <item x="2920"/>
        <item x="1065"/>
        <item x="1280"/>
        <item x="1110"/>
        <item x="2787"/>
        <item x="208"/>
        <item x="1845"/>
        <item x="171"/>
        <item x="449"/>
        <item x="160"/>
        <item x="1394"/>
        <item x="2190"/>
        <item x="1281"/>
        <item x="1395"/>
        <item x="1924"/>
        <item x="47"/>
        <item x="1803"/>
        <item x="812"/>
        <item x="2398"/>
        <item x="451"/>
        <item x="308"/>
        <item x="977"/>
        <item x="452"/>
        <item x="228"/>
        <item x="1805"/>
        <item x="773"/>
        <item x="1219"/>
        <item x="2913"/>
        <item x="1506"/>
        <item x="175"/>
        <item x="1220"/>
        <item x="2358"/>
        <item x="657"/>
        <item x="2946"/>
        <item x="569"/>
        <item x="214"/>
        <item x="1265"/>
        <item x="658"/>
        <item x="1946"/>
        <item x="2927"/>
        <item x="1634"/>
        <item x="213"/>
        <item x="209"/>
        <item x="2914"/>
        <item x="1818"/>
        <item x="1633"/>
        <item x="1056"/>
        <item x="1747"/>
        <item x="1999"/>
        <item x="1576"/>
        <item x="2400"/>
        <item x="1222"/>
        <item x="161"/>
        <item x="570"/>
        <item x="1594"/>
        <item x="2695"/>
        <item x="1653"/>
        <item x="2434"/>
        <item x="2710"/>
        <item x="938"/>
        <item x="1404"/>
        <item x="2045"/>
        <item x="1819"/>
        <item x="1864"/>
        <item x="456"/>
        <item x="2908"/>
        <item x="1068"/>
        <item x="980"/>
        <item x="965"/>
        <item x="2006"/>
        <item x="872"/>
        <item x="288"/>
        <item x="873"/>
        <item x="939"/>
        <item x="1443"/>
        <item x="1534"/>
        <item x="2491"/>
        <item x="2928"/>
        <item x="776"/>
        <item x="2423"/>
        <item x="1225"/>
        <item x="2909"/>
        <item x="1277"/>
        <item x="1283"/>
        <item x="2136"/>
        <item x="1636"/>
        <item x="659"/>
        <item x="2948"/>
        <item x="457"/>
        <item x="470"/>
        <item x="1546"/>
        <item x="381"/>
        <item x="2916"/>
        <item x="966"/>
        <item x="2696"/>
        <item x="2917"/>
        <item x="2046"/>
        <item x="2887"/>
        <item x="1266"/>
        <item x="292"/>
        <item x="1990"/>
        <item x="2697"/>
        <item x="717"/>
        <item x="289"/>
        <item x="1536"/>
        <item x="459"/>
        <item x="2116"/>
        <item x="2429"/>
        <item x="2698"/>
        <item x="2888"/>
        <item x="762"/>
        <item x="2483"/>
        <item x="181"/>
        <item x="2047"/>
        <item x="2427"/>
        <item x="1072"/>
        <item x="2049"/>
        <item x="2949"/>
        <item x="765"/>
        <item x="2701"/>
        <item x="2332"/>
        <item x="971"/>
        <item x="1139"/>
        <item x="1640"/>
        <item x="574"/>
        <item x="2333"/>
        <item x="2431"/>
        <item x="944"/>
        <item x="1294"/>
        <item x="787"/>
        <item x="1140"/>
        <item x="2334"/>
        <item x="440"/>
        <item x="672"/>
        <item x="1870"/>
        <item x="2453"/>
        <item x="2452"/>
        <item x="1645"/>
        <item x="2141"/>
        <item x="2894"/>
        <item x="1858"/>
        <item x="2563"/>
        <item x="1857"/>
        <item x="1597"/>
        <item x="2119"/>
        <item x="463"/>
        <item x="1647"/>
        <item x="2192"/>
        <item x="1271"/>
        <item x="1267"/>
        <item x="1048"/>
        <item x="1268"/>
        <item x="2950"/>
        <item x="2538"/>
        <item x="2953"/>
        <item x="2706"/>
        <item x="791"/>
        <item x="667"/>
        <item x="2343"/>
        <item x="466"/>
        <item x="297"/>
        <item x="1105"/>
        <item x="2707"/>
        <item x="2369"/>
        <item x="167"/>
        <item x="2459"/>
        <item x="1417"/>
        <item x="1892"/>
        <item x="1060"/>
        <item x="1400"/>
        <item x="150"/>
        <item x="189"/>
        <item x="1813"/>
        <item x="2388"/>
        <item x="1236"/>
        <item x="1421"/>
        <item x="1410"/>
        <item x="724"/>
        <item x="2349"/>
        <item x="808"/>
        <item x="670"/>
        <item x="223"/>
        <item x="2708"/>
        <item x="193"/>
        <item x="311"/>
        <item x="194"/>
        <item x="990"/>
        <item x="1897"/>
        <item x="897"/>
        <item x="1411"/>
        <item x="2540"/>
        <item x="976"/>
        <item x="948"/>
        <item x="1012"/>
        <item x="1776"/>
        <item x="386"/>
        <item x="2798"/>
        <item x="301"/>
        <item x="2532"/>
        <item x="1291"/>
        <item x="1299"/>
        <item x="1292"/>
        <item x="1293"/>
        <item x="2799"/>
        <item x="2346"/>
        <item x="1300"/>
        <item x="121"/>
        <item x="813"/>
        <item x="1478"/>
        <item x="2959"/>
        <item x="1159"/>
        <item x="2007"/>
        <item x="2626"/>
        <item x="599"/>
        <item x="122"/>
        <item x="2243"/>
        <item x="1615"/>
        <item x="600"/>
        <item x="347"/>
        <item x="94"/>
        <item x="1160"/>
        <item x="2627"/>
        <item x="2837"/>
        <item x="861"/>
        <item x="2008"/>
        <item x="993"/>
        <item x="1950"/>
        <item x="2546"/>
        <item x="2800"/>
        <item x="123"/>
        <item x="375"/>
        <item x="1346"/>
        <item x="2628"/>
        <item x="2244"/>
        <item x="2091"/>
        <item x="2092"/>
        <item x="2292"/>
        <item x="1013"/>
        <item x="2832"/>
        <item x="2495"/>
        <item x="2629"/>
        <item x="2133"/>
        <item x="2905"/>
        <item x="994"/>
        <item x="581"/>
        <item x="2003"/>
        <item x="1992"/>
        <item x="471"/>
        <item x="124"/>
        <item x="582"/>
        <item x="412"/>
        <item x="2378"/>
        <item x="1848"/>
        <item x="1751"/>
        <item x="2496"/>
        <item x="2559"/>
        <item x="2144"/>
        <item x="2566"/>
        <item x="995"/>
        <item x="33"/>
        <item x="247"/>
        <item x="1830"/>
        <item x="898"/>
        <item x="315"/>
        <item x="2711"/>
        <item x="1237"/>
        <item x="2497"/>
        <item x="1512"/>
        <item x="1479"/>
        <item x="48"/>
        <item x="1548"/>
        <item x="1014"/>
        <item x="472"/>
        <item x="1513"/>
        <item x="521"/>
        <item x="522"/>
        <item x="1301"/>
        <item x="2299"/>
        <item x="2293"/>
        <item x="699"/>
        <item x="406"/>
        <item x="1849"/>
        <item x="151"/>
        <item x="1737"/>
        <item x="553"/>
        <item x="2204"/>
        <item x="273"/>
        <item x="196"/>
        <item x="116"/>
        <item x="1947"/>
        <item x="1106"/>
        <item x="1206"/>
        <item x="1549"/>
        <item x="248"/>
        <item x="856"/>
        <item x="1850"/>
        <item x="899"/>
        <item x="49"/>
        <item x="2838"/>
        <item x="2576"/>
        <item x="1616"/>
        <item x="343"/>
        <item x="729"/>
        <item x="2424"/>
        <item x="2940"/>
        <item x="1050"/>
        <item x="2093"/>
        <item x="2156"/>
        <item x="1461"/>
        <item x="2287"/>
        <item x="920"/>
        <item x="2294"/>
        <item x="1347"/>
        <item x="2402"/>
        <item x="1338"/>
        <item x="996"/>
        <item x="1589"/>
        <item x="1514"/>
        <item x="2941"/>
        <item x="649"/>
        <item x="2801"/>
        <item x="152"/>
        <item x="1161"/>
        <item x="2009"/>
        <item x="2960"/>
        <item x="1015"/>
        <item x="1570"/>
        <item x="2403"/>
        <item x="2010"/>
        <item x="2782"/>
        <item x="1948"/>
        <item x="1302"/>
        <item x="439"/>
        <item x="2145"/>
        <item x="2034"/>
        <item x="2404"/>
        <item x="280"/>
        <item x="1949"/>
        <item x="1207"/>
        <item x="2350"/>
        <item x="34"/>
        <item x="2300"/>
        <item x="874"/>
        <item x="1777"/>
        <item x="676"/>
        <item x="730"/>
        <item x="2577"/>
        <item x="2094"/>
        <item x="2712"/>
        <item x="2802"/>
        <item x="875"/>
        <item x="1111"/>
        <item x="1374"/>
        <item x="284"/>
        <item x="405"/>
        <item x="2736"/>
        <item x="1336"/>
        <item x="282"/>
        <item x="1851"/>
        <item x="1203"/>
        <item x="2295"/>
        <item x="148"/>
        <item x="35"/>
        <item x="36"/>
        <item x="956"/>
        <item x="860"/>
        <item x="814"/>
        <item x="598"/>
        <item x="2830"/>
        <item x="2578"/>
        <item x="249"/>
        <item x="2245"/>
        <item x="876"/>
        <item x="50"/>
        <item x="2004"/>
        <item x="149"/>
        <item x="2146"/>
        <item x="285"/>
        <item x="2835"/>
        <item x="153"/>
        <item x="1370"/>
        <item x="342"/>
        <item x="403"/>
        <item x="706"/>
        <item x="2095"/>
        <item x="154"/>
        <item x="1208"/>
        <item x="2567"/>
        <item x="199"/>
        <item x="1238"/>
        <item x="1515"/>
        <item x="858"/>
        <item x="1951"/>
        <item x="28"/>
        <item x="1670"/>
        <item x="1852"/>
        <item x="677"/>
        <item x="1303"/>
        <item x="1162"/>
        <item x="473"/>
        <item x="2498"/>
        <item x="2242"/>
        <item x="474"/>
        <item x="1778"/>
        <item x="2147"/>
        <item x="922"/>
        <item x="1831"/>
        <item x="1671"/>
        <item x="862"/>
        <item x="650"/>
        <item x="727"/>
        <item x="2035"/>
        <item x="376"/>
        <item x="2405"/>
        <item x="2794"/>
        <item x="1748"/>
        <item x="2938"/>
        <item x="250"/>
        <item x="411"/>
        <item x="475"/>
        <item x="1339"/>
        <item x="1051"/>
        <item x="901"/>
        <item x="2839"/>
        <item x="2071"/>
        <item x="1349"/>
        <item x="2148"/>
        <item x="1340"/>
        <item x="2739"/>
        <item x="651"/>
        <item x="2406"/>
        <item x="155"/>
        <item x="413"/>
        <item x="2246"/>
        <item x="51"/>
        <item x="2630"/>
        <item x="1112"/>
        <item x="316"/>
        <item x="1016"/>
        <item x="1779"/>
        <item x="2579"/>
        <item x="2840"/>
        <item x="29"/>
        <item x="1163"/>
        <item x="2663"/>
        <item x="902"/>
        <item x="2713"/>
        <item x="1688"/>
        <item x="1516"/>
        <item x="1304"/>
        <item x="583"/>
        <item x="1387"/>
        <item x="1843"/>
        <item x="1976"/>
        <item x="476"/>
        <item x="2568"/>
        <item x="1078"/>
        <item x="601"/>
        <item x="1305"/>
        <item x="2743"/>
        <item x="2803"/>
        <item x="1900"/>
        <item x="1880"/>
        <item x="2580"/>
        <item x="1239"/>
        <item x="1689"/>
        <item x="2664"/>
        <item x="251"/>
        <item x="1780"/>
        <item x="1480"/>
        <item x="997"/>
        <item x="1279"/>
        <item x="68"/>
        <item x="125"/>
        <item x="2247"/>
        <item x="2097"/>
        <item x="2744"/>
        <item x="1275"/>
        <item x="387"/>
        <item x="1603"/>
        <item x="1901"/>
        <item x="1902"/>
        <item x="2714"/>
        <item x="388"/>
        <item x="2407"/>
        <item x="1604"/>
        <item x="2301"/>
        <item x="389"/>
        <item x="903"/>
        <item x="523"/>
        <item x="1481"/>
        <item x="2641"/>
        <item x="1240"/>
        <item x="998"/>
        <item x="317"/>
        <item x="1953"/>
        <item x="2149"/>
        <item x="999"/>
        <item x="1903"/>
        <item x="904"/>
        <item x="2150"/>
        <item x="2581"/>
        <item x="1550"/>
        <item x="318"/>
        <item x="2248"/>
        <item x="1482"/>
        <item x="2665"/>
        <item x="602"/>
        <item x="603"/>
        <item x="2582"/>
        <item x="2205"/>
        <item x="2715"/>
        <item x="2631"/>
        <item x="2302"/>
        <item x="477"/>
        <item x="604"/>
        <item x="1781"/>
        <item x="2206"/>
        <item x="1798"/>
        <item x="95"/>
        <item x="478"/>
        <item x="2159"/>
        <item x="319"/>
        <item x="2583"/>
        <item x="1853"/>
        <item x="678"/>
        <item x="1954"/>
        <item x="2408"/>
        <item x="2642"/>
        <item x="414"/>
        <item x="2072"/>
        <item x="1799"/>
        <item x="1164"/>
        <item x="2409"/>
        <item x="1782"/>
        <item x="1241"/>
        <item x="2643"/>
        <item x="1752"/>
        <item x="2207"/>
        <item x="2841"/>
        <item x="2499"/>
        <item x="1375"/>
        <item x="1690"/>
        <item x="1017"/>
        <item x="1242"/>
        <item x="2500"/>
        <item x="52"/>
        <item x="1904"/>
        <item x="2501"/>
        <item x="2410"/>
        <item x="1483"/>
        <item x="1350"/>
        <item x="2208"/>
        <item x="348"/>
        <item x="679"/>
        <item x="2011"/>
        <item x="2012"/>
        <item x="1955"/>
        <item x="53"/>
        <item x="1113"/>
        <item x="1306"/>
        <item x="2745"/>
        <item x="2562"/>
        <item x="126"/>
        <item x="479"/>
        <item x="1936"/>
        <item x="1205"/>
        <item x="2411"/>
        <item x="2412"/>
        <item x="2644"/>
        <item x="410"/>
        <item x="127"/>
        <item x="2804"/>
        <item x="2098"/>
        <item x="2401"/>
        <item x="349"/>
        <item x="69"/>
        <item x="2099"/>
        <item x="1617"/>
        <item x="2746"/>
        <item x="2151"/>
        <item x="2912"/>
        <item x="350"/>
        <item x="2209"/>
        <item x="2781"/>
        <item x="2666"/>
        <item x="54"/>
        <item x="480"/>
        <item x="2210"/>
        <item x="905"/>
        <item x="1551"/>
        <item x="811"/>
        <item x="2584"/>
        <item x="2585"/>
        <item x="1079"/>
        <item x="2303"/>
        <item x="1605"/>
        <item x="584"/>
        <item x="2586"/>
        <item x="320"/>
        <item x="2413"/>
        <item x="2211"/>
        <item x="816"/>
        <item x="585"/>
        <item x="481"/>
        <item x="2716"/>
        <item x="524"/>
        <item x="415"/>
        <item x="731"/>
        <item x="2013"/>
        <item x="2073"/>
        <item x="1018"/>
        <item x="55"/>
        <item x="252"/>
        <item x="1080"/>
        <item x="1243"/>
        <item x="1753"/>
        <item x="680"/>
        <item x="93"/>
        <item x="586"/>
        <item x="1937"/>
        <item x="2249"/>
        <item x="2502"/>
        <item x="2805"/>
        <item x="681"/>
        <item x="1783"/>
        <item x="129"/>
        <item x="732"/>
        <item x="2587"/>
        <item x="1351"/>
        <item x="2494"/>
        <item x="130"/>
        <item x="2632"/>
        <item x="2842"/>
        <item x="1517"/>
        <item x="1000"/>
        <item x="2212"/>
        <item x="2633"/>
        <item x="525"/>
        <item x="1934"/>
        <item x="682"/>
        <item x="1938"/>
        <item x="2461"/>
        <item x="1552"/>
        <item x="2298"/>
        <item x="1376"/>
        <item x="1619"/>
        <item x="1692"/>
        <item x="2843"/>
        <item x="2961"/>
        <item x="1935"/>
        <item x="2588"/>
        <item x="1606"/>
        <item x="2251"/>
        <item x="817"/>
        <item x="2717"/>
        <item x="683"/>
        <item x="71"/>
        <item x="2100"/>
        <item x="2589"/>
        <item x="314"/>
        <item x="1607"/>
        <item x="482"/>
        <item x="1001"/>
        <item x="1114"/>
        <item x="2590"/>
        <item x="2634"/>
        <item x="2645"/>
        <item x="483"/>
        <item x="1956"/>
        <item x="2203"/>
        <item x="2962"/>
        <item x="96"/>
        <item x="2101"/>
        <item x="2074"/>
        <item x="1553"/>
        <item x="1939"/>
        <item x="2102"/>
        <item x="818"/>
        <item x="2963"/>
        <item x="72"/>
        <item x="728"/>
        <item x="2503"/>
        <item x="2591"/>
        <item x="73"/>
        <item x="1352"/>
        <item x="2592"/>
        <item x="962"/>
        <item x="2646"/>
        <item x="2647"/>
        <item x="56"/>
        <item x="2806"/>
        <item x="1754"/>
        <item x="2305"/>
        <item x="526"/>
        <item x="1940"/>
        <item x="74"/>
        <item x="1755"/>
        <item x="878"/>
        <item x="819"/>
        <item x="928"/>
        <item x="1246"/>
        <item x="321"/>
        <item x="2718"/>
        <item x="2252"/>
        <item x="2213"/>
        <item x="879"/>
        <item x="2668"/>
        <item x="2253"/>
        <item x="1608"/>
        <item x="2844"/>
        <item x="2593"/>
        <item x="2845"/>
        <item x="527"/>
        <item x="528"/>
        <item x="820"/>
        <item x="2075"/>
        <item x="1247"/>
        <item x="1307"/>
        <item x="2964"/>
        <item x="605"/>
        <item x="31"/>
        <item x="2635"/>
        <item x="1957"/>
        <item x="2594"/>
        <item x="684"/>
        <item x="587"/>
        <item x="2965"/>
        <item x="2103"/>
        <item x="2669"/>
        <item x="484"/>
        <item x="588"/>
        <item x="1248"/>
        <item x="1568"/>
        <item x="1750"/>
        <item x="2415"/>
        <item x="1840"/>
        <item x="2975"/>
        <item x="2903"/>
        <item x="2904"/>
        <item x="40"/>
        <item x="2976"/>
        <item x="1258"/>
        <item x="1879"/>
        <item x="2352"/>
        <item x="1391"/>
        <item x="1107"/>
        <item x="1260"/>
        <item x="1342"/>
        <item x="2384"/>
        <item x="1574"/>
        <item x="564"/>
        <item x="1989"/>
        <item x="1854"/>
        <item x="2130"/>
        <item x="707"/>
        <item x="867"/>
        <item x="868"/>
        <item x="2393"/>
        <item x="443"/>
        <item x="959"/>
        <item x="2529"/>
        <item x="2394"/>
        <item x="2555"/>
        <item x="438"/>
        <item x="2286"/>
        <item x="855"/>
        <item x="635"/>
        <item x="1978"/>
        <item x="1357"/>
        <item x="1085"/>
        <item x="2470"/>
        <item x="2767"/>
        <item x="2268"/>
        <item x="2680"/>
        <item x="2679"/>
        <item x="63"/>
        <item x="1557"/>
        <item x="1763"/>
        <item x="2652"/>
        <item x="1005"/>
        <item x="1006"/>
        <item x="1701"/>
        <item x="496"/>
        <item x="1707"/>
        <item x="86"/>
        <item x="1086"/>
        <item x="832"/>
        <item x="2757"/>
        <item x="2766"/>
        <item x="385"/>
        <item x="2202"/>
        <item x="2797"/>
        <item x="2575"/>
        <item x="313"/>
        <item x="346"/>
        <item x="1547"/>
        <item x="1343"/>
        <item x="896"/>
        <item x="2693"/>
        <item x="2824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1">
        <item x="7"/>
        <item h="1" x="6"/>
        <item x="0"/>
        <item x="2"/>
        <item h="1" x="3"/>
        <item x="4"/>
        <item x="9"/>
        <item x="5"/>
        <item h="1" x="1"/>
        <item h="1" x="8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0"/>
  </rowFields>
  <rowItems count="985">
    <i>
      <x v="1"/>
    </i>
    <i>
      <x v="2"/>
    </i>
    <i>
      <x v="5"/>
    </i>
    <i>
      <x v="6"/>
    </i>
    <i>
      <x v="7"/>
    </i>
    <i>
      <x v="9"/>
    </i>
    <i>
      <x v="10"/>
    </i>
    <i>
      <x v="13"/>
    </i>
    <i>
      <x v="14"/>
    </i>
    <i>
      <x v="17"/>
    </i>
    <i>
      <x v="27"/>
    </i>
    <i>
      <x v="28"/>
    </i>
    <i>
      <x v="30"/>
    </i>
    <i>
      <x v="31"/>
    </i>
    <i>
      <x v="34"/>
    </i>
    <i>
      <x v="36"/>
    </i>
    <i>
      <x v="40"/>
    </i>
    <i>
      <x v="42"/>
    </i>
    <i>
      <x v="43"/>
    </i>
    <i>
      <x v="44"/>
    </i>
    <i>
      <x v="46"/>
    </i>
    <i>
      <x v="47"/>
    </i>
    <i>
      <x v="48"/>
    </i>
    <i>
      <x v="50"/>
    </i>
    <i>
      <x v="51"/>
    </i>
    <i>
      <x v="52"/>
    </i>
    <i>
      <x v="56"/>
    </i>
    <i>
      <x v="60"/>
    </i>
    <i>
      <x v="64"/>
    </i>
    <i>
      <x v="65"/>
    </i>
    <i>
      <x v="71"/>
    </i>
    <i>
      <x v="75"/>
    </i>
    <i>
      <x v="80"/>
    </i>
    <i>
      <x v="81"/>
    </i>
    <i>
      <x v="82"/>
    </i>
    <i>
      <x v="83"/>
    </i>
    <i>
      <x v="91"/>
    </i>
    <i>
      <x v="93"/>
    </i>
    <i>
      <x v="96"/>
    </i>
    <i>
      <x v="98"/>
    </i>
    <i>
      <x v="100"/>
    </i>
    <i>
      <x v="107"/>
    </i>
    <i>
      <x v="109"/>
    </i>
    <i>
      <x v="110"/>
    </i>
    <i>
      <x v="114"/>
    </i>
    <i>
      <x v="115"/>
    </i>
    <i>
      <x v="117"/>
    </i>
    <i>
      <x v="118"/>
    </i>
    <i>
      <x v="119"/>
    </i>
    <i>
      <x v="122"/>
    </i>
    <i>
      <x v="123"/>
    </i>
    <i>
      <x v="127"/>
    </i>
    <i>
      <x v="128"/>
    </i>
    <i>
      <x v="136"/>
    </i>
    <i>
      <x v="137"/>
    </i>
    <i>
      <x v="138"/>
    </i>
    <i>
      <x v="140"/>
    </i>
    <i>
      <x v="143"/>
    </i>
    <i>
      <x v="145"/>
    </i>
    <i>
      <x v="146"/>
    </i>
    <i>
      <x v="147"/>
    </i>
    <i>
      <x v="150"/>
    </i>
    <i>
      <x v="153"/>
    </i>
    <i>
      <x v="155"/>
    </i>
    <i>
      <x v="157"/>
    </i>
    <i>
      <x v="158"/>
    </i>
    <i>
      <x v="160"/>
    </i>
    <i>
      <x v="162"/>
    </i>
    <i>
      <x v="167"/>
    </i>
    <i>
      <x v="168"/>
    </i>
    <i>
      <x v="169"/>
    </i>
    <i>
      <x v="172"/>
    </i>
    <i>
      <x v="173"/>
    </i>
    <i>
      <x v="176"/>
    </i>
    <i>
      <x v="184"/>
    </i>
    <i>
      <x v="191"/>
    </i>
    <i>
      <x v="194"/>
    </i>
    <i>
      <x v="196"/>
    </i>
    <i>
      <x v="198"/>
    </i>
    <i>
      <x v="201"/>
    </i>
    <i>
      <x v="203"/>
    </i>
    <i>
      <x v="204"/>
    </i>
    <i>
      <x v="207"/>
    </i>
    <i>
      <x v="210"/>
    </i>
    <i>
      <x v="211"/>
    </i>
    <i>
      <x v="212"/>
    </i>
    <i>
      <x v="220"/>
    </i>
    <i>
      <x v="223"/>
    </i>
    <i>
      <x v="224"/>
    </i>
    <i>
      <x v="227"/>
    </i>
    <i>
      <x v="228"/>
    </i>
    <i>
      <x v="229"/>
    </i>
    <i>
      <x v="233"/>
    </i>
    <i>
      <x v="237"/>
    </i>
    <i>
      <x v="238"/>
    </i>
    <i>
      <x v="239"/>
    </i>
    <i>
      <x v="240"/>
    </i>
    <i>
      <x v="242"/>
    </i>
    <i>
      <x v="248"/>
    </i>
    <i>
      <x v="252"/>
    </i>
    <i>
      <x v="253"/>
    </i>
    <i>
      <x v="254"/>
    </i>
    <i>
      <x v="258"/>
    </i>
    <i>
      <x v="260"/>
    </i>
    <i>
      <x v="265"/>
    </i>
    <i>
      <x v="268"/>
    </i>
    <i>
      <x v="269"/>
    </i>
    <i>
      <x v="271"/>
    </i>
    <i>
      <x v="273"/>
    </i>
    <i>
      <x v="277"/>
    </i>
    <i>
      <x v="280"/>
    </i>
    <i>
      <x v="282"/>
    </i>
    <i>
      <x v="283"/>
    </i>
    <i>
      <x v="284"/>
    </i>
    <i>
      <x v="288"/>
    </i>
    <i>
      <x v="291"/>
    </i>
    <i>
      <x v="292"/>
    </i>
    <i>
      <x v="295"/>
    </i>
    <i>
      <x v="296"/>
    </i>
    <i>
      <x v="298"/>
    </i>
    <i>
      <x v="302"/>
    </i>
    <i>
      <x v="303"/>
    </i>
    <i>
      <x v="305"/>
    </i>
    <i>
      <x v="306"/>
    </i>
    <i>
      <x v="307"/>
    </i>
    <i>
      <x v="310"/>
    </i>
    <i>
      <x v="311"/>
    </i>
    <i>
      <x v="312"/>
    </i>
    <i>
      <x v="316"/>
    </i>
    <i>
      <x v="317"/>
    </i>
    <i>
      <x v="320"/>
    </i>
    <i>
      <x v="332"/>
    </i>
    <i>
      <x v="333"/>
    </i>
    <i>
      <x v="334"/>
    </i>
    <i>
      <x v="335"/>
    </i>
    <i>
      <x v="340"/>
    </i>
    <i>
      <x v="341"/>
    </i>
    <i>
      <x v="343"/>
    </i>
    <i>
      <x v="344"/>
    </i>
    <i>
      <x v="348"/>
    </i>
    <i>
      <x v="349"/>
    </i>
    <i>
      <x v="353"/>
    </i>
    <i>
      <x v="356"/>
    </i>
    <i>
      <x v="357"/>
    </i>
    <i>
      <x v="359"/>
    </i>
    <i>
      <x v="362"/>
    </i>
    <i>
      <x v="364"/>
    </i>
    <i>
      <x v="365"/>
    </i>
    <i>
      <x v="367"/>
    </i>
    <i>
      <x v="376"/>
    </i>
    <i>
      <x v="377"/>
    </i>
    <i>
      <x v="383"/>
    </i>
    <i>
      <x v="385"/>
    </i>
    <i>
      <x v="394"/>
    </i>
    <i>
      <x v="397"/>
    </i>
    <i>
      <x v="400"/>
    </i>
    <i>
      <x v="409"/>
    </i>
    <i>
      <x v="410"/>
    </i>
    <i>
      <x v="411"/>
    </i>
    <i>
      <x v="415"/>
    </i>
    <i>
      <x v="416"/>
    </i>
    <i>
      <x v="417"/>
    </i>
    <i>
      <x v="419"/>
    </i>
    <i>
      <x v="421"/>
    </i>
    <i>
      <x v="422"/>
    </i>
    <i>
      <x v="425"/>
    </i>
    <i>
      <x v="427"/>
    </i>
    <i>
      <x v="428"/>
    </i>
    <i>
      <x v="430"/>
    </i>
    <i>
      <x v="432"/>
    </i>
    <i>
      <x v="434"/>
    </i>
    <i>
      <x v="435"/>
    </i>
    <i>
      <x v="442"/>
    </i>
    <i>
      <x v="443"/>
    </i>
    <i>
      <x v="444"/>
    </i>
    <i>
      <x v="446"/>
    </i>
    <i>
      <x v="447"/>
    </i>
    <i>
      <x v="448"/>
    </i>
    <i>
      <x v="449"/>
    </i>
    <i>
      <x v="452"/>
    </i>
    <i>
      <x v="456"/>
    </i>
    <i>
      <x v="458"/>
    </i>
    <i>
      <x v="459"/>
    </i>
    <i>
      <x v="460"/>
    </i>
    <i>
      <x v="462"/>
    </i>
    <i>
      <x v="463"/>
    </i>
    <i>
      <x v="465"/>
    </i>
    <i>
      <x v="466"/>
    </i>
    <i>
      <x v="467"/>
    </i>
    <i>
      <x v="469"/>
    </i>
    <i>
      <x v="470"/>
    </i>
    <i>
      <x v="474"/>
    </i>
    <i>
      <x v="478"/>
    </i>
    <i>
      <x v="481"/>
    </i>
    <i>
      <x v="483"/>
    </i>
    <i>
      <x v="484"/>
    </i>
    <i>
      <x v="486"/>
    </i>
    <i>
      <x v="488"/>
    </i>
    <i>
      <x v="494"/>
    </i>
    <i>
      <x v="496"/>
    </i>
    <i>
      <x v="497"/>
    </i>
    <i>
      <x v="500"/>
    </i>
    <i>
      <x v="501"/>
    </i>
    <i>
      <x v="505"/>
    </i>
    <i>
      <x v="506"/>
    </i>
    <i>
      <x v="507"/>
    </i>
    <i>
      <x v="508"/>
    </i>
    <i>
      <x v="509"/>
    </i>
    <i>
      <x v="511"/>
    </i>
    <i>
      <x v="514"/>
    </i>
    <i>
      <x v="516"/>
    </i>
    <i>
      <x v="520"/>
    </i>
    <i>
      <x v="524"/>
    </i>
    <i>
      <x v="529"/>
    </i>
    <i>
      <x v="531"/>
    </i>
    <i>
      <x v="532"/>
    </i>
    <i>
      <x v="533"/>
    </i>
    <i>
      <x v="535"/>
    </i>
    <i>
      <x v="537"/>
    </i>
    <i>
      <x v="538"/>
    </i>
    <i>
      <x v="539"/>
    </i>
    <i>
      <x v="541"/>
    </i>
    <i>
      <x v="548"/>
    </i>
    <i>
      <x v="549"/>
    </i>
    <i>
      <x v="552"/>
    </i>
    <i>
      <x v="554"/>
    </i>
    <i>
      <x v="557"/>
    </i>
    <i>
      <x v="560"/>
    </i>
    <i>
      <x v="564"/>
    </i>
    <i>
      <x v="565"/>
    </i>
    <i>
      <x v="570"/>
    </i>
    <i>
      <x v="575"/>
    </i>
    <i>
      <x v="580"/>
    </i>
    <i>
      <x v="600"/>
    </i>
    <i>
      <x v="601"/>
    </i>
    <i>
      <x v="607"/>
    </i>
    <i>
      <x v="611"/>
    </i>
    <i>
      <x v="625"/>
    </i>
    <i>
      <x v="626"/>
    </i>
    <i>
      <x v="628"/>
    </i>
    <i>
      <x v="634"/>
    </i>
    <i>
      <x v="651"/>
    </i>
    <i>
      <x v="659"/>
    </i>
    <i>
      <x v="669"/>
    </i>
    <i>
      <x v="672"/>
    </i>
    <i>
      <x v="673"/>
    </i>
    <i>
      <x v="674"/>
    </i>
    <i>
      <x v="676"/>
    </i>
    <i>
      <x v="689"/>
    </i>
    <i>
      <x v="691"/>
    </i>
    <i>
      <x v="692"/>
    </i>
    <i>
      <x v="697"/>
    </i>
    <i>
      <x v="698"/>
    </i>
    <i>
      <x v="710"/>
    </i>
    <i>
      <x v="714"/>
    </i>
    <i>
      <x v="725"/>
    </i>
    <i>
      <x v="727"/>
    </i>
    <i>
      <x v="731"/>
    </i>
    <i>
      <x v="735"/>
    </i>
    <i>
      <x v="751"/>
    </i>
    <i>
      <x v="757"/>
    </i>
    <i>
      <x v="758"/>
    </i>
    <i>
      <x v="765"/>
    </i>
    <i>
      <x v="771"/>
    </i>
    <i>
      <x v="777"/>
    </i>
    <i>
      <x v="781"/>
    </i>
    <i>
      <x v="786"/>
    </i>
    <i>
      <x v="792"/>
    </i>
    <i>
      <x v="798"/>
    </i>
    <i>
      <x v="803"/>
    </i>
    <i>
      <x v="805"/>
    </i>
    <i>
      <x v="811"/>
    </i>
    <i>
      <x v="814"/>
    </i>
    <i>
      <x v="815"/>
    </i>
    <i>
      <x v="817"/>
    </i>
    <i>
      <x v="818"/>
    </i>
    <i>
      <x v="819"/>
    </i>
    <i>
      <x v="820"/>
    </i>
    <i>
      <x v="821"/>
    </i>
    <i>
      <x v="823"/>
    </i>
    <i>
      <x v="830"/>
    </i>
    <i>
      <x v="833"/>
    </i>
    <i>
      <x v="834"/>
    </i>
    <i>
      <x v="845"/>
    </i>
    <i>
      <x v="847"/>
    </i>
    <i>
      <x v="849"/>
    </i>
    <i>
      <x v="852"/>
    </i>
    <i>
      <x v="853"/>
    </i>
    <i>
      <x v="859"/>
    </i>
    <i>
      <x v="861"/>
    </i>
    <i>
      <x v="862"/>
    </i>
    <i>
      <x v="864"/>
    </i>
    <i>
      <x v="869"/>
    </i>
    <i>
      <x v="871"/>
    </i>
    <i>
      <x v="880"/>
    </i>
    <i>
      <x v="881"/>
    </i>
    <i>
      <x v="882"/>
    </i>
    <i>
      <x v="886"/>
    </i>
    <i>
      <x v="889"/>
    </i>
    <i>
      <x v="892"/>
    </i>
    <i>
      <x v="897"/>
    </i>
    <i>
      <x v="899"/>
    </i>
    <i>
      <x v="900"/>
    </i>
    <i>
      <x v="901"/>
    </i>
    <i>
      <x v="905"/>
    </i>
    <i>
      <x v="907"/>
    </i>
    <i>
      <x v="909"/>
    </i>
    <i>
      <x v="910"/>
    </i>
    <i>
      <x v="911"/>
    </i>
    <i>
      <x v="912"/>
    </i>
    <i>
      <x v="913"/>
    </i>
    <i>
      <x v="917"/>
    </i>
    <i>
      <x v="921"/>
    </i>
    <i>
      <x v="923"/>
    </i>
    <i>
      <x v="927"/>
    </i>
    <i>
      <x v="936"/>
    </i>
    <i>
      <x v="945"/>
    </i>
    <i>
      <x v="948"/>
    </i>
    <i>
      <x v="949"/>
    </i>
    <i>
      <x v="952"/>
    </i>
    <i>
      <x v="955"/>
    </i>
    <i>
      <x v="958"/>
    </i>
    <i>
      <x v="960"/>
    </i>
    <i>
      <x v="962"/>
    </i>
    <i>
      <x v="967"/>
    </i>
    <i>
      <x v="968"/>
    </i>
    <i>
      <x v="974"/>
    </i>
    <i>
      <x v="978"/>
    </i>
    <i>
      <x v="982"/>
    </i>
    <i>
      <x v="983"/>
    </i>
    <i>
      <x v="986"/>
    </i>
    <i>
      <x v="988"/>
    </i>
    <i>
      <x v="989"/>
    </i>
    <i>
      <x v="991"/>
    </i>
    <i>
      <x v="1000"/>
    </i>
    <i>
      <x v="1001"/>
    </i>
    <i>
      <x v="1002"/>
    </i>
    <i>
      <x v="1003"/>
    </i>
    <i>
      <x v="1004"/>
    </i>
    <i>
      <x v="1007"/>
    </i>
    <i>
      <x v="1010"/>
    </i>
    <i>
      <x v="1013"/>
    </i>
    <i>
      <x v="1014"/>
    </i>
    <i>
      <x v="1015"/>
    </i>
    <i>
      <x v="1018"/>
    </i>
    <i>
      <x v="1024"/>
    </i>
    <i>
      <x v="1029"/>
    </i>
    <i>
      <x v="1030"/>
    </i>
    <i>
      <x v="1031"/>
    </i>
    <i>
      <x v="1032"/>
    </i>
    <i>
      <x v="1035"/>
    </i>
    <i>
      <x v="1036"/>
    </i>
    <i>
      <x v="1043"/>
    </i>
    <i>
      <x v="1045"/>
    </i>
    <i>
      <x v="1048"/>
    </i>
    <i>
      <x v="1050"/>
    </i>
    <i>
      <x v="1051"/>
    </i>
    <i>
      <x v="1059"/>
    </i>
    <i>
      <x v="1060"/>
    </i>
    <i>
      <x v="1061"/>
    </i>
    <i>
      <x v="1063"/>
    </i>
    <i>
      <x v="1065"/>
    </i>
    <i>
      <x v="1067"/>
    </i>
    <i>
      <x v="1077"/>
    </i>
    <i>
      <x v="1079"/>
    </i>
    <i>
      <x v="1081"/>
    </i>
    <i>
      <x v="1085"/>
    </i>
    <i>
      <x v="1086"/>
    </i>
    <i>
      <x v="1088"/>
    </i>
    <i>
      <x v="1092"/>
    </i>
    <i>
      <x v="1093"/>
    </i>
    <i>
      <x v="1095"/>
    </i>
    <i>
      <x v="1099"/>
    </i>
    <i>
      <x v="1102"/>
    </i>
    <i>
      <x v="1103"/>
    </i>
    <i>
      <x v="1106"/>
    </i>
    <i>
      <x v="1107"/>
    </i>
    <i>
      <x v="1109"/>
    </i>
    <i>
      <x v="1114"/>
    </i>
    <i>
      <x v="1115"/>
    </i>
    <i>
      <x v="1120"/>
    </i>
    <i>
      <x v="1124"/>
    </i>
    <i>
      <x v="1125"/>
    </i>
    <i>
      <x v="1126"/>
    </i>
    <i>
      <x v="1129"/>
    </i>
    <i>
      <x v="1135"/>
    </i>
    <i>
      <x v="1136"/>
    </i>
    <i>
      <x v="1139"/>
    </i>
    <i>
      <x v="1140"/>
    </i>
    <i>
      <x v="1142"/>
    </i>
    <i>
      <x v="1144"/>
    </i>
    <i>
      <x v="1146"/>
    </i>
    <i>
      <x v="1151"/>
    </i>
    <i>
      <x v="1153"/>
    </i>
    <i>
      <x v="1156"/>
    </i>
    <i>
      <x v="1158"/>
    </i>
    <i>
      <x v="1160"/>
    </i>
    <i>
      <x v="1161"/>
    </i>
    <i>
      <x v="1163"/>
    </i>
    <i>
      <x v="1164"/>
    </i>
    <i>
      <x v="1165"/>
    </i>
    <i>
      <x v="1166"/>
    </i>
    <i>
      <x v="1167"/>
    </i>
    <i>
      <x v="1168"/>
    </i>
    <i>
      <x v="1171"/>
    </i>
    <i>
      <x v="1173"/>
    </i>
    <i>
      <x v="1174"/>
    </i>
    <i>
      <x v="1186"/>
    </i>
    <i>
      <x v="1189"/>
    </i>
    <i>
      <x v="1192"/>
    </i>
    <i>
      <x v="1200"/>
    </i>
    <i>
      <x v="1202"/>
    </i>
    <i>
      <x v="1208"/>
    </i>
    <i>
      <x v="1209"/>
    </i>
    <i>
      <x v="1214"/>
    </i>
    <i>
      <x v="1215"/>
    </i>
    <i>
      <x v="1216"/>
    </i>
    <i>
      <x v="1217"/>
    </i>
    <i>
      <x v="1218"/>
    </i>
    <i>
      <x v="1220"/>
    </i>
    <i>
      <x v="1223"/>
    </i>
    <i>
      <x v="1224"/>
    </i>
    <i>
      <x v="1225"/>
    </i>
    <i>
      <x v="1232"/>
    </i>
    <i>
      <x v="1235"/>
    </i>
    <i>
      <x v="1237"/>
    </i>
    <i>
      <x v="1241"/>
    </i>
    <i>
      <x v="1243"/>
    </i>
    <i>
      <x v="1244"/>
    </i>
    <i>
      <x v="1245"/>
    </i>
    <i>
      <x v="1247"/>
    </i>
    <i>
      <x v="1248"/>
    </i>
    <i>
      <x v="1249"/>
    </i>
    <i>
      <x v="1259"/>
    </i>
    <i>
      <x v="1266"/>
    </i>
    <i>
      <x v="1269"/>
    </i>
    <i>
      <x v="1270"/>
    </i>
    <i>
      <x v="1277"/>
    </i>
    <i>
      <x v="1288"/>
    </i>
    <i>
      <x v="1290"/>
    </i>
    <i>
      <x v="1292"/>
    </i>
    <i>
      <x v="1293"/>
    </i>
    <i>
      <x v="1296"/>
    </i>
    <i>
      <x v="1298"/>
    </i>
    <i>
      <x v="1299"/>
    </i>
    <i>
      <x v="1302"/>
    </i>
    <i>
      <x v="1303"/>
    </i>
    <i>
      <x v="1305"/>
    </i>
    <i>
      <x v="1306"/>
    </i>
    <i>
      <x v="1307"/>
    </i>
    <i>
      <x v="1308"/>
    </i>
    <i>
      <x v="1309"/>
    </i>
    <i>
      <x v="1311"/>
    </i>
    <i>
      <x v="1316"/>
    </i>
    <i>
      <x v="1320"/>
    </i>
    <i>
      <x v="1324"/>
    </i>
    <i>
      <x v="1325"/>
    </i>
    <i>
      <x v="1329"/>
    </i>
    <i>
      <x v="1339"/>
    </i>
    <i>
      <x v="1341"/>
    </i>
    <i>
      <x v="1343"/>
    </i>
    <i>
      <x v="1344"/>
    </i>
    <i>
      <x v="1345"/>
    </i>
    <i>
      <x v="1348"/>
    </i>
    <i>
      <x v="1350"/>
    </i>
    <i>
      <x v="1351"/>
    </i>
    <i>
      <x v="1352"/>
    </i>
    <i>
      <x v="1353"/>
    </i>
    <i>
      <x v="1354"/>
    </i>
    <i>
      <x v="1357"/>
    </i>
    <i>
      <x v="1358"/>
    </i>
    <i>
      <x v="1362"/>
    </i>
    <i>
      <x v="1366"/>
    </i>
    <i>
      <x v="1370"/>
    </i>
    <i>
      <x v="1376"/>
    </i>
    <i>
      <x v="1378"/>
    </i>
    <i>
      <x v="1381"/>
    </i>
    <i>
      <x v="1385"/>
    </i>
    <i>
      <x v="1389"/>
    </i>
    <i>
      <x v="1390"/>
    </i>
    <i>
      <x v="1391"/>
    </i>
    <i>
      <x v="1392"/>
    </i>
    <i>
      <x v="1394"/>
    </i>
    <i>
      <x v="1396"/>
    </i>
    <i>
      <x v="1400"/>
    </i>
    <i>
      <x v="1403"/>
    </i>
    <i>
      <x v="1405"/>
    </i>
    <i>
      <x v="1408"/>
    </i>
    <i>
      <x v="1410"/>
    </i>
    <i>
      <x v="1412"/>
    </i>
    <i>
      <x v="1414"/>
    </i>
    <i>
      <x v="1416"/>
    </i>
    <i>
      <x v="1421"/>
    </i>
    <i>
      <x v="1423"/>
    </i>
    <i>
      <x v="1427"/>
    </i>
    <i>
      <x v="1428"/>
    </i>
    <i>
      <x v="1432"/>
    </i>
    <i>
      <x v="1433"/>
    </i>
    <i>
      <x v="1436"/>
    </i>
    <i>
      <x v="1438"/>
    </i>
    <i>
      <x v="1441"/>
    </i>
    <i>
      <x v="1443"/>
    </i>
    <i>
      <x v="1445"/>
    </i>
    <i>
      <x v="1447"/>
    </i>
    <i>
      <x v="1449"/>
    </i>
    <i>
      <x v="1450"/>
    </i>
    <i>
      <x v="1452"/>
    </i>
    <i>
      <x v="1453"/>
    </i>
    <i>
      <x v="1457"/>
    </i>
    <i>
      <x v="1460"/>
    </i>
    <i>
      <x v="1461"/>
    </i>
    <i>
      <x v="1462"/>
    </i>
    <i>
      <x v="1463"/>
    </i>
    <i>
      <x v="1464"/>
    </i>
    <i>
      <x v="1465"/>
    </i>
    <i>
      <x v="1467"/>
    </i>
    <i>
      <x v="1471"/>
    </i>
    <i>
      <x v="1480"/>
    </i>
    <i>
      <x v="1481"/>
    </i>
    <i>
      <x v="1485"/>
    </i>
    <i>
      <x v="1491"/>
    </i>
    <i>
      <x v="1492"/>
    </i>
    <i>
      <x v="1498"/>
    </i>
    <i>
      <x v="1500"/>
    </i>
    <i>
      <x v="1501"/>
    </i>
    <i>
      <x v="1503"/>
    </i>
    <i>
      <x v="1504"/>
    </i>
    <i>
      <x v="1505"/>
    </i>
    <i>
      <x v="1510"/>
    </i>
    <i>
      <x v="1513"/>
    </i>
    <i>
      <x v="1524"/>
    </i>
    <i>
      <x v="1529"/>
    </i>
    <i>
      <x v="1531"/>
    </i>
    <i>
      <x v="1544"/>
    </i>
    <i>
      <x v="1546"/>
    </i>
    <i>
      <x v="1551"/>
    </i>
    <i>
      <x v="1555"/>
    </i>
    <i>
      <x v="1557"/>
    </i>
    <i>
      <x v="1558"/>
    </i>
    <i>
      <x v="1559"/>
    </i>
    <i>
      <x v="1562"/>
    </i>
    <i>
      <x v="1563"/>
    </i>
    <i>
      <x v="1564"/>
    </i>
    <i>
      <x v="1567"/>
    </i>
    <i>
      <x v="1571"/>
    </i>
    <i>
      <x v="1572"/>
    </i>
    <i>
      <x v="1573"/>
    </i>
    <i>
      <x v="1576"/>
    </i>
    <i>
      <x v="1578"/>
    </i>
    <i>
      <x v="1579"/>
    </i>
    <i>
      <x v="1581"/>
    </i>
    <i>
      <x v="1583"/>
    </i>
    <i>
      <x v="1588"/>
    </i>
    <i>
      <x v="1590"/>
    </i>
    <i>
      <x v="1591"/>
    </i>
    <i>
      <x v="1597"/>
    </i>
    <i>
      <x v="1598"/>
    </i>
    <i>
      <x v="1600"/>
    </i>
    <i>
      <x v="1605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20"/>
    </i>
    <i>
      <x v="1621"/>
    </i>
    <i>
      <x v="1624"/>
    </i>
    <i>
      <x v="1626"/>
    </i>
    <i>
      <x v="1627"/>
    </i>
    <i>
      <x v="1630"/>
    </i>
    <i>
      <x v="1633"/>
    </i>
    <i>
      <x v="1634"/>
    </i>
    <i>
      <x v="1636"/>
    </i>
    <i>
      <x v="1637"/>
    </i>
    <i>
      <x v="1639"/>
    </i>
    <i>
      <x v="1643"/>
    </i>
    <i>
      <x v="1647"/>
    </i>
    <i>
      <x v="1652"/>
    </i>
    <i>
      <x v="1665"/>
    </i>
    <i>
      <x v="1667"/>
    </i>
    <i>
      <x v="1668"/>
    </i>
    <i>
      <x v="1671"/>
    </i>
    <i>
      <x v="1672"/>
    </i>
    <i>
      <x v="1673"/>
    </i>
    <i>
      <x v="1675"/>
    </i>
    <i>
      <x v="1677"/>
    </i>
    <i>
      <x v="1679"/>
    </i>
    <i>
      <x v="1684"/>
    </i>
    <i>
      <x v="1686"/>
    </i>
    <i>
      <x v="1688"/>
    </i>
    <i>
      <x v="1692"/>
    </i>
    <i>
      <x v="1693"/>
    </i>
    <i>
      <x v="1695"/>
    </i>
    <i>
      <x v="1701"/>
    </i>
    <i>
      <x v="1703"/>
    </i>
    <i>
      <x v="1705"/>
    </i>
    <i>
      <x v="1707"/>
    </i>
    <i>
      <x v="1715"/>
    </i>
    <i>
      <x v="1721"/>
    </i>
    <i>
      <x v="1724"/>
    </i>
    <i>
      <x v="1725"/>
    </i>
    <i>
      <x v="1726"/>
    </i>
    <i>
      <x v="1730"/>
    </i>
    <i>
      <x v="1731"/>
    </i>
    <i>
      <x v="1735"/>
    </i>
    <i>
      <x v="1739"/>
    </i>
    <i>
      <x v="1745"/>
    </i>
    <i>
      <x v="1746"/>
    </i>
    <i>
      <x v="1747"/>
    </i>
    <i>
      <x v="1748"/>
    </i>
    <i>
      <x v="1753"/>
    </i>
    <i>
      <x v="1761"/>
    </i>
    <i>
      <x v="1767"/>
    </i>
    <i>
      <x v="1768"/>
    </i>
    <i>
      <x v="1769"/>
    </i>
    <i>
      <x v="1770"/>
    </i>
    <i>
      <x v="1772"/>
    </i>
    <i>
      <x v="1773"/>
    </i>
    <i>
      <x v="1775"/>
    </i>
    <i>
      <x v="1779"/>
    </i>
    <i>
      <x v="1780"/>
    </i>
    <i>
      <x v="1784"/>
    </i>
    <i>
      <x v="1786"/>
    </i>
    <i>
      <x v="1788"/>
    </i>
    <i>
      <x v="1795"/>
    </i>
    <i>
      <x v="1796"/>
    </i>
    <i>
      <x v="1798"/>
    </i>
    <i>
      <x v="1799"/>
    </i>
    <i>
      <x v="1804"/>
    </i>
    <i>
      <x v="1806"/>
    </i>
    <i>
      <x v="1807"/>
    </i>
    <i>
      <x v="1811"/>
    </i>
    <i>
      <x v="1815"/>
    </i>
    <i>
      <x v="1816"/>
    </i>
    <i>
      <x v="1822"/>
    </i>
    <i>
      <x v="1826"/>
    </i>
    <i>
      <x v="1828"/>
    </i>
    <i>
      <x v="1830"/>
    </i>
    <i>
      <x v="1832"/>
    </i>
    <i>
      <x v="1838"/>
    </i>
    <i>
      <x v="1840"/>
    </i>
    <i>
      <x v="1844"/>
    </i>
    <i>
      <x v="1847"/>
    </i>
    <i>
      <x v="1852"/>
    </i>
    <i>
      <x v="1858"/>
    </i>
    <i>
      <x v="1859"/>
    </i>
    <i>
      <x v="1861"/>
    </i>
    <i>
      <x v="1862"/>
    </i>
    <i>
      <x v="1864"/>
    </i>
    <i>
      <x v="1866"/>
    </i>
    <i>
      <x v="1875"/>
    </i>
    <i>
      <x v="1880"/>
    </i>
    <i>
      <x v="1881"/>
    </i>
    <i>
      <x v="1883"/>
    </i>
    <i>
      <x v="1885"/>
    </i>
    <i>
      <x v="1889"/>
    </i>
    <i>
      <x v="1891"/>
    </i>
    <i>
      <x v="1892"/>
    </i>
    <i>
      <x v="1900"/>
    </i>
    <i>
      <x v="1903"/>
    </i>
    <i>
      <x v="1906"/>
    </i>
    <i>
      <x v="1907"/>
    </i>
    <i>
      <x v="1909"/>
    </i>
    <i>
      <x v="1910"/>
    </i>
    <i>
      <x v="1911"/>
    </i>
    <i>
      <x v="1917"/>
    </i>
    <i>
      <x v="1921"/>
    </i>
    <i>
      <x v="1928"/>
    </i>
    <i>
      <x v="1936"/>
    </i>
    <i>
      <x v="1938"/>
    </i>
    <i>
      <x v="1947"/>
    </i>
    <i>
      <x v="1951"/>
    </i>
    <i>
      <x v="1955"/>
    </i>
    <i>
      <x v="1956"/>
    </i>
    <i>
      <x v="1957"/>
    </i>
    <i>
      <x v="1959"/>
    </i>
    <i>
      <x v="1972"/>
    </i>
    <i>
      <x v="1973"/>
    </i>
    <i>
      <x v="1978"/>
    </i>
    <i>
      <x v="1980"/>
    </i>
    <i>
      <x v="1982"/>
    </i>
    <i>
      <x v="1990"/>
    </i>
    <i>
      <x v="1994"/>
    </i>
    <i>
      <x v="1995"/>
    </i>
    <i>
      <x v="1996"/>
    </i>
    <i>
      <x v="1997"/>
    </i>
    <i>
      <x v="1998"/>
    </i>
    <i>
      <x v="2000"/>
    </i>
    <i>
      <x v="2015"/>
    </i>
    <i>
      <x v="2020"/>
    </i>
    <i>
      <x v="2024"/>
    </i>
    <i>
      <x v="2026"/>
    </i>
    <i>
      <x v="2027"/>
    </i>
    <i>
      <x v="2033"/>
    </i>
    <i>
      <x v="2039"/>
    </i>
    <i>
      <x v="2043"/>
    </i>
    <i>
      <x v="2045"/>
    </i>
    <i>
      <x v="2046"/>
    </i>
    <i>
      <x v="2047"/>
    </i>
    <i>
      <x v="2049"/>
    </i>
    <i>
      <x v="2051"/>
    </i>
    <i>
      <x v="2053"/>
    </i>
    <i>
      <x v="2062"/>
    </i>
    <i>
      <x v="2066"/>
    </i>
    <i>
      <x v="2071"/>
    </i>
    <i>
      <x v="2072"/>
    </i>
    <i>
      <x v="2074"/>
    </i>
    <i>
      <x v="2075"/>
    </i>
    <i>
      <x v="2081"/>
    </i>
    <i>
      <x v="2082"/>
    </i>
    <i>
      <x v="2083"/>
    </i>
    <i>
      <x v="2094"/>
    </i>
    <i>
      <x v="2096"/>
    </i>
    <i>
      <x v="2098"/>
    </i>
    <i>
      <x v="2104"/>
    </i>
    <i>
      <x v="2105"/>
    </i>
    <i>
      <x v="2110"/>
    </i>
    <i>
      <x v="2111"/>
    </i>
    <i>
      <x v="2112"/>
    </i>
    <i>
      <x v="2115"/>
    </i>
    <i>
      <x v="2120"/>
    </i>
    <i>
      <x v="2126"/>
    </i>
    <i>
      <x v="2128"/>
    </i>
    <i>
      <x v="2129"/>
    </i>
    <i>
      <x v="2130"/>
    </i>
    <i>
      <x v="2131"/>
    </i>
    <i>
      <x v="2134"/>
    </i>
    <i>
      <x v="2143"/>
    </i>
    <i>
      <x v="2145"/>
    </i>
    <i>
      <x v="2146"/>
    </i>
    <i>
      <x v="2147"/>
    </i>
    <i>
      <x v="2148"/>
    </i>
    <i>
      <x v="2151"/>
    </i>
    <i>
      <x v="2154"/>
    </i>
    <i>
      <x v="2156"/>
    </i>
    <i>
      <x v="2157"/>
    </i>
    <i>
      <x v="2160"/>
    </i>
    <i>
      <x v="2164"/>
    </i>
    <i>
      <x v="2165"/>
    </i>
    <i>
      <x v="2168"/>
    </i>
    <i>
      <x v="2169"/>
    </i>
    <i>
      <x v="2170"/>
    </i>
    <i>
      <x v="2177"/>
    </i>
    <i>
      <x v="2178"/>
    </i>
    <i>
      <x v="2179"/>
    </i>
    <i>
      <x v="2181"/>
    </i>
    <i>
      <x v="2184"/>
    </i>
    <i>
      <x v="2185"/>
    </i>
    <i>
      <x v="2186"/>
    </i>
    <i>
      <x v="2188"/>
    </i>
    <i>
      <x v="2193"/>
    </i>
    <i>
      <x v="2197"/>
    </i>
    <i>
      <x v="2202"/>
    </i>
    <i>
      <x v="2205"/>
    </i>
    <i>
      <x v="2207"/>
    </i>
    <i>
      <x v="2209"/>
    </i>
    <i>
      <x v="2221"/>
    </i>
    <i>
      <x v="2223"/>
    </i>
    <i>
      <x v="2225"/>
    </i>
    <i>
      <x v="2228"/>
    </i>
    <i>
      <x v="2233"/>
    </i>
    <i>
      <x v="2236"/>
    </i>
    <i>
      <x v="2242"/>
    </i>
    <i>
      <x v="2253"/>
    </i>
    <i>
      <x v="2258"/>
    </i>
    <i>
      <x v="2263"/>
    </i>
    <i>
      <x v="2272"/>
    </i>
    <i>
      <x v="2273"/>
    </i>
    <i>
      <x v="2276"/>
    </i>
    <i>
      <x v="2291"/>
    </i>
    <i>
      <x v="2292"/>
    </i>
    <i>
      <x v="2294"/>
    </i>
    <i>
      <x v="2299"/>
    </i>
    <i>
      <x v="2303"/>
    </i>
    <i>
      <x v="2318"/>
    </i>
    <i>
      <x v="2326"/>
    </i>
    <i>
      <x v="2330"/>
    </i>
    <i>
      <x v="2334"/>
    </i>
    <i>
      <x v="2344"/>
    </i>
    <i>
      <x v="2354"/>
    </i>
    <i>
      <x v="2377"/>
    </i>
    <i>
      <x v="2378"/>
    </i>
    <i>
      <x v="2388"/>
    </i>
    <i>
      <x v="2389"/>
    </i>
    <i>
      <x v="2392"/>
    </i>
    <i>
      <x v="2395"/>
    </i>
    <i>
      <x v="2400"/>
    </i>
    <i>
      <x v="2402"/>
    </i>
    <i>
      <x v="2404"/>
    </i>
    <i>
      <x v="2405"/>
    </i>
    <i>
      <x v="2410"/>
    </i>
    <i>
      <x v="2415"/>
    </i>
    <i>
      <x v="2416"/>
    </i>
    <i>
      <x v="2417"/>
    </i>
    <i>
      <x v="2423"/>
    </i>
    <i>
      <x v="2426"/>
    </i>
    <i>
      <x v="2427"/>
    </i>
    <i>
      <x v="2433"/>
    </i>
    <i>
      <x v="2461"/>
    </i>
    <i>
      <x v="2462"/>
    </i>
    <i>
      <x v="2469"/>
    </i>
    <i>
      <x v="2470"/>
    </i>
    <i>
      <x v="2472"/>
    </i>
    <i>
      <x v="2476"/>
    </i>
    <i>
      <x v="2483"/>
    </i>
    <i>
      <x v="2495"/>
    </i>
    <i>
      <x v="2509"/>
    </i>
    <i>
      <x v="2512"/>
    </i>
    <i>
      <x v="2523"/>
    </i>
    <i>
      <x v="2532"/>
    </i>
    <i>
      <x v="2535"/>
    </i>
    <i>
      <x v="2536"/>
    </i>
    <i>
      <x v="2537"/>
    </i>
    <i>
      <x v="2542"/>
    </i>
    <i>
      <x v="2548"/>
    </i>
    <i>
      <x v="2549"/>
    </i>
    <i>
      <x v="2551"/>
    </i>
    <i>
      <x v="2553"/>
    </i>
    <i>
      <x v="2554"/>
    </i>
    <i>
      <x v="2556"/>
    </i>
    <i>
      <x v="2557"/>
    </i>
    <i>
      <x v="2558"/>
    </i>
    <i>
      <x v="2566"/>
    </i>
    <i>
      <x v="2567"/>
    </i>
    <i>
      <x v="2569"/>
    </i>
    <i>
      <x v="2572"/>
    </i>
    <i>
      <x v="2573"/>
    </i>
    <i>
      <x v="2574"/>
    </i>
    <i>
      <x v="2576"/>
    </i>
    <i>
      <x v="2577"/>
    </i>
    <i>
      <x v="2578"/>
    </i>
    <i>
      <x v="2579"/>
    </i>
    <i>
      <x v="2580"/>
    </i>
    <i>
      <x v="2583"/>
    </i>
    <i>
      <x v="2584"/>
    </i>
    <i>
      <x v="2597"/>
    </i>
    <i>
      <x v="2598"/>
    </i>
    <i>
      <x v="2600"/>
    </i>
    <i>
      <x v="2602"/>
    </i>
    <i>
      <x v="2604"/>
    </i>
    <i>
      <x v="2610"/>
    </i>
    <i>
      <x v="2611"/>
    </i>
    <i>
      <x v="2612"/>
    </i>
    <i>
      <x v="2615"/>
    </i>
    <i>
      <x v="2617"/>
    </i>
    <i>
      <x v="2618"/>
    </i>
    <i>
      <x v="2619"/>
    </i>
    <i>
      <x v="2621"/>
    </i>
    <i>
      <x v="2623"/>
    </i>
    <i>
      <x v="2626"/>
    </i>
    <i>
      <x v="2630"/>
    </i>
    <i>
      <x v="2631"/>
    </i>
    <i>
      <x v="2632"/>
    </i>
    <i>
      <x v="2633"/>
    </i>
    <i>
      <x v="2637"/>
    </i>
    <i>
      <x v="2638"/>
    </i>
    <i>
      <x v="2643"/>
    </i>
    <i>
      <x v="2646"/>
    </i>
    <i>
      <x v="2648"/>
    </i>
    <i>
      <x v="2650"/>
    </i>
    <i>
      <x v="2651"/>
    </i>
    <i>
      <x v="2652"/>
    </i>
    <i>
      <x v="2653"/>
    </i>
    <i>
      <x v="2657"/>
    </i>
    <i>
      <x v="2661"/>
    </i>
    <i>
      <x v="2662"/>
    </i>
    <i>
      <x v="2663"/>
    </i>
    <i>
      <x v="2665"/>
    </i>
    <i>
      <x v="2667"/>
    </i>
    <i>
      <x v="2668"/>
    </i>
    <i>
      <x v="2669"/>
    </i>
    <i>
      <x v="2671"/>
    </i>
    <i>
      <x v="2673"/>
    </i>
    <i>
      <x v="2674"/>
    </i>
    <i>
      <x v="2675"/>
    </i>
    <i>
      <x v="2676"/>
    </i>
    <i>
      <x v="2677"/>
    </i>
    <i>
      <x v="2679"/>
    </i>
    <i>
      <x v="2684"/>
    </i>
    <i>
      <x v="2685"/>
    </i>
    <i>
      <x v="2687"/>
    </i>
    <i>
      <x v="2698"/>
    </i>
    <i>
      <x v="2699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5"/>
    </i>
    <i>
      <x v="2723"/>
    </i>
    <i>
      <x v="2726"/>
    </i>
    <i>
      <x v="2731"/>
    </i>
    <i>
      <x v="2733"/>
    </i>
    <i>
      <x v="2735"/>
    </i>
    <i>
      <x v="2738"/>
    </i>
    <i>
      <x v="2740"/>
    </i>
    <i>
      <x v="2741"/>
    </i>
    <i>
      <x v="2751"/>
    </i>
    <i>
      <x v="2752"/>
    </i>
    <i>
      <x v="2762"/>
    </i>
    <i>
      <x v="2763"/>
    </i>
    <i>
      <x v="2764"/>
    </i>
    <i>
      <x v="2766"/>
    </i>
    <i>
      <x v="2773"/>
    </i>
    <i>
      <x v="2774"/>
    </i>
    <i>
      <x v="2775"/>
    </i>
    <i>
      <x v="2776"/>
    </i>
    <i>
      <x v="2784"/>
    </i>
    <i>
      <x v="2785"/>
    </i>
    <i>
      <x v="2787"/>
    </i>
    <i>
      <x v="2790"/>
    </i>
    <i>
      <x v="2791"/>
    </i>
    <i>
      <x v="2792"/>
    </i>
    <i>
      <x v="2794"/>
    </i>
    <i>
      <x v="2796"/>
    </i>
    <i>
      <x v="2797"/>
    </i>
    <i>
      <x v="2800"/>
    </i>
    <i>
      <x v="2804"/>
    </i>
    <i>
      <x v="2806"/>
    </i>
    <i>
      <x v="2812"/>
    </i>
    <i>
      <x v="2821"/>
    </i>
    <i>
      <x v="2822"/>
    </i>
    <i>
      <x v="2825"/>
    </i>
    <i>
      <x v="2826"/>
    </i>
    <i>
      <x v="2830"/>
    </i>
    <i>
      <x v="2835"/>
    </i>
    <i>
      <x v="2838"/>
    </i>
    <i>
      <x v="2840"/>
    </i>
    <i>
      <x v="2842"/>
    </i>
    <i>
      <x v="2843"/>
    </i>
    <i>
      <x v="2844"/>
    </i>
    <i>
      <x v="2846"/>
    </i>
    <i>
      <x v="2849"/>
    </i>
    <i>
      <x v="2851"/>
    </i>
    <i>
      <x v="2853"/>
    </i>
    <i>
      <x v="2856"/>
    </i>
    <i>
      <x v="2857"/>
    </i>
    <i>
      <x v="2858"/>
    </i>
    <i>
      <x v="2864"/>
    </i>
    <i>
      <x v="2865"/>
    </i>
    <i>
      <x v="2866"/>
    </i>
    <i>
      <x v="2868"/>
    </i>
    <i>
      <x v="2871"/>
    </i>
    <i>
      <x v="2876"/>
    </i>
    <i>
      <x v="2877"/>
    </i>
    <i>
      <x v="2883"/>
    </i>
    <i>
      <x v="2889"/>
    </i>
    <i>
      <x v="2891"/>
    </i>
    <i>
      <x v="2894"/>
    </i>
    <i>
      <x v="2895"/>
    </i>
    <i>
      <x v="2898"/>
    </i>
    <i>
      <x v="2900"/>
    </i>
    <i>
      <x v="2902"/>
    </i>
    <i>
      <x v="2903"/>
    </i>
    <i>
      <x v="2907"/>
    </i>
    <i>
      <x v="2909"/>
    </i>
    <i>
      <x v="2911"/>
    </i>
    <i>
      <x v="2914"/>
    </i>
    <i>
      <x v="2915"/>
    </i>
    <i>
      <x v="2919"/>
    </i>
    <i>
      <x v="2924"/>
    </i>
    <i>
      <x v="2929"/>
    </i>
    <i>
      <x v="2931"/>
    </i>
    <i>
      <x v="2932"/>
    </i>
    <i>
      <x v="2936"/>
    </i>
    <i>
      <x v="2940"/>
    </i>
    <i>
      <x v="2943"/>
    </i>
    <i>
      <x v="2950"/>
    </i>
    <i>
      <x v="2952"/>
    </i>
    <i>
      <x v="2956"/>
    </i>
    <i>
      <x v="2964"/>
    </i>
    <i>
      <x v="2966"/>
    </i>
    <i>
      <x v="2969"/>
    </i>
    <i>
      <x v="2975"/>
    </i>
    <i>
      <x v="2978"/>
    </i>
    <i>
      <x v="2979"/>
    </i>
    <i>
      <x v="2983"/>
    </i>
    <i t="grand">
      <x/>
    </i>
  </rowItems>
  <colItems count="1">
    <i/>
  </colItems>
  <pageFields count="1">
    <pageField fld="5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B5D2C9-7A6B-4F84-B303-69E5B0FE488C}" name="TablaDinámica4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B955" firstHeaderRow="1" firstDataRow="1" firstDataCol="1" rowPageCount="1" colPageCount="1"/>
  <pivotFields count="11">
    <pivotField axis="axisRow" showAll="0">
      <items count="2985">
        <item x="2982"/>
        <item x="2983"/>
        <item x="2978"/>
        <item x="32"/>
        <item x="2980"/>
        <item x="2399"/>
        <item x="2981"/>
        <item x="2979"/>
        <item x="1569"/>
        <item x="1834"/>
        <item x="120"/>
        <item x="435"/>
        <item x="2227"/>
        <item x="374"/>
        <item x="1972"/>
        <item x="2935"/>
        <item x="2542"/>
        <item x="2030"/>
        <item x="1198"/>
        <item x="1744"/>
        <item x="1504"/>
        <item x="113"/>
        <item x="1366"/>
        <item x="1102"/>
        <item x="2416"/>
        <item x="2284"/>
        <item x="341"/>
        <item x="545"/>
        <item x="195"/>
        <item x="2285"/>
        <item x="852"/>
        <item x="1334"/>
        <item x="2347"/>
        <item x="1194"/>
        <item x="853"/>
        <item x="19"/>
        <item x="857"/>
        <item x="1131"/>
        <item x="2345"/>
        <item x="2377"/>
        <item x="272"/>
        <item x="1501"/>
        <item x="1385"/>
        <item x="755"/>
        <item x="2834"/>
        <item x="2376"/>
        <item x="1397"/>
        <item x="1538"/>
        <item x="1662"/>
        <item x="2062"/>
        <item x="1433"/>
        <item x="1295"/>
        <item x="1399"/>
        <item x="778"/>
        <item x="166"/>
        <item x="2386"/>
        <item x="779"/>
        <item x="2553"/>
        <item x="2537"/>
        <item x="1147"/>
        <item x="1583"/>
        <item x="2064"/>
        <item x="2955"/>
        <item x="1893"/>
        <item x="1585"/>
        <item x="671"/>
        <item x="1154"/>
        <item x="805"/>
        <item x="1438"/>
        <item x="2900"/>
        <item x="2198"/>
        <item x="2877"/>
        <item x="1062"/>
        <item x="2374"/>
        <item x="1429"/>
        <item x="1815"/>
        <item x="772"/>
        <item x="783"/>
        <item x="312"/>
        <item x="1586"/>
        <item x="2124"/>
        <item x="1587"/>
        <item x="15"/>
        <item x="950"/>
        <item x="2556"/>
        <item x="112"/>
        <item x="23"/>
        <item x="951"/>
        <item x="16"/>
        <item x="17"/>
        <item x="174"/>
        <item x="2414"/>
        <item x="2544"/>
        <item x="1499"/>
        <item x="2557"/>
        <item x="109"/>
        <item x="1775"/>
        <item x="2779"/>
        <item x="1795"/>
        <item x="110"/>
        <item x="633"/>
        <item x="397"/>
        <item x="114"/>
        <item x="1101"/>
        <item x="2364"/>
        <item x="1384"/>
        <item x="2554"/>
        <item x="18"/>
        <item x="398"/>
        <item x="111"/>
        <item x="1195"/>
        <item x="634"/>
        <item x="854"/>
        <item x="754"/>
        <item x="20"/>
        <item x="546"/>
        <item x="2936"/>
        <item x="2031"/>
        <item x="2481"/>
        <item x="21"/>
        <item x="1796"/>
        <item x="894"/>
        <item x="436"/>
        <item x="1973"/>
        <item x="895"/>
        <item x="2780"/>
        <item x="2790"/>
        <item x="437"/>
        <item x="1500"/>
        <item x="2126"/>
        <item x="1196"/>
        <item x="1738"/>
        <item x="2543"/>
        <item x="1040"/>
        <item x="2827"/>
        <item x="2828"/>
        <item x="1502"/>
        <item x="1103"/>
        <item x="1197"/>
        <item x="1454"/>
        <item x="2032"/>
        <item x="2966"/>
        <item x="131"/>
        <item x="2255"/>
        <item x="2809"/>
        <item x="1905"/>
        <item x="1508"/>
        <item x="2425"/>
        <item x="1511"/>
        <item x="2014"/>
        <item x="156"/>
        <item x="407"/>
        <item x="2104"/>
        <item x="652"/>
        <item x="1509"/>
        <item x="2306"/>
        <item x="2036"/>
        <item x="592"/>
        <item x="1464"/>
        <item x="417"/>
        <item x="1389"/>
        <item x="1341"/>
        <item x="821"/>
        <item x="117"/>
        <item x="923"/>
        <item x="2380"/>
        <item x="352"/>
        <item x="1044"/>
        <item x="132"/>
        <item x="2596"/>
        <item x="1622"/>
        <item x="77"/>
        <item x="864"/>
        <item x="1993"/>
        <item x="1353"/>
        <item x="1371"/>
        <item x="2969"/>
        <item x="1053"/>
        <item x="554"/>
        <item x="1846"/>
        <item x="863"/>
        <item x="2570"/>
        <item x="2564"/>
        <item x="2565"/>
        <item x="1507"/>
        <item x="1590"/>
        <item x="859"/>
        <item x="2508"/>
        <item x="393"/>
        <item x="1991"/>
        <item x="1944"/>
        <item x="1520"/>
        <item x="929"/>
        <item x="2217"/>
        <item x="2291"/>
        <item x="1571"/>
        <item x="2831"/>
        <item x="1620"/>
        <item x="1378"/>
        <item x="420"/>
        <item x="283"/>
        <item x="1847"/>
        <item x="1572"/>
        <item x="2467"/>
        <item x="2258"/>
        <item x="1910"/>
        <item x="738"/>
        <item x="2753"/>
        <item x="1250"/>
        <item x="2602"/>
        <item x="258"/>
        <item x="909"/>
        <item x="2110"/>
        <item x="2754"/>
        <item x="1624"/>
        <item x="1487"/>
        <item x="549"/>
        <item x="2468"/>
        <item x="1941"/>
        <item x="2944"/>
        <item x="2639"/>
        <item x="932"/>
        <item x="2640"/>
        <item x="2153"/>
        <item x="61"/>
        <item x="2722"/>
        <item x="1961"/>
        <item x="594"/>
        <item x="396"/>
        <item x="2214"/>
        <item x="85"/>
        <item x="1274"/>
        <item x="2796"/>
        <item x="733"/>
        <item x="344"/>
        <item x="2129"/>
        <item x="205"/>
        <item x="2740"/>
        <item x="2741"/>
        <item x="1109"/>
        <item x="2551"/>
        <item x="708"/>
        <item x="2921"/>
        <item x="2041"/>
        <item x="454"/>
        <item x="2924"/>
        <item x="455"/>
        <item x="287"/>
        <item x="1672"/>
        <item x="2426"/>
        <item x="377"/>
        <item x="1661"/>
        <item x="409"/>
        <item x="2636"/>
        <item x="2847"/>
        <item x="880"/>
        <item x="441"/>
        <item x="1800"/>
        <item x="1408"/>
        <item x="1539"/>
        <item x="2215"/>
        <item x="1812"/>
        <item x="2878"/>
        <item x="992"/>
        <item x="2122"/>
        <item x="253"/>
        <item x="1310"/>
        <item x="1467"/>
        <item x="529"/>
        <item x="2849"/>
        <item x="590"/>
        <item x="97"/>
        <item x="442"/>
        <item x="2808"/>
        <item x="1308"/>
        <item x="345"/>
        <item x="351"/>
        <item x="685"/>
        <item x="76"/>
        <item x="1693"/>
        <item x="2748"/>
        <item x="1390"/>
        <item x="485"/>
        <item x="2463"/>
        <item x="2637"/>
        <item x="1115"/>
        <item x="2157"/>
        <item x="2595"/>
        <item x="2077"/>
        <item x="2648"/>
        <item x="2967"/>
        <item x="98"/>
        <item x="591"/>
        <item x="1081"/>
        <item x="2548"/>
        <item x="530"/>
        <item x="2505"/>
        <item x="1485"/>
        <item x="408"/>
        <item x="1942"/>
        <item x="2810"/>
        <item x="2106"/>
        <item x="2506"/>
        <item x="391"/>
        <item x="2105"/>
        <item x="1906"/>
        <item x="1784"/>
        <item x="2307"/>
        <item x="531"/>
        <item x="606"/>
        <item x="1907"/>
        <item x="418"/>
        <item x="1958"/>
        <item x="2254"/>
        <item x="2671"/>
        <item x="486"/>
        <item x="906"/>
        <item x="2968"/>
        <item x="2749"/>
        <item x="734"/>
        <item x="2504"/>
        <item x="2811"/>
        <item x="1694"/>
        <item x="1165"/>
        <item x="2807"/>
        <item x="881"/>
        <item x="1673"/>
        <item x="822"/>
        <item x="1554"/>
        <item x="1133"/>
        <item x="201"/>
        <item x="26"/>
        <item x="1132"/>
        <item x="1555"/>
        <item x="487"/>
        <item x="2485"/>
        <item x="2750"/>
        <item x="2672"/>
        <item x="823"/>
        <item x="824"/>
        <item x="78"/>
        <item x="1556"/>
        <item x="1758"/>
        <item x="532"/>
        <item x="2597"/>
        <item x="1486"/>
        <item x="2850"/>
        <item x="2970"/>
        <item x="735"/>
        <item x="2851"/>
        <item x="825"/>
        <item x="1695"/>
        <item x="2751"/>
        <item x="1519"/>
        <item x="2507"/>
        <item x="2308"/>
        <item x="254"/>
        <item x="1959"/>
        <item x="2598"/>
        <item x="2638"/>
        <item x="907"/>
        <item x="419"/>
        <item x="533"/>
        <item x="2107"/>
        <item x="353"/>
        <item x="1943"/>
        <item x="1696"/>
        <item x="2719"/>
        <item x="79"/>
        <item x="1908"/>
        <item x="1354"/>
        <item x="392"/>
        <item x="2216"/>
        <item x="2571"/>
        <item x="2673"/>
        <item x="2309"/>
        <item x="2752"/>
        <item x="2852"/>
        <item x="2846"/>
        <item x="255"/>
        <item x="2599"/>
        <item x="1019"/>
        <item x="57"/>
        <item x="1377"/>
        <item x="1311"/>
        <item x="1909"/>
        <item x="2853"/>
        <item x="2854"/>
        <item x="919"/>
        <item x="2735"/>
        <item x="2108"/>
        <item x="882"/>
        <item x="488"/>
        <item x="2971"/>
        <item x="2256"/>
        <item x="2649"/>
        <item x="2720"/>
        <item x="607"/>
        <item x="2972"/>
        <item x="354"/>
        <item x="826"/>
        <item x="2464"/>
        <item x="608"/>
        <item x="489"/>
        <item x="827"/>
        <item x="394"/>
        <item x="2509"/>
        <item x="80"/>
        <item x="1020"/>
        <item x="1002"/>
        <item x="81"/>
        <item x="99"/>
        <item x="2674"/>
        <item x="1116"/>
        <item x="490"/>
        <item x="1785"/>
        <item x="1021"/>
        <item x="395"/>
        <item x="828"/>
        <item x="1003"/>
        <item x="2310"/>
        <item x="322"/>
        <item x="2973"/>
        <item x="2465"/>
        <item x="1249"/>
        <item x="256"/>
        <item x="1623"/>
        <item x="355"/>
        <item x="323"/>
        <item x="356"/>
        <item x="2078"/>
        <item x="2257"/>
        <item x="2600"/>
        <item x="609"/>
        <item x="2829"/>
        <item x="2812"/>
        <item x="82"/>
        <item x="2218"/>
        <item x="1697"/>
        <item x="2675"/>
        <item x="2601"/>
        <item x="908"/>
        <item x="736"/>
        <item x="1759"/>
        <item x="737"/>
        <item x="59"/>
        <item x="2466"/>
        <item x="883"/>
        <item x="1312"/>
        <item x="1610"/>
        <item x="2109"/>
        <item x="2015"/>
        <item x="324"/>
        <item x="257"/>
        <item x="829"/>
        <item x="1611"/>
        <item x="357"/>
        <item x="1960"/>
        <item x="2259"/>
        <item x="2311"/>
        <item x="491"/>
        <item x="2312"/>
        <item x="1313"/>
        <item x="1166"/>
        <item x="1379"/>
        <item x="1698"/>
        <item x="2855"/>
        <item x="2813"/>
        <item x="1699"/>
        <item x="1314"/>
        <item x="2833"/>
        <item x="1022"/>
        <item x="1082"/>
        <item x="1117"/>
        <item x="2260"/>
        <item x="2261"/>
        <item x="2152"/>
        <item x="593"/>
        <item x="325"/>
        <item x="1488"/>
        <item x="2262"/>
        <item x="2676"/>
        <item x="2856"/>
        <item x="1760"/>
        <item x="2510"/>
        <item x="1612"/>
        <item x="2016"/>
        <item x="1700"/>
        <item x="2721"/>
        <item x="259"/>
        <item x="2263"/>
        <item x="1510"/>
        <item x="1489"/>
        <item x="83"/>
        <item x="1251"/>
        <item x="2755"/>
        <item x="610"/>
        <item x="2857"/>
        <item x="611"/>
        <item x="2974"/>
        <item x="492"/>
        <item x="84"/>
        <item x="924"/>
        <item x="60"/>
        <item x="612"/>
        <item x="421"/>
        <item x="1167"/>
        <item x="358"/>
        <item x="157"/>
        <item x="1380"/>
        <item x="2264"/>
        <item x="158"/>
        <item x="758"/>
        <item x="1168"/>
        <item x="200"/>
        <item x="595"/>
        <item x="1083"/>
        <item x="613"/>
        <item x="534"/>
        <item x="1521"/>
        <item x="2723"/>
        <item x="493"/>
        <item x="1613"/>
        <item x="326"/>
        <item x="133"/>
        <item x="830"/>
        <item x="401"/>
        <item x="1841"/>
        <item x="566"/>
        <item x="1505"/>
        <item x="550"/>
        <item x="2694"/>
        <item x="2677"/>
        <item x="494"/>
        <item x="2756"/>
        <item x="422"/>
        <item x="1023"/>
        <item x="2219"/>
        <item x="1761"/>
        <item x="2154"/>
        <item x="1004"/>
        <item x="614"/>
        <item x="118"/>
        <item x="2724"/>
        <item x="2265"/>
        <item x="910"/>
        <item x="2488"/>
        <item x="960"/>
        <item x="359"/>
        <item x="1355"/>
        <item x="1315"/>
        <item x="931"/>
        <item x="2038"/>
        <item x="1210"/>
        <item x="1573"/>
        <item x="1045"/>
        <item x="653"/>
        <item x="1372"/>
        <item x="1833"/>
        <item x="958"/>
        <item x="1392"/>
        <item x="1994"/>
        <item x="2550"/>
        <item x="450"/>
        <item x="2552"/>
        <item x="562"/>
        <item x="2943"/>
        <item x="1878"/>
        <item x="933"/>
        <item x="558"/>
        <item x="2353"/>
        <item x="963"/>
        <item x="1263"/>
        <item x="568"/>
        <item x="172"/>
        <item x="2357"/>
        <item x="964"/>
        <item x="1066"/>
        <item x="379"/>
        <item x="936"/>
        <item x="1533"/>
        <item x="2788"/>
        <item x="1593"/>
        <item x="1055"/>
        <item x="1998"/>
        <item x="709"/>
        <item x="2438"/>
        <item x="2881"/>
        <item x="710"/>
        <item x="937"/>
        <item x="2880"/>
        <item x="1838"/>
        <item x="2922"/>
        <item x="1067"/>
        <item x="176"/>
        <item x="774"/>
        <item x="2883"/>
        <item x="2043"/>
        <item x="2670"/>
        <item x="1442"/>
        <item x="211"/>
        <item x="212"/>
        <item x="1282"/>
        <item x="2042"/>
        <item x="711"/>
        <item x="1839"/>
        <item x="979"/>
        <item x="2044"/>
        <item x="1575"/>
        <item x="1882"/>
        <item x="775"/>
        <item x="1223"/>
        <item x="1609"/>
        <item x="1224"/>
        <item x="2331"/>
        <item x="1057"/>
        <item x="1405"/>
        <item x="2115"/>
        <item x="1226"/>
        <item x="2191"/>
        <item x="229"/>
        <item x="210"/>
        <item x="716"/>
        <item x="1468"/>
        <item x="982"/>
        <item x="784"/>
        <item x="2889"/>
        <item x="1654"/>
        <item x="1808"/>
        <item x="382"/>
        <item x="983"/>
        <item x="2886"/>
        <item x="1278"/>
        <item x="2428"/>
        <item x="795"/>
        <item x="230"/>
        <item x="163"/>
        <item x="290"/>
        <item x="2440"/>
        <item x="763"/>
        <item x="390"/>
        <item x="2447"/>
        <item x="984"/>
        <item x="2441"/>
        <item x="2117"/>
        <item x="940"/>
        <item x="661"/>
        <item x="2138"/>
        <item x="232"/>
        <item x="2442"/>
        <item x="182"/>
        <item x="2283"/>
        <item x="383"/>
        <item x="764"/>
        <item x="1656"/>
        <item x="1071"/>
        <item x="786"/>
        <item x="2430"/>
        <item x="1888"/>
        <item x="217"/>
        <item x="662"/>
        <item x="2699"/>
        <item x="2076"/>
        <item x="1657"/>
        <item x="1885"/>
        <item x="2930"/>
        <item x="234"/>
        <item x="2929"/>
        <item x="1867"/>
        <item x="1809"/>
        <item x="1058"/>
        <item x="2572"/>
        <item x="291"/>
        <item x="1927"/>
        <item x="233"/>
        <item x="2492"/>
        <item x="1638"/>
        <item x="1577"/>
        <item x="1658"/>
        <item x="985"/>
        <item x="1595"/>
        <item x="1821"/>
        <item x="235"/>
        <item x="968"/>
        <item x="942"/>
        <item x="2449"/>
        <item x="2448"/>
        <item x="1889"/>
        <item x="1866"/>
        <item x="718"/>
        <item x="986"/>
        <item x="664"/>
        <item x="2891"/>
        <item x="1578"/>
        <item x="183"/>
        <item x="972"/>
        <item x="1641"/>
        <item x="2892"/>
        <item x="563"/>
        <item x="2118"/>
        <item x="2432"/>
        <item x="987"/>
        <item x="2450"/>
        <item x="2050"/>
        <item x="460"/>
        <item x="2443"/>
        <item x="797"/>
        <item x="219"/>
        <item x="1286"/>
        <item x="2060"/>
        <item x="1625"/>
        <item x="1756"/>
        <item x="2958"/>
        <item x="1644"/>
        <item x="2059"/>
        <item x="2335"/>
        <item x="1432"/>
        <item x="1422"/>
        <item x="2893"/>
        <item x="304"/>
        <item x="184"/>
        <item x="1663"/>
        <item x="1660"/>
        <item x="2366"/>
        <item x="2535"/>
        <item x="799"/>
        <item x="1407"/>
        <item x="777"/>
        <item x="2365"/>
        <item x="185"/>
        <item x="576"/>
        <item x="719"/>
        <item x="1423"/>
        <item x="946"/>
        <item x="2121"/>
        <item x="246"/>
        <item x="1470"/>
        <item x="1825"/>
        <item x="1430"/>
        <item x="294"/>
        <item x="788"/>
        <item x="384"/>
        <item x="2704"/>
        <item x="789"/>
        <item x="2534"/>
        <item x="462"/>
        <item x="665"/>
        <item x="2533"/>
        <item x="1856"/>
        <item x="236"/>
        <item x="1424"/>
        <item x="2367"/>
        <item x="1646"/>
        <item x="2454"/>
        <item x="945"/>
        <item x="303"/>
        <item x="1873"/>
        <item x="2954"/>
        <item x="1471"/>
        <item x="186"/>
        <item x="2370"/>
        <item x="2194"/>
        <item x="2848"/>
        <item x="1398"/>
        <item x="801"/>
        <item x="1434"/>
        <item x="2193"/>
        <item x="1600"/>
        <item x="1621"/>
        <item x="1472"/>
        <item x="666"/>
        <item x="1145"/>
        <item x="2539"/>
        <item x="2368"/>
        <item x="721"/>
        <item x="1648"/>
        <item x="1626"/>
        <item x="1466"/>
        <item x="2063"/>
        <item x="1269"/>
        <item x="802"/>
        <item x="1149"/>
        <item x="2957"/>
        <item x="221"/>
        <item x="1153"/>
        <item x="2897"/>
        <item x="416"/>
        <item x="1152"/>
        <item x="1652"/>
        <item x="1598"/>
        <item x="2389"/>
        <item x="240"/>
        <item x="589"/>
        <item x="298"/>
        <item x="1540"/>
        <item x="781"/>
        <item x="2200"/>
        <item x="467"/>
        <item x="299"/>
        <item x="2372"/>
        <item x="1518"/>
        <item x="2363"/>
        <item x="2296"/>
        <item x="1148"/>
        <item x="1061"/>
        <item x="1627"/>
        <item x="668"/>
        <item x="2371"/>
        <item x="1664"/>
        <item x="1465"/>
        <item x="1484"/>
        <item x="673"/>
        <item x="1441"/>
        <item x="1667"/>
        <item x="1757"/>
        <item x="793"/>
        <item x="192"/>
        <item x="1628"/>
        <item x="1234"/>
        <item x="37"/>
        <item x="58"/>
        <item x="991"/>
        <item x="1896"/>
        <item x="1832"/>
        <item x="1930"/>
        <item x="1814"/>
        <item x="2460"/>
        <item x="578"/>
        <item x="2338"/>
        <item x="75"/>
        <item x="2066"/>
        <item x="310"/>
        <item x="725"/>
        <item x="1446"/>
        <item x="2201"/>
        <item x="1155"/>
        <item x="468"/>
        <item x="2899"/>
        <item x="1669"/>
        <item x="579"/>
        <item x="2037"/>
        <item x="2068"/>
        <item x="2339"/>
        <item x="1414"/>
        <item x="2"/>
        <item x="1309"/>
        <item x="2737"/>
        <item x="1041"/>
        <item x="2418"/>
        <item x="1431"/>
        <item x="2111"/>
        <item x="1416"/>
        <item x="2142"/>
        <item x="2703"/>
        <item x="1142"/>
        <item x="916"/>
        <item x="400"/>
        <item x="741"/>
        <item x="147"/>
        <item x="1745"/>
        <item x="1087"/>
        <item x="1425"/>
        <item x="2232"/>
        <item x="2288"/>
        <item x="742"/>
        <item x="2128"/>
        <item x="2001"/>
        <item x="309"/>
        <item x="1318"/>
        <item x="2826"/>
        <item x="1367"/>
        <item x="1026"/>
        <item x="809"/>
        <item x="726"/>
        <item x="225"/>
        <item x="1630"/>
        <item x="917"/>
        <item x="2221"/>
        <item x="703"/>
        <item x="2155"/>
        <item x="2420"/>
        <item x="1448"/>
        <item x="2558"/>
        <item x="25"/>
        <item x="1797"/>
        <item x="2082"/>
        <item x="648"/>
        <item x="688"/>
        <item x="2472"/>
        <item x="1027"/>
        <item x="954"/>
        <item x="1199"/>
        <item x="2937"/>
        <item x="2762"/>
        <item x="1746"/>
        <item x="1829"/>
        <item x="1766"/>
        <item x="65"/>
        <item x="2417"/>
        <item x="2269"/>
        <item x="2274"/>
        <item x="2613"/>
        <item x="2422"/>
        <item x="497"/>
        <item x="505"/>
        <item x="2545"/>
        <item x="619"/>
        <item x="887"/>
        <item x="1176"/>
        <item x="540"/>
        <item x="363"/>
        <item x="1564"/>
        <item x="833"/>
        <item x="5"/>
        <item x="541"/>
        <item x="6"/>
        <item x="1982"/>
        <item x="2614"/>
        <item x="2728"/>
        <item x="268"/>
        <item x="426"/>
        <item x="1749"/>
        <item x="1043"/>
        <item x="2475"/>
        <item x="918"/>
        <item x="2025"/>
        <item x="2168"/>
        <item x="2236"/>
        <item x="404"/>
        <item x="7"/>
        <item x="2686"/>
        <item x="757"/>
        <item x="1369"/>
        <item x="2561"/>
        <item x="1033"/>
        <item x="1524"/>
        <item x="1451"/>
        <item x="1329"/>
        <item x="8"/>
        <item x="694"/>
        <item x="2228"/>
        <item x="115"/>
        <item x="1182"/>
        <item x="1090"/>
        <item x="1459"/>
        <item x="2477"/>
        <item x="512"/>
        <item x="2621"/>
        <item x="2280"/>
        <item x="1099"/>
        <item x="1917"/>
        <item x="624"/>
        <item x="1256"/>
        <item x="366"/>
        <item x="277"/>
        <item x="748"/>
        <item x="542"/>
        <item x="1525"/>
        <item x="143"/>
        <item x="1184"/>
        <item x="2177"/>
        <item x="1330"/>
        <item x="367"/>
        <item x="2522"/>
        <item x="11"/>
        <item x="700"/>
        <item x="749"/>
        <item x="513"/>
        <item x="1771"/>
        <item x="1360"/>
        <item x="695"/>
        <item x="105"/>
        <item x="1526"/>
        <item x="2523"/>
        <item x="146"/>
        <item x="753"/>
        <item x="2875"/>
        <item x="1128"/>
        <item x="2186"/>
        <item x="1971"/>
        <item x="698"/>
        <item x="1496"/>
        <item x="1742"/>
        <item x="360"/>
        <item x="1365"/>
        <item x="645"/>
        <item x="1333"/>
        <item x="632"/>
        <item x="2876"/>
        <item x="1974"/>
        <item x="2825"/>
        <item x="713"/>
        <item x="2569"/>
        <item x="2945"/>
        <item x="865"/>
        <item x="202"/>
        <item x="1816"/>
        <item x="646"/>
        <item x="2530"/>
        <item x="2055"/>
        <item x="2229"/>
        <item x="759"/>
        <item x="1217"/>
        <item x="618"/>
        <item x="2135"/>
        <item x="2884"/>
        <item x="978"/>
        <item x="499"/>
        <item x="1396"/>
        <item x="1806"/>
        <item x="571"/>
        <item x="1535"/>
        <item x="178"/>
        <item x="1227"/>
        <item x="1820"/>
        <item x="1875"/>
        <item x="244"/>
        <item x="739"/>
        <item x="218"/>
        <item x="2700"/>
        <item x="573"/>
        <item x="2360"/>
        <item x="1886"/>
        <item x="2890"/>
        <item x="943"/>
        <item x="1254"/>
        <item x="2931"/>
        <item x="969"/>
        <item x="1171"/>
        <item x="1810"/>
        <item x="1285"/>
        <item x="1229"/>
        <item x="1926"/>
        <item x="2048"/>
        <item x="2057"/>
        <item x="2161"/>
        <item x="1070"/>
        <item x="1228"/>
        <item x="941"/>
        <item x="1868"/>
        <item x="970"/>
        <item x="1884"/>
        <item x="1537"/>
        <item x="835"/>
        <item x="1928"/>
        <item x="663"/>
        <item x="165"/>
        <item x="1596"/>
        <item x="1230"/>
        <item x="766"/>
        <item x="1579"/>
        <item x="1764"/>
        <item x="2139"/>
        <item x="1659"/>
        <item x="2702"/>
        <item x="2444"/>
        <item x="1822"/>
        <item x="1580"/>
        <item x="2451"/>
        <item x="2140"/>
        <item x="1317"/>
        <item x="1869"/>
        <item x="2445"/>
        <item x="293"/>
        <item x="2653"/>
        <item x="712"/>
        <item x="1823"/>
        <item x="1231"/>
        <item x="1642"/>
        <item x="798"/>
        <item x="2058"/>
        <item x="2433"/>
        <item x="2051"/>
        <item x="2511"/>
        <item x="461"/>
        <item x="1233"/>
        <item x="1232"/>
        <item x="1643"/>
        <item x="1890"/>
        <item x="1059"/>
        <item x="1676"/>
        <item x="1649"/>
        <item x="803"/>
        <item x="780"/>
        <item x="465"/>
        <item x="1711"/>
        <item x="2361"/>
        <item x="42"/>
        <item x="41"/>
        <item x="575"/>
        <item x="295"/>
        <item x="1287"/>
        <item x="1074"/>
        <item x="1872"/>
        <item x="1871"/>
        <item x="305"/>
        <item x="1359"/>
        <item x="974"/>
        <item x="2455"/>
        <item x="2341"/>
        <item x="973"/>
        <item x="1406"/>
        <item x="800"/>
        <item x="2195"/>
        <item x="1075"/>
        <item x="1141"/>
        <item x="1581"/>
        <item x="1811"/>
        <item x="1855"/>
        <item x="1712"/>
        <item x="1824"/>
        <item x="1073"/>
        <item x="2336"/>
        <item x="2342"/>
        <item x="2385"/>
        <item x="2536"/>
        <item x="2952"/>
        <item x="2061"/>
        <item x="2120"/>
        <item x="2951"/>
        <item x="1120"/>
        <item x="2895"/>
        <item x="768"/>
        <item x="1891"/>
        <item x="464"/>
        <item x="1929"/>
        <item x="1143"/>
        <item x="767"/>
        <item x="790"/>
        <item x="44"/>
        <item x="501"/>
        <item x="1146"/>
        <item x="1435"/>
        <item x="1650"/>
        <item x="296"/>
        <item x="101"/>
        <item x="2457"/>
        <item x="1874"/>
        <item x="1409"/>
        <item x="2196"/>
        <item x="2705"/>
        <item x="2387"/>
        <item x="1708"/>
        <item x="740"/>
        <item x="238"/>
        <item x="1582"/>
        <item x="2458"/>
        <item x="239"/>
        <item x="2758"/>
        <item x="720"/>
        <item x="1144"/>
        <item x="988"/>
        <item x="2456"/>
        <item x="187"/>
        <item x="237"/>
        <item x="43"/>
        <item x="188"/>
        <item x="722"/>
        <item x="2019"/>
        <item x="1651"/>
        <item x="1270"/>
        <item x="2362"/>
        <item x="1542"/>
        <item x="1436"/>
        <item x="1418"/>
        <item x="241"/>
        <item x="1584"/>
        <item x="328"/>
        <item x="1894"/>
        <item x="2896"/>
        <item x="222"/>
        <item x="1420"/>
        <item x="2898"/>
        <item x="1475"/>
        <item x="885"/>
        <item x="1419"/>
        <item x="1859"/>
        <item x="2337"/>
        <item x="1473"/>
        <item x="769"/>
        <item x="723"/>
        <item x="2344"/>
        <item x="792"/>
        <item x="1541"/>
        <item x="1860"/>
        <item x="975"/>
        <item x="577"/>
        <item x="220"/>
        <item x="1150"/>
        <item x="2956"/>
        <item x="1474"/>
        <item x="2197"/>
        <item x="1151"/>
        <item x="190"/>
        <item x="191"/>
        <item x="2000"/>
        <item x="1665"/>
        <item x="1861"/>
        <item x="1439"/>
        <item x="804"/>
        <item x="0"/>
        <item x="1296"/>
        <item x="1599"/>
        <item x="2123"/>
        <item x="1543"/>
        <item x="1544"/>
        <item x="1666"/>
        <item x="806"/>
        <item x="2901"/>
        <item x="2065"/>
        <item x="1437"/>
        <item x="1063"/>
        <item x="1289"/>
        <item x="807"/>
        <item x="2199"/>
        <item x="947"/>
        <item x="2608"/>
        <item x="1444"/>
        <item x="1445"/>
        <item x="1862"/>
        <item x="1826"/>
        <item x="1297"/>
        <item x="2390"/>
        <item x="669"/>
        <item x="1476"/>
        <item x="1913"/>
        <item x="1601"/>
        <item x="2070"/>
        <item x="2373"/>
        <item x="1076"/>
        <item x="2541"/>
        <item x="1863"/>
        <item x="1477"/>
        <item x="1703"/>
        <item x="1288"/>
        <item x="1895"/>
        <item x="1602"/>
        <item x="782"/>
        <item x="1156"/>
        <item x="1629"/>
        <item x="989"/>
        <item x="1401"/>
        <item x="770"/>
        <item x="1426"/>
        <item x="1876"/>
        <item x="242"/>
        <item x="794"/>
        <item x="168"/>
        <item x="1077"/>
        <item x="243"/>
        <item x="771"/>
        <item x="1668"/>
        <item x="1235"/>
        <item x="1"/>
        <item x="1827"/>
        <item x="2709"/>
        <item x="1931"/>
        <item x="1412"/>
        <item x="2391"/>
        <item x="1403"/>
        <item x="300"/>
        <item x="1877"/>
        <item x="1427"/>
        <item x="1298"/>
        <item x="1914"/>
        <item x="1677"/>
        <item x="2392"/>
        <item x="1428"/>
        <item x="1402"/>
        <item x="169"/>
        <item x="1765"/>
        <item x="674"/>
        <item x="1413"/>
        <item x="949"/>
        <item x="1932"/>
        <item x="2902"/>
        <item x="1157"/>
        <item x="1415"/>
        <item x="302"/>
        <item x="1007"/>
        <item x="1158"/>
        <item x="1898"/>
        <item x="2069"/>
        <item x="2471"/>
        <item x="2340"/>
        <item x="3"/>
        <item x="88"/>
        <item x="502"/>
        <item x="2233"/>
        <item x="886"/>
        <item x="636"/>
        <item x="1172"/>
        <item x="1787"/>
        <item x="2512"/>
        <item x="1447"/>
        <item x="1319"/>
        <item x="2816"/>
        <item x="89"/>
        <item x="2315"/>
        <item x="836"/>
        <item x="2860"/>
        <item x="686"/>
        <item x="2080"/>
        <item x="102"/>
        <item x="1559"/>
        <item x="912"/>
        <item x="2726"/>
        <item x="743"/>
        <item x="264"/>
        <item x="2162"/>
        <item x="1320"/>
        <item x="2020"/>
        <item x="2818"/>
        <item x="2270"/>
        <item x="1321"/>
        <item x="2759"/>
        <item x="2682"/>
        <item x="687"/>
        <item x="2760"/>
        <item x="2271"/>
        <item x="2609"/>
        <item x="2316"/>
        <item x="2127"/>
        <item x="2081"/>
        <item x="2654"/>
        <item x="423"/>
        <item x="136"/>
        <item x="424"/>
        <item x="1491"/>
        <item x="953"/>
        <item x="2513"/>
        <item x="1029"/>
        <item x="1678"/>
        <item x="1788"/>
        <item x="2317"/>
        <item x="90"/>
        <item x="1560"/>
        <item x="2021"/>
        <item x="2769"/>
        <item x="1561"/>
        <item x="2022"/>
        <item x="2473"/>
        <item x="503"/>
        <item x="837"/>
        <item x="536"/>
        <item x="2514"/>
        <item x="91"/>
        <item x="1121"/>
        <item x="1173"/>
        <item x="2318"/>
        <item x="2272"/>
        <item x="1122"/>
        <item x="2610"/>
        <item x="1174"/>
        <item x="1322"/>
        <item x="537"/>
        <item x="2761"/>
        <item x="2683"/>
        <item x="504"/>
        <item x="2770"/>
        <item x="265"/>
        <item x="1679"/>
        <item x="637"/>
        <item x="1680"/>
        <item x="2819"/>
        <item x="1323"/>
        <item x="2738"/>
        <item x="638"/>
        <item x="2861"/>
        <item x="2515"/>
        <item x="538"/>
        <item x="1095"/>
        <item x="2771"/>
        <item x="1096"/>
        <item x="1562"/>
        <item x="1047"/>
        <item x="701"/>
        <item x="2023"/>
        <item x="704"/>
        <item x="1980"/>
        <item x="744"/>
        <item x="539"/>
        <item x="689"/>
        <item x="2474"/>
        <item x="329"/>
        <item x="2655"/>
        <item x="2656"/>
        <item x="2234"/>
        <item x="2862"/>
        <item x="2235"/>
        <item x="64"/>
        <item x="1523"/>
        <item x="555"/>
        <item x="1455"/>
        <item x="266"/>
        <item x="1963"/>
        <item x="1324"/>
        <item x="1123"/>
        <item x="2611"/>
        <item x="399"/>
        <item x="1175"/>
        <item x="2024"/>
        <item x="2319"/>
        <item x="137"/>
        <item x="2820"/>
        <item x="2612"/>
        <item x="361"/>
        <item x="1563"/>
        <item x="1325"/>
        <item x="2273"/>
        <item x="1456"/>
        <item x="2657"/>
        <item x="92"/>
        <item x="1713"/>
        <item x="1681"/>
        <item x="2727"/>
        <item x="1945"/>
        <item x="838"/>
        <item x="839"/>
        <item x="1714"/>
        <item x="4"/>
        <item x="2681"/>
        <item x="362"/>
        <item x="2320"/>
        <item x="690"/>
        <item x="1088"/>
        <item x="1767"/>
        <item x="1715"/>
        <item x="1716"/>
        <item x="1981"/>
        <item x="1449"/>
        <item x="888"/>
        <item x="2821"/>
        <item x="1089"/>
        <item x="425"/>
        <item x="2321"/>
        <item x="1030"/>
        <item x="267"/>
        <item x="1704"/>
        <item x="620"/>
        <item x="1031"/>
        <item x="952"/>
        <item x="2163"/>
        <item x="506"/>
        <item x="913"/>
        <item x="1717"/>
        <item x="2164"/>
        <item x="2083"/>
        <item x="2658"/>
        <item x="2165"/>
        <item x="840"/>
        <item x="507"/>
        <item x="1709"/>
        <item x="66"/>
        <item x="1201"/>
        <item x="1124"/>
        <item x="841"/>
        <item x="2684"/>
        <item x="2112"/>
        <item x="1983"/>
        <item x="2166"/>
        <item x="842"/>
        <item x="843"/>
        <item x="2084"/>
        <item x="138"/>
        <item x="2516"/>
        <item x="1675"/>
        <item x="2822"/>
        <item x="1177"/>
        <item x="2863"/>
        <item x="2517"/>
        <item x="1984"/>
        <item x="330"/>
        <item x="1768"/>
        <item x="2858"/>
        <item x="139"/>
        <item x="2615"/>
        <item x="140"/>
        <item x="364"/>
        <item x="427"/>
        <item x="691"/>
        <item x="2685"/>
        <item x="1682"/>
        <item x="1178"/>
        <item x="2167"/>
        <item x="2314"/>
        <item x="1683"/>
        <item x="428"/>
        <item x="2616"/>
        <item x="2518"/>
        <item x="2113"/>
        <item x="141"/>
        <item x="103"/>
        <item x="1032"/>
        <item x="2617"/>
        <item x="889"/>
        <item x="1718"/>
        <item x="1179"/>
        <item x="331"/>
        <item x="1097"/>
        <item x="2618"/>
        <item x="615"/>
        <item x="1985"/>
        <item x="1964"/>
        <item x="2275"/>
        <item x="332"/>
        <item x="1965"/>
        <item x="844"/>
        <item x="2619"/>
        <item x="2519"/>
        <item x="2659"/>
        <item x="2169"/>
        <item x="2859"/>
        <item x="621"/>
        <item x="2823"/>
        <item x="274"/>
        <item x="1125"/>
        <item x="429"/>
        <item x="1684"/>
        <item x="2276"/>
        <item x="2520"/>
        <item x="639"/>
        <item x="1492"/>
        <item x="2817"/>
        <item x="2521"/>
        <item x="2170"/>
        <item x="2171"/>
        <item x="2620"/>
        <item x="692"/>
        <item x="640"/>
        <item x="914"/>
        <item x="1725"/>
        <item x="1326"/>
        <item x="2939"/>
        <item x="2606"/>
        <item x="1180"/>
        <item x="2237"/>
        <item x="430"/>
        <item x="2772"/>
        <item x="2277"/>
        <item x="2660"/>
        <item x="1915"/>
        <item x="1789"/>
        <item x="2864"/>
        <item x="641"/>
        <item x="2033"/>
        <item x="333"/>
        <item x="1450"/>
        <item x="508"/>
        <item x="1790"/>
        <item x="1255"/>
        <item x="622"/>
        <item x="1457"/>
        <item x="693"/>
        <item x="1327"/>
        <item x="2865"/>
        <item x="1328"/>
        <item x="1034"/>
        <item x="884"/>
        <item x="1381"/>
        <item x="2238"/>
        <item x="623"/>
        <item x="2026"/>
        <item x="2476"/>
        <item x="275"/>
        <item x="498"/>
        <item x="2866"/>
        <item x="276"/>
        <item x="1008"/>
        <item x="2661"/>
        <item x="9"/>
        <item x="2172"/>
        <item x="2729"/>
        <item x="745"/>
        <item x="1558"/>
        <item x="1493"/>
        <item x="890"/>
        <item x="2763"/>
        <item x="2687"/>
        <item x="509"/>
        <item x="1726"/>
        <item x="510"/>
        <item x="1986"/>
        <item x="1565"/>
        <item x="1098"/>
        <item x="2773"/>
        <item x="1769"/>
        <item x="2173"/>
        <item x="2174"/>
        <item x="1987"/>
        <item x="135"/>
        <item x="2175"/>
        <item x="2688"/>
        <item x="915"/>
        <item x="845"/>
        <item x="1035"/>
        <item x="1181"/>
        <item x="1126"/>
        <item x="2027"/>
        <item x="1009"/>
        <item x="1702"/>
        <item x="846"/>
        <item x="1966"/>
        <item x="1705"/>
        <item x="104"/>
        <item x="1719"/>
        <item x="1720"/>
        <item x="1010"/>
        <item x="334"/>
        <item x="2085"/>
        <item x="616"/>
        <item x="511"/>
        <item x="431"/>
        <item x="2223"/>
        <item x="1791"/>
        <item x="10"/>
        <item x="142"/>
        <item x="1770"/>
        <item x="2086"/>
        <item x="1011"/>
        <item x="1335"/>
        <item x="2932"/>
        <item x="746"/>
        <item x="2278"/>
        <item x="365"/>
        <item x="702"/>
        <item x="2774"/>
        <item x="1916"/>
        <item x="2279"/>
        <item x="2933"/>
        <item x="2934"/>
        <item x="747"/>
        <item x="432"/>
        <item x="2176"/>
        <item x="1183"/>
        <item x="335"/>
        <item x="2222"/>
        <item x="1358"/>
        <item x="2322"/>
        <item x="2087"/>
        <item x="1331"/>
        <item x="2178"/>
        <item x="336"/>
        <item x="1721"/>
        <item x="625"/>
        <item x="1382"/>
        <item x="2224"/>
        <item x="847"/>
        <item x="2323"/>
        <item x="2179"/>
        <item x="2730"/>
        <item x="433"/>
        <item x="2867"/>
        <item x="2622"/>
        <item x="337"/>
        <item x="2524"/>
        <item x="696"/>
        <item x="1566"/>
        <item x="12"/>
        <item x="2180"/>
        <item x="269"/>
        <item x="1727"/>
        <item x="1527"/>
        <item x="1361"/>
        <item x="2731"/>
        <item x="1200"/>
        <item x="2478"/>
        <item x="543"/>
        <item x="1494"/>
        <item x="2764"/>
        <item x="1362"/>
        <item x="2181"/>
        <item x="1706"/>
        <item x="2775"/>
        <item x="2182"/>
        <item x="1792"/>
        <item x="848"/>
        <item x="544"/>
        <item x="1091"/>
        <item x="2868"/>
        <item x="1036"/>
        <item x="2239"/>
        <item x="642"/>
        <item x="1722"/>
        <item x="535"/>
        <item x="368"/>
        <item x="2689"/>
        <item x="643"/>
        <item x="2324"/>
        <item x="750"/>
        <item x="1967"/>
        <item x="2240"/>
        <item x="369"/>
        <item x="626"/>
        <item x="2479"/>
        <item x="24"/>
        <item x="2325"/>
        <item x="1185"/>
        <item x="2869"/>
        <item x="2088"/>
        <item x="1528"/>
        <item x="2326"/>
        <item x="1495"/>
        <item x="1186"/>
        <item x="514"/>
        <item x="13"/>
        <item x="1710"/>
        <item x="370"/>
        <item x="2327"/>
        <item x="371"/>
        <item x="1728"/>
        <item x="1918"/>
        <item x="1452"/>
        <item x="1772"/>
        <item x="627"/>
        <item x="278"/>
        <item x="2114"/>
        <item x="891"/>
        <item x="270"/>
        <item x="1037"/>
        <item x="1968"/>
        <item x="515"/>
        <item x="279"/>
        <item x="2281"/>
        <item x="1038"/>
        <item x="2870"/>
        <item x="617"/>
        <item x="849"/>
        <item x="644"/>
        <item x="2183"/>
        <item x="1332"/>
        <item x="2765"/>
        <item x="2871"/>
        <item x="751"/>
        <item x="2732"/>
        <item x="1773"/>
        <item x="1969"/>
        <item x="2607"/>
        <item x="697"/>
        <item x="2733"/>
        <item x="14"/>
        <item x="372"/>
        <item x="2028"/>
        <item x="2184"/>
        <item x="1187"/>
        <item x="1363"/>
        <item x="2872"/>
        <item x="2873"/>
        <item x="327"/>
        <item x="2328"/>
        <item x="2776"/>
        <item x="1188"/>
        <item x="106"/>
        <item x="2480"/>
        <item x="1257"/>
        <item x="1729"/>
        <item x="2225"/>
        <item x="2690"/>
        <item x="1039"/>
        <item x="1979"/>
        <item x="1793"/>
        <item x="1741"/>
        <item x="2241"/>
        <item x="434"/>
        <item x="1127"/>
        <item x="2329"/>
        <item x="1092"/>
        <item x="1529"/>
        <item x="628"/>
        <item x="2160"/>
        <item x="1093"/>
        <item x="1364"/>
        <item x="1723"/>
        <item x="1189"/>
        <item x="1253"/>
        <item x="2874"/>
        <item x="1730"/>
        <item x="892"/>
        <item x="1919"/>
        <item x="2185"/>
        <item x="629"/>
        <item x="338"/>
        <item x="1988"/>
        <item x="1970"/>
        <item x="752"/>
        <item x="2525"/>
        <item x="1383"/>
        <item x="373"/>
        <item x="1042"/>
        <item x="2623"/>
        <item x="2777"/>
        <item x="1129"/>
        <item x="516"/>
        <item x="2089"/>
        <item x="1731"/>
        <item x="2226"/>
        <item x="1190"/>
        <item x="1170"/>
        <item x="2330"/>
        <item x="1732"/>
        <item x="339"/>
        <item x="2691"/>
        <item x="517"/>
        <item x="834"/>
        <item x="107"/>
        <item x="2692"/>
        <item x="1774"/>
        <item x="1100"/>
        <item x="850"/>
        <item x="144"/>
        <item x="1497"/>
        <item x="271"/>
        <item x="1118"/>
        <item x="2187"/>
        <item x="2734"/>
        <item x="1920"/>
        <item x="518"/>
        <item x="1130"/>
        <item x="630"/>
        <item x="647"/>
        <item x="2029"/>
        <item x="1094"/>
        <item x="1453"/>
        <item x="631"/>
        <item x="1733"/>
        <item x="1191"/>
        <item x="263"/>
        <item x="1743"/>
        <item x="1192"/>
        <item x="1567"/>
        <item x="108"/>
        <item x="2282"/>
        <item x="2526"/>
        <item x="1193"/>
        <item x="2188"/>
        <item x="2090"/>
        <item x="519"/>
        <item x="2662"/>
        <item x="1724"/>
        <item x="2189"/>
        <item x="1503"/>
        <item x="2527"/>
        <item x="2778"/>
        <item x="1498"/>
        <item x="1794"/>
        <item x="851"/>
        <item x="520"/>
        <item x="340"/>
        <item x="893"/>
        <item x="1458"/>
        <item x="1735"/>
        <item x="2795"/>
        <item x="2231"/>
        <item x="1052"/>
        <item x="2379"/>
        <item x="957"/>
        <item x="2784"/>
        <item x="556"/>
        <item x="1739"/>
        <item x="2549"/>
        <item x="2381"/>
        <item x="38"/>
        <item x="1119"/>
        <item x="2382"/>
        <item x="557"/>
        <item x="448"/>
        <item x="714"/>
        <item x="866"/>
        <item x="2487"/>
        <item x="2351"/>
        <item x="2158"/>
        <item x="1028"/>
        <item x="286"/>
        <item x="2383"/>
        <item x="1835"/>
        <item x="1933"/>
        <item x="1591"/>
        <item x="1046"/>
        <item x="1592"/>
        <item x="378"/>
        <item x="2528"/>
        <item x="87"/>
        <item x="565"/>
        <item x="1212"/>
        <item x="46"/>
        <item x="207"/>
        <item x="446"/>
        <item x="1922"/>
        <item x="926"/>
        <item x="1216"/>
        <item x="1837"/>
        <item x="1316"/>
        <item x="2786"/>
        <item x="170"/>
        <item x="2132"/>
        <item x="306"/>
        <item x="2054"/>
        <item x="1923"/>
        <item x="2436"/>
        <item x="870"/>
        <item x="1817"/>
        <item x="2397"/>
        <item x="307"/>
        <item x="1804"/>
        <item x="1218"/>
        <item x="2437"/>
        <item x="715"/>
        <item x="1632"/>
        <item x="453"/>
        <item x="2882"/>
        <item x="2789"/>
        <item x="2907"/>
        <item x="2923"/>
        <item x="1221"/>
        <item x="1264"/>
        <item x="2885"/>
        <item x="2925"/>
        <item x="2359"/>
        <item x="871"/>
        <item x="2926"/>
        <item x="380"/>
        <item x="2489"/>
        <item x="1807"/>
        <item x="177"/>
        <item x="162"/>
        <item x="2490"/>
        <item x="2915"/>
        <item x="1635"/>
        <item x="2439"/>
        <item x="2419"/>
        <item x="2947"/>
        <item x="1276"/>
        <item x="760"/>
        <item x="761"/>
        <item x="1883"/>
        <item x="215"/>
        <item x="2018"/>
        <item x="216"/>
        <item x="2137"/>
        <item x="231"/>
        <item x="1865"/>
        <item x="2446"/>
        <item x="660"/>
        <item x="1637"/>
        <item x="2918"/>
        <item x="100"/>
        <item x="1469"/>
        <item x="796"/>
        <item x="458"/>
        <item x="572"/>
        <item x="179"/>
        <item x="967"/>
        <item x="2056"/>
        <item x="1069"/>
        <item x="785"/>
        <item x="1925"/>
        <item x="2768"/>
        <item x="180"/>
        <item x="1284"/>
        <item x="500"/>
        <item x="245"/>
        <item x="1655"/>
        <item x="164"/>
        <item x="224"/>
        <item x="675"/>
        <item x="580"/>
        <item x="1639"/>
        <item x="1887"/>
        <item x="930"/>
        <item x="1344"/>
        <item x="145"/>
        <item x="62"/>
        <item x="1522"/>
        <item x="2605"/>
        <item x="1490"/>
        <item x="1368"/>
        <item x="22"/>
        <item x="1204"/>
        <item x="260"/>
        <item x="927"/>
        <item x="2650"/>
        <item x="27"/>
        <item x="2297"/>
        <item x="1977"/>
        <item x="1911"/>
        <item x="1290"/>
        <item x="2067"/>
        <item x="2017"/>
        <item x="2313"/>
        <item x="911"/>
        <item x="2469"/>
        <item x="548"/>
        <item x="1356"/>
        <item x="1202"/>
        <item x="2814"/>
        <item x="2220"/>
        <item x="1614"/>
        <item x="2678"/>
        <item x="2079"/>
        <item x="955"/>
        <item x="2290"/>
        <item x="596"/>
        <item x="2266"/>
        <item x="2560"/>
        <item x="134"/>
        <item x="1786"/>
        <item x="1169"/>
        <item x="1084"/>
        <item x="1762"/>
        <item x="2604"/>
        <item x="2725"/>
        <item x="2651"/>
        <item x="1962"/>
        <item x="1912"/>
        <item x="2815"/>
        <item x="1025"/>
        <item x="2230"/>
        <item x="262"/>
        <item x="2783"/>
        <item x="1801"/>
        <item x="2573"/>
        <item x="39"/>
        <item x="1674"/>
        <item x="1740"/>
        <item x="2052"/>
        <item x="2289"/>
        <item x="495"/>
        <item x="1842"/>
        <item x="1337"/>
        <item x="2603"/>
        <item x="1252"/>
        <item x="831"/>
        <item x="1024"/>
        <item x="261"/>
        <item x="2267"/>
        <item x="2531"/>
        <item x="1545"/>
        <item x="1440"/>
        <item x="2125"/>
        <item x="2421"/>
        <item x="2574"/>
        <item x="1881"/>
        <item x="1530"/>
        <item x="159"/>
        <item x="227"/>
        <item x="2910"/>
        <item x="2355"/>
        <item x="961"/>
        <item x="1138"/>
        <item x="1802"/>
        <item x="281"/>
        <item x="981"/>
        <item x="1373"/>
        <item x="2791"/>
        <item x="551"/>
        <item x="2836"/>
        <item x="2484"/>
        <item x="552"/>
        <item x="1049"/>
        <item x="1685"/>
        <item x="2793"/>
        <item x="1975"/>
        <item x="1631"/>
        <item x="756"/>
        <item x="2493"/>
        <item x="597"/>
        <item x="1348"/>
        <item x="810"/>
        <item x="547"/>
        <item x="921"/>
        <item x="1462"/>
        <item x="1899"/>
        <item x="2792"/>
        <item x="1734"/>
        <item x="1463"/>
        <item x="198"/>
        <item x="2486"/>
        <item x="402"/>
        <item x="815"/>
        <item x="2547"/>
        <item x="1345"/>
        <item x="1687"/>
        <item x="2096"/>
        <item x="67"/>
        <item x="1259"/>
        <item x="900"/>
        <item x="877"/>
        <item x="1952"/>
        <item x="1209"/>
        <item x="2742"/>
        <item x="2942"/>
        <item x="2005"/>
        <item x="30"/>
        <item x="705"/>
        <item x="2625"/>
        <item x="197"/>
        <item x="1388"/>
        <item x="2482"/>
        <item x="1386"/>
        <item x="1244"/>
        <item x="1245"/>
        <item x="2747"/>
        <item x="1618"/>
        <item x="2667"/>
        <item x="2250"/>
        <item x="128"/>
        <item x="2304"/>
        <item x="2462"/>
        <item x="1691"/>
        <item x="1828"/>
        <item x="2348"/>
        <item x="2002"/>
        <item x="1736"/>
        <item x="119"/>
        <item x="2375"/>
        <item x="654"/>
        <item x="1211"/>
        <item x="1108"/>
        <item x="204"/>
        <item x="70"/>
        <item x="469"/>
        <item x="1686"/>
        <item x="2039"/>
        <item x="935"/>
        <item x="1393"/>
        <item x="1213"/>
        <item x="2624"/>
        <item x="934"/>
        <item x="445"/>
        <item x="2131"/>
        <item x="1995"/>
        <item x="206"/>
        <item x="1460"/>
        <item x="203"/>
        <item x="1214"/>
        <item x="444"/>
        <item x="560"/>
        <item x="2053"/>
        <item x="559"/>
        <item x="1134"/>
        <item x="1135"/>
        <item x="2785"/>
        <item x="2143"/>
        <item x="655"/>
        <item x="925"/>
        <item x="1136"/>
        <item x="1261"/>
        <item x="1996"/>
        <item x="1588"/>
        <item x="1215"/>
        <item x="1064"/>
        <item x="2396"/>
        <item x="1272"/>
        <item x="2977"/>
        <item x="2395"/>
        <item x="2879"/>
        <item x="1273"/>
        <item x="1921"/>
        <item x="447"/>
        <item x="2919"/>
        <item x="226"/>
        <item x="1836"/>
        <item x="1844"/>
        <item x="567"/>
        <item x="2354"/>
        <item x="1531"/>
        <item x="656"/>
        <item x="45"/>
        <item x="1054"/>
        <item x="869"/>
        <item x="1137"/>
        <item x="561"/>
        <item x="1262"/>
        <item x="1104"/>
        <item x="1997"/>
        <item x="2040"/>
        <item x="2435"/>
        <item x="2906"/>
        <item x="1532"/>
        <item x="173"/>
        <item x="2134"/>
        <item x="2356"/>
        <item x="2911"/>
        <item x="2920"/>
        <item x="1065"/>
        <item x="1280"/>
        <item x="1110"/>
        <item x="2787"/>
        <item x="208"/>
        <item x="1845"/>
        <item x="171"/>
        <item x="449"/>
        <item x="160"/>
        <item x="1394"/>
        <item x="2190"/>
        <item x="1281"/>
        <item x="1395"/>
        <item x="1924"/>
        <item x="47"/>
        <item x="1803"/>
        <item x="812"/>
        <item x="2398"/>
        <item x="451"/>
        <item x="308"/>
        <item x="977"/>
        <item x="452"/>
        <item x="228"/>
        <item x="1805"/>
        <item x="773"/>
        <item x="1219"/>
        <item x="2913"/>
        <item x="1506"/>
        <item x="175"/>
        <item x="1220"/>
        <item x="2358"/>
        <item x="657"/>
        <item x="2946"/>
        <item x="569"/>
        <item x="214"/>
        <item x="1265"/>
        <item x="658"/>
        <item x="1946"/>
        <item x="2927"/>
        <item x="1634"/>
        <item x="213"/>
        <item x="209"/>
        <item x="2914"/>
        <item x="1818"/>
        <item x="1633"/>
        <item x="1056"/>
        <item x="1747"/>
        <item x="1999"/>
        <item x="1576"/>
        <item x="2400"/>
        <item x="1222"/>
        <item x="161"/>
        <item x="570"/>
        <item x="1594"/>
        <item x="2695"/>
        <item x="1653"/>
        <item x="2434"/>
        <item x="2710"/>
        <item x="938"/>
        <item x="1404"/>
        <item x="2045"/>
        <item x="1819"/>
        <item x="1864"/>
        <item x="456"/>
        <item x="2908"/>
        <item x="1068"/>
        <item x="980"/>
        <item x="965"/>
        <item x="2006"/>
        <item x="872"/>
        <item x="288"/>
        <item x="873"/>
        <item x="939"/>
        <item x="1443"/>
        <item x="1534"/>
        <item x="2491"/>
        <item x="2928"/>
        <item x="776"/>
        <item x="2423"/>
        <item x="1225"/>
        <item x="2909"/>
        <item x="1277"/>
        <item x="1283"/>
        <item x="2136"/>
        <item x="1636"/>
        <item x="659"/>
        <item x="2948"/>
        <item x="457"/>
        <item x="470"/>
        <item x="1546"/>
        <item x="381"/>
        <item x="2916"/>
        <item x="966"/>
        <item x="2696"/>
        <item x="2917"/>
        <item x="2046"/>
        <item x="2887"/>
        <item x="1266"/>
        <item x="292"/>
        <item x="1990"/>
        <item x="2697"/>
        <item x="717"/>
        <item x="289"/>
        <item x="1536"/>
        <item x="459"/>
        <item x="2116"/>
        <item x="2429"/>
        <item x="2698"/>
        <item x="2888"/>
        <item x="762"/>
        <item x="2483"/>
        <item x="181"/>
        <item x="2047"/>
        <item x="2427"/>
        <item x="1072"/>
        <item x="2049"/>
        <item x="2949"/>
        <item x="765"/>
        <item x="2701"/>
        <item x="2332"/>
        <item x="971"/>
        <item x="1139"/>
        <item x="1640"/>
        <item x="574"/>
        <item x="2333"/>
        <item x="2431"/>
        <item x="944"/>
        <item x="1294"/>
        <item x="787"/>
        <item x="1140"/>
        <item x="2334"/>
        <item x="440"/>
        <item x="672"/>
        <item x="1870"/>
        <item x="2453"/>
        <item x="2452"/>
        <item x="1645"/>
        <item x="2141"/>
        <item x="2894"/>
        <item x="1858"/>
        <item x="2563"/>
        <item x="1857"/>
        <item x="1597"/>
        <item x="2119"/>
        <item x="463"/>
        <item x="1647"/>
        <item x="2192"/>
        <item x="1271"/>
        <item x="1267"/>
        <item x="1048"/>
        <item x="1268"/>
        <item x="2950"/>
        <item x="2538"/>
        <item x="2953"/>
        <item x="2706"/>
        <item x="791"/>
        <item x="667"/>
        <item x="2343"/>
        <item x="466"/>
        <item x="297"/>
        <item x="1105"/>
        <item x="2707"/>
        <item x="2369"/>
        <item x="167"/>
        <item x="2459"/>
        <item x="1417"/>
        <item x="1892"/>
        <item x="1060"/>
        <item x="1400"/>
        <item x="150"/>
        <item x="189"/>
        <item x="1813"/>
        <item x="2388"/>
        <item x="1236"/>
        <item x="1421"/>
        <item x="1410"/>
        <item x="724"/>
        <item x="2349"/>
        <item x="808"/>
        <item x="670"/>
        <item x="223"/>
        <item x="2708"/>
        <item x="193"/>
        <item x="311"/>
        <item x="194"/>
        <item x="990"/>
        <item x="1897"/>
        <item x="897"/>
        <item x="1411"/>
        <item x="2540"/>
        <item x="976"/>
        <item x="948"/>
        <item x="1012"/>
        <item x="1776"/>
        <item x="386"/>
        <item x="2798"/>
        <item x="301"/>
        <item x="2532"/>
        <item x="1291"/>
        <item x="1299"/>
        <item x="1292"/>
        <item x="1293"/>
        <item x="2799"/>
        <item x="2346"/>
        <item x="1300"/>
        <item x="121"/>
        <item x="813"/>
        <item x="1478"/>
        <item x="2959"/>
        <item x="1159"/>
        <item x="2007"/>
        <item x="2626"/>
        <item x="599"/>
        <item x="122"/>
        <item x="2243"/>
        <item x="1615"/>
        <item x="600"/>
        <item x="347"/>
        <item x="94"/>
        <item x="1160"/>
        <item x="2627"/>
        <item x="2837"/>
        <item x="861"/>
        <item x="2008"/>
        <item x="993"/>
        <item x="1950"/>
        <item x="2546"/>
        <item x="2800"/>
        <item x="123"/>
        <item x="375"/>
        <item x="1346"/>
        <item x="2628"/>
        <item x="2244"/>
        <item x="2091"/>
        <item x="2092"/>
        <item x="2292"/>
        <item x="1013"/>
        <item x="2832"/>
        <item x="2495"/>
        <item x="2629"/>
        <item x="2133"/>
        <item x="2905"/>
        <item x="994"/>
        <item x="581"/>
        <item x="2003"/>
        <item x="1992"/>
        <item x="471"/>
        <item x="124"/>
        <item x="582"/>
        <item x="412"/>
        <item x="2378"/>
        <item x="1848"/>
        <item x="1751"/>
        <item x="2496"/>
        <item x="2559"/>
        <item x="2144"/>
        <item x="2566"/>
        <item x="995"/>
        <item x="33"/>
        <item x="247"/>
        <item x="1830"/>
        <item x="898"/>
        <item x="315"/>
        <item x="2711"/>
        <item x="1237"/>
        <item x="2497"/>
        <item x="1512"/>
        <item x="1479"/>
        <item x="48"/>
        <item x="1548"/>
        <item x="1014"/>
        <item x="472"/>
        <item x="1513"/>
        <item x="521"/>
        <item x="522"/>
        <item x="1301"/>
        <item x="2299"/>
        <item x="2293"/>
        <item x="699"/>
        <item x="406"/>
        <item x="1849"/>
        <item x="151"/>
        <item x="1737"/>
        <item x="553"/>
        <item x="2204"/>
        <item x="273"/>
        <item x="196"/>
        <item x="116"/>
        <item x="1947"/>
        <item x="1106"/>
        <item x="1206"/>
        <item x="1549"/>
        <item x="248"/>
        <item x="856"/>
        <item x="1850"/>
        <item x="899"/>
        <item x="49"/>
        <item x="2838"/>
        <item x="2576"/>
        <item x="1616"/>
        <item x="343"/>
        <item x="729"/>
        <item x="2424"/>
        <item x="2940"/>
        <item x="1050"/>
        <item x="2093"/>
        <item x="2156"/>
        <item x="1461"/>
        <item x="2287"/>
        <item x="920"/>
        <item x="2294"/>
        <item x="1347"/>
        <item x="2402"/>
        <item x="1338"/>
        <item x="996"/>
        <item x="1589"/>
        <item x="1514"/>
        <item x="2941"/>
        <item x="649"/>
        <item x="2801"/>
        <item x="152"/>
        <item x="1161"/>
        <item x="2009"/>
        <item x="2960"/>
        <item x="1015"/>
        <item x="1570"/>
        <item x="2403"/>
        <item x="2010"/>
        <item x="2782"/>
        <item x="1948"/>
        <item x="1302"/>
        <item x="439"/>
        <item x="2145"/>
        <item x="2034"/>
        <item x="2404"/>
        <item x="280"/>
        <item x="1949"/>
        <item x="1207"/>
        <item x="2350"/>
        <item x="34"/>
        <item x="2300"/>
        <item x="874"/>
        <item x="1777"/>
        <item x="676"/>
        <item x="730"/>
        <item x="2577"/>
        <item x="2094"/>
        <item x="2712"/>
        <item x="2802"/>
        <item x="875"/>
        <item x="1111"/>
        <item x="1374"/>
        <item x="284"/>
        <item x="405"/>
        <item x="2736"/>
        <item x="1336"/>
        <item x="282"/>
        <item x="1851"/>
        <item x="1203"/>
        <item x="2295"/>
        <item x="148"/>
        <item x="35"/>
        <item x="36"/>
        <item x="956"/>
        <item x="860"/>
        <item x="814"/>
        <item x="598"/>
        <item x="2830"/>
        <item x="2578"/>
        <item x="249"/>
        <item x="2245"/>
        <item x="876"/>
        <item x="50"/>
        <item x="2004"/>
        <item x="149"/>
        <item x="2146"/>
        <item x="285"/>
        <item x="2835"/>
        <item x="153"/>
        <item x="1370"/>
        <item x="342"/>
        <item x="403"/>
        <item x="706"/>
        <item x="2095"/>
        <item x="154"/>
        <item x="1208"/>
        <item x="2567"/>
        <item x="199"/>
        <item x="1238"/>
        <item x="1515"/>
        <item x="858"/>
        <item x="1951"/>
        <item x="28"/>
        <item x="1670"/>
        <item x="1852"/>
        <item x="677"/>
        <item x="1303"/>
        <item x="1162"/>
        <item x="473"/>
        <item x="2498"/>
        <item x="2242"/>
        <item x="474"/>
        <item x="1778"/>
        <item x="2147"/>
        <item x="922"/>
        <item x="1831"/>
        <item x="1671"/>
        <item x="862"/>
        <item x="650"/>
        <item x="727"/>
        <item x="2035"/>
        <item x="376"/>
        <item x="2405"/>
        <item x="2794"/>
        <item x="1748"/>
        <item x="2938"/>
        <item x="250"/>
        <item x="411"/>
        <item x="475"/>
        <item x="1339"/>
        <item x="1051"/>
        <item x="901"/>
        <item x="2839"/>
        <item x="2071"/>
        <item x="1349"/>
        <item x="2148"/>
        <item x="1340"/>
        <item x="2739"/>
        <item x="651"/>
        <item x="2406"/>
        <item x="155"/>
        <item x="413"/>
        <item x="2246"/>
        <item x="51"/>
        <item x="2630"/>
        <item x="1112"/>
        <item x="316"/>
        <item x="1016"/>
        <item x="1779"/>
        <item x="2579"/>
        <item x="2840"/>
        <item x="29"/>
        <item x="1163"/>
        <item x="2663"/>
        <item x="902"/>
        <item x="2713"/>
        <item x="1688"/>
        <item x="1516"/>
        <item x="1304"/>
        <item x="583"/>
        <item x="1387"/>
        <item x="1843"/>
        <item x="1976"/>
        <item x="476"/>
        <item x="2568"/>
        <item x="1078"/>
        <item x="601"/>
        <item x="1305"/>
        <item x="2743"/>
        <item x="2803"/>
        <item x="1900"/>
        <item x="1880"/>
        <item x="2580"/>
        <item x="1239"/>
        <item x="1689"/>
        <item x="2664"/>
        <item x="251"/>
        <item x="1780"/>
        <item x="1480"/>
        <item x="997"/>
        <item x="1279"/>
        <item x="68"/>
        <item x="125"/>
        <item x="2247"/>
        <item x="2097"/>
        <item x="2744"/>
        <item x="1275"/>
        <item x="387"/>
        <item x="1603"/>
        <item x="1901"/>
        <item x="1902"/>
        <item x="2714"/>
        <item x="388"/>
        <item x="2407"/>
        <item x="1604"/>
        <item x="2301"/>
        <item x="389"/>
        <item x="903"/>
        <item x="523"/>
        <item x="1481"/>
        <item x="2641"/>
        <item x="1240"/>
        <item x="998"/>
        <item x="317"/>
        <item x="1953"/>
        <item x="2149"/>
        <item x="999"/>
        <item x="1903"/>
        <item x="904"/>
        <item x="2150"/>
        <item x="2581"/>
        <item x="1550"/>
        <item x="318"/>
        <item x="2248"/>
        <item x="1482"/>
        <item x="2665"/>
        <item x="602"/>
        <item x="603"/>
        <item x="2582"/>
        <item x="2205"/>
        <item x="2715"/>
        <item x="2631"/>
        <item x="2302"/>
        <item x="477"/>
        <item x="604"/>
        <item x="1781"/>
        <item x="2206"/>
        <item x="1798"/>
        <item x="95"/>
        <item x="478"/>
        <item x="2159"/>
        <item x="319"/>
        <item x="2583"/>
        <item x="1853"/>
        <item x="678"/>
        <item x="1954"/>
        <item x="2408"/>
        <item x="2642"/>
        <item x="414"/>
        <item x="2072"/>
        <item x="1799"/>
        <item x="1164"/>
        <item x="2409"/>
        <item x="1782"/>
        <item x="1241"/>
        <item x="2643"/>
        <item x="1752"/>
        <item x="2207"/>
        <item x="2841"/>
        <item x="2499"/>
        <item x="1375"/>
        <item x="1690"/>
        <item x="1017"/>
        <item x="1242"/>
        <item x="2500"/>
        <item x="52"/>
        <item x="1904"/>
        <item x="2501"/>
        <item x="2410"/>
        <item x="1483"/>
        <item x="1350"/>
        <item x="2208"/>
        <item x="348"/>
        <item x="679"/>
        <item x="2011"/>
        <item x="2012"/>
        <item x="1955"/>
        <item x="53"/>
        <item x="1113"/>
        <item x="1306"/>
        <item x="2745"/>
        <item x="2562"/>
        <item x="126"/>
        <item x="479"/>
        <item x="1936"/>
        <item x="1205"/>
        <item x="2411"/>
        <item x="2412"/>
        <item x="2644"/>
        <item x="410"/>
        <item x="127"/>
        <item x="2804"/>
        <item x="2098"/>
        <item x="2401"/>
        <item x="349"/>
        <item x="69"/>
        <item x="2099"/>
        <item x="1617"/>
        <item x="2746"/>
        <item x="2151"/>
        <item x="2912"/>
        <item x="350"/>
        <item x="2209"/>
        <item x="2781"/>
        <item x="2666"/>
        <item x="54"/>
        <item x="480"/>
        <item x="2210"/>
        <item x="905"/>
        <item x="1551"/>
        <item x="811"/>
        <item x="2584"/>
        <item x="2585"/>
        <item x="1079"/>
        <item x="2303"/>
        <item x="1605"/>
        <item x="584"/>
        <item x="2586"/>
        <item x="320"/>
        <item x="2413"/>
        <item x="2211"/>
        <item x="816"/>
        <item x="585"/>
        <item x="481"/>
        <item x="2716"/>
        <item x="524"/>
        <item x="415"/>
        <item x="731"/>
        <item x="2013"/>
        <item x="2073"/>
        <item x="1018"/>
        <item x="55"/>
        <item x="252"/>
        <item x="1080"/>
        <item x="1243"/>
        <item x="1753"/>
        <item x="680"/>
        <item x="93"/>
        <item x="586"/>
        <item x="1937"/>
        <item x="2249"/>
        <item x="2502"/>
        <item x="2805"/>
        <item x="681"/>
        <item x="1783"/>
        <item x="129"/>
        <item x="732"/>
        <item x="2587"/>
        <item x="1351"/>
        <item x="2494"/>
        <item x="130"/>
        <item x="2632"/>
        <item x="2842"/>
        <item x="1517"/>
        <item x="1000"/>
        <item x="2212"/>
        <item x="2633"/>
        <item x="525"/>
        <item x="1934"/>
        <item x="682"/>
        <item x="1938"/>
        <item x="2461"/>
        <item x="1552"/>
        <item x="2298"/>
        <item x="1376"/>
        <item x="1619"/>
        <item x="1692"/>
        <item x="2843"/>
        <item x="2961"/>
        <item x="1935"/>
        <item x="2588"/>
        <item x="1606"/>
        <item x="2251"/>
        <item x="817"/>
        <item x="2717"/>
        <item x="683"/>
        <item x="71"/>
        <item x="2100"/>
        <item x="2589"/>
        <item x="314"/>
        <item x="1607"/>
        <item x="482"/>
        <item x="1001"/>
        <item x="1114"/>
        <item x="2590"/>
        <item x="2634"/>
        <item x="2645"/>
        <item x="483"/>
        <item x="1956"/>
        <item x="2203"/>
        <item x="2962"/>
        <item x="96"/>
        <item x="2101"/>
        <item x="2074"/>
        <item x="1553"/>
        <item x="1939"/>
        <item x="2102"/>
        <item x="818"/>
        <item x="2963"/>
        <item x="72"/>
        <item x="728"/>
        <item x="2503"/>
        <item x="2591"/>
        <item x="73"/>
        <item x="1352"/>
        <item x="2592"/>
        <item x="962"/>
        <item x="2646"/>
        <item x="2647"/>
        <item x="56"/>
        <item x="2806"/>
        <item x="1754"/>
        <item x="2305"/>
        <item x="526"/>
        <item x="1940"/>
        <item x="74"/>
        <item x="1755"/>
        <item x="878"/>
        <item x="819"/>
        <item x="928"/>
        <item x="1246"/>
        <item x="321"/>
        <item x="2718"/>
        <item x="2252"/>
        <item x="2213"/>
        <item x="879"/>
        <item x="2668"/>
        <item x="2253"/>
        <item x="1608"/>
        <item x="2844"/>
        <item x="2593"/>
        <item x="2845"/>
        <item x="527"/>
        <item x="528"/>
        <item x="820"/>
        <item x="2075"/>
        <item x="1247"/>
        <item x="1307"/>
        <item x="2964"/>
        <item x="605"/>
        <item x="31"/>
        <item x="2635"/>
        <item x="1957"/>
        <item x="2594"/>
        <item x="684"/>
        <item x="587"/>
        <item x="2965"/>
        <item x="2103"/>
        <item x="2669"/>
        <item x="484"/>
        <item x="588"/>
        <item x="1248"/>
        <item x="1568"/>
        <item x="1750"/>
        <item x="2415"/>
        <item x="1840"/>
        <item x="2975"/>
        <item x="2903"/>
        <item x="2904"/>
        <item x="40"/>
        <item x="2976"/>
        <item x="1258"/>
        <item x="1879"/>
        <item x="2352"/>
        <item x="1391"/>
        <item x="1107"/>
        <item x="1260"/>
        <item x="1342"/>
        <item x="2384"/>
        <item x="1574"/>
        <item x="564"/>
        <item x="1989"/>
        <item x="1854"/>
        <item x="2130"/>
        <item x="707"/>
        <item x="867"/>
        <item x="868"/>
        <item x="2393"/>
        <item x="443"/>
        <item x="959"/>
        <item x="2529"/>
        <item x="2394"/>
        <item x="2555"/>
        <item x="438"/>
        <item x="2286"/>
        <item x="855"/>
        <item x="635"/>
        <item x="1978"/>
        <item x="1357"/>
        <item x="1085"/>
        <item x="2470"/>
        <item x="2767"/>
        <item x="2268"/>
        <item x="2680"/>
        <item x="2679"/>
        <item x="63"/>
        <item x="1557"/>
        <item x="1763"/>
        <item x="2652"/>
        <item x="1005"/>
        <item x="1006"/>
        <item x="1701"/>
        <item x="496"/>
        <item x="1707"/>
        <item x="86"/>
        <item x="1086"/>
        <item x="832"/>
        <item x="2757"/>
        <item x="2766"/>
        <item x="385"/>
        <item x="2202"/>
        <item x="2797"/>
        <item x="2575"/>
        <item x="313"/>
        <item x="346"/>
        <item x="1547"/>
        <item x="1343"/>
        <item x="896"/>
        <item x="2693"/>
        <item x="2824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1">
        <item x="7"/>
        <item h="1" x="6"/>
        <item h="1" x="0"/>
        <item x="2"/>
        <item h="1" x="3"/>
        <item x="4"/>
        <item x="9"/>
        <item x="5"/>
        <item h="1" x="1"/>
        <item h="1" x="8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0"/>
  </rowFields>
  <rowItems count="947">
    <i>
      <x v="1"/>
    </i>
    <i>
      <x v="2"/>
    </i>
    <i>
      <x v="5"/>
    </i>
    <i>
      <x v="6"/>
    </i>
    <i>
      <x v="7"/>
    </i>
    <i>
      <x v="9"/>
    </i>
    <i>
      <x v="10"/>
    </i>
    <i>
      <x v="13"/>
    </i>
    <i>
      <x v="14"/>
    </i>
    <i>
      <x v="17"/>
    </i>
    <i>
      <x v="27"/>
    </i>
    <i>
      <x v="28"/>
    </i>
    <i>
      <x v="30"/>
    </i>
    <i>
      <x v="31"/>
    </i>
    <i>
      <x v="34"/>
    </i>
    <i>
      <x v="36"/>
    </i>
    <i>
      <x v="40"/>
    </i>
    <i>
      <x v="42"/>
    </i>
    <i>
      <x v="43"/>
    </i>
    <i>
      <x v="44"/>
    </i>
    <i>
      <x v="46"/>
    </i>
    <i>
      <x v="47"/>
    </i>
    <i>
      <x v="48"/>
    </i>
    <i>
      <x v="50"/>
    </i>
    <i>
      <x v="51"/>
    </i>
    <i>
      <x v="52"/>
    </i>
    <i>
      <x v="56"/>
    </i>
    <i>
      <x v="60"/>
    </i>
    <i>
      <x v="64"/>
    </i>
    <i>
      <x v="65"/>
    </i>
    <i>
      <x v="71"/>
    </i>
    <i>
      <x v="75"/>
    </i>
    <i>
      <x v="80"/>
    </i>
    <i>
      <x v="82"/>
    </i>
    <i>
      <x v="83"/>
    </i>
    <i>
      <x v="91"/>
    </i>
    <i>
      <x v="93"/>
    </i>
    <i>
      <x v="96"/>
    </i>
    <i>
      <x v="98"/>
    </i>
    <i>
      <x v="100"/>
    </i>
    <i>
      <x v="107"/>
    </i>
    <i>
      <x v="109"/>
    </i>
    <i>
      <x v="110"/>
    </i>
    <i>
      <x v="114"/>
    </i>
    <i>
      <x v="115"/>
    </i>
    <i>
      <x v="117"/>
    </i>
    <i>
      <x v="118"/>
    </i>
    <i>
      <x v="119"/>
    </i>
    <i>
      <x v="122"/>
    </i>
    <i>
      <x v="123"/>
    </i>
    <i>
      <x v="127"/>
    </i>
    <i>
      <x v="128"/>
    </i>
    <i>
      <x v="136"/>
    </i>
    <i>
      <x v="137"/>
    </i>
    <i>
      <x v="138"/>
    </i>
    <i>
      <x v="140"/>
    </i>
    <i>
      <x v="143"/>
    </i>
    <i>
      <x v="145"/>
    </i>
    <i>
      <x v="146"/>
    </i>
    <i>
      <x v="147"/>
    </i>
    <i>
      <x v="150"/>
    </i>
    <i>
      <x v="153"/>
    </i>
    <i>
      <x v="155"/>
    </i>
    <i>
      <x v="157"/>
    </i>
    <i>
      <x v="158"/>
    </i>
    <i>
      <x v="160"/>
    </i>
    <i>
      <x v="162"/>
    </i>
    <i>
      <x v="167"/>
    </i>
    <i>
      <x v="168"/>
    </i>
    <i>
      <x v="169"/>
    </i>
    <i>
      <x v="172"/>
    </i>
    <i>
      <x v="173"/>
    </i>
    <i>
      <x v="176"/>
    </i>
    <i>
      <x v="184"/>
    </i>
    <i>
      <x v="191"/>
    </i>
    <i>
      <x v="194"/>
    </i>
    <i>
      <x v="196"/>
    </i>
    <i>
      <x v="198"/>
    </i>
    <i>
      <x v="201"/>
    </i>
    <i>
      <x v="203"/>
    </i>
    <i>
      <x v="204"/>
    </i>
    <i>
      <x v="207"/>
    </i>
    <i>
      <x v="210"/>
    </i>
    <i>
      <x v="211"/>
    </i>
    <i>
      <x v="212"/>
    </i>
    <i>
      <x v="220"/>
    </i>
    <i>
      <x v="223"/>
    </i>
    <i>
      <x v="224"/>
    </i>
    <i>
      <x v="227"/>
    </i>
    <i>
      <x v="228"/>
    </i>
    <i>
      <x v="229"/>
    </i>
    <i>
      <x v="233"/>
    </i>
    <i>
      <x v="237"/>
    </i>
    <i>
      <x v="238"/>
    </i>
    <i>
      <x v="239"/>
    </i>
    <i>
      <x v="240"/>
    </i>
    <i>
      <x v="242"/>
    </i>
    <i>
      <x v="248"/>
    </i>
    <i>
      <x v="252"/>
    </i>
    <i>
      <x v="253"/>
    </i>
    <i>
      <x v="254"/>
    </i>
    <i>
      <x v="258"/>
    </i>
    <i>
      <x v="260"/>
    </i>
    <i>
      <x v="265"/>
    </i>
    <i>
      <x v="268"/>
    </i>
    <i>
      <x v="269"/>
    </i>
    <i>
      <x v="271"/>
    </i>
    <i>
      <x v="273"/>
    </i>
    <i>
      <x v="277"/>
    </i>
    <i>
      <x v="280"/>
    </i>
    <i>
      <x v="282"/>
    </i>
    <i>
      <x v="283"/>
    </i>
    <i>
      <x v="284"/>
    </i>
    <i>
      <x v="288"/>
    </i>
    <i>
      <x v="291"/>
    </i>
    <i>
      <x v="292"/>
    </i>
    <i>
      <x v="295"/>
    </i>
    <i>
      <x v="296"/>
    </i>
    <i>
      <x v="298"/>
    </i>
    <i>
      <x v="302"/>
    </i>
    <i>
      <x v="303"/>
    </i>
    <i>
      <x v="305"/>
    </i>
    <i>
      <x v="306"/>
    </i>
    <i>
      <x v="307"/>
    </i>
    <i>
      <x v="310"/>
    </i>
    <i>
      <x v="311"/>
    </i>
    <i>
      <x v="312"/>
    </i>
    <i>
      <x v="316"/>
    </i>
    <i>
      <x v="317"/>
    </i>
    <i>
      <x v="320"/>
    </i>
    <i>
      <x v="332"/>
    </i>
    <i>
      <x v="333"/>
    </i>
    <i>
      <x v="334"/>
    </i>
    <i>
      <x v="335"/>
    </i>
    <i>
      <x v="340"/>
    </i>
    <i>
      <x v="341"/>
    </i>
    <i>
      <x v="343"/>
    </i>
    <i>
      <x v="344"/>
    </i>
    <i>
      <x v="348"/>
    </i>
    <i>
      <x v="349"/>
    </i>
    <i>
      <x v="353"/>
    </i>
    <i>
      <x v="356"/>
    </i>
    <i>
      <x v="357"/>
    </i>
    <i>
      <x v="359"/>
    </i>
    <i>
      <x v="362"/>
    </i>
    <i>
      <x v="364"/>
    </i>
    <i>
      <x v="365"/>
    </i>
    <i>
      <x v="367"/>
    </i>
    <i>
      <x v="376"/>
    </i>
    <i>
      <x v="377"/>
    </i>
    <i>
      <x v="383"/>
    </i>
    <i>
      <x v="385"/>
    </i>
    <i>
      <x v="394"/>
    </i>
    <i>
      <x v="397"/>
    </i>
    <i>
      <x v="400"/>
    </i>
    <i>
      <x v="409"/>
    </i>
    <i>
      <x v="410"/>
    </i>
    <i>
      <x v="415"/>
    </i>
    <i>
      <x v="416"/>
    </i>
    <i>
      <x v="417"/>
    </i>
    <i>
      <x v="419"/>
    </i>
    <i>
      <x v="421"/>
    </i>
    <i>
      <x v="422"/>
    </i>
    <i>
      <x v="425"/>
    </i>
    <i>
      <x v="427"/>
    </i>
    <i>
      <x v="428"/>
    </i>
    <i>
      <x v="430"/>
    </i>
    <i>
      <x v="434"/>
    </i>
    <i>
      <x v="435"/>
    </i>
    <i>
      <x v="442"/>
    </i>
    <i>
      <x v="443"/>
    </i>
    <i>
      <x v="444"/>
    </i>
    <i>
      <x v="446"/>
    </i>
    <i>
      <x v="447"/>
    </i>
    <i>
      <x v="448"/>
    </i>
    <i>
      <x v="449"/>
    </i>
    <i>
      <x v="452"/>
    </i>
    <i>
      <x v="456"/>
    </i>
    <i>
      <x v="458"/>
    </i>
    <i>
      <x v="459"/>
    </i>
    <i>
      <x v="460"/>
    </i>
    <i>
      <x v="462"/>
    </i>
    <i>
      <x v="463"/>
    </i>
    <i>
      <x v="465"/>
    </i>
    <i>
      <x v="466"/>
    </i>
    <i>
      <x v="467"/>
    </i>
    <i>
      <x v="469"/>
    </i>
    <i>
      <x v="470"/>
    </i>
    <i>
      <x v="474"/>
    </i>
    <i>
      <x v="478"/>
    </i>
    <i>
      <x v="481"/>
    </i>
    <i>
      <x v="483"/>
    </i>
    <i>
      <x v="484"/>
    </i>
    <i>
      <x v="486"/>
    </i>
    <i>
      <x v="488"/>
    </i>
    <i>
      <x v="494"/>
    </i>
    <i>
      <x v="496"/>
    </i>
    <i>
      <x v="497"/>
    </i>
    <i>
      <x v="500"/>
    </i>
    <i>
      <x v="501"/>
    </i>
    <i>
      <x v="505"/>
    </i>
    <i>
      <x v="506"/>
    </i>
    <i>
      <x v="507"/>
    </i>
    <i>
      <x v="508"/>
    </i>
    <i>
      <x v="509"/>
    </i>
    <i>
      <x v="511"/>
    </i>
    <i>
      <x v="514"/>
    </i>
    <i>
      <x v="516"/>
    </i>
    <i>
      <x v="520"/>
    </i>
    <i>
      <x v="524"/>
    </i>
    <i>
      <x v="529"/>
    </i>
    <i>
      <x v="531"/>
    </i>
    <i>
      <x v="532"/>
    </i>
    <i>
      <x v="533"/>
    </i>
    <i>
      <x v="535"/>
    </i>
    <i>
      <x v="537"/>
    </i>
    <i>
      <x v="538"/>
    </i>
    <i>
      <x v="539"/>
    </i>
    <i>
      <x v="541"/>
    </i>
    <i>
      <x v="548"/>
    </i>
    <i>
      <x v="549"/>
    </i>
    <i>
      <x v="552"/>
    </i>
    <i>
      <x v="554"/>
    </i>
    <i>
      <x v="557"/>
    </i>
    <i>
      <x v="560"/>
    </i>
    <i>
      <x v="564"/>
    </i>
    <i>
      <x v="565"/>
    </i>
    <i>
      <x v="570"/>
    </i>
    <i>
      <x v="575"/>
    </i>
    <i>
      <x v="580"/>
    </i>
    <i>
      <x v="600"/>
    </i>
    <i>
      <x v="601"/>
    </i>
    <i>
      <x v="607"/>
    </i>
    <i>
      <x v="611"/>
    </i>
    <i>
      <x v="626"/>
    </i>
    <i>
      <x v="634"/>
    </i>
    <i>
      <x v="651"/>
    </i>
    <i>
      <x v="659"/>
    </i>
    <i>
      <x v="669"/>
    </i>
    <i>
      <x v="672"/>
    </i>
    <i>
      <x v="673"/>
    </i>
    <i>
      <x v="674"/>
    </i>
    <i>
      <x v="676"/>
    </i>
    <i>
      <x v="689"/>
    </i>
    <i>
      <x v="691"/>
    </i>
    <i>
      <x v="692"/>
    </i>
    <i>
      <x v="697"/>
    </i>
    <i>
      <x v="698"/>
    </i>
    <i>
      <x v="710"/>
    </i>
    <i>
      <x v="714"/>
    </i>
    <i>
      <x v="725"/>
    </i>
    <i>
      <x v="751"/>
    </i>
    <i>
      <x v="758"/>
    </i>
    <i>
      <x v="765"/>
    </i>
    <i>
      <x v="777"/>
    </i>
    <i>
      <x v="781"/>
    </i>
    <i>
      <x v="786"/>
    </i>
    <i>
      <x v="792"/>
    </i>
    <i>
      <x v="798"/>
    </i>
    <i>
      <x v="803"/>
    </i>
    <i>
      <x v="805"/>
    </i>
    <i>
      <x v="811"/>
    </i>
    <i>
      <x v="814"/>
    </i>
    <i>
      <x v="815"/>
    </i>
    <i>
      <x v="817"/>
    </i>
    <i>
      <x v="818"/>
    </i>
    <i>
      <x v="819"/>
    </i>
    <i>
      <x v="820"/>
    </i>
    <i>
      <x v="823"/>
    </i>
    <i>
      <x v="830"/>
    </i>
    <i>
      <x v="833"/>
    </i>
    <i>
      <x v="834"/>
    </i>
    <i>
      <x v="845"/>
    </i>
    <i>
      <x v="847"/>
    </i>
    <i>
      <x v="849"/>
    </i>
    <i>
      <x v="852"/>
    </i>
    <i>
      <x v="853"/>
    </i>
    <i>
      <x v="859"/>
    </i>
    <i>
      <x v="861"/>
    </i>
    <i>
      <x v="862"/>
    </i>
    <i>
      <x v="864"/>
    </i>
    <i>
      <x v="869"/>
    </i>
    <i>
      <x v="871"/>
    </i>
    <i>
      <x v="880"/>
    </i>
    <i>
      <x v="881"/>
    </i>
    <i>
      <x v="882"/>
    </i>
    <i>
      <x v="886"/>
    </i>
    <i>
      <x v="889"/>
    </i>
    <i>
      <x v="892"/>
    </i>
    <i>
      <x v="897"/>
    </i>
    <i>
      <x v="899"/>
    </i>
    <i>
      <x v="900"/>
    </i>
    <i>
      <x v="901"/>
    </i>
    <i>
      <x v="905"/>
    </i>
    <i>
      <x v="907"/>
    </i>
    <i>
      <x v="909"/>
    </i>
    <i>
      <x v="910"/>
    </i>
    <i>
      <x v="911"/>
    </i>
    <i>
      <x v="912"/>
    </i>
    <i>
      <x v="913"/>
    </i>
    <i>
      <x v="917"/>
    </i>
    <i>
      <x v="921"/>
    </i>
    <i>
      <x v="923"/>
    </i>
    <i>
      <x v="927"/>
    </i>
    <i>
      <x v="936"/>
    </i>
    <i>
      <x v="945"/>
    </i>
    <i>
      <x v="949"/>
    </i>
    <i>
      <x v="952"/>
    </i>
    <i>
      <x v="955"/>
    </i>
    <i>
      <x v="958"/>
    </i>
    <i>
      <x v="960"/>
    </i>
    <i>
      <x v="962"/>
    </i>
    <i>
      <x v="967"/>
    </i>
    <i>
      <x v="968"/>
    </i>
    <i>
      <x v="974"/>
    </i>
    <i>
      <x v="978"/>
    </i>
    <i>
      <x v="982"/>
    </i>
    <i>
      <x v="983"/>
    </i>
    <i>
      <x v="986"/>
    </i>
    <i>
      <x v="988"/>
    </i>
    <i>
      <x v="989"/>
    </i>
    <i>
      <x v="991"/>
    </i>
    <i>
      <x v="1000"/>
    </i>
    <i>
      <x v="1001"/>
    </i>
    <i>
      <x v="1002"/>
    </i>
    <i>
      <x v="1003"/>
    </i>
    <i>
      <x v="1004"/>
    </i>
    <i>
      <x v="1007"/>
    </i>
    <i>
      <x v="1010"/>
    </i>
    <i>
      <x v="1014"/>
    </i>
    <i>
      <x v="1015"/>
    </i>
    <i>
      <x v="1018"/>
    </i>
    <i>
      <x v="1024"/>
    </i>
    <i>
      <x v="1029"/>
    </i>
    <i>
      <x v="1030"/>
    </i>
    <i>
      <x v="1031"/>
    </i>
    <i>
      <x v="1035"/>
    </i>
    <i>
      <x v="1036"/>
    </i>
    <i>
      <x v="1043"/>
    </i>
    <i>
      <x v="1048"/>
    </i>
    <i>
      <x v="1059"/>
    </i>
    <i>
      <x v="1060"/>
    </i>
    <i>
      <x v="1061"/>
    </i>
    <i>
      <x v="1063"/>
    </i>
    <i>
      <x v="1065"/>
    </i>
    <i>
      <x v="1067"/>
    </i>
    <i>
      <x v="1077"/>
    </i>
    <i>
      <x v="1081"/>
    </i>
    <i>
      <x v="1085"/>
    </i>
    <i>
      <x v="1086"/>
    </i>
    <i>
      <x v="1092"/>
    </i>
    <i>
      <x v="1093"/>
    </i>
    <i>
      <x v="1099"/>
    </i>
    <i>
      <x v="1102"/>
    </i>
    <i>
      <x v="1103"/>
    </i>
    <i>
      <x v="1106"/>
    </i>
    <i>
      <x v="1107"/>
    </i>
    <i>
      <x v="1109"/>
    </i>
    <i>
      <x v="1114"/>
    </i>
    <i>
      <x v="1115"/>
    </i>
    <i>
      <x v="1120"/>
    </i>
    <i>
      <x v="1124"/>
    </i>
    <i>
      <x v="1126"/>
    </i>
    <i>
      <x v="1129"/>
    </i>
    <i>
      <x v="1135"/>
    </i>
    <i>
      <x v="1136"/>
    </i>
    <i>
      <x v="1139"/>
    </i>
    <i>
      <x v="1140"/>
    </i>
    <i>
      <x v="1142"/>
    </i>
    <i>
      <x v="1144"/>
    </i>
    <i>
      <x v="1151"/>
    </i>
    <i>
      <x v="1153"/>
    </i>
    <i>
      <x v="1156"/>
    </i>
    <i>
      <x v="1158"/>
    </i>
    <i>
      <x v="1160"/>
    </i>
    <i>
      <x v="1161"/>
    </i>
    <i>
      <x v="1163"/>
    </i>
    <i>
      <x v="1164"/>
    </i>
    <i>
      <x v="1165"/>
    </i>
    <i>
      <x v="1166"/>
    </i>
    <i>
      <x v="1167"/>
    </i>
    <i>
      <x v="1168"/>
    </i>
    <i>
      <x v="1171"/>
    </i>
    <i>
      <x v="1173"/>
    </i>
    <i>
      <x v="1174"/>
    </i>
    <i>
      <x v="1186"/>
    </i>
    <i>
      <x v="1189"/>
    </i>
    <i>
      <x v="1208"/>
    </i>
    <i>
      <x v="1209"/>
    </i>
    <i>
      <x v="1214"/>
    </i>
    <i>
      <x v="1215"/>
    </i>
    <i>
      <x v="1216"/>
    </i>
    <i>
      <x v="1217"/>
    </i>
    <i>
      <x v="1218"/>
    </i>
    <i>
      <x v="1220"/>
    </i>
    <i>
      <x v="1223"/>
    </i>
    <i>
      <x v="1224"/>
    </i>
    <i>
      <x v="1225"/>
    </i>
    <i>
      <x v="1232"/>
    </i>
    <i>
      <x v="1235"/>
    </i>
    <i>
      <x v="1237"/>
    </i>
    <i>
      <x v="1241"/>
    </i>
    <i>
      <x v="1244"/>
    </i>
    <i>
      <x v="1247"/>
    </i>
    <i>
      <x v="1248"/>
    </i>
    <i>
      <x v="1249"/>
    </i>
    <i>
      <x v="1259"/>
    </i>
    <i>
      <x v="1266"/>
    </i>
    <i>
      <x v="1269"/>
    </i>
    <i>
      <x v="1270"/>
    </i>
    <i>
      <x v="1277"/>
    </i>
    <i>
      <x v="1288"/>
    </i>
    <i>
      <x v="1290"/>
    </i>
    <i>
      <x v="1292"/>
    </i>
    <i>
      <x v="1293"/>
    </i>
    <i>
      <x v="1296"/>
    </i>
    <i>
      <x v="1298"/>
    </i>
    <i>
      <x v="1299"/>
    </i>
    <i>
      <x v="1302"/>
    </i>
    <i>
      <x v="1303"/>
    </i>
    <i>
      <x v="1305"/>
    </i>
    <i>
      <x v="1306"/>
    </i>
    <i>
      <x v="1308"/>
    </i>
    <i>
      <x v="1309"/>
    </i>
    <i>
      <x v="1311"/>
    </i>
    <i>
      <x v="1316"/>
    </i>
    <i>
      <x v="1320"/>
    </i>
    <i>
      <x v="1324"/>
    </i>
    <i>
      <x v="1325"/>
    </i>
    <i>
      <x v="1329"/>
    </i>
    <i>
      <x v="1339"/>
    </i>
    <i>
      <x v="1341"/>
    </i>
    <i>
      <x v="1343"/>
    </i>
    <i>
      <x v="1344"/>
    </i>
    <i>
      <x v="1345"/>
    </i>
    <i>
      <x v="1348"/>
    </i>
    <i>
      <x v="1350"/>
    </i>
    <i>
      <x v="1351"/>
    </i>
    <i>
      <x v="1352"/>
    </i>
    <i>
      <x v="1354"/>
    </i>
    <i>
      <x v="1357"/>
    </i>
    <i>
      <x v="1358"/>
    </i>
    <i>
      <x v="1362"/>
    </i>
    <i>
      <x v="1366"/>
    </i>
    <i>
      <x v="1370"/>
    </i>
    <i>
      <x v="1376"/>
    </i>
    <i>
      <x v="1378"/>
    </i>
    <i>
      <x v="1381"/>
    </i>
    <i>
      <x v="1385"/>
    </i>
    <i>
      <x v="1389"/>
    </i>
    <i>
      <x v="1390"/>
    </i>
    <i>
      <x v="1391"/>
    </i>
    <i>
      <x v="1392"/>
    </i>
    <i>
      <x v="1394"/>
    </i>
    <i>
      <x v="1396"/>
    </i>
    <i>
      <x v="1400"/>
    </i>
    <i>
      <x v="1403"/>
    </i>
    <i>
      <x v="1405"/>
    </i>
    <i>
      <x v="1408"/>
    </i>
    <i>
      <x v="1410"/>
    </i>
    <i>
      <x v="1412"/>
    </i>
    <i>
      <x v="1414"/>
    </i>
    <i>
      <x v="1416"/>
    </i>
    <i>
      <x v="1421"/>
    </i>
    <i>
      <x v="1423"/>
    </i>
    <i>
      <x v="1427"/>
    </i>
    <i>
      <x v="1428"/>
    </i>
    <i>
      <x v="1432"/>
    </i>
    <i>
      <x v="1433"/>
    </i>
    <i>
      <x v="1436"/>
    </i>
    <i>
      <x v="1438"/>
    </i>
    <i>
      <x v="1441"/>
    </i>
    <i>
      <x v="1443"/>
    </i>
    <i>
      <x v="1445"/>
    </i>
    <i>
      <x v="1447"/>
    </i>
    <i>
      <x v="1449"/>
    </i>
    <i>
      <x v="1450"/>
    </i>
    <i>
      <x v="1452"/>
    </i>
    <i>
      <x v="1453"/>
    </i>
    <i>
      <x v="1457"/>
    </i>
    <i>
      <x v="1460"/>
    </i>
    <i>
      <x v="1461"/>
    </i>
    <i>
      <x v="1462"/>
    </i>
    <i>
      <x v="1463"/>
    </i>
    <i>
      <x v="1464"/>
    </i>
    <i>
      <x v="1465"/>
    </i>
    <i>
      <x v="1467"/>
    </i>
    <i>
      <x v="1471"/>
    </i>
    <i>
      <x v="1480"/>
    </i>
    <i>
      <x v="1481"/>
    </i>
    <i>
      <x v="1485"/>
    </i>
    <i>
      <x v="1491"/>
    </i>
    <i>
      <x v="1492"/>
    </i>
    <i>
      <x v="1498"/>
    </i>
    <i>
      <x v="1500"/>
    </i>
    <i>
      <x v="1501"/>
    </i>
    <i>
      <x v="1503"/>
    </i>
    <i>
      <x v="1504"/>
    </i>
    <i>
      <x v="1505"/>
    </i>
    <i>
      <x v="1510"/>
    </i>
    <i>
      <x v="1513"/>
    </i>
    <i>
      <x v="1524"/>
    </i>
    <i>
      <x v="1529"/>
    </i>
    <i>
      <x v="1531"/>
    </i>
    <i>
      <x v="1544"/>
    </i>
    <i>
      <x v="1546"/>
    </i>
    <i>
      <x v="1551"/>
    </i>
    <i>
      <x v="1555"/>
    </i>
    <i>
      <x v="1557"/>
    </i>
    <i>
      <x v="1558"/>
    </i>
    <i>
      <x v="1559"/>
    </i>
    <i>
      <x v="1562"/>
    </i>
    <i>
      <x v="1563"/>
    </i>
    <i>
      <x v="1564"/>
    </i>
    <i>
      <x v="1567"/>
    </i>
    <i>
      <x v="1571"/>
    </i>
    <i>
      <x v="1572"/>
    </i>
    <i>
      <x v="1573"/>
    </i>
    <i>
      <x v="1576"/>
    </i>
    <i>
      <x v="1578"/>
    </i>
    <i>
      <x v="1579"/>
    </i>
    <i>
      <x v="1581"/>
    </i>
    <i>
      <x v="1583"/>
    </i>
    <i>
      <x v="1588"/>
    </i>
    <i>
      <x v="1590"/>
    </i>
    <i>
      <x v="1591"/>
    </i>
    <i>
      <x v="1597"/>
    </i>
    <i>
      <x v="1598"/>
    </i>
    <i>
      <x v="1600"/>
    </i>
    <i>
      <x v="1605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20"/>
    </i>
    <i>
      <x v="1621"/>
    </i>
    <i>
      <x v="1624"/>
    </i>
    <i>
      <x v="1626"/>
    </i>
    <i>
      <x v="1627"/>
    </i>
    <i>
      <x v="1630"/>
    </i>
    <i>
      <x v="1633"/>
    </i>
    <i>
      <x v="1634"/>
    </i>
    <i>
      <x v="1636"/>
    </i>
    <i>
      <x v="1637"/>
    </i>
    <i>
      <x v="1639"/>
    </i>
    <i>
      <x v="1643"/>
    </i>
    <i>
      <x v="1647"/>
    </i>
    <i>
      <x v="1652"/>
    </i>
    <i>
      <x v="1665"/>
    </i>
    <i>
      <x v="1667"/>
    </i>
    <i>
      <x v="1668"/>
    </i>
    <i>
      <x v="1671"/>
    </i>
    <i>
      <x v="1672"/>
    </i>
    <i>
      <x v="1673"/>
    </i>
    <i>
      <x v="1675"/>
    </i>
    <i>
      <x v="1677"/>
    </i>
    <i>
      <x v="1679"/>
    </i>
    <i>
      <x v="1684"/>
    </i>
    <i>
      <x v="1686"/>
    </i>
    <i>
      <x v="1688"/>
    </i>
    <i>
      <x v="1692"/>
    </i>
    <i>
      <x v="1693"/>
    </i>
    <i>
      <x v="1695"/>
    </i>
    <i>
      <x v="1701"/>
    </i>
    <i>
      <x v="1703"/>
    </i>
    <i>
      <x v="1705"/>
    </i>
    <i>
      <x v="1707"/>
    </i>
    <i>
      <x v="1715"/>
    </i>
    <i>
      <x v="1721"/>
    </i>
    <i>
      <x v="1724"/>
    </i>
    <i>
      <x v="1725"/>
    </i>
    <i>
      <x v="1726"/>
    </i>
    <i>
      <x v="1730"/>
    </i>
    <i>
      <x v="1731"/>
    </i>
    <i>
      <x v="1735"/>
    </i>
    <i>
      <x v="1739"/>
    </i>
    <i>
      <x v="1745"/>
    </i>
    <i>
      <x v="1746"/>
    </i>
    <i>
      <x v="1747"/>
    </i>
    <i>
      <x v="1748"/>
    </i>
    <i>
      <x v="1753"/>
    </i>
    <i>
      <x v="1761"/>
    </i>
    <i>
      <x v="1767"/>
    </i>
    <i>
      <x v="1768"/>
    </i>
    <i>
      <x v="1769"/>
    </i>
    <i>
      <x v="1770"/>
    </i>
    <i>
      <x v="1772"/>
    </i>
    <i>
      <x v="1773"/>
    </i>
    <i>
      <x v="1775"/>
    </i>
    <i>
      <x v="1779"/>
    </i>
    <i>
      <x v="1780"/>
    </i>
    <i>
      <x v="1784"/>
    </i>
    <i>
      <x v="1786"/>
    </i>
    <i>
      <x v="1788"/>
    </i>
    <i>
      <x v="1795"/>
    </i>
    <i>
      <x v="1796"/>
    </i>
    <i>
      <x v="1798"/>
    </i>
    <i>
      <x v="1799"/>
    </i>
    <i>
      <x v="1804"/>
    </i>
    <i>
      <x v="1806"/>
    </i>
    <i>
      <x v="1807"/>
    </i>
    <i>
      <x v="1811"/>
    </i>
    <i>
      <x v="1815"/>
    </i>
    <i>
      <x v="1816"/>
    </i>
    <i>
      <x v="1822"/>
    </i>
    <i>
      <x v="1826"/>
    </i>
    <i>
      <x v="1828"/>
    </i>
    <i>
      <x v="1830"/>
    </i>
    <i>
      <x v="1832"/>
    </i>
    <i>
      <x v="1838"/>
    </i>
    <i>
      <x v="1840"/>
    </i>
    <i>
      <x v="1844"/>
    </i>
    <i>
      <x v="1847"/>
    </i>
    <i>
      <x v="1852"/>
    </i>
    <i>
      <x v="1858"/>
    </i>
    <i>
      <x v="1859"/>
    </i>
    <i>
      <x v="1862"/>
    </i>
    <i>
      <x v="1864"/>
    </i>
    <i>
      <x v="1875"/>
    </i>
    <i>
      <x v="1880"/>
    </i>
    <i>
      <x v="1883"/>
    </i>
    <i>
      <x v="1889"/>
    </i>
    <i>
      <x v="1891"/>
    </i>
    <i>
      <x v="1892"/>
    </i>
    <i>
      <x v="1900"/>
    </i>
    <i>
      <x v="1903"/>
    </i>
    <i>
      <x v="1906"/>
    </i>
    <i>
      <x v="1907"/>
    </i>
    <i>
      <x v="1909"/>
    </i>
    <i>
      <x v="1910"/>
    </i>
    <i>
      <x v="1911"/>
    </i>
    <i>
      <x v="1917"/>
    </i>
    <i>
      <x v="1921"/>
    </i>
    <i>
      <x v="1928"/>
    </i>
    <i>
      <x v="1936"/>
    </i>
    <i>
      <x v="1938"/>
    </i>
    <i>
      <x v="1947"/>
    </i>
    <i>
      <x v="1951"/>
    </i>
    <i>
      <x v="1956"/>
    </i>
    <i>
      <x v="1957"/>
    </i>
    <i>
      <x v="1959"/>
    </i>
    <i>
      <x v="1972"/>
    </i>
    <i>
      <x v="1973"/>
    </i>
    <i>
      <x v="1978"/>
    </i>
    <i>
      <x v="1980"/>
    </i>
    <i>
      <x v="1982"/>
    </i>
    <i>
      <x v="1990"/>
    </i>
    <i>
      <x v="1994"/>
    </i>
    <i>
      <x v="1995"/>
    </i>
    <i>
      <x v="1996"/>
    </i>
    <i>
      <x v="1997"/>
    </i>
    <i>
      <x v="1998"/>
    </i>
    <i>
      <x v="2000"/>
    </i>
    <i>
      <x v="2015"/>
    </i>
    <i>
      <x v="2020"/>
    </i>
    <i>
      <x v="2024"/>
    </i>
    <i>
      <x v="2026"/>
    </i>
    <i>
      <x v="2027"/>
    </i>
    <i>
      <x v="2033"/>
    </i>
    <i>
      <x v="2039"/>
    </i>
    <i>
      <x v="2043"/>
    </i>
    <i>
      <x v="2045"/>
    </i>
    <i>
      <x v="2046"/>
    </i>
    <i>
      <x v="2047"/>
    </i>
    <i>
      <x v="2049"/>
    </i>
    <i>
      <x v="2051"/>
    </i>
    <i>
      <x v="2053"/>
    </i>
    <i>
      <x v="2062"/>
    </i>
    <i>
      <x v="2066"/>
    </i>
    <i>
      <x v="2071"/>
    </i>
    <i>
      <x v="2072"/>
    </i>
    <i>
      <x v="2074"/>
    </i>
    <i>
      <x v="2075"/>
    </i>
    <i>
      <x v="2081"/>
    </i>
    <i>
      <x v="2082"/>
    </i>
    <i>
      <x v="2083"/>
    </i>
    <i>
      <x v="2094"/>
    </i>
    <i>
      <x v="2096"/>
    </i>
    <i>
      <x v="2098"/>
    </i>
    <i>
      <x v="2104"/>
    </i>
    <i>
      <x v="2105"/>
    </i>
    <i>
      <x v="2110"/>
    </i>
    <i>
      <x v="2111"/>
    </i>
    <i>
      <x v="2112"/>
    </i>
    <i>
      <x v="2115"/>
    </i>
    <i>
      <x v="2120"/>
    </i>
    <i>
      <x v="2126"/>
    </i>
    <i>
      <x v="2128"/>
    </i>
    <i>
      <x v="2129"/>
    </i>
    <i>
      <x v="2130"/>
    </i>
    <i>
      <x v="2131"/>
    </i>
    <i>
      <x v="2134"/>
    </i>
    <i>
      <x v="2143"/>
    </i>
    <i>
      <x v="2145"/>
    </i>
    <i>
      <x v="2146"/>
    </i>
    <i>
      <x v="2147"/>
    </i>
    <i>
      <x v="2148"/>
    </i>
    <i>
      <x v="2151"/>
    </i>
    <i>
      <x v="2154"/>
    </i>
    <i>
      <x v="2156"/>
    </i>
    <i>
      <x v="2157"/>
    </i>
    <i>
      <x v="2160"/>
    </i>
    <i>
      <x v="2164"/>
    </i>
    <i>
      <x v="2165"/>
    </i>
    <i>
      <x v="2168"/>
    </i>
    <i>
      <x v="2169"/>
    </i>
    <i>
      <x v="2170"/>
    </i>
    <i>
      <x v="2177"/>
    </i>
    <i>
      <x v="2178"/>
    </i>
    <i>
      <x v="2179"/>
    </i>
    <i>
      <x v="2181"/>
    </i>
    <i>
      <x v="2184"/>
    </i>
    <i>
      <x v="2185"/>
    </i>
    <i>
      <x v="2186"/>
    </i>
    <i>
      <x v="2188"/>
    </i>
    <i>
      <x v="2193"/>
    </i>
    <i>
      <x v="2197"/>
    </i>
    <i>
      <x v="2202"/>
    </i>
    <i>
      <x v="2205"/>
    </i>
    <i>
      <x v="2207"/>
    </i>
    <i>
      <x v="2209"/>
    </i>
    <i>
      <x v="2221"/>
    </i>
    <i>
      <x v="2223"/>
    </i>
    <i>
      <x v="2225"/>
    </i>
    <i>
      <x v="2228"/>
    </i>
    <i>
      <x v="2233"/>
    </i>
    <i>
      <x v="2236"/>
    </i>
    <i>
      <x v="2253"/>
    </i>
    <i>
      <x v="2258"/>
    </i>
    <i>
      <x v="2263"/>
    </i>
    <i>
      <x v="2272"/>
    </i>
    <i>
      <x v="2273"/>
    </i>
    <i>
      <x v="2276"/>
    </i>
    <i>
      <x v="2291"/>
    </i>
    <i>
      <x v="2292"/>
    </i>
    <i>
      <x v="2294"/>
    </i>
    <i>
      <x v="2299"/>
    </i>
    <i>
      <x v="2303"/>
    </i>
    <i>
      <x v="2318"/>
    </i>
    <i>
      <x v="2330"/>
    </i>
    <i>
      <x v="2334"/>
    </i>
    <i>
      <x v="2344"/>
    </i>
    <i>
      <x v="2354"/>
    </i>
    <i>
      <x v="2377"/>
    </i>
    <i>
      <x v="2378"/>
    </i>
    <i>
      <x v="2388"/>
    </i>
    <i>
      <x v="2389"/>
    </i>
    <i>
      <x v="2392"/>
    </i>
    <i>
      <x v="2395"/>
    </i>
    <i>
      <x v="2400"/>
    </i>
    <i>
      <x v="2404"/>
    </i>
    <i>
      <x v="2405"/>
    </i>
    <i>
      <x v="2410"/>
    </i>
    <i>
      <x v="2415"/>
    </i>
    <i>
      <x v="2416"/>
    </i>
    <i>
      <x v="2417"/>
    </i>
    <i>
      <x v="2423"/>
    </i>
    <i>
      <x v="2426"/>
    </i>
    <i>
      <x v="2427"/>
    </i>
    <i>
      <x v="2433"/>
    </i>
    <i>
      <x v="2461"/>
    </i>
    <i>
      <x v="2462"/>
    </i>
    <i>
      <x v="2469"/>
    </i>
    <i>
      <x v="2470"/>
    </i>
    <i>
      <x v="2472"/>
    </i>
    <i>
      <x v="2476"/>
    </i>
    <i>
      <x v="2483"/>
    </i>
    <i>
      <x v="2495"/>
    </i>
    <i>
      <x v="2509"/>
    </i>
    <i>
      <x v="2512"/>
    </i>
    <i>
      <x v="2523"/>
    </i>
    <i>
      <x v="2532"/>
    </i>
    <i>
      <x v="2535"/>
    </i>
    <i>
      <x v="2536"/>
    </i>
    <i>
      <x v="2537"/>
    </i>
    <i>
      <x v="2542"/>
    </i>
    <i>
      <x v="2548"/>
    </i>
    <i>
      <x v="2549"/>
    </i>
    <i>
      <x v="2551"/>
    </i>
    <i>
      <x v="2553"/>
    </i>
    <i>
      <x v="2554"/>
    </i>
    <i>
      <x v="2556"/>
    </i>
    <i>
      <x v="2557"/>
    </i>
    <i>
      <x v="2558"/>
    </i>
    <i>
      <x v="2566"/>
    </i>
    <i>
      <x v="2567"/>
    </i>
    <i>
      <x v="2569"/>
    </i>
    <i>
      <x v="2572"/>
    </i>
    <i>
      <x v="2573"/>
    </i>
    <i>
      <x v="2574"/>
    </i>
    <i>
      <x v="2576"/>
    </i>
    <i>
      <x v="2577"/>
    </i>
    <i>
      <x v="2578"/>
    </i>
    <i>
      <x v="2579"/>
    </i>
    <i>
      <x v="2580"/>
    </i>
    <i>
      <x v="2584"/>
    </i>
    <i>
      <x v="2597"/>
    </i>
    <i>
      <x v="2598"/>
    </i>
    <i>
      <x v="2600"/>
    </i>
    <i>
      <x v="2602"/>
    </i>
    <i>
      <x v="2604"/>
    </i>
    <i>
      <x v="2610"/>
    </i>
    <i>
      <x v="2611"/>
    </i>
    <i>
      <x v="2612"/>
    </i>
    <i>
      <x v="2615"/>
    </i>
    <i>
      <x v="2617"/>
    </i>
    <i>
      <x v="2618"/>
    </i>
    <i>
      <x v="2619"/>
    </i>
    <i>
      <x v="2621"/>
    </i>
    <i>
      <x v="2623"/>
    </i>
    <i>
      <x v="2626"/>
    </i>
    <i>
      <x v="2630"/>
    </i>
    <i>
      <x v="2631"/>
    </i>
    <i>
      <x v="2632"/>
    </i>
    <i>
      <x v="2633"/>
    </i>
    <i>
      <x v="2637"/>
    </i>
    <i>
      <x v="2638"/>
    </i>
    <i>
      <x v="2643"/>
    </i>
    <i>
      <x v="2646"/>
    </i>
    <i>
      <x v="2648"/>
    </i>
    <i>
      <x v="2650"/>
    </i>
    <i>
      <x v="2651"/>
    </i>
    <i>
      <x v="2652"/>
    </i>
    <i>
      <x v="2653"/>
    </i>
    <i>
      <x v="2657"/>
    </i>
    <i>
      <x v="2661"/>
    </i>
    <i>
      <x v="2662"/>
    </i>
    <i>
      <x v="2663"/>
    </i>
    <i>
      <x v="2665"/>
    </i>
    <i>
      <x v="2667"/>
    </i>
    <i>
      <x v="2668"/>
    </i>
    <i>
      <x v="2669"/>
    </i>
    <i>
      <x v="2671"/>
    </i>
    <i>
      <x v="2673"/>
    </i>
    <i>
      <x v="2674"/>
    </i>
    <i>
      <x v="2675"/>
    </i>
    <i>
      <x v="2676"/>
    </i>
    <i>
      <x v="2677"/>
    </i>
    <i>
      <x v="2679"/>
    </i>
    <i>
      <x v="2684"/>
    </i>
    <i>
      <x v="2685"/>
    </i>
    <i>
      <x v="2687"/>
    </i>
    <i>
      <x v="2698"/>
    </i>
    <i>
      <x v="2699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5"/>
    </i>
    <i>
      <x v="2723"/>
    </i>
    <i>
      <x v="2726"/>
    </i>
    <i>
      <x v="2731"/>
    </i>
    <i>
      <x v="2733"/>
    </i>
    <i>
      <x v="2735"/>
    </i>
    <i>
      <x v="2738"/>
    </i>
    <i>
      <x v="2740"/>
    </i>
    <i>
      <x v="2741"/>
    </i>
    <i>
      <x v="2751"/>
    </i>
    <i>
      <x v="2752"/>
    </i>
    <i>
      <x v="2762"/>
    </i>
    <i>
      <x v="2763"/>
    </i>
    <i>
      <x v="2764"/>
    </i>
    <i>
      <x v="2766"/>
    </i>
    <i>
      <x v="2773"/>
    </i>
    <i>
      <x v="2774"/>
    </i>
    <i>
      <x v="2775"/>
    </i>
    <i>
      <x v="2776"/>
    </i>
    <i>
      <x v="2784"/>
    </i>
    <i>
      <x v="2785"/>
    </i>
    <i>
      <x v="2787"/>
    </i>
    <i>
      <x v="2790"/>
    </i>
    <i>
      <x v="2791"/>
    </i>
    <i>
      <x v="2792"/>
    </i>
    <i>
      <x v="2794"/>
    </i>
    <i>
      <x v="2796"/>
    </i>
    <i>
      <x v="2797"/>
    </i>
    <i>
      <x v="2800"/>
    </i>
    <i>
      <x v="2804"/>
    </i>
    <i>
      <x v="2806"/>
    </i>
    <i>
      <x v="2812"/>
    </i>
    <i>
      <x v="2821"/>
    </i>
    <i>
      <x v="2822"/>
    </i>
    <i>
      <x v="2825"/>
    </i>
    <i>
      <x v="2826"/>
    </i>
    <i>
      <x v="2830"/>
    </i>
    <i>
      <x v="2835"/>
    </i>
    <i>
      <x v="2838"/>
    </i>
    <i>
      <x v="2840"/>
    </i>
    <i>
      <x v="2842"/>
    </i>
    <i>
      <x v="2843"/>
    </i>
    <i>
      <x v="2844"/>
    </i>
    <i>
      <x v="2846"/>
    </i>
    <i>
      <x v="2849"/>
    </i>
    <i>
      <x v="2851"/>
    </i>
    <i>
      <x v="2853"/>
    </i>
    <i>
      <x v="2856"/>
    </i>
    <i>
      <x v="2857"/>
    </i>
    <i>
      <x v="2858"/>
    </i>
    <i>
      <x v="2864"/>
    </i>
    <i>
      <x v="2865"/>
    </i>
    <i>
      <x v="2866"/>
    </i>
    <i>
      <x v="2868"/>
    </i>
    <i>
      <x v="2871"/>
    </i>
    <i>
      <x v="2876"/>
    </i>
    <i>
      <x v="2877"/>
    </i>
    <i>
      <x v="2883"/>
    </i>
    <i>
      <x v="2889"/>
    </i>
    <i>
      <x v="2891"/>
    </i>
    <i>
      <x v="2894"/>
    </i>
    <i>
      <x v="2895"/>
    </i>
    <i>
      <x v="2898"/>
    </i>
    <i>
      <x v="2900"/>
    </i>
    <i>
      <x v="2902"/>
    </i>
    <i>
      <x v="2903"/>
    </i>
    <i>
      <x v="2907"/>
    </i>
    <i>
      <x v="2909"/>
    </i>
    <i>
      <x v="2911"/>
    </i>
    <i>
      <x v="2914"/>
    </i>
    <i>
      <x v="2915"/>
    </i>
    <i>
      <x v="2919"/>
    </i>
    <i>
      <x v="2924"/>
    </i>
    <i>
      <x v="2929"/>
    </i>
    <i>
      <x v="2931"/>
    </i>
    <i>
      <x v="2932"/>
    </i>
    <i>
      <x v="2936"/>
    </i>
    <i>
      <x v="2940"/>
    </i>
    <i>
      <x v="2943"/>
    </i>
    <i>
      <x v="2950"/>
    </i>
    <i>
      <x v="2952"/>
    </i>
    <i>
      <x v="2956"/>
    </i>
    <i>
      <x v="2964"/>
    </i>
    <i>
      <x v="2966"/>
    </i>
    <i>
      <x v="2969"/>
    </i>
    <i>
      <x v="2975"/>
    </i>
    <i>
      <x v="2978"/>
    </i>
    <i>
      <x v="2979"/>
    </i>
    <i>
      <x v="2983"/>
    </i>
    <i t="grand">
      <x/>
    </i>
  </rowItems>
  <colItems count="1">
    <i/>
  </colItems>
  <pageFields count="1">
    <pageField fld="5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422E9F-9AFB-4E13-9139-98AC16FD7432}" name="TablaDinámica4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9:B890" firstHeaderRow="1" firstDataRow="1" firstDataCol="1" rowPageCount="1" colPageCount="1"/>
  <pivotFields count="11">
    <pivotField axis="axisRow" showAll="0">
      <items count="2985">
        <item x="2982"/>
        <item x="2983"/>
        <item x="2978"/>
        <item x="32"/>
        <item x="2980"/>
        <item x="2399"/>
        <item x="2981"/>
        <item x="2979"/>
        <item x="1569"/>
        <item x="1834"/>
        <item x="120"/>
        <item x="435"/>
        <item x="2227"/>
        <item x="374"/>
        <item x="1972"/>
        <item x="2935"/>
        <item x="2542"/>
        <item x="2030"/>
        <item x="1198"/>
        <item x="1744"/>
        <item x="1504"/>
        <item x="113"/>
        <item x="1366"/>
        <item x="1102"/>
        <item x="2416"/>
        <item x="2284"/>
        <item x="341"/>
        <item x="545"/>
        <item x="195"/>
        <item x="2285"/>
        <item x="852"/>
        <item x="1334"/>
        <item x="2347"/>
        <item x="1194"/>
        <item x="853"/>
        <item x="19"/>
        <item x="857"/>
        <item x="1131"/>
        <item x="2345"/>
        <item x="2377"/>
        <item x="272"/>
        <item x="1501"/>
        <item x="1385"/>
        <item x="755"/>
        <item x="2834"/>
        <item x="2376"/>
        <item x="1397"/>
        <item x="1538"/>
        <item x="1662"/>
        <item x="2062"/>
        <item x="1433"/>
        <item x="1295"/>
        <item x="1399"/>
        <item x="778"/>
        <item x="166"/>
        <item x="2386"/>
        <item x="779"/>
        <item x="2553"/>
        <item x="2537"/>
        <item x="1147"/>
        <item x="1583"/>
        <item x="2064"/>
        <item x="2955"/>
        <item x="1893"/>
        <item x="1585"/>
        <item x="671"/>
        <item x="1154"/>
        <item x="805"/>
        <item x="1438"/>
        <item x="2900"/>
        <item x="2198"/>
        <item x="2877"/>
        <item x="1062"/>
        <item x="2374"/>
        <item x="1429"/>
        <item x="1815"/>
        <item x="772"/>
        <item x="783"/>
        <item x="312"/>
        <item x="1586"/>
        <item x="2124"/>
        <item x="1587"/>
        <item x="15"/>
        <item x="950"/>
        <item x="2556"/>
        <item x="112"/>
        <item x="23"/>
        <item x="951"/>
        <item x="16"/>
        <item x="17"/>
        <item x="174"/>
        <item x="2414"/>
        <item x="2544"/>
        <item x="1499"/>
        <item x="2557"/>
        <item x="109"/>
        <item x="1775"/>
        <item x="2779"/>
        <item x="1795"/>
        <item x="110"/>
        <item x="633"/>
        <item x="397"/>
        <item x="114"/>
        <item x="1101"/>
        <item x="2364"/>
        <item x="1384"/>
        <item x="2554"/>
        <item x="18"/>
        <item x="398"/>
        <item x="111"/>
        <item x="1195"/>
        <item x="634"/>
        <item x="854"/>
        <item x="754"/>
        <item x="20"/>
        <item x="546"/>
        <item x="2936"/>
        <item x="2031"/>
        <item x="2481"/>
        <item x="21"/>
        <item x="1796"/>
        <item x="894"/>
        <item x="436"/>
        <item x="1973"/>
        <item x="895"/>
        <item x="2780"/>
        <item x="2790"/>
        <item x="437"/>
        <item x="1500"/>
        <item x="2126"/>
        <item x="1196"/>
        <item x="1738"/>
        <item x="2543"/>
        <item x="1040"/>
        <item x="2827"/>
        <item x="2828"/>
        <item x="1502"/>
        <item x="1103"/>
        <item x="1197"/>
        <item x="1454"/>
        <item x="2032"/>
        <item x="2966"/>
        <item x="131"/>
        <item x="2255"/>
        <item x="2809"/>
        <item x="1905"/>
        <item x="1508"/>
        <item x="2425"/>
        <item x="1511"/>
        <item x="2014"/>
        <item x="156"/>
        <item x="407"/>
        <item x="2104"/>
        <item x="652"/>
        <item x="1509"/>
        <item x="2306"/>
        <item x="2036"/>
        <item x="592"/>
        <item x="1464"/>
        <item x="417"/>
        <item x="1389"/>
        <item x="1341"/>
        <item x="821"/>
        <item x="117"/>
        <item x="923"/>
        <item x="2380"/>
        <item x="352"/>
        <item x="1044"/>
        <item x="132"/>
        <item x="2596"/>
        <item x="1622"/>
        <item x="77"/>
        <item x="864"/>
        <item x="1993"/>
        <item x="1353"/>
        <item x="1371"/>
        <item x="2969"/>
        <item x="1053"/>
        <item x="554"/>
        <item x="1846"/>
        <item x="863"/>
        <item x="2570"/>
        <item x="2564"/>
        <item x="2565"/>
        <item x="1507"/>
        <item x="1590"/>
        <item x="859"/>
        <item x="2508"/>
        <item x="393"/>
        <item x="1991"/>
        <item x="1944"/>
        <item x="1520"/>
        <item x="929"/>
        <item x="2217"/>
        <item x="2291"/>
        <item x="1571"/>
        <item x="2831"/>
        <item x="1620"/>
        <item x="1378"/>
        <item x="420"/>
        <item x="283"/>
        <item x="1847"/>
        <item x="1572"/>
        <item x="2467"/>
        <item x="2258"/>
        <item x="1910"/>
        <item x="738"/>
        <item x="2753"/>
        <item x="1250"/>
        <item x="2602"/>
        <item x="258"/>
        <item x="909"/>
        <item x="2110"/>
        <item x="2754"/>
        <item x="1624"/>
        <item x="1487"/>
        <item x="549"/>
        <item x="2468"/>
        <item x="1941"/>
        <item x="2944"/>
        <item x="2639"/>
        <item x="932"/>
        <item x="2640"/>
        <item x="2153"/>
        <item x="61"/>
        <item x="2722"/>
        <item x="1961"/>
        <item x="594"/>
        <item x="396"/>
        <item x="2214"/>
        <item x="85"/>
        <item x="1274"/>
        <item x="2796"/>
        <item x="733"/>
        <item x="344"/>
        <item x="2129"/>
        <item x="205"/>
        <item x="2740"/>
        <item x="2741"/>
        <item x="1109"/>
        <item x="2551"/>
        <item x="708"/>
        <item x="2921"/>
        <item x="2041"/>
        <item x="454"/>
        <item x="2924"/>
        <item x="455"/>
        <item x="287"/>
        <item x="1672"/>
        <item x="2426"/>
        <item x="377"/>
        <item x="1661"/>
        <item x="409"/>
        <item x="2636"/>
        <item x="2847"/>
        <item x="880"/>
        <item x="441"/>
        <item x="1800"/>
        <item x="1408"/>
        <item x="1539"/>
        <item x="2215"/>
        <item x="1812"/>
        <item x="2878"/>
        <item x="992"/>
        <item x="2122"/>
        <item x="253"/>
        <item x="1310"/>
        <item x="1467"/>
        <item x="529"/>
        <item x="2849"/>
        <item x="590"/>
        <item x="97"/>
        <item x="442"/>
        <item x="2808"/>
        <item x="1308"/>
        <item x="345"/>
        <item x="351"/>
        <item x="685"/>
        <item x="76"/>
        <item x="1693"/>
        <item x="2748"/>
        <item x="1390"/>
        <item x="485"/>
        <item x="2463"/>
        <item x="2637"/>
        <item x="1115"/>
        <item x="2157"/>
        <item x="2595"/>
        <item x="2077"/>
        <item x="2648"/>
        <item x="2967"/>
        <item x="98"/>
        <item x="591"/>
        <item x="1081"/>
        <item x="2548"/>
        <item x="530"/>
        <item x="2505"/>
        <item x="1485"/>
        <item x="408"/>
        <item x="1942"/>
        <item x="2810"/>
        <item x="2106"/>
        <item x="2506"/>
        <item x="391"/>
        <item x="2105"/>
        <item x="1906"/>
        <item x="1784"/>
        <item x="2307"/>
        <item x="531"/>
        <item x="606"/>
        <item x="1907"/>
        <item x="418"/>
        <item x="1958"/>
        <item x="2254"/>
        <item x="2671"/>
        <item x="486"/>
        <item x="906"/>
        <item x="2968"/>
        <item x="2749"/>
        <item x="734"/>
        <item x="2504"/>
        <item x="2811"/>
        <item x="1694"/>
        <item x="1165"/>
        <item x="2807"/>
        <item x="881"/>
        <item x="1673"/>
        <item x="822"/>
        <item x="1554"/>
        <item x="1133"/>
        <item x="201"/>
        <item x="26"/>
        <item x="1132"/>
        <item x="1555"/>
        <item x="487"/>
        <item x="2485"/>
        <item x="2750"/>
        <item x="2672"/>
        <item x="823"/>
        <item x="824"/>
        <item x="78"/>
        <item x="1556"/>
        <item x="1758"/>
        <item x="532"/>
        <item x="2597"/>
        <item x="1486"/>
        <item x="2850"/>
        <item x="2970"/>
        <item x="735"/>
        <item x="2851"/>
        <item x="825"/>
        <item x="1695"/>
        <item x="2751"/>
        <item x="1519"/>
        <item x="2507"/>
        <item x="2308"/>
        <item x="254"/>
        <item x="1959"/>
        <item x="2598"/>
        <item x="2638"/>
        <item x="907"/>
        <item x="419"/>
        <item x="533"/>
        <item x="2107"/>
        <item x="353"/>
        <item x="1943"/>
        <item x="1696"/>
        <item x="2719"/>
        <item x="79"/>
        <item x="1908"/>
        <item x="1354"/>
        <item x="392"/>
        <item x="2216"/>
        <item x="2571"/>
        <item x="2673"/>
        <item x="2309"/>
        <item x="2752"/>
        <item x="2852"/>
        <item x="2846"/>
        <item x="255"/>
        <item x="2599"/>
        <item x="1019"/>
        <item x="57"/>
        <item x="1377"/>
        <item x="1311"/>
        <item x="1909"/>
        <item x="2853"/>
        <item x="2854"/>
        <item x="919"/>
        <item x="2735"/>
        <item x="2108"/>
        <item x="882"/>
        <item x="488"/>
        <item x="2971"/>
        <item x="2256"/>
        <item x="2649"/>
        <item x="2720"/>
        <item x="607"/>
        <item x="2972"/>
        <item x="354"/>
        <item x="826"/>
        <item x="2464"/>
        <item x="608"/>
        <item x="489"/>
        <item x="827"/>
        <item x="394"/>
        <item x="2509"/>
        <item x="80"/>
        <item x="1020"/>
        <item x="1002"/>
        <item x="81"/>
        <item x="99"/>
        <item x="2674"/>
        <item x="1116"/>
        <item x="490"/>
        <item x="1785"/>
        <item x="1021"/>
        <item x="395"/>
        <item x="828"/>
        <item x="1003"/>
        <item x="2310"/>
        <item x="322"/>
        <item x="2973"/>
        <item x="2465"/>
        <item x="1249"/>
        <item x="256"/>
        <item x="1623"/>
        <item x="355"/>
        <item x="323"/>
        <item x="356"/>
        <item x="2078"/>
        <item x="2257"/>
        <item x="2600"/>
        <item x="609"/>
        <item x="2829"/>
        <item x="2812"/>
        <item x="82"/>
        <item x="2218"/>
        <item x="1697"/>
        <item x="2675"/>
        <item x="2601"/>
        <item x="908"/>
        <item x="736"/>
        <item x="1759"/>
        <item x="737"/>
        <item x="59"/>
        <item x="2466"/>
        <item x="883"/>
        <item x="1312"/>
        <item x="1610"/>
        <item x="2109"/>
        <item x="2015"/>
        <item x="324"/>
        <item x="257"/>
        <item x="829"/>
        <item x="1611"/>
        <item x="357"/>
        <item x="1960"/>
        <item x="2259"/>
        <item x="2311"/>
        <item x="491"/>
        <item x="2312"/>
        <item x="1313"/>
        <item x="1166"/>
        <item x="1379"/>
        <item x="1698"/>
        <item x="2855"/>
        <item x="2813"/>
        <item x="1699"/>
        <item x="1314"/>
        <item x="2833"/>
        <item x="1022"/>
        <item x="1082"/>
        <item x="1117"/>
        <item x="2260"/>
        <item x="2261"/>
        <item x="2152"/>
        <item x="593"/>
        <item x="325"/>
        <item x="1488"/>
        <item x="2262"/>
        <item x="2676"/>
        <item x="2856"/>
        <item x="1760"/>
        <item x="2510"/>
        <item x="1612"/>
        <item x="2016"/>
        <item x="1700"/>
        <item x="2721"/>
        <item x="259"/>
        <item x="2263"/>
        <item x="1510"/>
        <item x="1489"/>
        <item x="83"/>
        <item x="1251"/>
        <item x="2755"/>
        <item x="610"/>
        <item x="2857"/>
        <item x="611"/>
        <item x="2974"/>
        <item x="492"/>
        <item x="84"/>
        <item x="924"/>
        <item x="60"/>
        <item x="612"/>
        <item x="421"/>
        <item x="1167"/>
        <item x="358"/>
        <item x="157"/>
        <item x="1380"/>
        <item x="2264"/>
        <item x="158"/>
        <item x="758"/>
        <item x="1168"/>
        <item x="200"/>
        <item x="595"/>
        <item x="1083"/>
        <item x="613"/>
        <item x="534"/>
        <item x="1521"/>
        <item x="2723"/>
        <item x="493"/>
        <item x="1613"/>
        <item x="326"/>
        <item x="133"/>
        <item x="830"/>
        <item x="401"/>
        <item x="1841"/>
        <item x="566"/>
        <item x="1505"/>
        <item x="550"/>
        <item x="2694"/>
        <item x="2677"/>
        <item x="494"/>
        <item x="2756"/>
        <item x="422"/>
        <item x="1023"/>
        <item x="2219"/>
        <item x="1761"/>
        <item x="2154"/>
        <item x="1004"/>
        <item x="614"/>
        <item x="118"/>
        <item x="2724"/>
        <item x="2265"/>
        <item x="910"/>
        <item x="2488"/>
        <item x="960"/>
        <item x="359"/>
        <item x="1355"/>
        <item x="1315"/>
        <item x="931"/>
        <item x="2038"/>
        <item x="1210"/>
        <item x="1573"/>
        <item x="1045"/>
        <item x="653"/>
        <item x="1372"/>
        <item x="1833"/>
        <item x="958"/>
        <item x="1392"/>
        <item x="1994"/>
        <item x="2550"/>
        <item x="450"/>
        <item x="2552"/>
        <item x="562"/>
        <item x="2943"/>
        <item x="1878"/>
        <item x="933"/>
        <item x="558"/>
        <item x="2353"/>
        <item x="963"/>
        <item x="1263"/>
        <item x="568"/>
        <item x="172"/>
        <item x="2357"/>
        <item x="964"/>
        <item x="1066"/>
        <item x="379"/>
        <item x="936"/>
        <item x="1533"/>
        <item x="2788"/>
        <item x="1593"/>
        <item x="1055"/>
        <item x="1998"/>
        <item x="709"/>
        <item x="2438"/>
        <item x="2881"/>
        <item x="710"/>
        <item x="937"/>
        <item x="2880"/>
        <item x="1838"/>
        <item x="2922"/>
        <item x="1067"/>
        <item x="176"/>
        <item x="774"/>
        <item x="2883"/>
        <item x="2043"/>
        <item x="2670"/>
        <item x="1442"/>
        <item x="211"/>
        <item x="212"/>
        <item x="1282"/>
        <item x="2042"/>
        <item x="711"/>
        <item x="1839"/>
        <item x="979"/>
        <item x="2044"/>
        <item x="1575"/>
        <item x="1882"/>
        <item x="775"/>
        <item x="1223"/>
        <item x="1609"/>
        <item x="1224"/>
        <item x="2331"/>
        <item x="1057"/>
        <item x="1405"/>
        <item x="2115"/>
        <item x="1226"/>
        <item x="2191"/>
        <item x="229"/>
        <item x="210"/>
        <item x="716"/>
        <item x="1468"/>
        <item x="982"/>
        <item x="784"/>
        <item x="2889"/>
        <item x="1654"/>
        <item x="1808"/>
        <item x="382"/>
        <item x="983"/>
        <item x="2886"/>
        <item x="1278"/>
        <item x="2428"/>
        <item x="795"/>
        <item x="230"/>
        <item x="163"/>
        <item x="290"/>
        <item x="2440"/>
        <item x="763"/>
        <item x="390"/>
        <item x="2447"/>
        <item x="984"/>
        <item x="2441"/>
        <item x="2117"/>
        <item x="940"/>
        <item x="661"/>
        <item x="2138"/>
        <item x="232"/>
        <item x="2442"/>
        <item x="182"/>
        <item x="2283"/>
        <item x="383"/>
        <item x="764"/>
        <item x="1656"/>
        <item x="1071"/>
        <item x="786"/>
        <item x="2430"/>
        <item x="1888"/>
        <item x="217"/>
        <item x="662"/>
        <item x="2699"/>
        <item x="2076"/>
        <item x="1657"/>
        <item x="1885"/>
        <item x="2930"/>
        <item x="234"/>
        <item x="2929"/>
        <item x="1867"/>
        <item x="1809"/>
        <item x="1058"/>
        <item x="2572"/>
        <item x="291"/>
        <item x="1927"/>
        <item x="233"/>
        <item x="2492"/>
        <item x="1638"/>
        <item x="1577"/>
        <item x="1658"/>
        <item x="985"/>
        <item x="1595"/>
        <item x="1821"/>
        <item x="235"/>
        <item x="968"/>
        <item x="942"/>
        <item x="2449"/>
        <item x="2448"/>
        <item x="1889"/>
        <item x="1866"/>
        <item x="718"/>
        <item x="986"/>
        <item x="664"/>
        <item x="2891"/>
        <item x="1578"/>
        <item x="183"/>
        <item x="972"/>
        <item x="1641"/>
        <item x="2892"/>
        <item x="563"/>
        <item x="2118"/>
        <item x="2432"/>
        <item x="987"/>
        <item x="2450"/>
        <item x="2050"/>
        <item x="460"/>
        <item x="2443"/>
        <item x="797"/>
        <item x="219"/>
        <item x="1286"/>
        <item x="2060"/>
        <item x="1625"/>
        <item x="1756"/>
        <item x="2958"/>
        <item x="1644"/>
        <item x="2059"/>
        <item x="2335"/>
        <item x="1432"/>
        <item x="1422"/>
        <item x="2893"/>
        <item x="304"/>
        <item x="184"/>
        <item x="1663"/>
        <item x="1660"/>
        <item x="2366"/>
        <item x="2535"/>
        <item x="799"/>
        <item x="1407"/>
        <item x="777"/>
        <item x="2365"/>
        <item x="185"/>
        <item x="576"/>
        <item x="719"/>
        <item x="1423"/>
        <item x="946"/>
        <item x="2121"/>
        <item x="246"/>
        <item x="1470"/>
        <item x="1825"/>
        <item x="1430"/>
        <item x="294"/>
        <item x="788"/>
        <item x="384"/>
        <item x="2704"/>
        <item x="789"/>
        <item x="2534"/>
        <item x="462"/>
        <item x="665"/>
        <item x="2533"/>
        <item x="1856"/>
        <item x="236"/>
        <item x="1424"/>
        <item x="2367"/>
        <item x="1646"/>
        <item x="2454"/>
        <item x="945"/>
        <item x="303"/>
        <item x="1873"/>
        <item x="2954"/>
        <item x="1471"/>
        <item x="186"/>
        <item x="2370"/>
        <item x="2194"/>
        <item x="2848"/>
        <item x="1398"/>
        <item x="801"/>
        <item x="1434"/>
        <item x="2193"/>
        <item x="1600"/>
        <item x="1621"/>
        <item x="1472"/>
        <item x="666"/>
        <item x="1145"/>
        <item x="2539"/>
        <item x="2368"/>
        <item x="721"/>
        <item x="1648"/>
        <item x="1626"/>
        <item x="1466"/>
        <item x="2063"/>
        <item x="1269"/>
        <item x="802"/>
        <item x="1149"/>
        <item x="2957"/>
        <item x="221"/>
        <item x="1153"/>
        <item x="2897"/>
        <item x="416"/>
        <item x="1152"/>
        <item x="1652"/>
        <item x="1598"/>
        <item x="2389"/>
        <item x="240"/>
        <item x="589"/>
        <item x="298"/>
        <item x="1540"/>
        <item x="781"/>
        <item x="2200"/>
        <item x="467"/>
        <item x="299"/>
        <item x="2372"/>
        <item x="1518"/>
        <item x="2363"/>
        <item x="2296"/>
        <item x="1148"/>
        <item x="1061"/>
        <item x="1627"/>
        <item x="668"/>
        <item x="2371"/>
        <item x="1664"/>
        <item x="1465"/>
        <item x="1484"/>
        <item x="673"/>
        <item x="1441"/>
        <item x="1667"/>
        <item x="1757"/>
        <item x="793"/>
        <item x="192"/>
        <item x="1628"/>
        <item x="1234"/>
        <item x="37"/>
        <item x="58"/>
        <item x="991"/>
        <item x="1896"/>
        <item x="1832"/>
        <item x="1930"/>
        <item x="1814"/>
        <item x="2460"/>
        <item x="578"/>
        <item x="2338"/>
        <item x="75"/>
        <item x="2066"/>
        <item x="310"/>
        <item x="725"/>
        <item x="1446"/>
        <item x="2201"/>
        <item x="1155"/>
        <item x="468"/>
        <item x="2899"/>
        <item x="1669"/>
        <item x="579"/>
        <item x="2037"/>
        <item x="2068"/>
        <item x="2339"/>
        <item x="1414"/>
        <item x="2"/>
        <item x="1309"/>
        <item x="2737"/>
        <item x="1041"/>
        <item x="2418"/>
        <item x="1431"/>
        <item x="2111"/>
        <item x="1416"/>
        <item x="2142"/>
        <item x="2703"/>
        <item x="1142"/>
        <item x="916"/>
        <item x="400"/>
        <item x="741"/>
        <item x="147"/>
        <item x="1745"/>
        <item x="1087"/>
        <item x="1425"/>
        <item x="2232"/>
        <item x="2288"/>
        <item x="742"/>
        <item x="2128"/>
        <item x="2001"/>
        <item x="309"/>
        <item x="1318"/>
        <item x="2826"/>
        <item x="1367"/>
        <item x="1026"/>
        <item x="809"/>
        <item x="726"/>
        <item x="225"/>
        <item x="1630"/>
        <item x="917"/>
        <item x="2221"/>
        <item x="703"/>
        <item x="2155"/>
        <item x="2420"/>
        <item x="1448"/>
        <item x="2558"/>
        <item x="25"/>
        <item x="1797"/>
        <item x="2082"/>
        <item x="648"/>
        <item x="688"/>
        <item x="2472"/>
        <item x="1027"/>
        <item x="954"/>
        <item x="1199"/>
        <item x="2937"/>
        <item x="2762"/>
        <item x="1746"/>
        <item x="1829"/>
        <item x="1766"/>
        <item x="65"/>
        <item x="2417"/>
        <item x="2269"/>
        <item x="2274"/>
        <item x="2613"/>
        <item x="2422"/>
        <item x="497"/>
        <item x="505"/>
        <item x="2545"/>
        <item x="619"/>
        <item x="887"/>
        <item x="1176"/>
        <item x="540"/>
        <item x="363"/>
        <item x="1564"/>
        <item x="833"/>
        <item x="5"/>
        <item x="541"/>
        <item x="6"/>
        <item x="1982"/>
        <item x="2614"/>
        <item x="2728"/>
        <item x="268"/>
        <item x="426"/>
        <item x="1749"/>
        <item x="1043"/>
        <item x="2475"/>
        <item x="918"/>
        <item x="2025"/>
        <item x="2168"/>
        <item x="2236"/>
        <item x="404"/>
        <item x="7"/>
        <item x="2686"/>
        <item x="757"/>
        <item x="1369"/>
        <item x="2561"/>
        <item x="1033"/>
        <item x="1524"/>
        <item x="1451"/>
        <item x="1329"/>
        <item x="8"/>
        <item x="694"/>
        <item x="2228"/>
        <item x="115"/>
        <item x="1182"/>
        <item x="1090"/>
        <item x="1459"/>
        <item x="2477"/>
        <item x="512"/>
        <item x="2621"/>
        <item x="2280"/>
        <item x="1099"/>
        <item x="1917"/>
        <item x="624"/>
        <item x="1256"/>
        <item x="366"/>
        <item x="277"/>
        <item x="748"/>
        <item x="542"/>
        <item x="1525"/>
        <item x="143"/>
        <item x="1184"/>
        <item x="2177"/>
        <item x="1330"/>
        <item x="367"/>
        <item x="2522"/>
        <item x="11"/>
        <item x="700"/>
        <item x="749"/>
        <item x="513"/>
        <item x="1771"/>
        <item x="1360"/>
        <item x="695"/>
        <item x="105"/>
        <item x="1526"/>
        <item x="2523"/>
        <item x="146"/>
        <item x="753"/>
        <item x="2875"/>
        <item x="1128"/>
        <item x="2186"/>
        <item x="1971"/>
        <item x="698"/>
        <item x="1496"/>
        <item x="1742"/>
        <item x="360"/>
        <item x="1365"/>
        <item x="645"/>
        <item x="1333"/>
        <item x="632"/>
        <item x="2876"/>
        <item x="1974"/>
        <item x="2825"/>
        <item x="713"/>
        <item x="2569"/>
        <item x="2945"/>
        <item x="865"/>
        <item x="202"/>
        <item x="1816"/>
        <item x="646"/>
        <item x="2530"/>
        <item x="2055"/>
        <item x="2229"/>
        <item x="759"/>
        <item x="1217"/>
        <item x="618"/>
        <item x="2135"/>
        <item x="2884"/>
        <item x="978"/>
        <item x="499"/>
        <item x="1396"/>
        <item x="1806"/>
        <item x="571"/>
        <item x="1535"/>
        <item x="178"/>
        <item x="1227"/>
        <item x="1820"/>
        <item x="1875"/>
        <item x="244"/>
        <item x="739"/>
        <item x="218"/>
        <item x="2700"/>
        <item x="573"/>
        <item x="2360"/>
        <item x="1886"/>
        <item x="2890"/>
        <item x="943"/>
        <item x="1254"/>
        <item x="2931"/>
        <item x="969"/>
        <item x="1171"/>
        <item x="1810"/>
        <item x="1285"/>
        <item x="1229"/>
        <item x="1926"/>
        <item x="2048"/>
        <item x="2057"/>
        <item x="2161"/>
        <item x="1070"/>
        <item x="1228"/>
        <item x="941"/>
        <item x="1868"/>
        <item x="970"/>
        <item x="1884"/>
        <item x="1537"/>
        <item x="835"/>
        <item x="1928"/>
        <item x="663"/>
        <item x="165"/>
        <item x="1596"/>
        <item x="1230"/>
        <item x="766"/>
        <item x="1579"/>
        <item x="1764"/>
        <item x="2139"/>
        <item x="1659"/>
        <item x="2702"/>
        <item x="2444"/>
        <item x="1822"/>
        <item x="1580"/>
        <item x="2451"/>
        <item x="2140"/>
        <item x="1317"/>
        <item x="1869"/>
        <item x="2445"/>
        <item x="293"/>
        <item x="2653"/>
        <item x="712"/>
        <item x="1823"/>
        <item x="1231"/>
        <item x="1642"/>
        <item x="798"/>
        <item x="2058"/>
        <item x="2433"/>
        <item x="2051"/>
        <item x="2511"/>
        <item x="461"/>
        <item x="1233"/>
        <item x="1232"/>
        <item x="1643"/>
        <item x="1890"/>
        <item x="1059"/>
        <item x="1676"/>
        <item x="1649"/>
        <item x="803"/>
        <item x="780"/>
        <item x="465"/>
        <item x="1711"/>
        <item x="2361"/>
        <item x="42"/>
        <item x="41"/>
        <item x="575"/>
        <item x="295"/>
        <item x="1287"/>
        <item x="1074"/>
        <item x="1872"/>
        <item x="1871"/>
        <item x="305"/>
        <item x="1359"/>
        <item x="974"/>
        <item x="2455"/>
        <item x="2341"/>
        <item x="973"/>
        <item x="1406"/>
        <item x="800"/>
        <item x="2195"/>
        <item x="1075"/>
        <item x="1141"/>
        <item x="1581"/>
        <item x="1811"/>
        <item x="1855"/>
        <item x="1712"/>
        <item x="1824"/>
        <item x="1073"/>
        <item x="2336"/>
        <item x="2342"/>
        <item x="2385"/>
        <item x="2536"/>
        <item x="2952"/>
        <item x="2061"/>
        <item x="2120"/>
        <item x="2951"/>
        <item x="1120"/>
        <item x="2895"/>
        <item x="768"/>
        <item x="1891"/>
        <item x="464"/>
        <item x="1929"/>
        <item x="1143"/>
        <item x="767"/>
        <item x="790"/>
        <item x="44"/>
        <item x="501"/>
        <item x="1146"/>
        <item x="1435"/>
        <item x="1650"/>
        <item x="296"/>
        <item x="101"/>
        <item x="2457"/>
        <item x="1874"/>
        <item x="1409"/>
        <item x="2196"/>
        <item x="2705"/>
        <item x="2387"/>
        <item x="1708"/>
        <item x="740"/>
        <item x="238"/>
        <item x="1582"/>
        <item x="2458"/>
        <item x="239"/>
        <item x="2758"/>
        <item x="720"/>
        <item x="1144"/>
        <item x="988"/>
        <item x="2456"/>
        <item x="187"/>
        <item x="237"/>
        <item x="43"/>
        <item x="188"/>
        <item x="722"/>
        <item x="2019"/>
        <item x="1651"/>
        <item x="1270"/>
        <item x="2362"/>
        <item x="1542"/>
        <item x="1436"/>
        <item x="1418"/>
        <item x="241"/>
        <item x="1584"/>
        <item x="328"/>
        <item x="1894"/>
        <item x="2896"/>
        <item x="222"/>
        <item x="1420"/>
        <item x="2898"/>
        <item x="1475"/>
        <item x="885"/>
        <item x="1419"/>
        <item x="1859"/>
        <item x="2337"/>
        <item x="1473"/>
        <item x="769"/>
        <item x="723"/>
        <item x="2344"/>
        <item x="792"/>
        <item x="1541"/>
        <item x="1860"/>
        <item x="975"/>
        <item x="577"/>
        <item x="220"/>
        <item x="1150"/>
        <item x="2956"/>
        <item x="1474"/>
        <item x="2197"/>
        <item x="1151"/>
        <item x="190"/>
        <item x="191"/>
        <item x="2000"/>
        <item x="1665"/>
        <item x="1861"/>
        <item x="1439"/>
        <item x="804"/>
        <item x="0"/>
        <item x="1296"/>
        <item x="1599"/>
        <item x="2123"/>
        <item x="1543"/>
        <item x="1544"/>
        <item x="1666"/>
        <item x="806"/>
        <item x="2901"/>
        <item x="2065"/>
        <item x="1437"/>
        <item x="1063"/>
        <item x="1289"/>
        <item x="807"/>
        <item x="2199"/>
        <item x="947"/>
        <item x="2608"/>
        <item x="1444"/>
        <item x="1445"/>
        <item x="1862"/>
        <item x="1826"/>
        <item x="1297"/>
        <item x="2390"/>
        <item x="669"/>
        <item x="1476"/>
        <item x="1913"/>
        <item x="1601"/>
        <item x="2070"/>
        <item x="2373"/>
        <item x="1076"/>
        <item x="2541"/>
        <item x="1863"/>
        <item x="1477"/>
        <item x="1703"/>
        <item x="1288"/>
        <item x="1895"/>
        <item x="1602"/>
        <item x="782"/>
        <item x="1156"/>
        <item x="1629"/>
        <item x="989"/>
        <item x="1401"/>
        <item x="770"/>
        <item x="1426"/>
        <item x="1876"/>
        <item x="242"/>
        <item x="794"/>
        <item x="168"/>
        <item x="1077"/>
        <item x="243"/>
        <item x="771"/>
        <item x="1668"/>
        <item x="1235"/>
        <item x="1"/>
        <item x="1827"/>
        <item x="2709"/>
        <item x="1931"/>
        <item x="1412"/>
        <item x="2391"/>
        <item x="1403"/>
        <item x="300"/>
        <item x="1877"/>
        <item x="1427"/>
        <item x="1298"/>
        <item x="1914"/>
        <item x="1677"/>
        <item x="2392"/>
        <item x="1428"/>
        <item x="1402"/>
        <item x="169"/>
        <item x="1765"/>
        <item x="674"/>
        <item x="1413"/>
        <item x="949"/>
        <item x="1932"/>
        <item x="2902"/>
        <item x="1157"/>
        <item x="1415"/>
        <item x="302"/>
        <item x="1007"/>
        <item x="1158"/>
        <item x="1898"/>
        <item x="2069"/>
        <item x="2471"/>
        <item x="2340"/>
        <item x="3"/>
        <item x="88"/>
        <item x="502"/>
        <item x="2233"/>
        <item x="886"/>
        <item x="636"/>
        <item x="1172"/>
        <item x="1787"/>
        <item x="2512"/>
        <item x="1447"/>
        <item x="1319"/>
        <item x="2816"/>
        <item x="89"/>
        <item x="2315"/>
        <item x="836"/>
        <item x="2860"/>
        <item x="686"/>
        <item x="2080"/>
        <item x="102"/>
        <item x="1559"/>
        <item x="912"/>
        <item x="2726"/>
        <item x="743"/>
        <item x="264"/>
        <item x="2162"/>
        <item x="1320"/>
        <item x="2020"/>
        <item x="2818"/>
        <item x="2270"/>
        <item x="1321"/>
        <item x="2759"/>
        <item x="2682"/>
        <item x="687"/>
        <item x="2760"/>
        <item x="2271"/>
        <item x="2609"/>
        <item x="2316"/>
        <item x="2127"/>
        <item x="2081"/>
        <item x="2654"/>
        <item x="423"/>
        <item x="136"/>
        <item x="424"/>
        <item x="1491"/>
        <item x="953"/>
        <item x="2513"/>
        <item x="1029"/>
        <item x="1678"/>
        <item x="1788"/>
        <item x="2317"/>
        <item x="90"/>
        <item x="1560"/>
        <item x="2021"/>
        <item x="2769"/>
        <item x="1561"/>
        <item x="2022"/>
        <item x="2473"/>
        <item x="503"/>
        <item x="837"/>
        <item x="536"/>
        <item x="2514"/>
        <item x="91"/>
        <item x="1121"/>
        <item x="1173"/>
        <item x="2318"/>
        <item x="2272"/>
        <item x="1122"/>
        <item x="2610"/>
        <item x="1174"/>
        <item x="1322"/>
        <item x="537"/>
        <item x="2761"/>
        <item x="2683"/>
        <item x="504"/>
        <item x="2770"/>
        <item x="265"/>
        <item x="1679"/>
        <item x="637"/>
        <item x="1680"/>
        <item x="2819"/>
        <item x="1323"/>
        <item x="2738"/>
        <item x="638"/>
        <item x="2861"/>
        <item x="2515"/>
        <item x="538"/>
        <item x="1095"/>
        <item x="2771"/>
        <item x="1096"/>
        <item x="1562"/>
        <item x="1047"/>
        <item x="701"/>
        <item x="2023"/>
        <item x="704"/>
        <item x="1980"/>
        <item x="744"/>
        <item x="539"/>
        <item x="689"/>
        <item x="2474"/>
        <item x="329"/>
        <item x="2655"/>
        <item x="2656"/>
        <item x="2234"/>
        <item x="2862"/>
        <item x="2235"/>
        <item x="64"/>
        <item x="1523"/>
        <item x="555"/>
        <item x="1455"/>
        <item x="266"/>
        <item x="1963"/>
        <item x="1324"/>
        <item x="1123"/>
        <item x="2611"/>
        <item x="399"/>
        <item x="1175"/>
        <item x="2024"/>
        <item x="2319"/>
        <item x="137"/>
        <item x="2820"/>
        <item x="2612"/>
        <item x="361"/>
        <item x="1563"/>
        <item x="1325"/>
        <item x="2273"/>
        <item x="1456"/>
        <item x="2657"/>
        <item x="92"/>
        <item x="1713"/>
        <item x="1681"/>
        <item x="2727"/>
        <item x="1945"/>
        <item x="838"/>
        <item x="839"/>
        <item x="1714"/>
        <item x="4"/>
        <item x="2681"/>
        <item x="362"/>
        <item x="2320"/>
        <item x="690"/>
        <item x="1088"/>
        <item x="1767"/>
        <item x="1715"/>
        <item x="1716"/>
        <item x="1981"/>
        <item x="1449"/>
        <item x="888"/>
        <item x="2821"/>
        <item x="1089"/>
        <item x="425"/>
        <item x="2321"/>
        <item x="1030"/>
        <item x="267"/>
        <item x="1704"/>
        <item x="620"/>
        <item x="1031"/>
        <item x="952"/>
        <item x="2163"/>
        <item x="506"/>
        <item x="913"/>
        <item x="1717"/>
        <item x="2164"/>
        <item x="2083"/>
        <item x="2658"/>
        <item x="2165"/>
        <item x="840"/>
        <item x="507"/>
        <item x="1709"/>
        <item x="66"/>
        <item x="1201"/>
        <item x="1124"/>
        <item x="841"/>
        <item x="2684"/>
        <item x="2112"/>
        <item x="1983"/>
        <item x="2166"/>
        <item x="842"/>
        <item x="843"/>
        <item x="2084"/>
        <item x="138"/>
        <item x="2516"/>
        <item x="1675"/>
        <item x="2822"/>
        <item x="1177"/>
        <item x="2863"/>
        <item x="2517"/>
        <item x="1984"/>
        <item x="330"/>
        <item x="1768"/>
        <item x="2858"/>
        <item x="139"/>
        <item x="2615"/>
        <item x="140"/>
        <item x="364"/>
        <item x="427"/>
        <item x="691"/>
        <item x="2685"/>
        <item x="1682"/>
        <item x="1178"/>
        <item x="2167"/>
        <item x="2314"/>
        <item x="1683"/>
        <item x="428"/>
        <item x="2616"/>
        <item x="2518"/>
        <item x="2113"/>
        <item x="141"/>
        <item x="103"/>
        <item x="1032"/>
        <item x="2617"/>
        <item x="889"/>
        <item x="1718"/>
        <item x="1179"/>
        <item x="331"/>
        <item x="1097"/>
        <item x="2618"/>
        <item x="615"/>
        <item x="1985"/>
        <item x="1964"/>
        <item x="2275"/>
        <item x="332"/>
        <item x="1965"/>
        <item x="844"/>
        <item x="2619"/>
        <item x="2519"/>
        <item x="2659"/>
        <item x="2169"/>
        <item x="2859"/>
        <item x="621"/>
        <item x="2823"/>
        <item x="274"/>
        <item x="1125"/>
        <item x="429"/>
        <item x="1684"/>
        <item x="2276"/>
        <item x="2520"/>
        <item x="639"/>
        <item x="1492"/>
        <item x="2817"/>
        <item x="2521"/>
        <item x="2170"/>
        <item x="2171"/>
        <item x="2620"/>
        <item x="692"/>
        <item x="640"/>
        <item x="914"/>
        <item x="1725"/>
        <item x="1326"/>
        <item x="2939"/>
        <item x="2606"/>
        <item x="1180"/>
        <item x="2237"/>
        <item x="430"/>
        <item x="2772"/>
        <item x="2277"/>
        <item x="2660"/>
        <item x="1915"/>
        <item x="1789"/>
        <item x="2864"/>
        <item x="641"/>
        <item x="2033"/>
        <item x="333"/>
        <item x="1450"/>
        <item x="508"/>
        <item x="1790"/>
        <item x="1255"/>
        <item x="622"/>
        <item x="1457"/>
        <item x="693"/>
        <item x="1327"/>
        <item x="2865"/>
        <item x="1328"/>
        <item x="1034"/>
        <item x="884"/>
        <item x="1381"/>
        <item x="2238"/>
        <item x="623"/>
        <item x="2026"/>
        <item x="2476"/>
        <item x="275"/>
        <item x="498"/>
        <item x="2866"/>
        <item x="276"/>
        <item x="1008"/>
        <item x="2661"/>
        <item x="9"/>
        <item x="2172"/>
        <item x="2729"/>
        <item x="745"/>
        <item x="1558"/>
        <item x="1493"/>
        <item x="890"/>
        <item x="2763"/>
        <item x="2687"/>
        <item x="509"/>
        <item x="1726"/>
        <item x="510"/>
        <item x="1986"/>
        <item x="1565"/>
        <item x="1098"/>
        <item x="2773"/>
        <item x="1769"/>
        <item x="2173"/>
        <item x="2174"/>
        <item x="1987"/>
        <item x="135"/>
        <item x="2175"/>
        <item x="2688"/>
        <item x="915"/>
        <item x="845"/>
        <item x="1035"/>
        <item x="1181"/>
        <item x="1126"/>
        <item x="2027"/>
        <item x="1009"/>
        <item x="1702"/>
        <item x="846"/>
        <item x="1966"/>
        <item x="1705"/>
        <item x="104"/>
        <item x="1719"/>
        <item x="1720"/>
        <item x="1010"/>
        <item x="334"/>
        <item x="2085"/>
        <item x="616"/>
        <item x="511"/>
        <item x="431"/>
        <item x="2223"/>
        <item x="1791"/>
        <item x="10"/>
        <item x="142"/>
        <item x="1770"/>
        <item x="2086"/>
        <item x="1011"/>
        <item x="1335"/>
        <item x="2932"/>
        <item x="746"/>
        <item x="2278"/>
        <item x="365"/>
        <item x="702"/>
        <item x="2774"/>
        <item x="1916"/>
        <item x="2279"/>
        <item x="2933"/>
        <item x="2934"/>
        <item x="747"/>
        <item x="432"/>
        <item x="2176"/>
        <item x="1183"/>
        <item x="335"/>
        <item x="2222"/>
        <item x="1358"/>
        <item x="2322"/>
        <item x="2087"/>
        <item x="1331"/>
        <item x="2178"/>
        <item x="336"/>
        <item x="1721"/>
        <item x="625"/>
        <item x="1382"/>
        <item x="2224"/>
        <item x="847"/>
        <item x="2323"/>
        <item x="2179"/>
        <item x="2730"/>
        <item x="433"/>
        <item x="2867"/>
        <item x="2622"/>
        <item x="337"/>
        <item x="2524"/>
        <item x="696"/>
        <item x="1566"/>
        <item x="12"/>
        <item x="2180"/>
        <item x="269"/>
        <item x="1727"/>
        <item x="1527"/>
        <item x="1361"/>
        <item x="2731"/>
        <item x="1200"/>
        <item x="2478"/>
        <item x="543"/>
        <item x="1494"/>
        <item x="2764"/>
        <item x="1362"/>
        <item x="2181"/>
        <item x="1706"/>
        <item x="2775"/>
        <item x="2182"/>
        <item x="1792"/>
        <item x="848"/>
        <item x="544"/>
        <item x="1091"/>
        <item x="2868"/>
        <item x="1036"/>
        <item x="2239"/>
        <item x="642"/>
        <item x="1722"/>
        <item x="535"/>
        <item x="368"/>
        <item x="2689"/>
        <item x="643"/>
        <item x="2324"/>
        <item x="750"/>
        <item x="1967"/>
        <item x="2240"/>
        <item x="369"/>
        <item x="626"/>
        <item x="2479"/>
        <item x="24"/>
        <item x="2325"/>
        <item x="1185"/>
        <item x="2869"/>
        <item x="2088"/>
        <item x="1528"/>
        <item x="2326"/>
        <item x="1495"/>
        <item x="1186"/>
        <item x="514"/>
        <item x="13"/>
        <item x="1710"/>
        <item x="370"/>
        <item x="2327"/>
        <item x="371"/>
        <item x="1728"/>
        <item x="1918"/>
        <item x="1452"/>
        <item x="1772"/>
        <item x="627"/>
        <item x="278"/>
        <item x="2114"/>
        <item x="891"/>
        <item x="270"/>
        <item x="1037"/>
        <item x="1968"/>
        <item x="515"/>
        <item x="279"/>
        <item x="2281"/>
        <item x="1038"/>
        <item x="2870"/>
        <item x="617"/>
        <item x="849"/>
        <item x="644"/>
        <item x="2183"/>
        <item x="1332"/>
        <item x="2765"/>
        <item x="2871"/>
        <item x="751"/>
        <item x="2732"/>
        <item x="1773"/>
        <item x="1969"/>
        <item x="2607"/>
        <item x="697"/>
        <item x="2733"/>
        <item x="14"/>
        <item x="372"/>
        <item x="2028"/>
        <item x="2184"/>
        <item x="1187"/>
        <item x="1363"/>
        <item x="2872"/>
        <item x="2873"/>
        <item x="327"/>
        <item x="2328"/>
        <item x="2776"/>
        <item x="1188"/>
        <item x="106"/>
        <item x="2480"/>
        <item x="1257"/>
        <item x="1729"/>
        <item x="2225"/>
        <item x="2690"/>
        <item x="1039"/>
        <item x="1979"/>
        <item x="1793"/>
        <item x="1741"/>
        <item x="2241"/>
        <item x="434"/>
        <item x="1127"/>
        <item x="2329"/>
        <item x="1092"/>
        <item x="1529"/>
        <item x="628"/>
        <item x="2160"/>
        <item x="1093"/>
        <item x="1364"/>
        <item x="1723"/>
        <item x="1189"/>
        <item x="1253"/>
        <item x="2874"/>
        <item x="1730"/>
        <item x="892"/>
        <item x="1919"/>
        <item x="2185"/>
        <item x="629"/>
        <item x="338"/>
        <item x="1988"/>
        <item x="1970"/>
        <item x="752"/>
        <item x="2525"/>
        <item x="1383"/>
        <item x="373"/>
        <item x="1042"/>
        <item x="2623"/>
        <item x="2777"/>
        <item x="1129"/>
        <item x="516"/>
        <item x="2089"/>
        <item x="1731"/>
        <item x="2226"/>
        <item x="1190"/>
        <item x="1170"/>
        <item x="2330"/>
        <item x="1732"/>
        <item x="339"/>
        <item x="2691"/>
        <item x="517"/>
        <item x="834"/>
        <item x="107"/>
        <item x="2692"/>
        <item x="1774"/>
        <item x="1100"/>
        <item x="850"/>
        <item x="144"/>
        <item x="1497"/>
        <item x="271"/>
        <item x="1118"/>
        <item x="2187"/>
        <item x="2734"/>
        <item x="1920"/>
        <item x="518"/>
        <item x="1130"/>
        <item x="630"/>
        <item x="647"/>
        <item x="2029"/>
        <item x="1094"/>
        <item x="1453"/>
        <item x="631"/>
        <item x="1733"/>
        <item x="1191"/>
        <item x="263"/>
        <item x="1743"/>
        <item x="1192"/>
        <item x="1567"/>
        <item x="108"/>
        <item x="2282"/>
        <item x="2526"/>
        <item x="1193"/>
        <item x="2188"/>
        <item x="2090"/>
        <item x="519"/>
        <item x="2662"/>
        <item x="1724"/>
        <item x="2189"/>
        <item x="1503"/>
        <item x="2527"/>
        <item x="2778"/>
        <item x="1498"/>
        <item x="1794"/>
        <item x="851"/>
        <item x="520"/>
        <item x="340"/>
        <item x="893"/>
        <item x="1458"/>
        <item x="1735"/>
        <item x="2795"/>
        <item x="2231"/>
        <item x="1052"/>
        <item x="2379"/>
        <item x="957"/>
        <item x="2784"/>
        <item x="556"/>
        <item x="1739"/>
        <item x="2549"/>
        <item x="2381"/>
        <item x="38"/>
        <item x="1119"/>
        <item x="2382"/>
        <item x="557"/>
        <item x="448"/>
        <item x="714"/>
        <item x="866"/>
        <item x="2487"/>
        <item x="2351"/>
        <item x="2158"/>
        <item x="1028"/>
        <item x="286"/>
        <item x="2383"/>
        <item x="1835"/>
        <item x="1933"/>
        <item x="1591"/>
        <item x="1046"/>
        <item x="1592"/>
        <item x="378"/>
        <item x="2528"/>
        <item x="87"/>
        <item x="565"/>
        <item x="1212"/>
        <item x="46"/>
        <item x="207"/>
        <item x="446"/>
        <item x="1922"/>
        <item x="926"/>
        <item x="1216"/>
        <item x="1837"/>
        <item x="1316"/>
        <item x="2786"/>
        <item x="170"/>
        <item x="2132"/>
        <item x="306"/>
        <item x="2054"/>
        <item x="1923"/>
        <item x="2436"/>
        <item x="870"/>
        <item x="1817"/>
        <item x="2397"/>
        <item x="307"/>
        <item x="1804"/>
        <item x="1218"/>
        <item x="2437"/>
        <item x="715"/>
        <item x="1632"/>
        <item x="453"/>
        <item x="2882"/>
        <item x="2789"/>
        <item x="2907"/>
        <item x="2923"/>
        <item x="1221"/>
        <item x="1264"/>
        <item x="2885"/>
        <item x="2925"/>
        <item x="2359"/>
        <item x="871"/>
        <item x="2926"/>
        <item x="380"/>
        <item x="2489"/>
        <item x="1807"/>
        <item x="177"/>
        <item x="162"/>
        <item x="2490"/>
        <item x="2915"/>
        <item x="1635"/>
        <item x="2439"/>
        <item x="2419"/>
        <item x="2947"/>
        <item x="1276"/>
        <item x="760"/>
        <item x="761"/>
        <item x="1883"/>
        <item x="215"/>
        <item x="2018"/>
        <item x="216"/>
        <item x="2137"/>
        <item x="231"/>
        <item x="1865"/>
        <item x="2446"/>
        <item x="660"/>
        <item x="1637"/>
        <item x="2918"/>
        <item x="100"/>
        <item x="1469"/>
        <item x="796"/>
        <item x="458"/>
        <item x="572"/>
        <item x="179"/>
        <item x="967"/>
        <item x="2056"/>
        <item x="1069"/>
        <item x="785"/>
        <item x="1925"/>
        <item x="2768"/>
        <item x="180"/>
        <item x="1284"/>
        <item x="500"/>
        <item x="245"/>
        <item x="1655"/>
        <item x="164"/>
        <item x="224"/>
        <item x="675"/>
        <item x="580"/>
        <item x="1639"/>
        <item x="1887"/>
        <item x="930"/>
        <item x="1344"/>
        <item x="145"/>
        <item x="62"/>
        <item x="1522"/>
        <item x="2605"/>
        <item x="1490"/>
        <item x="1368"/>
        <item x="22"/>
        <item x="1204"/>
        <item x="260"/>
        <item x="927"/>
        <item x="2650"/>
        <item x="27"/>
        <item x="2297"/>
        <item x="1977"/>
        <item x="1911"/>
        <item x="1290"/>
        <item x="2067"/>
        <item x="2017"/>
        <item x="2313"/>
        <item x="911"/>
        <item x="2469"/>
        <item x="548"/>
        <item x="1356"/>
        <item x="1202"/>
        <item x="2814"/>
        <item x="2220"/>
        <item x="1614"/>
        <item x="2678"/>
        <item x="2079"/>
        <item x="955"/>
        <item x="2290"/>
        <item x="596"/>
        <item x="2266"/>
        <item x="2560"/>
        <item x="134"/>
        <item x="1786"/>
        <item x="1169"/>
        <item x="1084"/>
        <item x="1762"/>
        <item x="2604"/>
        <item x="2725"/>
        <item x="2651"/>
        <item x="1962"/>
        <item x="1912"/>
        <item x="2815"/>
        <item x="1025"/>
        <item x="2230"/>
        <item x="262"/>
        <item x="2783"/>
        <item x="1801"/>
        <item x="2573"/>
        <item x="39"/>
        <item x="1674"/>
        <item x="1740"/>
        <item x="2052"/>
        <item x="2289"/>
        <item x="495"/>
        <item x="1842"/>
        <item x="1337"/>
        <item x="2603"/>
        <item x="1252"/>
        <item x="831"/>
        <item x="1024"/>
        <item x="261"/>
        <item x="2267"/>
        <item x="2531"/>
        <item x="1545"/>
        <item x="1440"/>
        <item x="2125"/>
        <item x="2421"/>
        <item x="2574"/>
        <item x="1881"/>
        <item x="1530"/>
        <item x="159"/>
        <item x="227"/>
        <item x="2910"/>
        <item x="2355"/>
        <item x="961"/>
        <item x="1138"/>
        <item x="1802"/>
        <item x="281"/>
        <item x="981"/>
        <item x="1373"/>
        <item x="2791"/>
        <item x="551"/>
        <item x="2836"/>
        <item x="2484"/>
        <item x="552"/>
        <item x="1049"/>
        <item x="1685"/>
        <item x="2793"/>
        <item x="1975"/>
        <item x="1631"/>
        <item x="756"/>
        <item x="2493"/>
        <item x="597"/>
        <item x="1348"/>
        <item x="810"/>
        <item x="547"/>
        <item x="921"/>
        <item x="1462"/>
        <item x="1899"/>
        <item x="2792"/>
        <item x="1734"/>
        <item x="1463"/>
        <item x="198"/>
        <item x="2486"/>
        <item x="402"/>
        <item x="815"/>
        <item x="2547"/>
        <item x="1345"/>
        <item x="1687"/>
        <item x="2096"/>
        <item x="67"/>
        <item x="1259"/>
        <item x="900"/>
        <item x="877"/>
        <item x="1952"/>
        <item x="1209"/>
        <item x="2742"/>
        <item x="2942"/>
        <item x="2005"/>
        <item x="30"/>
        <item x="705"/>
        <item x="2625"/>
        <item x="197"/>
        <item x="1388"/>
        <item x="2482"/>
        <item x="1386"/>
        <item x="1244"/>
        <item x="1245"/>
        <item x="2747"/>
        <item x="1618"/>
        <item x="2667"/>
        <item x="2250"/>
        <item x="128"/>
        <item x="2304"/>
        <item x="2462"/>
        <item x="1691"/>
        <item x="1828"/>
        <item x="2348"/>
        <item x="2002"/>
        <item x="1736"/>
        <item x="119"/>
        <item x="2375"/>
        <item x="654"/>
        <item x="1211"/>
        <item x="1108"/>
        <item x="204"/>
        <item x="70"/>
        <item x="469"/>
        <item x="1686"/>
        <item x="2039"/>
        <item x="935"/>
        <item x="1393"/>
        <item x="1213"/>
        <item x="2624"/>
        <item x="934"/>
        <item x="445"/>
        <item x="2131"/>
        <item x="1995"/>
        <item x="206"/>
        <item x="1460"/>
        <item x="203"/>
        <item x="1214"/>
        <item x="444"/>
        <item x="560"/>
        <item x="2053"/>
        <item x="559"/>
        <item x="1134"/>
        <item x="1135"/>
        <item x="2785"/>
        <item x="2143"/>
        <item x="655"/>
        <item x="925"/>
        <item x="1136"/>
        <item x="1261"/>
        <item x="1996"/>
        <item x="1588"/>
        <item x="1215"/>
        <item x="1064"/>
        <item x="2396"/>
        <item x="1272"/>
        <item x="2977"/>
        <item x="2395"/>
        <item x="2879"/>
        <item x="1273"/>
        <item x="1921"/>
        <item x="447"/>
        <item x="2919"/>
        <item x="226"/>
        <item x="1836"/>
        <item x="1844"/>
        <item x="567"/>
        <item x="2354"/>
        <item x="1531"/>
        <item x="656"/>
        <item x="45"/>
        <item x="1054"/>
        <item x="869"/>
        <item x="1137"/>
        <item x="561"/>
        <item x="1262"/>
        <item x="1104"/>
        <item x="1997"/>
        <item x="2040"/>
        <item x="2435"/>
        <item x="2906"/>
        <item x="1532"/>
        <item x="173"/>
        <item x="2134"/>
        <item x="2356"/>
        <item x="2911"/>
        <item x="2920"/>
        <item x="1065"/>
        <item x="1280"/>
        <item x="1110"/>
        <item x="2787"/>
        <item x="208"/>
        <item x="1845"/>
        <item x="171"/>
        <item x="449"/>
        <item x="160"/>
        <item x="1394"/>
        <item x="2190"/>
        <item x="1281"/>
        <item x="1395"/>
        <item x="1924"/>
        <item x="47"/>
        <item x="1803"/>
        <item x="812"/>
        <item x="2398"/>
        <item x="451"/>
        <item x="308"/>
        <item x="977"/>
        <item x="452"/>
        <item x="228"/>
        <item x="1805"/>
        <item x="773"/>
        <item x="1219"/>
        <item x="2913"/>
        <item x="1506"/>
        <item x="175"/>
        <item x="1220"/>
        <item x="2358"/>
        <item x="657"/>
        <item x="2946"/>
        <item x="569"/>
        <item x="214"/>
        <item x="1265"/>
        <item x="658"/>
        <item x="1946"/>
        <item x="2927"/>
        <item x="1634"/>
        <item x="213"/>
        <item x="209"/>
        <item x="2914"/>
        <item x="1818"/>
        <item x="1633"/>
        <item x="1056"/>
        <item x="1747"/>
        <item x="1999"/>
        <item x="1576"/>
        <item x="2400"/>
        <item x="1222"/>
        <item x="161"/>
        <item x="570"/>
        <item x="1594"/>
        <item x="2695"/>
        <item x="1653"/>
        <item x="2434"/>
        <item x="2710"/>
        <item x="938"/>
        <item x="1404"/>
        <item x="2045"/>
        <item x="1819"/>
        <item x="1864"/>
        <item x="456"/>
        <item x="2908"/>
        <item x="1068"/>
        <item x="980"/>
        <item x="965"/>
        <item x="2006"/>
        <item x="872"/>
        <item x="288"/>
        <item x="873"/>
        <item x="939"/>
        <item x="1443"/>
        <item x="1534"/>
        <item x="2491"/>
        <item x="2928"/>
        <item x="776"/>
        <item x="2423"/>
        <item x="1225"/>
        <item x="2909"/>
        <item x="1277"/>
        <item x="1283"/>
        <item x="2136"/>
        <item x="1636"/>
        <item x="659"/>
        <item x="2948"/>
        <item x="457"/>
        <item x="470"/>
        <item x="1546"/>
        <item x="381"/>
        <item x="2916"/>
        <item x="966"/>
        <item x="2696"/>
        <item x="2917"/>
        <item x="2046"/>
        <item x="2887"/>
        <item x="1266"/>
        <item x="292"/>
        <item x="1990"/>
        <item x="2697"/>
        <item x="717"/>
        <item x="289"/>
        <item x="1536"/>
        <item x="459"/>
        <item x="2116"/>
        <item x="2429"/>
        <item x="2698"/>
        <item x="2888"/>
        <item x="762"/>
        <item x="2483"/>
        <item x="181"/>
        <item x="2047"/>
        <item x="2427"/>
        <item x="1072"/>
        <item x="2049"/>
        <item x="2949"/>
        <item x="765"/>
        <item x="2701"/>
        <item x="2332"/>
        <item x="971"/>
        <item x="1139"/>
        <item x="1640"/>
        <item x="574"/>
        <item x="2333"/>
        <item x="2431"/>
        <item x="944"/>
        <item x="1294"/>
        <item x="787"/>
        <item x="1140"/>
        <item x="2334"/>
        <item x="440"/>
        <item x="672"/>
        <item x="1870"/>
        <item x="2453"/>
        <item x="2452"/>
        <item x="1645"/>
        <item x="2141"/>
        <item x="2894"/>
        <item x="1858"/>
        <item x="2563"/>
        <item x="1857"/>
        <item x="1597"/>
        <item x="2119"/>
        <item x="463"/>
        <item x="1647"/>
        <item x="2192"/>
        <item x="1271"/>
        <item x="1267"/>
        <item x="1048"/>
        <item x="1268"/>
        <item x="2950"/>
        <item x="2538"/>
        <item x="2953"/>
        <item x="2706"/>
        <item x="791"/>
        <item x="667"/>
        <item x="2343"/>
        <item x="466"/>
        <item x="297"/>
        <item x="1105"/>
        <item x="2707"/>
        <item x="2369"/>
        <item x="167"/>
        <item x="2459"/>
        <item x="1417"/>
        <item x="1892"/>
        <item x="1060"/>
        <item x="1400"/>
        <item x="150"/>
        <item x="189"/>
        <item x="1813"/>
        <item x="2388"/>
        <item x="1236"/>
        <item x="1421"/>
        <item x="1410"/>
        <item x="724"/>
        <item x="2349"/>
        <item x="808"/>
        <item x="670"/>
        <item x="223"/>
        <item x="2708"/>
        <item x="193"/>
        <item x="311"/>
        <item x="194"/>
        <item x="990"/>
        <item x="1897"/>
        <item x="897"/>
        <item x="1411"/>
        <item x="2540"/>
        <item x="976"/>
        <item x="948"/>
        <item x="1012"/>
        <item x="1776"/>
        <item x="386"/>
        <item x="2798"/>
        <item x="301"/>
        <item x="2532"/>
        <item x="1291"/>
        <item x="1299"/>
        <item x="1292"/>
        <item x="1293"/>
        <item x="2799"/>
        <item x="2346"/>
        <item x="1300"/>
        <item x="121"/>
        <item x="813"/>
        <item x="1478"/>
        <item x="2959"/>
        <item x="1159"/>
        <item x="2007"/>
        <item x="2626"/>
        <item x="599"/>
        <item x="122"/>
        <item x="2243"/>
        <item x="1615"/>
        <item x="600"/>
        <item x="347"/>
        <item x="94"/>
        <item x="1160"/>
        <item x="2627"/>
        <item x="2837"/>
        <item x="861"/>
        <item x="2008"/>
        <item x="993"/>
        <item x="1950"/>
        <item x="2546"/>
        <item x="2800"/>
        <item x="123"/>
        <item x="375"/>
        <item x="1346"/>
        <item x="2628"/>
        <item x="2244"/>
        <item x="2091"/>
        <item x="2092"/>
        <item x="2292"/>
        <item x="1013"/>
        <item x="2832"/>
        <item x="2495"/>
        <item x="2629"/>
        <item x="2133"/>
        <item x="2905"/>
        <item x="994"/>
        <item x="581"/>
        <item x="2003"/>
        <item x="1992"/>
        <item x="471"/>
        <item x="124"/>
        <item x="582"/>
        <item x="412"/>
        <item x="2378"/>
        <item x="1848"/>
        <item x="1751"/>
        <item x="2496"/>
        <item x="2559"/>
        <item x="2144"/>
        <item x="2566"/>
        <item x="995"/>
        <item x="33"/>
        <item x="247"/>
        <item x="1830"/>
        <item x="898"/>
        <item x="315"/>
        <item x="2711"/>
        <item x="1237"/>
        <item x="2497"/>
        <item x="1512"/>
        <item x="1479"/>
        <item x="48"/>
        <item x="1548"/>
        <item x="1014"/>
        <item x="472"/>
        <item x="1513"/>
        <item x="521"/>
        <item x="522"/>
        <item x="1301"/>
        <item x="2299"/>
        <item x="2293"/>
        <item x="699"/>
        <item x="406"/>
        <item x="1849"/>
        <item x="151"/>
        <item x="1737"/>
        <item x="553"/>
        <item x="2204"/>
        <item x="273"/>
        <item x="196"/>
        <item x="116"/>
        <item x="1947"/>
        <item x="1106"/>
        <item x="1206"/>
        <item x="1549"/>
        <item x="248"/>
        <item x="856"/>
        <item x="1850"/>
        <item x="899"/>
        <item x="49"/>
        <item x="2838"/>
        <item x="2576"/>
        <item x="1616"/>
        <item x="343"/>
        <item x="729"/>
        <item x="2424"/>
        <item x="2940"/>
        <item x="1050"/>
        <item x="2093"/>
        <item x="2156"/>
        <item x="1461"/>
        <item x="2287"/>
        <item x="920"/>
        <item x="2294"/>
        <item x="1347"/>
        <item x="2402"/>
        <item x="1338"/>
        <item x="996"/>
        <item x="1589"/>
        <item x="1514"/>
        <item x="2941"/>
        <item x="649"/>
        <item x="2801"/>
        <item x="152"/>
        <item x="1161"/>
        <item x="2009"/>
        <item x="2960"/>
        <item x="1015"/>
        <item x="1570"/>
        <item x="2403"/>
        <item x="2010"/>
        <item x="2782"/>
        <item x="1948"/>
        <item x="1302"/>
        <item x="439"/>
        <item x="2145"/>
        <item x="2034"/>
        <item x="2404"/>
        <item x="280"/>
        <item x="1949"/>
        <item x="1207"/>
        <item x="2350"/>
        <item x="34"/>
        <item x="2300"/>
        <item x="874"/>
        <item x="1777"/>
        <item x="676"/>
        <item x="730"/>
        <item x="2577"/>
        <item x="2094"/>
        <item x="2712"/>
        <item x="2802"/>
        <item x="875"/>
        <item x="1111"/>
        <item x="1374"/>
        <item x="284"/>
        <item x="405"/>
        <item x="2736"/>
        <item x="1336"/>
        <item x="282"/>
        <item x="1851"/>
        <item x="1203"/>
        <item x="2295"/>
        <item x="148"/>
        <item x="35"/>
        <item x="36"/>
        <item x="956"/>
        <item x="860"/>
        <item x="814"/>
        <item x="598"/>
        <item x="2830"/>
        <item x="2578"/>
        <item x="249"/>
        <item x="2245"/>
        <item x="876"/>
        <item x="50"/>
        <item x="2004"/>
        <item x="149"/>
        <item x="2146"/>
        <item x="285"/>
        <item x="2835"/>
        <item x="153"/>
        <item x="1370"/>
        <item x="342"/>
        <item x="403"/>
        <item x="706"/>
        <item x="2095"/>
        <item x="154"/>
        <item x="1208"/>
        <item x="2567"/>
        <item x="199"/>
        <item x="1238"/>
        <item x="1515"/>
        <item x="858"/>
        <item x="1951"/>
        <item x="28"/>
        <item x="1670"/>
        <item x="1852"/>
        <item x="677"/>
        <item x="1303"/>
        <item x="1162"/>
        <item x="473"/>
        <item x="2498"/>
        <item x="2242"/>
        <item x="474"/>
        <item x="1778"/>
        <item x="2147"/>
        <item x="922"/>
        <item x="1831"/>
        <item x="1671"/>
        <item x="862"/>
        <item x="650"/>
        <item x="727"/>
        <item x="2035"/>
        <item x="376"/>
        <item x="2405"/>
        <item x="2794"/>
        <item x="1748"/>
        <item x="2938"/>
        <item x="250"/>
        <item x="411"/>
        <item x="475"/>
        <item x="1339"/>
        <item x="1051"/>
        <item x="901"/>
        <item x="2839"/>
        <item x="2071"/>
        <item x="1349"/>
        <item x="2148"/>
        <item x="1340"/>
        <item x="2739"/>
        <item x="651"/>
        <item x="2406"/>
        <item x="155"/>
        <item x="413"/>
        <item x="2246"/>
        <item x="51"/>
        <item x="2630"/>
        <item x="1112"/>
        <item x="316"/>
        <item x="1016"/>
        <item x="1779"/>
        <item x="2579"/>
        <item x="2840"/>
        <item x="29"/>
        <item x="1163"/>
        <item x="2663"/>
        <item x="902"/>
        <item x="2713"/>
        <item x="1688"/>
        <item x="1516"/>
        <item x="1304"/>
        <item x="583"/>
        <item x="1387"/>
        <item x="1843"/>
        <item x="1976"/>
        <item x="476"/>
        <item x="2568"/>
        <item x="1078"/>
        <item x="601"/>
        <item x="1305"/>
        <item x="2743"/>
        <item x="2803"/>
        <item x="1900"/>
        <item x="1880"/>
        <item x="2580"/>
        <item x="1239"/>
        <item x="1689"/>
        <item x="2664"/>
        <item x="251"/>
        <item x="1780"/>
        <item x="1480"/>
        <item x="997"/>
        <item x="1279"/>
        <item x="68"/>
        <item x="125"/>
        <item x="2247"/>
        <item x="2097"/>
        <item x="2744"/>
        <item x="1275"/>
        <item x="387"/>
        <item x="1603"/>
        <item x="1901"/>
        <item x="1902"/>
        <item x="2714"/>
        <item x="388"/>
        <item x="2407"/>
        <item x="1604"/>
        <item x="2301"/>
        <item x="389"/>
        <item x="903"/>
        <item x="523"/>
        <item x="1481"/>
        <item x="2641"/>
        <item x="1240"/>
        <item x="998"/>
        <item x="317"/>
        <item x="1953"/>
        <item x="2149"/>
        <item x="999"/>
        <item x="1903"/>
        <item x="904"/>
        <item x="2150"/>
        <item x="2581"/>
        <item x="1550"/>
        <item x="318"/>
        <item x="2248"/>
        <item x="1482"/>
        <item x="2665"/>
        <item x="602"/>
        <item x="603"/>
        <item x="2582"/>
        <item x="2205"/>
        <item x="2715"/>
        <item x="2631"/>
        <item x="2302"/>
        <item x="477"/>
        <item x="604"/>
        <item x="1781"/>
        <item x="2206"/>
        <item x="1798"/>
        <item x="95"/>
        <item x="478"/>
        <item x="2159"/>
        <item x="319"/>
        <item x="2583"/>
        <item x="1853"/>
        <item x="678"/>
        <item x="1954"/>
        <item x="2408"/>
        <item x="2642"/>
        <item x="414"/>
        <item x="2072"/>
        <item x="1799"/>
        <item x="1164"/>
        <item x="2409"/>
        <item x="1782"/>
        <item x="1241"/>
        <item x="2643"/>
        <item x="1752"/>
        <item x="2207"/>
        <item x="2841"/>
        <item x="2499"/>
        <item x="1375"/>
        <item x="1690"/>
        <item x="1017"/>
        <item x="1242"/>
        <item x="2500"/>
        <item x="52"/>
        <item x="1904"/>
        <item x="2501"/>
        <item x="2410"/>
        <item x="1483"/>
        <item x="1350"/>
        <item x="2208"/>
        <item x="348"/>
        <item x="679"/>
        <item x="2011"/>
        <item x="2012"/>
        <item x="1955"/>
        <item x="53"/>
        <item x="1113"/>
        <item x="1306"/>
        <item x="2745"/>
        <item x="2562"/>
        <item x="126"/>
        <item x="479"/>
        <item x="1936"/>
        <item x="1205"/>
        <item x="2411"/>
        <item x="2412"/>
        <item x="2644"/>
        <item x="410"/>
        <item x="127"/>
        <item x="2804"/>
        <item x="2098"/>
        <item x="2401"/>
        <item x="349"/>
        <item x="69"/>
        <item x="2099"/>
        <item x="1617"/>
        <item x="2746"/>
        <item x="2151"/>
        <item x="2912"/>
        <item x="350"/>
        <item x="2209"/>
        <item x="2781"/>
        <item x="2666"/>
        <item x="54"/>
        <item x="480"/>
        <item x="2210"/>
        <item x="905"/>
        <item x="1551"/>
        <item x="811"/>
        <item x="2584"/>
        <item x="2585"/>
        <item x="1079"/>
        <item x="2303"/>
        <item x="1605"/>
        <item x="584"/>
        <item x="2586"/>
        <item x="320"/>
        <item x="2413"/>
        <item x="2211"/>
        <item x="816"/>
        <item x="585"/>
        <item x="481"/>
        <item x="2716"/>
        <item x="524"/>
        <item x="415"/>
        <item x="731"/>
        <item x="2013"/>
        <item x="2073"/>
        <item x="1018"/>
        <item x="55"/>
        <item x="252"/>
        <item x="1080"/>
        <item x="1243"/>
        <item x="1753"/>
        <item x="680"/>
        <item x="93"/>
        <item x="586"/>
        <item x="1937"/>
        <item x="2249"/>
        <item x="2502"/>
        <item x="2805"/>
        <item x="681"/>
        <item x="1783"/>
        <item x="129"/>
        <item x="732"/>
        <item x="2587"/>
        <item x="1351"/>
        <item x="2494"/>
        <item x="130"/>
        <item x="2632"/>
        <item x="2842"/>
        <item x="1517"/>
        <item x="1000"/>
        <item x="2212"/>
        <item x="2633"/>
        <item x="525"/>
        <item x="1934"/>
        <item x="682"/>
        <item x="1938"/>
        <item x="2461"/>
        <item x="1552"/>
        <item x="2298"/>
        <item x="1376"/>
        <item x="1619"/>
        <item x="1692"/>
        <item x="2843"/>
        <item x="2961"/>
        <item x="1935"/>
        <item x="2588"/>
        <item x="1606"/>
        <item x="2251"/>
        <item x="817"/>
        <item x="2717"/>
        <item x="683"/>
        <item x="71"/>
        <item x="2100"/>
        <item x="2589"/>
        <item x="314"/>
        <item x="1607"/>
        <item x="482"/>
        <item x="1001"/>
        <item x="1114"/>
        <item x="2590"/>
        <item x="2634"/>
        <item x="2645"/>
        <item x="483"/>
        <item x="1956"/>
        <item x="2203"/>
        <item x="2962"/>
        <item x="96"/>
        <item x="2101"/>
        <item x="2074"/>
        <item x="1553"/>
        <item x="1939"/>
        <item x="2102"/>
        <item x="818"/>
        <item x="2963"/>
        <item x="72"/>
        <item x="728"/>
        <item x="2503"/>
        <item x="2591"/>
        <item x="73"/>
        <item x="1352"/>
        <item x="2592"/>
        <item x="962"/>
        <item x="2646"/>
        <item x="2647"/>
        <item x="56"/>
        <item x="2806"/>
        <item x="1754"/>
        <item x="2305"/>
        <item x="526"/>
        <item x="1940"/>
        <item x="74"/>
        <item x="1755"/>
        <item x="878"/>
        <item x="819"/>
        <item x="928"/>
        <item x="1246"/>
        <item x="321"/>
        <item x="2718"/>
        <item x="2252"/>
        <item x="2213"/>
        <item x="879"/>
        <item x="2668"/>
        <item x="2253"/>
        <item x="1608"/>
        <item x="2844"/>
        <item x="2593"/>
        <item x="2845"/>
        <item x="527"/>
        <item x="528"/>
        <item x="820"/>
        <item x="2075"/>
        <item x="1247"/>
        <item x="1307"/>
        <item x="2964"/>
        <item x="605"/>
        <item x="31"/>
        <item x="2635"/>
        <item x="1957"/>
        <item x="2594"/>
        <item x="684"/>
        <item x="587"/>
        <item x="2965"/>
        <item x="2103"/>
        <item x="2669"/>
        <item x="484"/>
        <item x="588"/>
        <item x="1248"/>
        <item x="1568"/>
        <item x="1750"/>
        <item x="2415"/>
        <item x="1840"/>
        <item x="2975"/>
        <item x="2903"/>
        <item x="2904"/>
        <item x="40"/>
        <item x="2976"/>
        <item x="1258"/>
        <item x="1879"/>
        <item x="2352"/>
        <item x="1391"/>
        <item x="1107"/>
        <item x="1260"/>
        <item x="1342"/>
        <item x="2384"/>
        <item x="1574"/>
        <item x="564"/>
        <item x="1989"/>
        <item x="1854"/>
        <item x="2130"/>
        <item x="707"/>
        <item x="867"/>
        <item x="868"/>
        <item x="2393"/>
        <item x="443"/>
        <item x="959"/>
        <item x="2529"/>
        <item x="2394"/>
        <item x="2555"/>
        <item x="438"/>
        <item x="2286"/>
        <item x="855"/>
        <item x="635"/>
        <item x="1978"/>
        <item x="1357"/>
        <item x="1085"/>
        <item x="2470"/>
        <item x="2767"/>
        <item x="2268"/>
        <item x="2680"/>
        <item x="2679"/>
        <item x="63"/>
        <item x="1557"/>
        <item x="1763"/>
        <item x="2652"/>
        <item x="1005"/>
        <item x="1006"/>
        <item x="1701"/>
        <item x="496"/>
        <item x="1707"/>
        <item x="86"/>
        <item x="1086"/>
        <item x="832"/>
        <item x="2757"/>
        <item x="2766"/>
        <item x="385"/>
        <item x="2202"/>
        <item x="2797"/>
        <item x="2575"/>
        <item x="313"/>
        <item x="346"/>
        <item x="1547"/>
        <item x="1343"/>
        <item x="896"/>
        <item x="2693"/>
        <item x="2824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1">
        <item h="1" x="7"/>
        <item h="1" x="6"/>
        <item h="1" x="0"/>
        <item h="1" x="2"/>
        <item h="1" x="3"/>
        <item x="4"/>
        <item x="9"/>
        <item x="5"/>
        <item h="1" x="1"/>
        <item h="1" x="8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0"/>
  </rowFields>
  <rowItems count="881">
    <i>
      <x v="1"/>
    </i>
    <i>
      <x v="2"/>
    </i>
    <i>
      <x v="5"/>
    </i>
    <i>
      <x v="6"/>
    </i>
    <i>
      <x v="7"/>
    </i>
    <i>
      <x v="9"/>
    </i>
    <i>
      <x v="10"/>
    </i>
    <i>
      <x v="13"/>
    </i>
    <i>
      <x v="14"/>
    </i>
    <i>
      <x v="17"/>
    </i>
    <i>
      <x v="28"/>
    </i>
    <i>
      <x v="30"/>
    </i>
    <i>
      <x v="31"/>
    </i>
    <i>
      <x v="34"/>
    </i>
    <i>
      <x v="36"/>
    </i>
    <i>
      <x v="42"/>
    </i>
    <i>
      <x v="43"/>
    </i>
    <i>
      <x v="44"/>
    </i>
    <i>
      <x v="46"/>
    </i>
    <i>
      <x v="47"/>
    </i>
    <i>
      <x v="48"/>
    </i>
    <i>
      <x v="51"/>
    </i>
    <i>
      <x v="52"/>
    </i>
    <i>
      <x v="56"/>
    </i>
    <i>
      <x v="64"/>
    </i>
    <i>
      <x v="65"/>
    </i>
    <i>
      <x v="71"/>
    </i>
    <i>
      <x v="80"/>
    </i>
    <i>
      <x v="82"/>
    </i>
    <i>
      <x v="83"/>
    </i>
    <i>
      <x v="91"/>
    </i>
    <i>
      <x v="96"/>
    </i>
    <i>
      <x v="98"/>
    </i>
    <i>
      <x v="100"/>
    </i>
    <i>
      <x v="107"/>
    </i>
    <i>
      <x v="109"/>
    </i>
    <i>
      <x v="110"/>
    </i>
    <i>
      <x v="114"/>
    </i>
    <i>
      <x v="117"/>
    </i>
    <i>
      <x v="118"/>
    </i>
    <i>
      <x v="119"/>
    </i>
    <i>
      <x v="122"/>
    </i>
    <i>
      <x v="123"/>
    </i>
    <i>
      <x v="127"/>
    </i>
    <i>
      <x v="128"/>
    </i>
    <i>
      <x v="136"/>
    </i>
    <i>
      <x v="137"/>
    </i>
    <i>
      <x v="138"/>
    </i>
    <i>
      <x v="140"/>
    </i>
    <i>
      <x v="143"/>
    </i>
    <i>
      <x v="145"/>
    </i>
    <i>
      <x v="146"/>
    </i>
    <i>
      <x v="147"/>
    </i>
    <i>
      <x v="150"/>
    </i>
    <i>
      <x v="153"/>
    </i>
    <i>
      <x v="155"/>
    </i>
    <i>
      <x v="157"/>
    </i>
    <i>
      <x v="158"/>
    </i>
    <i>
      <x v="160"/>
    </i>
    <i>
      <x v="162"/>
    </i>
    <i>
      <x v="167"/>
    </i>
    <i>
      <x v="168"/>
    </i>
    <i>
      <x v="169"/>
    </i>
    <i>
      <x v="172"/>
    </i>
    <i>
      <x v="173"/>
    </i>
    <i>
      <x v="176"/>
    </i>
    <i>
      <x v="184"/>
    </i>
    <i>
      <x v="191"/>
    </i>
    <i>
      <x v="194"/>
    </i>
    <i>
      <x v="196"/>
    </i>
    <i>
      <x v="198"/>
    </i>
    <i>
      <x v="201"/>
    </i>
    <i>
      <x v="203"/>
    </i>
    <i>
      <x v="207"/>
    </i>
    <i>
      <x v="210"/>
    </i>
    <i>
      <x v="211"/>
    </i>
    <i>
      <x v="212"/>
    </i>
    <i>
      <x v="220"/>
    </i>
    <i>
      <x v="223"/>
    </i>
    <i>
      <x v="224"/>
    </i>
    <i>
      <x v="227"/>
    </i>
    <i>
      <x v="228"/>
    </i>
    <i>
      <x v="229"/>
    </i>
    <i>
      <x v="233"/>
    </i>
    <i>
      <x v="237"/>
    </i>
    <i>
      <x v="238"/>
    </i>
    <i>
      <x v="239"/>
    </i>
    <i>
      <x v="240"/>
    </i>
    <i>
      <x v="242"/>
    </i>
    <i>
      <x v="248"/>
    </i>
    <i>
      <x v="252"/>
    </i>
    <i>
      <x v="253"/>
    </i>
    <i>
      <x v="254"/>
    </i>
    <i>
      <x v="258"/>
    </i>
    <i>
      <x v="260"/>
    </i>
    <i>
      <x v="265"/>
    </i>
    <i>
      <x v="268"/>
    </i>
    <i>
      <x v="269"/>
    </i>
    <i>
      <x v="271"/>
    </i>
    <i>
      <x v="273"/>
    </i>
    <i>
      <x v="277"/>
    </i>
    <i>
      <x v="280"/>
    </i>
    <i>
      <x v="282"/>
    </i>
    <i>
      <x v="283"/>
    </i>
    <i>
      <x v="284"/>
    </i>
    <i>
      <x v="288"/>
    </i>
    <i>
      <x v="291"/>
    </i>
    <i>
      <x v="292"/>
    </i>
    <i>
      <x v="295"/>
    </i>
    <i>
      <x v="296"/>
    </i>
    <i>
      <x v="298"/>
    </i>
    <i>
      <x v="302"/>
    </i>
    <i>
      <x v="303"/>
    </i>
    <i>
      <x v="305"/>
    </i>
    <i>
      <x v="306"/>
    </i>
    <i>
      <x v="310"/>
    </i>
    <i>
      <x v="311"/>
    </i>
    <i>
      <x v="312"/>
    </i>
    <i>
      <x v="316"/>
    </i>
    <i>
      <x v="317"/>
    </i>
    <i>
      <x v="320"/>
    </i>
    <i>
      <x v="332"/>
    </i>
    <i>
      <x v="333"/>
    </i>
    <i>
      <x v="334"/>
    </i>
    <i>
      <x v="335"/>
    </i>
    <i>
      <x v="340"/>
    </i>
    <i>
      <x v="341"/>
    </i>
    <i>
      <x v="343"/>
    </i>
    <i>
      <x v="344"/>
    </i>
    <i>
      <x v="348"/>
    </i>
    <i>
      <x v="349"/>
    </i>
    <i>
      <x v="353"/>
    </i>
    <i>
      <x v="356"/>
    </i>
    <i>
      <x v="357"/>
    </i>
    <i>
      <x v="359"/>
    </i>
    <i>
      <x v="362"/>
    </i>
    <i>
      <x v="364"/>
    </i>
    <i>
      <x v="365"/>
    </i>
    <i>
      <x v="367"/>
    </i>
    <i>
      <x v="376"/>
    </i>
    <i>
      <x v="377"/>
    </i>
    <i>
      <x v="383"/>
    </i>
    <i>
      <x v="394"/>
    </i>
    <i>
      <x v="397"/>
    </i>
    <i>
      <x v="400"/>
    </i>
    <i>
      <x v="409"/>
    </i>
    <i>
      <x v="410"/>
    </i>
    <i>
      <x v="415"/>
    </i>
    <i>
      <x v="416"/>
    </i>
    <i>
      <x v="417"/>
    </i>
    <i>
      <x v="419"/>
    </i>
    <i>
      <x v="421"/>
    </i>
    <i>
      <x v="422"/>
    </i>
    <i>
      <x v="425"/>
    </i>
    <i>
      <x v="427"/>
    </i>
    <i>
      <x v="428"/>
    </i>
    <i>
      <x v="430"/>
    </i>
    <i>
      <x v="434"/>
    </i>
    <i>
      <x v="435"/>
    </i>
    <i>
      <x v="442"/>
    </i>
    <i>
      <x v="443"/>
    </i>
    <i>
      <x v="444"/>
    </i>
    <i>
      <x v="446"/>
    </i>
    <i>
      <x v="447"/>
    </i>
    <i>
      <x v="448"/>
    </i>
    <i>
      <x v="449"/>
    </i>
    <i>
      <x v="452"/>
    </i>
    <i>
      <x v="456"/>
    </i>
    <i>
      <x v="458"/>
    </i>
    <i>
      <x v="459"/>
    </i>
    <i>
      <x v="460"/>
    </i>
    <i>
      <x v="462"/>
    </i>
    <i>
      <x v="463"/>
    </i>
    <i>
      <x v="465"/>
    </i>
    <i>
      <x v="466"/>
    </i>
    <i>
      <x v="467"/>
    </i>
    <i>
      <x v="469"/>
    </i>
    <i>
      <x v="470"/>
    </i>
    <i>
      <x v="474"/>
    </i>
    <i>
      <x v="478"/>
    </i>
    <i>
      <x v="481"/>
    </i>
    <i>
      <x v="483"/>
    </i>
    <i>
      <x v="484"/>
    </i>
    <i>
      <x v="486"/>
    </i>
    <i>
      <x v="488"/>
    </i>
    <i>
      <x v="496"/>
    </i>
    <i>
      <x v="497"/>
    </i>
    <i>
      <x v="500"/>
    </i>
    <i>
      <x v="501"/>
    </i>
    <i>
      <x v="505"/>
    </i>
    <i>
      <x v="507"/>
    </i>
    <i>
      <x v="508"/>
    </i>
    <i>
      <x v="509"/>
    </i>
    <i>
      <x v="511"/>
    </i>
    <i>
      <x v="514"/>
    </i>
    <i>
      <x v="516"/>
    </i>
    <i>
      <x v="520"/>
    </i>
    <i>
      <x v="524"/>
    </i>
    <i>
      <x v="529"/>
    </i>
    <i>
      <x v="531"/>
    </i>
    <i>
      <x v="533"/>
    </i>
    <i>
      <x v="535"/>
    </i>
    <i>
      <x v="537"/>
    </i>
    <i>
      <x v="538"/>
    </i>
    <i>
      <x v="539"/>
    </i>
    <i>
      <x v="541"/>
    </i>
    <i>
      <x v="548"/>
    </i>
    <i>
      <x v="549"/>
    </i>
    <i>
      <x v="552"/>
    </i>
    <i>
      <x v="554"/>
    </i>
    <i>
      <x v="557"/>
    </i>
    <i>
      <x v="560"/>
    </i>
    <i>
      <x v="564"/>
    </i>
    <i>
      <x v="565"/>
    </i>
    <i>
      <x v="570"/>
    </i>
    <i>
      <x v="575"/>
    </i>
    <i>
      <x v="580"/>
    </i>
    <i>
      <x v="600"/>
    </i>
    <i>
      <x v="601"/>
    </i>
    <i>
      <x v="607"/>
    </i>
    <i>
      <x v="611"/>
    </i>
    <i>
      <x v="626"/>
    </i>
    <i>
      <x v="634"/>
    </i>
    <i>
      <x v="651"/>
    </i>
    <i>
      <x v="669"/>
    </i>
    <i>
      <x v="672"/>
    </i>
    <i>
      <x v="673"/>
    </i>
    <i>
      <x v="674"/>
    </i>
    <i>
      <x v="676"/>
    </i>
    <i>
      <x v="689"/>
    </i>
    <i>
      <x v="691"/>
    </i>
    <i>
      <x v="692"/>
    </i>
    <i>
      <x v="697"/>
    </i>
    <i>
      <x v="698"/>
    </i>
    <i>
      <x v="710"/>
    </i>
    <i>
      <x v="714"/>
    </i>
    <i>
      <x v="725"/>
    </i>
    <i>
      <x v="751"/>
    </i>
    <i>
      <x v="758"/>
    </i>
    <i>
      <x v="765"/>
    </i>
    <i>
      <x v="777"/>
    </i>
    <i>
      <x v="781"/>
    </i>
    <i>
      <x v="786"/>
    </i>
    <i>
      <x v="798"/>
    </i>
    <i>
      <x v="803"/>
    </i>
    <i>
      <x v="805"/>
    </i>
    <i>
      <x v="811"/>
    </i>
    <i>
      <x v="814"/>
    </i>
    <i>
      <x v="818"/>
    </i>
    <i>
      <x v="819"/>
    </i>
    <i>
      <x v="820"/>
    </i>
    <i>
      <x v="823"/>
    </i>
    <i>
      <x v="830"/>
    </i>
    <i>
      <x v="833"/>
    </i>
    <i>
      <x v="834"/>
    </i>
    <i>
      <x v="845"/>
    </i>
    <i>
      <x v="847"/>
    </i>
    <i>
      <x v="849"/>
    </i>
    <i>
      <x v="852"/>
    </i>
    <i>
      <x v="853"/>
    </i>
    <i>
      <x v="859"/>
    </i>
    <i>
      <x v="861"/>
    </i>
    <i>
      <x v="862"/>
    </i>
    <i>
      <x v="864"/>
    </i>
    <i>
      <x v="869"/>
    </i>
    <i>
      <x v="871"/>
    </i>
    <i>
      <x v="880"/>
    </i>
    <i>
      <x v="881"/>
    </i>
    <i>
      <x v="882"/>
    </i>
    <i>
      <x v="886"/>
    </i>
    <i>
      <x v="889"/>
    </i>
    <i>
      <x v="892"/>
    </i>
    <i>
      <x v="897"/>
    </i>
    <i>
      <x v="899"/>
    </i>
    <i>
      <x v="900"/>
    </i>
    <i>
      <x v="901"/>
    </i>
    <i>
      <x v="905"/>
    </i>
    <i>
      <x v="907"/>
    </i>
    <i>
      <x v="909"/>
    </i>
    <i>
      <x v="910"/>
    </i>
    <i>
      <x v="911"/>
    </i>
    <i>
      <x v="912"/>
    </i>
    <i>
      <x v="917"/>
    </i>
    <i>
      <x v="921"/>
    </i>
    <i>
      <x v="923"/>
    </i>
    <i>
      <x v="927"/>
    </i>
    <i>
      <x v="936"/>
    </i>
    <i>
      <x v="945"/>
    </i>
    <i>
      <x v="949"/>
    </i>
    <i>
      <x v="952"/>
    </i>
    <i>
      <x v="955"/>
    </i>
    <i>
      <x v="958"/>
    </i>
    <i>
      <x v="960"/>
    </i>
    <i>
      <x v="962"/>
    </i>
    <i>
      <x v="967"/>
    </i>
    <i>
      <x v="968"/>
    </i>
    <i>
      <x v="974"/>
    </i>
    <i>
      <x v="978"/>
    </i>
    <i>
      <x v="982"/>
    </i>
    <i>
      <x v="983"/>
    </i>
    <i>
      <x v="986"/>
    </i>
    <i>
      <x v="988"/>
    </i>
    <i>
      <x v="989"/>
    </i>
    <i>
      <x v="991"/>
    </i>
    <i>
      <x v="1000"/>
    </i>
    <i>
      <x v="1001"/>
    </i>
    <i>
      <x v="1002"/>
    </i>
    <i>
      <x v="1003"/>
    </i>
    <i>
      <x v="1004"/>
    </i>
    <i>
      <x v="1007"/>
    </i>
    <i>
      <x v="1010"/>
    </i>
    <i>
      <x v="1014"/>
    </i>
    <i>
      <x v="1015"/>
    </i>
    <i>
      <x v="1018"/>
    </i>
    <i>
      <x v="1024"/>
    </i>
    <i>
      <x v="1029"/>
    </i>
    <i>
      <x v="1031"/>
    </i>
    <i>
      <x v="1036"/>
    </i>
    <i>
      <x v="1048"/>
    </i>
    <i>
      <x v="1060"/>
    </i>
    <i>
      <x v="1061"/>
    </i>
    <i>
      <x v="1063"/>
    </i>
    <i>
      <x v="1065"/>
    </i>
    <i>
      <x v="1067"/>
    </i>
    <i>
      <x v="1077"/>
    </i>
    <i>
      <x v="1081"/>
    </i>
    <i>
      <x v="1085"/>
    </i>
    <i>
      <x v="1086"/>
    </i>
    <i>
      <x v="1092"/>
    </i>
    <i>
      <x v="1093"/>
    </i>
    <i>
      <x v="1099"/>
    </i>
    <i>
      <x v="1102"/>
    </i>
    <i>
      <x v="1103"/>
    </i>
    <i>
      <x v="1106"/>
    </i>
    <i>
      <x v="1107"/>
    </i>
    <i>
      <x v="1109"/>
    </i>
    <i>
      <x v="1114"/>
    </i>
    <i>
      <x v="1115"/>
    </i>
    <i>
      <x v="1120"/>
    </i>
    <i>
      <x v="1124"/>
    </i>
    <i>
      <x v="1126"/>
    </i>
    <i>
      <x v="1129"/>
    </i>
    <i>
      <x v="1135"/>
    </i>
    <i>
      <x v="1136"/>
    </i>
    <i>
      <x v="1139"/>
    </i>
    <i>
      <x v="1140"/>
    </i>
    <i>
      <x v="1142"/>
    </i>
    <i>
      <x v="1144"/>
    </i>
    <i>
      <x v="1151"/>
    </i>
    <i>
      <x v="1153"/>
    </i>
    <i>
      <x v="1156"/>
    </i>
    <i>
      <x v="1158"/>
    </i>
    <i>
      <x v="1160"/>
    </i>
    <i>
      <x v="1161"/>
    </i>
    <i>
      <x v="1163"/>
    </i>
    <i>
      <x v="1164"/>
    </i>
    <i>
      <x v="1165"/>
    </i>
    <i>
      <x v="1166"/>
    </i>
    <i>
      <x v="1167"/>
    </i>
    <i>
      <x v="1168"/>
    </i>
    <i>
      <x v="1171"/>
    </i>
    <i>
      <x v="1173"/>
    </i>
    <i>
      <x v="1174"/>
    </i>
    <i>
      <x v="1186"/>
    </i>
    <i>
      <x v="1189"/>
    </i>
    <i>
      <x v="1208"/>
    </i>
    <i>
      <x v="1209"/>
    </i>
    <i>
      <x v="1214"/>
    </i>
    <i>
      <x v="1215"/>
    </i>
    <i>
      <x v="1216"/>
    </i>
    <i>
      <x v="1217"/>
    </i>
    <i>
      <x v="1218"/>
    </i>
    <i>
      <x v="1220"/>
    </i>
    <i>
      <x v="1223"/>
    </i>
    <i>
      <x v="1224"/>
    </i>
    <i>
      <x v="1225"/>
    </i>
    <i>
      <x v="1235"/>
    </i>
    <i>
      <x v="1237"/>
    </i>
    <i>
      <x v="1241"/>
    </i>
    <i>
      <x v="1244"/>
    </i>
    <i>
      <x v="1247"/>
    </i>
    <i>
      <x v="1249"/>
    </i>
    <i>
      <x v="1259"/>
    </i>
    <i>
      <x v="1266"/>
    </i>
    <i>
      <x v="1270"/>
    </i>
    <i>
      <x v="1288"/>
    </i>
    <i>
      <x v="1290"/>
    </i>
    <i>
      <x v="1292"/>
    </i>
    <i>
      <x v="1293"/>
    </i>
    <i>
      <x v="1296"/>
    </i>
    <i>
      <x v="1298"/>
    </i>
    <i>
      <x v="1299"/>
    </i>
    <i>
      <x v="1302"/>
    </i>
    <i>
      <x v="1303"/>
    </i>
    <i>
      <x v="1305"/>
    </i>
    <i>
      <x v="1306"/>
    </i>
    <i>
      <x v="1308"/>
    </i>
    <i>
      <x v="1309"/>
    </i>
    <i>
      <x v="1316"/>
    </i>
    <i>
      <x v="1320"/>
    </i>
    <i>
      <x v="1324"/>
    </i>
    <i>
      <x v="1325"/>
    </i>
    <i>
      <x v="1329"/>
    </i>
    <i>
      <x v="1339"/>
    </i>
    <i>
      <x v="1341"/>
    </i>
    <i>
      <x v="1343"/>
    </i>
    <i>
      <x v="1344"/>
    </i>
    <i>
      <x v="1345"/>
    </i>
    <i>
      <x v="1348"/>
    </i>
    <i>
      <x v="1350"/>
    </i>
    <i>
      <x v="1351"/>
    </i>
    <i>
      <x v="1352"/>
    </i>
    <i>
      <x v="1354"/>
    </i>
    <i>
      <x v="1357"/>
    </i>
    <i>
      <x v="1358"/>
    </i>
    <i>
      <x v="1362"/>
    </i>
    <i>
      <x v="1366"/>
    </i>
    <i>
      <x v="1370"/>
    </i>
    <i>
      <x v="1376"/>
    </i>
    <i>
      <x v="1378"/>
    </i>
    <i>
      <x v="1381"/>
    </i>
    <i>
      <x v="1385"/>
    </i>
    <i>
      <x v="1389"/>
    </i>
    <i>
      <x v="1390"/>
    </i>
    <i>
      <x v="1391"/>
    </i>
    <i>
      <x v="1392"/>
    </i>
    <i>
      <x v="1394"/>
    </i>
    <i>
      <x v="1396"/>
    </i>
    <i>
      <x v="1400"/>
    </i>
    <i>
      <x v="1405"/>
    </i>
    <i>
      <x v="1408"/>
    </i>
    <i>
      <x v="1410"/>
    </i>
    <i>
      <x v="1412"/>
    </i>
    <i>
      <x v="1414"/>
    </i>
    <i>
      <x v="1416"/>
    </i>
    <i>
      <x v="1421"/>
    </i>
    <i>
      <x v="1427"/>
    </i>
    <i>
      <x v="1428"/>
    </i>
    <i>
      <x v="1432"/>
    </i>
    <i>
      <x v="1433"/>
    </i>
    <i>
      <x v="1436"/>
    </i>
    <i>
      <x v="1438"/>
    </i>
    <i>
      <x v="1441"/>
    </i>
    <i>
      <x v="1443"/>
    </i>
    <i>
      <x v="1445"/>
    </i>
    <i>
      <x v="1447"/>
    </i>
    <i>
      <x v="1449"/>
    </i>
    <i>
      <x v="1450"/>
    </i>
    <i>
      <x v="1452"/>
    </i>
    <i>
      <x v="1453"/>
    </i>
    <i>
      <x v="1457"/>
    </i>
    <i>
      <x v="1460"/>
    </i>
    <i>
      <x v="1461"/>
    </i>
    <i>
      <x v="1462"/>
    </i>
    <i>
      <x v="1463"/>
    </i>
    <i>
      <x v="1464"/>
    </i>
    <i>
      <x v="1465"/>
    </i>
    <i>
      <x v="1467"/>
    </i>
    <i>
      <x v="1480"/>
    </i>
    <i>
      <x v="1481"/>
    </i>
    <i>
      <x v="1485"/>
    </i>
    <i>
      <x v="1491"/>
    </i>
    <i>
      <x v="1498"/>
    </i>
    <i>
      <x v="1500"/>
    </i>
    <i>
      <x v="1501"/>
    </i>
    <i>
      <x v="1503"/>
    </i>
    <i>
      <x v="1504"/>
    </i>
    <i>
      <x v="1505"/>
    </i>
    <i>
      <x v="1510"/>
    </i>
    <i>
      <x v="1513"/>
    </i>
    <i>
      <x v="1524"/>
    </i>
    <i>
      <x v="1529"/>
    </i>
    <i>
      <x v="1531"/>
    </i>
    <i>
      <x v="1544"/>
    </i>
    <i>
      <x v="1546"/>
    </i>
    <i>
      <x v="1551"/>
    </i>
    <i>
      <x v="1555"/>
    </i>
    <i>
      <x v="1557"/>
    </i>
    <i>
      <x v="1558"/>
    </i>
    <i>
      <x v="1559"/>
    </i>
    <i>
      <x v="1562"/>
    </i>
    <i>
      <x v="1563"/>
    </i>
    <i>
      <x v="1564"/>
    </i>
    <i>
      <x v="1571"/>
    </i>
    <i>
      <x v="1572"/>
    </i>
    <i>
      <x v="1573"/>
    </i>
    <i>
      <x v="1576"/>
    </i>
    <i>
      <x v="1578"/>
    </i>
    <i>
      <x v="1579"/>
    </i>
    <i>
      <x v="1581"/>
    </i>
    <i>
      <x v="1583"/>
    </i>
    <i>
      <x v="1588"/>
    </i>
    <i>
      <x v="1590"/>
    </i>
    <i>
      <x v="1591"/>
    </i>
    <i>
      <x v="1597"/>
    </i>
    <i>
      <x v="1598"/>
    </i>
    <i>
      <x v="1600"/>
    </i>
    <i>
      <x v="1605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20"/>
    </i>
    <i>
      <x v="1621"/>
    </i>
    <i>
      <x v="1624"/>
    </i>
    <i>
      <x v="1626"/>
    </i>
    <i>
      <x v="1627"/>
    </i>
    <i>
      <x v="1630"/>
    </i>
    <i>
      <x v="1633"/>
    </i>
    <i>
      <x v="1634"/>
    </i>
    <i>
      <x v="1636"/>
    </i>
    <i>
      <x v="1637"/>
    </i>
    <i>
      <x v="1639"/>
    </i>
    <i>
      <x v="1643"/>
    </i>
    <i>
      <x v="1647"/>
    </i>
    <i>
      <x v="1652"/>
    </i>
    <i>
      <x v="1665"/>
    </i>
    <i>
      <x v="1667"/>
    </i>
    <i>
      <x v="1668"/>
    </i>
    <i>
      <x v="1671"/>
    </i>
    <i>
      <x v="1672"/>
    </i>
    <i>
      <x v="1675"/>
    </i>
    <i>
      <x v="1677"/>
    </i>
    <i>
      <x v="1679"/>
    </i>
    <i>
      <x v="1684"/>
    </i>
    <i>
      <x v="1686"/>
    </i>
    <i>
      <x v="1688"/>
    </i>
    <i>
      <x v="1692"/>
    </i>
    <i>
      <x v="1693"/>
    </i>
    <i>
      <x v="1695"/>
    </i>
    <i>
      <x v="1701"/>
    </i>
    <i>
      <x v="1703"/>
    </i>
    <i>
      <x v="1705"/>
    </i>
    <i>
      <x v="1707"/>
    </i>
    <i>
      <x v="1715"/>
    </i>
    <i>
      <x v="1721"/>
    </i>
    <i>
      <x v="1724"/>
    </i>
    <i>
      <x v="1725"/>
    </i>
    <i>
      <x v="1726"/>
    </i>
    <i>
      <x v="1730"/>
    </i>
    <i>
      <x v="1731"/>
    </i>
    <i>
      <x v="1735"/>
    </i>
    <i>
      <x v="1739"/>
    </i>
    <i>
      <x v="1746"/>
    </i>
    <i>
      <x v="1747"/>
    </i>
    <i>
      <x v="1748"/>
    </i>
    <i>
      <x v="1753"/>
    </i>
    <i>
      <x v="1761"/>
    </i>
    <i>
      <x v="1767"/>
    </i>
    <i>
      <x v="1768"/>
    </i>
    <i>
      <x v="1769"/>
    </i>
    <i>
      <x v="1770"/>
    </i>
    <i>
      <x v="1772"/>
    </i>
    <i>
      <x v="1773"/>
    </i>
    <i>
      <x v="1775"/>
    </i>
    <i>
      <x v="1780"/>
    </i>
    <i>
      <x v="1784"/>
    </i>
    <i>
      <x v="1786"/>
    </i>
    <i>
      <x v="1788"/>
    </i>
    <i>
      <x v="1795"/>
    </i>
    <i>
      <x v="1796"/>
    </i>
    <i>
      <x v="1798"/>
    </i>
    <i>
      <x v="1799"/>
    </i>
    <i>
      <x v="1804"/>
    </i>
    <i>
      <x v="1806"/>
    </i>
    <i>
      <x v="1807"/>
    </i>
    <i>
      <x v="1811"/>
    </i>
    <i>
      <x v="1815"/>
    </i>
    <i>
      <x v="1816"/>
    </i>
    <i>
      <x v="1826"/>
    </i>
    <i>
      <x v="1828"/>
    </i>
    <i>
      <x v="1830"/>
    </i>
    <i>
      <x v="1832"/>
    </i>
    <i>
      <x v="1838"/>
    </i>
    <i>
      <x v="1840"/>
    </i>
    <i>
      <x v="1844"/>
    </i>
    <i>
      <x v="1852"/>
    </i>
    <i>
      <x v="1858"/>
    </i>
    <i>
      <x v="1859"/>
    </i>
    <i>
      <x v="1862"/>
    </i>
    <i>
      <x v="1864"/>
    </i>
    <i>
      <x v="1875"/>
    </i>
    <i>
      <x v="1880"/>
    </i>
    <i>
      <x v="1883"/>
    </i>
    <i>
      <x v="1889"/>
    </i>
    <i>
      <x v="1891"/>
    </i>
    <i>
      <x v="1892"/>
    </i>
    <i>
      <x v="1900"/>
    </i>
    <i>
      <x v="1903"/>
    </i>
    <i>
      <x v="1906"/>
    </i>
    <i>
      <x v="1907"/>
    </i>
    <i>
      <x v="1909"/>
    </i>
    <i>
      <x v="1910"/>
    </i>
    <i>
      <x v="1911"/>
    </i>
    <i>
      <x v="1917"/>
    </i>
    <i>
      <x v="1921"/>
    </i>
    <i>
      <x v="1928"/>
    </i>
    <i>
      <x v="1936"/>
    </i>
    <i>
      <x v="1938"/>
    </i>
    <i>
      <x v="1947"/>
    </i>
    <i>
      <x v="1951"/>
    </i>
    <i>
      <x v="1956"/>
    </i>
    <i>
      <x v="1959"/>
    </i>
    <i>
      <x v="1972"/>
    </i>
    <i>
      <x v="1973"/>
    </i>
    <i>
      <x v="1978"/>
    </i>
    <i>
      <x v="1980"/>
    </i>
    <i>
      <x v="1990"/>
    </i>
    <i>
      <x v="1994"/>
    </i>
    <i>
      <x v="1995"/>
    </i>
    <i>
      <x v="1997"/>
    </i>
    <i>
      <x v="1998"/>
    </i>
    <i>
      <x v="2000"/>
    </i>
    <i>
      <x v="2015"/>
    </i>
    <i>
      <x v="2020"/>
    </i>
    <i>
      <x v="2024"/>
    </i>
    <i>
      <x v="2026"/>
    </i>
    <i>
      <x v="2027"/>
    </i>
    <i>
      <x v="2033"/>
    </i>
    <i>
      <x v="2039"/>
    </i>
    <i>
      <x v="2043"/>
    </i>
    <i>
      <x v="2045"/>
    </i>
    <i>
      <x v="2046"/>
    </i>
    <i>
      <x v="2047"/>
    </i>
    <i>
      <x v="2049"/>
    </i>
    <i>
      <x v="2051"/>
    </i>
    <i>
      <x v="2053"/>
    </i>
    <i>
      <x v="2062"/>
    </i>
    <i>
      <x v="2066"/>
    </i>
    <i>
      <x v="2071"/>
    </i>
    <i>
      <x v="2072"/>
    </i>
    <i>
      <x v="2074"/>
    </i>
    <i>
      <x v="2075"/>
    </i>
    <i>
      <x v="2081"/>
    </i>
    <i>
      <x v="2082"/>
    </i>
    <i>
      <x v="2083"/>
    </i>
    <i>
      <x v="2094"/>
    </i>
    <i>
      <x v="2096"/>
    </i>
    <i>
      <x v="2098"/>
    </i>
    <i>
      <x v="2104"/>
    </i>
    <i>
      <x v="2105"/>
    </i>
    <i>
      <x v="2110"/>
    </i>
    <i>
      <x v="2111"/>
    </i>
    <i>
      <x v="2112"/>
    </i>
    <i>
      <x v="2115"/>
    </i>
    <i>
      <x v="2120"/>
    </i>
    <i>
      <x v="2126"/>
    </i>
    <i>
      <x v="2128"/>
    </i>
    <i>
      <x v="2129"/>
    </i>
    <i>
      <x v="2130"/>
    </i>
    <i>
      <x v="2131"/>
    </i>
    <i>
      <x v="2134"/>
    </i>
    <i>
      <x v="2143"/>
    </i>
    <i>
      <x v="2145"/>
    </i>
    <i>
      <x v="2146"/>
    </i>
    <i>
      <x v="2147"/>
    </i>
    <i>
      <x v="2148"/>
    </i>
    <i>
      <x v="2151"/>
    </i>
    <i>
      <x v="2154"/>
    </i>
    <i>
      <x v="2156"/>
    </i>
    <i>
      <x v="2157"/>
    </i>
    <i>
      <x v="2160"/>
    </i>
    <i>
      <x v="2164"/>
    </i>
    <i>
      <x v="2169"/>
    </i>
    <i>
      <x v="2170"/>
    </i>
    <i>
      <x v="2177"/>
    </i>
    <i>
      <x v="2178"/>
    </i>
    <i>
      <x v="2179"/>
    </i>
    <i>
      <x v="2181"/>
    </i>
    <i>
      <x v="2184"/>
    </i>
    <i>
      <x v="2186"/>
    </i>
    <i>
      <x v="2188"/>
    </i>
    <i>
      <x v="2193"/>
    </i>
    <i>
      <x v="2197"/>
    </i>
    <i>
      <x v="2202"/>
    </i>
    <i>
      <x v="2205"/>
    </i>
    <i>
      <x v="2207"/>
    </i>
    <i>
      <x v="2221"/>
    </i>
    <i>
      <x v="2223"/>
    </i>
    <i>
      <x v="2225"/>
    </i>
    <i>
      <x v="2228"/>
    </i>
    <i>
      <x v="2233"/>
    </i>
    <i>
      <x v="2236"/>
    </i>
    <i>
      <x v="2263"/>
    </i>
    <i>
      <x v="2272"/>
    </i>
    <i>
      <x v="2276"/>
    </i>
    <i>
      <x v="2291"/>
    </i>
    <i>
      <x v="2294"/>
    </i>
    <i>
      <x v="2303"/>
    </i>
    <i>
      <x v="2318"/>
    </i>
    <i>
      <x v="2334"/>
    </i>
    <i>
      <x v="2344"/>
    </i>
    <i>
      <x v="2377"/>
    </i>
    <i>
      <x v="2378"/>
    </i>
    <i>
      <x v="2388"/>
    </i>
    <i>
      <x v="2389"/>
    </i>
    <i>
      <x v="2392"/>
    </i>
    <i>
      <x v="2395"/>
    </i>
    <i>
      <x v="2400"/>
    </i>
    <i>
      <x v="2404"/>
    </i>
    <i>
      <x v="2405"/>
    </i>
    <i>
      <x v="2410"/>
    </i>
    <i>
      <x v="2415"/>
    </i>
    <i>
      <x v="2416"/>
    </i>
    <i>
      <x v="2417"/>
    </i>
    <i>
      <x v="2423"/>
    </i>
    <i>
      <x v="2426"/>
    </i>
    <i>
      <x v="2427"/>
    </i>
    <i>
      <x v="2433"/>
    </i>
    <i>
      <x v="2461"/>
    </i>
    <i>
      <x v="2462"/>
    </i>
    <i>
      <x v="2469"/>
    </i>
    <i>
      <x v="2470"/>
    </i>
    <i>
      <x v="2476"/>
    </i>
    <i>
      <x v="2483"/>
    </i>
    <i>
      <x v="2495"/>
    </i>
    <i>
      <x v="2512"/>
    </i>
    <i>
      <x v="2523"/>
    </i>
    <i>
      <x v="2532"/>
    </i>
    <i>
      <x v="2535"/>
    </i>
    <i>
      <x v="2536"/>
    </i>
    <i>
      <x v="2537"/>
    </i>
    <i>
      <x v="2542"/>
    </i>
    <i>
      <x v="2548"/>
    </i>
    <i>
      <x v="2556"/>
    </i>
    <i>
      <x v="2557"/>
    </i>
    <i>
      <x v="2558"/>
    </i>
    <i>
      <x v="2566"/>
    </i>
    <i>
      <x v="2567"/>
    </i>
    <i>
      <x v="2569"/>
    </i>
    <i>
      <x v="2572"/>
    </i>
    <i>
      <x v="2573"/>
    </i>
    <i>
      <x v="2574"/>
    </i>
    <i>
      <x v="2576"/>
    </i>
    <i>
      <x v="2577"/>
    </i>
    <i>
      <x v="2578"/>
    </i>
    <i>
      <x v="2579"/>
    </i>
    <i>
      <x v="2580"/>
    </i>
    <i>
      <x v="2584"/>
    </i>
    <i>
      <x v="2597"/>
    </i>
    <i>
      <x v="2598"/>
    </i>
    <i>
      <x v="2600"/>
    </i>
    <i>
      <x v="2602"/>
    </i>
    <i>
      <x v="2604"/>
    </i>
    <i>
      <x v="2610"/>
    </i>
    <i>
      <x v="2611"/>
    </i>
    <i>
      <x v="2612"/>
    </i>
    <i>
      <x v="2615"/>
    </i>
    <i>
      <x v="2617"/>
    </i>
    <i>
      <x v="2618"/>
    </i>
    <i>
      <x v="2619"/>
    </i>
    <i>
      <x v="2623"/>
    </i>
    <i>
      <x v="2626"/>
    </i>
    <i>
      <x v="2630"/>
    </i>
    <i>
      <x v="2631"/>
    </i>
    <i>
      <x v="2632"/>
    </i>
    <i>
      <x v="2633"/>
    </i>
    <i>
      <x v="2637"/>
    </i>
    <i>
      <x v="2638"/>
    </i>
    <i>
      <x v="2643"/>
    </i>
    <i>
      <x v="2646"/>
    </i>
    <i>
      <x v="2650"/>
    </i>
    <i>
      <x v="2651"/>
    </i>
    <i>
      <x v="2652"/>
    </i>
    <i>
      <x v="2653"/>
    </i>
    <i>
      <x v="2657"/>
    </i>
    <i>
      <x v="2661"/>
    </i>
    <i>
      <x v="2662"/>
    </i>
    <i>
      <x v="2663"/>
    </i>
    <i>
      <x v="2665"/>
    </i>
    <i>
      <x v="2667"/>
    </i>
    <i>
      <x v="2668"/>
    </i>
    <i>
      <x v="2669"/>
    </i>
    <i>
      <x v="2671"/>
    </i>
    <i>
      <x v="2673"/>
    </i>
    <i>
      <x v="2674"/>
    </i>
    <i>
      <x v="2675"/>
    </i>
    <i>
      <x v="2676"/>
    </i>
    <i>
      <x v="2677"/>
    </i>
    <i>
      <x v="2679"/>
    </i>
    <i>
      <x v="2684"/>
    </i>
    <i>
      <x v="2685"/>
    </i>
    <i>
      <x v="2687"/>
    </i>
    <i>
      <x v="2698"/>
    </i>
    <i>
      <x v="2699"/>
    </i>
    <i>
      <x v="2703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5"/>
    </i>
    <i>
      <x v="2731"/>
    </i>
    <i>
      <x v="2733"/>
    </i>
    <i>
      <x v="2735"/>
    </i>
    <i>
      <x v="2738"/>
    </i>
    <i>
      <x v="2751"/>
    </i>
    <i>
      <x v="2752"/>
    </i>
    <i>
      <x v="2762"/>
    </i>
    <i>
      <x v="2763"/>
    </i>
    <i>
      <x v="2764"/>
    </i>
    <i>
      <x v="2766"/>
    </i>
    <i>
      <x v="2773"/>
    </i>
    <i>
      <x v="2774"/>
    </i>
    <i>
      <x v="2775"/>
    </i>
    <i>
      <x v="2784"/>
    </i>
    <i>
      <x v="2785"/>
    </i>
    <i>
      <x v="2787"/>
    </i>
    <i>
      <x v="2790"/>
    </i>
    <i>
      <x v="2791"/>
    </i>
    <i>
      <x v="2794"/>
    </i>
    <i>
      <x v="2796"/>
    </i>
    <i>
      <x v="2797"/>
    </i>
    <i>
      <x v="2800"/>
    </i>
    <i>
      <x v="2804"/>
    </i>
    <i>
      <x v="2806"/>
    </i>
    <i>
      <x v="2812"/>
    </i>
    <i>
      <x v="2821"/>
    </i>
    <i>
      <x v="2822"/>
    </i>
    <i>
      <x v="2825"/>
    </i>
    <i>
      <x v="2826"/>
    </i>
    <i>
      <x v="2830"/>
    </i>
    <i>
      <x v="2835"/>
    </i>
    <i>
      <x v="2838"/>
    </i>
    <i>
      <x v="2840"/>
    </i>
    <i>
      <x v="2842"/>
    </i>
    <i>
      <x v="2843"/>
    </i>
    <i>
      <x v="2844"/>
    </i>
    <i>
      <x v="2846"/>
    </i>
    <i>
      <x v="2849"/>
    </i>
    <i>
      <x v="2851"/>
    </i>
    <i>
      <x v="2853"/>
    </i>
    <i>
      <x v="2856"/>
    </i>
    <i>
      <x v="2857"/>
    </i>
    <i>
      <x v="2858"/>
    </i>
    <i>
      <x v="2864"/>
    </i>
    <i>
      <x v="2865"/>
    </i>
    <i>
      <x v="2866"/>
    </i>
    <i>
      <x v="2868"/>
    </i>
    <i>
      <x v="2871"/>
    </i>
    <i>
      <x v="2876"/>
    </i>
    <i>
      <x v="2877"/>
    </i>
    <i>
      <x v="2883"/>
    </i>
    <i>
      <x v="2889"/>
    </i>
    <i>
      <x v="2891"/>
    </i>
    <i>
      <x v="2894"/>
    </i>
    <i>
      <x v="2895"/>
    </i>
    <i>
      <x v="2898"/>
    </i>
    <i>
      <x v="2900"/>
    </i>
    <i>
      <x v="2902"/>
    </i>
    <i>
      <x v="2903"/>
    </i>
    <i>
      <x v="2907"/>
    </i>
    <i>
      <x v="2909"/>
    </i>
    <i>
      <x v="2911"/>
    </i>
    <i>
      <x v="2914"/>
    </i>
    <i>
      <x v="2915"/>
    </i>
    <i>
      <x v="2919"/>
    </i>
    <i>
      <x v="2924"/>
    </i>
    <i>
      <x v="2929"/>
    </i>
    <i>
      <x v="2931"/>
    </i>
    <i>
      <x v="2932"/>
    </i>
    <i>
      <x v="2936"/>
    </i>
    <i>
      <x v="2940"/>
    </i>
    <i>
      <x v="2943"/>
    </i>
    <i>
      <x v="2950"/>
    </i>
    <i>
      <x v="2952"/>
    </i>
    <i>
      <x v="2956"/>
    </i>
    <i>
      <x v="2964"/>
    </i>
    <i>
      <x v="2966"/>
    </i>
    <i>
      <x v="2969"/>
    </i>
    <i>
      <x v="2975"/>
    </i>
    <i>
      <x v="2978"/>
    </i>
    <i>
      <x v="2979"/>
    </i>
    <i>
      <x v="2983"/>
    </i>
    <i t="grand">
      <x/>
    </i>
  </rowItems>
  <colItems count="1">
    <i/>
  </colItems>
  <pageFields count="1">
    <pageField fld="5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66BA418-2526-4EAA-BE64-66028286E570}" autoFormatId="16" applyNumberFormats="0" applyBorderFormats="0" applyFontFormats="0" applyPatternFormats="0" applyAlignmentFormats="0" applyWidthHeightFormats="0">
  <queryTableRefresh nextId="12" unboundColumnsRight="4">
    <queryTableFields count="11">
      <queryTableField id="1" name="COMP_NAME" tableColumnId="1"/>
      <queryTableField id="2" name="COMP_S_NAME" tableColumnId="2"/>
      <queryTableField id="3" name="ORG_ENT_DS3" tableColumnId="3"/>
      <queryTableField id="4" name="ESTADO_NOMBRE" tableColumnId="4"/>
      <queryTableField id="5" name="METODO_PROD_NOMBRE" tableColumnId="5"/>
      <queryTableField id="7" dataBound="0" tableColumnId="7"/>
      <queryTableField id="6" name="BLOQUE_MONITOREO_NOMBRE" tableColumnId="6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B1217268-927F-464D-B3B8-A0082C8B10E8}" autoFormatId="16" applyNumberFormats="0" applyBorderFormats="0" applyFontFormats="0" applyPatternFormats="0" applyAlignmentFormats="0" applyWidthHeightFormats="0">
  <queryTableRefresh nextId="13" unboundColumnsRight="1">
    <queryTableFields count="10">
      <queryTableField id="1" name="UWI_BORE" tableColumnId="1"/>
      <queryTableField id="8" name="COMP_NAME" tableColumnId="8"/>
      <queryTableField id="9" name="COMP_S_NAME" tableColumnId="9"/>
      <queryTableField id="2" name="DIASSINCONTROL" tableColumnId="2"/>
      <queryTableField id="3" name="FECHA" tableColumnId="3"/>
      <queryTableField id="4" name="QGAS" tableColumnId="4"/>
      <queryTableField id="5" name="QWAT" tableColumnId="5"/>
      <queryTableField id="6" name="QOIL" tableColumnId="6"/>
      <queryTableField id="7" name="RAZON_NOMBRE" tableColumnId="7"/>
      <queryTableField id="12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5A2D69-BC11-44E1-83A5-8AA9E32FE781}" name="Consulta1" displayName="Consulta1" ref="B2:L2986" tableType="queryTable" totalsRowShown="0" headerRowDxfId="12" dataDxfId="11">
  <autoFilter ref="B2:L2986" xr:uid="{2C5A2D69-BC11-44E1-83A5-8AA9E32FE781}"/>
  <tableColumns count="11">
    <tableColumn id="1" xr3:uid="{B552CF66-D8AB-42F5-8A5E-6B96D13A70B7}" uniqueName="1" name="Pozo largo" queryTableFieldId="1" dataDxfId="20"/>
    <tableColumn id="2" xr3:uid="{3005B402-69DA-4878-B4E1-DCC8A49B6133}" uniqueName="2" name="Pozo" queryTableFieldId="2" dataDxfId="19"/>
    <tableColumn id="3" xr3:uid="{4E7BDA63-5B93-4DCB-99AF-B94BE1335123}" uniqueName="3" name="Activo" queryTableFieldId="3" dataDxfId="18"/>
    <tableColumn id="4" xr3:uid="{132DAE67-2B95-4ABC-A8B3-497AC382CEE3}" uniqueName="4" name="Estado TOW" queryTableFieldId="4" dataDxfId="17"/>
    <tableColumn id="5" xr3:uid="{708A0080-49B4-43E6-BD1F-BD9BCA8E7A70}" uniqueName="5" name="SE" queryTableFieldId="5" dataDxfId="16"/>
    <tableColumn id="7" xr3:uid="{2AA94623-BE79-4A78-92F3-B3A5203F3756}" uniqueName="7" name="Accion" queryTableFieldId="7" dataDxfId="15"/>
    <tableColumn id="6" xr3:uid="{EACBF98D-08D4-4A59-850B-01DE1C324B55}" uniqueName="6" name="Bloque " queryTableFieldId="6" dataDxfId="14"/>
    <tableColumn id="8" xr3:uid="{C1F6D127-73CF-4A86-B5FF-8D1A9AD2ED7C}" uniqueName="8" name="Lista YPF" queryTableFieldId="8" dataDxfId="13">
      <calculatedColumnFormula>IFERROR(VLOOKUP(Consulta1[[#This Row],[Pozo largo]],'Lista YPF'!$B$3:$C$358,2,FALSE),"NO")</calculatedColumnFormula>
    </tableColumn>
    <tableColumn id="9" xr3:uid="{3ED56997-A7C3-40E2-890B-7B9E81E0DAC2}" uniqueName="9" name="Oportunidad" queryTableFieldId="9" dataDxfId="9">
      <calculatedColumnFormula>IFERROR(VLOOKUP(Consulta1[[#This Row],[Pozo]],'Lista Oportunidades'!B:C,2,FALSE),"NO")</calculatedColumnFormula>
    </tableColumn>
    <tableColumn id="10" xr3:uid="{41D30D41-D8D1-446E-AA91-B18E5577FAF7}" uniqueName="10" name="Ult Control" queryTableFieldId="10" dataDxfId="3">
      <calculatedColumnFormula>IFERROR(VLOOKUP(Consulta1[[#This Row],[Pozo largo]],Controles!B:H,7,FALSE),"NO")</calculatedColumnFormula>
    </tableColumn>
    <tableColumn id="11" xr3:uid="{12782FC1-3BFE-4293-9DD1-CA1AF9342EAD}" uniqueName="11" name="Salio del total" queryTableFieldId="11" dataDxfId="2">
      <calculatedColumnFormula>IFERROR(VLOOKUP(Consulta1[[#This Row],[Pozo largo]],Controles!B:J,9,FALSE),"NO")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B3B92C-A4B3-470E-9E92-2EB90B3BF1B5}" name="Tabla2" displayName="Tabla2" ref="B2:D67" totalsRowShown="0">
  <autoFilter ref="B2:D67" xr:uid="{13B3B92C-A4B3-470E-9E92-2EB90B3BF1B5}"/>
  <tableColumns count="3">
    <tableColumn id="1" xr3:uid="{D7F30AD5-CE28-4207-8533-8F360158352D}" name="Pozo" dataDxfId="10"/>
    <tableColumn id="2" xr3:uid="{096E893D-2400-4754-8935-7AE30873AF31}" name="Motivo"/>
    <tableColumn id="3" xr3:uid="{C538B006-4050-4C0A-AC6C-F184CF7A7F94}" name="Estado">
      <calculatedColumnFormula>VLOOKUP(B3,Lista!C:G,5,FALSE)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CA3517-EE76-412E-9FB6-47B0ED6145DA}" name="Consulta2" displayName="Consulta2" ref="A1:J2668" tableType="queryTable" totalsRowShown="0">
  <autoFilter ref="A1:J2668" xr:uid="{52CA3517-EE76-412E-9FB6-47B0ED6145DA}"/>
  <sortState xmlns:xlrd2="http://schemas.microsoft.com/office/spreadsheetml/2017/richdata2" ref="A2:J2667">
    <sortCondition descending="1" ref="E1:E2668"/>
  </sortState>
  <tableColumns count="10">
    <tableColumn id="1" xr3:uid="{3BCED3AF-EE0A-4E25-9CB3-41A57EE31B40}" uniqueName="1" name="UWI_BORE" queryTableFieldId="1" dataDxfId="8"/>
    <tableColumn id="8" xr3:uid="{6F667299-5DFE-4267-A968-A663C9F98F26}" uniqueName="8" name="COMP_NAME" queryTableFieldId="8" dataDxfId="7"/>
    <tableColumn id="9" xr3:uid="{9FF04E02-FB79-4229-9124-04684892C087}" uniqueName="9" name="COMP_S_NAME" queryTableFieldId="9" dataDxfId="6"/>
    <tableColumn id="2" xr3:uid="{5B4D98BC-202B-48C9-802D-3EC1C911B0CF}" uniqueName="2" name="DIASSINCONTROL" queryTableFieldId="2"/>
    <tableColumn id="3" xr3:uid="{286ADEE0-6C04-4B8C-B735-D03324A89891}" uniqueName="3" name="FECHA" queryTableFieldId="3" dataDxfId="5"/>
    <tableColumn id="4" xr3:uid="{DEDC4881-8458-4EFB-B6D2-3CF40BE382F7}" uniqueName="4" name="QGAS" queryTableFieldId="4"/>
    <tableColumn id="5" xr3:uid="{D5F89DC8-4EC8-445C-A0AB-D3EA4694FDDF}" uniqueName="5" name="QWAT" queryTableFieldId="5"/>
    <tableColumn id="6" xr3:uid="{6CF8DA33-85B9-4B12-A668-B7E60D5E32A3}" uniqueName="6" name="QOIL" queryTableFieldId="6"/>
    <tableColumn id="7" xr3:uid="{47C46EE8-C711-426B-BC0E-B908275875D7}" uniqueName="7" name="RAZON_NOMBRE" queryTableFieldId="7" dataDxfId="4"/>
    <tableColumn id="10" xr3:uid="{8CDA1E67-5C35-41D4-8B4F-54AABDD39D4E}" uniqueName="10" name="Ultimo año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4E102-7DFA-4563-8C62-8CA778CE3704}">
  <sheetPr>
    <tabColor theme="3"/>
  </sheetPr>
  <dimension ref="B3:B11"/>
  <sheetViews>
    <sheetView tabSelected="1" workbookViewId="0">
      <selection activeCell="L26" sqref="L26"/>
    </sheetView>
  </sheetViews>
  <sheetFormatPr baseColWidth="10" defaultRowHeight="14.5" x14ac:dyDescent="0.35"/>
  <sheetData>
    <row r="3" spans="2:2" x14ac:dyDescent="0.35">
      <c r="B3" t="s">
        <v>5719</v>
      </c>
    </row>
    <row r="5" spans="2:2" x14ac:dyDescent="0.35">
      <c r="B5" t="s">
        <v>5717</v>
      </c>
    </row>
    <row r="7" spans="2:2" x14ac:dyDescent="0.35">
      <c r="B7" t="s">
        <v>8690</v>
      </c>
    </row>
    <row r="9" spans="2:2" x14ac:dyDescent="0.35">
      <c r="B9" t="s">
        <v>11391</v>
      </c>
    </row>
    <row r="11" spans="2:2" x14ac:dyDescent="0.35">
      <c r="B11" t="s">
        <v>11392</v>
      </c>
    </row>
  </sheetData>
  <pageMargins left="0.7" right="0.7" top="0.75" bottom="0.75" header="0.3" footer="0.3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F2F13-39BD-4D87-B933-4CD83814E5A3}">
  <sheetPr>
    <tabColor theme="3"/>
  </sheetPr>
  <dimension ref="A3:B14"/>
  <sheetViews>
    <sheetView workbookViewId="0">
      <selection activeCell="F20" sqref="F20"/>
    </sheetView>
  </sheetViews>
  <sheetFormatPr baseColWidth="10" defaultRowHeight="14.5" x14ac:dyDescent="0.35"/>
  <cols>
    <col min="1" max="1" width="23.6328125" customWidth="1"/>
    <col min="2" max="2" width="19.08984375" bestFit="1" customWidth="1"/>
  </cols>
  <sheetData>
    <row r="3" spans="1:2" x14ac:dyDescent="0.35">
      <c r="A3" s="7" t="s">
        <v>11388</v>
      </c>
      <c r="B3" t="s">
        <v>11390</v>
      </c>
    </row>
    <row r="4" spans="1:2" x14ac:dyDescent="0.35">
      <c r="A4" s="8" t="s">
        <v>11385</v>
      </c>
      <c r="B4" s="3">
        <v>19</v>
      </c>
    </row>
    <row r="5" spans="1:2" x14ac:dyDescent="0.35">
      <c r="A5" s="8" t="s">
        <v>8689</v>
      </c>
      <c r="B5" s="3">
        <v>32</v>
      </c>
    </row>
    <row r="6" spans="1:2" x14ac:dyDescent="0.35">
      <c r="A6" s="8" t="s">
        <v>11386</v>
      </c>
      <c r="B6" s="3">
        <v>38</v>
      </c>
    </row>
    <row r="7" spans="1:2" x14ac:dyDescent="0.35">
      <c r="A7" s="8" t="s">
        <v>11387</v>
      </c>
      <c r="B7" s="3">
        <v>47</v>
      </c>
    </row>
    <row r="8" spans="1:2" x14ac:dyDescent="0.35">
      <c r="A8" s="8" t="s">
        <v>32</v>
      </c>
      <c r="B8" s="3">
        <v>435</v>
      </c>
    </row>
    <row r="9" spans="1:2" x14ac:dyDescent="0.35">
      <c r="A9" s="8" t="s">
        <v>8</v>
      </c>
      <c r="B9" s="3">
        <v>528</v>
      </c>
    </row>
    <row r="10" spans="1:2" x14ac:dyDescent="0.35">
      <c r="A10" s="8" t="s">
        <v>195</v>
      </c>
      <c r="B10" s="3">
        <v>1</v>
      </c>
    </row>
    <row r="11" spans="1:2" x14ac:dyDescent="0.35">
      <c r="A11" s="8" t="s">
        <v>5718</v>
      </c>
      <c r="B11" s="3">
        <v>351</v>
      </c>
    </row>
    <row r="12" spans="1:2" x14ac:dyDescent="0.35">
      <c r="A12" s="8" t="s">
        <v>13</v>
      </c>
      <c r="B12" s="3">
        <v>1528</v>
      </c>
    </row>
    <row r="13" spans="1:2" x14ac:dyDescent="0.35">
      <c r="A13" s="8" t="s">
        <v>8688</v>
      </c>
      <c r="B13" s="3">
        <v>5</v>
      </c>
    </row>
    <row r="14" spans="1:2" x14ac:dyDescent="0.35">
      <c r="A14" s="8" t="s">
        <v>11389</v>
      </c>
      <c r="B14" s="3">
        <v>2984</v>
      </c>
    </row>
  </sheetData>
  <pageMargins left="0.7" right="0.7" top="0.75" bottom="0.75" header="0.3" footer="0.3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201FF-FCAC-4829-A55B-7B946E279469}">
  <sheetPr>
    <tabColor rgb="FFFFFF00"/>
  </sheetPr>
  <dimension ref="B2:G993"/>
  <sheetViews>
    <sheetView workbookViewId="0">
      <selection activeCell="R25" sqref="R25"/>
    </sheetView>
  </sheetViews>
  <sheetFormatPr baseColWidth="10" defaultRowHeight="14.5" x14ac:dyDescent="0.35"/>
  <cols>
    <col min="2" max="2" width="17.6328125" bestFit="1" customWidth="1"/>
    <col min="3" max="3" width="19.36328125" bestFit="1" customWidth="1"/>
    <col min="7" max="7" width="9.81640625" customWidth="1"/>
  </cols>
  <sheetData>
    <row r="2" spans="2:7" x14ac:dyDescent="0.35">
      <c r="B2" s="9" t="s">
        <v>5719</v>
      </c>
      <c r="C2" s="9"/>
      <c r="D2" s="9"/>
      <c r="E2" s="9"/>
      <c r="G2" s="9" t="s">
        <v>11394</v>
      </c>
    </row>
    <row r="3" spans="2:7" x14ac:dyDescent="0.35">
      <c r="B3" s="9" t="s">
        <v>8690</v>
      </c>
      <c r="C3" s="9"/>
      <c r="D3" s="9"/>
      <c r="E3" s="9"/>
    </row>
    <row r="6" spans="2:7" x14ac:dyDescent="0.35">
      <c r="B6" s="7" t="s">
        <v>2</v>
      </c>
      <c r="C6" t="s">
        <v>11393</v>
      </c>
    </row>
    <row r="8" spans="2:7" x14ac:dyDescent="0.35">
      <c r="B8" s="7" t="s">
        <v>11388</v>
      </c>
    </row>
    <row r="9" spans="2:7" x14ac:dyDescent="0.35">
      <c r="B9" s="8" t="s">
        <v>5707</v>
      </c>
    </row>
    <row r="10" spans="2:7" x14ac:dyDescent="0.35">
      <c r="B10" s="8" t="s">
        <v>5702</v>
      </c>
    </row>
    <row r="11" spans="2:7" x14ac:dyDescent="0.35">
      <c r="B11" s="8" t="s">
        <v>4602</v>
      </c>
    </row>
    <row r="12" spans="2:7" x14ac:dyDescent="0.35">
      <c r="B12" s="8" t="s">
        <v>5705</v>
      </c>
    </row>
    <row r="13" spans="2:7" x14ac:dyDescent="0.35">
      <c r="B13" s="8" t="s">
        <v>5703</v>
      </c>
    </row>
    <row r="14" spans="2:7" x14ac:dyDescent="0.35">
      <c r="B14" s="8" t="s">
        <v>3521</v>
      </c>
    </row>
    <row r="15" spans="2:7" x14ac:dyDescent="0.35">
      <c r="B15" s="8" t="s">
        <v>263</v>
      </c>
    </row>
    <row r="16" spans="2:7" x14ac:dyDescent="0.35">
      <c r="B16" s="8" t="s">
        <v>751</v>
      </c>
    </row>
    <row r="17" spans="2:2" x14ac:dyDescent="0.35">
      <c r="B17" s="8" t="s">
        <v>3782</v>
      </c>
    </row>
    <row r="18" spans="2:2" x14ac:dyDescent="0.35">
      <c r="B18" s="8" t="s">
        <v>3892</v>
      </c>
    </row>
    <row r="19" spans="2:2" x14ac:dyDescent="0.35">
      <c r="B19" s="8" t="s">
        <v>1079</v>
      </c>
    </row>
    <row r="20" spans="2:2" x14ac:dyDescent="0.35">
      <c r="B20" s="8" t="s">
        <v>408</v>
      </c>
    </row>
    <row r="21" spans="2:2" x14ac:dyDescent="0.35">
      <c r="B21" s="8" t="s">
        <v>1671</v>
      </c>
    </row>
    <row r="22" spans="2:2" x14ac:dyDescent="0.35">
      <c r="B22" s="8" t="s">
        <v>2578</v>
      </c>
    </row>
    <row r="23" spans="2:2" x14ac:dyDescent="0.35">
      <c r="B23" s="8" t="s">
        <v>1673</v>
      </c>
    </row>
    <row r="24" spans="2:2" x14ac:dyDescent="0.35">
      <c r="B24" s="8" t="s">
        <v>1681</v>
      </c>
    </row>
    <row r="25" spans="2:2" x14ac:dyDescent="0.35">
      <c r="B25" s="8" t="s">
        <v>557</v>
      </c>
    </row>
    <row r="26" spans="2:2" x14ac:dyDescent="0.35">
      <c r="B26" s="8" t="s">
        <v>2668</v>
      </c>
    </row>
    <row r="27" spans="2:2" x14ac:dyDescent="0.35">
      <c r="B27" s="8" t="s">
        <v>1481</v>
      </c>
    </row>
    <row r="28" spans="2:2" x14ac:dyDescent="0.35">
      <c r="B28" s="8" t="s">
        <v>5421</v>
      </c>
    </row>
    <row r="29" spans="2:2" x14ac:dyDescent="0.35">
      <c r="B29" s="8" t="s">
        <v>2691</v>
      </c>
    </row>
    <row r="30" spans="2:2" x14ac:dyDescent="0.35">
      <c r="B30" s="8" t="s">
        <v>2961</v>
      </c>
    </row>
    <row r="31" spans="2:2" x14ac:dyDescent="0.35">
      <c r="B31" s="8" t="s">
        <v>3199</v>
      </c>
    </row>
    <row r="32" spans="2:2" x14ac:dyDescent="0.35">
      <c r="B32" s="8" t="s">
        <v>2763</v>
      </c>
    </row>
    <row r="33" spans="2:2" x14ac:dyDescent="0.35">
      <c r="B33" s="8" t="s">
        <v>2503</v>
      </c>
    </row>
    <row r="34" spans="2:2" x14ac:dyDescent="0.35">
      <c r="B34" s="8" t="s">
        <v>2695</v>
      </c>
    </row>
    <row r="35" spans="2:2" x14ac:dyDescent="0.35">
      <c r="B35" s="8" t="s">
        <v>1528</v>
      </c>
    </row>
    <row r="36" spans="2:2" x14ac:dyDescent="0.35">
      <c r="B36" s="8" t="s">
        <v>3045</v>
      </c>
    </row>
    <row r="37" spans="2:2" x14ac:dyDescent="0.35">
      <c r="B37" s="8" t="s">
        <v>3049</v>
      </c>
    </row>
    <row r="38" spans="2:2" x14ac:dyDescent="0.35">
      <c r="B38" s="8" t="s">
        <v>1321</v>
      </c>
    </row>
    <row r="39" spans="2:2" x14ac:dyDescent="0.35">
      <c r="B39" s="8" t="s">
        <v>5506</v>
      </c>
    </row>
    <row r="40" spans="2:2" x14ac:dyDescent="0.35">
      <c r="B40" s="8" t="s">
        <v>3488</v>
      </c>
    </row>
    <row r="41" spans="2:2" x14ac:dyDescent="0.35">
      <c r="B41" s="8" t="s">
        <v>4075</v>
      </c>
    </row>
    <row r="42" spans="2:2" x14ac:dyDescent="0.35">
      <c r="B42" s="8" t="s">
        <v>3053</v>
      </c>
    </row>
    <row r="43" spans="2:2" x14ac:dyDescent="0.35">
      <c r="B43" s="8" t="s">
        <v>49</v>
      </c>
    </row>
    <row r="44" spans="2:2" x14ac:dyDescent="0.35">
      <c r="B44" s="8" t="s">
        <v>1853</v>
      </c>
    </row>
    <row r="45" spans="2:2" x14ac:dyDescent="0.35">
      <c r="B45" s="8" t="s">
        <v>4632</v>
      </c>
    </row>
    <row r="46" spans="2:2" x14ac:dyDescent="0.35">
      <c r="B46" s="8" t="s">
        <v>2889</v>
      </c>
    </row>
    <row r="47" spans="2:2" x14ac:dyDescent="0.35">
      <c r="B47" s="8" t="s">
        <v>3411</v>
      </c>
    </row>
    <row r="48" spans="2:2" x14ac:dyDescent="0.35">
      <c r="B48" s="8" t="s">
        <v>3450</v>
      </c>
    </row>
    <row r="49" spans="2:2" x14ac:dyDescent="0.35">
      <c r="B49" s="8" t="s">
        <v>1250</v>
      </c>
    </row>
    <row r="50" spans="2:2" x14ac:dyDescent="0.35">
      <c r="B50" s="8" t="s">
        <v>55</v>
      </c>
    </row>
    <row r="51" spans="2:2" x14ac:dyDescent="0.35">
      <c r="B51" s="8" t="s">
        <v>247</v>
      </c>
    </row>
    <row r="52" spans="2:2" x14ac:dyDescent="0.35">
      <c r="B52" s="8" t="s">
        <v>2317</v>
      </c>
    </row>
    <row r="53" spans="2:2" x14ac:dyDescent="0.35">
      <c r="B53" s="8" t="s">
        <v>60</v>
      </c>
    </row>
    <row r="54" spans="2:2" x14ac:dyDescent="0.35">
      <c r="B54" s="8" t="s">
        <v>1081</v>
      </c>
    </row>
    <row r="55" spans="2:2" x14ac:dyDescent="0.35">
      <c r="B55" s="8" t="s">
        <v>3894</v>
      </c>
    </row>
    <row r="56" spans="2:2" x14ac:dyDescent="0.35">
      <c r="B56" s="8" t="s">
        <v>4760</v>
      </c>
    </row>
    <row r="57" spans="2:2" x14ac:dyDescent="0.35">
      <c r="B57" s="8" t="s">
        <v>62</v>
      </c>
    </row>
    <row r="58" spans="2:2" x14ac:dyDescent="0.35">
      <c r="B58" s="8" t="s">
        <v>869</v>
      </c>
    </row>
    <row r="59" spans="2:2" x14ac:dyDescent="0.35">
      <c r="B59" s="8" t="s">
        <v>3784</v>
      </c>
    </row>
    <row r="60" spans="2:2" x14ac:dyDescent="0.35">
      <c r="B60" s="8" t="s">
        <v>871</v>
      </c>
    </row>
    <row r="61" spans="2:2" x14ac:dyDescent="0.35">
      <c r="B61" s="8" t="s">
        <v>2891</v>
      </c>
    </row>
    <row r="62" spans="2:2" x14ac:dyDescent="0.35">
      <c r="B62" s="8" t="s">
        <v>2895</v>
      </c>
    </row>
    <row r="63" spans="2:2" x14ac:dyDescent="0.35">
      <c r="B63" s="8" t="s">
        <v>2140</v>
      </c>
    </row>
    <row r="64" spans="2:2" x14ac:dyDescent="0.35">
      <c r="B64" s="8" t="s">
        <v>2320</v>
      </c>
    </row>
    <row r="65" spans="2:2" x14ac:dyDescent="0.35">
      <c r="B65" s="8" t="s">
        <v>3896</v>
      </c>
    </row>
    <row r="66" spans="2:2" x14ac:dyDescent="0.35">
      <c r="B66" s="8" t="s">
        <v>4320</v>
      </c>
    </row>
    <row r="67" spans="2:2" x14ac:dyDescent="0.35">
      <c r="B67" s="8" t="s">
        <v>3657</v>
      </c>
    </row>
    <row r="68" spans="2:2" x14ac:dyDescent="0.35">
      <c r="B68" s="8" t="s">
        <v>2905</v>
      </c>
    </row>
    <row r="69" spans="2:2" x14ac:dyDescent="0.35">
      <c r="B69" s="8" t="s">
        <v>4650</v>
      </c>
    </row>
    <row r="70" spans="2:2" x14ac:dyDescent="0.35">
      <c r="B70" s="8" t="s">
        <v>332</v>
      </c>
    </row>
    <row r="71" spans="2:2" x14ac:dyDescent="0.35">
      <c r="B71" s="8" t="s">
        <v>1284</v>
      </c>
    </row>
    <row r="72" spans="2:2" x14ac:dyDescent="0.35">
      <c r="B72" s="8" t="s">
        <v>4421</v>
      </c>
    </row>
    <row r="73" spans="2:2" x14ac:dyDescent="0.35">
      <c r="B73" s="8" t="s">
        <v>1170</v>
      </c>
    </row>
    <row r="74" spans="2:2" x14ac:dyDescent="0.35">
      <c r="B74" s="8" t="s">
        <v>2821</v>
      </c>
    </row>
    <row r="75" spans="2:2" x14ac:dyDescent="0.35">
      <c r="B75" s="8" t="s">
        <v>2676</v>
      </c>
    </row>
    <row r="76" spans="2:2" x14ac:dyDescent="0.35">
      <c r="B76" s="8" t="s">
        <v>1611</v>
      </c>
    </row>
    <row r="77" spans="2:2" x14ac:dyDescent="0.35">
      <c r="B77" s="8" t="s">
        <v>2029</v>
      </c>
    </row>
    <row r="78" spans="2:2" x14ac:dyDescent="0.35">
      <c r="B78" s="8" t="s">
        <v>284</v>
      </c>
    </row>
    <row r="79" spans="2:2" x14ac:dyDescent="0.35">
      <c r="B79" s="8" t="s">
        <v>4968</v>
      </c>
    </row>
    <row r="80" spans="2:2" x14ac:dyDescent="0.35">
      <c r="B80" s="8" t="s">
        <v>1695</v>
      </c>
    </row>
    <row r="81" spans="2:2" x14ac:dyDescent="0.35">
      <c r="B81" s="8" t="s">
        <v>3819</v>
      </c>
    </row>
    <row r="82" spans="2:2" x14ac:dyDescent="0.35">
      <c r="B82" s="8" t="s">
        <v>5684</v>
      </c>
    </row>
    <row r="83" spans="2:2" x14ac:dyDescent="0.35">
      <c r="B83" s="8" t="s">
        <v>2904</v>
      </c>
    </row>
    <row r="84" spans="2:2" x14ac:dyDescent="0.35">
      <c r="B84" s="8" t="s">
        <v>2926</v>
      </c>
    </row>
    <row r="85" spans="2:2" x14ac:dyDescent="0.35">
      <c r="B85" s="8" t="s">
        <v>4393</v>
      </c>
    </row>
    <row r="86" spans="2:2" x14ac:dyDescent="0.35">
      <c r="B86" s="8" t="s">
        <v>5417</v>
      </c>
    </row>
    <row r="87" spans="2:2" x14ac:dyDescent="0.35">
      <c r="B87" s="8" t="s">
        <v>2654</v>
      </c>
    </row>
    <row r="88" spans="2:2" x14ac:dyDescent="0.35">
      <c r="B88" s="8" t="s">
        <v>3546</v>
      </c>
    </row>
    <row r="89" spans="2:2" x14ac:dyDescent="0.35">
      <c r="B89" s="8" t="s">
        <v>4733</v>
      </c>
    </row>
    <row r="90" spans="2:2" x14ac:dyDescent="0.35">
      <c r="B90" s="8" t="s">
        <v>4326</v>
      </c>
    </row>
    <row r="91" spans="2:2" x14ac:dyDescent="0.35">
      <c r="B91" s="8" t="s">
        <v>5267</v>
      </c>
    </row>
    <row r="92" spans="2:2" x14ac:dyDescent="0.35">
      <c r="B92" s="8" t="s">
        <v>531</v>
      </c>
    </row>
    <row r="93" spans="2:2" x14ac:dyDescent="0.35">
      <c r="B93" s="8" t="s">
        <v>1781</v>
      </c>
    </row>
    <row r="94" spans="2:2" x14ac:dyDescent="0.35">
      <c r="B94" s="8" t="s">
        <v>4047</v>
      </c>
    </row>
    <row r="95" spans="2:2" x14ac:dyDescent="0.35">
      <c r="B95" s="8" t="s">
        <v>5051</v>
      </c>
    </row>
    <row r="96" spans="2:2" x14ac:dyDescent="0.35">
      <c r="B96" s="8" t="s">
        <v>4129</v>
      </c>
    </row>
    <row r="97" spans="2:2" x14ac:dyDescent="0.35">
      <c r="B97" s="8" t="s">
        <v>144</v>
      </c>
    </row>
    <row r="98" spans="2:2" x14ac:dyDescent="0.35">
      <c r="B98" s="8" t="s">
        <v>1174</v>
      </c>
    </row>
    <row r="99" spans="2:2" x14ac:dyDescent="0.35">
      <c r="B99" s="8" t="s">
        <v>792</v>
      </c>
    </row>
    <row r="100" spans="2:2" x14ac:dyDescent="0.35">
      <c r="B100" s="8" t="s">
        <v>4243</v>
      </c>
    </row>
    <row r="101" spans="2:2" x14ac:dyDescent="0.35">
      <c r="B101" s="8" t="s">
        <v>1437</v>
      </c>
    </row>
    <row r="102" spans="2:2" x14ac:dyDescent="0.35">
      <c r="B102" s="8" t="s">
        <v>5243</v>
      </c>
    </row>
    <row r="103" spans="2:2" x14ac:dyDescent="0.35">
      <c r="B103" s="8" t="s">
        <v>5245</v>
      </c>
    </row>
    <row r="104" spans="2:2" x14ac:dyDescent="0.35">
      <c r="B104" s="8" t="s">
        <v>2150</v>
      </c>
    </row>
    <row r="105" spans="2:2" x14ac:dyDescent="0.35">
      <c r="B105" s="8" t="s">
        <v>4886</v>
      </c>
    </row>
    <row r="106" spans="2:2" x14ac:dyDescent="0.35">
      <c r="B106" s="8" t="s">
        <v>5593</v>
      </c>
    </row>
    <row r="107" spans="2:2" x14ac:dyDescent="0.35">
      <c r="B107" s="8" t="s">
        <v>3218</v>
      </c>
    </row>
    <row r="108" spans="2:2" x14ac:dyDescent="0.35">
      <c r="B108" s="8" t="s">
        <v>815</v>
      </c>
    </row>
    <row r="109" spans="2:2" x14ac:dyDescent="0.35">
      <c r="B109" s="8" t="s">
        <v>5045</v>
      </c>
    </row>
    <row r="110" spans="2:2" x14ac:dyDescent="0.35">
      <c r="B110" s="8" t="s">
        <v>5446</v>
      </c>
    </row>
    <row r="111" spans="2:2" x14ac:dyDescent="0.35">
      <c r="B111" s="8" t="s">
        <v>2713</v>
      </c>
    </row>
    <row r="112" spans="2:2" x14ac:dyDescent="0.35">
      <c r="B112" s="8" t="s">
        <v>4245</v>
      </c>
    </row>
    <row r="113" spans="2:2" x14ac:dyDescent="0.35">
      <c r="B113" s="8" t="s">
        <v>521</v>
      </c>
    </row>
    <row r="114" spans="2:2" x14ac:dyDescent="0.35">
      <c r="B114" s="8" t="s">
        <v>1049</v>
      </c>
    </row>
    <row r="115" spans="2:2" x14ac:dyDescent="0.35">
      <c r="B115" s="8" t="s">
        <v>5450</v>
      </c>
    </row>
    <row r="116" spans="2:2" x14ac:dyDescent="0.35">
      <c r="B116" s="8" t="s">
        <v>218</v>
      </c>
    </row>
    <row r="117" spans="2:2" x14ac:dyDescent="0.35">
      <c r="B117" s="8" t="s">
        <v>5373</v>
      </c>
    </row>
    <row r="118" spans="2:2" x14ac:dyDescent="0.35">
      <c r="B118" s="8" t="s">
        <v>1348</v>
      </c>
    </row>
    <row r="119" spans="2:2" x14ac:dyDescent="0.35">
      <c r="B119" s="8" t="s">
        <v>5257</v>
      </c>
    </row>
    <row r="120" spans="2:2" x14ac:dyDescent="0.35">
      <c r="B120" s="8" t="s">
        <v>965</v>
      </c>
    </row>
    <row r="121" spans="2:2" x14ac:dyDescent="0.35">
      <c r="B121" s="8" t="s">
        <v>4725</v>
      </c>
    </row>
    <row r="122" spans="2:2" x14ac:dyDescent="0.35">
      <c r="B122" s="8" t="s">
        <v>5047</v>
      </c>
    </row>
    <row r="123" spans="2:2" x14ac:dyDescent="0.35">
      <c r="B123" s="8" t="s">
        <v>3982</v>
      </c>
    </row>
    <row r="124" spans="2:2" x14ac:dyDescent="0.35">
      <c r="B124" s="8" t="s">
        <v>220</v>
      </c>
    </row>
    <row r="125" spans="2:2" x14ac:dyDescent="0.35">
      <c r="B125" s="8" t="s">
        <v>1168</v>
      </c>
    </row>
    <row r="126" spans="2:2" x14ac:dyDescent="0.35">
      <c r="B126" s="8" t="s">
        <v>1051</v>
      </c>
    </row>
    <row r="127" spans="2:2" x14ac:dyDescent="0.35">
      <c r="B127" s="8" t="s">
        <v>4803</v>
      </c>
    </row>
    <row r="128" spans="2:2" x14ac:dyDescent="0.35">
      <c r="B128" s="8" t="s">
        <v>813</v>
      </c>
    </row>
    <row r="129" spans="2:2" x14ac:dyDescent="0.35">
      <c r="B129" s="8" t="s">
        <v>4805</v>
      </c>
    </row>
    <row r="130" spans="2:2" x14ac:dyDescent="0.35">
      <c r="B130" s="8" t="s">
        <v>782</v>
      </c>
    </row>
    <row r="131" spans="2:2" x14ac:dyDescent="0.35">
      <c r="B131" s="8" t="s">
        <v>3659</v>
      </c>
    </row>
    <row r="132" spans="2:2" x14ac:dyDescent="0.35">
      <c r="B132" s="8" t="s">
        <v>3428</v>
      </c>
    </row>
    <row r="133" spans="2:2" x14ac:dyDescent="0.35">
      <c r="B133" s="8" t="s">
        <v>4423</v>
      </c>
    </row>
    <row r="134" spans="2:2" x14ac:dyDescent="0.35">
      <c r="B134" s="8" t="s">
        <v>3661</v>
      </c>
    </row>
    <row r="135" spans="2:2" x14ac:dyDescent="0.35">
      <c r="B135" s="8" t="s">
        <v>833</v>
      </c>
    </row>
    <row r="136" spans="2:2" x14ac:dyDescent="0.35">
      <c r="B136" s="8" t="s">
        <v>3756</v>
      </c>
    </row>
    <row r="137" spans="2:2" x14ac:dyDescent="0.35">
      <c r="B137" s="8" t="s">
        <v>1775</v>
      </c>
    </row>
    <row r="138" spans="2:2" x14ac:dyDescent="0.35">
      <c r="B138" s="8" t="s">
        <v>5682</v>
      </c>
    </row>
    <row r="139" spans="2:2" x14ac:dyDescent="0.35">
      <c r="B139" s="8" t="s">
        <v>4801</v>
      </c>
    </row>
    <row r="140" spans="2:2" x14ac:dyDescent="0.35">
      <c r="B140" s="8" t="s">
        <v>2194</v>
      </c>
    </row>
    <row r="141" spans="2:2" x14ac:dyDescent="0.35">
      <c r="B141" s="8" t="s">
        <v>2994</v>
      </c>
    </row>
    <row r="142" spans="2:2" x14ac:dyDescent="0.35">
      <c r="B142" s="8" t="s">
        <v>969</v>
      </c>
    </row>
    <row r="143" spans="2:2" x14ac:dyDescent="0.35">
      <c r="B143" s="8" t="s">
        <v>4768</v>
      </c>
    </row>
    <row r="144" spans="2:2" x14ac:dyDescent="0.35">
      <c r="B144" s="8" t="s">
        <v>180</v>
      </c>
    </row>
    <row r="145" spans="2:2" x14ac:dyDescent="0.35">
      <c r="B145" s="8" t="s">
        <v>2996</v>
      </c>
    </row>
    <row r="146" spans="2:2" x14ac:dyDescent="0.35">
      <c r="B146" s="8" t="s">
        <v>1055</v>
      </c>
    </row>
    <row r="147" spans="2:2" x14ac:dyDescent="0.35">
      <c r="B147" s="8" t="s">
        <v>4970</v>
      </c>
    </row>
    <row r="148" spans="2:2" x14ac:dyDescent="0.35">
      <c r="B148" s="8" t="s">
        <v>1441</v>
      </c>
    </row>
    <row r="149" spans="2:2" x14ac:dyDescent="0.35">
      <c r="B149" s="8" t="s">
        <v>5454</v>
      </c>
    </row>
    <row r="150" spans="2:2" x14ac:dyDescent="0.35">
      <c r="B150" s="8" t="s">
        <v>2925</v>
      </c>
    </row>
    <row r="151" spans="2:2" x14ac:dyDescent="0.35">
      <c r="B151" s="8" t="s">
        <v>523</v>
      </c>
    </row>
    <row r="152" spans="2:2" x14ac:dyDescent="0.35">
      <c r="B152" s="8" t="s">
        <v>3757</v>
      </c>
    </row>
    <row r="153" spans="2:2" x14ac:dyDescent="0.35">
      <c r="B153" s="8" t="s">
        <v>5049</v>
      </c>
    </row>
    <row r="154" spans="2:2" x14ac:dyDescent="0.35">
      <c r="B154" s="8" t="s">
        <v>1056</v>
      </c>
    </row>
    <row r="155" spans="2:2" x14ac:dyDescent="0.35">
      <c r="B155" s="8" t="s">
        <v>711</v>
      </c>
    </row>
    <row r="156" spans="2:2" x14ac:dyDescent="0.35">
      <c r="B156" s="8" t="s">
        <v>3729</v>
      </c>
    </row>
    <row r="157" spans="2:2" x14ac:dyDescent="0.35">
      <c r="B157" s="8" t="s">
        <v>5204</v>
      </c>
    </row>
    <row r="158" spans="2:2" x14ac:dyDescent="0.35">
      <c r="B158" s="8" t="s">
        <v>5265</v>
      </c>
    </row>
    <row r="159" spans="2:2" x14ac:dyDescent="0.35">
      <c r="B159" s="8" t="s">
        <v>5456</v>
      </c>
    </row>
    <row r="160" spans="2:2" x14ac:dyDescent="0.35">
      <c r="B160" s="8" t="s">
        <v>2653</v>
      </c>
    </row>
    <row r="161" spans="2:2" x14ac:dyDescent="0.35">
      <c r="B161" s="8" t="s">
        <v>3665</v>
      </c>
    </row>
    <row r="162" spans="2:2" x14ac:dyDescent="0.35">
      <c r="B162" s="8" t="s">
        <v>4322</v>
      </c>
    </row>
    <row r="163" spans="2:2" x14ac:dyDescent="0.35">
      <c r="B163" s="8" t="s">
        <v>1200</v>
      </c>
    </row>
    <row r="164" spans="2:2" x14ac:dyDescent="0.35">
      <c r="B164" s="8" t="s">
        <v>1621</v>
      </c>
    </row>
    <row r="165" spans="2:2" x14ac:dyDescent="0.35">
      <c r="B165" s="8" t="s">
        <v>1952</v>
      </c>
    </row>
    <row r="166" spans="2:2" x14ac:dyDescent="0.35">
      <c r="B166" s="8" t="s">
        <v>186</v>
      </c>
    </row>
    <row r="167" spans="2:2" x14ac:dyDescent="0.35">
      <c r="B167" s="8" t="s">
        <v>222</v>
      </c>
    </row>
    <row r="168" spans="2:2" x14ac:dyDescent="0.35">
      <c r="B168" s="8" t="s">
        <v>3430</v>
      </c>
    </row>
    <row r="169" spans="2:2" x14ac:dyDescent="0.35">
      <c r="B169" s="8" t="s">
        <v>1986</v>
      </c>
    </row>
    <row r="170" spans="2:2" x14ac:dyDescent="0.35">
      <c r="B170" s="8" t="s">
        <v>790</v>
      </c>
    </row>
    <row r="171" spans="2:2" x14ac:dyDescent="0.35">
      <c r="B171" s="8" t="s">
        <v>1954</v>
      </c>
    </row>
    <row r="172" spans="2:2" x14ac:dyDescent="0.35">
      <c r="B172" s="8" t="s">
        <v>651</v>
      </c>
    </row>
    <row r="173" spans="2:2" x14ac:dyDescent="0.35">
      <c r="B173" s="8" t="s">
        <v>5692</v>
      </c>
    </row>
    <row r="174" spans="2:2" x14ac:dyDescent="0.35">
      <c r="B174" s="8" t="s">
        <v>527</v>
      </c>
    </row>
    <row r="175" spans="2:2" x14ac:dyDescent="0.35">
      <c r="B175" s="8" t="s">
        <v>715</v>
      </c>
    </row>
    <row r="176" spans="2:2" x14ac:dyDescent="0.35">
      <c r="B176" s="8" t="s">
        <v>653</v>
      </c>
    </row>
    <row r="177" spans="2:2" x14ac:dyDescent="0.35">
      <c r="B177" s="8" t="s">
        <v>3984</v>
      </c>
    </row>
    <row r="178" spans="2:2" x14ac:dyDescent="0.35">
      <c r="B178" s="8" t="s">
        <v>4975</v>
      </c>
    </row>
    <row r="179" spans="2:2" x14ac:dyDescent="0.35">
      <c r="B179" s="8" t="s">
        <v>5413</v>
      </c>
    </row>
    <row r="180" spans="2:2" x14ac:dyDescent="0.35">
      <c r="B180" s="8" t="s">
        <v>5381</v>
      </c>
    </row>
    <row r="181" spans="2:2" x14ac:dyDescent="0.35">
      <c r="B181" s="8" t="s">
        <v>1443</v>
      </c>
    </row>
    <row r="182" spans="2:2" x14ac:dyDescent="0.35">
      <c r="B182" s="8" t="s">
        <v>3381</v>
      </c>
    </row>
    <row r="183" spans="2:2" x14ac:dyDescent="0.35">
      <c r="B183" s="8" t="s">
        <v>1445</v>
      </c>
    </row>
    <row r="184" spans="2:2" x14ac:dyDescent="0.35">
      <c r="B184" s="8" t="s">
        <v>4731</v>
      </c>
    </row>
    <row r="185" spans="2:2" x14ac:dyDescent="0.35">
      <c r="B185" s="8" t="s">
        <v>1732</v>
      </c>
    </row>
    <row r="186" spans="2:2" x14ac:dyDescent="0.35">
      <c r="B186" s="8" t="s">
        <v>2536</v>
      </c>
    </row>
    <row r="187" spans="2:2" x14ac:dyDescent="0.35">
      <c r="B187" s="8" t="s">
        <v>3098</v>
      </c>
    </row>
    <row r="188" spans="2:2" x14ac:dyDescent="0.35">
      <c r="B188" s="8" t="s">
        <v>655</v>
      </c>
    </row>
    <row r="189" spans="2:2" x14ac:dyDescent="0.35">
      <c r="B189" s="8" t="s">
        <v>719</v>
      </c>
    </row>
    <row r="190" spans="2:2" x14ac:dyDescent="0.35">
      <c r="B190" s="8" t="s">
        <v>4328</v>
      </c>
    </row>
    <row r="191" spans="2:2" x14ac:dyDescent="0.35">
      <c r="B191" s="8" t="s">
        <v>4431</v>
      </c>
    </row>
    <row r="192" spans="2:2" x14ac:dyDescent="0.35">
      <c r="B192" s="8" t="s">
        <v>976</v>
      </c>
    </row>
    <row r="193" spans="2:2" x14ac:dyDescent="0.35">
      <c r="B193" s="8" t="s">
        <v>2538</v>
      </c>
    </row>
    <row r="194" spans="2:2" x14ac:dyDescent="0.35">
      <c r="B194" s="8" t="s">
        <v>2260</v>
      </c>
    </row>
    <row r="195" spans="2:2" x14ac:dyDescent="0.35">
      <c r="B195" s="8" t="s">
        <v>3270</v>
      </c>
    </row>
    <row r="196" spans="2:2" x14ac:dyDescent="0.35">
      <c r="B196" s="8" t="s">
        <v>5461</v>
      </c>
    </row>
    <row r="197" spans="2:2" x14ac:dyDescent="0.35">
      <c r="B197" s="8" t="s">
        <v>5383</v>
      </c>
    </row>
    <row r="198" spans="2:2" x14ac:dyDescent="0.35">
      <c r="B198" s="8" t="s">
        <v>2540</v>
      </c>
    </row>
    <row r="199" spans="2:2" x14ac:dyDescent="0.35">
      <c r="B199" s="8" t="s">
        <v>5419</v>
      </c>
    </row>
    <row r="200" spans="2:2" x14ac:dyDescent="0.35">
      <c r="B200" s="8" t="s">
        <v>4330</v>
      </c>
    </row>
    <row r="201" spans="2:2" x14ac:dyDescent="0.35">
      <c r="B201" s="8" t="s">
        <v>657</v>
      </c>
    </row>
    <row r="202" spans="2:2" x14ac:dyDescent="0.35">
      <c r="B202" s="8" t="s">
        <v>5123</v>
      </c>
    </row>
    <row r="203" spans="2:2" x14ac:dyDescent="0.35">
      <c r="B203" s="8" t="s">
        <v>3383</v>
      </c>
    </row>
    <row r="204" spans="2:2" x14ac:dyDescent="0.35">
      <c r="B204" s="8" t="s">
        <v>4812</v>
      </c>
    </row>
    <row r="205" spans="2:2" x14ac:dyDescent="0.35">
      <c r="B205" s="8" t="s">
        <v>3865</v>
      </c>
    </row>
    <row r="206" spans="2:2" x14ac:dyDescent="0.35">
      <c r="B206" s="8" t="s">
        <v>5207</v>
      </c>
    </row>
    <row r="207" spans="2:2" x14ac:dyDescent="0.35">
      <c r="B207" s="8" t="s">
        <v>2417</v>
      </c>
    </row>
    <row r="208" spans="2:2" x14ac:dyDescent="0.35">
      <c r="B208" s="8" t="s">
        <v>1206</v>
      </c>
    </row>
    <row r="209" spans="2:2" x14ac:dyDescent="0.35">
      <c r="B209" s="8" t="s">
        <v>5465</v>
      </c>
    </row>
    <row r="210" spans="2:2" x14ac:dyDescent="0.35">
      <c r="B210" s="8" t="s">
        <v>978</v>
      </c>
    </row>
    <row r="211" spans="2:2" x14ac:dyDescent="0.35">
      <c r="B211" s="8" t="s">
        <v>192</v>
      </c>
    </row>
    <row r="212" spans="2:2" x14ac:dyDescent="0.35">
      <c r="B212" s="8" t="s">
        <v>839</v>
      </c>
    </row>
    <row r="213" spans="2:2" x14ac:dyDescent="0.35">
      <c r="B213" s="8" t="s">
        <v>2262</v>
      </c>
    </row>
    <row r="214" spans="2:2" x14ac:dyDescent="0.35">
      <c r="B214" s="8" t="s">
        <v>721</v>
      </c>
    </row>
    <row r="215" spans="2:2" x14ac:dyDescent="0.35">
      <c r="B215" s="8" t="s">
        <v>333</v>
      </c>
    </row>
    <row r="216" spans="2:2" x14ac:dyDescent="0.35">
      <c r="B216" s="8" t="s">
        <v>2658</v>
      </c>
    </row>
    <row r="217" spans="2:2" x14ac:dyDescent="0.35">
      <c r="B217" s="8" t="s">
        <v>335</v>
      </c>
    </row>
    <row r="218" spans="2:2" x14ac:dyDescent="0.35">
      <c r="B218" s="8" t="s">
        <v>418</v>
      </c>
    </row>
    <row r="219" spans="2:2" x14ac:dyDescent="0.35">
      <c r="B219" s="8" t="s">
        <v>2101</v>
      </c>
    </row>
    <row r="220" spans="2:2" x14ac:dyDescent="0.35">
      <c r="B220" s="8" t="s">
        <v>5211</v>
      </c>
    </row>
    <row r="221" spans="2:2" x14ac:dyDescent="0.35">
      <c r="B221" s="8" t="s">
        <v>286</v>
      </c>
    </row>
    <row r="222" spans="2:2" x14ac:dyDescent="0.35">
      <c r="B222" s="8" t="s">
        <v>2900</v>
      </c>
    </row>
    <row r="223" spans="2:2" x14ac:dyDescent="0.35">
      <c r="B223" s="8" t="s">
        <v>5157</v>
      </c>
    </row>
    <row r="224" spans="2:2" x14ac:dyDescent="0.35">
      <c r="B224" s="8" t="s">
        <v>5125</v>
      </c>
    </row>
    <row r="225" spans="2:2" x14ac:dyDescent="0.35">
      <c r="B225" s="8" t="s">
        <v>982</v>
      </c>
    </row>
    <row r="226" spans="2:2" x14ac:dyDescent="0.35">
      <c r="B226" s="8" t="s">
        <v>841</v>
      </c>
    </row>
    <row r="227" spans="2:2" x14ac:dyDescent="0.35">
      <c r="B227" s="8" t="s">
        <v>4253</v>
      </c>
    </row>
    <row r="228" spans="2:2" x14ac:dyDescent="0.35">
      <c r="B228" s="8" t="s">
        <v>3385</v>
      </c>
    </row>
    <row r="229" spans="2:2" x14ac:dyDescent="0.35">
      <c r="B229" s="8" t="s">
        <v>4131</v>
      </c>
    </row>
    <row r="230" spans="2:2" x14ac:dyDescent="0.35">
      <c r="B230" s="8" t="s">
        <v>1214</v>
      </c>
    </row>
    <row r="231" spans="2:2" x14ac:dyDescent="0.35">
      <c r="B231" s="8" t="s">
        <v>722</v>
      </c>
    </row>
    <row r="232" spans="2:2" x14ac:dyDescent="0.35">
      <c r="B232" s="8" t="s">
        <v>2616</v>
      </c>
    </row>
    <row r="233" spans="2:2" x14ac:dyDescent="0.35">
      <c r="B233" s="8" t="s">
        <v>3906</v>
      </c>
    </row>
    <row r="234" spans="2:2" x14ac:dyDescent="0.35">
      <c r="B234" s="8" t="s">
        <v>3025</v>
      </c>
    </row>
    <row r="235" spans="2:2" x14ac:dyDescent="0.35">
      <c r="B235" s="8" t="s">
        <v>2645</v>
      </c>
    </row>
    <row r="236" spans="2:2" x14ac:dyDescent="0.35">
      <c r="B236" s="8" t="s">
        <v>2682</v>
      </c>
    </row>
    <row r="237" spans="2:2" x14ac:dyDescent="0.35">
      <c r="B237" s="8" t="s">
        <v>4888</v>
      </c>
    </row>
    <row r="238" spans="2:2" x14ac:dyDescent="0.35">
      <c r="B238" s="8" t="s">
        <v>1108</v>
      </c>
    </row>
    <row r="239" spans="2:2" x14ac:dyDescent="0.35">
      <c r="B239" s="8" t="s">
        <v>4511</v>
      </c>
    </row>
    <row r="240" spans="2:2" x14ac:dyDescent="0.35">
      <c r="B240" s="8" t="s">
        <v>4519</v>
      </c>
    </row>
    <row r="241" spans="2:2" x14ac:dyDescent="0.35">
      <c r="B241" s="8" t="s">
        <v>2950</v>
      </c>
    </row>
    <row r="242" spans="2:2" x14ac:dyDescent="0.35">
      <c r="B242" s="8" t="s">
        <v>439</v>
      </c>
    </row>
    <row r="243" spans="2:2" x14ac:dyDescent="0.35">
      <c r="B243" s="8" t="s">
        <v>441</v>
      </c>
    </row>
    <row r="244" spans="2:2" x14ac:dyDescent="0.35">
      <c r="B244" s="8" t="s">
        <v>3917</v>
      </c>
    </row>
    <row r="245" spans="2:2" x14ac:dyDescent="0.35">
      <c r="B245" s="8" t="s">
        <v>2363</v>
      </c>
    </row>
    <row r="246" spans="2:2" x14ac:dyDescent="0.35">
      <c r="B246" s="8" t="s">
        <v>1538</v>
      </c>
    </row>
    <row r="247" spans="2:2" x14ac:dyDescent="0.35">
      <c r="B247" s="8" t="s">
        <v>5529</v>
      </c>
    </row>
    <row r="248" spans="2:2" x14ac:dyDescent="0.35">
      <c r="B248" s="8" t="s">
        <v>3474</v>
      </c>
    </row>
    <row r="249" spans="2:2" x14ac:dyDescent="0.35">
      <c r="B249" s="8" t="s">
        <v>1560</v>
      </c>
    </row>
    <row r="250" spans="2:2" x14ac:dyDescent="0.35">
      <c r="B250" s="8" t="s">
        <v>4378</v>
      </c>
    </row>
    <row r="251" spans="2:2" x14ac:dyDescent="0.35">
      <c r="B251" s="8" t="s">
        <v>451</v>
      </c>
    </row>
    <row r="252" spans="2:2" x14ac:dyDescent="0.35">
      <c r="B252" s="8" t="s">
        <v>3476</v>
      </c>
    </row>
    <row r="253" spans="2:2" x14ac:dyDescent="0.35">
      <c r="B253" s="8" t="s">
        <v>592</v>
      </c>
    </row>
    <row r="254" spans="2:2" x14ac:dyDescent="0.35">
      <c r="B254" s="8" t="s">
        <v>3697</v>
      </c>
    </row>
    <row r="255" spans="2:2" x14ac:dyDescent="0.35">
      <c r="B255" s="8" t="s">
        <v>482</v>
      </c>
    </row>
    <row r="256" spans="2:2" x14ac:dyDescent="0.35">
      <c r="B256" s="8" t="s">
        <v>3151</v>
      </c>
    </row>
    <row r="257" spans="2:2" x14ac:dyDescent="0.35">
      <c r="B257" s="8" t="s">
        <v>1407</v>
      </c>
    </row>
    <row r="258" spans="2:2" x14ac:dyDescent="0.35">
      <c r="B258" s="8" t="s">
        <v>1307</v>
      </c>
    </row>
    <row r="259" spans="2:2" x14ac:dyDescent="0.35">
      <c r="B259" s="8" t="s">
        <v>5533</v>
      </c>
    </row>
    <row r="260" spans="2:2" x14ac:dyDescent="0.35">
      <c r="B260" s="8" t="s">
        <v>5535</v>
      </c>
    </row>
    <row r="261" spans="2:2" x14ac:dyDescent="0.35">
      <c r="B261" s="8" t="s">
        <v>1110</v>
      </c>
    </row>
    <row r="262" spans="2:2" x14ac:dyDescent="0.35">
      <c r="B262" s="8" t="s">
        <v>3126</v>
      </c>
    </row>
    <row r="263" spans="2:2" x14ac:dyDescent="0.35">
      <c r="B263" s="8" t="s">
        <v>3947</v>
      </c>
    </row>
    <row r="264" spans="2:2" x14ac:dyDescent="0.35">
      <c r="B264" s="8" t="s">
        <v>1568</v>
      </c>
    </row>
    <row r="265" spans="2:2" x14ac:dyDescent="0.35">
      <c r="B265" s="8" t="s">
        <v>1524</v>
      </c>
    </row>
    <row r="266" spans="2:2" x14ac:dyDescent="0.35">
      <c r="B266" s="8" t="s">
        <v>1409</v>
      </c>
    </row>
    <row r="267" spans="2:2" x14ac:dyDescent="0.35">
      <c r="B267" s="8" t="s">
        <v>508</v>
      </c>
    </row>
    <row r="268" spans="2:2" x14ac:dyDescent="0.35">
      <c r="B268" s="8" t="s">
        <v>4539</v>
      </c>
    </row>
    <row r="269" spans="2:2" x14ac:dyDescent="0.35">
      <c r="B269" s="8" t="s">
        <v>5655</v>
      </c>
    </row>
    <row r="270" spans="2:2" x14ac:dyDescent="0.35">
      <c r="B270" s="8" t="s">
        <v>2833</v>
      </c>
    </row>
    <row r="271" spans="2:2" x14ac:dyDescent="0.35">
      <c r="B271" s="8" t="s">
        <v>2765</v>
      </c>
    </row>
    <row r="272" spans="2:2" x14ac:dyDescent="0.35">
      <c r="B272" s="8" t="s">
        <v>2218</v>
      </c>
    </row>
    <row r="273" spans="2:2" x14ac:dyDescent="0.35">
      <c r="B273" s="8" t="s">
        <v>2823</v>
      </c>
    </row>
    <row r="274" spans="2:2" x14ac:dyDescent="0.35">
      <c r="B274" s="8" t="s">
        <v>2226</v>
      </c>
    </row>
    <row r="275" spans="2:2" x14ac:dyDescent="0.35">
      <c r="B275" s="8" t="s">
        <v>829</v>
      </c>
    </row>
    <row r="276" spans="2:2" x14ac:dyDescent="0.35">
      <c r="B276" s="8" t="s">
        <v>1164</v>
      </c>
    </row>
    <row r="277" spans="2:2" x14ac:dyDescent="0.35">
      <c r="B277" s="8" t="s">
        <v>608</v>
      </c>
    </row>
    <row r="278" spans="2:2" x14ac:dyDescent="0.35">
      <c r="B278" s="8" t="s">
        <v>2224</v>
      </c>
    </row>
    <row r="279" spans="2:2" x14ac:dyDescent="0.35">
      <c r="B279" s="8" t="s">
        <v>3130</v>
      </c>
    </row>
    <row r="280" spans="2:2" x14ac:dyDescent="0.35">
      <c r="B280" s="8" t="s">
        <v>1325</v>
      </c>
    </row>
    <row r="281" spans="2:2" x14ac:dyDescent="0.35">
      <c r="B281" s="8" t="s">
        <v>3377</v>
      </c>
    </row>
    <row r="282" spans="2:2" x14ac:dyDescent="0.35">
      <c r="B282" s="8" t="s">
        <v>1556</v>
      </c>
    </row>
    <row r="283" spans="2:2" x14ac:dyDescent="0.35">
      <c r="B283" s="8" t="s">
        <v>3132</v>
      </c>
    </row>
    <row r="284" spans="2:2" x14ac:dyDescent="0.35">
      <c r="B284" s="8" t="s">
        <v>2385</v>
      </c>
    </row>
    <row r="285" spans="2:2" x14ac:dyDescent="0.35">
      <c r="B285" s="8" t="s">
        <v>96</v>
      </c>
    </row>
    <row r="286" spans="2:2" x14ac:dyDescent="0.35">
      <c r="B286" s="8" t="s">
        <v>137</v>
      </c>
    </row>
    <row r="287" spans="2:2" x14ac:dyDescent="0.35">
      <c r="B287" s="8" t="s">
        <v>1932</v>
      </c>
    </row>
    <row r="288" spans="2:2" x14ac:dyDescent="0.35">
      <c r="B288" s="8" t="s">
        <v>3518</v>
      </c>
    </row>
    <row r="289" spans="2:2" x14ac:dyDescent="0.35">
      <c r="B289" s="8" t="s">
        <v>3961</v>
      </c>
    </row>
    <row r="290" spans="2:2" x14ac:dyDescent="0.35">
      <c r="B290" s="8" t="s">
        <v>2789</v>
      </c>
    </row>
    <row r="291" spans="2:2" x14ac:dyDescent="0.35">
      <c r="B291" s="8" t="s">
        <v>4222</v>
      </c>
    </row>
    <row r="292" spans="2:2" x14ac:dyDescent="0.35">
      <c r="B292" s="8" t="s">
        <v>2530</v>
      </c>
    </row>
    <row r="293" spans="2:2" x14ac:dyDescent="0.35">
      <c r="B293" s="8" t="s">
        <v>2025</v>
      </c>
    </row>
    <row r="294" spans="2:2" x14ac:dyDescent="0.35">
      <c r="B294" s="8" t="s">
        <v>2759</v>
      </c>
    </row>
    <row r="295" spans="2:2" x14ac:dyDescent="0.35">
      <c r="B295" s="8" t="s">
        <v>4108</v>
      </c>
    </row>
    <row r="296" spans="2:2" x14ac:dyDescent="0.35">
      <c r="B296" s="8" t="s">
        <v>5175</v>
      </c>
    </row>
    <row r="297" spans="2:2" x14ac:dyDescent="0.35">
      <c r="B297" s="8" t="s">
        <v>3357</v>
      </c>
    </row>
    <row r="298" spans="2:2" x14ac:dyDescent="0.35">
      <c r="B298" s="8" t="s">
        <v>2747</v>
      </c>
    </row>
    <row r="299" spans="2:2" x14ac:dyDescent="0.35">
      <c r="B299" s="8" t="s">
        <v>4275</v>
      </c>
    </row>
    <row r="300" spans="2:2" x14ac:dyDescent="0.35">
      <c r="B300" s="8" t="s">
        <v>1455</v>
      </c>
    </row>
    <row r="301" spans="2:2" x14ac:dyDescent="0.35">
      <c r="B301" s="8" t="s">
        <v>5409</v>
      </c>
    </row>
    <row r="302" spans="2:2" x14ac:dyDescent="0.35">
      <c r="B302" s="8" t="s">
        <v>1996</v>
      </c>
    </row>
    <row r="303" spans="2:2" x14ac:dyDescent="0.35">
      <c r="B303" s="8" t="s">
        <v>4641</v>
      </c>
    </row>
    <row r="304" spans="2:2" x14ac:dyDescent="0.35">
      <c r="B304" s="8" t="s">
        <v>2793</v>
      </c>
    </row>
    <row r="305" spans="2:2" x14ac:dyDescent="0.35">
      <c r="B305" s="8" t="s">
        <v>4899</v>
      </c>
    </row>
    <row r="306" spans="2:2" x14ac:dyDescent="0.35">
      <c r="B306" s="8" t="s">
        <v>1279</v>
      </c>
    </row>
    <row r="307" spans="2:2" x14ac:dyDescent="0.35">
      <c r="B307" s="8" t="s">
        <v>1998</v>
      </c>
    </row>
    <row r="308" spans="2:2" x14ac:dyDescent="0.35">
      <c r="B308" s="8" t="s">
        <v>5625</v>
      </c>
    </row>
    <row r="309" spans="2:2" x14ac:dyDescent="0.35">
      <c r="B309" s="8" t="s">
        <v>152</v>
      </c>
    </row>
    <row r="310" spans="2:2" x14ac:dyDescent="0.35">
      <c r="B310" s="8" t="s">
        <v>4349</v>
      </c>
    </row>
    <row r="311" spans="2:2" x14ac:dyDescent="0.35">
      <c r="B311" s="8" t="s">
        <v>4359</v>
      </c>
    </row>
    <row r="312" spans="2:2" x14ac:dyDescent="0.35">
      <c r="B312" s="8" t="s">
        <v>5000</v>
      </c>
    </row>
    <row r="313" spans="2:2" x14ac:dyDescent="0.35">
      <c r="B313" s="8" t="s">
        <v>4878</v>
      </c>
    </row>
    <row r="314" spans="2:2" x14ac:dyDescent="0.35">
      <c r="B314" s="8" t="s">
        <v>1740</v>
      </c>
    </row>
    <row r="315" spans="2:2" x14ac:dyDescent="0.35">
      <c r="B315" s="8" t="s">
        <v>1069</v>
      </c>
    </row>
    <row r="316" spans="2:2" x14ac:dyDescent="0.35">
      <c r="B316" s="8" t="s">
        <v>729</v>
      </c>
    </row>
    <row r="317" spans="2:2" x14ac:dyDescent="0.35">
      <c r="B317" s="8" t="s">
        <v>3009</v>
      </c>
    </row>
    <row r="318" spans="2:2" x14ac:dyDescent="0.35">
      <c r="B318" s="8" t="s">
        <v>1633</v>
      </c>
    </row>
    <row r="319" spans="2:2" x14ac:dyDescent="0.35">
      <c r="B319" s="8" t="s">
        <v>22</v>
      </c>
    </row>
    <row r="320" spans="2:2" x14ac:dyDescent="0.35">
      <c r="B320" s="8" t="s">
        <v>5002</v>
      </c>
    </row>
    <row r="321" spans="2:2" x14ac:dyDescent="0.35">
      <c r="B321" s="8" t="s">
        <v>3363</v>
      </c>
    </row>
    <row r="322" spans="2:2" x14ac:dyDescent="0.35">
      <c r="B322" s="8" t="s">
        <v>4748</v>
      </c>
    </row>
    <row r="323" spans="2:2" x14ac:dyDescent="0.35">
      <c r="B323" s="8" t="s">
        <v>4283</v>
      </c>
    </row>
    <row r="324" spans="2:2" x14ac:dyDescent="0.35">
      <c r="B324" s="8" t="s">
        <v>2799</v>
      </c>
    </row>
    <row r="325" spans="2:2" x14ac:dyDescent="0.35">
      <c r="B325" s="8" t="s">
        <v>4752</v>
      </c>
    </row>
    <row r="326" spans="2:2" x14ac:dyDescent="0.35">
      <c r="B326" s="8" t="s">
        <v>4371</v>
      </c>
    </row>
    <row r="327" spans="2:2" x14ac:dyDescent="0.35">
      <c r="B327" s="8" t="s">
        <v>2132</v>
      </c>
    </row>
    <row r="328" spans="2:2" x14ac:dyDescent="0.35">
      <c r="B328" s="8" t="s">
        <v>2427</v>
      </c>
    </row>
    <row r="329" spans="2:2" x14ac:dyDescent="0.35">
      <c r="B329" s="8" t="s">
        <v>1467</v>
      </c>
    </row>
    <row r="330" spans="2:2" x14ac:dyDescent="0.35">
      <c r="B330" s="8" t="s">
        <v>307</v>
      </c>
    </row>
    <row r="331" spans="2:2" x14ac:dyDescent="0.35">
      <c r="B331" s="8" t="s">
        <v>4175</v>
      </c>
    </row>
    <row r="332" spans="2:2" x14ac:dyDescent="0.35">
      <c r="B332" s="8" t="s">
        <v>737</v>
      </c>
    </row>
    <row r="333" spans="2:2" x14ac:dyDescent="0.35">
      <c r="B333" s="8" t="s">
        <v>1019</v>
      </c>
    </row>
    <row r="334" spans="2:2" x14ac:dyDescent="0.35">
      <c r="B334" s="8" t="s">
        <v>3403</v>
      </c>
    </row>
    <row r="335" spans="2:2" x14ac:dyDescent="0.35">
      <c r="B335" s="8" t="s">
        <v>314</v>
      </c>
    </row>
    <row r="336" spans="2:2" x14ac:dyDescent="0.35">
      <c r="B336" s="8" t="s">
        <v>4193</v>
      </c>
    </row>
    <row r="337" spans="2:2" x14ac:dyDescent="0.35">
      <c r="B337" s="8" t="s">
        <v>3351</v>
      </c>
    </row>
    <row r="338" spans="2:2" x14ac:dyDescent="0.35">
      <c r="B338" s="8" t="s">
        <v>723</v>
      </c>
    </row>
    <row r="339" spans="2:2" x14ac:dyDescent="0.35">
      <c r="B339" s="8" t="s">
        <v>2576</v>
      </c>
    </row>
    <row r="340" spans="2:2" x14ac:dyDescent="0.35">
      <c r="B340" s="8" t="s">
        <v>5504</v>
      </c>
    </row>
    <row r="341" spans="2:2" x14ac:dyDescent="0.35">
      <c r="B341" s="8" t="s">
        <v>3786</v>
      </c>
    </row>
    <row r="342" spans="2:2" x14ac:dyDescent="0.35">
      <c r="B342" s="8" t="s">
        <v>1397</v>
      </c>
    </row>
    <row r="343" spans="2:2" x14ac:dyDescent="0.35">
      <c r="B343" s="8" t="s">
        <v>4271</v>
      </c>
    </row>
    <row r="344" spans="2:2" x14ac:dyDescent="0.35">
      <c r="B344" s="8" t="s">
        <v>1488</v>
      </c>
    </row>
    <row r="345" spans="2:2" x14ac:dyDescent="0.35">
      <c r="B345" s="8" t="s">
        <v>2352</v>
      </c>
    </row>
    <row r="346" spans="2:2" x14ac:dyDescent="0.35">
      <c r="B346" s="8" t="s">
        <v>1222</v>
      </c>
    </row>
    <row r="347" spans="2:2" x14ac:dyDescent="0.35">
      <c r="B347" s="8" t="s">
        <v>4094</v>
      </c>
    </row>
    <row r="348" spans="2:2" x14ac:dyDescent="0.35">
      <c r="B348" s="8" t="s">
        <v>991</v>
      </c>
    </row>
    <row r="349" spans="2:2" x14ac:dyDescent="0.35">
      <c r="B349" s="8" t="s">
        <v>1127</v>
      </c>
    </row>
    <row r="350" spans="2:2" x14ac:dyDescent="0.35">
      <c r="B350" s="8" t="s">
        <v>2371</v>
      </c>
    </row>
    <row r="351" spans="2:2" x14ac:dyDescent="0.35">
      <c r="B351" s="8" t="s">
        <v>3497</v>
      </c>
    </row>
    <row r="352" spans="2:2" x14ac:dyDescent="0.35">
      <c r="B352" s="8" t="s">
        <v>3598</v>
      </c>
    </row>
    <row r="353" spans="2:2" x14ac:dyDescent="0.35">
      <c r="B353" s="8" t="s">
        <v>453</v>
      </c>
    </row>
    <row r="354" spans="2:2" x14ac:dyDescent="0.35">
      <c r="B354" s="8" t="s">
        <v>1839</v>
      </c>
    </row>
    <row r="355" spans="2:2" x14ac:dyDescent="0.35">
      <c r="B355" s="8" t="s">
        <v>3478</v>
      </c>
    </row>
    <row r="356" spans="2:2" x14ac:dyDescent="0.35">
      <c r="B356" s="8" t="s">
        <v>2483</v>
      </c>
    </row>
    <row r="357" spans="2:2" x14ac:dyDescent="0.35">
      <c r="B357" s="8" t="s">
        <v>2375</v>
      </c>
    </row>
    <row r="358" spans="2:2" x14ac:dyDescent="0.35">
      <c r="B358" s="8" t="s">
        <v>3695</v>
      </c>
    </row>
    <row r="359" spans="2:2" x14ac:dyDescent="0.35">
      <c r="B359" s="8" t="s">
        <v>4143</v>
      </c>
    </row>
    <row r="360" spans="2:2" x14ac:dyDescent="0.35">
      <c r="B360" s="8" t="s">
        <v>2076</v>
      </c>
    </row>
    <row r="361" spans="2:2" x14ac:dyDescent="0.35">
      <c r="B361" s="8" t="s">
        <v>1637</v>
      </c>
    </row>
    <row r="362" spans="2:2" x14ac:dyDescent="0.35">
      <c r="B362" s="8" t="s">
        <v>1305</v>
      </c>
    </row>
    <row r="363" spans="2:2" x14ac:dyDescent="0.35">
      <c r="B363" s="8" t="s">
        <v>2377</v>
      </c>
    </row>
    <row r="364" spans="2:2" x14ac:dyDescent="0.35">
      <c r="B364" s="8" t="s">
        <v>3037</v>
      </c>
    </row>
    <row r="365" spans="2:2" x14ac:dyDescent="0.35">
      <c r="B365" s="8" t="s">
        <v>3390</v>
      </c>
    </row>
    <row r="366" spans="2:2" x14ac:dyDescent="0.35">
      <c r="B366" s="8" t="s">
        <v>4104</v>
      </c>
    </row>
    <row r="367" spans="2:2" x14ac:dyDescent="0.35">
      <c r="B367" s="8" t="s">
        <v>2546</v>
      </c>
    </row>
    <row r="368" spans="2:2" x14ac:dyDescent="0.35">
      <c r="B368" s="8" t="s">
        <v>3586</v>
      </c>
    </row>
    <row r="369" spans="2:2" x14ac:dyDescent="0.35">
      <c r="B369" s="8" t="s">
        <v>596</v>
      </c>
    </row>
    <row r="370" spans="2:2" x14ac:dyDescent="0.35">
      <c r="B370" s="8" t="s">
        <v>1396</v>
      </c>
    </row>
    <row r="371" spans="2:2" x14ac:dyDescent="0.35">
      <c r="B371" s="8" t="s">
        <v>2379</v>
      </c>
    </row>
    <row r="372" spans="2:2" x14ac:dyDescent="0.35">
      <c r="B372" s="8" t="s">
        <v>3161</v>
      </c>
    </row>
    <row r="373" spans="2:2" x14ac:dyDescent="0.35">
      <c r="B373" s="8" t="s">
        <v>2054</v>
      </c>
    </row>
    <row r="374" spans="2:2" x14ac:dyDescent="0.35">
      <c r="B374" s="8" t="s">
        <v>3173</v>
      </c>
    </row>
    <row r="375" spans="2:2" x14ac:dyDescent="0.35">
      <c r="B375" s="8" t="s">
        <v>3295</v>
      </c>
    </row>
    <row r="376" spans="2:2" x14ac:dyDescent="0.35">
      <c r="B376" s="8" t="s">
        <v>4527</v>
      </c>
    </row>
    <row r="377" spans="2:2" x14ac:dyDescent="0.35">
      <c r="B377" s="8" t="s">
        <v>104</v>
      </c>
    </row>
    <row r="378" spans="2:2" x14ac:dyDescent="0.35">
      <c r="B378" s="8" t="s">
        <v>2084</v>
      </c>
    </row>
    <row r="379" spans="2:2" x14ac:dyDescent="0.35">
      <c r="B379" s="8" t="s">
        <v>3592</v>
      </c>
    </row>
    <row r="380" spans="2:2" x14ac:dyDescent="0.35">
      <c r="B380" s="8" t="s">
        <v>620</v>
      </c>
    </row>
    <row r="381" spans="2:2" x14ac:dyDescent="0.35">
      <c r="B381" s="8" t="s">
        <v>4490</v>
      </c>
    </row>
    <row r="382" spans="2:2" x14ac:dyDescent="0.35">
      <c r="B382" s="8" t="s">
        <v>1570</v>
      </c>
    </row>
    <row r="383" spans="2:2" x14ac:dyDescent="0.35">
      <c r="B383" s="8" t="s">
        <v>4210</v>
      </c>
    </row>
    <row r="384" spans="2:2" x14ac:dyDescent="0.35">
      <c r="B384" s="8" t="s">
        <v>3041</v>
      </c>
    </row>
    <row r="385" spans="2:2" x14ac:dyDescent="0.35">
      <c r="B385" s="8" t="s">
        <v>3480</v>
      </c>
    </row>
    <row r="386" spans="2:2" x14ac:dyDescent="0.35">
      <c r="B386" s="8" t="s">
        <v>3297</v>
      </c>
    </row>
    <row r="387" spans="2:2" x14ac:dyDescent="0.35">
      <c r="B387" s="8" t="s">
        <v>4574</v>
      </c>
    </row>
    <row r="388" spans="2:2" x14ac:dyDescent="0.35">
      <c r="B388" s="8" t="s">
        <v>4862</v>
      </c>
    </row>
    <row r="389" spans="2:2" x14ac:dyDescent="0.35">
      <c r="B389" s="8" t="s">
        <v>2172</v>
      </c>
    </row>
    <row r="390" spans="2:2" x14ac:dyDescent="0.35">
      <c r="B390" s="8" t="s">
        <v>925</v>
      </c>
    </row>
    <row r="391" spans="2:2" x14ac:dyDescent="0.35">
      <c r="B391" s="8" t="s">
        <v>3701</v>
      </c>
    </row>
    <row r="392" spans="2:2" x14ac:dyDescent="0.35">
      <c r="B392" s="8" t="s">
        <v>2214</v>
      </c>
    </row>
    <row r="393" spans="2:2" x14ac:dyDescent="0.35">
      <c r="B393" s="8" t="s">
        <v>110</v>
      </c>
    </row>
    <row r="394" spans="2:2" x14ac:dyDescent="0.35">
      <c r="B394" s="8" t="s">
        <v>226</v>
      </c>
    </row>
    <row r="395" spans="2:2" x14ac:dyDescent="0.35">
      <c r="B395" s="8" t="s">
        <v>4713</v>
      </c>
    </row>
    <row r="396" spans="2:2" x14ac:dyDescent="0.35">
      <c r="B396" s="8" t="s">
        <v>4212</v>
      </c>
    </row>
    <row r="397" spans="2:2" x14ac:dyDescent="0.35">
      <c r="B397" s="8" t="s">
        <v>5179</v>
      </c>
    </row>
    <row r="398" spans="2:2" x14ac:dyDescent="0.35">
      <c r="B398" s="8" t="s">
        <v>3289</v>
      </c>
    </row>
    <row r="399" spans="2:2" x14ac:dyDescent="0.35">
      <c r="B399" s="8" t="s">
        <v>492</v>
      </c>
    </row>
    <row r="400" spans="2:2" x14ac:dyDescent="0.35">
      <c r="B400" s="8" t="s">
        <v>4715</v>
      </c>
    </row>
    <row r="401" spans="2:2" x14ac:dyDescent="0.35">
      <c r="B401" s="8" t="s">
        <v>1926</v>
      </c>
    </row>
    <row r="402" spans="2:2" x14ac:dyDescent="0.35">
      <c r="B402" s="8" t="s">
        <v>392</v>
      </c>
    </row>
    <row r="403" spans="2:2" x14ac:dyDescent="0.35">
      <c r="B403" s="8" t="s">
        <v>394</v>
      </c>
    </row>
    <row r="404" spans="2:2" x14ac:dyDescent="0.35">
      <c r="B404" s="8" t="s">
        <v>3871</v>
      </c>
    </row>
    <row r="405" spans="2:2" x14ac:dyDescent="0.35">
      <c r="B405" s="8" t="s">
        <v>2453</v>
      </c>
    </row>
    <row r="406" spans="2:2" x14ac:dyDescent="0.35">
      <c r="B406" s="8" t="s">
        <v>4529</v>
      </c>
    </row>
    <row r="407" spans="2:2" x14ac:dyDescent="0.35">
      <c r="B407" s="8" t="s">
        <v>2769</v>
      </c>
    </row>
    <row r="408" spans="2:2" x14ac:dyDescent="0.35">
      <c r="B408" s="8" t="s">
        <v>2733</v>
      </c>
    </row>
    <row r="409" spans="2:2" x14ac:dyDescent="0.35">
      <c r="B409" s="8" t="s">
        <v>498</v>
      </c>
    </row>
    <row r="410" spans="2:2" x14ac:dyDescent="0.35">
      <c r="B410" s="8" t="s">
        <v>3047</v>
      </c>
    </row>
    <row r="411" spans="2:2" x14ac:dyDescent="0.35">
      <c r="B411" s="8" t="s">
        <v>663</v>
      </c>
    </row>
    <row r="412" spans="2:2" x14ac:dyDescent="0.35">
      <c r="B412" s="8" t="s">
        <v>3635</v>
      </c>
    </row>
    <row r="413" spans="2:2" x14ac:dyDescent="0.35">
      <c r="B413" s="8" t="s">
        <v>2737</v>
      </c>
    </row>
    <row r="414" spans="2:2" x14ac:dyDescent="0.35">
      <c r="B414" s="8" t="s">
        <v>2841</v>
      </c>
    </row>
    <row r="415" spans="2:2" x14ac:dyDescent="0.35">
      <c r="B415" s="8" t="s">
        <v>1736</v>
      </c>
    </row>
    <row r="416" spans="2:2" x14ac:dyDescent="0.35">
      <c r="B416" s="8" t="s">
        <v>1139</v>
      </c>
    </row>
    <row r="417" spans="2:2" x14ac:dyDescent="0.35">
      <c r="B417" s="8" t="s">
        <v>5659</v>
      </c>
    </row>
    <row r="418" spans="2:2" x14ac:dyDescent="0.35">
      <c r="B418" s="8" t="s">
        <v>2230</v>
      </c>
    </row>
    <row r="419" spans="2:2" x14ac:dyDescent="0.35">
      <c r="B419" s="8" t="s">
        <v>3</v>
      </c>
    </row>
    <row r="420" spans="2:2" x14ac:dyDescent="0.35">
      <c r="B420" s="8" t="s">
        <v>3076</v>
      </c>
    </row>
    <row r="421" spans="2:2" x14ac:dyDescent="0.35">
      <c r="B421" s="8" t="s">
        <v>5553</v>
      </c>
    </row>
    <row r="422" spans="2:2" x14ac:dyDescent="0.35">
      <c r="B422" s="8" t="s">
        <v>3959</v>
      </c>
    </row>
    <row r="423" spans="2:2" x14ac:dyDescent="0.35">
      <c r="B423" s="8" t="s">
        <v>4218</v>
      </c>
    </row>
    <row r="424" spans="2:2" x14ac:dyDescent="0.35">
      <c r="B424" s="8" t="s">
        <v>1847</v>
      </c>
    </row>
    <row r="425" spans="2:2" x14ac:dyDescent="0.35">
      <c r="B425" s="8" t="s">
        <v>4990</v>
      </c>
    </row>
    <row r="426" spans="2:2" x14ac:dyDescent="0.35">
      <c r="B426" s="8" t="s">
        <v>2785</v>
      </c>
    </row>
    <row r="427" spans="2:2" x14ac:dyDescent="0.35">
      <c r="B427" s="8" t="s">
        <v>2787</v>
      </c>
    </row>
    <row r="428" spans="2:2" x14ac:dyDescent="0.35">
      <c r="B428" s="8" t="s">
        <v>3509</v>
      </c>
    </row>
    <row r="429" spans="2:2" x14ac:dyDescent="0.35">
      <c r="B429" s="8" t="s">
        <v>1317</v>
      </c>
    </row>
    <row r="430" spans="2:2" x14ac:dyDescent="0.35">
      <c r="B430" s="8" t="s">
        <v>2843</v>
      </c>
    </row>
    <row r="431" spans="2:2" x14ac:dyDescent="0.35">
      <c r="B431" s="8" t="s">
        <v>3671</v>
      </c>
    </row>
    <row r="432" spans="2:2" x14ac:dyDescent="0.35">
      <c r="B432" s="8" t="s">
        <v>2845</v>
      </c>
    </row>
    <row r="433" spans="2:2" x14ac:dyDescent="0.35">
      <c r="B433" s="8" t="s">
        <v>3637</v>
      </c>
    </row>
    <row r="434" spans="2:2" x14ac:dyDescent="0.35">
      <c r="B434" s="8" t="s">
        <v>1534</v>
      </c>
    </row>
    <row r="435" spans="2:2" x14ac:dyDescent="0.35">
      <c r="B435" s="8" t="s">
        <v>2699</v>
      </c>
    </row>
    <row r="436" spans="2:2" x14ac:dyDescent="0.35">
      <c r="B436" s="8" t="s">
        <v>2749</v>
      </c>
    </row>
    <row r="437" spans="2:2" x14ac:dyDescent="0.35">
      <c r="B437" s="8" t="s">
        <v>3600</v>
      </c>
    </row>
    <row r="438" spans="2:2" x14ac:dyDescent="0.35">
      <c r="B438" s="8" t="s">
        <v>500</v>
      </c>
    </row>
    <row r="439" spans="2:2" x14ac:dyDescent="0.35">
      <c r="B439" s="8" t="s">
        <v>355</v>
      </c>
    </row>
    <row r="440" spans="2:2" x14ac:dyDescent="0.35">
      <c r="B440" s="8" t="s">
        <v>2090</v>
      </c>
    </row>
    <row r="441" spans="2:2" x14ac:dyDescent="0.35">
      <c r="B441" s="8" t="s">
        <v>502</v>
      </c>
    </row>
    <row r="442" spans="2:2" x14ac:dyDescent="0.35">
      <c r="B442" s="8" t="s">
        <v>2703</v>
      </c>
    </row>
    <row r="443" spans="2:2" x14ac:dyDescent="0.35">
      <c r="B443" s="8" t="s">
        <v>4588</v>
      </c>
    </row>
    <row r="444" spans="2:2" x14ac:dyDescent="0.35">
      <c r="B444" s="8" t="s">
        <v>357</v>
      </c>
    </row>
    <row r="445" spans="2:2" x14ac:dyDescent="0.35">
      <c r="B445" s="8" t="s">
        <v>3392</v>
      </c>
    </row>
    <row r="446" spans="2:2" x14ac:dyDescent="0.35">
      <c r="B446" s="8" t="s">
        <v>2727</v>
      </c>
    </row>
    <row r="447" spans="2:2" x14ac:dyDescent="0.35">
      <c r="B447" s="8" t="s">
        <v>4277</v>
      </c>
    </row>
    <row r="448" spans="2:2" x14ac:dyDescent="0.35">
      <c r="B448" s="8" t="s">
        <v>1256</v>
      </c>
    </row>
    <row r="449" spans="2:2" x14ac:dyDescent="0.35">
      <c r="B449" s="8" t="s">
        <v>3434</v>
      </c>
    </row>
    <row r="450" spans="2:2" x14ac:dyDescent="0.35">
      <c r="B450" s="8" t="s">
        <v>4816</v>
      </c>
    </row>
    <row r="451" spans="2:2" x14ac:dyDescent="0.35">
      <c r="B451" s="8" t="s">
        <v>5389</v>
      </c>
    </row>
    <row r="452" spans="2:2" x14ac:dyDescent="0.35">
      <c r="B452" s="8" t="s">
        <v>4439</v>
      </c>
    </row>
    <row r="453" spans="2:2" x14ac:dyDescent="0.35">
      <c r="B453" s="8" t="s">
        <v>1639</v>
      </c>
    </row>
    <row r="454" spans="2:2" x14ac:dyDescent="0.35">
      <c r="B454" s="8" t="s">
        <v>3988</v>
      </c>
    </row>
    <row r="455" spans="2:2" x14ac:dyDescent="0.35">
      <c r="B455" s="8" t="s">
        <v>228</v>
      </c>
    </row>
    <row r="456" spans="2:2" x14ac:dyDescent="0.35">
      <c r="B456" s="8" t="s">
        <v>1786</v>
      </c>
    </row>
    <row r="457" spans="2:2" x14ac:dyDescent="0.35">
      <c r="B457" s="8" t="s">
        <v>5217</v>
      </c>
    </row>
    <row r="458" spans="2:2" x14ac:dyDescent="0.35">
      <c r="B458" s="8" t="s">
        <v>1457</v>
      </c>
    </row>
    <row r="459" spans="2:2" x14ac:dyDescent="0.35">
      <c r="B459" s="8" t="s">
        <v>543</v>
      </c>
    </row>
    <row r="460" spans="2:2" x14ac:dyDescent="0.35">
      <c r="B460" s="8" t="s">
        <v>4145</v>
      </c>
    </row>
    <row r="461" spans="2:2" x14ac:dyDescent="0.35">
      <c r="B461" s="8" t="s">
        <v>3873</v>
      </c>
    </row>
    <row r="462" spans="2:2" x14ac:dyDescent="0.35">
      <c r="B462" s="8" t="s">
        <v>5133</v>
      </c>
    </row>
    <row r="463" spans="2:2" x14ac:dyDescent="0.35">
      <c r="B463" s="8" t="s">
        <v>4992</v>
      </c>
    </row>
    <row r="464" spans="2:2" x14ac:dyDescent="0.35">
      <c r="B464" s="8" t="s">
        <v>5080</v>
      </c>
    </row>
    <row r="465" spans="2:2" x14ac:dyDescent="0.35">
      <c r="B465" s="8" t="s">
        <v>843</v>
      </c>
    </row>
    <row r="466" spans="2:2" x14ac:dyDescent="0.35">
      <c r="B466" s="8" t="s">
        <v>1859</v>
      </c>
    </row>
    <row r="467" spans="2:2" x14ac:dyDescent="0.35">
      <c r="B467" s="8" t="s">
        <v>3003</v>
      </c>
    </row>
    <row r="468" spans="2:2" x14ac:dyDescent="0.35">
      <c r="B468" s="8" t="s">
        <v>4744</v>
      </c>
    </row>
    <row r="469" spans="2:2" x14ac:dyDescent="0.35">
      <c r="B469" s="8" t="s">
        <v>1641</v>
      </c>
    </row>
    <row r="470" spans="2:2" x14ac:dyDescent="0.35">
      <c r="B470" s="8" t="s">
        <v>1062</v>
      </c>
    </row>
    <row r="471" spans="2:2" x14ac:dyDescent="0.35">
      <c r="B471" s="8" t="s">
        <v>4820</v>
      </c>
    </row>
    <row r="472" spans="2:2" x14ac:dyDescent="0.35">
      <c r="B472" s="8" t="s">
        <v>2274</v>
      </c>
    </row>
    <row r="473" spans="2:2" x14ac:dyDescent="0.35">
      <c r="B473" s="8" t="s">
        <v>4355</v>
      </c>
    </row>
    <row r="474" spans="2:2" x14ac:dyDescent="0.35">
      <c r="B474" s="8" t="s">
        <v>2176</v>
      </c>
    </row>
    <row r="475" spans="2:2" x14ac:dyDescent="0.35">
      <c r="B475" s="8" t="s">
        <v>4994</v>
      </c>
    </row>
    <row r="476" spans="2:2" x14ac:dyDescent="0.35">
      <c r="B476" s="8" t="s">
        <v>2276</v>
      </c>
    </row>
    <row r="477" spans="2:2" x14ac:dyDescent="0.35">
      <c r="B477" s="8" t="s">
        <v>2556</v>
      </c>
    </row>
    <row r="478" spans="2:2" x14ac:dyDescent="0.35">
      <c r="B478" s="8" t="s">
        <v>5135</v>
      </c>
    </row>
    <row r="479" spans="2:2" x14ac:dyDescent="0.35">
      <c r="B479" s="8" t="s">
        <v>1001</v>
      </c>
    </row>
    <row r="480" spans="2:2" x14ac:dyDescent="0.35">
      <c r="B480" s="8" t="s">
        <v>1258</v>
      </c>
    </row>
    <row r="481" spans="2:2" x14ac:dyDescent="0.35">
      <c r="B481" s="8" t="s">
        <v>5239</v>
      </c>
    </row>
    <row r="482" spans="2:2" x14ac:dyDescent="0.35">
      <c r="B482" s="8" t="s">
        <v>1065</v>
      </c>
    </row>
    <row r="483" spans="2:2" x14ac:dyDescent="0.35">
      <c r="B483" s="8" t="s">
        <v>1377</v>
      </c>
    </row>
    <row r="484" spans="2:2" x14ac:dyDescent="0.35">
      <c r="B484" s="8" t="s">
        <v>1382</v>
      </c>
    </row>
    <row r="485" spans="2:2" x14ac:dyDescent="0.35">
      <c r="B485" s="8" t="s">
        <v>1067</v>
      </c>
    </row>
    <row r="486" spans="2:2" x14ac:dyDescent="0.35">
      <c r="B486" s="8" t="s">
        <v>5082</v>
      </c>
    </row>
    <row r="487" spans="2:2" x14ac:dyDescent="0.35">
      <c r="B487" s="8" t="s">
        <v>4281</v>
      </c>
    </row>
    <row r="488" spans="2:2" x14ac:dyDescent="0.35">
      <c r="B488" s="8" t="s">
        <v>150</v>
      </c>
    </row>
    <row r="489" spans="2:2" x14ac:dyDescent="0.35">
      <c r="B489" s="8" t="s">
        <v>2932</v>
      </c>
    </row>
    <row r="490" spans="2:2" x14ac:dyDescent="0.35">
      <c r="B490" s="8" t="s">
        <v>1095</v>
      </c>
    </row>
    <row r="491" spans="2:2" x14ac:dyDescent="0.35">
      <c r="B491" s="8" t="s">
        <v>546</v>
      </c>
    </row>
    <row r="492" spans="2:2" x14ac:dyDescent="0.35">
      <c r="B492" s="8" t="s">
        <v>2560</v>
      </c>
    </row>
    <row r="493" spans="2:2" x14ac:dyDescent="0.35">
      <c r="B493" s="8" t="s">
        <v>2278</v>
      </c>
    </row>
    <row r="494" spans="2:2" x14ac:dyDescent="0.35">
      <c r="B494" s="8" t="s">
        <v>295</v>
      </c>
    </row>
    <row r="495" spans="2:2" x14ac:dyDescent="0.35">
      <c r="B495" s="8" t="s">
        <v>4998</v>
      </c>
    </row>
    <row r="496" spans="2:2" x14ac:dyDescent="0.35">
      <c r="B496" s="8" t="s">
        <v>2562</v>
      </c>
    </row>
    <row r="497" spans="2:2" x14ac:dyDescent="0.35">
      <c r="B497" s="8" t="s">
        <v>2809</v>
      </c>
    </row>
    <row r="498" spans="2:2" x14ac:dyDescent="0.35">
      <c r="B498" s="8" t="s">
        <v>208</v>
      </c>
    </row>
    <row r="499" spans="2:2" x14ac:dyDescent="0.35">
      <c r="B499" s="8" t="s">
        <v>3236</v>
      </c>
    </row>
    <row r="500" spans="2:2" x14ac:dyDescent="0.35">
      <c r="B500" s="8" t="s">
        <v>3732</v>
      </c>
    </row>
    <row r="501" spans="2:2" x14ac:dyDescent="0.35">
      <c r="B501" s="8" t="s">
        <v>5131</v>
      </c>
    </row>
    <row r="502" spans="2:2" x14ac:dyDescent="0.35">
      <c r="B502" s="8" t="s">
        <v>4448</v>
      </c>
    </row>
    <row r="503" spans="2:2" x14ac:dyDescent="0.35">
      <c r="B503" s="8" t="s">
        <v>3302</v>
      </c>
    </row>
    <row r="504" spans="2:2" x14ac:dyDescent="0.35">
      <c r="B504" s="8" t="s">
        <v>3304</v>
      </c>
    </row>
    <row r="505" spans="2:2" x14ac:dyDescent="0.35">
      <c r="B505" s="8" t="s">
        <v>5399</v>
      </c>
    </row>
    <row r="506" spans="2:2" x14ac:dyDescent="0.35">
      <c r="B506" s="8" t="s">
        <v>2112</v>
      </c>
    </row>
    <row r="507" spans="2:2" x14ac:dyDescent="0.35">
      <c r="B507" s="8" t="s">
        <v>2004</v>
      </c>
    </row>
    <row r="508" spans="2:2" x14ac:dyDescent="0.35">
      <c r="B508" s="8" t="s">
        <v>3282</v>
      </c>
    </row>
    <row r="509" spans="2:2" x14ac:dyDescent="0.35">
      <c r="B509" s="8" t="s">
        <v>1857</v>
      </c>
    </row>
    <row r="510" spans="2:2" x14ac:dyDescent="0.35">
      <c r="B510" s="8" t="s">
        <v>1005</v>
      </c>
    </row>
    <row r="511" spans="2:2" x14ac:dyDescent="0.35">
      <c r="B511" s="8" t="s">
        <v>3306</v>
      </c>
    </row>
    <row r="512" spans="2:2" x14ac:dyDescent="0.35">
      <c r="B512" s="8" t="s">
        <v>3994</v>
      </c>
    </row>
    <row r="513" spans="2:2" x14ac:dyDescent="0.35">
      <c r="B513" s="8" t="s">
        <v>4151</v>
      </c>
    </row>
    <row r="514" spans="2:2" x14ac:dyDescent="0.35">
      <c r="B514" s="8" t="s">
        <v>1647</v>
      </c>
    </row>
    <row r="515" spans="2:2" x14ac:dyDescent="0.35">
      <c r="B515" s="8" t="s">
        <v>3291</v>
      </c>
    </row>
    <row r="516" spans="2:2" x14ac:dyDescent="0.35">
      <c r="B516" s="8" t="s">
        <v>154</v>
      </c>
    </row>
    <row r="517" spans="2:2" x14ac:dyDescent="0.35">
      <c r="B517" s="8" t="s">
        <v>5137</v>
      </c>
    </row>
    <row r="518" spans="2:2" x14ac:dyDescent="0.35">
      <c r="B518" s="8" t="s">
        <v>4153</v>
      </c>
    </row>
    <row r="519" spans="2:2" x14ac:dyDescent="0.35">
      <c r="B519" s="8" t="s">
        <v>1651</v>
      </c>
    </row>
    <row r="520" spans="2:2" x14ac:dyDescent="0.35">
      <c r="B520" s="8" t="s">
        <v>1653</v>
      </c>
    </row>
    <row r="521" spans="2:2" x14ac:dyDescent="0.35">
      <c r="B521" s="8" t="s">
        <v>3996</v>
      </c>
    </row>
    <row r="522" spans="2:2" x14ac:dyDescent="0.35">
      <c r="B522" s="8" t="s">
        <v>297</v>
      </c>
    </row>
    <row r="523" spans="2:2" x14ac:dyDescent="0.35">
      <c r="B523" s="8" t="s">
        <v>4824</v>
      </c>
    </row>
    <row r="524" spans="2:2" x14ac:dyDescent="0.35">
      <c r="B524" s="8" t="s">
        <v>5401</v>
      </c>
    </row>
    <row r="525" spans="2:2" x14ac:dyDescent="0.35">
      <c r="B525" s="8" t="s">
        <v>3803</v>
      </c>
    </row>
    <row r="526" spans="2:2" x14ac:dyDescent="0.35">
      <c r="B526" s="8" t="s">
        <v>1359</v>
      </c>
    </row>
    <row r="527" spans="2:2" x14ac:dyDescent="0.35">
      <c r="B527" s="8" t="s">
        <v>5139</v>
      </c>
    </row>
    <row r="528" spans="2:2" x14ac:dyDescent="0.35">
      <c r="B528" s="8" t="s">
        <v>4437</v>
      </c>
    </row>
    <row r="529" spans="2:2" x14ac:dyDescent="0.35">
      <c r="B529" s="8" t="s">
        <v>303</v>
      </c>
    </row>
    <row r="530" spans="2:2" x14ac:dyDescent="0.35">
      <c r="B530" s="8" t="s">
        <v>230</v>
      </c>
    </row>
    <row r="531" spans="2:2" x14ac:dyDescent="0.35">
      <c r="B531" s="8" t="s">
        <v>668</v>
      </c>
    </row>
    <row r="532" spans="2:2" x14ac:dyDescent="0.35">
      <c r="B532" s="8" t="s">
        <v>5010</v>
      </c>
    </row>
    <row r="533" spans="2:2" x14ac:dyDescent="0.35">
      <c r="B533" s="8" t="s">
        <v>1216</v>
      </c>
    </row>
    <row r="534" spans="2:2" x14ac:dyDescent="0.35">
      <c r="B534" s="8" t="s">
        <v>3766</v>
      </c>
    </row>
    <row r="535" spans="2:2" x14ac:dyDescent="0.35">
      <c r="B535" s="8" t="s">
        <v>4361</v>
      </c>
    </row>
    <row r="536" spans="2:2" x14ac:dyDescent="0.35">
      <c r="B536" s="8" t="s">
        <v>670</v>
      </c>
    </row>
    <row r="537" spans="2:2" x14ac:dyDescent="0.35">
      <c r="B537" s="8" t="s">
        <v>5090</v>
      </c>
    </row>
    <row r="538" spans="2:2" x14ac:dyDescent="0.35">
      <c r="B538" s="8" t="s">
        <v>1228</v>
      </c>
    </row>
    <row r="539" spans="2:2" x14ac:dyDescent="0.35">
      <c r="B539" s="8" t="s">
        <v>4832</v>
      </c>
    </row>
    <row r="540" spans="2:2" x14ac:dyDescent="0.35">
      <c r="B540" s="8" t="s">
        <v>1264</v>
      </c>
    </row>
    <row r="541" spans="2:2" x14ac:dyDescent="0.35">
      <c r="B541" s="8" t="s">
        <v>3322</v>
      </c>
    </row>
    <row r="542" spans="2:2" x14ac:dyDescent="0.35">
      <c r="B542" s="8" t="s">
        <v>1266</v>
      </c>
    </row>
    <row r="543" spans="2:2" x14ac:dyDescent="0.35">
      <c r="B543" s="8" t="s">
        <v>672</v>
      </c>
    </row>
    <row r="544" spans="2:2" x14ac:dyDescent="0.35">
      <c r="B544" s="8" t="s">
        <v>1229</v>
      </c>
    </row>
    <row r="545" spans="2:2" x14ac:dyDescent="0.35">
      <c r="B545" s="8" t="s">
        <v>5481</v>
      </c>
    </row>
    <row r="546" spans="2:2" x14ac:dyDescent="0.35">
      <c r="B546" s="8" t="s">
        <v>2011</v>
      </c>
    </row>
    <row r="547" spans="2:2" x14ac:dyDescent="0.35">
      <c r="B547" s="8" t="s">
        <v>1734</v>
      </c>
    </row>
    <row r="548" spans="2:2" x14ac:dyDescent="0.35">
      <c r="B548" s="8" t="s">
        <v>2660</v>
      </c>
    </row>
    <row r="549" spans="2:2" x14ac:dyDescent="0.35">
      <c r="B549" s="8" t="s">
        <v>3885</v>
      </c>
    </row>
    <row r="550" spans="2:2" x14ac:dyDescent="0.35">
      <c r="B550" s="8" t="s">
        <v>4750</v>
      </c>
    </row>
    <row r="551" spans="2:2" x14ac:dyDescent="0.35">
      <c r="B551" s="8" t="s">
        <v>562</v>
      </c>
    </row>
    <row r="552" spans="2:2" x14ac:dyDescent="0.35">
      <c r="B552" s="8" t="s">
        <v>564</v>
      </c>
    </row>
    <row r="553" spans="2:2" x14ac:dyDescent="0.35">
      <c r="B553" s="8" t="s">
        <v>4165</v>
      </c>
    </row>
    <row r="554" spans="2:2" x14ac:dyDescent="0.35">
      <c r="B554" s="8" t="s">
        <v>5223</v>
      </c>
    </row>
    <row r="555" spans="2:2" x14ac:dyDescent="0.35">
      <c r="B555" s="8" t="s">
        <v>1461</v>
      </c>
    </row>
    <row r="556" spans="2:2" x14ac:dyDescent="0.35">
      <c r="B556" s="8" t="s">
        <v>1746</v>
      </c>
    </row>
    <row r="557" spans="2:2" x14ac:dyDescent="0.35">
      <c r="B557" s="8" t="s">
        <v>5143</v>
      </c>
    </row>
    <row r="558" spans="2:2" x14ac:dyDescent="0.35">
      <c r="B558" s="8" t="s">
        <v>1011</v>
      </c>
    </row>
    <row r="559" spans="2:2" x14ac:dyDescent="0.35">
      <c r="B559" s="8" t="s">
        <v>1013</v>
      </c>
    </row>
    <row r="560" spans="2:2" x14ac:dyDescent="0.35">
      <c r="B560" s="8" t="s">
        <v>3011</v>
      </c>
    </row>
    <row r="561" spans="2:2" x14ac:dyDescent="0.35">
      <c r="B561" s="8" t="s">
        <v>4169</v>
      </c>
    </row>
    <row r="562" spans="2:2" x14ac:dyDescent="0.35">
      <c r="B562" s="8" t="s">
        <v>291</v>
      </c>
    </row>
    <row r="563" spans="2:2" x14ac:dyDescent="0.35">
      <c r="B563" s="8" t="s">
        <v>4171</v>
      </c>
    </row>
    <row r="564" spans="2:2" x14ac:dyDescent="0.35">
      <c r="B564" s="8" t="s">
        <v>2183</v>
      </c>
    </row>
    <row r="565" spans="2:2" x14ac:dyDescent="0.35">
      <c r="B565" s="8" t="s">
        <v>3886</v>
      </c>
    </row>
    <row r="566" spans="2:2" x14ac:dyDescent="0.35">
      <c r="B566" s="8" t="s">
        <v>3278</v>
      </c>
    </row>
    <row r="567" spans="2:2" x14ac:dyDescent="0.35">
      <c r="B567" s="8" t="s">
        <v>3310</v>
      </c>
    </row>
    <row r="568" spans="2:2" x14ac:dyDescent="0.35">
      <c r="B568" s="8" t="s">
        <v>1967</v>
      </c>
    </row>
    <row r="569" spans="2:2" x14ac:dyDescent="0.35">
      <c r="B569" s="8" t="s">
        <v>674</v>
      </c>
    </row>
    <row r="570" spans="2:2" x14ac:dyDescent="0.35">
      <c r="B570" s="8" t="s">
        <v>3997</v>
      </c>
    </row>
    <row r="571" spans="2:2" x14ac:dyDescent="0.35">
      <c r="B571" s="8" t="s">
        <v>1218</v>
      </c>
    </row>
    <row r="572" spans="2:2" x14ac:dyDescent="0.35">
      <c r="B572" s="8" t="s">
        <v>1015</v>
      </c>
    </row>
    <row r="573" spans="2:2" x14ac:dyDescent="0.35">
      <c r="B573" s="8" t="s">
        <v>859</v>
      </c>
    </row>
    <row r="574" spans="2:2" x14ac:dyDescent="0.35">
      <c r="B574" s="8" t="s">
        <v>4261</v>
      </c>
    </row>
    <row r="575" spans="2:2" x14ac:dyDescent="0.35">
      <c r="B575" s="8" t="s">
        <v>2580</v>
      </c>
    </row>
    <row r="576" spans="2:2" x14ac:dyDescent="0.35">
      <c r="B576" s="8" t="s">
        <v>5615</v>
      </c>
    </row>
    <row r="577" spans="2:2" x14ac:dyDescent="0.35">
      <c r="B577" s="8" t="s">
        <v>733</v>
      </c>
    </row>
    <row r="578" spans="2:2" x14ac:dyDescent="0.35">
      <c r="B578" s="8" t="s">
        <v>5306</v>
      </c>
    </row>
    <row r="579" spans="2:2" x14ac:dyDescent="0.35">
      <c r="B579" s="8" t="s">
        <v>3675</v>
      </c>
    </row>
    <row r="580" spans="2:2" x14ac:dyDescent="0.35">
      <c r="B580" s="8" t="s">
        <v>5619</v>
      </c>
    </row>
    <row r="581" spans="2:2" x14ac:dyDescent="0.35">
      <c r="B581" s="8" t="s">
        <v>4173</v>
      </c>
    </row>
    <row r="582" spans="2:2" x14ac:dyDescent="0.35">
      <c r="B582" s="8" t="s">
        <v>2294</v>
      </c>
    </row>
    <row r="583" spans="2:2" x14ac:dyDescent="0.35">
      <c r="B583" s="8" t="s">
        <v>4259</v>
      </c>
    </row>
    <row r="584" spans="2:2" x14ac:dyDescent="0.35">
      <c r="B584" s="8" t="s">
        <v>2620</v>
      </c>
    </row>
    <row r="585" spans="2:2" x14ac:dyDescent="0.35">
      <c r="B585" s="8" t="s">
        <v>4001</v>
      </c>
    </row>
    <row r="586" spans="2:2" x14ac:dyDescent="0.35">
      <c r="B586" s="8" t="s">
        <v>3314</v>
      </c>
    </row>
    <row r="587" spans="2:2" x14ac:dyDescent="0.35">
      <c r="B587" s="8" t="s">
        <v>1661</v>
      </c>
    </row>
    <row r="588" spans="2:2" x14ac:dyDescent="0.35">
      <c r="B588" s="8" t="s">
        <v>5485</v>
      </c>
    </row>
    <row r="589" spans="2:2" x14ac:dyDescent="0.35">
      <c r="B589" s="8" t="s">
        <v>2324</v>
      </c>
    </row>
    <row r="590" spans="2:2" x14ac:dyDescent="0.35">
      <c r="B590" s="8" t="s">
        <v>1075</v>
      </c>
    </row>
    <row r="591" spans="2:2" x14ac:dyDescent="0.35">
      <c r="B591" s="8" t="s">
        <v>2879</v>
      </c>
    </row>
    <row r="592" spans="2:2" x14ac:dyDescent="0.35">
      <c r="B592" s="8" t="s">
        <v>4183</v>
      </c>
    </row>
    <row r="593" spans="2:2" x14ac:dyDescent="0.35">
      <c r="B593" s="8" t="s">
        <v>3286</v>
      </c>
    </row>
    <row r="594" spans="2:2" x14ac:dyDescent="0.35">
      <c r="B594" s="8" t="s">
        <v>5308</v>
      </c>
    </row>
    <row r="595" spans="2:2" x14ac:dyDescent="0.35">
      <c r="B595" s="8" t="s">
        <v>3444</v>
      </c>
    </row>
    <row r="596" spans="2:2" x14ac:dyDescent="0.35">
      <c r="B596" s="8" t="s">
        <v>1077</v>
      </c>
    </row>
    <row r="597" spans="2:2" x14ac:dyDescent="0.35">
      <c r="B597" s="8" t="s">
        <v>5487</v>
      </c>
    </row>
    <row r="598" spans="2:2" x14ac:dyDescent="0.35">
      <c r="B598" s="8" t="s">
        <v>1060</v>
      </c>
    </row>
    <row r="599" spans="2:2" x14ac:dyDescent="0.35">
      <c r="B599" s="8" t="s">
        <v>5147</v>
      </c>
    </row>
    <row r="600" spans="2:2" x14ac:dyDescent="0.35">
      <c r="B600" s="8" t="s">
        <v>4456</v>
      </c>
    </row>
    <row r="601" spans="2:2" x14ac:dyDescent="0.35">
      <c r="B601" s="8" t="s">
        <v>741</v>
      </c>
    </row>
    <row r="602" spans="2:2" x14ac:dyDescent="0.35">
      <c r="B602" s="8" t="s">
        <v>1237</v>
      </c>
    </row>
    <row r="603" spans="2:2" x14ac:dyDescent="0.35">
      <c r="B603" s="8" t="s">
        <v>69</v>
      </c>
    </row>
    <row r="604" spans="2:2" x14ac:dyDescent="0.35">
      <c r="B604" s="8" t="s">
        <v>4460</v>
      </c>
    </row>
    <row r="605" spans="2:2" x14ac:dyDescent="0.35">
      <c r="B605" s="8" t="s">
        <v>2300</v>
      </c>
    </row>
    <row r="606" spans="2:2" x14ac:dyDescent="0.35">
      <c r="B606" s="8" t="s">
        <v>45</v>
      </c>
    </row>
    <row r="607" spans="2:2" x14ac:dyDescent="0.35">
      <c r="B607" s="8" t="s">
        <v>743</v>
      </c>
    </row>
    <row r="608" spans="2:2" x14ac:dyDescent="0.35">
      <c r="B608" s="8" t="s">
        <v>569</v>
      </c>
    </row>
    <row r="609" spans="2:2" x14ac:dyDescent="0.35">
      <c r="B609" s="8" t="s">
        <v>1023</v>
      </c>
    </row>
    <row r="610" spans="2:2" x14ac:dyDescent="0.35">
      <c r="B610" s="8" t="s">
        <v>2019</v>
      </c>
    </row>
    <row r="611" spans="2:2" x14ac:dyDescent="0.35">
      <c r="B611" s="8" t="s">
        <v>5491</v>
      </c>
    </row>
    <row r="612" spans="2:2" x14ac:dyDescent="0.35">
      <c r="B612" s="8" t="s">
        <v>1220</v>
      </c>
    </row>
    <row r="613" spans="2:2" x14ac:dyDescent="0.35">
      <c r="B613" s="8" t="s">
        <v>2574</v>
      </c>
    </row>
    <row r="614" spans="2:2" x14ac:dyDescent="0.35">
      <c r="B614" s="8" t="s">
        <v>5289</v>
      </c>
    </row>
    <row r="615" spans="2:2" x14ac:dyDescent="0.35">
      <c r="B615" s="8" t="s">
        <v>3407</v>
      </c>
    </row>
    <row r="616" spans="2:2" x14ac:dyDescent="0.35">
      <c r="B616" s="8" t="s">
        <v>5231</v>
      </c>
    </row>
    <row r="617" spans="2:2" x14ac:dyDescent="0.35">
      <c r="B617" s="8" t="s">
        <v>2630</v>
      </c>
    </row>
    <row r="618" spans="2:2" x14ac:dyDescent="0.35">
      <c r="B618" s="8" t="s">
        <v>5495</v>
      </c>
    </row>
    <row r="619" spans="2:2" x14ac:dyDescent="0.35">
      <c r="B619" s="8" t="s">
        <v>5497</v>
      </c>
    </row>
    <row r="620" spans="2:2" x14ac:dyDescent="0.35">
      <c r="B620" s="8" t="s">
        <v>661</v>
      </c>
    </row>
    <row r="621" spans="2:2" x14ac:dyDescent="0.35">
      <c r="B621" s="8" t="s">
        <v>4758</v>
      </c>
    </row>
    <row r="622" spans="2:2" x14ac:dyDescent="0.35">
      <c r="B622" s="8" t="s">
        <v>3349</v>
      </c>
    </row>
    <row r="623" spans="2:2" x14ac:dyDescent="0.35">
      <c r="B623" s="8" t="s">
        <v>2943</v>
      </c>
    </row>
    <row r="624" spans="2:2" x14ac:dyDescent="0.35">
      <c r="B624" s="8" t="s">
        <v>1241</v>
      </c>
    </row>
    <row r="625" spans="2:2" x14ac:dyDescent="0.35">
      <c r="B625" s="8" t="s">
        <v>4141</v>
      </c>
    </row>
    <row r="626" spans="2:2" x14ac:dyDescent="0.35">
      <c r="B626" s="8" t="s">
        <v>2120</v>
      </c>
    </row>
    <row r="627" spans="2:2" x14ac:dyDescent="0.35">
      <c r="B627" s="8" t="s">
        <v>3318</v>
      </c>
    </row>
    <row r="628" spans="2:2" x14ac:dyDescent="0.35">
      <c r="B628" s="8" t="s">
        <v>2305</v>
      </c>
    </row>
    <row r="629" spans="2:2" x14ac:dyDescent="0.35">
      <c r="B629" s="8" t="s">
        <v>5500</v>
      </c>
    </row>
    <row r="630" spans="2:2" x14ac:dyDescent="0.35">
      <c r="B630" s="8" t="s">
        <v>4191</v>
      </c>
    </row>
    <row r="631" spans="2:2" x14ac:dyDescent="0.35">
      <c r="B631" s="8" t="s">
        <v>1243</v>
      </c>
    </row>
    <row r="632" spans="2:2" x14ac:dyDescent="0.35">
      <c r="B632" s="8" t="s">
        <v>1475</v>
      </c>
    </row>
    <row r="633" spans="2:2" x14ac:dyDescent="0.35">
      <c r="B633" s="8" t="s">
        <v>2664</v>
      </c>
    </row>
    <row r="634" spans="2:2" x14ac:dyDescent="0.35">
      <c r="B634" s="8" t="s">
        <v>2026</v>
      </c>
    </row>
    <row r="635" spans="2:2" x14ac:dyDescent="0.35">
      <c r="B635" s="8" t="s">
        <v>4267</v>
      </c>
    </row>
    <row r="636" spans="2:2" x14ac:dyDescent="0.35">
      <c r="B636" s="8" t="s">
        <v>2307</v>
      </c>
    </row>
    <row r="637" spans="2:2" x14ac:dyDescent="0.35">
      <c r="B637" s="8" t="s">
        <v>4468</v>
      </c>
    </row>
    <row r="638" spans="2:2" x14ac:dyDescent="0.35">
      <c r="B638" s="8" t="s">
        <v>3335</v>
      </c>
    </row>
    <row r="639" spans="2:2" x14ac:dyDescent="0.35">
      <c r="B639" s="8" t="s">
        <v>239</v>
      </c>
    </row>
    <row r="640" spans="2:2" x14ac:dyDescent="0.35">
      <c r="B640" s="8" t="s">
        <v>3409</v>
      </c>
    </row>
    <row r="641" spans="2:2" x14ac:dyDescent="0.35">
      <c r="B641" s="8" t="s">
        <v>2134</v>
      </c>
    </row>
    <row r="642" spans="2:2" x14ac:dyDescent="0.35">
      <c r="B642" s="8" t="s">
        <v>556</v>
      </c>
    </row>
    <row r="643" spans="2:2" x14ac:dyDescent="0.35">
      <c r="B643" s="8" t="s">
        <v>3683</v>
      </c>
    </row>
    <row r="644" spans="2:2" x14ac:dyDescent="0.35">
      <c r="B644" s="8" t="s">
        <v>1028</v>
      </c>
    </row>
    <row r="645" spans="2:2" x14ac:dyDescent="0.35">
      <c r="B645" s="8" t="s">
        <v>2803</v>
      </c>
    </row>
    <row r="646" spans="2:2" x14ac:dyDescent="0.35">
      <c r="B646" s="8" t="s">
        <v>541</v>
      </c>
    </row>
    <row r="647" spans="2:2" x14ac:dyDescent="0.35">
      <c r="B647" s="8" t="s">
        <v>2311</v>
      </c>
    </row>
    <row r="648" spans="2:2" x14ac:dyDescent="0.35">
      <c r="B648" s="8" t="s">
        <v>241</v>
      </c>
    </row>
    <row r="649" spans="2:2" x14ac:dyDescent="0.35">
      <c r="B649" s="8" t="s">
        <v>4842</v>
      </c>
    </row>
    <row r="650" spans="2:2" x14ac:dyDescent="0.35">
      <c r="B650" s="8" t="s">
        <v>3320</v>
      </c>
    </row>
    <row r="651" spans="2:2" x14ac:dyDescent="0.35">
      <c r="B651" s="8" t="s">
        <v>2897</v>
      </c>
    </row>
    <row r="652" spans="2:2" x14ac:dyDescent="0.35">
      <c r="B652" s="8" t="s">
        <v>3448</v>
      </c>
    </row>
    <row r="653" spans="2:2" x14ac:dyDescent="0.35">
      <c r="B653" s="8" t="s">
        <v>686</v>
      </c>
    </row>
    <row r="654" spans="2:2" x14ac:dyDescent="0.35">
      <c r="B654" s="8" t="s">
        <v>4273</v>
      </c>
    </row>
    <row r="655" spans="2:2" x14ac:dyDescent="0.35">
      <c r="B655" s="8" t="s">
        <v>3346</v>
      </c>
    </row>
    <row r="656" spans="2:2" x14ac:dyDescent="0.35">
      <c r="B656" s="8" t="s">
        <v>4883</v>
      </c>
    </row>
    <row r="657" spans="2:2" x14ac:dyDescent="0.35">
      <c r="B657" s="8" t="s">
        <v>98</v>
      </c>
    </row>
    <row r="658" spans="2:2" x14ac:dyDescent="0.35">
      <c r="B658" s="8" t="s">
        <v>2170</v>
      </c>
    </row>
    <row r="659" spans="2:2" x14ac:dyDescent="0.35">
      <c r="B659" s="8" t="s">
        <v>1098</v>
      </c>
    </row>
    <row r="660" spans="2:2" x14ac:dyDescent="0.35">
      <c r="B660" s="8" t="s">
        <v>1399</v>
      </c>
    </row>
    <row r="661" spans="2:2" x14ac:dyDescent="0.35">
      <c r="B661" s="8" t="s">
        <v>3709</v>
      </c>
    </row>
    <row r="662" spans="2:2" x14ac:dyDescent="0.35">
      <c r="B662" s="8" t="s">
        <v>4846</v>
      </c>
    </row>
    <row r="663" spans="2:2" x14ac:dyDescent="0.35">
      <c r="B663" s="8" t="s">
        <v>199</v>
      </c>
    </row>
    <row r="664" spans="2:2" x14ac:dyDescent="0.35">
      <c r="B664" s="8" t="s">
        <v>2342</v>
      </c>
    </row>
    <row r="665" spans="2:2" x14ac:dyDescent="0.35">
      <c r="B665" s="8" t="s">
        <v>431</v>
      </c>
    </row>
    <row r="666" spans="2:2" x14ac:dyDescent="0.35">
      <c r="B666" s="8" t="s">
        <v>2350</v>
      </c>
    </row>
    <row r="667" spans="2:2" x14ac:dyDescent="0.35">
      <c r="B667" s="8" t="s">
        <v>2544</v>
      </c>
    </row>
    <row r="668" spans="2:2" x14ac:dyDescent="0.35">
      <c r="B668" s="8" t="s">
        <v>5330</v>
      </c>
    </row>
    <row r="669" spans="2:2" x14ac:dyDescent="0.35">
      <c r="B669" s="8" t="s">
        <v>3492</v>
      </c>
    </row>
    <row r="670" spans="2:2" x14ac:dyDescent="0.35">
      <c r="B670" s="8" t="s">
        <v>3466</v>
      </c>
    </row>
    <row r="671" spans="2:2" x14ac:dyDescent="0.35">
      <c r="B671" s="8" t="s">
        <v>1401</v>
      </c>
    </row>
    <row r="672" spans="2:2" x14ac:dyDescent="0.35">
      <c r="B672" s="8" t="s">
        <v>3139</v>
      </c>
    </row>
    <row r="673" spans="2:2" x14ac:dyDescent="0.35">
      <c r="B673" s="8" t="s">
        <v>5516</v>
      </c>
    </row>
    <row r="674" spans="2:2" x14ac:dyDescent="0.35">
      <c r="B674" s="8" t="s">
        <v>5336</v>
      </c>
    </row>
    <row r="675" spans="2:2" x14ac:dyDescent="0.35">
      <c r="B675" s="8" t="s">
        <v>5565</v>
      </c>
    </row>
    <row r="676" spans="2:2" x14ac:dyDescent="0.35">
      <c r="B676" s="8" t="s">
        <v>4523</v>
      </c>
    </row>
    <row r="677" spans="2:2" x14ac:dyDescent="0.35">
      <c r="B677" s="8" t="s">
        <v>4773</v>
      </c>
    </row>
    <row r="678" spans="2:2" x14ac:dyDescent="0.35">
      <c r="B678" s="8" t="s">
        <v>4677</v>
      </c>
    </row>
    <row r="679" spans="2:2" x14ac:dyDescent="0.35">
      <c r="B679" s="8" t="s">
        <v>3869</v>
      </c>
    </row>
    <row r="680" spans="2:2" x14ac:dyDescent="0.35">
      <c r="B680" s="8" t="s">
        <v>4098</v>
      </c>
    </row>
    <row r="681" spans="2:2" x14ac:dyDescent="0.35">
      <c r="B681" s="8" t="s">
        <v>1562</v>
      </c>
    </row>
    <row r="682" spans="2:2" x14ac:dyDescent="0.35">
      <c r="B682" s="8" t="s">
        <v>1884</v>
      </c>
    </row>
    <row r="683" spans="2:2" x14ac:dyDescent="0.35">
      <c r="B683" s="8" t="s">
        <v>3693</v>
      </c>
    </row>
    <row r="684" spans="2:2" x14ac:dyDescent="0.35">
      <c r="B684" s="8" t="s">
        <v>5294</v>
      </c>
    </row>
    <row r="685" spans="2:2" x14ac:dyDescent="0.35">
      <c r="B685" s="8" t="s">
        <v>378</v>
      </c>
    </row>
    <row r="686" spans="2:2" x14ac:dyDescent="0.35">
      <c r="B686" s="8" t="s">
        <v>993</v>
      </c>
    </row>
    <row r="687" spans="2:2" x14ac:dyDescent="0.35">
      <c r="B687" s="8" t="s">
        <v>2930</v>
      </c>
    </row>
    <row r="688" spans="2:2" x14ac:dyDescent="0.35">
      <c r="B688" s="8" t="s">
        <v>4985</v>
      </c>
    </row>
    <row r="689" spans="2:2" x14ac:dyDescent="0.35">
      <c r="B689" s="8" t="s">
        <v>535</v>
      </c>
    </row>
    <row r="690" spans="2:2" x14ac:dyDescent="0.35">
      <c r="B690" s="8" t="s">
        <v>5073</v>
      </c>
    </row>
    <row r="691" spans="2:2" x14ac:dyDescent="0.35">
      <c r="B691" s="8" t="s">
        <v>4403</v>
      </c>
    </row>
    <row r="692" spans="2:2" x14ac:dyDescent="0.35">
      <c r="B692" s="8" t="s">
        <v>4736</v>
      </c>
    </row>
    <row r="693" spans="2:2" x14ac:dyDescent="0.35">
      <c r="B693" s="8" t="s">
        <v>5385</v>
      </c>
    </row>
    <row r="694" spans="2:2" x14ac:dyDescent="0.35">
      <c r="B694" s="8" t="s">
        <v>4255</v>
      </c>
    </row>
    <row r="695" spans="2:2" x14ac:dyDescent="0.35">
      <c r="B695" s="8" t="s">
        <v>3106</v>
      </c>
    </row>
    <row r="696" spans="2:2" x14ac:dyDescent="0.35">
      <c r="B696" s="8" t="s">
        <v>5127</v>
      </c>
    </row>
    <row r="697" spans="2:2" x14ac:dyDescent="0.35">
      <c r="B697" s="8" t="s">
        <v>3986</v>
      </c>
    </row>
    <row r="698" spans="2:2" x14ac:dyDescent="0.35">
      <c r="B698" s="8" t="s">
        <v>4391</v>
      </c>
    </row>
    <row r="699" spans="2:2" x14ac:dyDescent="0.35">
      <c r="B699" s="8" t="s">
        <v>1994</v>
      </c>
    </row>
    <row r="700" spans="2:2" x14ac:dyDescent="0.35">
      <c r="B700" s="8" t="s">
        <v>4924</v>
      </c>
    </row>
    <row r="701" spans="2:2" x14ac:dyDescent="0.35">
      <c r="B701" s="8" t="s">
        <v>3933</v>
      </c>
    </row>
    <row r="702" spans="2:2" x14ac:dyDescent="0.35">
      <c r="B702" s="8" t="s">
        <v>984</v>
      </c>
    </row>
    <row r="703" spans="2:2" x14ac:dyDescent="0.35">
      <c r="B703" s="8" t="s">
        <v>3537</v>
      </c>
    </row>
    <row r="704" spans="2:2" x14ac:dyDescent="0.35">
      <c r="B704" s="8" t="s">
        <v>537</v>
      </c>
    </row>
    <row r="705" spans="2:2" x14ac:dyDescent="0.35">
      <c r="B705" s="8" t="s">
        <v>4643</v>
      </c>
    </row>
    <row r="706" spans="2:2" x14ac:dyDescent="0.35">
      <c r="B706" s="8" t="s">
        <v>337</v>
      </c>
    </row>
    <row r="707" spans="2:2" x14ac:dyDescent="0.35">
      <c r="B707" s="8" t="s">
        <v>5571</v>
      </c>
    </row>
    <row r="708" spans="2:2" x14ac:dyDescent="0.35">
      <c r="B708" s="8" t="s">
        <v>4515</v>
      </c>
    </row>
    <row r="709" spans="2:2" x14ac:dyDescent="0.35">
      <c r="B709" s="8" t="s">
        <v>1872</v>
      </c>
    </row>
    <row r="710" spans="2:2" x14ac:dyDescent="0.35">
      <c r="B710" s="8" t="s">
        <v>3462</v>
      </c>
    </row>
    <row r="711" spans="2:2" x14ac:dyDescent="0.35">
      <c r="B711" s="8" t="s">
        <v>1912</v>
      </c>
    </row>
    <row r="712" spans="2:2" x14ac:dyDescent="0.35">
      <c r="B712" s="8" t="s">
        <v>5340</v>
      </c>
    </row>
    <row r="713" spans="2:2" x14ac:dyDescent="0.35">
      <c r="B713" s="8" t="s">
        <v>3138</v>
      </c>
    </row>
    <row r="714" spans="2:2" x14ac:dyDescent="0.35">
      <c r="B714" s="8" t="s">
        <v>2602</v>
      </c>
    </row>
    <row r="715" spans="2:2" x14ac:dyDescent="0.35">
      <c r="B715" s="8" t="s">
        <v>3645</v>
      </c>
    </row>
    <row r="716" spans="2:2" x14ac:dyDescent="0.35">
      <c r="B716" s="8" t="s">
        <v>5342</v>
      </c>
    </row>
    <row r="717" spans="2:2" x14ac:dyDescent="0.35">
      <c r="B717" s="8" t="s">
        <v>2819</v>
      </c>
    </row>
    <row r="718" spans="2:2" x14ac:dyDescent="0.35">
      <c r="B718" s="8" t="s">
        <v>414</v>
      </c>
    </row>
    <row r="719" spans="2:2" x14ac:dyDescent="0.35">
      <c r="B719" s="8" t="s">
        <v>3248</v>
      </c>
    </row>
    <row r="720" spans="2:2" x14ac:dyDescent="0.35">
      <c r="B720" s="8" t="s">
        <v>4019</v>
      </c>
    </row>
    <row r="721" spans="2:2" x14ac:dyDescent="0.35">
      <c r="B721" s="8" t="s">
        <v>158</v>
      </c>
    </row>
    <row r="722" spans="2:2" x14ac:dyDescent="0.35">
      <c r="B722" s="8" t="s">
        <v>5024</v>
      </c>
    </row>
    <row r="723" spans="2:2" x14ac:dyDescent="0.35">
      <c r="B723" s="8" t="s">
        <v>2674</v>
      </c>
    </row>
    <row r="724" spans="2:2" x14ac:dyDescent="0.35">
      <c r="B724" s="8" t="s">
        <v>2670</v>
      </c>
    </row>
    <row r="725" spans="2:2" x14ac:dyDescent="0.35">
      <c r="B725" s="8" t="s">
        <v>4311</v>
      </c>
    </row>
    <row r="726" spans="2:2" x14ac:dyDescent="0.35">
      <c r="B726" s="8" t="s">
        <v>276</v>
      </c>
    </row>
    <row r="727" spans="2:2" x14ac:dyDescent="0.35">
      <c r="B727" s="8" t="s">
        <v>4503</v>
      </c>
    </row>
    <row r="728" spans="2:2" x14ac:dyDescent="0.35">
      <c r="B728" s="8" t="s">
        <v>3837</v>
      </c>
    </row>
    <row r="729" spans="2:2" x14ac:dyDescent="0.35">
      <c r="B729" s="8" t="s">
        <v>3342</v>
      </c>
    </row>
    <row r="730" spans="2:2" x14ac:dyDescent="0.35">
      <c r="B730" s="8" t="s">
        <v>1287</v>
      </c>
    </row>
    <row r="731" spans="2:2" x14ac:dyDescent="0.35">
      <c r="B731" s="8" t="s">
        <v>935</v>
      </c>
    </row>
    <row r="732" spans="2:2" x14ac:dyDescent="0.35">
      <c r="B732" s="8" t="s">
        <v>5022</v>
      </c>
    </row>
    <row r="733" spans="2:2" x14ac:dyDescent="0.35">
      <c r="B733" s="8" t="s">
        <v>887</v>
      </c>
    </row>
    <row r="734" spans="2:2" x14ac:dyDescent="0.35">
      <c r="B734" s="8" t="s">
        <v>4086</v>
      </c>
    </row>
    <row r="735" spans="2:2" x14ac:dyDescent="0.35">
      <c r="B735" s="8" t="s">
        <v>3823</v>
      </c>
    </row>
    <row r="736" spans="2:2" x14ac:dyDescent="0.35">
      <c r="B736" s="8" t="s">
        <v>428</v>
      </c>
    </row>
    <row r="737" spans="2:2" x14ac:dyDescent="0.35">
      <c r="B737" s="8" t="s">
        <v>2346</v>
      </c>
    </row>
    <row r="738" spans="2:2" x14ac:dyDescent="0.35">
      <c r="B738" s="8" t="s">
        <v>1289</v>
      </c>
    </row>
    <row r="739" spans="2:2" x14ac:dyDescent="0.35">
      <c r="B739" s="8" t="s">
        <v>2200</v>
      </c>
    </row>
    <row r="740" spans="2:2" x14ac:dyDescent="0.35">
      <c r="B740" s="8" t="s">
        <v>2435</v>
      </c>
    </row>
    <row r="741" spans="2:2" x14ac:dyDescent="0.35">
      <c r="B741" s="8" t="s">
        <v>3825</v>
      </c>
    </row>
    <row r="742" spans="2:2" x14ac:dyDescent="0.35">
      <c r="B742" s="8" t="s">
        <v>3055</v>
      </c>
    </row>
    <row r="743" spans="2:2" x14ac:dyDescent="0.35">
      <c r="B743" s="8" t="s">
        <v>4596</v>
      </c>
    </row>
    <row r="744" spans="2:2" x14ac:dyDescent="0.35">
      <c r="B744" s="8" t="s">
        <v>4594</v>
      </c>
    </row>
    <row r="745" spans="2:2" x14ac:dyDescent="0.35">
      <c r="B745" s="8" t="s">
        <v>2459</v>
      </c>
    </row>
    <row r="746" spans="2:2" x14ac:dyDescent="0.35">
      <c r="B746" s="8" t="s">
        <v>3685</v>
      </c>
    </row>
    <row r="747" spans="2:2" x14ac:dyDescent="0.35">
      <c r="B747" s="8" t="s">
        <v>469</v>
      </c>
    </row>
    <row r="748" spans="2:2" x14ac:dyDescent="0.35">
      <c r="B748" s="8" t="s">
        <v>4513</v>
      </c>
    </row>
    <row r="749" spans="2:2" x14ac:dyDescent="0.35">
      <c r="B749" s="8" t="s">
        <v>2946</v>
      </c>
    </row>
    <row r="750" spans="2:2" x14ac:dyDescent="0.35">
      <c r="B750" s="8" t="s">
        <v>2044</v>
      </c>
    </row>
    <row r="751" spans="2:2" x14ac:dyDescent="0.35">
      <c r="B751" s="8" t="s">
        <v>1704</v>
      </c>
    </row>
    <row r="752" spans="2:2" x14ac:dyDescent="0.35">
      <c r="B752" s="8" t="s">
        <v>2202</v>
      </c>
    </row>
    <row r="753" spans="2:2" x14ac:dyDescent="0.35">
      <c r="B753" s="8" t="s">
        <v>5563</v>
      </c>
    </row>
    <row r="754" spans="2:2" x14ac:dyDescent="0.35">
      <c r="B754" s="8" t="s">
        <v>2948</v>
      </c>
    </row>
    <row r="755" spans="2:2" x14ac:dyDescent="0.35">
      <c r="B755" s="8" t="s">
        <v>364</v>
      </c>
    </row>
    <row r="756" spans="2:2" x14ac:dyDescent="0.35">
      <c r="B756" s="8" t="s">
        <v>4517</v>
      </c>
    </row>
    <row r="757" spans="2:2" x14ac:dyDescent="0.35">
      <c r="B757" s="8" t="s">
        <v>2066</v>
      </c>
    </row>
    <row r="758" spans="2:2" x14ac:dyDescent="0.35">
      <c r="B758" s="8" t="s">
        <v>2473</v>
      </c>
    </row>
    <row r="759" spans="2:2" x14ac:dyDescent="0.35">
      <c r="B759" s="8" t="s">
        <v>2152</v>
      </c>
    </row>
    <row r="760" spans="2:2" x14ac:dyDescent="0.35">
      <c r="B760" s="8" t="s">
        <v>433</v>
      </c>
    </row>
    <row r="761" spans="2:2" x14ac:dyDescent="0.35">
      <c r="B761" s="8" t="s">
        <v>2686</v>
      </c>
    </row>
    <row r="762" spans="2:2" x14ac:dyDescent="0.35">
      <c r="B762" s="8" t="s">
        <v>3691</v>
      </c>
    </row>
    <row r="763" spans="2:2" x14ac:dyDescent="0.35">
      <c r="B763" s="8" t="s">
        <v>899</v>
      </c>
    </row>
    <row r="764" spans="2:2" x14ac:dyDescent="0.35">
      <c r="B764" s="8" t="s">
        <v>901</v>
      </c>
    </row>
    <row r="765" spans="2:2" x14ac:dyDescent="0.35">
      <c r="B765" s="8" t="s">
        <v>3468</v>
      </c>
    </row>
    <row r="766" spans="2:2" x14ac:dyDescent="0.35">
      <c r="B766" s="8" t="s">
        <v>2356</v>
      </c>
    </row>
    <row r="767" spans="2:2" x14ac:dyDescent="0.35">
      <c r="B767" s="8" t="s">
        <v>3734</v>
      </c>
    </row>
    <row r="768" spans="2:2" x14ac:dyDescent="0.35">
      <c r="B768" s="8" t="s">
        <v>3143</v>
      </c>
    </row>
    <row r="769" spans="2:2" x14ac:dyDescent="0.35">
      <c r="B769" s="8" t="s">
        <v>435</v>
      </c>
    </row>
    <row r="770" spans="2:2" x14ac:dyDescent="0.35">
      <c r="B770" s="8" t="s">
        <v>3141</v>
      </c>
    </row>
    <row r="771" spans="2:2" x14ac:dyDescent="0.35">
      <c r="B771" s="8" t="s">
        <v>4604</v>
      </c>
    </row>
    <row r="772" spans="2:2" x14ac:dyDescent="0.35">
      <c r="B772" s="8" t="s">
        <v>1125</v>
      </c>
    </row>
    <row r="773" spans="2:2" x14ac:dyDescent="0.35">
      <c r="B773" s="8" t="s">
        <v>1829</v>
      </c>
    </row>
    <row r="774" spans="2:2" x14ac:dyDescent="0.35">
      <c r="B774" s="8" t="s">
        <v>1710</v>
      </c>
    </row>
    <row r="775" spans="2:2" x14ac:dyDescent="0.35">
      <c r="B775" s="8" t="s">
        <v>2953</v>
      </c>
    </row>
    <row r="776" spans="2:2" x14ac:dyDescent="0.35">
      <c r="B776" s="8" t="s">
        <v>2367</v>
      </c>
    </row>
    <row r="777" spans="2:2" x14ac:dyDescent="0.35">
      <c r="B777" s="8" t="s">
        <v>937</v>
      </c>
    </row>
    <row r="778" spans="2:2" x14ac:dyDescent="0.35">
      <c r="B778" s="8" t="s">
        <v>2977</v>
      </c>
    </row>
    <row r="779" spans="2:2" x14ac:dyDescent="0.35">
      <c r="B779" s="8" t="s">
        <v>1882</v>
      </c>
    </row>
    <row r="780" spans="2:2" x14ac:dyDescent="0.35">
      <c r="B780" s="8" t="s">
        <v>5165</v>
      </c>
    </row>
    <row r="781" spans="2:2" x14ac:dyDescent="0.35">
      <c r="B781" s="8" t="s">
        <v>5527</v>
      </c>
    </row>
    <row r="782" spans="2:2" x14ac:dyDescent="0.35">
      <c r="B782" s="8" t="s">
        <v>4764</v>
      </c>
    </row>
    <row r="783" spans="2:2" x14ac:dyDescent="0.35">
      <c r="B783" s="8" t="s">
        <v>3927</v>
      </c>
    </row>
    <row r="784" spans="2:2" x14ac:dyDescent="0.35">
      <c r="B784" s="8" t="s">
        <v>4472</v>
      </c>
    </row>
    <row r="785" spans="2:2" x14ac:dyDescent="0.35">
      <c r="B785" s="8" t="s">
        <v>4705</v>
      </c>
    </row>
    <row r="786" spans="2:2" x14ac:dyDescent="0.35">
      <c r="B786" s="8" t="s">
        <v>3072</v>
      </c>
    </row>
    <row r="787" spans="2:2" x14ac:dyDescent="0.35">
      <c r="B787" s="8" t="s">
        <v>4204</v>
      </c>
    </row>
    <row r="788" spans="2:2" x14ac:dyDescent="0.35">
      <c r="B788" s="8" t="s">
        <v>2449</v>
      </c>
    </row>
    <row r="789" spans="2:2" x14ac:dyDescent="0.35">
      <c r="B789" s="8" t="s">
        <v>2144</v>
      </c>
    </row>
    <row r="790" spans="2:2" x14ac:dyDescent="0.35">
      <c r="B790" s="8" t="s">
        <v>396</v>
      </c>
    </row>
    <row r="791" spans="2:2" x14ac:dyDescent="0.35">
      <c r="B791" s="8" t="s">
        <v>3413</v>
      </c>
    </row>
    <row r="792" spans="2:2" x14ac:dyDescent="0.35">
      <c r="B792" s="8" t="s">
        <v>772</v>
      </c>
    </row>
    <row r="793" spans="2:2" x14ac:dyDescent="0.35">
      <c r="B793" s="8" t="s">
        <v>2513</v>
      </c>
    </row>
    <row r="794" spans="2:2" x14ac:dyDescent="0.35">
      <c r="B794" s="8" t="s">
        <v>264</v>
      </c>
    </row>
    <row r="795" spans="2:2" x14ac:dyDescent="0.35">
      <c r="B795" s="8" t="s">
        <v>5664</v>
      </c>
    </row>
    <row r="796" spans="2:2" x14ac:dyDescent="0.35">
      <c r="B796" s="8" t="s">
        <v>5026</v>
      </c>
    </row>
    <row r="797" spans="2:2" x14ac:dyDescent="0.35">
      <c r="B797" s="8" t="s">
        <v>1186</v>
      </c>
    </row>
    <row r="798" spans="2:2" x14ac:dyDescent="0.35">
      <c r="B798" s="8" t="s">
        <v>212</v>
      </c>
    </row>
    <row r="799" spans="2:2" x14ac:dyDescent="0.35">
      <c r="B799" s="8" t="s">
        <v>5027</v>
      </c>
    </row>
    <row r="800" spans="2:2" x14ac:dyDescent="0.35">
      <c r="B800" s="8" t="s">
        <v>5427</v>
      </c>
    </row>
    <row r="801" spans="2:2" x14ac:dyDescent="0.35">
      <c r="B801" s="8" t="s">
        <v>4879</v>
      </c>
    </row>
    <row r="802" spans="2:2" x14ac:dyDescent="0.35">
      <c r="B802" s="8" t="s">
        <v>5029</v>
      </c>
    </row>
    <row r="803" spans="2:2" x14ac:dyDescent="0.35">
      <c r="B803" s="8" t="s">
        <v>4299</v>
      </c>
    </row>
    <row r="804" spans="2:2" x14ac:dyDescent="0.35">
      <c r="B804" s="8" t="s">
        <v>4009</v>
      </c>
    </row>
    <row r="805" spans="2:2" x14ac:dyDescent="0.35">
      <c r="B805" s="8" t="s">
        <v>5031</v>
      </c>
    </row>
    <row r="806" spans="2:2" x14ac:dyDescent="0.35">
      <c r="B806" s="8" t="s">
        <v>1938</v>
      </c>
    </row>
    <row r="807" spans="2:2" x14ac:dyDescent="0.35">
      <c r="B807" s="8" t="s">
        <v>1147</v>
      </c>
    </row>
    <row r="808" spans="2:2" x14ac:dyDescent="0.35">
      <c r="B808" s="8" t="s">
        <v>820</v>
      </c>
    </row>
    <row r="809" spans="2:2" x14ac:dyDescent="0.35">
      <c r="B809" s="8" t="s">
        <v>4395</v>
      </c>
    </row>
    <row r="810" spans="2:2" x14ac:dyDescent="0.35">
      <c r="B810" s="8" t="s">
        <v>1374</v>
      </c>
    </row>
    <row r="811" spans="2:2" x14ac:dyDescent="0.35">
      <c r="B811" s="8" t="s">
        <v>559</v>
      </c>
    </row>
    <row r="812" spans="2:2" x14ac:dyDescent="0.35">
      <c r="B812" s="8" t="s">
        <v>410</v>
      </c>
    </row>
    <row r="813" spans="2:2" x14ac:dyDescent="0.35">
      <c r="B813" s="8" t="s">
        <v>3736</v>
      </c>
    </row>
    <row r="814" spans="2:2" x14ac:dyDescent="0.35">
      <c r="B814" s="8" t="s">
        <v>511</v>
      </c>
    </row>
    <row r="815" spans="2:2" x14ac:dyDescent="0.35">
      <c r="B815" s="8" t="s">
        <v>3110</v>
      </c>
    </row>
    <row r="816" spans="2:2" x14ac:dyDescent="0.35">
      <c r="B816" s="8" t="s">
        <v>2600</v>
      </c>
    </row>
    <row r="817" spans="2:2" x14ac:dyDescent="0.35">
      <c r="B817" s="8" t="s">
        <v>3020</v>
      </c>
    </row>
    <row r="818" spans="2:2" x14ac:dyDescent="0.35">
      <c r="B818" s="8" t="s">
        <v>5322</v>
      </c>
    </row>
    <row r="819" spans="2:2" x14ac:dyDescent="0.35">
      <c r="B819" s="8" t="s">
        <v>92</v>
      </c>
    </row>
    <row r="820" spans="2:2" x14ac:dyDescent="0.35">
      <c r="B820" s="8" t="s">
        <v>5361</v>
      </c>
    </row>
    <row r="821" spans="2:2" x14ac:dyDescent="0.35">
      <c r="B821" s="8" t="s">
        <v>2648</v>
      </c>
    </row>
    <row r="822" spans="2:2" x14ac:dyDescent="0.35">
      <c r="B822" s="8" t="s">
        <v>579</v>
      </c>
    </row>
    <row r="823" spans="2:2" x14ac:dyDescent="0.35">
      <c r="B823" s="8" t="s">
        <v>808</v>
      </c>
    </row>
    <row r="824" spans="2:2" x14ac:dyDescent="0.35">
      <c r="B824" s="8" t="s">
        <v>2330</v>
      </c>
    </row>
    <row r="825" spans="2:2" x14ac:dyDescent="0.35">
      <c r="B825" s="8" t="s">
        <v>1687</v>
      </c>
    </row>
    <row r="826" spans="2:2" x14ac:dyDescent="0.35">
      <c r="B826" s="8" t="s">
        <v>1598</v>
      </c>
    </row>
    <row r="827" spans="2:2" x14ac:dyDescent="0.35">
      <c r="B827" s="8" t="s">
        <v>5415</v>
      </c>
    </row>
    <row r="828" spans="2:2" x14ac:dyDescent="0.35">
      <c r="B828" s="8" t="s">
        <v>513</v>
      </c>
    </row>
    <row r="829" spans="2:2" x14ac:dyDescent="0.35">
      <c r="B829" s="8" t="s">
        <v>4301</v>
      </c>
    </row>
    <row r="830" spans="2:2" x14ac:dyDescent="0.35">
      <c r="B830" s="8" t="s">
        <v>121</v>
      </c>
    </row>
    <row r="831" spans="2:2" x14ac:dyDescent="0.35">
      <c r="B831" s="8" t="s">
        <v>3841</v>
      </c>
    </row>
    <row r="832" spans="2:2" x14ac:dyDescent="0.35">
      <c r="B832" s="8" t="s">
        <v>319</v>
      </c>
    </row>
    <row r="833" spans="2:2" x14ac:dyDescent="0.35">
      <c r="B833" s="8" t="s">
        <v>1384</v>
      </c>
    </row>
    <row r="834" spans="2:2" x14ac:dyDescent="0.35">
      <c r="B834" s="8" t="s">
        <v>4017</v>
      </c>
    </row>
    <row r="835" spans="2:2" x14ac:dyDescent="0.35">
      <c r="B835" s="8" t="s">
        <v>2336</v>
      </c>
    </row>
    <row r="836" spans="2:2" x14ac:dyDescent="0.35">
      <c r="B836" s="8" t="s">
        <v>2392</v>
      </c>
    </row>
    <row r="837" spans="2:2" x14ac:dyDescent="0.35">
      <c r="B837" s="8" t="s">
        <v>2917</v>
      </c>
    </row>
    <row r="838" spans="2:2" x14ac:dyDescent="0.35">
      <c r="B838" s="8" t="s">
        <v>1683</v>
      </c>
    </row>
    <row r="839" spans="2:2" x14ac:dyDescent="0.35">
      <c r="B839" s="8" t="s">
        <v>78</v>
      </c>
    </row>
    <row r="840" spans="2:2" x14ac:dyDescent="0.35">
      <c r="B840" s="8" t="s">
        <v>3215</v>
      </c>
    </row>
    <row r="841" spans="2:2" x14ac:dyDescent="0.35">
      <c r="B841" s="8" t="s">
        <v>3552</v>
      </c>
    </row>
    <row r="842" spans="2:2" x14ac:dyDescent="0.35">
      <c r="B842" s="8" t="s">
        <v>1332</v>
      </c>
    </row>
    <row r="843" spans="2:2" x14ac:dyDescent="0.35">
      <c r="B843" s="8" t="s">
        <v>2518</v>
      </c>
    </row>
    <row r="844" spans="2:2" x14ac:dyDescent="0.35">
      <c r="B844" s="8" t="s">
        <v>4789</v>
      </c>
    </row>
    <row r="845" spans="2:2" x14ac:dyDescent="0.35">
      <c r="B845" s="8" t="s">
        <v>4295</v>
      </c>
    </row>
    <row r="846" spans="2:2" x14ac:dyDescent="0.35">
      <c r="B846" s="8" t="s">
        <v>5346</v>
      </c>
    </row>
    <row r="847" spans="2:2" x14ac:dyDescent="0.35">
      <c r="B847" s="8" t="s">
        <v>3361</v>
      </c>
    </row>
    <row r="848" spans="2:2" x14ac:dyDescent="0.35">
      <c r="B848" s="8" t="s">
        <v>515</v>
      </c>
    </row>
    <row r="849" spans="2:2" x14ac:dyDescent="0.35">
      <c r="B849" s="8" t="s">
        <v>946</v>
      </c>
    </row>
    <row r="850" spans="2:2" x14ac:dyDescent="0.35">
      <c r="B850" s="8" t="s">
        <v>2040</v>
      </c>
    </row>
    <row r="851" spans="2:2" x14ac:dyDescent="0.35">
      <c r="B851" s="8" t="s">
        <v>2588</v>
      </c>
    </row>
    <row r="852" spans="2:2" x14ac:dyDescent="0.35">
      <c r="B852" s="8" t="s">
        <v>5241</v>
      </c>
    </row>
    <row r="853" spans="2:2" x14ac:dyDescent="0.35">
      <c r="B853" s="8" t="s">
        <v>1283</v>
      </c>
    </row>
    <row r="854" spans="2:2" x14ac:dyDescent="0.35">
      <c r="B854" s="8" t="s">
        <v>822</v>
      </c>
    </row>
    <row r="855" spans="2:2" x14ac:dyDescent="0.35">
      <c r="B855" s="8" t="s">
        <v>123</v>
      </c>
    </row>
    <row r="856" spans="2:2" x14ac:dyDescent="0.35">
      <c r="B856" s="8" t="s">
        <v>5033</v>
      </c>
    </row>
    <row r="857" spans="2:2" x14ac:dyDescent="0.35">
      <c r="B857" s="8" t="s">
        <v>2156</v>
      </c>
    </row>
    <row r="858" spans="2:2" x14ac:dyDescent="0.35">
      <c r="B858" s="8" t="s">
        <v>1977</v>
      </c>
    </row>
    <row r="859" spans="2:2" x14ac:dyDescent="0.35">
      <c r="B859" s="8" t="s">
        <v>4934</v>
      </c>
    </row>
    <row r="860" spans="2:2" x14ac:dyDescent="0.35">
      <c r="B860" s="8" t="s">
        <v>2254</v>
      </c>
    </row>
    <row r="861" spans="2:2" x14ac:dyDescent="0.35">
      <c r="B861" s="8" t="s">
        <v>3250</v>
      </c>
    </row>
    <row r="862" spans="2:2" x14ac:dyDescent="0.35">
      <c r="B862" s="8" t="s">
        <v>2919</v>
      </c>
    </row>
    <row r="863" spans="2:2" x14ac:dyDescent="0.35">
      <c r="B863" s="8" t="s">
        <v>2520</v>
      </c>
    </row>
    <row r="864" spans="2:2" x14ac:dyDescent="0.35">
      <c r="B864" s="8" t="s">
        <v>1152</v>
      </c>
    </row>
    <row r="865" spans="2:2" x14ac:dyDescent="0.35">
      <c r="B865" s="8" t="s">
        <v>948</v>
      </c>
    </row>
    <row r="866" spans="2:2" x14ac:dyDescent="0.35">
      <c r="B866" s="8" t="s">
        <v>4915</v>
      </c>
    </row>
    <row r="867" spans="2:2" x14ac:dyDescent="0.35">
      <c r="B867" s="8" t="s">
        <v>5363</v>
      </c>
    </row>
    <row r="868" spans="2:2" x14ac:dyDescent="0.35">
      <c r="B868" s="8" t="s">
        <v>4936</v>
      </c>
    </row>
    <row r="869" spans="2:2" x14ac:dyDescent="0.35">
      <c r="B869" s="8" t="s">
        <v>3252</v>
      </c>
    </row>
    <row r="870" spans="2:2" x14ac:dyDescent="0.35">
      <c r="B870" s="8" t="s">
        <v>517</v>
      </c>
    </row>
    <row r="871" spans="2:2" x14ac:dyDescent="0.35">
      <c r="B871" s="8" t="s">
        <v>3420</v>
      </c>
    </row>
    <row r="872" spans="2:2" x14ac:dyDescent="0.35">
      <c r="B872" s="8" t="s">
        <v>2851</v>
      </c>
    </row>
    <row r="873" spans="2:2" x14ac:dyDescent="0.35">
      <c r="B873" s="8" t="s">
        <v>1943</v>
      </c>
    </row>
    <row r="874" spans="2:2" x14ac:dyDescent="0.35">
      <c r="B874" s="8" t="s">
        <v>4305</v>
      </c>
    </row>
    <row r="875" spans="2:2" x14ac:dyDescent="0.35">
      <c r="B875" s="8" t="s">
        <v>774</v>
      </c>
    </row>
    <row r="876" spans="2:2" x14ac:dyDescent="0.35">
      <c r="B876" s="8" t="s">
        <v>3084</v>
      </c>
    </row>
    <row r="877" spans="2:2" x14ac:dyDescent="0.35">
      <c r="B877" s="8" t="s">
        <v>3649</v>
      </c>
    </row>
    <row r="878" spans="2:2" x14ac:dyDescent="0.35">
      <c r="B878" s="8" t="s">
        <v>5195</v>
      </c>
    </row>
    <row r="879" spans="2:2" x14ac:dyDescent="0.35">
      <c r="B879" s="8" t="s">
        <v>4618</v>
      </c>
    </row>
    <row r="880" spans="2:2" x14ac:dyDescent="0.35">
      <c r="B880" s="8" t="s">
        <v>3086</v>
      </c>
    </row>
    <row r="881" spans="2:2" x14ac:dyDescent="0.35">
      <c r="B881" s="8" t="s">
        <v>4411</v>
      </c>
    </row>
    <row r="882" spans="2:2" x14ac:dyDescent="0.35">
      <c r="B882" s="8" t="s">
        <v>1769</v>
      </c>
    </row>
    <row r="883" spans="2:2" x14ac:dyDescent="0.35">
      <c r="B883" s="8" t="s">
        <v>2853</v>
      </c>
    </row>
    <row r="884" spans="2:2" x14ac:dyDescent="0.35">
      <c r="B884" s="8" t="s">
        <v>5055</v>
      </c>
    </row>
    <row r="885" spans="2:2" x14ac:dyDescent="0.35">
      <c r="B885" s="8" t="s">
        <v>2396</v>
      </c>
    </row>
    <row r="886" spans="2:2" x14ac:dyDescent="0.35">
      <c r="B886" s="8" t="s">
        <v>1945</v>
      </c>
    </row>
    <row r="887" spans="2:2" x14ac:dyDescent="0.35">
      <c r="B887" s="8" t="s">
        <v>642</v>
      </c>
    </row>
    <row r="888" spans="2:2" x14ac:dyDescent="0.35">
      <c r="B888" s="8" t="s">
        <v>4121</v>
      </c>
    </row>
    <row r="889" spans="2:2" x14ac:dyDescent="0.35">
      <c r="B889" s="8" t="s">
        <v>4938</v>
      </c>
    </row>
    <row r="890" spans="2:2" x14ac:dyDescent="0.35">
      <c r="B890" s="8" t="s">
        <v>2984</v>
      </c>
    </row>
    <row r="891" spans="2:2" x14ac:dyDescent="0.35">
      <c r="B891" s="8" t="s">
        <v>4307</v>
      </c>
    </row>
    <row r="892" spans="2:2" x14ac:dyDescent="0.35">
      <c r="B892" s="8" t="s">
        <v>1194</v>
      </c>
    </row>
    <row r="893" spans="2:2" x14ac:dyDescent="0.35">
      <c r="B893" s="8" t="s">
        <v>3422</v>
      </c>
    </row>
    <row r="894" spans="2:2" x14ac:dyDescent="0.35">
      <c r="B894" s="8" t="s">
        <v>952</v>
      </c>
    </row>
    <row r="895" spans="2:2" x14ac:dyDescent="0.35">
      <c r="B895" s="8" t="s">
        <v>4139</v>
      </c>
    </row>
    <row r="896" spans="2:2" x14ac:dyDescent="0.35">
      <c r="B896" s="8" t="s">
        <v>646</v>
      </c>
    </row>
    <row r="897" spans="2:2" x14ac:dyDescent="0.35">
      <c r="B897" s="8" t="s">
        <v>4942</v>
      </c>
    </row>
    <row r="898" spans="2:2" x14ac:dyDescent="0.35">
      <c r="B898" s="8" t="s">
        <v>3554</v>
      </c>
    </row>
    <row r="899" spans="2:2" x14ac:dyDescent="0.35">
      <c r="B899" s="8" t="s">
        <v>1334</v>
      </c>
    </row>
    <row r="900" spans="2:2" x14ac:dyDescent="0.35">
      <c r="B900" s="8" t="s">
        <v>3749</v>
      </c>
    </row>
    <row r="901" spans="2:2" x14ac:dyDescent="0.35">
      <c r="B901" s="8" t="s">
        <v>4620</v>
      </c>
    </row>
    <row r="902" spans="2:2" x14ac:dyDescent="0.35">
      <c r="B902" s="8" t="s">
        <v>5057</v>
      </c>
    </row>
    <row r="903" spans="2:2" x14ac:dyDescent="0.35">
      <c r="B903" s="8" t="s">
        <v>824</v>
      </c>
    </row>
    <row r="904" spans="2:2" x14ac:dyDescent="0.35">
      <c r="B904" s="8" t="s">
        <v>2256</v>
      </c>
    </row>
    <row r="905" spans="2:2" x14ac:dyDescent="0.35">
      <c r="B905" s="8" t="s">
        <v>4791</v>
      </c>
    </row>
    <row r="906" spans="2:2" x14ac:dyDescent="0.35">
      <c r="B906" s="8" t="s">
        <v>1979</v>
      </c>
    </row>
    <row r="907" spans="2:2" x14ac:dyDescent="0.35">
      <c r="B907" s="8" t="s">
        <v>4795</v>
      </c>
    </row>
    <row r="908" spans="2:2" x14ac:dyDescent="0.35">
      <c r="B908" s="8" t="s">
        <v>2857</v>
      </c>
    </row>
    <row r="909" spans="2:2" x14ac:dyDescent="0.35">
      <c r="B909" s="8" t="s">
        <v>4231</v>
      </c>
    </row>
    <row r="910" spans="2:2" x14ac:dyDescent="0.35">
      <c r="B910" s="8" t="s">
        <v>3855</v>
      </c>
    </row>
    <row r="911" spans="2:2" x14ac:dyDescent="0.35">
      <c r="B911" s="8" t="s">
        <v>3750</v>
      </c>
    </row>
    <row r="912" spans="2:2" x14ac:dyDescent="0.35">
      <c r="B912" s="8" t="s">
        <v>127</v>
      </c>
    </row>
    <row r="913" spans="2:2" x14ac:dyDescent="0.35">
      <c r="B913" s="8" t="s">
        <v>4628</v>
      </c>
    </row>
    <row r="914" spans="2:2" x14ac:dyDescent="0.35">
      <c r="B914" s="8" t="s">
        <v>5061</v>
      </c>
    </row>
    <row r="915" spans="2:2" x14ac:dyDescent="0.35">
      <c r="B915" s="8" t="s">
        <v>5254</v>
      </c>
    </row>
    <row r="916" spans="2:2" x14ac:dyDescent="0.35">
      <c r="B916" s="8" t="s">
        <v>4125</v>
      </c>
    </row>
    <row r="917" spans="2:2" x14ac:dyDescent="0.35">
      <c r="B917" s="8" t="s">
        <v>5575</v>
      </c>
    </row>
    <row r="918" spans="2:2" x14ac:dyDescent="0.35">
      <c r="B918" s="8" t="s">
        <v>4233</v>
      </c>
    </row>
    <row r="919" spans="2:2" x14ac:dyDescent="0.35">
      <c r="B919" s="8" t="s">
        <v>2986</v>
      </c>
    </row>
    <row r="920" spans="2:2" x14ac:dyDescent="0.35">
      <c r="B920" s="8" t="s">
        <v>1592</v>
      </c>
    </row>
    <row r="921" spans="2:2" x14ac:dyDescent="0.35">
      <c r="B921" s="8" t="s">
        <v>4944</v>
      </c>
    </row>
    <row r="922" spans="2:2" x14ac:dyDescent="0.35">
      <c r="B922" s="8" t="s">
        <v>4946</v>
      </c>
    </row>
    <row r="923" spans="2:2" x14ac:dyDescent="0.35">
      <c r="B923" s="8" t="s">
        <v>4237</v>
      </c>
    </row>
    <row r="924" spans="2:2" x14ac:dyDescent="0.35">
      <c r="B924" s="8" t="s">
        <v>1602</v>
      </c>
    </row>
    <row r="925" spans="2:2" x14ac:dyDescent="0.35">
      <c r="B925" s="8" t="s">
        <v>957</v>
      </c>
    </row>
    <row r="926" spans="2:2" x14ac:dyDescent="0.35">
      <c r="B926" s="8" t="s">
        <v>827</v>
      </c>
    </row>
    <row r="927" spans="2:2" x14ac:dyDescent="0.35">
      <c r="B927" s="8" t="s">
        <v>1433</v>
      </c>
    </row>
    <row r="928" spans="2:2" x14ac:dyDescent="0.35">
      <c r="B928" s="8" t="s">
        <v>3859</v>
      </c>
    </row>
    <row r="929" spans="2:2" x14ac:dyDescent="0.35">
      <c r="B929" s="8" t="s">
        <v>1981</v>
      </c>
    </row>
    <row r="930" spans="2:2" x14ac:dyDescent="0.35">
      <c r="B930" s="8" t="s">
        <v>519</v>
      </c>
    </row>
    <row r="931" spans="2:2" x14ac:dyDescent="0.35">
      <c r="B931" s="8" t="s">
        <v>2095</v>
      </c>
    </row>
    <row r="932" spans="2:2" x14ac:dyDescent="0.35">
      <c r="B932" s="8" t="s">
        <v>1338</v>
      </c>
    </row>
    <row r="933" spans="2:2" x14ac:dyDescent="0.35">
      <c r="B933" s="8" t="s">
        <v>4309</v>
      </c>
    </row>
    <row r="934" spans="2:2" x14ac:dyDescent="0.35">
      <c r="B934" s="8" t="s">
        <v>5367</v>
      </c>
    </row>
    <row r="935" spans="2:2" x14ac:dyDescent="0.35">
      <c r="B935" s="8" t="s">
        <v>2608</v>
      </c>
    </row>
    <row r="936" spans="2:2" x14ac:dyDescent="0.35">
      <c r="B936" s="8" t="s">
        <v>1041</v>
      </c>
    </row>
    <row r="937" spans="2:2" x14ac:dyDescent="0.35">
      <c r="B937" s="8" t="s">
        <v>3711</v>
      </c>
    </row>
    <row r="938" spans="2:2" x14ac:dyDescent="0.35">
      <c r="B938" s="8" t="s">
        <v>4721</v>
      </c>
    </row>
    <row r="939" spans="2:2" x14ac:dyDescent="0.35">
      <c r="B939" s="8" t="s">
        <v>2988</v>
      </c>
    </row>
    <row r="940" spans="2:2" x14ac:dyDescent="0.35">
      <c r="B940" s="8" t="s">
        <v>3258</v>
      </c>
    </row>
    <row r="941" spans="2:2" x14ac:dyDescent="0.35">
      <c r="B941" s="8" t="s">
        <v>3090</v>
      </c>
    </row>
    <row r="942" spans="2:2" x14ac:dyDescent="0.35">
      <c r="B942" s="8" t="s">
        <v>5200</v>
      </c>
    </row>
    <row r="943" spans="2:2" x14ac:dyDescent="0.35">
      <c r="B943" s="8" t="s">
        <v>166</v>
      </c>
    </row>
    <row r="944" spans="2:2" x14ac:dyDescent="0.35">
      <c r="B944" s="8" t="s">
        <v>4954</v>
      </c>
    </row>
    <row r="945" spans="2:2" x14ac:dyDescent="0.35">
      <c r="B945" s="8" t="s">
        <v>637</v>
      </c>
    </row>
    <row r="946" spans="2:2" x14ac:dyDescent="0.35">
      <c r="B946" s="8" t="s">
        <v>3092</v>
      </c>
    </row>
    <row r="947" spans="2:2" x14ac:dyDescent="0.35">
      <c r="B947" s="8" t="s">
        <v>1950</v>
      </c>
    </row>
    <row r="948" spans="2:2" x14ac:dyDescent="0.35">
      <c r="B948" s="8" t="s">
        <v>5041</v>
      </c>
    </row>
    <row r="949" spans="2:2" x14ac:dyDescent="0.35">
      <c r="B949" s="8" t="s">
        <v>961</v>
      </c>
    </row>
    <row r="950" spans="2:2" x14ac:dyDescent="0.35">
      <c r="B950" s="8" t="s">
        <v>4224</v>
      </c>
    </row>
    <row r="951" spans="2:2" x14ac:dyDescent="0.35">
      <c r="B951" s="8" t="s">
        <v>4029</v>
      </c>
    </row>
    <row r="952" spans="2:2" x14ac:dyDescent="0.35">
      <c r="B952" s="8" t="s">
        <v>3976</v>
      </c>
    </row>
    <row r="953" spans="2:2" x14ac:dyDescent="0.35">
      <c r="B953" s="8" t="s">
        <v>2990</v>
      </c>
    </row>
    <row r="954" spans="2:2" x14ac:dyDescent="0.35">
      <c r="B954" s="8" t="s">
        <v>1427</v>
      </c>
    </row>
    <row r="955" spans="2:2" x14ac:dyDescent="0.35">
      <c r="B955" s="8" t="s">
        <v>4799</v>
      </c>
    </row>
    <row r="956" spans="2:2" x14ac:dyDescent="0.35">
      <c r="B956" s="8" t="s">
        <v>4958</v>
      </c>
    </row>
    <row r="957" spans="2:2" x14ac:dyDescent="0.35">
      <c r="B957" s="8" t="s">
        <v>2610</v>
      </c>
    </row>
    <row r="958" spans="2:2" x14ac:dyDescent="0.35">
      <c r="B958" s="8" t="s">
        <v>5065</v>
      </c>
    </row>
    <row r="959" spans="2:2" x14ac:dyDescent="0.35">
      <c r="B959" s="8" t="s">
        <v>4419</v>
      </c>
    </row>
    <row r="960" spans="2:2" x14ac:dyDescent="0.35">
      <c r="B960" s="8" t="s">
        <v>1043</v>
      </c>
    </row>
    <row r="961" spans="2:2" x14ac:dyDescent="0.35">
      <c r="B961" s="8" t="s">
        <v>1812</v>
      </c>
    </row>
    <row r="962" spans="2:2" x14ac:dyDescent="0.35">
      <c r="B962" s="8" t="s">
        <v>1724</v>
      </c>
    </row>
    <row r="963" spans="2:2" x14ac:dyDescent="0.35">
      <c r="B963" s="8" t="s">
        <v>4317</v>
      </c>
    </row>
    <row r="964" spans="2:2" x14ac:dyDescent="0.35">
      <c r="B964" s="8" t="s">
        <v>4962</v>
      </c>
    </row>
    <row r="965" spans="2:2" x14ac:dyDescent="0.35">
      <c r="B965" s="8" t="s">
        <v>5442</v>
      </c>
    </row>
    <row r="966" spans="2:2" x14ac:dyDescent="0.35">
      <c r="B966" s="8" t="s">
        <v>1609</v>
      </c>
    </row>
    <row r="967" spans="2:2" x14ac:dyDescent="0.35">
      <c r="B967" s="8" t="s">
        <v>2409</v>
      </c>
    </row>
    <row r="968" spans="2:2" x14ac:dyDescent="0.35">
      <c r="B968" s="8" t="s">
        <v>5674</v>
      </c>
    </row>
    <row r="969" spans="2:2" x14ac:dyDescent="0.35">
      <c r="B969" s="8" t="s">
        <v>1196</v>
      </c>
    </row>
    <row r="970" spans="2:2" x14ac:dyDescent="0.35">
      <c r="B970" s="8" t="s">
        <v>4964</v>
      </c>
    </row>
    <row r="971" spans="2:2" x14ac:dyDescent="0.35">
      <c r="B971" s="8" t="s">
        <v>1160</v>
      </c>
    </row>
    <row r="972" spans="2:2" x14ac:dyDescent="0.35">
      <c r="B972" s="8" t="s">
        <v>4033</v>
      </c>
    </row>
    <row r="973" spans="2:2" x14ac:dyDescent="0.35">
      <c r="B973" s="8" t="s">
        <v>1162</v>
      </c>
    </row>
    <row r="974" spans="2:2" x14ac:dyDescent="0.35">
      <c r="B974" s="8" t="s">
        <v>2411</v>
      </c>
    </row>
    <row r="975" spans="2:2" x14ac:dyDescent="0.35">
      <c r="B975" s="8" t="s">
        <v>3533</v>
      </c>
    </row>
    <row r="976" spans="2:2" x14ac:dyDescent="0.35">
      <c r="B976" s="8" t="s">
        <v>5698</v>
      </c>
    </row>
    <row r="977" spans="2:2" x14ac:dyDescent="0.35">
      <c r="B977" s="8" t="s">
        <v>2147</v>
      </c>
    </row>
    <row r="978" spans="2:2" x14ac:dyDescent="0.35">
      <c r="B978" s="8" t="s">
        <v>2592</v>
      </c>
    </row>
    <row r="979" spans="2:2" x14ac:dyDescent="0.35">
      <c r="B979" s="8" t="s">
        <v>4572</v>
      </c>
    </row>
    <row r="980" spans="2:2" x14ac:dyDescent="0.35">
      <c r="B980" s="8" t="s">
        <v>3556</v>
      </c>
    </row>
    <row r="981" spans="2:2" x14ac:dyDescent="0.35">
      <c r="B981" s="8" t="s">
        <v>1702</v>
      </c>
    </row>
    <row r="982" spans="2:2" x14ac:dyDescent="0.35">
      <c r="B982" s="8" t="s">
        <v>1868</v>
      </c>
    </row>
    <row r="983" spans="2:2" x14ac:dyDescent="0.35">
      <c r="B983" s="8" t="s">
        <v>1254</v>
      </c>
    </row>
    <row r="984" spans="2:2" x14ac:dyDescent="0.35">
      <c r="B984" s="8" t="s">
        <v>2619</v>
      </c>
    </row>
    <row r="985" spans="2:2" x14ac:dyDescent="0.35">
      <c r="B985" s="8" t="s">
        <v>4346</v>
      </c>
    </row>
    <row r="986" spans="2:2" x14ac:dyDescent="0.35">
      <c r="B986" s="8" t="s">
        <v>1959</v>
      </c>
    </row>
    <row r="987" spans="2:2" x14ac:dyDescent="0.35">
      <c r="B987" s="8" t="s">
        <v>986</v>
      </c>
    </row>
    <row r="988" spans="2:2" x14ac:dyDescent="0.35">
      <c r="B988" s="8" t="s">
        <v>2106</v>
      </c>
    </row>
    <row r="989" spans="2:2" x14ac:dyDescent="0.35">
      <c r="B989" s="8" t="s">
        <v>5352</v>
      </c>
    </row>
    <row r="990" spans="2:2" x14ac:dyDescent="0.35">
      <c r="B990" s="8" t="s">
        <v>698</v>
      </c>
    </row>
    <row r="991" spans="2:2" x14ac:dyDescent="0.35">
      <c r="B991" s="8" t="s">
        <v>2979</v>
      </c>
    </row>
    <row r="992" spans="2:2" x14ac:dyDescent="0.35">
      <c r="B992" s="8" t="s">
        <v>5405</v>
      </c>
    </row>
    <row r="993" spans="2:2" x14ac:dyDescent="0.35">
      <c r="B993" s="8" t="s">
        <v>11389</v>
      </c>
    </row>
  </sheetData>
  <pageMargins left="0.7" right="0.7" top="0.75" bottom="0.75" header="0.3" footer="0.3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00063-DC11-4E9B-9C02-7CF881D39AD2}">
  <sheetPr>
    <tabColor rgb="FFFFFF00"/>
  </sheetPr>
  <dimension ref="B2:G955"/>
  <sheetViews>
    <sheetView workbookViewId="0">
      <selection activeCell="G11" sqref="G11"/>
    </sheetView>
  </sheetViews>
  <sheetFormatPr baseColWidth="10" defaultRowHeight="14.5" x14ac:dyDescent="0.35"/>
  <cols>
    <col min="2" max="2" width="17.6328125" bestFit="1" customWidth="1"/>
    <col min="3" max="3" width="19.36328125" bestFit="1" customWidth="1"/>
    <col min="7" max="7" width="9.81640625" customWidth="1"/>
  </cols>
  <sheetData>
    <row r="2" spans="2:7" x14ac:dyDescent="0.35">
      <c r="B2" s="9" t="s">
        <v>5719</v>
      </c>
      <c r="C2" s="9"/>
      <c r="D2" s="9"/>
      <c r="E2" s="9"/>
      <c r="G2" s="9" t="s">
        <v>11396</v>
      </c>
    </row>
    <row r="3" spans="2:7" x14ac:dyDescent="0.35">
      <c r="B3" s="9" t="s">
        <v>8690</v>
      </c>
      <c r="C3" s="9"/>
      <c r="D3" s="9"/>
      <c r="E3" s="9"/>
    </row>
    <row r="4" spans="2:7" x14ac:dyDescent="0.35">
      <c r="B4" s="9" t="s">
        <v>11395</v>
      </c>
      <c r="C4" s="9"/>
      <c r="D4" s="9"/>
      <c r="E4" s="9"/>
    </row>
    <row r="6" spans="2:7" x14ac:dyDescent="0.35">
      <c r="B6" s="7" t="s">
        <v>2</v>
      </c>
      <c r="C6" t="s">
        <v>11393</v>
      </c>
    </row>
    <row r="8" spans="2:7" x14ac:dyDescent="0.35">
      <c r="B8" s="7" t="s">
        <v>11388</v>
      </c>
    </row>
    <row r="9" spans="2:7" x14ac:dyDescent="0.35">
      <c r="B9" s="8" t="s">
        <v>5707</v>
      </c>
    </row>
    <row r="10" spans="2:7" x14ac:dyDescent="0.35">
      <c r="B10" s="8" t="s">
        <v>5702</v>
      </c>
    </row>
    <row r="11" spans="2:7" x14ac:dyDescent="0.35">
      <c r="B11" s="8" t="s">
        <v>4602</v>
      </c>
    </row>
    <row r="12" spans="2:7" x14ac:dyDescent="0.35">
      <c r="B12" s="8" t="s">
        <v>5705</v>
      </c>
    </row>
    <row r="13" spans="2:7" x14ac:dyDescent="0.35">
      <c r="B13" s="8" t="s">
        <v>5703</v>
      </c>
    </row>
    <row r="14" spans="2:7" x14ac:dyDescent="0.35">
      <c r="B14" s="8" t="s">
        <v>3521</v>
      </c>
    </row>
    <row r="15" spans="2:7" x14ac:dyDescent="0.35">
      <c r="B15" s="8" t="s">
        <v>263</v>
      </c>
    </row>
    <row r="16" spans="2:7" x14ac:dyDescent="0.35">
      <c r="B16" s="8" t="s">
        <v>751</v>
      </c>
    </row>
    <row r="17" spans="2:2" x14ac:dyDescent="0.35">
      <c r="B17" s="8" t="s">
        <v>3782</v>
      </c>
    </row>
    <row r="18" spans="2:2" x14ac:dyDescent="0.35">
      <c r="B18" s="8" t="s">
        <v>3892</v>
      </c>
    </row>
    <row r="19" spans="2:2" x14ac:dyDescent="0.35">
      <c r="B19" s="8" t="s">
        <v>1079</v>
      </c>
    </row>
    <row r="20" spans="2:2" x14ac:dyDescent="0.35">
      <c r="B20" s="8" t="s">
        <v>408</v>
      </c>
    </row>
    <row r="21" spans="2:2" x14ac:dyDescent="0.35">
      <c r="B21" s="8" t="s">
        <v>1671</v>
      </c>
    </row>
    <row r="22" spans="2:2" x14ac:dyDescent="0.35">
      <c r="B22" s="8" t="s">
        <v>2578</v>
      </c>
    </row>
    <row r="23" spans="2:2" x14ac:dyDescent="0.35">
      <c r="B23" s="8" t="s">
        <v>1673</v>
      </c>
    </row>
    <row r="24" spans="2:2" x14ac:dyDescent="0.35">
      <c r="B24" s="8" t="s">
        <v>1681</v>
      </c>
    </row>
    <row r="25" spans="2:2" x14ac:dyDescent="0.35">
      <c r="B25" s="8" t="s">
        <v>557</v>
      </c>
    </row>
    <row r="26" spans="2:2" x14ac:dyDescent="0.35">
      <c r="B26" s="8" t="s">
        <v>2668</v>
      </c>
    </row>
    <row r="27" spans="2:2" x14ac:dyDescent="0.35">
      <c r="B27" s="8" t="s">
        <v>1481</v>
      </c>
    </row>
    <row r="28" spans="2:2" x14ac:dyDescent="0.35">
      <c r="B28" s="8" t="s">
        <v>5421</v>
      </c>
    </row>
    <row r="29" spans="2:2" x14ac:dyDescent="0.35">
      <c r="B29" s="8" t="s">
        <v>2691</v>
      </c>
    </row>
    <row r="30" spans="2:2" x14ac:dyDescent="0.35">
      <c r="B30" s="8" t="s">
        <v>2961</v>
      </c>
    </row>
    <row r="31" spans="2:2" x14ac:dyDescent="0.35">
      <c r="B31" s="8" t="s">
        <v>3199</v>
      </c>
    </row>
    <row r="32" spans="2:2" x14ac:dyDescent="0.35">
      <c r="B32" s="8" t="s">
        <v>2763</v>
      </c>
    </row>
    <row r="33" spans="2:2" x14ac:dyDescent="0.35">
      <c r="B33" s="8" t="s">
        <v>2503</v>
      </c>
    </row>
    <row r="34" spans="2:2" x14ac:dyDescent="0.35">
      <c r="B34" s="8" t="s">
        <v>2695</v>
      </c>
    </row>
    <row r="35" spans="2:2" x14ac:dyDescent="0.35">
      <c r="B35" s="8" t="s">
        <v>1528</v>
      </c>
    </row>
    <row r="36" spans="2:2" x14ac:dyDescent="0.35">
      <c r="B36" s="8" t="s">
        <v>3045</v>
      </c>
    </row>
    <row r="37" spans="2:2" x14ac:dyDescent="0.35">
      <c r="B37" s="8" t="s">
        <v>3049</v>
      </c>
    </row>
    <row r="38" spans="2:2" x14ac:dyDescent="0.35">
      <c r="B38" s="8" t="s">
        <v>1321</v>
      </c>
    </row>
    <row r="39" spans="2:2" x14ac:dyDescent="0.35">
      <c r="B39" s="8" t="s">
        <v>5506</v>
      </c>
    </row>
    <row r="40" spans="2:2" x14ac:dyDescent="0.35">
      <c r="B40" s="8" t="s">
        <v>3488</v>
      </c>
    </row>
    <row r="41" spans="2:2" x14ac:dyDescent="0.35">
      <c r="B41" s="8" t="s">
        <v>4075</v>
      </c>
    </row>
    <row r="42" spans="2:2" x14ac:dyDescent="0.35">
      <c r="B42" s="8" t="s">
        <v>49</v>
      </c>
    </row>
    <row r="43" spans="2:2" x14ac:dyDescent="0.35">
      <c r="B43" s="8" t="s">
        <v>1853</v>
      </c>
    </row>
    <row r="44" spans="2:2" x14ac:dyDescent="0.35">
      <c r="B44" s="8" t="s">
        <v>4632</v>
      </c>
    </row>
    <row r="45" spans="2:2" x14ac:dyDescent="0.35">
      <c r="B45" s="8" t="s">
        <v>2889</v>
      </c>
    </row>
    <row r="46" spans="2:2" x14ac:dyDescent="0.35">
      <c r="B46" s="8" t="s">
        <v>3411</v>
      </c>
    </row>
    <row r="47" spans="2:2" x14ac:dyDescent="0.35">
      <c r="B47" s="8" t="s">
        <v>3450</v>
      </c>
    </row>
    <row r="48" spans="2:2" x14ac:dyDescent="0.35">
      <c r="B48" s="8" t="s">
        <v>1250</v>
      </c>
    </row>
    <row r="49" spans="2:2" x14ac:dyDescent="0.35">
      <c r="B49" s="8" t="s">
        <v>55</v>
      </c>
    </row>
    <row r="50" spans="2:2" x14ac:dyDescent="0.35">
      <c r="B50" s="8" t="s">
        <v>247</v>
      </c>
    </row>
    <row r="51" spans="2:2" x14ac:dyDescent="0.35">
      <c r="B51" s="8" t="s">
        <v>2317</v>
      </c>
    </row>
    <row r="52" spans="2:2" x14ac:dyDescent="0.35">
      <c r="B52" s="8" t="s">
        <v>60</v>
      </c>
    </row>
    <row r="53" spans="2:2" x14ac:dyDescent="0.35">
      <c r="B53" s="8" t="s">
        <v>1081</v>
      </c>
    </row>
    <row r="54" spans="2:2" x14ac:dyDescent="0.35">
      <c r="B54" s="8" t="s">
        <v>3894</v>
      </c>
    </row>
    <row r="55" spans="2:2" x14ac:dyDescent="0.35">
      <c r="B55" s="8" t="s">
        <v>4760</v>
      </c>
    </row>
    <row r="56" spans="2:2" x14ac:dyDescent="0.35">
      <c r="B56" s="8" t="s">
        <v>62</v>
      </c>
    </row>
    <row r="57" spans="2:2" x14ac:dyDescent="0.35">
      <c r="B57" s="8" t="s">
        <v>869</v>
      </c>
    </row>
    <row r="58" spans="2:2" x14ac:dyDescent="0.35">
      <c r="B58" s="8" t="s">
        <v>3784</v>
      </c>
    </row>
    <row r="59" spans="2:2" x14ac:dyDescent="0.35">
      <c r="B59" s="8" t="s">
        <v>871</v>
      </c>
    </row>
    <row r="60" spans="2:2" x14ac:dyDescent="0.35">
      <c r="B60" s="8" t="s">
        <v>2891</v>
      </c>
    </row>
    <row r="61" spans="2:2" x14ac:dyDescent="0.35">
      <c r="B61" s="8" t="s">
        <v>2895</v>
      </c>
    </row>
    <row r="62" spans="2:2" x14ac:dyDescent="0.35">
      <c r="B62" s="8" t="s">
        <v>2140</v>
      </c>
    </row>
    <row r="63" spans="2:2" x14ac:dyDescent="0.35">
      <c r="B63" s="8" t="s">
        <v>2320</v>
      </c>
    </row>
    <row r="64" spans="2:2" x14ac:dyDescent="0.35">
      <c r="B64" s="8" t="s">
        <v>3896</v>
      </c>
    </row>
    <row r="65" spans="2:2" x14ac:dyDescent="0.35">
      <c r="B65" s="8" t="s">
        <v>4320</v>
      </c>
    </row>
    <row r="66" spans="2:2" x14ac:dyDescent="0.35">
      <c r="B66" s="8" t="s">
        <v>3657</v>
      </c>
    </row>
    <row r="67" spans="2:2" x14ac:dyDescent="0.35">
      <c r="B67" s="8" t="s">
        <v>2905</v>
      </c>
    </row>
    <row r="68" spans="2:2" x14ac:dyDescent="0.35">
      <c r="B68" s="8" t="s">
        <v>4650</v>
      </c>
    </row>
    <row r="69" spans="2:2" x14ac:dyDescent="0.35">
      <c r="B69" s="8" t="s">
        <v>332</v>
      </c>
    </row>
    <row r="70" spans="2:2" x14ac:dyDescent="0.35">
      <c r="B70" s="8" t="s">
        <v>1284</v>
      </c>
    </row>
    <row r="71" spans="2:2" x14ac:dyDescent="0.35">
      <c r="B71" s="8" t="s">
        <v>4421</v>
      </c>
    </row>
    <row r="72" spans="2:2" x14ac:dyDescent="0.35">
      <c r="B72" s="8" t="s">
        <v>1170</v>
      </c>
    </row>
    <row r="73" spans="2:2" x14ac:dyDescent="0.35">
      <c r="B73" s="8" t="s">
        <v>2821</v>
      </c>
    </row>
    <row r="74" spans="2:2" x14ac:dyDescent="0.35">
      <c r="B74" s="8" t="s">
        <v>2676</v>
      </c>
    </row>
    <row r="75" spans="2:2" x14ac:dyDescent="0.35">
      <c r="B75" s="8" t="s">
        <v>1611</v>
      </c>
    </row>
    <row r="76" spans="2:2" x14ac:dyDescent="0.35">
      <c r="B76" s="8" t="s">
        <v>2029</v>
      </c>
    </row>
    <row r="77" spans="2:2" x14ac:dyDescent="0.35">
      <c r="B77" s="8" t="s">
        <v>284</v>
      </c>
    </row>
    <row r="78" spans="2:2" x14ac:dyDescent="0.35">
      <c r="B78" s="8" t="s">
        <v>4968</v>
      </c>
    </row>
    <row r="79" spans="2:2" x14ac:dyDescent="0.35">
      <c r="B79" s="8" t="s">
        <v>1695</v>
      </c>
    </row>
    <row r="80" spans="2:2" x14ac:dyDescent="0.35">
      <c r="B80" s="8" t="s">
        <v>3819</v>
      </c>
    </row>
    <row r="81" spans="2:2" x14ac:dyDescent="0.35">
      <c r="B81" s="8" t="s">
        <v>5684</v>
      </c>
    </row>
    <row r="82" spans="2:2" x14ac:dyDescent="0.35">
      <c r="B82" s="8" t="s">
        <v>2904</v>
      </c>
    </row>
    <row r="83" spans="2:2" x14ac:dyDescent="0.35">
      <c r="B83" s="8" t="s">
        <v>2926</v>
      </c>
    </row>
    <row r="84" spans="2:2" x14ac:dyDescent="0.35">
      <c r="B84" s="8" t="s">
        <v>4393</v>
      </c>
    </row>
    <row r="85" spans="2:2" x14ac:dyDescent="0.35">
      <c r="B85" s="8" t="s">
        <v>5417</v>
      </c>
    </row>
    <row r="86" spans="2:2" x14ac:dyDescent="0.35">
      <c r="B86" s="8" t="s">
        <v>2654</v>
      </c>
    </row>
    <row r="87" spans="2:2" x14ac:dyDescent="0.35">
      <c r="B87" s="8" t="s">
        <v>3546</v>
      </c>
    </row>
    <row r="88" spans="2:2" x14ac:dyDescent="0.35">
      <c r="B88" s="8" t="s">
        <v>4733</v>
      </c>
    </row>
    <row r="89" spans="2:2" x14ac:dyDescent="0.35">
      <c r="B89" s="8" t="s">
        <v>4326</v>
      </c>
    </row>
    <row r="90" spans="2:2" x14ac:dyDescent="0.35">
      <c r="B90" s="8" t="s">
        <v>5267</v>
      </c>
    </row>
    <row r="91" spans="2:2" x14ac:dyDescent="0.35">
      <c r="B91" s="8" t="s">
        <v>531</v>
      </c>
    </row>
    <row r="92" spans="2:2" x14ac:dyDescent="0.35">
      <c r="B92" s="8" t="s">
        <v>1781</v>
      </c>
    </row>
    <row r="93" spans="2:2" x14ac:dyDescent="0.35">
      <c r="B93" s="8" t="s">
        <v>4047</v>
      </c>
    </row>
    <row r="94" spans="2:2" x14ac:dyDescent="0.35">
      <c r="B94" s="8" t="s">
        <v>5051</v>
      </c>
    </row>
    <row r="95" spans="2:2" x14ac:dyDescent="0.35">
      <c r="B95" s="8" t="s">
        <v>4129</v>
      </c>
    </row>
    <row r="96" spans="2:2" x14ac:dyDescent="0.35">
      <c r="B96" s="8" t="s">
        <v>144</v>
      </c>
    </row>
    <row r="97" spans="2:2" x14ac:dyDescent="0.35">
      <c r="B97" s="8" t="s">
        <v>1174</v>
      </c>
    </row>
    <row r="98" spans="2:2" x14ac:dyDescent="0.35">
      <c r="B98" s="8" t="s">
        <v>792</v>
      </c>
    </row>
    <row r="99" spans="2:2" x14ac:dyDescent="0.35">
      <c r="B99" s="8" t="s">
        <v>4243</v>
      </c>
    </row>
    <row r="100" spans="2:2" x14ac:dyDescent="0.35">
      <c r="B100" s="8" t="s">
        <v>1437</v>
      </c>
    </row>
    <row r="101" spans="2:2" x14ac:dyDescent="0.35">
      <c r="B101" s="8" t="s">
        <v>5243</v>
      </c>
    </row>
    <row r="102" spans="2:2" x14ac:dyDescent="0.35">
      <c r="B102" s="8" t="s">
        <v>5245</v>
      </c>
    </row>
    <row r="103" spans="2:2" x14ac:dyDescent="0.35">
      <c r="B103" s="8" t="s">
        <v>2150</v>
      </c>
    </row>
    <row r="104" spans="2:2" x14ac:dyDescent="0.35">
      <c r="B104" s="8" t="s">
        <v>4886</v>
      </c>
    </row>
    <row r="105" spans="2:2" x14ac:dyDescent="0.35">
      <c r="B105" s="8" t="s">
        <v>5593</v>
      </c>
    </row>
    <row r="106" spans="2:2" x14ac:dyDescent="0.35">
      <c r="B106" s="8" t="s">
        <v>3218</v>
      </c>
    </row>
    <row r="107" spans="2:2" x14ac:dyDescent="0.35">
      <c r="B107" s="8" t="s">
        <v>815</v>
      </c>
    </row>
    <row r="108" spans="2:2" x14ac:dyDescent="0.35">
      <c r="B108" s="8" t="s">
        <v>5045</v>
      </c>
    </row>
    <row r="109" spans="2:2" x14ac:dyDescent="0.35">
      <c r="B109" s="8" t="s">
        <v>5446</v>
      </c>
    </row>
    <row r="110" spans="2:2" x14ac:dyDescent="0.35">
      <c r="B110" s="8" t="s">
        <v>2713</v>
      </c>
    </row>
    <row r="111" spans="2:2" x14ac:dyDescent="0.35">
      <c r="B111" s="8" t="s">
        <v>4245</v>
      </c>
    </row>
    <row r="112" spans="2:2" x14ac:dyDescent="0.35">
      <c r="B112" s="8" t="s">
        <v>521</v>
      </c>
    </row>
    <row r="113" spans="2:2" x14ac:dyDescent="0.35">
      <c r="B113" s="8" t="s">
        <v>1049</v>
      </c>
    </row>
    <row r="114" spans="2:2" x14ac:dyDescent="0.35">
      <c r="B114" s="8" t="s">
        <v>5450</v>
      </c>
    </row>
    <row r="115" spans="2:2" x14ac:dyDescent="0.35">
      <c r="B115" s="8" t="s">
        <v>218</v>
      </c>
    </row>
    <row r="116" spans="2:2" x14ac:dyDescent="0.35">
      <c r="B116" s="8" t="s">
        <v>5373</v>
      </c>
    </row>
    <row r="117" spans="2:2" x14ac:dyDescent="0.35">
      <c r="B117" s="8" t="s">
        <v>1348</v>
      </c>
    </row>
    <row r="118" spans="2:2" x14ac:dyDescent="0.35">
      <c r="B118" s="8" t="s">
        <v>5257</v>
      </c>
    </row>
    <row r="119" spans="2:2" x14ac:dyDescent="0.35">
      <c r="B119" s="8" t="s">
        <v>965</v>
      </c>
    </row>
    <row r="120" spans="2:2" x14ac:dyDescent="0.35">
      <c r="B120" s="8" t="s">
        <v>4725</v>
      </c>
    </row>
    <row r="121" spans="2:2" x14ac:dyDescent="0.35">
      <c r="B121" s="8" t="s">
        <v>5047</v>
      </c>
    </row>
    <row r="122" spans="2:2" x14ac:dyDescent="0.35">
      <c r="B122" s="8" t="s">
        <v>3982</v>
      </c>
    </row>
    <row r="123" spans="2:2" x14ac:dyDescent="0.35">
      <c r="B123" s="8" t="s">
        <v>220</v>
      </c>
    </row>
    <row r="124" spans="2:2" x14ac:dyDescent="0.35">
      <c r="B124" s="8" t="s">
        <v>1168</v>
      </c>
    </row>
    <row r="125" spans="2:2" x14ac:dyDescent="0.35">
      <c r="B125" s="8" t="s">
        <v>1051</v>
      </c>
    </row>
    <row r="126" spans="2:2" x14ac:dyDescent="0.35">
      <c r="B126" s="8" t="s">
        <v>4803</v>
      </c>
    </row>
    <row r="127" spans="2:2" x14ac:dyDescent="0.35">
      <c r="B127" s="8" t="s">
        <v>813</v>
      </c>
    </row>
    <row r="128" spans="2:2" x14ac:dyDescent="0.35">
      <c r="B128" s="8" t="s">
        <v>4805</v>
      </c>
    </row>
    <row r="129" spans="2:2" x14ac:dyDescent="0.35">
      <c r="B129" s="8" t="s">
        <v>782</v>
      </c>
    </row>
    <row r="130" spans="2:2" x14ac:dyDescent="0.35">
      <c r="B130" s="8" t="s">
        <v>3659</v>
      </c>
    </row>
    <row r="131" spans="2:2" x14ac:dyDescent="0.35">
      <c r="B131" s="8" t="s">
        <v>3428</v>
      </c>
    </row>
    <row r="132" spans="2:2" x14ac:dyDescent="0.35">
      <c r="B132" s="8" t="s">
        <v>4423</v>
      </c>
    </row>
    <row r="133" spans="2:2" x14ac:dyDescent="0.35">
      <c r="B133" s="8" t="s">
        <v>3661</v>
      </c>
    </row>
    <row r="134" spans="2:2" x14ac:dyDescent="0.35">
      <c r="B134" s="8" t="s">
        <v>833</v>
      </c>
    </row>
    <row r="135" spans="2:2" x14ac:dyDescent="0.35">
      <c r="B135" s="8" t="s">
        <v>3756</v>
      </c>
    </row>
    <row r="136" spans="2:2" x14ac:dyDescent="0.35">
      <c r="B136" s="8" t="s">
        <v>1775</v>
      </c>
    </row>
    <row r="137" spans="2:2" x14ac:dyDescent="0.35">
      <c r="B137" s="8" t="s">
        <v>5682</v>
      </c>
    </row>
    <row r="138" spans="2:2" x14ac:dyDescent="0.35">
      <c r="B138" s="8" t="s">
        <v>4801</v>
      </c>
    </row>
    <row r="139" spans="2:2" x14ac:dyDescent="0.35">
      <c r="B139" s="8" t="s">
        <v>2194</v>
      </c>
    </row>
    <row r="140" spans="2:2" x14ac:dyDescent="0.35">
      <c r="B140" s="8" t="s">
        <v>2994</v>
      </c>
    </row>
    <row r="141" spans="2:2" x14ac:dyDescent="0.35">
      <c r="B141" s="8" t="s">
        <v>969</v>
      </c>
    </row>
    <row r="142" spans="2:2" x14ac:dyDescent="0.35">
      <c r="B142" s="8" t="s">
        <v>4768</v>
      </c>
    </row>
    <row r="143" spans="2:2" x14ac:dyDescent="0.35">
      <c r="B143" s="8" t="s">
        <v>180</v>
      </c>
    </row>
    <row r="144" spans="2:2" x14ac:dyDescent="0.35">
      <c r="B144" s="8" t="s">
        <v>2996</v>
      </c>
    </row>
    <row r="145" spans="2:2" x14ac:dyDescent="0.35">
      <c r="B145" s="8" t="s">
        <v>1055</v>
      </c>
    </row>
    <row r="146" spans="2:2" x14ac:dyDescent="0.35">
      <c r="B146" s="8" t="s">
        <v>4970</v>
      </c>
    </row>
    <row r="147" spans="2:2" x14ac:dyDescent="0.35">
      <c r="B147" s="8" t="s">
        <v>1441</v>
      </c>
    </row>
    <row r="148" spans="2:2" x14ac:dyDescent="0.35">
      <c r="B148" s="8" t="s">
        <v>5454</v>
      </c>
    </row>
    <row r="149" spans="2:2" x14ac:dyDescent="0.35">
      <c r="B149" s="8" t="s">
        <v>2925</v>
      </c>
    </row>
    <row r="150" spans="2:2" x14ac:dyDescent="0.35">
      <c r="B150" s="8" t="s">
        <v>523</v>
      </c>
    </row>
    <row r="151" spans="2:2" x14ac:dyDescent="0.35">
      <c r="B151" s="8" t="s">
        <v>3757</v>
      </c>
    </row>
    <row r="152" spans="2:2" x14ac:dyDescent="0.35">
      <c r="B152" s="8" t="s">
        <v>5049</v>
      </c>
    </row>
    <row r="153" spans="2:2" x14ac:dyDescent="0.35">
      <c r="B153" s="8" t="s">
        <v>1056</v>
      </c>
    </row>
    <row r="154" spans="2:2" x14ac:dyDescent="0.35">
      <c r="B154" s="8" t="s">
        <v>711</v>
      </c>
    </row>
    <row r="155" spans="2:2" x14ac:dyDescent="0.35">
      <c r="B155" s="8" t="s">
        <v>3729</v>
      </c>
    </row>
    <row r="156" spans="2:2" x14ac:dyDescent="0.35">
      <c r="B156" s="8" t="s">
        <v>5204</v>
      </c>
    </row>
    <row r="157" spans="2:2" x14ac:dyDescent="0.35">
      <c r="B157" s="8" t="s">
        <v>5265</v>
      </c>
    </row>
    <row r="158" spans="2:2" x14ac:dyDescent="0.35">
      <c r="B158" s="8" t="s">
        <v>5456</v>
      </c>
    </row>
    <row r="159" spans="2:2" x14ac:dyDescent="0.35">
      <c r="B159" s="8" t="s">
        <v>2653</v>
      </c>
    </row>
    <row r="160" spans="2:2" x14ac:dyDescent="0.35">
      <c r="B160" s="8" t="s">
        <v>3665</v>
      </c>
    </row>
    <row r="161" spans="2:2" x14ac:dyDescent="0.35">
      <c r="B161" s="8" t="s">
        <v>4322</v>
      </c>
    </row>
    <row r="162" spans="2:2" x14ac:dyDescent="0.35">
      <c r="B162" s="8" t="s">
        <v>1200</v>
      </c>
    </row>
    <row r="163" spans="2:2" x14ac:dyDescent="0.35">
      <c r="B163" s="8" t="s">
        <v>1621</v>
      </c>
    </row>
    <row r="164" spans="2:2" x14ac:dyDescent="0.35">
      <c r="B164" s="8" t="s">
        <v>1952</v>
      </c>
    </row>
    <row r="165" spans="2:2" x14ac:dyDescent="0.35">
      <c r="B165" s="8" t="s">
        <v>186</v>
      </c>
    </row>
    <row r="166" spans="2:2" x14ac:dyDescent="0.35">
      <c r="B166" s="8" t="s">
        <v>3430</v>
      </c>
    </row>
    <row r="167" spans="2:2" x14ac:dyDescent="0.35">
      <c r="B167" s="8" t="s">
        <v>1986</v>
      </c>
    </row>
    <row r="168" spans="2:2" x14ac:dyDescent="0.35">
      <c r="B168" s="8" t="s">
        <v>790</v>
      </c>
    </row>
    <row r="169" spans="2:2" x14ac:dyDescent="0.35">
      <c r="B169" s="8" t="s">
        <v>1954</v>
      </c>
    </row>
    <row r="170" spans="2:2" x14ac:dyDescent="0.35">
      <c r="B170" s="8" t="s">
        <v>651</v>
      </c>
    </row>
    <row r="171" spans="2:2" x14ac:dyDescent="0.35">
      <c r="B171" s="8" t="s">
        <v>5692</v>
      </c>
    </row>
    <row r="172" spans="2:2" x14ac:dyDescent="0.35">
      <c r="B172" s="8" t="s">
        <v>527</v>
      </c>
    </row>
    <row r="173" spans="2:2" x14ac:dyDescent="0.35">
      <c r="B173" s="8" t="s">
        <v>715</v>
      </c>
    </row>
    <row r="174" spans="2:2" x14ac:dyDescent="0.35">
      <c r="B174" s="8" t="s">
        <v>653</v>
      </c>
    </row>
    <row r="175" spans="2:2" x14ac:dyDescent="0.35">
      <c r="B175" s="8" t="s">
        <v>3984</v>
      </c>
    </row>
    <row r="176" spans="2:2" x14ac:dyDescent="0.35">
      <c r="B176" s="8" t="s">
        <v>5413</v>
      </c>
    </row>
    <row r="177" spans="2:2" x14ac:dyDescent="0.35">
      <c r="B177" s="8" t="s">
        <v>5381</v>
      </c>
    </row>
    <row r="178" spans="2:2" x14ac:dyDescent="0.35">
      <c r="B178" s="8" t="s">
        <v>1443</v>
      </c>
    </row>
    <row r="179" spans="2:2" x14ac:dyDescent="0.35">
      <c r="B179" s="8" t="s">
        <v>3381</v>
      </c>
    </row>
    <row r="180" spans="2:2" x14ac:dyDescent="0.35">
      <c r="B180" s="8" t="s">
        <v>1445</v>
      </c>
    </row>
    <row r="181" spans="2:2" x14ac:dyDescent="0.35">
      <c r="B181" s="8" t="s">
        <v>4731</v>
      </c>
    </row>
    <row r="182" spans="2:2" x14ac:dyDescent="0.35">
      <c r="B182" s="8" t="s">
        <v>1732</v>
      </c>
    </row>
    <row r="183" spans="2:2" x14ac:dyDescent="0.35">
      <c r="B183" s="8" t="s">
        <v>2536</v>
      </c>
    </row>
    <row r="184" spans="2:2" x14ac:dyDescent="0.35">
      <c r="B184" s="8" t="s">
        <v>3098</v>
      </c>
    </row>
    <row r="185" spans="2:2" x14ac:dyDescent="0.35">
      <c r="B185" s="8" t="s">
        <v>655</v>
      </c>
    </row>
    <row r="186" spans="2:2" x14ac:dyDescent="0.35">
      <c r="B186" s="8" t="s">
        <v>719</v>
      </c>
    </row>
    <row r="187" spans="2:2" x14ac:dyDescent="0.35">
      <c r="B187" s="8" t="s">
        <v>4328</v>
      </c>
    </row>
    <row r="188" spans="2:2" x14ac:dyDescent="0.35">
      <c r="B188" s="8" t="s">
        <v>4431</v>
      </c>
    </row>
    <row r="189" spans="2:2" x14ac:dyDescent="0.35">
      <c r="B189" s="8" t="s">
        <v>976</v>
      </c>
    </row>
    <row r="190" spans="2:2" x14ac:dyDescent="0.35">
      <c r="B190" s="8" t="s">
        <v>2538</v>
      </c>
    </row>
    <row r="191" spans="2:2" x14ac:dyDescent="0.35">
      <c r="B191" s="8" t="s">
        <v>2260</v>
      </c>
    </row>
    <row r="192" spans="2:2" x14ac:dyDescent="0.35">
      <c r="B192" s="8" t="s">
        <v>3270</v>
      </c>
    </row>
    <row r="193" spans="2:2" x14ac:dyDescent="0.35">
      <c r="B193" s="8" t="s">
        <v>5461</v>
      </c>
    </row>
    <row r="194" spans="2:2" x14ac:dyDescent="0.35">
      <c r="B194" s="8" t="s">
        <v>5383</v>
      </c>
    </row>
    <row r="195" spans="2:2" x14ac:dyDescent="0.35">
      <c r="B195" s="8" t="s">
        <v>2540</v>
      </c>
    </row>
    <row r="196" spans="2:2" x14ac:dyDescent="0.35">
      <c r="B196" s="8" t="s">
        <v>5419</v>
      </c>
    </row>
    <row r="197" spans="2:2" x14ac:dyDescent="0.35">
      <c r="B197" s="8" t="s">
        <v>4330</v>
      </c>
    </row>
    <row r="198" spans="2:2" x14ac:dyDescent="0.35">
      <c r="B198" s="8" t="s">
        <v>657</v>
      </c>
    </row>
    <row r="199" spans="2:2" x14ac:dyDescent="0.35">
      <c r="B199" s="8" t="s">
        <v>5123</v>
      </c>
    </row>
    <row r="200" spans="2:2" x14ac:dyDescent="0.35">
      <c r="B200" s="8" t="s">
        <v>3383</v>
      </c>
    </row>
    <row r="201" spans="2:2" x14ac:dyDescent="0.35">
      <c r="B201" s="8" t="s">
        <v>4812</v>
      </c>
    </row>
    <row r="202" spans="2:2" x14ac:dyDescent="0.35">
      <c r="B202" s="8" t="s">
        <v>3865</v>
      </c>
    </row>
    <row r="203" spans="2:2" x14ac:dyDescent="0.35">
      <c r="B203" s="8" t="s">
        <v>5207</v>
      </c>
    </row>
    <row r="204" spans="2:2" x14ac:dyDescent="0.35">
      <c r="B204" s="8" t="s">
        <v>2417</v>
      </c>
    </row>
    <row r="205" spans="2:2" x14ac:dyDescent="0.35">
      <c r="B205" s="8" t="s">
        <v>1206</v>
      </c>
    </row>
    <row r="206" spans="2:2" x14ac:dyDescent="0.35">
      <c r="B206" s="8" t="s">
        <v>5465</v>
      </c>
    </row>
    <row r="207" spans="2:2" x14ac:dyDescent="0.35">
      <c r="B207" s="8" t="s">
        <v>978</v>
      </c>
    </row>
    <row r="208" spans="2:2" x14ac:dyDescent="0.35">
      <c r="B208" s="8" t="s">
        <v>192</v>
      </c>
    </row>
    <row r="209" spans="2:2" x14ac:dyDescent="0.35">
      <c r="B209" s="8" t="s">
        <v>839</v>
      </c>
    </row>
    <row r="210" spans="2:2" x14ac:dyDescent="0.35">
      <c r="B210" s="8" t="s">
        <v>2262</v>
      </c>
    </row>
    <row r="211" spans="2:2" x14ac:dyDescent="0.35">
      <c r="B211" s="8" t="s">
        <v>721</v>
      </c>
    </row>
    <row r="212" spans="2:2" x14ac:dyDescent="0.35">
      <c r="B212" s="8" t="s">
        <v>333</v>
      </c>
    </row>
    <row r="213" spans="2:2" x14ac:dyDescent="0.35">
      <c r="B213" s="8" t="s">
        <v>2658</v>
      </c>
    </row>
    <row r="214" spans="2:2" x14ac:dyDescent="0.35">
      <c r="B214" s="8" t="s">
        <v>335</v>
      </c>
    </row>
    <row r="215" spans="2:2" x14ac:dyDescent="0.35">
      <c r="B215" s="8" t="s">
        <v>418</v>
      </c>
    </row>
    <row r="216" spans="2:2" x14ac:dyDescent="0.35">
      <c r="B216" s="8" t="s">
        <v>2101</v>
      </c>
    </row>
    <row r="217" spans="2:2" x14ac:dyDescent="0.35">
      <c r="B217" s="8" t="s">
        <v>5211</v>
      </c>
    </row>
    <row r="218" spans="2:2" x14ac:dyDescent="0.35">
      <c r="B218" s="8" t="s">
        <v>286</v>
      </c>
    </row>
    <row r="219" spans="2:2" x14ac:dyDescent="0.35">
      <c r="B219" s="8" t="s">
        <v>2900</v>
      </c>
    </row>
    <row r="220" spans="2:2" x14ac:dyDescent="0.35">
      <c r="B220" s="8" t="s">
        <v>5157</v>
      </c>
    </row>
    <row r="221" spans="2:2" x14ac:dyDescent="0.35">
      <c r="B221" s="8" t="s">
        <v>5125</v>
      </c>
    </row>
    <row r="222" spans="2:2" x14ac:dyDescent="0.35">
      <c r="B222" s="8" t="s">
        <v>982</v>
      </c>
    </row>
    <row r="223" spans="2:2" x14ac:dyDescent="0.35">
      <c r="B223" s="8" t="s">
        <v>841</v>
      </c>
    </row>
    <row r="224" spans="2:2" x14ac:dyDescent="0.35">
      <c r="B224" s="8" t="s">
        <v>4253</v>
      </c>
    </row>
    <row r="225" spans="2:2" x14ac:dyDescent="0.35">
      <c r="B225" s="8" t="s">
        <v>3385</v>
      </c>
    </row>
    <row r="226" spans="2:2" x14ac:dyDescent="0.35">
      <c r="B226" s="8" t="s">
        <v>4131</v>
      </c>
    </row>
    <row r="227" spans="2:2" x14ac:dyDescent="0.35">
      <c r="B227" s="8" t="s">
        <v>1214</v>
      </c>
    </row>
    <row r="228" spans="2:2" x14ac:dyDescent="0.35">
      <c r="B228" s="8" t="s">
        <v>722</v>
      </c>
    </row>
    <row r="229" spans="2:2" x14ac:dyDescent="0.35">
      <c r="B229" s="8" t="s">
        <v>2616</v>
      </c>
    </row>
    <row r="230" spans="2:2" x14ac:dyDescent="0.35">
      <c r="B230" s="8" t="s">
        <v>3906</v>
      </c>
    </row>
    <row r="231" spans="2:2" x14ac:dyDescent="0.35">
      <c r="B231" s="8" t="s">
        <v>3025</v>
      </c>
    </row>
    <row r="232" spans="2:2" x14ac:dyDescent="0.35">
      <c r="B232" s="8" t="s">
        <v>2645</v>
      </c>
    </row>
    <row r="233" spans="2:2" x14ac:dyDescent="0.35">
      <c r="B233" s="8" t="s">
        <v>2682</v>
      </c>
    </row>
    <row r="234" spans="2:2" x14ac:dyDescent="0.35">
      <c r="B234" s="8" t="s">
        <v>4888</v>
      </c>
    </row>
    <row r="235" spans="2:2" x14ac:dyDescent="0.35">
      <c r="B235" s="8" t="s">
        <v>1108</v>
      </c>
    </row>
    <row r="236" spans="2:2" x14ac:dyDescent="0.35">
      <c r="B236" s="8" t="s">
        <v>4511</v>
      </c>
    </row>
    <row r="237" spans="2:2" x14ac:dyDescent="0.35">
      <c r="B237" s="8" t="s">
        <v>4519</v>
      </c>
    </row>
    <row r="238" spans="2:2" x14ac:dyDescent="0.35">
      <c r="B238" s="8" t="s">
        <v>2950</v>
      </c>
    </row>
    <row r="239" spans="2:2" x14ac:dyDescent="0.35">
      <c r="B239" s="8" t="s">
        <v>439</v>
      </c>
    </row>
    <row r="240" spans="2:2" x14ac:dyDescent="0.35">
      <c r="B240" s="8" t="s">
        <v>441</v>
      </c>
    </row>
    <row r="241" spans="2:2" x14ac:dyDescent="0.35">
      <c r="B241" s="8" t="s">
        <v>3917</v>
      </c>
    </row>
    <row r="242" spans="2:2" x14ac:dyDescent="0.35">
      <c r="B242" s="8" t="s">
        <v>2363</v>
      </c>
    </row>
    <row r="243" spans="2:2" x14ac:dyDescent="0.35">
      <c r="B243" s="8" t="s">
        <v>5529</v>
      </c>
    </row>
    <row r="244" spans="2:2" x14ac:dyDescent="0.35">
      <c r="B244" s="8" t="s">
        <v>1560</v>
      </c>
    </row>
    <row r="245" spans="2:2" x14ac:dyDescent="0.35">
      <c r="B245" s="8" t="s">
        <v>4378</v>
      </c>
    </row>
    <row r="246" spans="2:2" x14ac:dyDescent="0.35">
      <c r="B246" s="8" t="s">
        <v>451</v>
      </c>
    </row>
    <row r="247" spans="2:2" x14ac:dyDescent="0.35">
      <c r="B247" s="8" t="s">
        <v>3476</v>
      </c>
    </row>
    <row r="248" spans="2:2" x14ac:dyDescent="0.35">
      <c r="B248" s="8" t="s">
        <v>592</v>
      </c>
    </row>
    <row r="249" spans="2:2" x14ac:dyDescent="0.35">
      <c r="B249" s="8" t="s">
        <v>3697</v>
      </c>
    </row>
    <row r="250" spans="2:2" x14ac:dyDescent="0.35">
      <c r="B250" s="8" t="s">
        <v>482</v>
      </c>
    </row>
    <row r="251" spans="2:2" x14ac:dyDescent="0.35">
      <c r="B251" s="8" t="s">
        <v>3151</v>
      </c>
    </row>
    <row r="252" spans="2:2" x14ac:dyDescent="0.35">
      <c r="B252" s="8" t="s">
        <v>1407</v>
      </c>
    </row>
    <row r="253" spans="2:2" x14ac:dyDescent="0.35">
      <c r="B253" s="8" t="s">
        <v>1307</v>
      </c>
    </row>
    <row r="254" spans="2:2" x14ac:dyDescent="0.35">
      <c r="B254" s="8" t="s">
        <v>5533</v>
      </c>
    </row>
    <row r="255" spans="2:2" x14ac:dyDescent="0.35">
      <c r="B255" s="8" t="s">
        <v>5535</v>
      </c>
    </row>
    <row r="256" spans="2:2" x14ac:dyDescent="0.35">
      <c r="B256" s="8" t="s">
        <v>1110</v>
      </c>
    </row>
    <row r="257" spans="2:2" x14ac:dyDescent="0.35">
      <c r="B257" s="8" t="s">
        <v>3126</v>
      </c>
    </row>
    <row r="258" spans="2:2" x14ac:dyDescent="0.35">
      <c r="B258" s="8" t="s">
        <v>3947</v>
      </c>
    </row>
    <row r="259" spans="2:2" x14ac:dyDescent="0.35">
      <c r="B259" s="8" t="s">
        <v>1568</v>
      </c>
    </row>
    <row r="260" spans="2:2" x14ac:dyDescent="0.35">
      <c r="B260" s="8" t="s">
        <v>4539</v>
      </c>
    </row>
    <row r="261" spans="2:2" x14ac:dyDescent="0.35">
      <c r="B261" s="8" t="s">
        <v>2833</v>
      </c>
    </row>
    <row r="262" spans="2:2" x14ac:dyDescent="0.35">
      <c r="B262" s="8" t="s">
        <v>2765</v>
      </c>
    </row>
    <row r="263" spans="2:2" x14ac:dyDescent="0.35">
      <c r="B263" s="8" t="s">
        <v>2823</v>
      </c>
    </row>
    <row r="264" spans="2:2" x14ac:dyDescent="0.35">
      <c r="B264" s="8" t="s">
        <v>2226</v>
      </c>
    </row>
    <row r="265" spans="2:2" x14ac:dyDescent="0.35">
      <c r="B265" s="8" t="s">
        <v>829</v>
      </c>
    </row>
    <row r="266" spans="2:2" x14ac:dyDescent="0.35">
      <c r="B266" s="8" t="s">
        <v>1164</v>
      </c>
    </row>
    <row r="267" spans="2:2" x14ac:dyDescent="0.35">
      <c r="B267" s="8" t="s">
        <v>608</v>
      </c>
    </row>
    <row r="268" spans="2:2" x14ac:dyDescent="0.35">
      <c r="B268" s="8" t="s">
        <v>2224</v>
      </c>
    </row>
    <row r="269" spans="2:2" x14ac:dyDescent="0.35">
      <c r="B269" s="8" t="s">
        <v>3130</v>
      </c>
    </row>
    <row r="270" spans="2:2" x14ac:dyDescent="0.35">
      <c r="B270" s="8" t="s">
        <v>1325</v>
      </c>
    </row>
    <row r="271" spans="2:2" x14ac:dyDescent="0.35">
      <c r="B271" s="8" t="s">
        <v>3377</v>
      </c>
    </row>
    <row r="272" spans="2:2" x14ac:dyDescent="0.35">
      <c r="B272" s="8" t="s">
        <v>1556</v>
      </c>
    </row>
    <row r="273" spans="2:2" x14ac:dyDescent="0.35">
      <c r="B273" s="8" t="s">
        <v>3132</v>
      </c>
    </row>
    <row r="274" spans="2:2" x14ac:dyDescent="0.35">
      <c r="B274" s="8" t="s">
        <v>2385</v>
      </c>
    </row>
    <row r="275" spans="2:2" x14ac:dyDescent="0.35">
      <c r="B275" s="8" t="s">
        <v>96</v>
      </c>
    </row>
    <row r="276" spans="2:2" x14ac:dyDescent="0.35">
      <c r="B276" s="8" t="s">
        <v>137</v>
      </c>
    </row>
    <row r="277" spans="2:2" x14ac:dyDescent="0.35">
      <c r="B277" s="8" t="s">
        <v>3518</v>
      </c>
    </row>
    <row r="278" spans="2:2" x14ac:dyDescent="0.35">
      <c r="B278" s="8" t="s">
        <v>3961</v>
      </c>
    </row>
    <row r="279" spans="2:2" x14ac:dyDescent="0.35">
      <c r="B279" s="8" t="s">
        <v>2789</v>
      </c>
    </row>
    <row r="280" spans="2:2" x14ac:dyDescent="0.35">
      <c r="B280" s="8" t="s">
        <v>4222</v>
      </c>
    </row>
    <row r="281" spans="2:2" x14ac:dyDescent="0.35">
      <c r="B281" s="8" t="s">
        <v>2530</v>
      </c>
    </row>
    <row r="282" spans="2:2" x14ac:dyDescent="0.35">
      <c r="B282" s="8" t="s">
        <v>2025</v>
      </c>
    </row>
    <row r="283" spans="2:2" x14ac:dyDescent="0.35">
      <c r="B283" s="8" t="s">
        <v>2759</v>
      </c>
    </row>
    <row r="284" spans="2:2" x14ac:dyDescent="0.35">
      <c r="B284" s="8" t="s">
        <v>4108</v>
      </c>
    </row>
    <row r="285" spans="2:2" x14ac:dyDescent="0.35">
      <c r="B285" s="8" t="s">
        <v>5175</v>
      </c>
    </row>
    <row r="286" spans="2:2" x14ac:dyDescent="0.35">
      <c r="B286" s="8" t="s">
        <v>3357</v>
      </c>
    </row>
    <row r="287" spans="2:2" x14ac:dyDescent="0.35">
      <c r="B287" s="8" t="s">
        <v>2747</v>
      </c>
    </row>
    <row r="288" spans="2:2" x14ac:dyDescent="0.35">
      <c r="B288" s="8" t="s">
        <v>4275</v>
      </c>
    </row>
    <row r="289" spans="2:2" x14ac:dyDescent="0.35">
      <c r="B289" s="8" t="s">
        <v>1455</v>
      </c>
    </row>
    <row r="290" spans="2:2" x14ac:dyDescent="0.35">
      <c r="B290" s="8" t="s">
        <v>5409</v>
      </c>
    </row>
    <row r="291" spans="2:2" x14ac:dyDescent="0.35">
      <c r="B291" s="8" t="s">
        <v>1996</v>
      </c>
    </row>
    <row r="292" spans="2:2" x14ac:dyDescent="0.35">
      <c r="B292" s="8" t="s">
        <v>4641</v>
      </c>
    </row>
    <row r="293" spans="2:2" x14ac:dyDescent="0.35">
      <c r="B293" s="8" t="s">
        <v>2793</v>
      </c>
    </row>
    <row r="294" spans="2:2" x14ac:dyDescent="0.35">
      <c r="B294" s="8" t="s">
        <v>4899</v>
      </c>
    </row>
    <row r="295" spans="2:2" x14ac:dyDescent="0.35">
      <c r="B295" s="8" t="s">
        <v>1279</v>
      </c>
    </row>
    <row r="296" spans="2:2" x14ac:dyDescent="0.35">
      <c r="B296" s="8" t="s">
        <v>1998</v>
      </c>
    </row>
    <row r="297" spans="2:2" x14ac:dyDescent="0.35">
      <c r="B297" s="8" t="s">
        <v>5625</v>
      </c>
    </row>
    <row r="298" spans="2:2" x14ac:dyDescent="0.35">
      <c r="B298" s="8" t="s">
        <v>152</v>
      </c>
    </row>
    <row r="299" spans="2:2" x14ac:dyDescent="0.35">
      <c r="B299" s="8" t="s">
        <v>4349</v>
      </c>
    </row>
    <row r="300" spans="2:2" x14ac:dyDescent="0.35">
      <c r="B300" s="8" t="s">
        <v>4359</v>
      </c>
    </row>
    <row r="301" spans="2:2" x14ac:dyDescent="0.35">
      <c r="B301" s="8" t="s">
        <v>5000</v>
      </c>
    </row>
    <row r="302" spans="2:2" x14ac:dyDescent="0.35">
      <c r="B302" s="8" t="s">
        <v>4878</v>
      </c>
    </row>
    <row r="303" spans="2:2" x14ac:dyDescent="0.35">
      <c r="B303" s="8" t="s">
        <v>1740</v>
      </c>
    </row>
    <row r="304" spans="2:2" x14ac:dyDescent="0.35">
      <c r="B304" s="8" t="s">
        <v>1069</v>
      </c>
    </row>
    <row r="305" spans="2:2" x14ac:dyDescent="0.35">
      <c r="B305" s="8" t="s">
        <v>729</v>
      </c>
    </row>
    <row r="306" spans="2:2" x14ac:dyDescent="0.35">
      <c r="B306" s="8" t="s">
        <v>3009</v>
      </c>
    </row>
    <row r="307" spans="2:2" x14ac:dyDescent="0.35">
      <c r="B307" s="8" t="s">
        <v>1633</v>
      </c>
    </row>
    <row r="308" spans="2:2" x14ac:dyDescent="0.35">
      <c r="B308" s="8" t="s">
        <v>22</v>
      </c>
    </row>
    <row r="309" spans="2:2" x14ac:dyDescent="0.35">
      <c r="B309" s="8" t="s">
        <v>5002</v>
      </c>
    </row>
    <row r="310" spans="2:2" x14ac:dyDescent="0.35">
      <c r="B310" s="8" t="s">
        <v>3363</v>
      </c>
    </row>
    <row r="311" spans="2:2" x14ac:dyDescent="0.35">
      <c r="B311" s="8" t="s">
        <v>4748</v>
      </c>
    </row>
    <row r="312" spans="2:2" x14ac:dyDescent="0.35">
      <c r="B312" s="8" t="s">
        <v>4283</v>
      </c>
    </row>
    <row r="313" spans="2:2" x14ac:dyDescent="0.35">
      <c r="B313" s="8" t="s">
        <v>2799</v>
      </c>
    </row>
    <row r="314" spans="2:2" x14ac:dyDescent="0.35">
      <c r="B314" s="8" t="s">
        <v>4752</v>
      </c>
    </row>
    <row r="315" spans="2:2" x14ac:dyDescent="0.35">
      <c r="B315" s="8" t="s">
        <v>2132</v>
      </c>
    </row>
    <row r="316" spans="2:2" x14ac:dyDescent="0.35">
      <c r="B316" s="8" t="s">
        <v>2427</v>
      </c>
    </row>
    <row r="317" spans="2:2" x14ac:dyDescent="0.35">
      <c r="B317" s="8" t="s">
        <v>1467</v>
      </c>
    </row>
    <row r="318" spans="2:2" x14ac:dyDescent="0.35">
      <c r="B318" s="8" t="s">
        <v>307</v>
      </c>
    </row>
    <row r="319" spans="2:2" x14ac:dyDescent="0.35">
      <c r="B319" s="8" t="s">
        <v>4175</v>
      </c>
    </row>
    <row r="320" spans="2:2" x14ac:dyDescent="0.35">
      <c r="B320" s="8" t="s">
        <v>737</v>
      </c>
    </row>
    <row r="321" spans="2:2" x14ac:dyDescent="0.35">
      <c r="B321" s="8" t="s">
        <v>1019</v>
      </c>
    </row>
    <row r="322" spans="2:2" x14ac:dyDescent="0.35">
      <c r="B322" s="8" t="s">
        <v>3403</v>
      </c>
    </row>
    <row r="323" spans="2:2" x14ac:dyDescent="0.35">
      <c r="B323" s="8" t="s">
        <v>314</v>
      </c>
    </row>
    <row r="324" spans="2:2" x14ac:dyDescent="0.35">
      <c r="B324" s="8" t="s">
        <v>4193</v>
      </c>
    </row>
    <row r="325" spans="2:2" x14ac:dyDescent="0.35">
      <c r="B325" s="8" t="s">
        <v>3351</v>
      </c>
    </row>
    <row r="326" spans="2:2" x14ac:dyDescent="0.35">
      <c r="B326" s="8" t="s">
        <v>723</v>
      </c>
    </row>
    <row r="327" spans="2:2" x14ac:dyDescent="0.35">
      <c r="B327" s="8" t="s">
        <v>2576</v>
      </c>
    </row>
    <row r="328" spans="2:2" x14ac:dyDescent="0.35">
      <c r="B328" s="8" t="s">
        <v>5504</v>
      </c>
    </row>
    <row r="329" spans="2:2" x14ac:dyDescent="0.35">
      <c r="B329" s="8" t="s">
        <v>3786</v>
      </c>
    </row>
    <row r="330" spans="2:2" x14ac:dyDescent="0.35">
      <c r="B330" s="8" t="s">
        <v>1397</v>
      </c>
    </row>
    <row r="331" spans="2:2" x14ac:dyDescent="0.35">
      <c r="B331" s="8" t="s">
        <v>4271</v>
      </c>
    </row>
    <row r="332" spans="2:2" x14ac:dyDescent="0.35">
      <c r="B332" s="8" t="s">
        <v>1488</v>
      </c>
    </row>
    <row r="333" spans="2:2" x14ac:dyDescent="0.35">
      <c r="B333" s="8" t="s">
        <v>2352</v>
      </c>
    </row>
    <row r="334" spans="2:2" x14ac:dyDescent="0.35">
      <c r="B334" s="8" t="s">
        <v>1222</v>
      </c>
    </row>
    <row r="335" spans="2:2" x14ac:dyDescent="0.35">
      <c r="B335" s="8" t="s">
        <v>4094</v>
      </c>
    </row>
    <row r="336" spans="2:2" x14ac:dyDescent="0.35">
      <c r="B336" s="8" t="s">
        <v>991</v>
      </c>
    </row>
    <row r="337" spans="2:2" x14ac:dyDescent="0.35">
      <c r="B337" s="8" t="s">
        <v>1127</v>
      </c>
    </row>
    <row r="338" spans="2:2" x14ac:dyDescent="0.35">
      <c r="B338" s="8" t="s">
        <v>3497</v>
      </c>
    </row>
    <row r="339" spans="2:2" x14ac:dyDescent="0.35">
      <c r="B339" s="8" t="s">
        <v>3598</v>
      </c>
    </row>
    <row r="340" spans="2:2" x14ac:dyDescent="0.35">
      <c r="B340" s="8" t="s">
        <v>453</v>
      </c>
    </row>
    <row r="341" spans="2:2" x14ac:dyDescent="0.35">
      <c r="B341" s="8" t="s">
        <v>1839</v>
      </c>
    </row>
    <row r="342" spans="2:2" x14ac:dyDescent="0.35">
      <c r="B342" s="8" t="s">
        <v>3478</v>
      </c>
    </row>
    <row r="343" spans="2:2" x14ac:dyDescent="0.35">
      <c r="B343" s="8" t="s">
        <v>2483</v>
      </c>
    </row>
    <row r="344" spans="2:2" x14ac:dyDescent="0.35">
      <c r="B344" s="8" t="s">
        <v>2375</v>
      </c>
    </row>
    <row r="345" spans="2:2" x14ac:dyDescent="0.35">
      <c r="B345" s="8" t="s">
        <v>4143</v>
      </c>
    </row>
    <row r="346" spans="2:2" x14ac:dyDescent="0.35">
      <c r="B346" s="8" t="s">
        <v>2076</v>
      </c>
    </row>
    <row r="347" spans="2:2" x14ac:dyDescent="0.35">
      <c r="B347" s="8" t="s">
        <v>1637</v>
      </c>
    </row>
    <row r="348" spans="2:2" x14ac:dyDescent="0.35">
      <c r="B348" s="8" t="s">
        <v>2377</v>
      </c>
    </row>
    <row r="349" spans="2:2" x14ac:dyDescent="0.35">
      <c r="B349" s="8" t="s">
        <v>4104</v>
      </c>
    </row>
    <row r="350" spans="2:2" x14ac:dyDescent="0.35">
      <c r="B350" s="8" t="s">
        <v>2546</v>
      </c>
    </row>
    <row r="351" spans="2:2" x14ac:dyDescent="0.35">
      <c r="B351" s="8" t="s">
        <v>3586</v>
      </c>
    </row>
    <row r="352" spans="2:2" x14ac:dyDescent="0.35">
      <c r="B352" s="8" t="s">
        <v>596</v>
      </c>
    </row>
    <row r="353" spans="2:2" x14ac:dyDescent="0.35">
      <c r="B353" s="8" t="s">
        <v>1396</v>
      </c>
    </row>
    <row r="354" spans="2:2" x14ac:dyDescent="0.35">
      <c r="B354" s="8" t="s">
        <v>2379</v>
      </c>
    </row>
    <row r="355" spans="2:2" x14ac:dyDescent="0.35">
      <c r="B355" s="8" t="s">
        <v>3161</v>
      </c>
    </row>
    <row r="356" spans="2:2" x14ac:dyDescent="0.35">
      <c r="B356" s="8" t="s">
        <v>3173</v>
      </c>
    </row>
    <row r="357" spans="2:2" x14ac:dyDescent="0.35">
      <c r="B357" s="8" t="s">
        <v>3295</v>
      </c>
    </row>
    <row r="358" spans="2:2" x14ac:dyDescent="0.35">
      <c r="B358" s="8" t="s">
        <v>4527</v>
      </c>
    </row>
    <row r="359" spans="2:2" x14ac:dyDescent="0.35">
      <c r="B359" s="8" t="s">
        <v>2084</v>
      </c>
    </row>
    <row r="360" spans="2:2" x14ac:dyDescent="0.35">
      <c r="B360" s="8" t="s">
        <v>3592</v>
      </c>
    </row>
    <row r="361" spans="2:2" x14ac:dyDescent="0.35">
      <c r="B361" s="8" t="s">
        <v>4490</v>
      </c>
    </row>
    <row r="362" spans="2:2" x14ac:dyDescent="0.35">
      <c r="B362" s="8" t="s">
        <v>1570</v>
      </c>
    </row>
    <row r="363" spans="2:2" x14ac:dyDescent="0.35">
      <c r="B363" s="8" t="s">
        <v>4210</v>
      </c>
    </row>
    <row r="364" spans="2:2" x14ac:dyDescent="0.35">
      <c r="B364" s="8" t="s">
        <v>3041</v>
      </c>
    </row>
    <row r="365" spans="2:2" x14ac:dyDescent="0.35">
      <c r="B365" s="8" t="s">
        <v>3480</v>
      </c>
    </row>
    <row r="366" spans="2:2" x14ac:dyDescent="0.35">
      <c r="B366" s="8" t="s">
        <v>3297</v>
      </c>
    </row>
    <row r="367" spans="2:2" x14ac:dyDescent="0.35">
      <c r="B367" s="8" t="s">
        <v>4574</v>
      </c>
    </row>
    <row r="368" spans="2:2" x14ac:dyDescent="0.35">
      <c r="B368" s="8" t="s">
        <v>4862</v>
      </c>
    </row>
    <row r="369" spans="2:2" x14ac:dyDescent="0.35">
      <c r="B369" s="8" t="s">
        <v>2172</v>
      </c>
    </row>
    <row r="370" spans="2:2" x14ac:dyDescent="0.35">
      <c r="B370" s="8" t="s">
        <v>925</v>
      </c>
    </row>
    <row r="371" spans="2:2" x14ac:dyDescent="0.35">
      <c r="B371" s="8" t="s">
        <v>2214</v>
      </c>
    </row>
    <row r="372" spans="2:2" x14ac:dyDescent="0.35">
      <c r="B372" s="8" t="s">
        <v>110</v>
      </c>
    </row>
    <row r="373" spans="2:2" x14ac:dyDescent="0.35">
      <c r="B373" s="8" t="s">
        <v>226</v>
      </c>
    </row>
    <row r="374" spans="2:2" x14ac:dyDescent="0.35">
      <c r="B374" s="8" t="s">
        <v>4713</v>
      </c>
    </row>
    <row r="375" spans="2:2" x14ac:dyDescent="0.35">
      <c r="B375" s="8" t="s">
        <v>4212</v>
      </c>
    </row>
    <row r="376" spans="2:2" x14ac:dyDescent="0.35">
      <c r="B376" s="8" t="s">
        <v>5179</v>
      </c>
    </row>
    <row r="377" spans="2:2" x14ac:dyDescent="0.35">
      <c r="B377" s="8" t="s">
        <v>3289</v>
      </c>
    </row>
    <row r="378" spans="2:2" x14ac:dyDescent="0.35">
      <c r="B378" s="8" t="s">
        <v>492</v>
      </c>
    </row>
    <row r="379" spans="2:2" x14ac:dyDescent="0.35">
      <c r="B379" s="8" t="s">
        <v>1926</v>
      </c>
    </row>
    <row r="380" spans="2:2" x14ac:dyDescent="0.35">
      <c r="B380" s="8" t="s">
        <v>392</v>
      </c>
    </row>
    <row r="381" spans="2:2" x14ac:dyDescent="0.35">
      <c r="B381" s="8" t="s">
        <v>394</v>
      </c>
    </row>
    <row r="382" spans="2:2" x14ac:dyDescent="0.35">
      <c r="B382" s="8" t="s">
        <v>3871</v>
      </c>
    </row>
    <row r="383" spans="2:2" x14ac:dyDescent="0.35">
      <c r="B383" s="8" t="s">
        <v>2453</v>
      </c>
    </row>
    <row r="384" spans="2:2" x14ac:dyDescent="0.35">
      <c r="B384" s="8" t="s">
        <v>4529</v>
      </c>
    </row>
    <row r="385" spans="2:2" x14ac:dyDescent="0.35">
      <c r="B385" s="8" t="s">
        <v>2769</v>
      </c>
    </row>
    <row r="386" spans="2:2" x14ac:dyDescent="0.35">
      <c r="B386" s="8" t="s">
        <v>2733</v>
      </c>
    </row>
    <row r="387" spans="2:2" x14ac:dyDescent="0.35">
      <c r="B387" s="8" t="s">
        <v>498</v>
      </c>
    </row>
    <row r="388" spans="2:2" x14ac:dyDescent="0.35">
      <c r="B388" s="8" t="s">
        <v>3047</v>
      </c>
    </row>
    <row r="389" spans="2:2" x14ac:dyDescent="0.35">
      <c r="B389" s="8" t="s">
        <v>663</v>
      </c>
    </row>
    <row r="390" spans="2:2" x14ac:dyDescent="0.35">
      <c r="B390" s="8" t="s">
        <v>3635</v>
      </c>
    </row>
    <row r="391" spans="2:2" x14ac:dyDescent="0.35">
      <c r="B391" s="8" t="s">
        <v>2737</v>
      </c>
    </row>
    <row r="392" spans="2:2" x14ac:dyDescent="0.35">
      <c r="B392" s="8" t="s">
        <v>2841</v>
      </c>
    </row>
    <row r="393" spans="2:2" x14ac:dyDescent="0.35">
      <c r="B393" s="8" t="s">
        <v>1736</v>
      </c>
    </row>
    <row r="394" spans="2:2" x14ac:dyDescent="0.35">
      <c r="B394" s="8" t="s">
        <v>1139</v>
      </c>
    </row>
    <row r="395" spans="2:2" x14ac:dyDescent="0.35">
      <c r="B395" s="8" t="s">
        <v>5659</v>
      </c>
    </row>
    <row r="396" spans="2:2" x14ac:dyDescent="0.35">
      <c r="B396" s="8" t="s">
        <v>5553</v>
      </c>
    </row>
    <row r="397" spans="2:2" x14ac:dyDescent="0.35">
      <c r="B397" s="8" t="s">
        <v>3959</v>
      </c>
    </row>
    <row r="398" spans="2:2" x14ac:dyDescent="0.35">
      <c r="B398" s="8" t="s">
        <v>4218</v>
      </c>
    </row>
    <row r="399" spans="2:2" x14ac:dyDescent="0.35">
      <c r="B399" s="8" t="s">
        <v>1847</v>
      </c>
    </row>
    <row r="400" spans="2:2" x14ac:dyDescent="0.35">
      <c r="B400" s="8" t="s">
        <v>4990</v>
      </c>
    </row>
    <row r="401" spans="2:2" x14ac:dyDescent="0.35">
      <c r="B401" s="8" t="s">
        <v>2785</v>
      </c>
    </row>
    <row r="402" spans="2:2" x14ac:dyDescent="0.35">
      <c r="B402" s="8" t="s">
        <v>2787</v>
      </c>
    </row>
    <row r="403" spans="2:2" x14ac:dyDescent="0.35">
      <c r="B403" s="8" t="s">
        <v>3509</v>
      </c>
    </row>
    <row r="404" spans="2:2" x14ac:dyDescent="0.35">
      <c r="B404" s="8" t="s">
        <v>1317</v>
      </c>
    </row>
    <row r="405" spans="2:2" x14ac:dyDescent="0.35">
      <c r="B405" s="8" t="s">
        <v>2843</v>
      </c>
    </row>
    <row r="406" spans="2:2" x14ac:dyDescent="0.35">
      <c r="B406" s="8" t="s">
        <v>3671</v>
      </c>
    </row>
    <row r="407" spans="2:2" x14ac:dyDescent="0.35">
      <c r="B407" s="8" t="s">
        <v>2845</v>
      </c>
    </row>
    <row r="408" spans="2:2" x14ac:dyDescent="0.35">
      <c r="B408" s="8" t="s">
        <v>3637</v>
      </c>
    </row>
    <row r="409" spans="2:2" x14ac:dyDescent="0.35">
      <c r="B409" s="8" t="s">
        <v>1534</v>
      </c>
    </row>
    <row r="410" spans="2:2" x14ac:dyDescent="0.35">
      <c r="B410" s="8" t="s">
        <v>2699</v>
      </c>
    </row>
    <row r="411" spans="2:2" x14ac:dyDescent="0.35">
      <c r="B411" s="8" t="s">
        <v>3600</v>
      </c>
    </row>
    <row r="412" spans="2:2" x14ac:dyDescent="0.35">
      <c r="B412" s="8" t="s">
        <v>355</v>
      </c>
    </row>
    <row r="413" spans="2:2" x14ac:dyDescent="0.35">
      <c r="B413" s="8" t="s">
        <v>2090</v>
      </c>
    </row>
    <row r="414" spans="2:2" x14ac:dyDescent="0.35">
      <c r="B414" s="8" t="s">
        <v>502</v>
      </c>
    </row>
    <row r="415" spans="2:2" x14ac:dyDescent="0.35">
      <c r="B415" s="8" t="s">
        <v>2703</v>
      </c>
    </row>
    <row r="416" spans="2:2" x14ac:dyDescent="0.35">
      <c r="B416" s="8" t="s">
        <v>4588</v>
      </c>
    </row>
    <row r="417" spans="2:2" x14ac:dyDescent="0.35">
      <c r="B417" s="8" t="s">
        <v>357</v>
      </c>
    </row>
    <row r="418" spans="2:2" x14ac:dyDescent="0.35">
      <c r="B418" s="8" t="s">
        <v>3392</v>
      </c>
    </row>
    <row r="419" spans="2:2" x14ac:dyDescent="0.35">
      <c r="B419" s="8" t="s">
        <v>2727</v>
      </c>
    </row>
    <row r="420" spans="2:2" x14ac:dyDescent="0.35">
      <c r="B420" s="8" t="s">
        <v>4277</v>
      </c>
    </row>
    <row r="421" spans="2:2" x14ac:dyDescent="0.35">
      <c r="B421" s="8" t="s">
        <v>1256</v>
      </c>
    </row>
    <row r="422" spans="2:2" x14ac:dyDescent="0.35">
      <c r="B422" s="8" t="s">
        <v>3434</v>
      </c>
    </row>
    <row r="423" spans="2:2" x14ac:dyDescent="0.35">
      <c r="B423" s="8" t="s">
        <v>4816</v>
      </c>
    </row>
    <row r="424" spans="2:2" x14ac:dyDescent="0.35">
      <c r="B424" s="8" t="s">
        <v>5389</v>
      </c>
    </row>
    <row r="425" spans="2:2" x14ac:dyDescent="0.35">
      <c r="B425" s="8" t="s">
        <v>4439</v>
      </c>
    </row>
    <row r="426" spans="2:2" x14ac:dyDescent="0.35">
      <c r="B426" s="8" t="s">
        <v>1639</v>
      </c>
    </row>
    <row r="427" spans="2:2" x14ac:dyDescent="0.35">
      <c r="B427" s="8" t="s">
        <v>3988</v>
      </c>
    </row>
    <row r="428" spans="2:2" x14ac:dyDescent="0.35">
      <c r="B428" s="8" t="s">
        <v>228</v>
      </c>
    </row>
    <row r="429" spans="2:2" x14ac:dyDescent="0.35">
      <c r="B429" s="8" t="s">
        <v>1786</v>
      </c>
    </row>
    <row r="430" spans="2:2" x14ac:dyDescent="0.35">
      <c r="B430" s="8" t="s">
        <v>5217</v>
      </c>
    </row>
    <row r="431" spans="2:2" x14ac:dyDescent="0.35">
      <c r="B431" s="8" t="s">
        <v>543</v>
      </c>
    </row>
    <row r="432" spans="2:2" x14ac:dyDescent="0.35">
      <c r="B432" s="8" t="s">
        <v>4145</v>
      </c>
    </row>
    <row r="433" spans="2:2" x14ac:dyDescent="0.35">
      <c r="B433" s="8" t="s">
        <v>3873</v>
      </c>
    </row>
    <row r="434" spans="2:2" x14ac:dyDescent="0.35">
      <c r="B434" s="8" t="s">
        <v>5133</v>
      </c>
    </row>
    <row r="435" spans="2:2" x14ac:dyDescent="0.35">
      <c r="B435" s="8" t="s">
        <v>4992</v>
      </c>
    </row>
    <row r="436" spans="2:2" x14ac:dyDescent="0.35">
      <c r="B436" s="8" t="s">
        <v>5080</v>
      </c>
    </row>
    <row r="437" spans="2:2" x14ac:dyDescent="0.35">
      <c r="B437" s="8" t="s">
        <v>843</v>
      </c>
    </row>
    <row r="438" spans="2:2" x14ac:dyDescent="0.35">
      <c r="B438" s="8" t="s">
        <v>1859</v>
      </c>
    </row>
    <row r="439" spans="2:2" x14ac:dyDescent="0.35">
      <c r="B439" s="8" t="s">
        <v>3003</v>
      </c>
    </row>
    <row r="440" spans="2:2" x14ac:dyDescent="0.35">
      <c r="B440" s="8" t="s">
        <v>4744</v>
      </c>
    </row>
    <row r="441" spans="2:2" x14ac:dyDescent="0.35">
      <c r="B441" s="8" t="s">
        <v>1641</v>
      </c>
    </row>
    <row r="442" spans="2:2" x14ac:dyDescent="0.35">
      <c r="B442" s="8" t="s">
        <v>1062</v>
      </c>
    </row>
    <row r="443" spans="2:2" x14ac:dyDescent="0.35">
      <c r="B443" s="8" t="s">
        <v>4820</v>
      </c>
    </row>
    <row r="444" spans="2:2" x14ac:dyDescent="0.35">
      <c r="B444" s="8" t="s">
        <v>2274</v>
      </c>
    </row>
    <row r="445" spans="2:2" x14ac:dyDescent="0.35">
      <c r="B445" s="8" t="s">
        <v>4355</v>
      </c>
    </row>
    <row r="446" spans="2:2" x14ac:dyDescent="0.35">
      <c r="B446" s="8" t="s">
        <v>2176</v>
      </c>
    </row>
    <row r="447" spans="2:2" x14ac:dyDescent="0.35">
      <c r="B447" s="8" t="s">
        <v>4994</v>
      </c>
    </row>
    <row r="448" spans="2:2" x14ac:dyDescent="0.35">
      <c r="B448" s="8" t="s">
        <v>2556</v>
      </c>
    </row>
    <row r="449" spans="2:2" x14ac:dyDescent="0.35">
      <c r="B449" s="8" t="s">
        <v>5135</v>
      </c>
    </row>
    <row r="450" spans="2:2" x14ac:dyDescent="0.35">
      <c r="B450" s="8" t="s">
        <v>1001</v>
      </c>
    </row>
    <row r="451" spans="2:2" x14ac:dyDescent="0.35">
      <c r="B451" s="8" t="s">
        <v>1258</v>
      </c>
    </row>
    <row r="452" spans="2:2" x14ac:dyDescent="0.35">
      <c r="B452" s="8" t="s">
        <v>5239</v>
      </c>
    </row>
    <row r="453" spans="2:2" x14ac:dyDescent="0.35">
      <c r="B453" s="8" t="s">
        <v>1065</v>
      </c>
    </row>
    <row r="454" spans="2:2" x14ac:dyDescent="0.35">
      <c r="B454" s="8" t="s">
        <v>1377</v>
      </c>
    </row>
    <row r="455" spans="2:2" x14ac:dyDescent="0.35">
      <c r="B455" s="8" t="s">
        <v>1382</v>
      </c>
    </row>
    <row r="456" spans="2:2" x14ac:dyDescent="0.35">
      <c r="B456" s="8" t="s">
        <v>1067</v>
      </c>
    </row>
    <row r="457" spans="2:2" x14ac:dyDescent="0.35">
      <c r="B457" s="8" t="s">
        <v>5082</v>
      </c>
    </row>
    <row r="458" spans="2:2" x14ac:dyDescent="0.35">
      <c r="B458" s="8" t="s">
        <v>4281</v>
      </c>
    </row>
    <row r="459" spans="2:2" x14ac:dyDescent="0.35">
      <c r="B459" s="8" t="s">
        <v>150</v>
      </c>
    </row>
    <row r="460" spans="2:2" x14ac:dyDescent="0.35">
      <c r="B460" s="8" t="s">
        <v>2932</v>
      </c>
    </row>
    <row r="461" spans="2:2" x14ac:dyDescent="0.35">
      <c r="B461" s="8" t="s">
        <v>1095</v>
      </c>
    </row>
    <row r="462" spans="2:2" x14ac:dyDescent="0.35">
      <c r="B462" s="8" t="s">
        <v>546</v>
      </c>
    </row>
    <row r="463" spans="2:2" x14ac:dyDescent="0.35">
      <c r="B463" s="8" t="s">
        <v>2560</v>
      </c>
    </row>
    <row r="464" spans="2:2" x14ac:dyDescent="0.35">
      <c r="B464" s="8" t="s">
        <v>2278</v>
      </c>
    </row>
    <row r="465" spans="2:2" x14ac:dyDescent="0.35">
      <c r="B465" s="8" t="s">
        <v>295</v>
      </c>
    </row>
    <row r="466" spans="2:2" x14ac:dyDescent="0.35">
      <c r="B466" s="8" t="s">
        <v>4998</v>
      </c>
    </row>
    <row r="467" spans="2:2" x14ac:dyDescent="0.35">
      <c r="B467" s="8" t="s">
        <v>2562</v>
      </c>
    </row>
    <row r="468" spans="2:2" x14ac:dyDescent="0.35">
      <c r="B468" s="8" t="s">
        <v>2809</v>
      </c>
    </row>
    <row r="469" spans="2:2" x14ac:dyDescent="0.35">
      <c r="B469" s="8" t="s">
        <v>208</v>
      </c>
    </row>
    <row r="470" spans="2:2" x14ac:dyDescent="0.35">
      <c r="B470" s="8" t="s">
        <v>3236</v>
      </c>
    </row>
    <row r="471" spans="2:2" x14ac:dyDescent="0.35">
      <c r="B471" s="8" t="s">
        <v>3732</v>
      </c>
    </row>
    <row r="472" spans="2:2" x14ac:dyDescent="0.35">
      <c r="B472" s="8" t="s">
        <v>5131</v>
      </c>
    </row>
    <row r="473" spans="2:2" x14ac:dyDescent="0.35">
      <c r="B473" s="8" t="s">
        <v>4448</v>
      </c>
    </row>
    <row r="474" spans="2:2" x14ac:dyDescent="0.35">
      <c r="B474" s="8" t="s">
        <v>3302</v>
      </c>
    </row>
    <row r="475" spans="2:2" x14ac:dyDescent="0.35">
      <c r="B475" s="8" t="s">
        <v>3304</v>
      </c>
    </row>
    <row r="476" spans="2:2" x14ac:dyDescent="0.35">
      <c r="B476" s="8" t="s">
        <v>5399</v>
      </c>
    </row>
    <row r="477" spans="2:2" x14ac:dyDescent="0.35">
      <c r="B477" s="8" t="s">
        <v>2112</v>
      </c>
    </row>
    <row r="478" spans="2:2" x14ac:dyDescent="0.35">
      <c r="B478" s="8" t="s">
        <v>2004</v>
      </c>
    </row>
    <row r="479" spans="2:2" x14ac:dyDescent="0.35">
      <c r="B479" s="8" t="s">
        <v>3282</v>
      </c>
    </row>
    <row r="480" spans="2:2" x14ac:dyDescent="0.35">
      <c r="B480" s="8" t="s">
        <v>1857</v>
      </c>
    </row>
    <row r="481" spans="2:2" x14ac:dyDescent="0.35">
      <c r="B481" s="8" t="s">
        <v>1005</v>
      </c>
    </row>
    <row r="482" spans="2:2" x14ac:dyDescent="0.35">
      <c r="B482" s="8" t="s">
        <v>3306</v>
      </c>
    </row>
    <row r="483" spans="2:2" x14ac:dyDescent="0.35">
      <c r="B483" s="8" t="s">
        <v>3994</v>
      </c>
    </row>
    <row r="484" spans="2:2" x14ac:dyDescent="0.35">
      <c r="B484" s="8" t="s">
        <v>4151</v>
      </c>
    </row>
    <row r="485" spans="2:2" x14ac:dyDescent="0.35">
      <c r="B485" s="8" t="s">
        <v>1647</v>
      </c>
    </row>
    <row r="486" spans="2:2" x14ac:dyDescent="0.35">
      <c r="B486" s="8" t="s">
        <v>3291</v>
      </c>
    </row>
    <row r="487" spans="2:2" x14ac:dyDescent="0.35">
      <c r="B487" s="8" t="s">
        <v>154</v>
      </c>
    </row>
    <row r="488" spans="2:2" x14ac:dyDescent="0.35">
      <c r="B488" s="8" t="s">
        <v>5137</v>
      </c>
    </row>
    <row r="489" spans="2:2" x14ac:dyDescent="0.35">
      <c r="B489" s="8" t="s">
        <v>4153</v>
      </c>
    </row>
    <row r="490" spans="2:2" x14ac:dyDescent="0.35">
      <c r="B490" s="8" t="s">
        <v>1651</v>
      </c>
    </row>
    <row r="491" spans="2:2" x14ac:dyDescent="0.35">
      <c r="B491" s="8" t="s">
        <v>1653</v>
      </c>
    </row>
    <row r="492" spans="2:2" x14ac:dyDescent="0.35">
      <c r="B492" s="8" t="s">
        <v>3996</v>
      </c>
    </row>
    <row r="493" spans="2:2" x14ac:dyDescent="0.35">
      <c r="B493" s="8" t="s">
        <v>297</v>
      </c>
    </row>
    <row r="494" spans="2:2" x14ac:dyDescent="0.35">
      <c r="B494" s="8" t="s">
        <v>4824</v>
      </c>
    </row>
    <row r="495" spans="2:2" x14ac:dyDescent="0.35">
      <c r="B495" s="8" t="s">
        <v>5401</v>
      </c>
    </row>
    <row r="496" spans="2:2" x14ac:dyDescent="0.35">
      <c r="B496" s="8" t="s">
        <v>3803</v>
      </c>
    </row>
    <row r="497" spans="2:2" x14ac:dyDescent="0.35">
      <c r="B497" s="8" t="s">
        <v>1359</v>
      </c>
    </row>
    <row r="498" spans="2:2" x14ac:dyDescent="0.35">
      <c r="B498" s="8" t="s">
        <v>5139</v>
      </c>
    </row>
    <row r="499" spans="2:2" x14ac:dyDescent="0.35">
      <c r="B499" s="8" t="s">
        <v>4437</v>
      </c>
    </row>
    <row r="500" spans="2:2" x14ac:dyDescent="0.35">
      <c r="B500" s="8" t="s">
        <v>303</v>
      </c>
    </row>
    <row r="501" spans="2:2" x14ac:dyDescent="0.35">
      <c r="B501" s="8" t="s">
        <v>230</v>
      </c>
    </row>
    <row r="502" spans="2:2" x14ac:dyDescent="0.35">
      <c r="B502" s="8" t="s">
        <v>668</v>
      </c>
    </row>
    <row r="503" spans="2:2" x14ac:dyDescent="0.35">
      <c r="B503" s="8" t="s">
        <v>5010</v>
      </c>
    </row>
    <row r="504" spans="2:2" x14ac:dyDescent="0.35">
      <c r="B504" s="8" t="s">
        <v>1216</v>
      </c>
    </row>
    <row r="505" spans="2:2" x14ac:dyDescent="0.35">
      <c r="B505" s="8" t="s">
        <v>3766</v>
      </c>
    </row>
    <row r="506" spans="2:2" x14ac:dyDescent="0.35">
      <c r="B506" s="8" t="s">
        <v>4361</v>
      </c>
    </row>
    <row r="507" spans="2:2" x14ac:dyDescent="0.35">
      <c r="B507" s="8" t="s">
        <v>670</v>
      </c>
    </row>
    <row r="508" spans="2:2" x14ac:dyDescent="0.35">
      <c r="B508" s="8" t="s">
        <v>5090</v>
      </c>
    </row>
    <row r="509" spans="2:2" x14ac:dyDescent="0.35">
      <c r="B509" s="8" t="s">
        <v>1228</v>
      </c>
    </row>
    <row r="510" spans="2:2" x14ac:dyDescent="0.35">
      <c r="B510" s="8" t="s">
        <v>4832</v>
      </c>
    </row>
    <row r="511" spans="2:2" x14ac:dyDescent="0.35">
      <c r="B511" s="8" t="s">
        <v>1264</v>
      </c>
    </row>
    <row r="512" spans="2:2" x14ac:dyDescent="0.35">
      <c r="B512" s="8" t="s">
        <v>3322</v>
      </c>
    </row>
    <row r="513" spans="2:2" x14ac:dyDescent="0.35">
      <c r="B513" s="8" t="s">
        <v>1266</v>
      </c>
    </row>
    <row r="514" spans="2:2" x14ac:dyDescent="0.35">
      <c r="B514" s="8" t="s">
        <v>672</v>
      </c>
    </row>
    <row r="515" spans="2:2" x14ac:dyDescent="0.35">
      <c r="B515" s="8" t="s">
        <v>1229</v>
      </c>
    </row>
    <row r="516" spans="2:2" x14ac:dyDescent="0.35">
      <c r="B516" s="8" t="s">
        <v>5481</v>
      </c>
    </row>
    <row r="517" spans="2:2" x14ac:dyDescent="0.35">
      <c r="B517" s="8" t="s">
        <v>2011</v>
      </c>
    </row>
    <row r="518" spans="2:2" x14ac:dyDescent="0.35">
      <c r="B518" s="8" t="s">
        <v>1734</v>
      </c>
    </row>
    <row r="519" spans="2:2" x14ac:dyDescent="0.35">
      <c r="B519" s="8" t="s">
        <v>2660</v>
      </c>
    </row>
    <row r="520" spans="2:2" x14ac:dyDescent="0.35">
      <c r="B520" s="8" t="s">
        <v>3885</v>
      </c>
    </row>
    <row r="521" spans="2:2" x14ac:dyDescent="0.35">
      <c r="B521" s="8" t="s">
        <v>4750</v>
      </c>
    </row>
    <row r="522" spans="2:2" x14ac:dyDescent="0.35">
      <c r="B522" s="8" t="s">
        <v>562</v>
      </c>
    </row>
    <row r="523" spans="2:2" x14ac:dyDescent="0.35">
      <c r="B523" s="8" t="s">
        <v>564</v>
      </c>
    </row>
    <row r="524" spans="2:2" x14ac:dyDescent="0.35">
      <c r="B524" s="8" t="s">
        <v>4165</v>
      </c>
    </row>
    <row r="525" spans="2:2" x14ac:dyDescent="0.35">
      <c r="B525" s="8" t="s">
        <v>5223</v>
      </c>
    </row>
    <row r="526" spans="2:2" x14ac:dyDescent="0.35">
      <c r="B526" s="8" t="s">
        <v>1461</v>
      </c>
    </row>
    <row r="527" spans="2:2" x14ac:dyDescent="0.35">
      <c r="B527" s="8" t="s">
        <v>1746</v>
      </c>
    </row>
    <row r="528" spans="2:2" x14ac:dyDescent="0.35">
      <c r="B528" s="8" t="s">
        <v>5143</v>
      </c>
    </row>
    <row r="529" spans="2:2" x14ac:dyDescent="0.35">
      <c r="B529" s="8" t="s">
        <v>1011</v>
      </c>
    </row>
    <row r="530" spans="2:2" x14ac:dyDescent="0.35">
      <c r="B530" s="8" t="s">
        <v>1013</v>
      </c>
    </row>
    <row r="531" spans="2:2" x14ac:dyDescent="0.35">
      <c r="B531" s="8" t="s">
        <v>3011</v>
      </c>
    </row>
    <row r="532" spans="2:2" x14ac:dyDescent="0.35">
      <c r="B532" s="8" t="s">
        <v>4169</v>
      </c>
    </row>
    <row r="533" spans="2:2" x14ac:dyDescent="0.35">
      <c r="B533" s="8" t="s">
        <v>291</v>
      </c>
    </row>
    <row r="534" spans="2:2" x14ac:dyDescent="0.35">
      <c r="B534" s="8" t="s">
        <v>4171</v>
      </c>
    </row>
    <row r="535" spans="2:2" x14ac:dyDescent="0.35">
      <c r="B535" s="8" t="s">
        <v>2183</v>
      </c>
    </row>
    <row r="536" spans="2:2" x14ac:dyDescent="0.35">
      <c r="B536" s="8" t="s">
        <v>3886</v>
      </c>
    </row>
    <row r="537" spans="2:2" x14ac:dyDescent="0.35">
      <c r="B537" s="8" t="s">
        <v>3278</v>
      </c>
    </row>
    <row r="538" spans="2:2" x14ac:dyDescent="0.35">
      <c r="B538" s="8" t="s">
        <v>3310</v>
      </c>
    </row>
    <row r="539" spans="2:2" x14ac:dyDescent="0.35">
      <c r="B539" s="8" t="s">
        <v>1967</v>
      </c>
    </row>
    <row r="540" spans="2:2" x14ac:dyDescent="0.35">
      <c r="B540" s="8" t="s">
        <v>674</v>
      </c>
    </row>
    <row r="541" spans="2:2" x14ac:dyDescent="0.35">
      <c r="B541" s="8" t="s">
        <v>3997</v>
      </c>
    </row>
    <row r="542" spans="2:2" x14ac:dyDescent="0.35">
      <c r="B542" s="8" t="s">
        <v>1218</v>
      </c>
    </row>
    <row r="543" spans="2:2" x14ac:dyDescent="0.35">
      <c r="B543" s="8" t="s">
        <v>1015</v>
      </c>
    </row>
    <row r="544" spans="2:2" x14ac:dyDescent="0.35">
      <c r="B544" s="8" t="s">
        <v>859</v>
      </c>
    </row>
    <row r="545" spans="2:2" x14ac:dyDescent="0.35">
      <c r="B545" s="8" t="s">
        <v>4261</v>
      </c>
    </row>
    <row r="546" spans="2:2" x14ac:dyDescent="0.35">
      <c r="B546" s="8" t="s">
        <v>2580</v>
      </c>
    </row>
    <row r="547" spans="2:2" x14ac:dyDescent="0.35">
      <c r="B547" s="8" t="s">
        <v>5615</v>
      </c>
    </row>
    <row r="548" spans="2:2" x14ac:dyDescent="0.35">
      <c r="B548" s="8" t="s">
        <v>733</v>
      </c>
    </row>
    <row r="549" spans="2:2" x14ac:dyDescent="0.35">
      <c r="B549" s="8" t="s">
        <v>5306</v>
      </c>
    </row>
    <row r="550" spans="2:2" x14ac:dyDescent="0.35">
      <c r="B550" s="8" t="s">
        <v>3675</v>
      </c>
    </row>
    <row r="551" spans="2:2" x14ac:dyDescent="0.35">
      <c r="B551" s="8" t="s">
        <v>5619</v>
      </c>
    </row>
    <row r="552" spans="2:2" x14ac:dyDescent="0.35">
      <c r="B552" s="8" t="s">
        <v>4173</v>
      </c>
    </row>
    <row r="553" spans="2:2" x14ac:dyDescent="0.35">
      <c r="B553" s="8" t="s">
        <v>2294</v>
      </c>
    </row>
    <row r="554" spans="2:2" x14ac:dyDescent="0.35">
      <c r="B554" s="8" t="s">
        <v>4259</v>
      </c>
    </row>
    <row r="555" spans="2:2" x14ac:dyDescent="0.35">
      <c r="B555" s="8" t="s">
        <v>2620</v>
      </c>
    </row>
    <row r="556" spans="2:2" x14ac:dyDescent="0.35">
      <c r="B556" s="8" t="s">
        <v>4001</v>
      </c>
    </row>
    <row r="557" spans="2:2" x14ac:dyDescent="0.35">
      <c r="B557" s="8" t="s">
        <v>3314</v>
      </c>
    </row>
    <row r="558" spans="2:2" x14ac:dyDescent="0.35">
      <c r="B558" s="8" t="s">
        <v>1661</v>
      </c>
    </row>
    <row r="559" spans="2:2" x14ac:dyDescent="0.35">
      <c r="B559" s="8" t="s">
        <v>5485</v>
      </c>
    </row>
    <row r="560" spans="2:2" x14ac:dyDescent="0.35">
      <c r="B560" s="8" t="s">
        <v>2324</v>
      </c>
    </row>
    <row r="561" spans="2:2" x14ac:dyDescent="0.35">
      <c r="B561" s="8" t="s">
        <v>1075</v>
      </c>
    </row>
    <row r="562" spans="2:2" x14ac:dyDescent="0.35">
      <c r="B562" s="8" t="s">
        <v>2879</v>
      </c>
    </row>
    <row r="563" spans="2:2" x14ac:dyDescent="0.35">
      <c r="B563" s="8" t="s">
        <v>4183</v>
      </c>
    </row>
    <row r="564" spans="2:2" x14ac:dyDescent="0.35">
      <c r="B564" s="8" t="s">
        <v>3286</v>
      </c>
    </row>
    <row r="565" spans="2:2" x14ac:dyDescent="0.35">
      <c r="B565" s="8" t="s">
        <v>5308</v>
      </c>
    </row>
    <row r="566" spans="2:2" x14ac:dyDescent="0.35">
      <c r="B566" s="8" t="s">
        <v>3444</v>
      </c>
    </row>
    <row r="567" spans="2:2" x14ac:dyDescent="0.35">
      <c r="B567" s="8" t="s">
        <v>1077</v>
      </c>
    </row>
    <row r="568" spans="2:2" x14ac:dyDescent="0.35">
      <c r="B568" s="8" t="s">
        <v>5487</v>
      </c>
    </row>
    <row r="569" spans="2:2" x14ac:dyDescent="0.35">
      <c r="B569" s="8" t="s">
        <v>1060</v>
      </c>
    </row>
    <row r="570" spans="2:2" x14ac:dyDescent="0.35">
      <c r="B570" s="8" t="s">
        <v>5147</v>
      </c>
    </row>
    <row r="571" spans="2:2" x14ac:dyDescent="0.35">
      <c r="B571" s="8" t="s">
        <v>4456</v>
      </c>
    </row>
    <row r="572" spans="2:2" x14ac:dyDescent="0.35">
      <c r="B572" s="8" t="s">
        <v>741</v>
      </c>
    </row>
    <row r="573" spans="2:2" x14ac:dyDescent="0.35">
      <c r="B573" s="8" t="s">
        <v>1237</v>
      </c>
    </row>
    <row r="574" spans="2:2" x14ac:dyDescent="0.35">
      <c r="B574" s="8" t="s">
        <v>69</v>
      </c>
    </row>
    <row r="575" spans="2:2" x14ac:dyDescent="0.35">
      <c r="B575" s="8" t="s">
        <v>4460</v>
      </c>
    </row>
    <row r="576" spans="2:2" x14ac:dyDescent="0.35">
      <c r="B576" s="8" t="s">
        <v>2300</v>
      </c>
    </row>
    <row r="577" spans="2:2" x14ac:dyDescent="0.35">
      <c r="B577" s="8" t="s">
        <v>45</v>
      </c>
    </row>
    <row r="578" spans="2:2" x14ac:dyDescent="0.35">
      <c r="B578" s="8" t="s">
        <v>743</v>
      </c>
    </row>
    <row r="579" spans="2:2" x14ac:dyDescent="0.35">
      <c r="B579" s="8" t="s">
        <v>569</v>
      </c>
    </row>
    <row r="580" spans="2:2" x14ac:dyDescent="0.35">
      <c r="B580" s="8" t="s">
        <v>1023</v>
      </c>
    </row>
    <row r="581" spans="2:2" x14ac:dyDescent="0.35">
      <c r="B581" s="8" t="s">
        <v>2019</v>
      </c>
    </row>
    <row r="582" spans="2:2" x14ac:dyDescent="0.35">
      <c r="B582" s="8" t="s">
        <v>5491</v>
      </c>
    </row>
    <row r="583" spans="2:2" x14ac:dyDescent="0.35">
      <c r="B583" s="8" t="s">
        <v>1220</v>
      </c>
    </row>
    <row r="584" spans="2:2" x14ac:dyDescent="0.35">
      <c r="B584" s="8" t="s">
        <v>2574</v>
      </c>
    </row>
    <row r="585" spans="2:2" x14ac:dyDescent="0.35">
      <c r="B585" s="8" t="s">
        <v>5289</v>
      </c>
    </row>
    <row r="586" spans="2:2" x14ac:dyDescent="0.35">
      <c r="B586" s="8" t="s">
        <v>3407</v>
      </c>
    </row>
    <row r="587" spans="2:2" x14ac:dyDescent="0.35">
      <c r="B587" s="8" t="s">
        <v>5231</v>
      </c>
    </row>
    <row r="588" spans="2:2" x14ac:dyDescent="0.35">
      <c r="B588" s="8" t="s">
        <v>2630</v>
      </c>
    </row>
    <row r="589" spans="2:2" x14ac:dyDescent="0.35">
      <c r="B589" s="8" t="s">
        <v>5495</v>
      </c>
    </row>
    <row r="590" spans="2:2" x14ac:dyDescent="0.35">
      <c r="B590" s="8" t="s">
        <v>5497</v>
      </c>
    </row>
    <row r="591" spans="2:2" x14ac:dyDescent="0.35">
      <c r="B591" s="8" t="s">
        <v>661</v>
      </c>
    </row>
    <row r="592" spans="2:2" x14ac:dyDescent="0.35">
      <c r="B592" s="8" t="s">
        <v>4758</v>
      </c>
    </row>
    <row r="593" spans="2:2" x14ac:dyDescent="0.35">
      <c r="B593" s="8" t="s">
        <v>3349</v>
      </c>
    </row>
    <row r="594" spans="2:2" x14ac:dyDescent="0.35">
      <c r="B594" s="8" t="s">
        <v>2943</v>
      </c>
    </row>
    <row r="595" spans="2:2" x14ac:dyDescent="0.35">
      <c r="B595" s="8" t="s">
        <v>1241</v>
      </c>
    </row>
    <row r="596" spans="2:2" x14ac:dyDescent="0.35">
      <c r="B596" s="8" t="s">
        <v>4141</v>
      </c>
    </row>
    <row r="597" spans="2:2" x14ac:dyDescent="0.35">
      <c r="B597" s="8" t="s">
        <v>2120</v>
      </c>
    </row>
    <row r="598" spans="2:2" x14ac:dyDescent="0.35">
      <c r="B598" s="8" t="s">
        <v>3318</v>
      </c>
    </row>
    <row r="599" spans="2:2" x14ac:dyDescent="0.35">
      <c r="B599" s="8" t="s">
        <v>2305</v>
      </c>
    </row>
    <row r="600" spans="2:2" x14ac:dyDescent="0.35">
      <c r="B600" s="8" t="s">
        <v>5500</v>
      </c>
    </row>
    <row r="601" spans="2:2" x14ac:dyDescent="0.35">
      <c r="B601" s="8" t="s">
        <v>4191</v>
      </c>
    </row>
    <row r="602" spans="2:2" x14ac:dyDescent="0.35">
      <c r="B602" s="8" t="s">
        <v>1243</v>
      </c>
    </row>
    <row r="603" spans="2:2" x14ac:dyDescent="0.35">
      <c r="B603" s="8" t="s">
        <v>1475</v>
      </c>
    </row>
    <row r="604" spans="2:2" x14ac:dyDescent="0.35">
      <c r="B604" s="8" t="s">
        <v>2664</v>
      </c>
    </row>
    <row r="605" spans="2:2" x14ac:dyDescent="0.35">
      <c r="B605" s="8" t="s">
        <v>2026</v>
      </c>
    </row>
    <row r="606" spans="2:2" x14ac:dyDescent="0.35">
      <c r="B606" s="8" t="s">
        <v>4267</v>
      </c>
    </row>
    <row r="607" spans="2:2" x14ac:dyDescent="0.35">
      <c r="B607" s="8" t="s">
        <v>2307</v>
      </c>
    </row>
    <row r="608" spans="2:2" x14ac:dyDescent="0.35">
      <c r="B608" s="8" t="s">
        <v>4468</v>
      </c>
    </row>
    <row r="609" spans="2:2" x14ac:dyDescent="0.35">
      <c r="B609" s="8" t="s">
        <v>3335</v>
      </c>
    </row>
    <row r="610" spans="2:2" x14ac:dyDescent="0.35">
      <c r="B610" s="8" t="s">
        <v>239</v>
      </c>
    </row>
    <row r="611" spans="2:2" x14ac:dyDescent="0.35">
      <c r="B611" s="8" t="s">
        <v>3409</v>
      </c>
    </row>
    <row r="612" spans="2:2" x14ac:dyDescent="0.35">
      <c r="B612" s="8" t="s">
        <v>2134</v>
      </c>
    </row>
    <row r="613" spans="2:2" x14ac:dyDescent="0.35">
      <c r="B613" s="8" t="s">
        <v>556</v>
      </c>
    </row>
    <row r="614" spans="2:2" x14ac:dyDescent="0.35">
      <c r="B614" s="8" t="s">
        <v>3683</v>
      </c>
    </row>
    <row r="615" spans="2:2" x14ac:dyDescent="0.35">
      <c r="B615" s="8" t="s">
        <v>1028</v>
      </c>
    </row>
    <row r="616" spans="2:2" x14ac:dyDescent="0.35">
      <c r="B616" s="8" t="s">
        <v>2803</v>
      </c>
    </row>
    <row r="617" spans="2:2" x14ac:dyDescent="0.35">
      <c r="B617" s="8" t="s">
        <v>541</v>
      </c>
    </row>
    <row r="618" spans="2:2" x14ac:dyDescent="0.35">
      <c r="B618" s="8" t="s">
        <v>2311</v>
      </c>
    </row>
    <row r="619" spans="2:2" x14ac:dyDescent="0.35">
      <c r="B619" s="8" t="s">
        <v>241</v>
      </c>
    </row>
    <row r="620" spans="2:2" x14ac:dyDescent="0.35">
      <c r="B620" s="8" t="s">
        <v>4842</v>
      </c>
    </row>
    <row r="621" spans="2:2" x14ac:dyDescent="0.35">
      <c r="B621" s="8" t="s">
        <v>3320</v>
      </c>
    </row>
    <row r="622" spans="2:2" x14ac:dyDescent="0.35">
      <c r="B622" s="8" t="s">
        <v>2897</v>
      </c>
    </row>
    <row r="623" spans="2:2" x14ac:dyDescent="0.35">
      <c r="B623" s="8" t="s">
        <v>3448</v>
      </c>
    </row>
    <row r="624" spans="2:2" x14ac:dyDescent="0.35">
      <c r="B624" s="8" t="s">
        <v>686</v>
      </c>
    </row>
    <row r="625" spans="2:2" x14ac:dyDescent="0.35">
      <c r="B625" s="8" t="s">
        <v>4273</v>
      </c>
    </row>
    <row r="626" spans="2:2" x14ac:dyDescent="0.35">
      <c r="B626" s="8" t="s">
        <v>3346</v>
      </c>
    </row>
    <row r="627" spans="2:2" x14ac:dyDescent="0.35">
      <c r="B627" s="8" t="s">
        <v>4883</v>
      </c>
    </row>
    <row r="628" spans="2:2" x14ac:dyDescent="0.35">
      <c r="B628" s="8" t="s">
        <v>2170</v>
      </c>
    </row>
    <row r="629" spans="2:2" x14ac:dyDescent="0.35">
      <c r="B629" s="8" t="s">
        <v>1098</v>
      </c>
    </row>
    <row r="630" spans="2:2" x14ac:dyDescent="0.35">
      <c r="B630" s="8" t="s">
        <v>3709</v>
      </c>
    </row>
    <row r="631" spans="2:2" x14ac:dyDescent="0.35">
      <c r="B631" s="8" t="s">
        <v>4846</v>
      </c>
    </row>
    <row r="632" spans="2:2" x14ac:dyDescent="0.35">
      <c r="B632" s="8" t="s">
        <v>2342</v>
      </c>
    </row>
    <row r="633" spans="2:2" x14ac:dyDescent="0.35">
      <c r="B633" s="8" t="s">
        <v>2350</v>
      </c>
    </row>
    <row r="634" spans="2:2" x14ac:dyDescent="0.35">
      <c r="B634" s="8" t="s">
        <v>2544</v>
      </c>
    </row>
    <row r="635" spans="2:2" x14ac:dyDescent="0.35">
      <c r="B635" s="8" t="s">
        <v>5330</v>
      </c>
    </row>
    <row r="636" spans="2:2" x14ac:dyDescent="0.35">
      <c r="B636" s="8" t="s">
        <v>3492</v>
      </c>
    </row>
    <row r="637" spans="2:2" x14ac:dyDescent="0.35">
      <c r="B637" s="8" t="s">
        <v>3466</v>
      </c>
    </row>
    <row r="638" spans="2:2" x14ac:dyDescent="0.35">
      <c r="B638" s="8" t="s">
        <v>1401</v>
      </c>
    </row>
    <row r="639" spans="2:2" x14ac:dyDescent="0.35">
      <c r="B639" s="8" t="s">
        <v>3139</v>
      </c>
    </row>
    <row r="640" spans="2:2" x14ac:dyDescent="0.35">
      <c r="B640" s="8" t="s">
        <v>5516</v>
      </c>
    </row>
    <row r="641" spans="2:2" x14ac:dyDescent="0.35">
      <c r="B641" s="8" t="s">
        <v>5336</v>
      </c>
    </row>
    <row r="642" spans="2:2" x14ac:dyDescent="0.35">
      <c r="B642" s="8" t="s">
        <v>5565</v>
      </c>
    </row>
    <row r="643" spans="2:2" x14ac:dyDescent="0.35">
      <c r="B643" s="8" t="s">
        <v>4523</v>
      </c>
    </row>
    <row r="644" spans="2:2" x14ac:dyDescent="0.35">
      <c r="B644" s="8" t="s">
        <v>4773</v>
      </c>
    </row>
    <row r="645" spans="2:2" x14ac:dyDescent="0.35">
      <c r="B645" s="8" t="s">
        <v>4677</v>
      </c>
    </row>
    <row r="646" spans="2:2" x14ac:dyDescent="0.35">
      <c r="B646" s="8" t="s">
        <v>3869</v>
      </c>
    </row>
    <row r="647" spans="2:2" x14ac:dyDescent="0.35">
      <c r="B647" s="8" t="s">
        <v>4098</v>
      </c>
    </row>
    <row r="648" spans="2:2" x14ac:dyDescent="0.35">
      <c r="B648" s="8" t="s">
        <v>1562</v>
      </c>
    </row>
    <row r="649" spans="2:2" x14ac:dyDescent="0.35">
      <c r="B649" s="8" t="s">
        <v>1884</v>
      </c>
    </row>
    <row r="650" spans="2:2" x14ac:dyDescent="0.35">
      <c r="B650" s="8" t="s">
        <v>5294</v>
      </c>
    </row>
    <row r="651" spans="2:2" x14ac:dyDescent="0.35">
      <c r="B651" s="8" t="s">
        <v>378</v>
      </c>
    </row>
    <row r="652" spans="2:2" x14ac:dyDescent="0.35">
      <c r="B652" s="8" t="s">
        <v>993</v>
      </c>
    </row>
    <row r="653" spans="2:2" x14ac:dyDescent="0.35">
      <c r="B653" s="8" t="s">
        <v>2930</v>
      </c>
    </row>
    <row r="654" spans="2:2" x14ac:dyDescent="0.35">
      <c r="B654" s="8" t="s">
        <v>4985</v>
      </c>
    </row>
    <row r="655" spans="2:2" x14ac:dyDescent="0.35">
      <c r="B655" s="8" t="s">
        <v>535</v>
      </c>
    </row>
    <row r="656" spans="2:2" x14ac:dyDescent="0.35">
      <c r="B656" s="8" t="s">
        <v>5073</v>
      </c>
    </row>
    <row r="657" spans="2:2" x14ac:dyDescent="0.35">
      <c r="B657" s="8" t="s">
        <v>4403</v>
      </c>
    </row>
    <row r="658" spans="2:2" x14ac:dyDescent="0.35">
      <c r="B658" s="8" t="s">
        <v>4736</v>
      </c>
    </row>
    <row r="659" spans="2:2" x14ac:dyDescent="0.35">
      <c r="B659" s="8" t="s">
        <v>5385</v>
      </c>
    </row>
    <row r="660" spans="2:2" x14ac:dyDescent="0.35">
      <c r="B660" s="8" t="s">
        <v>4255</v>
      </c>
    </row>
    <row r="661" spans="2:2" x14ac:dyDescent="0.35">
      <c r="B661" s="8" t="s">
        <v>3106</v>
      </c>
    </row>
    <row r="662" spans="2:2" x14ac:dyDescent="0.35">
      <c r="B662" s="8" t="s">
        <v>5127</v>
      </c>
    </row>
    <row r="663" spans="2:2" x14ac:dyDescent="0.35">
      <c r="B663" s="8" t="s">
        <v>3986</v>
      </c>
    </row>
    <row r="664" spans="2:2" x14ac:dyDescent="0.35">
      <c r="B664" s="8" t="s">
        <v>4391</v>
      </c>
    </row>
    <row r="665" spans="2:2" x14ac:dyDescent="0.35">
      <c r="B665" s="8" t="s">
        <v>1994</v>
      </c>
    </row>
    <row r="666" spans="2:2" x14ac:dyDescent="0.35">
      <c r="B666" s="8" t="s">
        <v>4924</v>
      </c>
    </row>
    <row r="667" spans="2:2" x14ac:dyDescent="0.35">
      <c r="B667" s="8" t="s">
        <v>3933</v>
      </c>
    </row>
    <row r="668" spans="2:2" x14ac:dyDescent="0.35">
      <c r="B668" s="8" t="s">
        <v>984</v>
      </c>
    </row>
    <row r="669" spans="2:2" x14ac:dyDescent="0.35">
      <c r="B669" s="8" t="s">
        <v>3537</v>
      </c>
    </row>
    <row r="670" spans="2:2" x14ac:dyDescent="0.35">
      <c r="B670" s="8" t="s">
        <v>537</v>
      </c>
    </row>
    <row r="671" spans="2:2" x14ac:dyDescent="0.35">
      <c r="B671" s="8" t="s">
        <v>4643</v>
      </c>
    </row>
    <row r="672" spans="2:2" x14ac:dyDescent="0.35">
      <c r="B672" s="8" t="s">
        <v>337</v>
      </c>
    </row>
    <row r="673" spans="2:2" x14ac:dyDescent="0.35">
      <c r="B673" s="8" t="s">
        <v>5571</v>
      </c>
    </row>
    <row r="674" spans="2:2" x14ac:dyDescent="0.35">
      <c r="B674" s="8" t="s">
        <v>4515</v>
      </c>
    </row>
    <row r="675" spans="2:2" x14ac:dyDescent="0.35">
      <c r="B675" s="8" t="s">
        <v>1872</v>
      </c>
    </row>
    <row r="676" spans="2:2" x14ac:dyDescent="0.35">
      <c r="B676" s="8" t="s">
        <v>3462</v>
      </c>
    </row>
    <row r="677" spans="2:2" x14ac:dyDescent="0.35">
      <c r="B677" s="8" t="s">
        <v>1912</v>
      </c>
    </row>
    <row r="678" spans="2:2" x14ac:dyDescent="0.35">
      <c r="B678" s="8" t="s">
        <v>5340</v>
      </c>
    </row>
    <row r="679" spans="2:2" x14ac:dyDescent="0.35">
      <c r="B679" s="8" t="s">
        <v>3138</v>
      </c>
    </row>
    <row r="680" spans="2:2" x14ac:dyDescent="0.35">
      <c r="B680" s="8" t="s">
        <v>2602</v>
      </c>
    </row>
    <row r="681" spans="2:2" x14ac:dyDescent="0.35">
      <c r="B681" s="8" t="s">
        <v>3645</v>
      </c>
    </row>
    <row r="682" spans="2:2" x14ac:dyDescent="0.35">
      <c r="B682" s="8" t="s">
        <v>5342</v>
      </c>
    </row>
    <row r="683" spans="2:2" x14ac:dyDescent="0.35">
      <c r="B683" s="8" t="s">
        <v>2819</v>
      </c>
    </row>
    <row r="684" spans="2:2" x14ac:dyDescent="0.35">
      <c r="B684" s="8" t="s">
        <v>414</v>
      </c>
    </row>
    <row r="685" spans="2:2" x14ac:dyDescent="0.35">
      <c r="B685" s="8" t="s">
        <v>3248</v>
      </c>
    </row>
    <row r="686" spans="2:2" x14ac:dyDescent="0.35">
      <c r="B686" s="8" t="s">
        <v>4019</v>
      </c>
    </row>
    <row r="687" spans="2:2" x14ac:dyDescent="0.35">
      <c r="B687" s="8" t="s">
        <v>158</v>
      </c>
    </row>
    <row r="688" spans="2:2" x14ac:dyDescent="0.35">
      <c r="B688" s="8" t="s">
        <v>5024</v>
      </c>
    </row>
    <row r="689" spans="2:2" x14ac:dyDescent="0.35">
      <c r="B689" s="8" t="s">
        <v>2674</v>
      </c>
    </row>
    <row r="690" spans="2:2" x14ac:dyDescent="0.35">
      <c r="B690" s="8" t="s">
        <v>2670</v>
      </c>
    </row>
    <row r="691" spans="2:2" x14ac:dyDescent="0.35">
      <c r="B691" s="8" t="s">
        <v>4311</v>
      </c>
    </row>
    <row r="692" spans="2:2" x14ac:dyDescent="0.35">
      <c r="B692" s="8" t="s">
        <v>276</v>
      </c>
    </row>
    <row r="693" spans="2:2" x14ac:dyDescent="0.35">
      <c r="B693" s="8" t="s">
        <v>4503</v>
      </c>
    </row>
    <row r="694" spans="2:2" x14ac:dyDescent="0.35">
      <c r="B694" s="8" t="s">
        <v>3837</v>
      </c>
    </row>
    <row r="695" spans="2:2" x14ac:dyDescent="0.35">
      <c r="B695" s="8" t="s">
        <v>3342</v>
      </c>
    </row>
    <row r="696" spans="2:2" x14ac:dyDescent="0.35">
      <c r="B696" s="8" t="s">
        <v>1287</v>
      </c>
    </row>
    <row r="697" spans="2:2" x14ac:dyDescent="0.35">
      <c r="B697" s="8" t="s">
        <v>935</v>
      </c>
    </row>
    <row r="698" spans="2:2" x14ac:dyDescent="0.35">
      <c r="B698" s="8" t="s">
        <v>5022</v>
      </c>
    </row>
    <row r="699" spans="2:2" x14ac:dyDescent="0.35">
      <c r="B699" s="8" t="s">
        <v>887</v>
      </c>
    </row>
    <row r="700" spans="2:2" x14ac:dyDescent="0.35">
      <c r="B700" s="8" t="s">
        <v>4086</v>
      </c>
    </row>
    <row r="701" spans="2:2" x14ac:dyDescent="0.35">
      <c r="B701" s="8" t="s">
        <v>3823</v>
      </c>
    </row>
    <row r="702" spans="2:2" x14ac:dyDescent="0.35">
      <c r="B702" s="8" t="s">
        <v>428</v>
      </c>
    </row>
    <row r="703" spans="2:2" x14ac:dyDescent="0.35">
      <c r="B703" s="8" t="s">
        <v>2346</v>
      </c>
    </row>
    <row r="704" spans="2:2" x14ac:dyDescent="0.35">
      <c r="B704" s="8" t="s">
        <v>1289</v>
      </c>
    </row>
    <row r="705" spans="2:2" x14ac:dyDescent="0.35">
      <c r="B705" s="8" t="s">
        <v>2200</v>
      </c>
    </row>
    <row r="706" spans="2:2" x14ac:dyDescent="0.35">
      <c r="B706" s="8" t="s">
        <v>2435</v>
      </c>
    </row>
    <row r="707" spans="2:2" x14ac:dyDescent="0.35">
      <c r="B707" s="8" t="s">
        <v>3825</v>
      </c>
    </row>
    <row r="708" spans="2:2" x14ac:dyDescent="0.35">
      <c r="B708" s="8" t="s">
        <v>3055</v>
      </c>
    </row>
    <row r="709" spans="2:2" x14ac:dyDescent="0.35">
      <c r="B709" s="8" t="s">
        <v>4596</v>
      </c>
    </row>
    <row r="710" spans="2:2" x14ac:dyDescent="0.35">
      <c r="B710" s="8" t="s">
        <v>4594</v>
      </c>
    </row>
    <row r="711" spans="2:2" x14ac:dyDescent="0.35">
      <c r="B711" s="8" t="s">
        <v>2459</v>
      </c>
    </row>
    <row r="712" spans="2:2" x14ac:dyDescent="0.35">
      <c r="B712" s="8" t="s">
        <v>3685</v>
      </c>
    </row>
    <row r="713" spans="2:2" x14ac:dyDescent="0.35">
      <c r="B713" s="8" t="s">
        <v>469</v>
      </c>
    </row>
    <row r="714" spans="2:2" x14ac:dyDescent="0.35">
      <c r="B714" s="8" t="s">
        <v>4513</v>
      </c>
    </row>
    <row r="715" spans="2:2" x14ac:dyDescent="0.35">
      <c r="B715" s="8" t="s">
        <v>2946</v>
      </c>
    </row>
    <row r="716" spans="2:2" x14ac:dyDescent="0.35">
      <c r="B716" s="8" t="s">
        <v>2044</v>
      </c>
    </row>
    <row r="717" spans="2:2" x14ac:dyDescent="0.35">
      <c r="B717" s="8" t="s">
        <v>1704</v>
      </c>
    </row>
    <row r="718" spans="2:2" x14ac:dyDescent="0.35">
      <c r="B718" s="8" t="s">
        <v>2202</v>
      </c>
    </row>
    <row r="719" spans="2:2" x14ac:dyDescent="0.35">
      <c r="B719" s="8" t="s">
        <v>5563</v>
      </c>
    </row>
    <row r="720" spans="2:2" x14ac:dyDescent="0.35">
      <c r="B720" s="8" t="s">
        <v>2948</v>
      </c>
    </row>
    <row r="721" spans="2:2" x14ac:dyDescent="0.35">
      <c r="B721" s="8" t="s">
        <v>364</v>
      </c>
    </row>
    <row r="722" spans="2:2" x14ac:dyDescent="0.35">
      <c r="B722" s="8" t="s">
        <v>4517</v>
      </c>
    </row>
    <row r="723" spans="2:2" x14ac:dyDescent="0.35">
      <c r="B723" s="8" t="s">
        <v>2066</v>
      </c>
    </row>
    <row r="724" spans="2:2" x14ac:dyDescent="0.35">
      <c r="B724" s="8" t="s">
        <v>2473</v>
      </c>
    </row>
    <row r="725" spans="2:2" x14ac:dyDescent="0.35">
      <c r="B725" s="8" t="s">
        <v>2152</v>
      </c>
    </row>
    <row r="726" spans="2:2" x14ac:dyDescent="0.35">
      <c r="B726" s="8" t="s">
        <v>433</v>
      </c>
    </row>
    <row r="727" spans="2:2" x14ac:dyDescent="0.35">
      <c r="B727" s="8" t="s">
        <v>2686</v>
      </c>
    </row>
    <row r="728" spans="2:2" x14ac:dyDescent="0.35">
      <c r="B728" s="8" t="s">
        <v>3691</v>
      </c>
    </row>
    <row r="729" spans="2:2" x14ac:dyDescent="0.35">
      <c r="B729" s="8" t="s">
        <v>899</v>
      </c>
    </row>
    <row r="730" spans="2:2" x14ac:dyDescent="0.35">
      <c r="B730" s="8" t="s">
        <v>901</v>
      </c>
    </row>
    <row r="731" spans="2:2" x14ac:dyDescent="0.35">
      <c r="B731" s="8" t="s">
        <v>3468</v>
      </c>
    </row>
    <row r="732" spans="2:2" x14ac:dyDescent="0.35">
      <c r="B732" s="8" t="s">
        <v>2356</v>
      </c>
    </row>
    <row r="733" spans="2:2" x14ac:dyDescent="0.35">
      <c r="B733" s="8" t="s">
        <v>3734</v>
      </c>
    </row>
    <row r="734" spans="2:2" x14ac:dyDescent="0.35">
      <c r="B734" s="8" t="s">
        <v>3143</v>
      </c>
    </row>
    <row r="735" spans="2:2" x14ac:dyDescent="0.35">
      <c r="B735" s="8" t="s">
        <v>435</v>
      </c>
    </row>
    <row r="736" spans="2:2" x14ac:dyDescent="0.35">
      <c r="B736" s="8" t="s">
        <v>3141</v>
      </c>
    </row>
    <row r="737" spans="2:2" x14ac:dyDescent="0.35">
      <c r="B737" s="8" t="s">
        <v>4604</v>
      </c>
    </row>
    <row r="738" spans="2:2" x14ac:dyDescent="0.35">
      <c r="B738" s="8" t="s">
        <v>1125</v>
      </c>
    </row>
    <row r="739" spans="2:2" x14ac:dyDescent="0.35">
      <c r="B739" s="8" t="s">
        <v>1710</v>
      </c>
    </row>
    <row r="740" spans="2:2" x14ac:dyDescent="0.35">
      <c r="B740" s="8" t="s">
        <v>2953</v>
      </c>
    </row>
    <row r="741" spans="2:2" x14ac:dyDescent="0.35">
      <c r="B741" s="8" t="s">
        <v>2367</v>
      </c>
    </row>
    <row r="742" spans="2:2" x14ac:dyDescent="0.35">
      <c r="B742" s="8" t="s">
        <v>937</v>
      </c>
    </row>
    <row r="743" spans="2:2" x14ac:dyDescent="0.35">
      <c r="B743" s="8" t="s">
        <v>2977</v>
      </c>
    </row>
    <row r="744" spans="2:2" x14ac:dyDescent="0.35">
      <c r="B744" s="8" t="s">
        <v>1882</v>
      </c>
    </row>
    <row r="745" spans="2:2" x14ac:dyDescent="0.35">
      <c r="B745" s="8" t="s">
        <v>5165</v>
      </c>
    </row>
    <row r="746" spans="2:2" x14ac:dyDescent="0.35">
      <c r="B746" s="8" t="s">
        <v>5527</v>
      </c>
    </row>
    <row r="747" spans="2:2" x14ac:dyDescent="0.35">
      <c r="B747" s="8" t="s">
        <v>4764</v>
      </c>
    </row>
    <row r="748" spans="2:2" x14ac:dyDescent="0.35">
      <c r="B748" s="8" t="s">
        <v>3927</v>
      </c>
    </row>
    <row r="749" spans="2:2" x14ac:dyDescent="0.35">
      <c r="B749" s="8" t="s">
        <v>4472</v>
      </c>
    </row>
    <row r="750" spans="2:2" x14ac:dyDescent="0.35">
      <c r="B750" s="8" t="s">
        <v>4705</v>
      </c>
    </row>
    <row r="751" spans="2:2" x14ac:dyDescent="0.35">
      <c r="B751" s="8" t="s">
        <v>4204</v>
      </c>
    </row>
    <row r="752" spans="2:2" x14ac:dyDescent="0.35">
      <c r="B752" s="8" t="s">
        <v>2449</v>
      </c>
    </row>
    <row r="753" spans="2:2" x14ac:dyDescent="0.35">
      <c r="B753" s="8" t="s">
        <v>2144</v>
      </c>
    </row>
    <row r="754" spans="2:2" x14ac:dyDescent="0.35">
      <c r="B754" s="8" t="s">
        <v>396</v>
      </c>
    </row>
    <row r="755" spans="2:2" x14ac:dyDescent="0.35">
      <c r="B755" s="8" t="s">
        <v>3413</v>
      </c>
    </row>
    <row r="756" spans="2:2" x14ac:dyDescent="0.35">
      <c r="B756" s="8" t="s">
        <v>772</v>
      </c>
    </row>
    <row r="757" spans="2:2" x14ac:dyDescent="0.35">
      <c r="B757" s="8" t="s">
        <v>2513</v>
      </c>
    </row>
    <row r="758" spans="2:2" x14ac:dyDescent="0.35">
      <c r="B758" s="8" t="s">
        <v>264</v>
      </c>
    </row>
    <row r="759" spans="2:2" x14ac:dyDescent="0.35">
      <c r="B759" s="8" t="s">
        <v>5664</v>
      </c>
    </row>
    <row r="760" spans="2:2" x14ac:dyDescent="0.35">
      <c r="B760" s="8" t="s">
        <v>5026</v>
      </c>
    </row>
    <row r="761" spans="2:2" x14ac:dyDescent="0.35">
      <c r="B761" s="8" t="s">
        <v>1186</v>
      </c>
    </row>
    <row r="762" spans="2:2" x14ac:dyDescent="0.35">
      <c r="B762" s="8" t="s">
        <v>5027</v>
      </c>
    </row>
    <row r="763" spans="2:2" x14ac:dyDescent="0.35">
      <c r="B763" s="8" t="s">
        <v>5427</v>
      </c>
    </row>
    <row r="764" spans="2:2" x14ac:dyDescent="0.35">
      <c r="B764" s="8" t="s">
        <v>4879</v>
      </c>
    </row>
    <row r="765" spans="2:2" x14ac:dyDescent="0.35">
      <c r="B765" s="8" t="s">
        <v>5029</v>
      </c>
    </row>
    <row r="766" spans="2:2" x14ac:dyDescent="0.35">
      <c r="B766" s="8" t="s">
        <v>4299</v>
      </c>
    </row>
    <row r="767" spans="2:2" x14ac:dyDescent="0.35">
      <c r="B767" s="8" t="s">
        <v>4009</v>
      </c>
    </row>
    <row r="768" spans="2:2" x14ac:dyDescent="0.35">
      <c r="B768" s="8" t="s">
        <v>5031</v>
      </c>
    </row>
    <row r="769" spans="2:2" x14ac:dyDescent="0.35">
      <c r="B769" s="8" t="s">
        <v>1938</v>
      </c>
    </row>
    <row r="770" spans="2:2" x14ac:dyDescent="0.35">
      <c r="B770" s="8" t="s">
        <v>1147</v>
      </c>
    </row>
    <row r="771" spans="2:2" x14ac:dyDescent="0.35">
      <c r="B771" s="8" t="s">
        <v>820</v>
      </c>
    </row>
    <row r="772" spans="2:2" x14ac:dyDescent="0.35">
      <c r="B772" s="8" t="s">
        <v>4395</v>
      </c>
    </row>
    <row r="773" spans="2:2" x14ac:dyDescent="0.35">
      <c r="B773" s="8" t="s">
        <v>1374</v>
      </c>
    </row>
    <row r="774" spans="2:2" x14ac:dyDescent="0.35">
      <c r="B774" s="8" t="s">
        <v>559</v>
      </c>
    </row>
    <row r="775" spans="2:2" x14ac:dyDescent="0.35">
      <c r="B775" s="8" t="s">
        <v>410</v>
      </c>
    </row>
    <row r="776" spans="2:2" x14ac:dyDescent="0.35">
      <c r="B776" s="8" t="s">
        <v>3736</v>
      </c>
    </row>
    <row r="777" spans="2:2" x14ac:dyDescent="0.35">
      <c r="B777" s="8" t="s">
        <v>511</v>
      </c>
    </row>
    <row r="778" spans="2:2" x14ac:dyDescent="0.35">
      <c r="B778" s="8" t="s">
        <v>3110</v>
      </c>
    </row>
    <row r="779" spans="2:2" x14ac:dyDescent="0.35">
      <c r="B779" s="8" t="s">
        <v>2600</v>
      </c>
    </row>
    <row r="780" spans="2:2" x14ac:dyDescent="0.35">
      <c r="B780" s="8" t="s">
        <v>3020</v>
      </c>
    </row>
    <row r="781" spans="2:2" x14ac:dyDescent="0.35">
      <c r="B781" s="8" t="s">
        <v>5322</v>
      </c>
    </row>
    <row r="782" spans="2:2" x14ac:dyDescent="0.35">
      <c r="B782" s="8" t="s">
        <v>92</v>
      </c>
    </row>
    <row r="783" spans="2:2" x14ac:dyDescent="0.35">
      <c r="B783" s="8" t="s">
        <v>5361</v>
      </c>
    </row>
    <row r="784" spans="2:2" x14ac:dyDescent="0.35">
      <c r="B784" s="8" t="s">
        <v>2648</v>
      </c>
    </row>
    <row r="785" spans="2:2" x14ac:dyDescent="0.35">
      <c r="B785" s="8" t="s">
        <v>579</v>
      </c>
    </row>
    <row r="786" spans="2:2" x14ac:dyDescent="0.35">
      <c r="B786" s="8" t="s">
        <v>808</v>
      </c>
    </row>
    <row r="787" spans="2:2" x14ac:dyDescent="0.35">
      <c r="B787" s="8" t="s">
        <v>2330</v>
      </c>
    </row>
    <row r="788" spans="2:2" x14ac:dyDescent="0.35">
      <c r="B788" s="8" t="s">
        <v>1687</v>
      </c>
    </row>
    <row r="789" spans="2:2" x14ac:dyDescent="0.35">
      <c r="B789" s="8" t="s">
        <v>1598</v>
      </c>
    </row>
    <row r="790" spans="2:2" x14ac:dyDescent="0.35">
      <c r="B790" s="8" t="s">
        <v>5415</v>
      </c>
    </row>
    <row r="791" spans="2:2" x14ac:dyDescent="0.35">
      <c r="B791" s="8" t="s">
        <v>513</v>
      </c>
    </row>
    <row r="792" spans="2:2" x14ac:dyDescent="0.35">
      <c r="B792" s="8" t="s">
        <v>4301</v>
      </c>
    </row>
    <row r="793" spans="2:2" x14ac:dyDescent="0.35">
      <c r="B793" s="8" t="s">
        <v>121</v>
      </c>
    </row>
    <row r="794" spans="2:2" x14ac:dyDescent="0.35">
      <c r="B794" s="8" t="s">
        <v>3841</v>
      </c>
    </row>
    <row r="795" spans="2:2" x14ac:dyDescent="0.35">
      <c r="B795" s="8" t="s">
        <v>319</v>
      </c>
    </row>
    <row r="796" spans="2:2" x14ac:dyDescent="0.35">
      <c r="B796" s="8" t="s">
        <v>1384</v>
      </c>
    </row>
    <row r="797" spans="2:2" x14ac:dyDescent="0.35">
      <c r="B797" s="8" t="s">
        <v>4017</v>
      </c>
    </row>
    <row r="798" spans="2:2" x14ac:dyDescent="0.35">
      <c r="B798" s="8" t="s">
        <v>2336</v>
      </c>
    </row>
    <row r="799" spans="2:2" x14ac:dyDescent="0.35">
      <c r="B799" s="8" t="s">
        <v>2392</v>
      </c>
    </row>
    <row r="800" spans="2:2" x14ac:dyDescent="0.35">
      <c r="B800" s="8" t="s">
        <v>2917</v>
      </c>
    </row>
    <row r="801" spans="2:2" x14ac:dyDescent="0.35">
      <c r="B801" s="8" t="s">
        <v>1683</v>
      </c>
    </row>
    <row r="802" spans="2:2" x14ac:dyDescent="0.35">
      <c r="B802" s="8" t="s">
        <v>78</v>
      </c>
    </row>
    <row r="803" spans="2:2" x14ac:dyDescent="0.35">
      <c r="B803" s="8" t="s">
        <v>3215</v>
      </c>
    </row>
    <row r="804" spans="2:2" x14ac:dyDescent="0.35">
      <c r="B804" s="8" t="s">
        <v>3552</v>
      </c>
    </row>
    <row r="805" spans="2:2" x14ac:dyDescent="0.35">
      <c r="B805" s="8" t="s">
        <v>1332</v>
      </c>
    </row>
    <row r="806" spans="2:2" x14ac:dyDescent="0.35">
      <c r="B806" s="8" t="s">
        <v>2518</v>
      </c>
    </row>
    <row r="807" spans="2:2" x14ac:dyDescent="0.35">
      <c r="B807" s="8" t="s">
        <v>4295</v>
      </c>
    </row>
    <row r="808" spans="2:2" x14ac:dyDescent="0.35">
      <c r="B808" s="8" t="s">
        <v>5346</v>
      </c>
    </row>
    <row r="809" spans="2:2" x14ac:dyDescent="0.35">
      <c r="B809" s="8" t="s">
        <v>3361</v>
      </c>
    </row>
    <row r="810" spans="2:2" x14ac:dyDescent="0.35">
      <c r="B810" s="8" t="s">
        <v>515</v>
      </c>
    </row>
    <row r="811" spans="2:2" x14ac:dyDescent="0.35">
      <c r="B811" s="8" t="s">
        <v>946</v>
      </c>
    </row>
    <row r="812" spans="2:2" x14ac:dyDescent="0.35">
      <c r="B812" s="8" t="s">
        <v>2040</v>
      </c>
    </row>
    <row r="813" spans="2:2" x14ac:dyDescent="0.35">
      <c r="B813" s="8" t="s">
        <v>2588</v>
      </c>
    </row>
    <row r="814" spans="2:2" x14ac:dyDescent="0.35">
      <c r="B814" s="8" t="s">
        <v>5241</v>
      </c>
    </row>
    <row r="815" spans="2:2" x14ac:dyDescent="0.35">
      <c r="B815" s="8" t="s">
        <v>1283</v>
      </c>
    </row>
    <row r="816" spans="2:2" x14ac:dyDescent="0.35">
      <c r="B816" s="8" t="s">
        <v>822</v>
      </c>
    </row>
    <row r="817" spans="2:2" x14ac:dyDescent="0.35">
      <c r="B817" s="8" t="s">
        <v>123</v>
      </c>
    </row>
    <row r="818" spans="2:2" x14ac:dyDescent="0.35">
      <c r="B818" s="8" t="s">
        <v>5033</v>
      </c>
    </row>
    <row r="819" spans="2:2" x14ac:dyDescent="0.35">
      <c r="B819" s="8" t="s">
        <v>2156</v>
      </c>
    </row>
    <row r="820" spans="2:2" x14ac:dyDescent="0.35">
      <c r="B820" s="8" t="s">
        <v>1977</v>
      </c>
    </row>
    <row r="821" spans="2:2" x14ac:dyDescent="0.35">
      <c r="B821" s="8" t="s">
        <v>4934</v>
      </c>
    </row>
    <row r="822" spans="2:2" x14ac:dyDescent="0.35">
      <c r="B822" s="8" t="s">
        <v>2254</v>
      </c>
    </row>
    <row r="823" spans="2:2" x14ac:dyDescent="0.35">
      <c r="B823" s="8" t="s">
        <v>3250</v>
      </c>
    </row>
    <row r="824" spans="2:2" x14ac:dyDescent="0.35">
      <c r="B824" s="8" t="s">
        <v>2919</v>
      </c>
    </row>
    <row r="825" spans="2:2" x14ac:dyDescent="0.35">
      <c r="B825" s="8" t="s">
        <v>2520</v>
      </c>
    </row>
    <row r="826" spans="2:2" x14ac:dyDescent="0.35">
      <c r="B826" s="8" t="s">
        <v>1152</v>
      </c>
    </row>
    <row r="827" spans="2:2" x14ac:dyDescent="0.35">
      <c r="B827" s="8" t="s">
        <v>948</v>
      </c>
    </row>
    <row r="828" spans="2:2" x14ac:dyDescent="0.35">
      <c r="B828" s="8" t="s">
        <v>4915</v>
      </c>
    </row>
    <row r="829" spans="2:2" x14ac:dyDescent="0.35">
      <c r="B829" s="8" t="s">
        <v>5363</v>
      </c>
    </row>
    <row r="830" spans="2:2" x14ac:dyDescent="0.35">
      <c r="B830" s="8" t="s">
        <v>4936</v>
      </c>
    </row>
    <row r="831" spans="2:2" x14ac:dyDescent="0.35">
      <c r="B831" s="8" t="s">
        <v>3252</v>
      </c>
    </row>
    <row r="832" spans="2:2" x14ac:dyDescent="0.35">
      <c r="B832" s="8" t="s">
        <v>517</v>
      </c>
    </row>
    <row r="833" spans="2:2" x14ac:dyDescent="0.35">
      <c r="B833" s="8" t="s">
        <v>3420</v>
      </c>
    </row>
    <row r="834" spans="2:2" x14ac:dyDescent="0.35">
      <c r="B834" s="8" t="s">
        <v>2851</v>
      </c>
    </row>
    <row r="835" spans="2:2" x14ac:dyDescent="0.35">
      <c r="B835" s="8" t="s">
        <v>1943</v>
      </c>
    </row>
    <row r="836" spans="2:2" x14ac:dyDescent="0.35">
      <c r="B836" s="8" t="s">
        <v>4305</v>
      </c>
    </row>
    <row r="837" spans="2:2" x14ac:dyDescent="0.35">
      <c r="B837" s="8" t="s">
        <v>774</v>
      </c>
    </row>
    <row r="838" spans="2:2" x14ac:dyDescent="0.35">
      <c r="B838" s="8" t="s">
        <v>3084</v>
      </c>
    </row>
    <row r="839" spans="2:2" x14ac:dyDescent="0.35">
      <c r="B839" s="8" t="s">
        <v>3649</v>
      </c>
    </row>
    <row r="840" spans="2:2" x14ac:dyDescent="0.35">
      <c r="B840" s="8" t="s">
        <v>5195</v>
      </c>
    </row>
    <row r="841" spans="2:2" x14ac:dyDescent="0.35">
      <c r="B841" s="8" t="s">
        <v>4618</v>
      </c>
    </row>
    <row r="842" spans="2:2" x14ac:dyDescent="0.35">
      <c r="B842" s="8" t="s">
        <v>3086</v>
      </c>
    </row>
    <row r="843" spans="2:2" x14ac:dyDescent="0.35">
      <c r="B843" s="8" t="s">
        <v>4411</v>
      </c>
    </row>
    <row r="844" spans="2:2" x14ac:dyDescent="0.35">
      <c r="B844" s="8" t="s">
        <v>1769</v>
      </c>
    </row>
    <row r="845" spans="2:2" x14ac:dyDescent="0.35">
      <c r="B845" s="8" t="s">
        <v>2853</v>
      </c>
    </row>
    <row r="846" spans="2:2" x14ac:dyDescent="0.35">
      <c r="B846" s="8" t="s">
        <v>5055</v>
      </c>
    </row>
    <row r="847" spans="2:2" x14ac:dyDescent="0.35">
      <c r="B847" s="8" t="s">
        <v>2396</v>
      </c>
    </row>
    <row r="848" spans="2:2" x14ac:dyDescent="0.35">
      <c r="B848" s="8" t="s">
        <v>1945</v>
      </c>
    </row>
    <row r="849" spans="2:2" x14ac:dyDescent="0.35">
      <c r="B849" s="8" t="s">
        <v>642</v>
      </c>
    </row>
    <row r="850" spans="2:2" x14ac:dyDescent="0.35">
      <c r="B850" s="8" t="s">
        <v>4121</v>
      </c>
    </row>
    <row r="851" spans="2:2" x14ac:dyDescent="0.35">
      <c r="B851" s="8" t="s">
        <v>4938</v>
      </c>
    </row>
    <row r="852" spans="2:2" x14ac:dyDescent="0.35">
      <c r="B852" s="8" t="s">
        <v>2984</v>
      </c>
    </row>
    <row r="853" spans="2:2" x14ac:dyDescent="0.35">
      <c r="B853" s="8" t="s">
        <v>4307</v>
      </c>
    </row>
    <row r="854" spans="2:2" x14ac:dyDescent="0.35">
      <c r="B854" s="8" t="s">
        <v>1194</v>
      </c>
    </row>
    <row r="855" spans="2:2" x14ac:dyDescent="0.35">
      <c r="B855" s="8" t="s">
        <v>3422</v>
      </c>
    </row>
    <row r="856" spans="2:2" x14ac:dyDescent="0.35">
      <c r="B856" s="8" t="s">
        <v>952</v>
      </c>
    </row>
    <row r="857" spans="2:2" x14ac:dyDescent="0.35">
      <c r="B857" s="8" t="s">
        <v>4139</v>
      </c>
    </row>
    <row r="858" spans="2:2" x14ac:dyDescent="0.35">
      <c r="B858" s="8" t="s">
        <v>646</v>
      </c>
    </row>
    <row r="859" spans="2:2" x14ac:dyDescent="0.35">
      <c r="B859" s="8" t="s">
        <v>4942</v>
      </c>
    </row>
    <row r="860" spans="2:2" x14ac:dyDescent="0.35">
      <c r="B860" s="8" t="s">
        <v>3554</v>
      </c>
    </row>
    <row r="861" spans="2:2" x14ac:dyDescent="0.35">
      <c r="B861" s="8" t="s">
        <v>1334</v>
      </c>
    </row>
    <row r="862" spans="2:2" x14ac:dyDescent="0.35">
      <c r="B862" s="8" t="s">
        <v>3749</v>
      </c>
    </row>
    <row r="863" spans="2:2" x14ac:dyDescent="0.35">
      <c r="B863" s="8" t="s">
        <v>4620</v>
      </c>
    </row>
    <row r="864" spans="2:2" x14ac:dyDescent="0.35">
      <c r="B864" s="8" t="s">
        <v>5057</v>
      </c>
    </row>
    <row r="865" spans="2:2" x14ac:dyDescent="0.35">
      <c r="B865" s="8" t="s">
        <v>824</v>
      </c>
    </row>
    <row r="866" spans="2:2" x14ac:dyDescent="0.35">
      <c r="B866" s="8" t="s">
        <v>2256</v>
      </c>
    </row>
    <row r="867" spans="2:2" x14ac:dyDescent="0.35">
      <c r="B867" s="8" t="s">
        <v>4791</v>
      </c>
    </row>
    <row r="868" spans="2:2" x14ac:dyDescent="0.35">
      <c r="B868" s="8" t="s">
        <v>1979</v>
      </c>
    </row>
    <row r="869" spans="2:2" x14ac:dyDescent="0.35">
      <c r="B869" s="8" t="s">
        <v>4795</v>
      </c>
    </row>
    <row r="870" spans="2:2" x14ac:dyDescent="0.35">
      <c r="B870" s="8" t="s">
        <v>2857</v>
      </c>
    </row>
    <row r="871" spans="2:2" x14ac:dyDescent="0.35">
      <c r="B871" s="8" t="s">
        <v>4231</v>
      </c>
    </row>
    <row r="872" spans="2:2" x14ac:dyDescent="0.35">
      <c r="B872" s="8" t="s">
        <v>3855</v>
      </c>
    </row>
    <row r="873" spans="2:2" x14ac:dyDescent="0.35">
      <c r="B873" s="8" t="s">
        <v>3750</v>
      </c>
    </row>
    <row r="874" spans="2:2" x14ac:dyDescent="0.35">
      <c r="B874" s="8" t="s">
        <v>127</v>
      </c>
    </row>
    <row r="875" spans="2:2" x14ac:dyDescent="0.35">
      <c r="B875" s="8" t="s">
        <v>4628</v>
      </c>
    </row>
    <row r="876" spans="2:2" x14ac:dyDescent="0.35">
      <c r="B876" s="8" t="s">
        <v>5061</v>
      </c>
    </row>
    <row r="877" spans="2:2" x14ac:dyDescent="0.35">
      <c r="B877" s="8" t="s">
        <v>5254</v>
      </c>
    </row>
    <row r="878" spans="2:2" x14ac:dyDescent="0.35">
      <c r="B878" s="8" t="s">
        <v>4125</v>
      </c>
    </row>
    <row r="879" spans="2:2" x14ac:dyDescent="0.35">
      <c r="B879" s="8" t="s">
        <v>5575</v>
      </c>
    </row>
    <row r="880" spans="2:2" x14ac:dyDescent="0.35">
      <c r="B880" s="8" t="s">
        <v>4233</v>
      </c>
    </row>
    <row r="881" spans="2:2" x14ac:dyDescent="0.35">
      <c r="B881" s="8" t="s">
        <v>2986</v>
      </c>
    </row>
    <row r="882" spans="2:2" x14ac:dyDescent="0.35">
      <c r="B882" s="8" t="s">
        <v>1592</v>
      </c>
    </row>
    <row r="883" spans="2:2" x14ac:dyDescent="0.35">
      <c r="B883" s="8" t="s">
        <v>4944</v>
      </c>
    </row>
    <row r="884" spans="2:2" x14ac:dyDescent="0.35">
      <c r="B884" s="8" t="s">
        <v>4946</v>
      </c>
    </row>
    <row r="885" spans="2:2" x14ac:dyDescent="0.35">
      <c r="B885" s="8" t="s">
        <v>4237</v>
      </c>
    </row>
    <row r="886" spans="2:2" x14ac:dyDescent="0.35">
      <c r="B886" s="8" t="s">
        <v>1602</v>
      </c>
    </row>
    <row r="887" spans="2:2" x14ac:dyDescent="0.35">
      <c r="B887" s="8" t="s">
        <v>957</v>
      </c>
    </row>
    <row r="888" spans="2:2" x14ac:dyDescent="0.35">
      <c r="B888" s="8" t="s">
        <v>827</v>
      </c>
    </row>
    <row r="889" spans="2:2" x14ac:dyDescent="0.35">
      <c r="B889" s="8" t="s">
        <v>1433</v>
      </c>
    </row>
    <row r="890" spans="2:2" x14ac:dyDescent="0.35">
      <c r="B890" s="8" t="s">
        <v>3859</v>
      </c>
    </row>
    <row r="891" spans="2:2" x14ac:dyDescent="0.35">
      <c r="B891" s="8" t="s">
        <v>1981</v>
      </c>
    </row>
    <row r="892" spans="2:2" x14ac:dyDescent="0.35">
      <c r="B892" s="8" t="s">
        <v>519</v>
      </c>
    </row>
    <row r="893" spans="2:2" x14ac:dyDescent="0.35">
      <c r="B893" s="8" t="s">
        <v>2095</v>
      </c>
    </row>
    <row r="894" spans="2:2" x14ac:dyDescent="0.35">
      <c r="B894" s="8" t="s">
        <v>1338</v>
      </c>
    </row>
    <row r="895" spans="2:2" x14ac:dyDescent="0.35">
      <c r="B895" s="8" t="s">
        <v>4309</v>
      </c>
    </row>
    <row r="896" spans="2:2" x14ac:dyDescent="0.35">
      <c r="B896" s="8" t="s">
        <v>5367</v>
      </c>
    </row>
    <row r="897" spans="2:2" x14ac:dyDescent="0.35">
      <c r="B897" s="8" t="s">
        <v>2608</v>
      </c>
    </row>
    <row r="898" spans="2:2" x14ac:dyDescent="0.35">
      <c r="B898" s="8" t="s">
        <v>1041</v>
      </c>
    </row>
    <row r="899" spans="2:2" x14ac:dyDescent="0.35">
      <c r="B899" s="8" t="s">
        <v>3711</v>
      </c>
    </row>
    <row r="900" spans="2:2" x14ac:dyDescent="0.35">
      <c r="B900" s="8" t="s">
        <v>4721</v>
      </c>
    </row>
    <row r="901" spans="2:2" x14ac:dyDescent="0.35">
      <c r="B901" s="8" t="s">
        <v>2988</v>
      </c>
    </row>
    <row r="902" spans="2:2" x14ac:dyDescent="0.35">
      <c r="B902" s="8" t="s">
        <v>3258</v>
      </c>
    </row>
    <row r="903" spans="2:2" x14ac:dyDescent="0.35">
      <c r="B903" s="8" t="s">
        <v>3090</v>
      </c>
    </row>
    <row r="904" spans="2:2" x14ac:dyDescent="0.35">
      <c r="B904" s="8" t="s">
        <v>5200</v>
      </c>
    </row>
    <row r="905" spans="2:2" x14ac:dyDescent="0.35">
      <c r="B905" s="8" t="s">
        <v>166</v>
      </c>
    </row>
    <row r="906" spans="2:2" x14ac:dyDescent="0.35">
      <c r="B906" s="8" t="s">
        <v>4954</v>
      </c>
    </row>
    <row r="907" spans="2:2" x14ac:dyDescent="0.35">
      <c r="B907" s="8" t="s">
        <v>637</v>
      </c>
    </row>
    <row r="908" spans="2:2" x14ac:dyDescent="0.35">
      <c r="B908" s="8" t="s">
        <v>3092</v>
      </c>
    </row>
    <row r="909" spans="2:2" x14ac:dyDescent="0.35">
      <c r="B909" s="8" t="s">
        <v>1950</v>
      </c>
    </row>
    <row r="910" spans="2:2" x14ac:dyDescent="0.35">
      <c r="B910" s="8" t="s">
        <v>5041</v>
      </c>
    </row>
    <row r="911" spans="2:2" x14ac:dyDescent="0.35">
      <c r="B911" s="8" t="s">
        <v>961</v>
      </c>
    </row>
    <row r="912" spans="2:2" x14ac:dyDescent="0.35">
      <c r="B912" s="8" t="s">
        <v>4224</v>
      </c>
    </row>
    <row r="913" spans="2:2" x14ac:dyDescent="0.35">
      <c r="B913" s="8" t="s">
        <v>4029</v>
      </c>
    </row>
    <row r="914" spans="2:2" x14ac:dyDescent="0.35">
      <c r="B914" s="8" t="s">
        <v>3976</v>
      </c>
    </row>
    <row r="915" spans="2:2" x14ac:dyDescent="0.35">
      <c r="B915" s="8" t="s">
        <v>2990</v>
      </c>
    </row>
    <row r="916" spans="2:2" x14ac:dyDescent="0.35">
      <c r="B916" s="8" t="s">
        <v>1427</v>
      </c>
    </row>
    <row r="917" spans="2:2" x14ac:dyDescent="0.35">
      <c r="B917" s="8" t="s">
        <v>4799</v>
      </c>
    </row>
    <row r="918" spans="2:2" x14ac:dyDescent="0.35">
      <c r="B918" s="8" t="s">
        <v>4958</v>
      </c>
    </row>
    <row r="919" spans="2:2" x14ac:dyDescent="0.35">
      <c r="B919" s="8" t="s">
        <v>2610</v>
      </c>
    </row>
    <row r="920" spans="2:2" x14ac:dyDescent="0.35">
      <c r="B920" s="8" t="s">
        <v>5065</v>
      </c>
    </row>
    <row r="921" spans="2:2" x14ac:dyDescent="0.35">
      <c r="B921" s="8" t="s">
        <v>4419</v>
      </c>
    </row>
    <row r="922" spans="2:2" x14ac:dyDescent="0.35">
      <c r="B922" s="8" t="s">
        <v>1043</v>
      </c>
    </row>
    <row r="923" spans="2:2" x14ac:dyDescent="0.35">
      <c r="B923" s="8" t="s">
        <v>1812</v>
      </c>
    </row>
    <row r="924" spans="2:2" x14ac:dyDescent="0.35">
      <c r="B924" s="8" t="s">
        <v>1724</v>
      </c>
    </row>
    <row r="925" spans="2:2" x14ac:dyDescent="0.35">
      <c r="B925" s="8" t="s">
        <v>4317</v>
      </c>
    </row>
    <row r="926" spans="2:2" x14ac:dyDescent="0.35">
      <c r="B926" s="8" t="s">
        <v>4962</v>
      </c>
    </row>
    <row r="927" spans="2:2" x14ac:dyDescent="0.35">
      <c r="B927" s="8" t="s">
        <v>5442</v>
      </c>
    </row>
    <row r="928" spans="2:2" x14ac:dyDescent="0.35">
      <c r="B928" s="8" t="s">
        <v>1609</v>
      </c>
    </row>
    <row r="929" spans="2:2" x14ac:dyDescent="0.35">
      <c r="B929" s="8" t="s">
        <v>2409</v>
      </c>
    </row>
    <row r="930" spans="2:2" x14ac:dyDescent="0.35">
      <c r="B930" s="8" t="s">
        <v>5674</v>
      </c>
    </row>
    <row r="931" spans="2:2" x14ac:dyDescent="0.35">
      <c r="B931" s="8" t="s">
        <v>1196</v>
      </c>
    </row>
    <row r="932" spans="2:2" x14ac:dyDescent="0.35">
      <c r="B932" s="8" t="s">
        <v>4964</v>
      </c>
    </row>
    <row r="933" spans="2:2" x14ac:dyDescent="0.35">
      <c r="B933" s="8" t="s">
        <v>1160</v>
      </c>
    </row>
    <row r="934" spans="2:2" x14ac:dyDescent="0.35">
      <c r="B934" s="8" t="s">
        <v>4033</v>
      </c>
    </row>
    <row r="935" spans="2:2" x14ac:dyDescent="0.35">
      <c r="B935" s="8" t="s">
        <v>1162</v>
      </c>
    </row>
    <row r="936" spans="2:2" x14ac:dyDescent="0.35">
      <c r="B936" s="8" t="s">
        <v>2411</v>
      </c>
    </row>
    <row r="937" spans="2:2" x14ac:dyDescent="0.35">
      <c r="B937" s="8" t="s">
        <v>3533</v>
      </c>
    </row>
    <row r="938" spans="2:2" x14ac:dyDescent="0.35">
      <c r="B938" s="8" t="s">
        <v>5698</v>
      </c>
    </row>
    <row r="939" spans="2:2" x14ac:dyDescent="0.35">
      <c r="B939" s="8" t="s">
        <v>2147</v>
      </c>
    </row>
    <row r="940" spans="2:2" x14ac:dyDescent="0.35">
      <c r="B940" s="8" t="s">
        <v>2592</v>
      </c>
    </row>
    <row r="941" spans="2:2" x14ac:dyDescent="0.35">
      <c r="B941" s="8" t="s">
        <v>4572</v>
      </c>
    </row>
    <row r="942" spans="2:2" x14ac:dyDescent="0.35">
      <c r="B942" s="8" t="s">
        <v>3556</v>
      </c>
    </row>
    <row r="943" spans="2:2" x14ac:dyDescent="0.35">
      <c r="B943" s="8" t="s">
        <v>1702</v>
      </c>
    </row>
    <row r="944" spans="2:2" x14ac:dyDescent="0.35">
      <c r="B944" s="8" t="s">
        <v>1868</v>
      </c>
    </row>
    <row r="945" spans="2:2" x14ac:dyDescent="0.35">
      <c r="B945" s="8" t="s">
        <v>1254</v>
      </c>
    </row>
    <row r="946" spans="2:2" x14ac:dyDescent="0.35">
      <c r="B946" s="8" t="s">
        <v>2619</v>
      </c>
    </row>
    <row r="947" spans="2:2" x14ac:dyDescent="0.35">
      <c r="B947" s="8" t="s">
        <v>4346</v>
      </c>
    </row>
    <row r="948" spans="2:2" x14ac:dyDescent="0.35">
      <c r="B948" s="8" t="s">
        <v>1959</v>
      </c>
    </row>
    <row r="949" spans="2:2" x14ac:dyDescent="0.35">
      <c r="B949" s="8" t="s">
        <v>986</v>
      </c>
    </row>
    <row r="950" spans="2:2" x14ac:dyDescent="0.35">
      <c r="B950" s="8" t="s">
        <v>2106</v>
      </c>
    </row>
    <row r="951" spans="2:2" x14ac:dyDescent="0.35">
      <c r="B951" s="8" t="s">
        <v>5352</v>
      </c>
    </row>
    <row r="952" spans="2:2" x14ac:dyDescent="0.35">
      <c r="B952" s="8" t="s">
        <v>698</v>
      </c>
    </row>
    <row r="953" spans="2:2" x14ac:dyDescent="0.35">
      <c r="B953" s="8" t="s">
        <v>2979</v>
      </c>
    </row>
    <row r="954" spans="2:2" x14ac:dyDescent="0.35">
      <c r="B954" s="8" t="s">
        <v>5405</v>
      </c>
    </row>
    <row r="955" spans="2:2" x14ac:dyDescent="0.35">
      <c r="B955" s="8" t="s">
        <v>11389</v>
      </c>
    </row>
  </sheetData>
  <pageMargins left="0.7" right="0.7" top="0.75" bottom="0.75" header="0.3" footer="0.3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1221-7282-44B2-8561-04773FCA3EE3}">
  <sheetPr>
    <tabColor rgb="FFFFFF00"/>
  </sheetPr>
  <dimension ref="B2:G890"/>
  <sheetViews>
    <sheetView workbookViewId="0">
      <selection activeCell="G11" sqref="G11"/>
    </sheetView>
  </sheetViews>
  <sheetFormatPr baseColWidth="10" defaultRowHeight="14.5" x14ac:dyDescent="0.35"/>
  <cols>
    <col min="2" max="2" width="17.6328125" bestFit="1" customWidth="1"/>
    <col min="3" max="3" width="19.36328125" bestFit="1" customWidth="1"/>
    <col min="7" max="7" width="9.81640625" customWidth="1"/>
  </cols>
  <sheetData>
    <row r="2" spans="2:7" x14ac:dyDescent="0.35">
      <c r="B2" s="9" t="s">
        <v>5719</v>
      </c>
      <c r="C2" s="9"/>
      <c r="D2" s="9"/>
      <c r="E2" s="9"/>
      <c r="G2" s="9" t="s">
        <v>11397</v>
      </c>
    </row>
    <row r="3" spans="2:7" x14ac:dyDescent="0.35">
      <c r="B3" s="9" t="s">
        <v>8690</v>
      </c>
      <c r="C3" s="9"/>
      <c r="D3" s="9"/>
      <c r="E3" s="9"/>
    </row>
    <row r="4" spans="2:7" x14ac:dyDescent="0.35">
      <c r="B4" s="9" t="s">
        <v>11391</v>
      </c>
      <c r="C4" s="9"/>
      <c r="D4" s="9"/>
      <c r="E4" s="9"/>
    </row>
    <row r="5" spans="2:7" x14ac:dyDescent="0.35">
      <c r="B5" s="9" t="s">
        <v>11392</v>
      </c>
      <c r="C5" s="9"/>
      <c r="D5" s="9"/>
      <c r="E5" s="9"/>
    </row>
    <row r="7" spans="2:7" x14ac:dyDescent="0.35">
      <c r="B7" s="7" t="s">
        <v>2</v>
      </c>
      <c r="C7" t="s">
        <v>11393</v>
      </c>
    </row>
    <row r="9" spans="2:7" x14ac:dyDescent="0.35">
      <c r="B9" s="7" t="s">
        <v>11388</v>
      </c>
    </row>
    <row r="10" spans="2:7" x14ac:dyDescent="0.35">
      <c r="B10" s="8" t="s">
        <v>5707</v>
      </c>
    </row>
    <row r="11" spans="2:7" x14ac:dyDescent="0.35">
      <c r="B11" s="8" t="s">
        <v>5702</v>
      </c>
    </row>
    <row r="12" spans="2:7" x14ac:dyDescent="0.35">
      <c r="B12" s="8" t="s">
        <v>4602</v>
      </c>
    </row>
    <row r="13" spans="2:7" x14ac:dyDescent="0.35">
      <c r="B13" s="8" t="s">
        <v>5705</v>
      </c>
    </row>
    <row r="14" spans="2:7" x14ac:dyDescent="0.35">
      <c r="B14" s="8" t="s">
        <v>5703</v>
      </c>
    </row>
    <row r="15" spans="2:7" x14ac:dyDescent="0.35">
      <c r="B15" s="8" t="s">
        <v>3521</v>
      </c>
    </row>
    <row r="16" spans="2:7" x14ac:dyDescent="0.35">
      <c r="B16" s="8" t="s">
        <v>263</v>
      </c>
    </row>
    <row r="17" spans="2:2" x14ac:dyDescent="0.35">
      <c r="B17" s="8" t="s">
        <v>751</v>
      </c>
    </row>
    <row r="18" spans="2:2" x14ac:dyDescent="0.35">
      <c r="B18" s="8" t="s">
        <v>3782</v>
      </c>
    </row>
    <row r="19" spans="2:2" x14ac:dyDescent="0.35">
      <c r="B19" s="8" t="s">
        <v>3892</v>
      </c>
    </row>
    <row r="20" spans="2:2" x14ac:dyDescent="0.35">
      <c r="B20" s="8" t="s">
        <v>408</v>
      </c>
    </row>
    <row r="21" spans="2:2" x14ac:dyDescent="0.35">
      <c r="B21" s="8" t="s">
        <v>1671</v>
      </c>
    </row>
    <row r="22" spans="2:2" x14ac:dyDescent="0.35">
      <c r="B22" s="8" t="s">
        <v>2578</v>
      </c>
    </row>
    <row r="23" spans="2:2" x14ac:dyDescent="0.35">
      <c r="B23" s="8" t="s">
        <v>1673</v>
      </c>
    </row>
    <row r="24" spans="2:2" x14ac:dyDescent="0.35">
      <c r="B24" s="8" t="s">
        <v>1681</v>
      </c>
    </row>
    <row r="25" spans="2:2" x14ac:dyDescent="0.35">
      <c r="B25" s="8" t="s">
        <v>2668</v>
      </c>
    </row>
    <row r="26" spans="2:2" x14ac:dyDescent="0.35">
      <c r="B26" s="8" t="s">
        <v>1481</v>
      </c>
    </row>
    <row r="27" spans="2:2" x14ac:dyDescent="0.35">
      <c r="B27" s="8" t="s">
        <v>5421</v>
      </c>
    </row>
    <row r="28" spans="2:2" x14ac:dyDescent="0.35">
      <c r="B28" s="8" t="s">
        <v>2691</v>
      </c>
    </row>
    <row r="29" spans="2:2" x14ac:dyDescent="0.35">
      <c r="B29" s="8" t="s">
        <v>2961</v>
      </c>
    </row>
    <row r="30" spans="2:2" x14ac:dyDescent="0.35">
      <c r="B30" s="8" t="s">
        <v>3199</v>
      </c>
    </row>
    <row r="31" spans="2:2" x14ac:dyDescent="0.35">
      <c r="B31" s="8" t="s">
        <v>2503</v>
      </c>
    </row>
    <row r="32" spans="2:2" x14ac:dyDescent="0.35">
      <c r="B32" s="8" t="s">
        <v>2695</v>
      </c>
    </row>
    <row r="33" spans="2:2" x14ac:dyDescent="0.35">
      <c r="B33" s="8" t="s">
        <v>1528</v>
      </c>
    </row>
    <row r="34" spans="2:2" x14ac:dyDescent="0.35">
      <c r="B34" s="8" t="s">
        <v>3049</v>
      </c>
    </row>
    <row r="35" spans="2:2" x14ac:dyDescent="0.35">
      <c r="B35" s="8" t="s">
        <v>1321</v>
      </c>
    </row>
    <row r="36" spans="2:2" x14ac:dyDescent="0.35">
      <c r="B36" s="8" t="s">
        <v>5506</v>
      </c>
    </row>
    <row r="37" spans="2:2" x14ac:dyDescent="0.35">
      <c r="B37" s="8" t="s">
        <v>4075</v>
      </c>
    </row>
    <row r="38" spans="2:2" x14ac:dyDescent="0.35">
      <c r="B38" s="8" t="s">
        <v>49</v>
      </c>
    </row>
    <row r="39" spans="2:2" x14ac:dyDescent="0.35">
      <c r="B39" s="8" t="s">
        <v>1853</v>
      </c>
    </row>
    <row r="40" spans="2:2" x14ac:dyDescent="0.35">
      <c r="B40" s="8" t="s">
        <v>4632</v>
      </c>
    </row>
    <row r="41" spans="2:2" x14ac:dyDescent="0.35">
      <c r="B41" s="8" t="s">
        <v>3411</v>
      </c>
    </row>
    <row r="42" spans="2:2" x14ac:dyDescent="0.35">
      <c r="B42" s="8" t="s">
        <v>3450</v>
      </c>
    </row>
    <row r="43" spans="2:2" x14ac:dyDescent="0.35">
      <c r="B43" s="8" t="s">
        <v>1250</v>
      </c>
    </row>
    <row r="44" spans="2:2" x14ac:dyDescent="0.35">
      <c r="B44" s="8" t="s">
        <v>55</v>
      </c>
    </row>
    <row r="45" spans="2:2" x14ac:dyDescent="0.35">
      <c r="B45" s="8" t="s">
        <v>247</v>
      </c>
    </row>
    <row r="46" spans="2:2" x14ac:dyDescent="0.35">
      <c r="B46" s="8" t="s">
        <v>2317</v>
      </c>
    </row>
    <row r="47" spans="2:2" x14ac:dyDescent="0.35">
      <c r="B47" s="8" t="s">
        <v>60</v>
      </c>
    </row>
    <row r="48" spans="2:2" x14ac:dyDescent="0.35">
      <c r="B48" s="8" t="s">
        <v>3894</v>
      </c>
    </row>
    <row r="49" spans="2:2" x14ac:dyDescent="0.35">
      <c r="B49" s="8" t="s">
        <v>4760</v>
      </c>
    </row>
    <row r="50" spans="2:2" x14ac:dyDescent="0.35">
      <c r="B50" s="8" t="s">
        <v>62</v>
      </c>
    </row>
    <row r="51" spans="2:2" x14ac:dyDescent="0.35">
      <c r="B51" s="8" t="s">
        <v>869</v>
      </c>
    </row>
    <row r="52" spans="2:2" x14ac:dyDescent="0.35">
      <c r="B52" s="8" t="s">
        <v>3784</v>
      </c>
    </row>
    <row r="53" spans="2:2" x14ac:dyDescent="0.35">
      <c r="B53" s="8" t="s">
        <v>871</v>
      </c>
    </row>
    <row r="54" spans="2:2" x14ac:dyDescent="0.35">
      <c r="B54" s="8" t="s">
        <v>2891</v>
      </c>
    </row>
    <row r="55" spans="2:2" x14ac:dyDescent="0.35">
      <c r="B55" s="8" t="s">
        <v>2895</v>
      </c>
    </row>
    <row r="56" spans="2:2" x14ac:dyDescent="0.35">
      <c r="B56" s="8" t="s">
        <v>2140</v>
      </c>
    </row>
    <row r="57" spans="2:2" x14ac:dyDescent="0.35">
      <c r="B57" s="8" t="s">
        <v>2320</v>
      </c>
    </row>
    <row r="58" spans="2:2" x14ac:dyDescent="0.35">
      <c r="B58" s="8" t="s">
        <v>3896</v>
      </c>
    </row>
    <row r="59" spans="2:2" x14ac:dyDescent="0.35">
      <c r="B59" s="8" t="s">
        <v>4320</v>
      </c>
    </row>
    <row r="60" spans="2:2" x14ac:dyDescent="0.35">
      <c r="B60" s="8" t="s">
        <v>3657</v>
      </c>
    </row>
    <row r="61" spans="2:2" x14ac:dyDescent="0.35">
      <c r="B61" s="8" t="s">
        <v>2905</v>
      </c>
    </row>
    <row r="62" spans="2:2" x14ac:dyDescent="0.35">
      <c r="B62" s="8" t="s">
        <v>4650</v>
      </c>
    </row>
    <row r="63" spans="2:2" x14ac:dyDescent="0.35">
      <c r="B63" s="8" t="s">
        <v>332</v>
      </c>
    </row>
    <row r="64" spans="2:2" x14ac:dyDescent="0.35">
      <c r="B64" s="8" t="s">
        <v>1284</v>
      </c>
    </row>
    <row r="65" spans="2:2" x14ac:dyDescent="0.35">
      <c r="B65" s="8" t="s">
        <v>4421</v>
      </c>
    </row>
    <row r="66" spans="2:2" x14ac:dyDescent="0.35">
      <c r="B66" s="8" t="s">
        <v>1170</v>
      </c>
    </row>
    <row r="67" spans="2:2" x14ac:dyDescent="0.35">
      <c r="B67" s="8" t="s">
        <v>2821</v>
      </c>
    </row>
    <row r="68" spans="2:2" x14ac:dyDescent="0.35">
      <c r="B68" s="8" t="s">
        <v>2676</v>
      </c>
    </row>
    <row r="69" spans="2:2" x14ac:dyDescent="0.35">
      <c r="B69" s="8" t="s">
        <v>1611</v>
      </c>
    </row>
    <row r="70" spans="2:2" x14ac:dyDescent="0.35">
      <c r="B70" s="8" t="s">
        <v>2029</v>
      </c>
    </row>
    <row r="71" spans="2:2" x14ac:dyDescent="0.35">
      <c r="B71" s="8" t="s">
        <v>284</v>
      </c>
    </row>
    <row r="72" spans="2:2" x14ac:dyDescent="0.35">
      <c r="B72" s="8" t="s">
        <v>4968</v>
      </c>
    </row>
    <row r="73" spans="2:2" x14ac:dyDescent="0.35">
      <c r="B73" s="8" t="s">
        <v>1695</v>
      </c>
    </row>
    <row r="74" spans="2:2" x14ac:dyDescent="0.35">
      <c r="B74" s="8" t="s">
        <v>3819</v>
      </c>
    </row>
    <row r="75" spans="2:2" x14ac:dyDescent="0.35">
      <c r="B75" s="8" t="s">
        <v>5684</v>
      </c>
    </row>
    <row r="76" spans="2:2" x14ac:dyDescent="0.35">
      <c r="B76" s="8" t="s">
        <v>2904</v>
      </c>
    </row>
    <row r="77" spans="2:2" x14ac:dyDescent="0.35">
      <c r="B77" s="8" t="s">
        <v>2926</v>
      </c>
    </row>
    <row r="78" spans="2:2" x14ac:dyDescent="0.35">
      <c r="B78" s="8" t="s">
        <v>4393</v>
      </c>
    </row>
    <row r="79" spans="2:2" x14ac:dyDescent="0.35">
      <c r="B79" s="8" t="s">
        <v>5417</v>
      </c>
    </row>
    <row r="80" spans="2:2" x14ac:dyDescent="0.35">
      <c r="B80" s="8" t="s">
        <v>2654</v>
      </c>
    </row>
    <row r="81" spans="2:2" x14ac:dyDescent="0.35">
      <c r="B81" s="8" t="s">
        <v>3546</v>
      </c>
    </row>
    <row r="82" spans="2:2" x14ac:dyDescent="0.35">
      <c r="B82" s="8" t="s">
        <v>4733</v>
      </c>
    </row>
    <row r="83" spans="2:2" x14ac:dyDescent="0.35">
      <c r="B83" s="8" t="s">
        <v>5267</v>
      </c>
    </row>
    <row r="84" spans="2:2" x14ac:dyDescent="0.35">
      <c r="B84" s="8" t="s">
        <v>531</v>
      </c>
    </row>
    <row r="85" spans="2:2" x14ac:dyDescent="0.35">
      <c r="B85" s="8" t="s">
        <v>1781</v>
      </c>
    </row>
    <row r="86" spans="2:2" x14ac:dyDescent="0.35">
      <c r="B86" s="8" t="s">
        <v>4047</v>
      </c>
    </row>
    <row r="87" spans="2:2" x14ac:dyDescent="0.35">
      <c r="B87" s="8" t="s">
        <v>5051</v>
      </c>
    </row>
    <row r="88" spans="2:2" x14ac:dyDescent="0.35">
      <c r="B88" s="8" t="s">
        <v>4129</v>
      </c>
    </row>
    <row r="89" spans="2:2" x14ac:dyDescent="0.35">
      <c r="B89" s="8" t="s">
        <v>144</v>
      </c>
    </row>
    <row r="90" spans="2:2" x14ac:dyDescent="0.35">
      <c r="B90" s="8" t="s">
        <v>1174</v>
      </c>
    </row>
    <row r="91" spans="2:2" x14ac:dyDescent="0.35">
      <c r="B91" s="8" t="s">
        <v>792</v>
      </c>
    </row>
    <row r="92" spans="2:2" x14ac:dyDescent="0.35">
      <c r="B92" s="8" t="s">
        <v>4243</v>
      </c>
    </row>
    <row r="93" spans="2:2" x14ac:dyDescent="0.35">
      <c r="B93" s="8" t="s">
        <v>1437</v>
      </c>
    </row>
    <row r="94" spans="2:2" x14ac:dyDescent="0.35">
      <c r="B94" s="8" t="s">
        <v>5243</v>
      </c>
    </row>
    <row r="95" spans="2:2" x14ac:dyDescent="0.35">
      <c r="B95" s="8" t="s">
        <v>5245</v>
      </c>
    </row>
    <row r="96" spans="2:2" x14ac:dyDescent="0.35">
      <c r="B96" s="8" t="s">
        <v>2150</v>
      </c>
    </row>
    <row r="97" spans="2:2" x14ac:dyDescent="0.35">
      <c r="B97" s="8" t="s">
        <v>4886</v>
      </c>
    </row>
    <row r="98" spans="2:2" x14ac:dyDescent="0.35">
      <c r="B98" s="8" t="s">
        <v>5593</v>
      </c>
    </row>
    <row r="99" spans="2:2" x14ac:dyDescent="0.35">
      <c r="B99" s="8" t="s">
        <v>3218</v>
      </c>
    </row>
    <row r="100" spans="2:2" x14ac:dyDescent="0.35">
      <c r="B100" s="8" t="s">
        <v>815</v>
      </c>
    </row>
    <row r="101" spans="2:2" x14ac:dyDescent="0.35">
      <c r="B101" s="8" t="s">
        <v>5045</v>
      </c>
    </row>
    <row r="102" spans="2:2" x14ac:dyDescent="0.35">
      <c r="B102" s="8" t="s">
        <v>5446</v>
      </c>
    </row>
    <row r="103" spans="2:2" x14ac:dyDescent="0.35">
      <c r="B103" s="8" t="s">
        <v>2713</v>
      </c>
    </row>
    <row r="104" spans="2:2" x14ac:dyDescent="0.35">
      <c r="B104" s="8" t="s">
        <v>4245</v>
      </c>
    </row>
    <row r="105" spans="2:2" x14ac:dyDescent="0.35">
      <c r="B105" s="8" t="s">
        <v>521</v>
      </c>
    </row>
    <row r="106" spans="2:2" x14ac:dyDescent="0.35">
      <c r="B106" s="8" t="s">
        <v>1049</v>
      </c>
    </row>
    <row r="107" spans="2:2" x14ac:dyDescent="0.35">
      <c r="B107" s="8" t="s">
        <v>5450</v>
      </c>
    </row>
    <row r="108" spans="2:2" x14ac:dyDescent="0.35">
      <c r="B108" s="8" t="s">
        <v>218</v>
      </c>
    </row>
    <row r="109" spans="2:2" x14ac:dyDescent="0.35">
      <c r="B109" s="8" t="s">
        <v>5373</v>
      </c>
    </row>
    <row r="110" spans="2:2" x14ac:dyDescent="0.35">
      <c r="B110" s="8" t="s">
        <v>1348</v>
      </c>
    </row>
    <row r="111" spans="2:2" x14ac:dyDescent="0.35">
      <c r="B111" s="8" t="s">
        <v>5257</v>
      </c>
    </row>
    <row r="112" spans="2:2" x14ac:dyDescent="0.35">
      <c r="B112" s="8" t="s">
        <v>965</v>
      </c>
    </row>
    <row r="113" spans="2:2" x14ac:dyDescent="0.35">
      <c r="B113" s="8" t="s">
        <v>4725</v>
      </c>
    </row>
    <row r="114" spans="2:2" x14ac:dyDescent="0.35">
      <c r="B114" s="8" t="s">
        <v>5047</v>
      </c>
    </row>
    <row r="115" spans="2:2" x14ac:dyDescent="0.35">
      <c r="B115" s="8" t="s">
        <v>3982</v>
      </c>
    </row>
    <row r="116" spans="2:2" x14ac:dyDescent="0.35">
      <c r="B116" s="8" t="s">
        <v>220</v>
      </c>
    </row>
    <row r="117" spans="2:2" x14ac:dyDescent="0.35">
      <c r="B117" s="8" t="s">
        <v>1168</v>
      </c>
    </row>
    <row r="118" spans="2:2" x14ac:dyDescent="0.35">
      <c r="B118" s="8" t="s">
        <v>1051</v>
      </c>
    </row>
    <row r="119" spans="2:2" x14ac:dyDescent="0.35">
      <c r="B119" s="8" t="s">
        <v>4803</v>
      </c>
    </row>
    <row r="120" spans="2:2" x14ac:dyDescent="0.35">
      <c r="B120" s="8" t="s">
        <v>813</v>
      </c>
    </row>
    <row r="121" spans="2:2" x14ac:dyDescent="0.35">
      <c r="B121" s="8" t="s">
        <v>4805</v>
      </c>
    </row>
    <row r="122" spans="2:2" x14ac:dyDescent="0.35">
      <c r="B122" s="8" t="s">
        <v>782</v>
      </c>
    </row>
    <row r="123" spans="2:2" x14ac:dyDescent="0.35">
      <c r="B123" s="8" t="s">
        <v>3659</v>
      </c>
    </row>
    <row r="124" spans="2:2" x14ac:dyDescent="0.35">
      <c r="B124" s="8" t="s">
        <v>3428</v>
      </c>
    </row>
    <row r="125" spans="2:2" x14ac:dyDescent="0.35">
      <c r="B125" s="8" t="s">
        <v>3661</v>
      </c>
    </row>
    <row r="126" spans="2:2" x14ac:dyDescent="0.35">
      <c r="B126" s="8" t="s">
        <v>833</v>
      </c>
    </row>
    <row r="127" spans="2:2" x14ac:dyDescent="0.35">
      <c r="B127" s="8" t="s">
        <v>3756</v>
      </c>
    </row>
    <row r="128" spans="2:2" x14ac:dyDescent="0.35">
      <c r="B128" s="8" t="s">
        <v>1775</v>
      </c>
    </row>
    <row r="129" spans="2:2" x14ac:dyDescent="0.35">
      <c r="B129" s="8" t="s">
        <v>5682</v>
      </c>
    </row>
    <row r="130" spans="2:2" x14ac:dyDescent="0.35">
      <c r="B130" s="8" t="s">
        <v>4801</v>
      </c>
    </row>
    <row r="131" spans="2:2" x14ac:dyDescent="0.35">
      <c r="B131" s="8" t="s">
        <v>2194</v>
      </c>
    </row>
    <row r="132" spans="2:2" x14ac:dyDescent="0.35">
      <c r="B132" s="8" t="s">
        <v>2994</v>
      </c>
    </row>
    <row r="133" spans="2:2" x14ac:dyDescent="0.35">
      <c r="B133" s="8" t="s">
        <v>969</v>
      </c>
    </row>
    <row r="134" spans="2:2" x14ac:dyDescent="0.35">
      <c r="B134" s="8" t="s">
        <v>4768</v>
      </c>
    </row>
    <row r="135" spans="2:2" x14ac:dyDescent="0.35">
      <c r="B135" s="8" t="s">
        <v>180</v>
      </c>
    </row>
    <row r="136" spans="2:2" x14ac:dyDescent="0.35">
      <c r="B136" s="8" t="s">
        <v>2996</v>
      </c>
    </row>
    <row r="137" spans="2:2" x14ac:dyDescent="0.35">
      <c r="B137" s="8" t="s">
        <v>1055</v>
      </c>
    </row>
    <row r="138" spans="2:2" x14ac:dyDescent="0.35">
      <c r="B138" s="8" t="s">
        <v>4970</v>
      </c>
    </row>
    <row r="139" spans="2:2" x14ac:dyDescent="0.35">
      <c r="B139" s="8" t="s">
        <v>1441</v>
      </c>
    </row>
    <row r="140" spans="2:2" x14ac:dyDescent="0.35">
      <c r="B140" s="8" t="s">
        <v>5454</v>
      </c>
    </row>
    <row r="141" spans="2:2" x14ac:dyDescent="0.35">
      <c r="B141" s="8" t="s">
        <v>2925</v>
      </c>
    </row>
    <row r="142" spans="2:2" x14ac:dyDescent="0.35">
      <c r="B142" s="8" t="s">
        <v>523</v>
      </c>
    </row>
    <row r="143" spans="2:2" x14ac:dyDescent="0.35">
      <c r="B143" s="8" t="s">
        <v>3757</v>
      </c>
    </row>
    <row r="144" spans="2:2" x14ac:dyDescent="0.35">
      <c r="B144" s="8" t="s">
        <v>5049</v>
      </c>
    </row>
    <row r="145" spans="2:2" x14ac:dyDescent="0.35">
      <c r="B145" s="8" t="s">
        <v>1056</v>
      </c>
    </row>
    <row r="146" spans="2:2" x14ac:dyDescent="0.35">
      <c r="B146" s="8" t="s">
        <v>711</v>
      </c>
    </row>
    <row r="147" spans="2:2" x14ac:dyDescent="0.35">
      <c r="B147" s="8" t="s">
        <v>3729</v>
      </c>
    </row>
    <row r="148" spans="2:2" x14ac:dyDescent="0.35">
      <c r="B148" s="8" t="s">
        <v>5204</v>
      </c>
    </row>
    <row r="149" spans="2:2" x14ac:dyDescent="0.35">
      <c r="B149" s="8" t="s">
        <v>5265</v>
      </c>
    </row>
    <row r="150" spans="2:2" x14ac:dyDescent="0.35">
      <c r="B150" s="8" t="s">
        <v>5456</v>
      </c>
    </row>
    <row r="151" spans="2:2" x14ac:dyDescent="0.35">
      <c r="B151" s="8" t="s">
        <v>2653</v>
      </c>
    </row>
    <row r="152" spans="2:2" x14ac:dyDescent="0.35">
      <c r="B152" s="8" t="s">
        <v>4322</v>
      </c>
    </row>
    <row r="153" spans="2:2" x14ac:dyDescent="0.35">
      <c r="B153" s="8" t="s">
        <v>1200</v>
      </c>
    </row>
    <row r="154" spans="2:2" x14ac:dyDescent="0.35">
      <c r="B154" s="8" t="s">
        <v>1621</v>
      </c>
    </row>
    <row r="155" spans="2:2" x14ac:dyDescent="0.35">
      <c r="B155" s="8" t="s">
        <v>1952</v>
      </c>
    </row>
    <row r="156" spans="2:2" x14ac:dyDescent="0.35">
      <c r="B156" s="8" t="s">
        <v>186</v>
      </c>
    </row>
    <row r="157" spans="2:2" x14ac:dyDescent="0.35">
      <c r="B157" s="8" t="s">
        <v>3430</v>
      </c>
    </row>
    <row r="158" spans="2:2" x14ac:dyDescent="0.35">
      <c r="B158" s="8" t="s">
        <v>1986</v>
      </c>
    </row>
    <row r="159" spans="2:2" x14ac:dyDescent="0.35">
      <c r="B159" s="8" t="s">
        <v>790</v>
      </c>
    </row>
    <row r="160" spans="2:2" x14ac:dyDescent="0.35">
      <c r="B160" s="8" t="s">
        <v>1954</v>
      </c>
    </row>
    <row r="161" spans="2:2" x14ac:dyDescent="0.35">
      <c r="B161" s="8" t="s">
        <v>651</v>
      </c>
    </row>
    <row r="162" spans="2:2" x14ac:dyDescent="0.35">
      <c r="B162" s="8" t="s">
        <v>5692</v>
      </c>
    </row>
    <row r="163" spans="2:2" x14ac:dyDescent="0.35">
      <c r="B163" s="8" t="s">
        <v>527</v>
      </c>
    </row>
    <row r="164" spans="2:2" x14ac:dyDescent="0.35">
      <c r="B164" s="8" t="s">
        <v>715</v>
      </c>
    </row>
    <row r="165" spans="2:2" x14ac:dyDescent="0.35">
      <c r="B165" s="8" t="s">
        <v>653</v>
      </c>
    </row>
    <row r="166" spans="2:2" x14ac:dyDescent="0.35">
      <c r="B166" s="8" t="s">
        <v>3984</v>
      </c>
    </row>
    <row r="167" spans="2:2" x14ac:dyDescent="0.35">
      <c r="B167" s="8" t="s">
        <v>5413</v>
      </c>
    </row>
    <row r="168" spans="2:2" x14ac:dyDescent="0.35">
      <c r="B168" s="8" t="s">
        <v>5381</v>
      </c>
    </row>
    <row r="169" spans="2:2" x14ac:dyDescent="0.35">
      <c r="B169" s="8" t="s">
        <v>1443</v>
      </c>
    </row>
    <row r="170" spans="2:2" x14ac:dyDescent="0.35">
      <c r="B170" s="8" t="s">
        <v>3381</v>
      </c>
    </row>
    <row r="171" spans="2:2" x14ac:dyDescent="0.35">
      <c r="B171" s="8" t="s">
        <v>1445</v>
      </c>
    </row>
    <row r="172" spans="2:2" x14ac:dyDescent="0.35">
      <c r="B172" s="8" t="s">
        <v>4731</v>
      </c>
    </row>
    <row r="173" spans="2:2" x14ac:dyDescent="0.35">
      <c r="B173" s="8" t="s">
        <v>1732</v>
      </c>
    </row>
    <row r="174" spans="2:2" x14ac:dyDescent="0.35">
      <c r="B174" s="8" t="s">
        <v>2536</v>
      </c>
    </row>
    <row r="175" spans="2:2" x14ac:dyDescent="0.35">
      <c r="B175" s="8" t="s">
        <v>3098</v>
      </c>
    </row>
    <row r="176" spans="2:2" x14ac:dyDescent="0.35">
      <c r="B176" s="8" t="s">
        <v>655</v>
      </c>
    </row>
    <row r="177" spans="2:2" x14ac:dyDescent="0.35">
      <c r="B177" s="8" t="s">
        <v>719</v>
      </c>
    </row>
    <row r="178" spans="2:2" x14ac:dyDescent="0.35">
      <c r="B178" s="8" t="s">
        <v>4328</v>
      </c>
    </row>
    <row r="179" spans="2:2" x14ac:dyDescent="0.35">
      <c r="B179" s="8" t="s">
        <v>4431</v>
      </c>
    </row>
    <row r="180" spans="2:2" x14ac:dyDescent="0.35">
      <c r="B180" s="8" t="s">
        <v>976</v>
      </c>
    </row>
    <row r="181" spans="2:2" x14ac:dyDescent="0.35">
      <c r="B181" s="8" t="s">
        <v>2538</v>
      </c>
    </row>
    <row r="182" spans="2:2" x14ac:dyDescent="0.35">
      <c r="B182" s="8" t="s">
        <v>2260</v>
      </c>
    </row>
    <row r="183" spans="2:2" x14ac:dyDescent="0.35">
      <c r="B183" s="8" t="s">
        <v>3270</v>
      </c>
    </row>
    <row r="184" spans="2:2" x14ac:dyDescent="0.35">
      <c r="B184" s="8" t="s">
        <v>5461</v>
      </c>
    </row>
    <row r="185" spans="2:2" x14ac:dyDescent="0.35">
      <c r="B185" s="8" t="s">
        <v>5383</v>
      </c>
    </row>
    <row r="186" spans="2:2" x14ac:dyDescent="0.35">
      <c r="B186" s="8" t="s">
        <v>2540</v>
      </c>
    </row>
    <row r="187" spans="2:2" x14ac:dyDescent="0.35">
      <c r="B187" s="8" t="s">
        <v>5419</v>
      </c>
    </row>
    <row r="188" spans="2:2" x14ac:dyDescent="0.35">
      <c r="B188" s="8" t="s">
        <v>4330</v>
      </c>
    </row>
    <row r="189" spans="2:2" x14ac:dyDescent="0.35">
      <c r="B189" s="8" t="s">
        <v>657</v>
      </c>
    </row>
    <row r="190" spans="2:2" x14ac:dyDescent="0.35">
      <c r="B190" s="8" t="s">
        <v>5123</v>
      </c>
    </row>
    <row r="191" spans="2:2" x14ac:dyDescent="0.35">
      <c r="B191" s="8" t="s">
        <v>3383</v>
      </c>
    </row>
    <row r="192" spans="2:2" x14ac:dyDescent="0.35">
      <c r="B192" s="8" t="s">
        <v>4812</v>
      </c>
    </row>
    <row r="193" spans="2:2" x14ac:dyDescent="0.35">
      <c r="B193" s="8" t="s">
        <v>3865</v>
      </c>
    </row>
    <row r="194" spans="2:2" x14ac:dyDescent="0.35">
      <c r="B194" s="8" t="s">
        <v>5207</v>
      </c>
    </row>
    <row r="195" spans="2:2" x14ac:dyDescent="0.35">
      <c r="B195" s="8" t="s">
        <v>1206</v>
      </c>
    </row>
    <row r="196" spans="2:2" x14ac:dyDescent="0.35">
      <c r="B196" s="8" t="s">
        <v>5465</v>
      </c>
    </row>
    <row r="197" spans="2:2" x14ac:dyDescent="0.35">
      <c r="B197" s="8" t="s">
        <v>978</v>
      </c>
    </row>
    <row r="198" spans="2:2" x14ac:dyDescent="0.35">
      <c r="B198" s="8" t="s">
        <v>192</v>
      </c>
    </row>
    <row r="199" spans="2:2" x14ac:dyDescent="0.35">
      <c r="B199" s="8" t="s">
        <v>839</v>
      </c>
    </row>
    <row r="200" spans="2:2" x14ac:dyDescent="0.35">
      <c r="B200" s="8" t="s">
        <v>721</v>
      </c>
    </row>
    <row r="201" spans="2:2" x14ac:dyDescent="0.35">
      <c r="B201" s="8" t="s">
        <v>333</v>
      </c>
    </row>
    <row r="202" spans="2:2" x14ac:dyDescent="0.35">
      <c r="B202" s="8" t="s">
        <v>2658</v>
      </c>
    </row>
    <row r="203" spans="2:2" x14ac:dyDescent="0.35">
      <c r="B203" s="8" t="s">
        <v>335</v>
      </c>
    </row>
    <row r="204" spans="2:2" x14ac:dyDescent="0.35">
      <c r="B204" s="8" t="s">
        <v>418</v>
      </c>
    </row>
    <row r="205" spans="2:2" x14ac:dyDescent="0.35">
      <c r="B205" s="8" t="s">
        <v>2101</v>
      </c>
    </row>
    <row r="206" spans="2:2" x14ac:dyDescent="0.35">
      <c r="B206" s="8" t="s">
        <v>5211</v>
      </c>
    </row>
    <row r="207" spans="2:2" x14ac:dyDescent="0.35">
      <c r="B207" s="8" t="s">
        <v>286</v>
      </c>
    </row>
    <row r="208" spans="2:2" x14ac:dyDescent="0.35">
      <c r="B208" s="8" t="s">
        <v>2900</v>
      </c>
    </row>
    <row r="209" spans="2:2" x14ac:dyDescent="0.35">
      <c r="B209" s="8" t="s">
        <v>5157</v>
      </c>
    </row>
    <row r="210" spans="2:2" x14ac:dyDescent="0.35">
      <c r="B210" s="8" t="s">
        <v>982</v>
      </c>
    </row>
    <row r="211" spans="2:2" x14ac:dyDescent="0.35">
      <c r="B211" s="8" t="s">
        <v>841</v>
      </c>
    </row>
    <row r="212" spans="2:2" x14ac:dyDescent="0.35">
      <c r="B212" s="8" t="s">
        <v>4253</v>
      </c>
    </row>
    <row r="213" spans="2:2" x14ac:dyDescent="0.35">
      <c r="B213" s="8" t="s">
        <v>3385</v>
      </c>
    </row>
    <row r="214" spans="2:2" x14ac:dyDescent="0.35">
      <c r="B214" s="8" t="s">
        <v>4131</v>
      </c>
    </row>
    <row r="215" spans="2:2" x14ac:dyDescent="0.35">
      <c r="B215" s="8" t="s">
        <v>1214</v>
      </c>
    </row>
    <row r="216" spans="2:2" x14ac:dyDescent="0.35">
      <c r="B216" s="8" t="s">
        <v>722</v>
      </c>
    </row>
    <row r="217" spans="2:2" x14ac:dyDescent="0.35">
      <c r="B217" s="8" t="s">
        <v>2616</v>
      </c>
    </row>
    <row r="218" spans="2:2" x14ac:dyDescent="0.35">
      <c r="B218" s="8" t="s">
        <v>3906</v>
      </c>
    </row>
    <row r="219" spans="2:2" x14ac:dyDescent="0.35">
      <c r="B219" s="8" t="s">
        <v>3025</v>
      </c>
    </row>
    <row r="220" spans="2:2" x14ac:dyDescent="0.35">
      <c r="B220" s="8" t="s">
        <v>2645</v>
      </c>
    </row>
    <row r="221" spans="2:2" x14ac:dyDescent="0.35">
      <c r="B221" s="8" t="s">
        <v>2682</v>
      </c>
    </row>
    <row r="222" spans="2:2" x14ac:dyDescent="0.35">
      <c r="B222" s="8" t="s">
        <v>4888</v>
      </c>
    </row>
    <row r="223" spans="2:2" x14ac:dyDescent="0.35">
      <c r="B223" s="8" t="s">
        <v>1108</v>
      </c>
    </row>
    <row r="224" spans="2:2" x14ac:dyDescent="0.35">
      <c r="B224" s="8" t="s">
        <v>4511</v>
      </c>
    </row>
    <row r="225" spans="2:2" x14ac:dyDescent="0.35">
      <c r="B225" s="8" t="s">
        <v>4519</v>
      </c>
    </row>
    <row r="226" spans="2:2" x14ac:dyDescent="0.35">
      <c r="B226" s="8" t="s">
        <v>2950</v>
      </c>
    </row>
    <row r="227" spans="2:2" x14ac:dyDescent="0.35">
      <c r="B227" s="8" t="s">
        <v>439</v>
      </c>
    </row>
    <row r="228" spans="2:2" x14ac:dyDescent="0.35">
      <c r="B228" s="8" t="s">
        <v>441</v>
      </c>
    </row>
    <row r="229" spans="2:2" x14ac:dyDescent="0.35">
      <c r="B229" s="8" t="s">
        <v>3917</v>
      </c>
    </row>
    <row r="230" spans="2:2" x14ac:dyDescent="0.35">
      <c r="B230" s="8" t="s">
        <v>2363</v>
      </c>
    </row>
    <row r="231" spans="2:2" x14ac:dyDescent="0.35">
      <c r="B231" s="8" t="s">
        <v>5529</v>
      </c>
    </row>
    <row r="232" spans="2:2" x14ac:dyDescent="0.35">
      <c r="B232" s="8" t="s">
        <v>1560</v>
      </c>
    </row>
    <row r="233" spans="2:2" x14ac:dyDescent="0.35">
      <c r="B233" s="8" t="s">
        <v>4378</v>
      </c>
    </row>
    <row r="234" spans="2:2" x14ac:dyDescent="0.35">
      <c r="B234" s="8" t="s">
        <v>3476</v>
      </c>
    </row>
    <row r="235" spans="2:2" x14ac:dyDescent="0.35">
      <c r="B235" s="8" t="s">
        <v>592</v>
      </c>
    </row>
    <row r="236" spans="2:2" x14ac:dyDescent="0.35">
      <c r="B236" s="8" t="s">
        <v>3697</v>
      </c>
    </row>
    <row r="237" spans="2:2" x14ac:dyDescent="0.35">
      <c r="B237" s="8" t="s">
        <v>482</v>
      </c>
    </row>
    <row r="238" spans="2:2" x14ac:dyDescent="0.35">
      <c r="B238" s="8" t="s">
        <v>3151</v>
      </c>
    </row>
    <row r="239" spans="2:2" x14ac:dyDescent="0.35">
      <c r="B239" s="8" t="s">
        <v>1407</v>
      </c>
    </row>
    <row r="240" spans="2:2" x14ac:dyDescent="0.35">
      <c r="B240" s="8" t="s">
        <v>1307</v>
      </c>
    </row>
    <row r="241" spans="2:2" x14ac:dyDescent="0.35">
      <c r="B241" s="8" t="s">
        <v>5533</v>
      </c>
    </row>
    <row r="242" spans="2:2" x14ac:dyDescent="0.35">
      <c r="B242" s="8" t="s">
        <v>5535</v>
      </c>
    </row>
    <row r="243" spans="2:2" x14ac:dyDescent="0.35">
      <c r="B243" s="8" t="s">
        <v>1110</v>
      </c>
    </row>
    <row r="244" spans="2:2" x14ac:dyDescent="0.35">
      <c r="B244" s="8" t="s">
        <v>3126</v>
      </c>
    </row>
    <row r="245" spans="2:2" x14ac:dyDescent="0.35">
      <c r="B245" s="8" t="s">
        <v>3947</v>
      </c>
    </row>
    <row r="246" spans="2:2" x14ac:dyDescent="0.35">
      <c r="B246" s="8" t="s">
        <v>1568</v>
      </c>
    </row>
    <row r="247" spans="2:2" x14ac:dyDescent="0.35">
      <c r="B247" s="8" t="s">
        <v>4539</v>
      </c>
    </row>
    <row r="248" spans="2:2" x14ac:dyDescent="0.35">
      <c r="B248" s="8" t="s">
        <v>2833</v>
      </c>
    </row>
    <row r="249" spans="2:2" x14ac:dyDescent="0.35">
      <c r="B249" s="8" t="s">
        <v>2765</v>
      </c>
    </row>
    <row r="250" spans="2:2" x14ac:dyDescent="0.35">
      <c r="B250" s="8" t="s">
        <v>2823</v>
      </c>
    </row>
    <row r="251" spans="2:2" x14ac:dyDescent="0.35">
      <c r="B251" s="8" t="s">
        <v>2226</v>
      </c>
    </row>
    <row r="252" spans="2:2" x14ac:dyDescent="0.35">
      <c r="B252" s="8" t="s">
        <v>829</v>
      </c>
    </row>
    <row r="253" spans="2:2" x14ac:dyDescent="0.35">
      <c r="B253" s="8" t="s">
        <v>608</v>
      </c>
    </row>
    <row r="254" spans="2:2" x14ac:dyDescent="0.35">
      <c r="B254" s="8" t="s">
        <v>2224</v>
      </c>
    </row>
    <row r="255" spans="2:2" x14ac:dyDescent="0.35">
      <c r="B255" s="8" t="s">
        <v>3130</v>
      </c>
    </row>
    <row r="256" spans="2:2" x14ac:dyDescent="0.35">
      <c r="B256" s="8" t="s">
        <v>1325</v>
      </c>
    </row>
    <row r="257" spans="2:2" x14ac:dyDescent="0.35">
      <c r="B257" s="8" t="s">
        <v>3377</v>
      </c>
    </row>
    <row r="258" spans="2:2" x14ac:dyDescent="0.35">
      <c r="B258" s="8" t="s">
        <v>2385</v>
      </c>
    </row>
    <row r="259" spans="2:2" x14ac:dyDescent="0.35">
      <c r="B259" s="8" t="s">
        <v>96</v>
      </c>
    </row>
    <row r="260" spans="2:2" x14ac:dyDescent="0.35">
      <c r="B260" s="8" t="s">
        <v>137</v>
      </c>
    </row>
    <row r="261" spans="2:2" x14ac:dyDescent="0.35">
      <c r="B261" s="8" t="s">
        <v>3518</v>
      </c>
    </row>
    <row r="262" spans="2:2" x14ac:dyDescent="0.35">
      <c r="B262" s="8" t="s">
        <v>3961</v>
      </c>
    </row>
    <row r="263" spans="2:2" x14ac:dyDescent="0.35">
      <c r="B263" s="8" t="s">
        <v>2789</v>
      </c>
    </row>
    <row r="264" spans="2:2" x14ac:dyDescent="0.35">
      <c r="B264" s="8" t="s">
        <v>4222</v>
      </c>
    </row>
    <row r="265" spans="2:2" x14ac:dyDescent="0.35">
      <c r="B265" s="8" t="s">
        <v>2530</v>
      </c>
    </row>
    <row r="266" spans="2:2" x14ac:dyDescent="0.35">
      <c r="B266" s="8" t="s">
        <v>2025</v>
      </c>
    </row>
    <row r="267" spans="2:2" x14ac:dyDescent="0.35">
      <c r="B267" s="8" t="s">
        <v>2759</v>
      </c>
    </row>
    <row r="268" spans="2:2" x14ac:dyDescent="0.35">
      <c r="B268" s="8" t="s">
        <v>4108</v>
      </c>
    </row>
    <row r="269" spans="2:2" x14ac:dyDescent="0.35">
      <c r="B269" s="8" t="s">
        <v>5175</v>
      </c>
    </row>
    <row r="270" spans="2:2" x14ac:dyDescent="0.35">
      <c r="B270" s="8" t="s">
        <v>3357</v>
      </c>
    </row>
    <row r="271" spans="2:2" x14ac:dyDescent="0.35">
      <c r="B271" s="8" t="s">
        <v>2747</v>
      </c>
    </row>
    <row r="272" spans="2:2" x14ac:dyDescent="0.35">
      <c r="B272" s="8" t="s">
        <v>4275</v>
      </c>
    </row>
    <row r="273" spans="2:2" x14ac:dyDescent="0.35">
      <c r="B273" s="8" t="s">
        <v>1455</v>
      </c>
    </row>
    <row r="274" spans="2:2" x14ac:dyDescent="0.35">
      <c r="B274" s="8" t="s">
        <v>5409</v>
      </c>
    </row>
    <row r="275" spans="2:2" x14ac:dyDescent="0.35">
      <c r="B275" s="8" t="s">
        <v>1996</v>
      </c>
    </row>
    <row r="276" spans="2:2" x14ac:dyDescent="0.35">
      <c r="B276" s="8" t="s">
        <v>4641</v>
      </c>
    </row>
    <row r="277" spans="2:2" x14ac:dyDescent="0.35">
      <c r="B277" s="8" t="s">
        <v>2793</v>
      </c>
    </row>
    <row r="278" spans="2:2" x14ac:dyDescent="0.35">
      <c r="B278" s="8" t="s">
        <v>4899</v>
      </c>
    </row>
    <row r="279" spans="2:2" x14ac:dyDescent="0.35">
      <c r="B279" s="8" t="s">
        <v>1279</v>
      </c>
    </row>
    <row r="280" spans="2:2" x14ac:dyDescent="0.35">
      <c r="B280" s="8" t="s">
        <v>1998</v>
      </c>
    </row>
    <row r="281" spans="2:2" x14ac:dyDescent="0.35">
      <c r="B281" s="8" t="s">
        <v>5625</v>
      </c>
    </row>
    <row r="282" spans="2:2" x14ac:dyDescent="0.35">
      <c r="B282" s="8" t="s">
        <v>152</v>
      </c>
    </row>
    <row r="283" spans="2:2" x14ac:dyDescent="0.35">
      <c r="B283" s="8" t="s">
        <v>4349</v>
      </c>
    </row>
    <row r="284" spans="2:2" x14ac:dyDescent="0.35">
      <c r="B284" s="8" t="s">
        <v>4359</v>
      </c>
    </row>
    <row r="285" spans="2:2" x14ac:dyDescent="0.35">
      <c r="B285" s="8" t="s">
        <v>5000</v>
      </c>
    </row>
    <row r="286" spans="2:2" x14ac:dyDescent="0.35">
      <c r="B286" s="8" t="s">
        <v>4878</v>
      </c>
    </row>
    <row r="287" spans="2:2" x14ac:dyDescent="0.35">
      <c r="B287" s="8" t="s">
        <v>1740</v>
      </c>
    </row>
    <row r="288" spans="2:2" x14ac:dyDescent="0.35">
      <c r="B288" s="8" t="s">
        <v>1069</v>
      </c>
    </row>
    <row r="289" spans="2:2" x14ac:dyDescent="0.35">
      <c r="B289" s="8" t="s">
        <v>729</v>
      </c>
    </row>
    <row r="290" spans="2:2" x14ac:dyDescent="0.35">
      <c r="B290" s="8" t="s">
        <v>3009</v>
      </c>
    </row>
    <row r="291" spans="2:2" x14ac:dyDescent="0.35">
      <c r="B291" s="8" t="s">
        <v>1633</v>
      </c>
    </row>
    <row r="292" spans="2:2" x14ac:dyDescent="0.35">
      <c r="B292" s="8" t="s">
        <v>5002</v>
      </c>
    </row>
    <row r="293" spans="2:2" x14ac:dyDescent="0.35">
      <c r="B293" s="8" t="s">
        <v>3363</v>
      </c>
    </row>
    <row r="294" spans="2:2" x14ac:dyDescent="0.35">
      <c r="B294" s="8" t="s">
        <v>4748</v>
      </c>
    </row>
    <row r="295" spans="2:2" x14ac:dyDescent="0.35">
      <c r="B295" s="8" t="s">
        <v>4283</v>
      </c>
    </row>
    <row r="296" spans="2:2" x14ac:dyDescent="0.35">
      <c r="B296" s="8" t="s">
        <v>2799</v>
      </c>
    </row>
    <row r="297" spans="2:2" x14ac:dyDescent="0.35">
      <c r="B297" s="8" t="s">
        <v>4752</v>
      </c>
    </row>
    <row r="298" spans="2:2" x14ac:dyDescent="0.35">
      <c r="B298" s="8" t="s">
        <v>2132</v>
      </c>
    </row>
    <row r="299" spans="2:2" x14ac:dyDescent="0.35">
      <c r="B299" s="8" t="s">
        <v>2427</v>
      </c>
    </row>
    <row r="300" spans="2:2" x14ac:dyDescent="0.35">
      <c r="B300" s="8" t="s">
        <v>1467</v>
      </c>
    </row>
    <row r="301" spans="2:2" x14ac:dyDescent="0.35">
      <c r="B301" s="8" t="s">
        <v>307</v>
      </c>
    </row>
    <row r="302" spans="2:2" x14ac:dyDescent="0.35">
      <c r="B302" s="8" t="s">
        <v>4175</v>
      </c>
    </row>
    <row r="303" spans="2:2" x14ac:dyDescent="0.35">
      <c r="B303" s="8" t="s">
        <v>737</v>
      </c>
    </row>
    <row r="304" spans="2:2" x14ac:dyDescent="0.35">
      <c r="B304" s="8" t="s">
        <v>1019</v>
      </c>
    </row>
    <row r="305" spans="2:2" x14ac:dyDescent="0.35">
      <c r="B305" s="8" t="s">
        <v>3403</v>
      </c>
    </row>
    <row r="306" spans="2:2" x14ac:dyDescent="0.35">
      <c r="B306" s="8" t="s">
        <v>314</v>
      </c>
    </row>
    <row r="307" spans="2:2" x14ac:dyDescent="0.35">
      <c r="B307" s="8" t="s">
        <v>4193</v>
      </c>
    </row>
    <row r="308" spans="2:2" x14ac:dyDescent="0.35">
      <c r="B308" s="8" t="s">
        <v>3351</v>
      </c>
    </row>
    <row r="309" spans="2:2" x14ac:dyDescent="0.35">
      <c r="B309" s="8" t="s">
        <v>723</v>
      </c>
    </row>
    <row r="310" spans="2:2" x14ac:dyDescent="0.35">
      <c r="B310" s="8" t="s">
        <v>2576</v>
      </c>
    </row>
    <row r="311" spans="2:2" x14ac:dyDescent="0.35">
      <c r="B311" s="8" t="s">
        <v>5504</v>
      </c>
    </row>
    <row r="312" spans="2:2" x14ac:dyDescent="0.35">
      <c r="B312" s="8" t="s">
        <v>3786</v>
      </c>
    </row>
    <row r="313" spans="2:2" x14ac:dyDescent="0.35">
      <c r="B313" s="8" t="s">
        <v>1397</v>
      </c>
    </row>
    <row r="314" spans="2:2" x14ac:dyDescent="0.35">
      <c r="B314" s="8" t="s">
        <v>4271</v>
      </c>
    </row>
    <row r="315" spans="2:2" x14ac:dyDescent="0.35">
      <c r="B315" s="8" t="s">
        <v>1488</v>
      </c>
    </row>
    <row r="316" spans="2:2" x14ac:dyDescent="0.35">
      <c r="B316" s="8" t="s">
        <v>2352</v>
      </c>
    </row>
    <row r="317" spans="2:2" x14ac:dyDescent="0.35">
      <c r="B317" s="8" t="s">
        <v>1222</v>
      </c>
    </row>
    <row r="318" spans="2:2" x14ac:dyDescent="0.35">
      <c r="B318" s="8" t="s">
        <v>4094</v>
      </c>
    </row>
    <row r="319" spans="2:2" x14ac:dyDescent="0.35">
      <c r="B319" s="8" t="s">
        <v>991</v>
      </c>
    </row>
    <row r="320" spans="2:2" x14ac:dyDescent="0.35">
      <c r="B320" s="8" t="s">
        <v>1127</v>
      </c>
    </row>
    <row r="321" spans="2:2" x14ac:dyDescent="0.35">
      <c r="B321" s="8" t="s">
        <v>3497</v>
      </c>
    </row>
    <row r="322" spans="2:2" x14ac:dyDescent="0.35">
      <c r="B322" s="8" t="s">
        <v>3598</v>
      </c>
    </row>
    <row r="323" spans="2:2" x14ac:dyDescent="0.35">
      <c r="B323" s="8" t="s">
        <v>453</v>
      </c>
    </row>
    <row r="324" spans="2:2" x14ac:dyDescent="0.35">
      <c r="B324" s="8" t="s">
        <v>1839</v>
      </c>
    </row>
    <row r="325" spans="2:2" x14ac:dyDescent="0.35">
      <c r="B325" s="8" t="s">
        <v>3478</v>
      </c>
    </row>
    <row r="326" spans="2:2" x14ac:dyDescent="0.35">
      <c r="B326" s="8" t="s">
        <v>2375</v>
      </c>
    </row>
    <row r="327" spans="2:2" x14ac:dyDescent="0.35">
      <c r="B327" s="8" t="s">
        <v>2076</v>
      </c>
    </row>
    <row r="328" spans="2:2" x14ac:dyDescent="0.35">
      <c r="B328" s="8" t="s">
        <v>2377</v>
      </c>
    </row>
    <row r="329" spans="2:2" x14ac:dyDescent="0.35">
      <c r="B329" s="8" t="s">
        <v>2546</v>
      </c>
    </row>
    <row r="330" spans="2:2" x14ac:dyDescent="0.35">
      <c r="B330" s="8" t="s">
        <v>3586</v>
      </c>
    </row>
    <row r="331" spans="2:2" x14ac:dyDescent="0.35">
      <c r="B331" s="8" t="s">
        <v>596</v>
      </c>
    </row>
    <row r="332" spans="2:2" x14ac:dyDescent="0.35">
      <c r="B332" s="8" t="s">
        <v>1396</v>
      </c>
    </row>
    <row r="333" spans="2:2" x14ac:dyDescent="0.35">
      <c r="B333" s="8" t="s">
        <v>2379</v>
      </c>
    </row>
    <row r="334" spans="2:2" x14ac:dyDescent="0.35">
      <c r="B334" s="8" t="s">
        <v>3161</v>
      </c>
    </row>
    <row r="335" spans="2:2" x14ac:dyDescent="0.35">
      <c r="B335" s="8" t="s">
        <v>3173</v>
      </c>
    </row>
    <row r="336" spans="2:2" x14ac:dyDescent="0.35">
      <c r="B336" s="8" t="s">
        <v>3295</v>
      </c>
    </row>
    <row r="337" spans="2:2" x14ac:dyDescent="0.35">
      <c r="B337" s="8" t="s">
        <v>4527</v>
      </c>
    </row>
    <row r="338" spans="2:2" x14ac:dyDescent="0.35">
      <c r="B338" s="8" t="s">
        <v>2084</v>
      </c>
    </row>
    <row r="339" spans="2:2" x14ac:dyDescent="0.35">
      <c r="B339" s="8" t="s">
        <v>3592</v>
      </c>
    </row>
    <row r="340" spans="2:2" x14ac:dyDescent="0.35">
      <c r="B340" s="8" t="s">
        <v>4490</v>
      </c>
    </row>
    <row r="341" spans="2:2" x14ac:dyDescent="0.35">
      <c r="B341" s="8" t="s">
        <v>1570</v>
      </c>
    </row>
    <row r="342" spans="2:2" x14ac:dyDescent="0.35">
      <c r="B342" s="8" t="s">
        <v>4210</v>
      </c>
    </row>
    <row r="343" spans="2:2" x14ac:dyDescent="0.35">
      <c r="B343" s="8" t="s">
        <v>3041</v>
      </c>
    </row>
    <row r="344" spans="2:2" x14ac:dyDescent="0.35">
      <c r="B344" s="8" t="s">
        <v>3480</v>
      </c>
    </row>
    <row r="345" spans="2:2" x14ac:dyDescent="0.35">
      <c r="B345" s="8" t="s">
        <v>3297</v>
      </c>
    </row>
    <row r="346" spans="2:2" x14ac:dyDescent="0.35">
      <c r="B346" s="8" t="s">
        <v>4574</v>
      </c>
    </row>
    <row r="347" spans="2:2" x14ac:dyDescent="0.35">
      <c r="B347" s="8" t="s">
        <v>4862</v>
      </c>
    </row>
    <row r="348" spans="2:2" x14ac:dyDescent="0.35">
      <c r="B348" s="8" t="s">
        <v>2172</v>
      </c>
    </row>
    <row r="349" spans="2:2" x14ac:dyDescent="0.35">
      <c r="B349" s="8" t="s">
        <v>925</v>
      </c>
    </row>
    <row r="350" spans="2:2" x14ac:dyDescent="0.35">
      <c r="B350" s="8" t="s">
        <v>2214</v>
      </c>
    </row>
    <row r="351" spans="2:2" x14ac:dyDescent="0.35">
      <c r="B351" s="8" t="s">
        <v>110</v>
      </c>
    </row>
    <row r="352" spans="2:2" x14ac:dyDescent="0.35">
      <c r="B352" s="8" t="s">
        <v>226</v>
      </c>
    </row>
    <row r="353" spans="2:2" x14ac:dyDescent="0.35">
      <c r="B353" s="8" t="s">
        <v>4713</v>
      </c>
    </row>
    <row r="354" spans="2:2" x14ac:dyDescent="0.35">
      <c r="B354" s="8" t="s">
        <v>4212</v>
      </c>
    </row>
    <row r="355" spans="2:2" x14ac:dyDescent="0.35">
      <c r="B355" s="8" t="s">
        <v>5179</v>
      </c>
    </row>
    <row r="356" spans="2:2" x14ac:dyDescent="0.35">
      <c r="B356" s="8" t="s">
        <v>3289</v>
      </c>
    </row>
    <row r="357" spans="2:2" x14ac:dyDescent="0.35">
      <c r="B357" s="8" t="s">
        <v>492</v>
      </c>
    </row>
    <row r="358" spans="2:2" x14ac:dyDescent="0.35">
      <c r="B358" s="8" t="s">
        <v>1926</v>
      </c>
    </row>
    <row r="359" spans="2:2" x14ac:dyDescent="0.35">
      <c r="B359" s="8" t="s">
        <v>392</v>
      </c>
    </row>
    <row r="360" spans="2:2" x14ac:dyDescent="0.35">
      <c r="B360" s="8" t="s">
        <v>394</v>
      </c>
    </row>
    <row r="361" spans="2:2" x14ac:dyDescent="0.35">
      <c r="B361" s="8" t="s">
        <v>3871</v>
      </c>
    </row>
    <row r="362" spans="2:2" x14ac:dyDescent="0.35">
      <c r="B362" s="8" t="s">
        <v>2453</v>
      </c>
    </row>
    <row r="363" spans="2:2" x14ac:dyDescent="0.35">
      <c r="B363" s="8" t="s">
        <v>4529</v>
      </c>
    </row>
    <row r="364" spans="2:2" x14ac:dyDescent="0.35">
      <c r="B364" s="8" t="s">
        <v>2769</v>
      </c>
    </row>
    <row r="365" spans="2:2" x14ac:dyDescent="0.35">
      <c r="B365" s="8" t="s">
        <v>2733</v>
      </c>
    </row>
    <row r="366" spans="2:2" x14ac:dyDescent="0.35">
      <c r="B366" s="8" t="s">
        <v>498</v>
      </c>
    </row>
    <row r="367" spans="2:2" x14ac:dyDescent="0.35">
      <c r="B367" s="8" t="s">
        <v>3047</v>
      </c>
    </row>
    <row r="368" spans="2:2" x14ac:dyDescent="0.35">
      <c r="B368" s="8" t="s">
        <v>663</v>
      </c>
    </row>
    <row r="369" spans="2:2" x14ac:dyDescent="0.35">
      <c r="B369" s="8" t="s">
        <v>3635</v>
      </c>
    </row>
    <row r="370" spans="2:2" x14ac:dyDescent="0.35">
      <c r="B370" s="8" t="s">
        <v>2737</v>
      </c>
    </row>
    <row r="371" spans="2:2" x14ac:dyDescent="0.35">
      <c r="B371" s="8" t="s">
        <v>2841</v>
      </c>
    </row>
    <row r="372" spans="2:2" x14ac:dyDescent="0.35">
      <c r="B372" s="8" t="s">
        <v>1736</v>
      </c>
    </row>
    <row r="373" spans="2:2" x14ac:dyDescent="0.35">
      <c r="B373" s="8" t="s">
        <v>1139</v>
      </c>
    </row>
    <row r="374" spans="2:2" x14ac:dyDescent="0.35">
      <c r="B374" s="8" t="s">
        <v>5659</v>
      </c>
    </row>
    <row r="375" spans="2:2" x14ac:dyDescent="0.35">
      <c r="B375" s="8" t="s">
        <v>5553</v>
      </c>
    </row>
    <row r="376" spans="2:2" x14ac:dyDescent="0.35">
      <c r="B376" s="8" t="s">
        <v>3959</v>
      </c>
    </row>
    <row r="377" spans="2:2" x14ac:dyDescent="0.35">
      <c r="B377" s="8" t="s">
        <v>4218</v>
      </c>
    </row>
    <row r="378" spans="2:2" x14ac:dyDescent="0.35">
      <c r="B378" s="8" t="s">
        <v>1847</v>
      </c>
    </row>
    <row r="379" spans="2:2" x14ac:dyDescent="0.35">
      <c r="B379" s="8" t="s">
        <v>4990</v>
      </c>
    </row>
    <row r="380" spans="2:2" x14ac:dyDescent="0.35">
      <c r="B380" s="8" t="s">
        <v>2785</v>
      </c>
    </row>
    <row r="381" spans="2:2" x14ac:dyDescent="0.35">
      <c r="B381" s="8" t="s">
        <v>2787</v>
      </c>
    </row>
    <row r="382" spans="2:2" x14ac:dyDescent="0.35">
      <c r="B382" s="8" t="s">
        <v>3509</v>
      </c>
    </row>
    <row r="383" spans="2:2" x14ac:dyDescent="0.35">
      <c r="B383" s="8" t="s">
        <v>1317</v>
      </c>
    </row>
    <row r="384" spans="2:2" x14ac:dyDescent="0.35">
      <c r="B384" s="8" t="s">
        <v>2843</v>
      </c>
    </row>
    <row r="385" spans="2:2" x14ac:dyDescent="0.35">
      <c r="B385" s="8" t="s">
        <v>3671</v>
      </c>
    </row>
    <row r="386" spans="2:2" x14ac:dyDescent="0.35">
      <c r="B386" s="8" t="s">
        <v>3637</v>
      </c>
    </row>
    <row r="387" spans="2:2" x14ac:dyDescent="0.35">
      <c r="B387" s="8" t="s">
        <v>1534</v>
      </c>
    </row>
    <row r="388" spans="2:2" x14ac:dyDescent="0.35">
      <c r="B388" s="8" t="s">
        <v>2699</v>
      </c>
    </row>
    <row r="389" spans="2:2" x14ac:dyDescent="0.35">
      <c r="B389" s="8" t="s">
        <v>3600</v>
      </c>
    </row>
    <row r="390" spans="2:2" x14ac:dyDescent="0.35">
      <c r="B390" s="8" t="s">
        <v>355</v>
      </c>
    </row>
    <row r="391" spans="2:2" x14ac:dyDescent="0.35">
      <c r="B391" s="8" t="s">
        <v>502</v>
      </c>
    </row>
    <row r="392" spans="2:2" x14ac:dyDescent="0.35">
      <c r="B392" s="8" t="s">
        <v>2703</v>
      </c>
    </row>
    <row r="393" spans="2:2" x14ac:dyDescent="0.35">
      <c r="B393" s="8" t="s">
        <v>4588</v>
      </c>
    </row>
    <row r="394" spans="2:2" x14ac:dyDescent="0.35">
      <c r="B394" s="8" t="s">
        <v>3392</v>
      </c>
    </row>
    <row r="395" spans="2:2" x14ac:dyDescent="0.35">
      <c r="B395" s="8" t="s">
        <v>4277</v>
      </c>
    </row>
    <row r="396" spans="2:2" x14ac:dyDescent="0.35">
      <c r="B396" s="8" t="s">
        <v>1256</v>
      </c>
    </row>
    <row r="397" spans="2:2" x14ac:dyDescent="0.35">
      <c r="B397" s="8" t="s">
        <v>3434</v>
      </c>
    </row>
    <row r="398" spans="2:2" x14ac:dyDescent="0.35">
      <c r="B398" s="8" t="s">
        <v>4816</v>
      </c>
    </row>
    <row r="399" spans="2:2" x14ac:dyDescent="0.35">
      <c r="B399" s="8" t="s">
        <v>5389</v>
      </c>
    </row>
    <row r="400" spans="2:2" x14ac:dyDescent="0.35">
      <c r="B400" s="8" t="s">
        <v>4439</v>
      </c>
    </row>
    <row r="401" spans="2:2" x14ac:dyDescent="0.35">
      <c r="B401" s="8" t="s">
        <v>1639</v>
      </c>
    </row>
    <row r="402" spans="2:2" x14ac:dyDescent="0.35">
      <c r="B402" s="8" t="s">
        <v>3988</v>
      </c>
    </row>
    <row r="403" spans="2:2" x14ac:dyDescent="0.35">
      <c r="B403" s="8" t="s">
        <v>228</v>
      </c>
    </row>
    <row r="404" spans="2:2" x14ac:dyDescent="0.35">
      <c r="B404" s="8" t="s">
        <v>1786</v>
      </c>
    </row>
    <row r="405" spans="2:2" x14ac:dyDescent="0.35">
      <c r="B405" s="8" t="s">
        <v>5217</v>
      </c>
    </row>
    <row r="406" spans="2:2" x14ac:dyDescent="0.35">
      <c r="B406" s="8" t="s">
        <v>543</v>
      </c>
    </row>
    <row r="407" spans="2:2" x14ac:dyDescent="0.35">
      <c r="B407" s="8" t="s">
        <v>4145</v>
      </c>
    </row>
    <row r="408" spans="2:2" x14ac:dyDescent="0.35">
      <c r="B408" s="8" t="s">
        <v>5133</v>
      </c>
    </row>
    <row r="409" spans="2:2" x14ac:dyDescent="0.35">
      <c r="B409" s="8" t="s">
        <v>4992</v>
      </c>
    </row>
    <row r="410" spans="2:2" x14ac:dyDescent="0.35">
      <c r="B410" s="8" t="s">
        <v>5080</v>
      </c>
    </row>
    <row r="411" spans="2:2" x14ac:dyDescent="0.35">
      <c r="B411" s="8" t="s">
        <v>843</v>
      </c>
    </row>
    <row r="412" spans="2:2" x14ac:dyDescent="0.35">
      <c r="B412" s="8" t="s">
        <v>1859</v>
      </c>
    </row>
    <row r="413" spans="2:2" x14ac:dyDescent="0.35">
      <c r="B413" s="8" t="s">
        <v>3003</v>
      </c>
    </row>
    <row r="414" spans="2:2" x14ac:dyDescent="0.35">
      <c r="B414" s="8" t="s">
        <v>4744</v>
      </c>
    </row>
    <row r="415" spans="2:2" x14ac:dyDescent="0.35">
      <c r="B415" s="8" t="s">
        <v>1641</v>
      </c>
    </row>
    <row r="416" spans="2:2" x14ac:dyDescent="0.35">
      <c r="B416" s="8" t="s">
        <v>1062</v>
      </c>
    </row>
    <row r="417" spans="2:2" x14ac:dyDescent="0.35">
      <c r="B417" s="8" t="s">
        <v>4820</v>
      </c>
    </row>
    <row r="418" spans="2:2" x14ac:dyDescent="0.35">
      <c r="B418" s="8" t="s">
        <v>2274</v>
      </c>
    </row>
    <row r="419" spans="2:2" x14ac:dyDescent="0.35">
      <c r="B419" s="8" t="s">
        <v>4355</v>
      </c>
    </row>
    <row r="420" spans="2:2" x14ac:dyDescent="0.35">
      <c r="B420" s="8" t="s">
        <v>2176</v>
      </c>
    </row>
    <row r="421" spans="2:2" x14ac:dyDescent="0.35">
      <c r="B421" s="8" t="s">
        <v>4994</v>
      </c>
    </row>
    <row r="422" spans="2:2" x14ac:dyDescent="0.35">
      <c r="B422" s="8" t="s">
        <v>2556</v>
      </c>
    </row>
    <row r="423" spans="2:2" x14ac:dyDescent="0.35">
      <c r="B423" s="8" t="s">
        <v>5135</v>
      </c>
    </row>
    <row r="424" spans="2:2" x14ac:dyDescent="0.35">
      <c r="B424" s="8" t="s">
        <v>1001</v>
      </c>
    </row>
    <row r="425" spans="2:2" x14ac:dyDescent="0.35">
      <c r="B425" s="8" t="s">
        <v>1258</v>
      </c>
    </row>
    <row r="426" spans="2:2" x14ac:dyDescent="0.35">
      <c r="B426" s="8" t="s">
        <v>5239</v>
      </c>
    </row>
    <row r="427" spans="2:2" x14ac:dyDescent="0.35">
      <c r="B427" s="8" t="s">
        <v>1065</v>
      </c>
    </row>
    <row r="428" spans="2:2" x14ac:dyDescent="0.35">
      <c r="B428" s="8" t="s">
        <v>1377</v>
      </c>
    </row>
    <row r="429" spans="2:2" x14ac:dyDescent="0.35">
      <c r="B429" s="8" t="s">
        <v>1382</v>
      </c>
    </row>
    <row r="430" spans="2:2" x14ac:dyDescent="0.35">
      <c r="B430" s="8" t="s">
        <v>1067</v>
      </c>
    </row>
    <row r="431" spans="2:2" x14ac:dyDescent="0.35">
      <c r="B431" s="8" t="s">
        <v>5082</v>
      </c>
    </row>
    <row r="432" spans="2:2" x14ac:dyDescent="0.35">
      <c r="B432" s="8" t="s">
        <v>4281</v>
      </c>
    </row>
    <row r="433" spans="2:2" x14ac:dyDescent="0.35">
      <c r="B433" s="8" t="s">
        <v>150</v>
      </c>
    </row>
    <row r="434" spans="2:2" x14ac:dyDescent="0.35">
      <c r="B434" s="8" t="s">
        <v>2932</v>
      </c>
    </row>
    <row r="435" spans="2:2" x14ac:dyDescent="0.35">
      <c r="B435" s="8" t="s">
        <v>1095</v>
      </c>
    </row>
    <row r="436" spans="2:2" x14ac:dyDescent="0.35">
      <c r="B436" s="8" t="s">
        <v>546</v>
      </c>
    </row>
    <row r="437" spans="2:2" x14ac:dyDescent="0.35">
      <c r="B437" s="8" t="s">
        <v>2560</v>
      </c>
    </row>
    <row r="438" spans="2:2" x14ac:dyDescent="0.35">
      <c r="B438" s="8" t="s">
        <v>2278</v>
      </c>
    </row>
    <row r="439" spans="2:2" x14ac:dyDescent="0.35">
      <c r="B439" s="8" t="s">
        <v>4998</v>
      </c>
    </row>
    <row r="440" spans="2:2" x14ac:dyDescent="0.35">
      <c r="B440" s="8" t="s">
        <v>2562</v>
      </c>
    </row>
    <row r="441" spans="2:2" x14ac:dyDescent="0.35">
      <c r="B441" s="8" t="s">
        <v>2809</v>
      </c>
    </row>
    <row r="442" spans="2:2" x14ac:dyDescent="0.35">
      <c r="B442" s="8" t="s">
        <v>208</v>
      </c>
    </row>
    <row r="443" spans="2:2" x14ac:dyDescent="0.35">
      <c r="B443" s="8" t="s">
        <v>3236</v>
      </c>
    </row>
    <row r="444" spans="2:2" x14ac:dyDescent="0.35">
      <c r="B444" s="8" t="s">
        <v>3732</v>
      </c>
    </row>
    <row r="445" spans="2:2" x14ac:dyDescent="0.35">
      <c r="B445" s="8" t="s">
        <v>5131</v>
      </c>
    </row>
    <row r="446" spans="2:2" x14ac:dyDescent="0.35">
      <c r="B446" s="8" t="s">
        <v>3302</v>
      </c>
    </row>
    <row r="447" spans="2:2" x14ac:dyDescent="0.35">
      <c r="B447" s="8" t="s">
        <v>3304</v>
      </c>
    </row>
    <row r="448" spans="2:2" x14ac:dyDescent="0.35">
      <c r="B448" s="8" t="s">
        <v>5399</v>
      </c>
    </row>
    <row r="449" spans="2:2" x14ac:dyDescent="0.35">
      <c r="B449" s="8" t="s">
        <v>2112</v>
      </c>
    </row>
    <row r="450" spans="2:2" x14ac:dyDescent="0.35">
      <c r="B450" s="8" t="s">
        <v>2004</v>
      </c>
    </row>
    <row r="451" spans="2:2" x14ac:dyDescent="0.35">
      <c r="B451" s="8" t="s">
        <v>3282</v>
      </c>
    </row>
    <row r="452" spans="2:2" x14ac:dyDescent="0.35">
      <c r="B452" s="8" t="s">
        <v>1857</v>
      </c>
    </row>
    <row r="453" spans="2:2" x14ac:dyDescent="0.35">
      <c r="B453" s="8" t="s">
        <v>1005</v>
      </c>
    </row>
    <row r="454" spans="2:2" x14ac:dyDescent="0.35">
      <c r="B454" s="8" t="s">
        <v>3306</v>
      </c>
    </row>
    <row r="455" spans="2:2" x14ac:dyDescent="0.35">
      <c r="B455" s="8" t="s">
        <v>3994</v>
      </c>
    </row>
    <row r="456" spans="2:2" x14ac:dyDescent="0.35">
      <c r="B456" s="8" t="s">
        <v>4151</v>
      </c>
    </row>
    <row r="457" spans="2:2" x14ac:dyDescent="0.35">
      <c r="B457" s="8" t="s">
        <v>1647</v>
      </c>
    </row>
    <row r="458" spans="2:2" x14ac:dyDescent="0.35">
      <c r="B458" s="8" t="s">
        <v>3291</v>
      </c>
    </row>
    <row r="459" spans="2:2" x14ac:dyDescent="0.35">
      <c r="B459" s="8" t="s">
        <v>154</v>
      </c>
    </row>
    <row r="460" spans="2:2" x14ac:dyDescent="0.35">
      <c r="B460" s="8" t="s">
        <v>5137</v>
      </c>
    </row>
    <row r="461" spans="2:2" x14ac:dyDescent="0.35">
      <c r="B461" s="8" t="s">
        <v>4153</v>
      </c>
    </row>
    <row r="462" spans="2:2" x14ac:dyDescent="0.35">
      <c r="B462" s="8" t="s">
        <v>1651</v>
      </c>
    </row>
    <row r="463" spans="2:2" x14ac:dyDescent="0.35">
      <c r="B463" s="8" t="s">
        <v>1653</v>
      </c>
    </row>
    <row r="464" spans="2:2" x14ac:dyDescent="0.35">
      <c r="B464" s="8" t="s">
        <v>3996</v>
      </c>
    </row>
    <row r="465" spans="2:2" x14ac:dyDescent="0.35">
      <c r="B465" s="8" t="s">
        <v>297</v>
      </c>
    </row>
    <row r="466" spans="2:2" x14ac:dyDescent="0.35">
      <c r="B466" s="8" t="s">
        <v>4824</v>
      </c>
    </row>
    <row r="467" spans="2:2" x14ac:dyDescent="0.35">
      <c r="B467" s="8" t="s">
        <v>5401</v>
      </c>
    </row>
    <row r="468" spans="2:2" x14ac:dyDescent="0.35">
      <c r="B468" s="8" t="s">
        <v>1359</v>
      </c>
    </row>
    <row r="469" spans="2:2" x14ac:dyDescent="0.35">
      <c r="B469" s="8" t="s">
        <v>5139</v>
      </c>
    </row>
    <row r="470" spans="2:2" x14ac:dyDescent="0.35">
      <c r="B470" s="8" t="s">
        <v>4437</v>
      </c>
    </row>
    <row r="471" spans="2:2" x14ac:dyDescent="0.35">
      <c r="B471" s="8" t="s">
        <v>303</v>
      </c>
    </row>
    <row r="472" spans="2:2" x14ac:dyDescent="0.35">
      <c r="B472" s="8" t="s">
        <v>668</v>
      </c>
    </row>
    <row r="473" spans="2:2" x14ac:dyDescent="0.35">
      <c r="B473" s="8" t="s">
        <v>5010</v>
      </c>
    </row>
    <row r="474" spans="2:2" x14ac:dyDescent="0.35">
      <c r="B474" s="8" t="s">
        <v>1216</v>
      </c>
    </row>
    <row r="475" spans="2:2" x14ac:dyDescent="0.35">
      <c r="B475" s="8" t="s">
        <v>3766</v>
      </c>
    </row>
    <row r="476" spans="2:2" x14ac:dyDescent="0.35">
      <c r="B476" s="8" t="s">
        <v>4361</v>
      </c>
    </row>
    <row r="477" spans="2:2" x14ac:dyDescent="0.35">
      <c r="B477" s="8" t="s">
        <v>670</v>
      </c>
    </row>
    <row r="478" spans="2:2" x14ac:dyDescent="0.35">
      <c r="B478" s="8" t="s">
        <v>5090</v>
      </c>
    </row>
    <row r="479" spans="2:2" x14ac:dyDescent="0.35">
      <c r="B479" s="8" t="s">
        <v>1228</v>
      </c>
    </row>
    <row r="480" spans="2:2" x14ac:dyDescent="0.35">
      <c r="B480" s="8" t="s">
        <v>4832</v>
      </c>
    </row>
    <row r="481" spans="2:2" x14ac:dyDescent="0.35">
      <c r="B481" s="8" t="s">
        <v>1264</v>
      </c>
    </row>
    <row r="482" spans="2:2" x14ac:dyDescent="0.35">
      <c r="B482" s="8" t="s">
        <v>3322</v>
      </c>
    </row>
    <row r="483" spans="2:2" x14ac:dyDescent="0.35">
      <c r="B483" s="8" t="s">
        <v>1266</v>
      </c>
    </row>
    <row r="484" spans="2:2" x14ac:dyDescent="0.35">
      <c r="B484" s="8" t="s">
        <v>672</v>
      </c>
    </row>
    <row r="485" spans="2:2" x14ac:dyDescent="0.35">
      <c r="B485" s="8" t="s">
        <v>1229</v>
      </c>
    </row>
    <row r="486" spans="2:2" x14ac:dyDescent="0.35">
      <c r="B486" s="8" t="s">
        <v>5481</v>
      </c>
    </row>
    <row r="487" spans="2:2" x14ac:dyDescent="0.35">
      <c r="B487" s="8" t="s">
        <v>2011</v>
      </c>
    </row>
    <row r="488" spans="2:2" x14ac:dyDescent="0.35">
      <c r="B488" s="8" t="s">
        <v>1734</v>
      </c>
    </row>
    <row r="489" spans="2:2" x14ac:dyDescent="0.35">
      <c r="B489" s="8" t="s">
        <v>2660</v>
      </c>
    </row>
    <row r="490" spans="2:2" x14ac:dyDescent="0.35">
      <c r="B490" s="8" t="s">
        <v>3885</v>
      </c>
    </row>
    <row r="491" spans="2:2" x14ac:dyDescent="0.35">
      <c r="B491" s="8" t="s">
        <v>4750</v>
      </c>
    </row>
    <row r="492" spans="2:2" x14ac:dyDescent="0.35">
      <c r="B492" s="8" t="s">
        <v>562</v>
      </c>
    </row>
    <row r="493" spans="2:2" x14ac:dyDescent="0.35">
      <c r="B493" s="8" t="s">
        <v>4165</v>
      </c>
    </row>
    <row r="494" spans="2:2" x14ac:dyDescent="0.35">
      <c r="B494" s="8" t="s">
        <v>5223</v>
      </c>
    </row>
    <row r="495" spans="2:2" x14ac:dyDescent="0.35">
      <c r="B495" s="8" t="s">
        <v>1461</v>
      </c>
    </row>
    <row r="496" spans="2:2" x14ac:dyDescent="0.35">
      <c r="B496" s="8" t="s">
        <v>1746</v>
      </c>
    </row>
    <row r="497" spans="2:2" x14ac:dyDescent="0.35">
      <c r="B497" s="8" t="s">
        <v>5143</v>
      </c>
    </row>
    <row r="498" spans="2:2" x14ac:dyDescent="0.35">
      <c r="B498" s="8" t="s">
        <v>1011</v>
      </c>
    </row>
    <row r="499" spans="2:2" x14ac:dyDescent="0.35">
      <c r="B499" s="8" t="s">
        <v>1013</v>
      </c>
    </row>
    <row r="500" spans="2:2" x14ac:dyDescent="0.35">
      <c r="B500" s="8" t="s">
        <v>3011</v>
      </c>
    </row>
    <row r="501" spans="2:2" x14ac:dyDescent="0.35">
      <c r="B501" s="8" t="s">
        <v>4169</v>
      </c>
    </row>
    <row r="502" spans="2:2" x14ac:dyDescent="0.35">
      <c r="B502" s="8" t="s">
        <v>291</v>
      </c>
    </row>
    <row r="503" spans="2:2" x14ac:dyDescent="0.35">
      <c r="B503" s="8" t="s">
        <v>4171</v>
      </c>
    </row>
    <row r="504" spans="2:2" x14ac:dyDescent="0.35">
      <c r="B504" s="8" t="s">
        <v>2183</v>
      </c>
    </row>
    <row r="505" spans="2:2" x14ac:dyDescent="0.35">
      <c r="B505" s="8" t="s">
        <v>3886</v>
      </c>
    </row>
    <row r="506" spans="2:2" x14ac:dyDescent="0.35">
      <c r="B506" s="8" t="s">
        <v>3278</v>
      </c>
    </row>
    <row r="507" spans="2:2" x14ac:dyDescent="0.35">
      <c r="B507" s="8" t="s">
        <v>3310</v>
      </c>
    </row>
    <row r="508" spans="2:2" x14ac:dyDescent="0.35">
      <c r="B508" s="8" t="s">
        <v>1967</v>
      </c>
    </row>
    <row r="509" spans="2:2" x14ac:dyDescent="0.35">
      <c r="B509" s="8" t="s">
        <v>674</v>
      </c>
    </row>
    <row r="510" spans="2:2" x14ac:dyDescent="0.35">
      <c r="B510" s="8" t="s">
        <v>3997</v>
      </c>
    </row>
    <row r="511" spans="2:2" x14ac:dyDescent="0.35">
      <c r="B511" s="8" t="s">
        <v>1218</v>
      </c>
    </row>
    <row r="512" spans="2:2" x14ac:dyDescent="0.35">
      <c r="B512" s="8" t="s">
        <v>1015</v>
      </c>
    </row>
    <row r="513" spans="2:2" x14ac:dyDescent="0.35">
      <c r="B513" s="8" t="s">
        <v>859</v>
      </c>
    </row>
    <row r="514" spans="2:2" x14ac:dyDescent="0.35">
      <c r="B514" s="8" t="s">
        <v>4261</v>
      </c>
    </row>
    <row r="515" spans="2:2" x14ac:dyDescent="0.35">
      <c r="B515" s="8" t="s">
        <v>2580</v>
      </c>
    </row>
    <row r="516" spans="2:2" x14ac:dyDescent="0.35">
      <c r="B516" s="8" t="s">
        <v>5615</v>
      </c>
    </row>
    <row r="517" spans="2:2" x14ac:dyDescent="0.35">
      <c r="B517" s="8" t="s">
        <v>733</v>
      </c>
    </row>
    <row r="518" spans="2:2" x14ac:dyDescent="0.35">
      <c r="B518" s="8" t="s">
        <v>5306</v>
      </c>
    </row>
    <row r="519" spans="2:2" x14ac:dyDescent="0.35">
      <c r="B519" s="8" t="s">
        <v>3675</v>
      </c>
    </row>
    <row r="520" spans="2:2" x14ac:dyDescent="0.35">
      <c r="B520" s="8" t="s">
        <v>5619</v>
      </c>
    </row>
    <row r="521" spans="2:2" x14ac:dyDescent="0.35">
      <c r="B521" s="8" t="s">
        <v>4173</v>
      </c>
    </row>
    <row r="522" spans="2:2" x14ac:dyDescent="0.35">
      <c r="B522" s="8" t="s">
        <v>2294</v>
      </c>
    </row>
    <row r="523" spans="2:2" x14ac:dyDescent="0.35">
      <c r="B523" s="8" t="s">
        <v>4259</v>
      </c>
    </row>
    <row r="524" spans="2:2" x14ac:dyDescent="0.35">
      <c r="B524" s="8" t="s">
        <v>2620</v>
      </c>
    </row>
    <row r="525" spans="2:2" x14ac:dyDescent="0.35">
      <c r="B525" s="8" t="s">
        <v>4001</v>
      </c>
    </row>
    <row r="526" spans="2:2" x14ac:dyDescent="0.35">
      <c r="B526" s="8" t="s">
        <v>3314</v>
      </c>
    </row>
    <row r="527" spans="2:2" x14ac:dyDescent="0.35">
      <c r="B527" s="8" t="s">
        <v>1661</v>
      </c>
    </row>
    <row r="528" spans="2:2" x14ac:dyDescent="0.35">
      <c r="B528" s="8" t="s">
        <v>5485</v>
      </c>
    </row>
    <row r="529" spans="2:2" x14ac:dyDescent="0.35">
      <c r="B529" s="8" t="s">
        <v>2324</v>
      </c>
    </row>
    <row r="530" spans="2:2" x14ac:dyDescent="0.35">
      <c r="B530" s="8" t="s">
        <v>1075</v>
      </c>
    </row>
    <row r="531" spans="2:2" x14ac:dyDescent="0.35">
      <c r="B531" s="8" t="s">
        <v>2879</v>
      </c>
    </row>
    <row r="532" spans="2:2" x14ac:dyDescent="0.35">
      <c r="B532" s="8" t="s">
        <v>4183</v>
      </c>
    </row>
    <row r="533" spans="2:2" x14ac:dyDescent="0.35">
      <c r="B533" s="8" t="s">
        <v>3286</v>
      </c>
    </row>
    <row r="534" spans="2:2" x14ac:dyDescent="0.35">
      <c r="B534" s="8" t="s">
        <v>3444</v>
      </c>
    </row>
    <row r="535" spans="2:2" x14ac:dyDescent="0.35">
      <c r="B535" s="8" t="s">
        <v>1077</v>
      </c>
    </row>
    <row r="536" spans="2:2" x14ac:dyDescent="0.35">
      <c r="B536" s="8" t="s">
        <v>5487</v>
      </c>
    </row>
    <row r="537" spans="2:2" x14ac:dyDescent="0.35">
      <c r="B537" s="8" t="s">
        <v>1060</v>
      </c>
    </row>
    <row r="538" spans="2:2" x14ac:dyDescent="0.35">
      <c r="B538" s="8" t="s">
        <v>5147</v>
      </c>
    </row>
    <row r="539" spans="2:2" x14ac:dyDescent="0.35">
      <c r="B539" s="8" t="s">
        <v>4456</v>
      </c>
    </row>
    <row r="540" spans="2:2" x14ac:dyDescent="0.35">
      <c r="B540" s="8" t="s">
        <v>741</v>
      </c>
    </row>
    <row r="541" spans="2:2" x14ac:dyDescent="0.35">
      <c r="B541" s="8" t="s">
        <v>1237</v>
      </c>
    </row>
    <row r="542" spans="2:2" x14ac:dyDescent="0.35">
      <c r="B542" s="8" t="s">
        <v>69</v>
      </c>
    </row>
    <row r="543" spans="2:2" x14ac:dyDescent="0.35">
      <c r="B543" s="8" t="s">
        <v>4460</v>
      </c>
    </row>
    <row r="544" spans="2:2" x14ac:dyDescent="0.35">
      <c r="B544" s="8" t="s">
        <v>2300</v>
      </c>
    </row>
    <row r="545" spans="2:2" x14ac:dyDescent="0.35">
      <c r="B545" s="8" t="s">
        <v>45</v>
      </c>
    </row>
    <row r="546" spans="2:2" x14ac:dyDescent="0.35">
      <c r="B546" s="8" t="s">
        <v>743</v>
      </c>
    </row>
    <row r="547" spans="2:2" x14ac:dyDescent="0.35">
      <c r="B547" s="8" t="s">
        <v>569</v>
      </c>
    </row>
    <row r="548" spans="2:2" x14ac:dyDescent="0.35">
      <c r="B548" s="8" t="s">
        <v>1023</v>
      </c>
    </row>
    <row r="549" spans="2:2" x14ac:dyDescent="0.35">
      <c r="B549" s="8" t="s">
        <v>2019</v>
      </c>
    </row>
    <row r="550" spans="2:2" x14ac:dyDescent="0.35">
      <c r="B550" s="8" t="s">
        <v>5491</v>
      </c>
    </row>
    <row r="551" spans="2:2" x14ac:dyDescent="0.35">
      <c r="B551" s="8" t="s">
        <v>1220</v>
      </c>
    </row>
    <row r="552" spans="2:2" x14ac:dyDescent="0.35">
      <c r="B552" s="8" t="s">
        <v>2574</v>
      </c>
    </row>
    <row r="553" spans="2:2" x14ac:dyDescent="0.35">
      <c r="B553" s="8" t="s">
        <v>5289</v>
      </c>
    </row>
    <row r="554" spans="2:2" x14ac:dyDescent="0.35">
      <c r="B554" s="8" t="s">
        <v>3407</v>
      </c>
    </row>
    <row r="555" spans="2:2" x14ac:dyDescent="0.35">
      <c r="B555" s="8" t="s">
        <v>5231</v>
      </c>
    </row>
    <row r="556" spans="2:2" x14ac:dyDescent="0.35">
      <c r="B556" s="8" t="s">
        <v>5495</v>
      </c>
    </row>
    <row r="557" spans="2:2" x14ac:dyDescent="0.35">
      <c r="B557" s="8" t="s">
        <v>5497</v>
      </c>
    </row>
    <row r="558" spans="2:2" x14ac:dyDescent="0.35">
      <c r="B558" s="8" t="s">
        <v>661</v>
      </c>
    </row>
    <row r="559" spans="2:2" x14ac:dyDescent="0.35">
      <c r="B559" s="8" t="s">
        <v>4758</v>
      </c>
    </row>
    <row r="560" spans="2:2" x14ac:dyDescent="0.35">
      <c r="B560" s="8" t="s">
        <v>3349</v>
      </c>
    </row>
    <row r="561" spans="2:2" x14ac:dyDescent="0.35">
      <c r="B561" s="8" t="s">
        <v>2943</v>
      </c>
    </row>
    <row r="562" spans="2:2" x14ac:dyDescent="0.35">
      <c r="B562" s="8" t="s">
        <v>1241</v>
      </c>
    </row>
    <row r="563" spans="2:2" x14ac:dyDescent="0.35">
      <c r="B563" s="8" t="s">
        <v>4141</v>
      </c>
    </row>
    <row r="564" spans="2:2" x14ac:dyDescent="0.35">
      <c r="B564" s="8" t="s">
        <v>2120</v>
      </c>
    </row>
    <row r="565" spans="2:2" x14ac:dyDescent="0.35">
      <c r="B565" s="8" t="s">
        <v>3318</v>
      </c>
    </row>
    <row r="566" spans="2:2" x14ac:dyDescent="0.35">
      <c r="B566" s="8" t="s">
        <v>2305</v>
      </c>
    </row>
    <row r="567" spans="2:2" x14ac:dyDescent="0.35">
      <c r="B567" s="8" t="s">
        <v>5500</v>
      </c>
    </row>
    <row r="568" spans="2:2" x14ac:dyDescent="0.35">
      <c r="B568" s="8" t="s">
        <v>1243</v>
      </c>
    </row>
    <row r="569" spans="2:2" x14ac:dyDescent="0.35">
      <c r="B569" s="8" t="s">
        <v>1475</v>
      </c>
    </row>
    <row r="570" spans="2:2" x14ac:dyDescent="0.35">
      <c r="B570" s="8" t="s">
        <v>2664</v>
      </c>
    </row>
    <row r="571" spans="2:2" x14ac:dyDescent="0.35">
      <c r="B571" s="8" t="s">
        <v>2026</v>
      </c>
    </row>
    <row r="572" spans="2:2" x14ac:dyDescent="0.35">
      <c r="B572" s="8" t="s">
        <v>4267</v>
      </c>
    </row>
    <row r="573" spans="2:2" x14ac:dyDescent="0.35">
      <c r="B573" s="8" t="s">
        <v>2307</v>
      </c>
    </row>
    <row r="574" spans="2:2" x14ac:dyDescent="0.35">
      <c r="B574" s="8" t="s">
        <v>4468</v>
      </c>
    </row>
    <row r="575" spans="2:2" x14ac:dyDescent="0.35">
      <c r="B575" s="8" t="s">
        <v>3335</v>
      </c>
    </row>
    <row r="576" spans="2:2" x14ac:dyDescent="0.35">
      <c r="B576" s="8" t="s">
        <v>239</v>
      </c>
    </row>
    <row r="577" spans="2:2" x14ac:dyDescent="0.35">
      <c r="B577" s="8" t="s">
        <v>3409</v>
      </c>
    </row>
    <row r="578" spans="2:2" x14ac:dyDescent="0.35">
      <c r="B578" s="8" t="s">
        <v>2134</v>
      </c>
    </row>
    <row r="579" spans="2:2" x14ac:dyDescent="0.35">
      <c r="B579" s="8" t="s">
        <v>556</v>
      </c>
    </row>
    <row r="580" spans="2:2" x14ac:dyDescent="0.35">
      <c r="B580" s="8" t="s">
        <v>3683</v>
      </c>
    </row>
    <row r="581" spans="2:2" x14ac:dyDescent="0.35">
      <c r="B581" s="8" t="s">
        <v>1028</v>
      </c>
    </row>
    <row r="582" spans="2:2" x14ac:dyDescent="0.35">
      <c r="B582" s="8" t="s">
        <v>541</v>
      </c>
    </row>
    <row r="583" spans="2:2" x14ac:dyDescent="0.35">
      <c r="B583" s="8" t="s">
        <v>2311</v>
      </c>
    </row>
    <row r="584" spans="2:2" x14ac:dyDescent="0.35">
      <c r="B584" s="8" t="s">
        <v>241</v>
      </c>
    </row>
    <row r="585" spans="2:2" x14ac:dyDescent="0.35">
      <c r="B585" s="8" t="s">
        <v>4842</v>
      </c>
    </row>
    <row r="586" spans="2:2" x14ac:dyDescent="0.35">
      <c r="B586" s="8" t="s">
        <v>3320</v>
      </c>
    </row>
    <row r="587" spans="2:2" x14ac:dyDescent="0.35">
      <c r="B587" s="8" t="s">
        <v>2897</v>
      </c>
    </row>
    <row r="588" spans="2:2" x14ac:dyDescent="0.35">
      <c r="B588" s="8" t="s">
        <v>3448</v>
      </c>
    </row>
    <row r="589" spans="2:2" x14ac:dyDescent="0.35">
      <c r="B589" s="8" t="s">
        <v>4273</v>
      </c>
    </row>
    <row r="590" spans="2:2" x14ac:dyDescent="0.35">
      <c r="B590" s="8" t="s">
        <v>3346</v>
      </c>
    </row>
    <row r="591" spans="2:2" x14ac:dyDescent="0.35">
      <c r="B591" s="8" t="s">
        <v>4883</v>
      </c>
    </row>
    <row r="592" spans="2:2" x14ac:dyDescent="0.35">
      <c r="B592" s="8" t="s">
        <v>2170</v>
      </c>
    </row>
    <row r="593" spans="2:2" x14ac:dyDescent="0.35">
      <c r="B593" s="8" t="s">
        <v>1098</v>
      </c>
    </row>
    <row r="594" spans="2:2" x14ac:dyDescent="0.35">
      <c r="B594" s="8" t="s">
        <v>3709</v>
      </c>
    </row>
    <row r="595" spans="2:2" x14ac:dyDescent="0.35">
      <c r="B595" s="8" t="s">
        <v>4846</v>
      </c>
    </row>
    <row r="596" spans="2:2" x14ac:dyDescent="0.35">
      <c r="B596" s="8" t="s">
        <v>2342</v>
      </c>
    </row>
    <row r="597" spans="2:2" x14ac:dyDescent="0.35">
      <c r="B597" s="8" t="s">
        <v>2350</v>
      </c>
    </row>
    <row r="598" spans="2:2" x14ac:dyDescent="0.35">
      <c r="B598" s="8" t="s">
        <v>2544</v>
      </c>
    </row>
    <row r="599" spans="2:2" x14ac:dyDescent="0.35">
      <c r="B599" s="8" t="s">
        <v>5330</v>
      </c>
    </row>
    <row r="600" spans="2:2" x14ac:dyDescent="0.35">
      <c r="B600" s="8" t="s">
        <v>3492</v>
      </c>
    </row>
    <row r="601" spans="2:2" x14ac:dyDescent="0.35">
      <c r="B601" s="8" t="s">
        <v>3466</v>
      </c>
    </row>
    <row r="602" spans="2:2" x14ac:dyDescent="0.35">
      <c r="B602" s="8" t="s">
        <v>1401</v>
      </c>
    </row>
    <row r="603" spans="2:2" x14ac:dyDescent="0.35">
      <c r="B603" s="8" t="s">
        <v>3139</v>
      </c>
    </row>
    <row r="604" spans="2:2" x14ac:dyDescent="0.35">
      <c r="B604" s="8" t="s">
        <v>5516</v>
      </c>
    </row>
    <row r="605" spans="2:2" x14ac:dyDescent="0.35">
      <c r="B605" s="8" t="s">
        <v>5336</v>
      </c>
    </row>
    <row r="606" spans="2:2" x14ac:dyDescent="0.35">
      <c r="B606" s="8" t="s">
        <v>5565</v>
      </c>
    </row>
    <row r="607" spans="2:2" x14ac:dyDescent="0.35">
      <c r="B607" s="8" t="s">
        <v>4523</v>
      </c>
    </row>
    <row r="608" spans="2:2" x14ac:dyDescent="0.35">
      <c r="B608" s="8" t="s">
        <v>4773</v>
      </c>
    </row>
    <row r="609" spans="2:2" x14ac:dyDescent="0.35">
      <c r="B609" s="8" t="s">
        <v>4677</v>
      </c>
    </row>
    <row r="610" spans="2:2" x14ac:dyDescent="0.35">
      <c r="B610" s="8" t="s">
        <v>3869</v>
      </c>
    </row>
    <row r="611" spans="2:2" x14ac:dyDescent="0.35">
      <c r="B611" s="8" t="s">
        <v>4098</v>
      </c>
    </row>
    <row r="612" spans="2:2" x14ac:dyDescent="0.35">
      <c r="B612" s="8" t="s">
        <v>1562</v>
      </c>
    </row>
    <row r="613" spans="2:2" x14ac:dyDescent="0.35">
      <c r="B613" s="8" t="s">
        <v>1884</v>
      </c>
    </row>
    <row r="614" spans="2:2" x14ac:dyDescent="0.35">
      <c r="B614" s="8" t="s">
        <v>5294</v>
      </c>
    </row>
    <row r="615" spans="2:2" x14ac:dyDescent="0.35">
      <c r="B615" s="8" t="s">
        <v>993</v>
      </c>
    </row>
    <row r="616" spans="2:2" x14ac:dyDescent="0.35">
      <c r="B616" s="8" t="s">
        <v>2930</v>
      </c>
    </row>
    <row r="617" spans="2:2" x14ac:dyDescent="0.35">
      <c r="B617" s="8" t="s">
        <v>4985</v>
      </c>
    </row>
    <row r="618" spans="2:2" x14ac:dyDescent="0.35">
      <c r="B618" s="8" t="s">
        <v>535</v>
      </c>
    </row>
    <row r="619" spans="2:2" x14ac:dyDescent="0.35">
      <c r="B619" s="8" t="s">
        <v>5073</v>
      </c>
    </row>
    <row r="620" spans="2:2" x14ac:dyDescent="0.35">
      <c r="B620" s="8" t="s">
        <v>4736</v>
      </c>
    </row>
    <row r="621" spans="2:2" x14ac:dyDescent="0.35">
      <c r="B621" s="8" t="s">
        <v>5385</v>
      </c>
    </row>
    <row r="622" spans="2:2" x14ac:dyDescent="0.35">
      <c r="B622" s="8" t="s">
        <v>4255</v>
      </c>
    </row>
    <row r="623" spans="2:2" x14ac:dyDescent="0.35">
      <c r="B623" s="8" t="s">
        <v>5127</v>
      </c>
    </row>
    <row r="624" spans="2:2" x14ac:dyDescent="0.35">
      <c r="B624" s="8" t="s">
        <v>3986</v>
      </c>
    </row>
    <row r="625" spans="2:2" x14ac:dyDescent="0.35">
      <c r="B625" s="8" t="s">
        <v>4391</v>
      </c>
    </row>
    <row r="626" spans="2:2" x14ac:dyDescent="0.35">
      <c r="B626" s="8" t="s">
        <v>1994</v>
      </c>
    </row>
    <row r="627" spans="2:2" x14ac:dyDescent="0.35">
      <c r="B627" s="8" t="s">
        <v>4924</v>
      </c>
    </row>
    <row r="628" spans="2:2" x14ac:dyDescent="0.35">
      <c r="B628" s="8" t="s">
        <v>3933</v>
      </c>
    </row>
    <row r="629" spans="2:2" x14ac:dyDescent="0.35">
      <c r="B629" s="8" t="s">
        <v>984</v>
      </c>
    </row>
    <row r="630" spans="2:2" x14ac:dyDescent="0.35">
      <c r="B630" s="8" t="s">
        <v>3537</v>
      </c>
    </row>
    <row r="631" spans="2:2" x14ac:dyDescent="0.35">
      <c r="B631" s="8" t="s">
        <v>537</v>
      </c>
    </row>
    <row r="632" spans="2:2" x14ac:dyDescent="0.35">
      <c r="B632" s="8" t="s">
        <v>4643</v>
      </c>
    </row>
    <row r="633" spans="2:2" x14ac:dyDescent="0.35">
      <c r="B633" s="8" t="s">
        <v>337</v>
      </c>
    </row>
    <row r="634" spans="2:2" x14ac:dyDescent="0.35">
      <c r="B634" s="8" t="s">
        <v>5571</v>
      </c>
    </row>
    <row r="635" spans="2:2" x14ac:dyDescent="0.35">
      <c r="B635" s="8" t="s">
        <v>4515</v>
      </c>
    </row>
    <row r="636" spans="2:2" x14ac:dyDescent="0.35">
      <c r="B636" s="8" t="s">
        <v>1872</v>
      </c>
    </row>
    <row r="637" spans="2:2" x14ac:dyDescent="0.35">
      <c r="B637" s="8" t="s">
        <v>3462</v>
      </c>
    </row>
    <row r="638" spans="2:2" x14ac:dyDescent="0.35">
      <c r="B638" s="8" t="s">
        <v>1912</v>
      </c>
    </row>
    <row r="639" spans="2:2" x14ac:dyDescent="0.35">
      <c r="B639" s="8" t="s">
        <v>5340</v>
      </c>
    </row>
    <row r="640" spans="2:2" x14ac:dyDescent="0.35">
      <c r="B640" s="8" t="s">
        <v>3138</v>
      </c>
    </row>
    <row r="641" spans="2:2" x14ac:dyDescent="0.35">
      <c r="B641" s="8" t="s">
        <v>2602</v>
      </c>
    </row>
    <row r="642" spans="2:2" x14ac:dyDescent="0.35">
      <c r="B642" s="8" t="s">
        <v>3645</v>
      </c>
    </row>
    <row r="643" spans="2:2" x14ac:dyDescent="0.35">
      <c r="B643" s="8" t="s">
        <v>5342</v>
      </c>
    </row>
    <row r="644" spans="2:2" x14ac:dyDescent="0.35">
      <c r="B644" s="8" t="s">
        <v>2819</v>
      </c>
    </row>
    <row r="645" spans="2:2" x14ac:dyDescent="0.35">
      <c r="B645" s="8" t="s">
        <v>414</v>
      </c>
    </row>
    <row r="646" spans="2:2" x14ac:dyDescent="0.35">
      <c r="B646" s="8" t="s">
        <v>3248</v>
      </c>
    </row>
    <row r="647" spans="2:2" x14ac:dyDescent="0.35">
      <c r="B647" s="8" t="s">
        <v>4019</v>
      </c>
    </row>
    <row r="648" spans="2:2" x14ac:dyDescent="0.35">
      <c r="B648" s="8" t="s">
        <v>158</v>
      </c>
    </row>
    <row r="649" spans="2:2" x14ac:dyDescent="0.35">
      <c r="B649" s="8" t="s">
        <v>5024</v>
      </c>
    </row>
    <row r="650" spans="2:2" x14ac:dyDescent="0.35">
      <c r="B650" s="8" t="s">
        <v>2674</v>
      </c>
    </row>
    <row r="651" spans="2:2" x14ac:dyDescent="0.35">
      <c r="B651" s="8" t="s">
        <v>2670</v>
      </c>
    </row>
    <row r="652" spans="2:2" x14ac:dyDescent="0.35">
      <c r="B652" s="8" t="s">
        <v>4311</v>
      </c>
    </row>
    <row r="653" spans="2:2" x14ac:dyDescent="0.35">
      <c r="B653" s="8" t="s">
        <v>276</v>
      </c>
    </row>
    <row r="654" spans="2:2" x14ac:dyDescent="0.35">
      <c r="B654" s="8" t="s">
        <v>4503</v>
      </c>
    </row>
    <row r="655" spans="2:2" x14ac:dyDescent="0.35">
      <c r="B655" s="8" t="s">
        <v>3837</v>
      </c>
    </row>
    <row r="656" spans="2:2" x14ac:dyDescent="0.35">
      <c r="B656" s="8" t="s">
        <v>3342</v>
      </c>
    </row>
    <row r="657" spans="2:2" x14ac:dyDescent="0.35">
      <c r="B657" s="8" t="s">
        <v>1287</v>
      </c>
    </row>
    <row r="658" spans="2:2" x14ac:dyDescent="0.35">
      <c r="B658" s="8" t="s">
        <v>935</v>
      </c>
    </row>
    <row r="659" spans="2:2" x14ac:dyDescent="0.35">
      <c r="B659" s="8" t="s">
        <v>5022</v>
      </c>
    </row>
    <row r="660" spans="2:2" x14ac:dyDescent="0.35">
      <c r="B660" s="8" t="s">
        <v>887</v>
      </c>
    </row>
    <row r="661" spans="2:2" x14ac:dyDescent="0.35">
      <c r="B661" s="8" t="s">
        <v>4086</v>
      </c>
    </row>
    <row r="662" spans="2:2" x14ac:dyDescent="0.35">
      <c r="B662" s="8" t="s">
        <v>3823</v>
      </c>
    </row>
    <row r="663" spans="2:2" x14ac:dyDescent="0.35">
      <c r="B663" s="8" t="s">
        <v>428</v>
      </c>
    </row>
    <row r="664" spans="2:2" x14ac:dyDescent="0.35">
      <c r="B664" s="8" t="s">
        <v>2346</v>
      </c>
    </row>
    <row r="665" spans="2:2" x14ac:dyDescent="0.35">
      <c r="B665" s="8" t="s">
        <v>1289</v>
      </c>
    </row>
    <row r="666" spans="2:2" x14ac:dyDescent="0.35">
      <c r="B666" s="8" t="s">
        <v>2200</v>
      </c>
    </row>
    <row r="667" spans="2:2" x14ac:dyDescent="0.35">
      <c r="B667" s="8" t="s">
        <v>2435</v>
      </c>
    </row>
    <row r="668" spans="2:2" x14ac:dyDescent="0.35">
      <c r="B668" s="8" t="s">
        <v>3825</v>
      </c>
    </row>
    <row r="669" spans="2:2" x14ac:dyDescent="0.35">
      <c r="B669" s="8" t="s">
        <v>3055</v>
      </c>
    </row>
    <row r="670" spans="2:2" x14ac:dyDescent="0.35">
      <c r="B670" s="8" t="s">
        <v>4596</v>
      </c>
    </row>
    <row r="671" spans="2:2" x14ac:dyDescent="0.35">
      <c r="B671" s="8" t="s">
        <v>4594</v>
      </c>
    </row>
    <row r="672" spans="2:2" x14ac:dyDescent="0.35">
      <c r="B672" s="8" t="s">
        <v>2459</v>
      </c>
    </row>
    <row r="673" spans="2:2" x14ac:dyDescent="0.35">
      <c r="B673" s="8" t="s">
        <v>3685</v>
      </c>
    </row>
    <row r="674" spans="2:2" x14ac:dyDescent="0.35">
      <c r="B674" s="8" t="s">
        <v>469</v>
      </c>
    </row>
    <row r="675" spans="2:2" x14ac:dyDescent="0.35">
      <c r="B675" s="8" t="s">
        <v>4513</v>
      </c>
    </row>
    <row r="676" spans="2:2" x14ac:dyDescent="0.35">
      <c r="B676" s="8" t="s">
        <v>1704</v>
      </c>
    </row>
    <row r="677" spans="2:2" x14ac:dyDescent="0.35">
      <c r="B677" s="8" t="s">
        <v>2202</v>
      </c>
    </row>
    <row r="678" spans="2:2" x14ac:dyDescent="0.35">
      <c r="B678" s="8" t="s">
        <v>5563</v>
      </c>
    </row>
    <row r="679" spans="2:2" x14ac:dyDescent="0.35">
      <c r="B679" s="8" t="s">
        <v>2948</v>
      </c>
    </row>
    <row r="680" spans="2:2" x14ac:dyDescent="0.35">
      <c r="B680" s="8" t="s">
        <v>364</v>
      </c>
    </row>
    <row r="681" spans="2:2" x14ac:dyDescent="0.35">
      <c r="B681" s="8" t="s">
        <v>4517</v>
      </c>
    </row>
    <row r="682" spans="2:2" x14ac:dyDescent="0.35">
      <c r="B682" s="8" t="s">
        <v>2066</v>
      </c>
    </row>
    <row r="683" spans="2:2" x14ac:dyDescent="0.35">
      <c r="B683" s="8" t="s">
        <v>2152</v>
      </c>
    </row>
    <row r="684" spans="2:2" x14ac:dyDescent="0.35">
      <c r="B684" s="8" t="s">
        <v>433</v>
      </c>
    </row>
    <row r="685" spans="2:2" x14ac:dyDescent="0.35">
      <c r="B685" s="8" t="s">
        <v>2686</v>
      </c>
    </row>
    <row r="686" spans="2:2" x14ac:dyDescent="0.35">
      <c r="B686" s="8" t="s">
        <v>3691</v>
      </c>
    </row>
    <row r="687" spans="2:2" x14ac:dyDescent="0.35">
      <c r="B687" s="8" t="s">
        <v>899</v>
      </c>
    </row>
    <row r="688" spans="2:2" x14ac:dyDescent="0.35">
      <c r="B688" s="8" t="s">
        <v>901</v>
      </c>
    </row>
    <row r="689" spans="2:2" x14ac:dyDescent="0.35">
      <c r="B689" s="8" t="s">
        <v>3468</v>
      </c>
    </row>
    <row r="690" spans="2:2" x14ac:dyDescent="0.35">
      <c r="B690" s="8" t="s">
        <v>3734</v>
      </c>
    </row>
    <row r="691" spans="2:2" x14ac:dyDescent="0.35">
      <c r="B691" s="8" t="s">
        <v>3143</v>
      </c>
    </row>
    <row r="692" spans="2:2" x14ac:dyDescent="0.35">
      <c r="B692" s="8" t="s">
        <v>435</v>
      </c>
    </row>
    <row r="693" spans="2:2" x14ac:dyDescent="0.35">
      <c r="B693" s="8" t="s">
        <v>3141</v>
      </c>
    </row>
    <row r="694" spans="2:2" x14ac:dyDescent="0.35">
      <c r="B694" s="8" t="s">
        <v>4604</v>
      </c>
    </row>
    <row r="695" spans="2:2" x14ac:dyDescent="0.35">
      <c r="B695" s="8" t="s">
        <v>1125</v>
      </c>
    </row>
    <row r="696" spans="2:2" x14ac:dyDescent="0.35">
      <c r="B696" s="8" t="s">
        <v>2367</v>
      </c>
    </row>
    <row r="697" spans="2:2" x14ac:dyDescent="0.35">
      <c r="B697" s="8" t="s">
        <v>937</v>
      </c>
    </row>
    <row r="698" spans="2:2" x14ac:dyDescent="0.35">
      <c r="B698" s="8" t="s">
        <v>1882</v>
      </c>
    </row>
    <row r="699" spans="2:2" x14ac:dyDescent="0.35">
      <c r="B699" s="8" t="s">
        <v>5165</v>
      </c>
    </row>
    <row r="700" spans="2:2" x14ac:dyDescent="0.35">
      <c r="B700" s="8" t="s">
        <v>4764</v>
      </c>
    </row>
    <row r="701" spans="2:2" x14ac:dyDescent="0.35">
      <c r="B701" s="8" t="s">
        <v>4472</v>
      </c>
    </row>
    <row r="702" spans="2:2" x14ac:dyDescent="0.35">
      <c r="B702" s="8" t="s">
        <v>4705</v>
      </c>
    </row>
    <row r="703" spans="2:2" x14ac:dyDescent="0.35">
      <c r="B703" s="8" t="s">
        <v>2449</v>
      </c>
    </row>
    <row r="704" spans="2:2" x14ac:dyDescent="0.35">
      <c r="B704" s="8" t="s">
        <v>2144</v>
      </c>
    </row>
    <row r="705" spans="2:2" x14ac:dyDescent="0.35">
      <c r="B705" s="8" t="s">
        <v>3413</v>
      </c>
    </row>
    <row r="706" spans="2:2" x14ac:dyDescent="0.35">
      <c r="B706" s="8" t="s">
        <v>772</v>
      </c>
    </row>
    <row r="707" spans="2:2" x14ac:dyDescent="0.35">
      <c r="B707" s="8" t="s">
        <v>2513</v>
      </c>
    </row>
    <row r="708" spans="2:2" x14ac:dyDescent="0.35">
      <c r="B708" s="8" t="s">
        <v>264</v>
      </c>
    </row>
    <row r="709" spans="2:2" x14ac:dyDescent="0.35">
      <c r="B709" s="8" t="s">
        <v>5664</v>
      </c>
    </row>
    <row r="710" spans="2:2" x14ac:dyDescent="0.35">
      <c r="B710" s="8" t="s">
        <v>5026</v>
      </c>
    </row>
    <row r="711" spans="2:2" x14ac:dyDescent="0.35">
      <c r="B711" s="8" t="s">
        <v>1186</v>
      </c>
    </row>
    <row r="712" spans="2:2" x14ac:dyDescent="0.35">
      <c r="B712" s="8" t="s">
        <v>5027</v>
      </c>
    </row>
    <row r="713" spans="2:2" x14ac:dyDescent="0.35">
      <c r="B713" s="8" t="s">
        <v>5427</v>
      </c>
    </row>
    <row r="714" spans="2:2" x14ac:dyDescent="0.35">
      <c r="B714" s="8" t="s">
        <v>4879</v>
      </c>
    </row>
    <row r="715" spans="2:2" x14ac:dyDescent="0.35">
      <c r="B715" s="8" t="s">
        <v>5029</v>
      </c>
    </row>
    <row r="716" spans="2:2" x14ac:dyDescent="0.35">
      <c r="B716" s="8" t="s">
        <v>4299</v>
      </c>
    </row>
    <row r="717" spans="2:2" x14ac:dyDescent="0.35">
      <c r="B717" s="8" t="s">
        <v>4009</v>
      </c>
    </row>
    <row r="718" spans="2:2" x14ac:dyDescent="0.35">
      <c r="B718" s="8" t="s">
        <v>5031</v>
      </c>
    </row>
    <row r="719" spans="2:2" x14ac:dyDescent="0.35">
      <c r="B719" s="8" t="s">
        <v>1938</v>
      </c>
    </row>
    <row r="720" spans="2:2" x14ac:dyDescent="0.35">
      <c r="B720" s="8" t="s">
        <v>1147</v>
      </c>
    </row>
    <row r="721" spans="2:2" x14ac:dyDescent="0.35">
      <c r="B721" s="8" t="s">
        <v>820</v>
      </c>
    </row>
    <row r="722" spans="2:2" x14ac:dyDescent="0.35">
      <c r="B722" s="8" t="s">
        <v>4395</v>
      </c>
    </row>
    <row r="723" spans="2:2" x14ac:dyDescent="0.35">
      <c r="B723" s="8" t="s">
        <v>1374</v>
      </c>
    </row>
    <row r="724" spans="2:2" x14ac:dyDescent="0.35">
      <c r="B724" s="8" t="s">
        <v>559</v>
      </c>
    </row>
    <row r="725" spans="2:2" x14ac:dyDescent="0.35">
      <c r="B725" s="8" t="s">
        <v>410</v>
      </c>
    </row>
    <row r="726" spans="2:2" x14ac:dyDescent="0.35">
      <c r="B726" s="8" t="s">
        <v>511</v>
      </c>
    </row>
    <row r="727" spans="2:2" x14ac:dyDescent="0.35">
      <c r="B727" s="8" t="s">
        <v>3110</v>
      </c>
    </row>
    <row r="728" spans="2:2" x14ac:dyDescent="0.35">
      <c r="B728" s="8" t="s">
        <v>2600</v>
      </c>
    </row>
    <row r="729" spans="2:2" x14ac:dyDescent="0.35">
      <c r="B729" s="8" t="s">
        <v>5322</v>
      </c>
    </row>
    <row r="730" spans="2:2" x14ac:dyDescent="0.35">
      <c r="B730" s="8" t="s">
        <v>92</v>
      </c>
    </row>
    <row r="731" spans="2:2" x14ac:dyDescent="0.35">
      <c r="B731" s="8" t="s">
        <v>5361</v>
      </c>
    </row>
    <row r="732" spans="2:2" x14ac:dyDescent="0.35">
      <c r="B732" s="8" t="s">
        <v>2648</v>
      </c>
    </row>
    <row r="733" spans="2:2" x14ac:dyDescent="0.35">
      <c r="B733" s="8" t="s">
        <v>579</v>
      </c>
    </row>
    <row r="734" spans="2:2" x14ac:dyDescent="0.35">
      <c r="B734" s="8" t="s">
        <v>808</v>
      </c>
    </row>
    <row r="735" spans="2:2" x14ac:dyDescent="0.35">
      <c r="B735" s="8" t="s">
        <v>2330</v>
      </c>
    </row>
    <row r="736" spans="2:2" x14ac:dyDescent="0.35">
      <c r="B736" s="8" t="s">
        <v>1687</v>
      </c>
    </row>
    <row r="737" spans="2:2" x14ac:dyDescent="0.35">
      <c r="B737" s="8" t="s">
        <v>121</v>
      </c>
    </row>
    <row r="738" spans="2:2" x14ac:dyDescent="0.35">
      <c r="B738" s="8" t="s">
        <v>3841</v>
      </c>
    </row>
    <row r="739" spans="2:2" x14ac:dyDescent="0.35">
      <c r="B739" s="8" t="s">
        <v>319</v>
      </c>
    </row>
    <row r="740" spans="2:2" x14ac:dyDescent="0.35">
      <c r="B740" s="8" t="s">
        <v>1384</v>
      </c>
    </row>
    <row r="741" spans="2:2" x14ac:dyDescent="0.35">
      <c r="B741" s="8" t="s">
        <v>4017</v>
      </c>
    </row>
    <row r="742" spans="2:2" x14ac:dyDescent="0.35">
      <c r="B742" s="8" t="s">
        <v>2336</v>
      </c>
    </row>
    <row r="743" spans="2:2" x14ac:dyDescent="0.35">
      <c r="B743" s="8" t="s">
        <v>2392</v>
      </c>
    </row>
    <row r="744" spans="2:2" x14ac:dyDescent="0.35">
      <c r="B744" s="8" t="s">
        <v>2917</v>
      </c>
    </row>
    <row r="745" spans="2:2" x14ac:dyDescent="0.35">
      <c r="B745" s="8" t="s">
        <v>1683</v>
      </c>
    </row>
    <row r="746" spans="2:2" x14ac:dyDescent="0.35">
      <c r="B746" s="8" t="s">
        <v>78</v>
      </c>
    </row>
    <row r="747" spans="2:2" x14ac:dyDescent="0.35">
      <c r="B747" s="8" t="s">
        <v>3215</v>
      </c>
    </row>
    <row r="748" spans="2:2" x14ac:dyDescent="0.35">
      <c r="B748" s="8" t="s">
        <v>3552</v>
      </c>
    </row>
    <row r="749" spans="2:2" x14ac:dyDescent="0.35">
      <c r="B749" s="8" t="s">
        <v>1332</v>
      </c>
    </row>
    <row r="750" spans="2:2" x14ac:dyDescent="0.35">
      <c r="B750" s="8" t="s">
        <v>2518</v>
      </c>
    </row>
    <row r="751" spans="2:2" x14ac:dyDescent="0.35">
      <c r="B751" s="8" t="s">
        <v>4295</v>
      </c>
    </row>
    <row r="752" spans="2:2" x14ac:dyDescent="0.35">
      <c r="B752" s="8" t="s">
        <v>5346</v>
      </c>
    </row>
    <row r="753" spans="2:2" x14ac:dyDescent="0.35">
      <c r="B753" s="8" t="s">
        <v>3361</v>
      </c>
    </row>
    <row r="754" spans="2:2" x14ac:dyDescent="0.35">
      <c r="B754" s="8" t="s">
        <v>515</v>
      </c>
    </row>
    <row r="755" spans="2:2" x14ac:dyDescent="0.35">
      <c r="B755" s="8" t="s">
        <v>946</v>
      </c>
    </row>
    <row r="756" spans="2:2" x14ac:dyDescent="0.35">
      <c r="B756" s="8" t="s">
        <v>2040</v>
      </c>
    </row>
    <row r="757" spans="2:2" x14ac:dyDescent="0.35">
      <c r="B757" s="8" t="s">
        <v>2588</v>
      </c>
    </row>
    <row r="758" spans="2:2" x14ac:dyDescent="0.35">
      <c r="B758" s="8" t="s">
        <v>5241</v>
      </c>
    </row>
    <row r="759" spans="2:2" x14ac:dyDescent="0.35">
      <c r="B759" s="8" t="s">
        <v>1283</v>
      </c>
    </row>
    <row r="760" spans="2:2" x14ac:dyDescent="0.35">
      <c r="B760" s="8" t="s">
        <v>822</v>
      </c>
    </row>
    <row r="761" spans="2:2" x14ac:dyDescent="0.35">
      <c r="B761" s="8" t="s">
        <v>123</v>
      </c>
    </row>
    <row r="762" spans="2:2" x14ac:dyDescent="0.35">
      <c r="B762" s="8" t="s">
        <v>5033</v>
      </c>
    </row>
    <row r="763" spans="2:2" x14ac:dyDescent="0.35">
      <c r="B763" s="8" t="s">
        <v>2156</v>
      </c>
    </row>
    <row r="764" spans="2:2" x14ac:dyDescent="0.35">
      <c r="B764" s="8" t="s">
        <v>4934</v>
      </c>
    </row>
    <row r="765" spans="2:2" x14ac:dyDescent="0.35">
      <c r="B765" s="8" t="s">
        <v>2254</v>
      </c>
    </row>
    <row r="766" spans="2:2" x14ac:dyDescent="0.35">
      <c r="B766" s="8" t="s">
        <v>3250</v>
      </c>
    </row>
    <row r="767" spans="2:2" x14ac:dyDescent="0.35">
      <c r="B767" s="8" t="s">
        <v>2919</v>
      </c>
    </row>
    <row r="768" spans="2:2" x14ac:dyDescent="0.35">
      <c r="B768" s="8" t="s">
        <v>2520</v>
      </c>
    </row>
    <row r="769" spans="2:2" x14ac:dyDescent="0.35">
      <c r="B769" s="8" t="s">
        <v>1152</v>
      </c>
    </row>
    <row r="770" spans="2:2" x14ac:dyDescent="0.35">
      <c r="B770" s="8" t="s">
        <v>948</v>
      </c>
    </row>
    <row r="771" spans="2:2" x14ac:dyDescent="0.35">
      <c r="B771" s="8" t="s">
        <v>4915</v>
      </c>
    </row>
    <row r="772" spans="2:2" x14ac:dyDescent="0.35">
      <c r="B772" s="8" t="s">
        <v>5363</v>
      </c>
    </row>
    <row r="773" spans="2:2" x14ac:dyDescent="0.35">
      <c r="B773" s="8" t="s">
        <v>4936</v>
      </c>
    </row>
    <row r="774" spans="2:2" x14ac:dyDescent="0.35">
      <c r="B774" s="8" t="s">
        <v>517</v>
      </c>
    </row>
    <row r="775" spans="2:2" x14ac:dyDescent="0.35">
      <c r="B775" s="8" t="s">
        <v>3420</v>
      </c>
    </row>
    <row r="776" spans="2:2" x14ac:dyDescent="0.35">
      <c r="B776" s="8" t="s">
        <v>2851</v>
      </c>
    </row>
    <row r="777" spans="2:2" x14ac:dyDescent="0.35">
      <c r="B777" s="8" t="s">
        <v>1943</v>
      </c>
    </row>
    <row r="778" spans="2:2" x14ac:dyDescent="0.35">
      <c r="B778" s="8" t="s">
        <v>4305</v>
      </c>
    </row>
    <row r="779" spans="2:2" x14ac:dyDescent="0.35">
      <c r="B779" s="8" t="s">
        <v>774</v>
      </c>
    </row>
    <row r="780" spans="2:2" x14ac:dyDescent="0.35">
      <c r="B780" s="8" t="s">
        <v>3084</v>
      </c>
    </row>
    <row r="781" spans="2:2" x14ac:dyDescent="0.35">
      <c r="B781" s="8" t="s">
        <v>3649</v>
      </c>
    </row>
    <row r="782" spans="2:2" x14ac:dyDescent="0.35">
      <c r="B782" s="8" t="s">
        <v>5195</v>
      </c>
    </row>
    <row r="783" spans="2:2" x14ac:dyDescent="0.35">
      <c r="B783" s="8" t="s">
        <v>4618</v>
      </c>
    </row>
    <row r="784" spans="2:2" x14ac:dyDescent="0.35">
      <c r="B784" s="8" t="s">
        <v>3086</v>
      </c>
    </row>
    <row r="785" spans="2:2" x14ac:dyDescent="0.35">
      <c r="B785" s="8" t="s">
        <v>4411</v>
      </c>
    </row>
    <row r="786" spans="2:2" x14ac:dyDescent="0.35">
      <c r="B786" s="8" t="s">
        <v>1769</v>
      </c>
    </row>
    <row r="787" spans="2:2" x14ac:dyDescent="0.35">
      <c r="B787" s="8" t="s">
        <v>2853</v>
      </c>
    </row>
    <row r="788" spans="2:2" x14ac:dyDescent="0.35">
      <c r="B788" s="8" t="s">
        <v>5055</v>
      </c>
    </row>
    <row r="789" spans="2:2" x14ac:dyDescent="0.35">
      <c r="B789" s="8" t="s">
        <v>2396</v>
      </c>
    </row>
    <row r="790" spans="2:2" x14ac:dyDescent="0.35">
      <c r="B790" s="8" t="s">
        <v>1945</v>
      </c>
    </row>
    <row r="791" spans="2:2" x14ac:dyDescent="0.35">
      <c r="B791" s="8" t="s">
        <v>642</v>
      </c>
    </row>
    <row r="792" spans="2:2" x14ac:dyDescent="0.35">
      <c r="B792" s="8" t="s">
        <v>4121</v>
      </c>
    </row>
    <row r="793" spans="2:2" x14ac:dyDescent="0.35">
      <c r="B793" s="8" t="s">
        <v>4938</v>
      </c>
    </row>
    <row r="794" spans="2:2" x14ac:dyDescent="0.35">
      <c r="B794" s="8" t="s">
        <v>2984</v>
      </c>
    </row>
    <row r="795" spans="2:2" x14ac:dyDescent="0.35">
      <c r="B795" s="8" t="s">
        <v>4307</v>
      </c>
    </row>
    <row r="796" spans="2:2" x14ac:dyDescent="0.35">
      <c r="B796" s="8" t="s">
        <v>1194</v>
      </c>
    </row>
    <row r="797" spans="2:2" x14ac:dyDescent="0.35">
      <c r="B797" s="8" t="s">
        <v>3422</v>
      </c>
    </row>
    <row r="798" spans="2:2" x14ac:dyDescent="0.35">
      <c r="B798" s="8" t="s">
        <v>952</v>
      </c>
    </row>
    <row r="799" spans="2:2" x14ac:dyDescent="0.35">
      <c r="B799" s="8" t="s">
        <v>646</v>
      </c>
    </row>
    <row r="800" spans="2:2" x14ac:dyDescent="0.35">
      <c r="B800" s="8" t="s">
        <v>4942</v>
      </c>
    </row>
    <row r="801" spans="2:2" x14ac:dyDescent="0.35">
      <c r="B801" s="8" t="s">
        <v>3554</v>
      </c>
    </row>
    <row r="802" spans="2:2" x14ac:dyDescent="0.35">
      <c r="B802" s="8" t="s">
        <v>1334</v>
      </c>
    </row>
    <row r="803" spans="2:2" x14ac:dyDescent="0.35">
      <c r="B803" s="8" t="s">
        <v>3749</v>
      </c>
    </row>
    <row r="804" spans="2:2" x14ac:dyDescent="0.35">
      <c r="B804" s="8" t="s">
        <v>4620</v>
      </c>
    </row>
    <row r="805" spans="2:2" x14ac:dyDescent="0.35">
      <c r="B805" s="8" t="s">
        <v>5057</v>
      </c>
    </row>
    <row r="806" spans="2:2" x14ac:dyDescent="0.35">
      <c r="B806" s="8" t="s">
        <v>824</v>
      </c>
    </row>
    <row r="807" spans="2:2" x14ac:dyDescent="0.35">
      <c r="B807" s="8" t="s">
        <v>2256</v>
      </c>
    </row>
    <row r="808" spans="2:2" x14ac:dyDescent="0.35">
      <c r="B808" s="8" t="s">
        <v>4795</v>
      </c>
    </row>
    <row r="809" spans="2:2" x14ac:dyDescent="0.35">
      <c r="B809" s="8" t="s">
        <v>2857</v>
      </c>
    </row>
    <row r="810" spans="2:2" x14ac:dyDescent="0.35">
      <c r="B810" s="8" t="s">
        <v>4231</v>
      </c>
    </row>
    <row r="811" spans="2:2" x14ac:dyDescent="0.35">
      <c r="B811" s="8" t="s">
        <v>3855</v>
      </c>
    </row>
    <row r="812" spans="2:2" x14ac:dyDescent="0.35">
      <c r="B812" s="8" t="s">
        <v>4628</v>
      </c>
    </row>
    <row r="813" spans="2:2" x14ac:dyDescent="0.35">
      <c r="B813" s="8" t="s">
        <v>5061</v>
      </c>
    </row>
    <row r="814" spans="2:2" x14ac:dyDescent="0.35">
      <c r="B814" s="8" t="s">
        <v>5254</v>
      </c>
    </row>
    <row r="815" spans="2:2" x14ac:dyDescent="0.35">
      <c r="B815" s="8" t="s">
        <v>4125</v>
      </c>
    </row>
    <row r="816" spans="2:2" x14ac:dyDescent="0.35">
      <c r="B816" s="8" t="s">
        <v>5575</v>
      </c>
    </row>
    <row r="817" spans="2:2" x14ac:dyDescent="0.35">
      <c r="B817" s="8" t="s">
        <v>4233</v>
      </c>
    </row>
    <row r="818" spans="2:2" x14ac:dyDescent="0.35">
      <c r="B818" s="8" t="s">
        <v>2986</v>
      </c>
    </row>
    <row r="819" spans="2:2" x14ac:dyDescent="0.35">
      <c r="B819" s="8" t="s">
        <v>1592</v>
      </c>
    </row>
    <row r="820" spans="2:2" x14ac:dyDescent="0.35">
      <c r="B820" s="8" t="s">
        <v>4944</v>
      </c>
    </row>
    <row r="821" spans="2:2" x14ac:dyDescent="0.35">
      <c r="B821" s="8" t="s">
        <v>4237</v>
      </c>
    </row>
    <row r="822" spans="2:2" x14ac:dyDescent="0.35">
      <c r="B822" s="8" t="s">
        <v>1602</v>
      </c>
    </row>
    <row r="823" spans="2:2" x14ac:dyDescent="0.35">
      <c r="B823" s="8" t="s">
        <v>957</v>
      </c>
    </row>
    <row r="824" spans="2:2" x14ac:dyDescent="0.35">
      <c r="B824" s="8" t="s">
        <v>827</v>
      </c>
    </row>
    <row r="825" spans="2:2" x14ac:dyDescent="0.35">
      <c r="B825" s="8" t="s">
        <v>1433</v>
      </c>
    </row>
    <row r="826" spans="2:2" x14ac:dyDescent="0.35">
      <c r="B826" s="8" t="s">
        <v>1981</v>
      </c>
    </row>
    <row r="827" spans="2:2" x14ac:dyDescent="0.35">
      <c r="B827" s="8" t="s">
        <v>519</v>
      </c>
    </row>
    <row r="828" spans="2:2" x14ac:dyDescent="0.35">
      <c r="B828" s="8" t="s">
        <v>2095</v>
      </c>
    </row>
    <row r="829" spans="2:2" x14ac:dyDescent="0.35">
      <c r="B829" s="8" t="s">
        <v>1338</v>
      </c>
    </row>
    <row r="830" spans="2:2" x14ac:dyDescent="0.35">
      <c r="B830" s="8" t="s">
        <v>4309</v>
      </c>
    </row>
    <row r="831" spans="2:2" x14ac:dyDescent="0.35">
      <c r="B831" s="8" t="s">
        <v>5367</v>
      </c>
    </row>
    <row r="832" spans="2:2" x14ac:dyDescent="0.35">
      <c r="B832" s="8" t="s">
        <v>2608</v>
      </c>
    </row>
    <row r="833" spans="2:2" x14ac:dyDescent="0.35">
      <c r="B833" s="8" t="s">
        <v>1041</v>
      </c>
    </row>
    <row r="834" spans="2:2" x14ac:dyDescent="0.35">
      <c r="B834" s="8" t="s">
        <v>3711</v>
      </c>
    </row>
    <row r="835" spans="2:2" x14ac:dyDescent="0.35">
      <c r="B835" s="8" t="s">
        <v>4721</v>
      </c>
    </row>
    <row r="836" spans="2:2" x14ac:dyDescent="0.35">
      <c r="B836" s="8" t="s">
        <v>2988</v>
      </c>
    </row>
    <row r="837" spans="2:2" x14ac:dyDescent="0.35">
      <c r="B837" s="8" t="s">
        <v>3258</v>
      </c>
    </row>
    <row r="838" spans="2:2" x14ac:dyDescent="0.35">
      <c r="B838" s="8" t="s">
        <v>3090</v>
      </c>
    </row>
    <row r="839" spans="2:2" x14ac:dyDescent="0.35">
      <c r="B839" s="8" t="s">
        <v>5200</v>
      </c>
    </row>
    <row r="840" spans="2:2" x14ac:dyDescent="0.35">
      <c r="B840" s="8" t="s">
        <v>166</v>
      </c>
    </row>
    <row r="841" spans="2:2" x14ac:dyDescent="0.35">
      <c r="B841" s="8" t="s">
        <v>4954</v>
      </c>
    </row>
    <row r="842" spans="2:2" x14ac:dyDescent="0.35">
      <c r="B842" s="8" t="s">
        <v>637</v>
      </c>
    </row>
    <row r="843" spans="2:2" x14ac:dyDescent="0.35">
      <c r="B843" s="8" t="s">
        <v>3092</v>
      </c>
    </row>
    <row r="844" spans="2:2" x14ac:dyDescent="0.35">
      <c r="B844" s="8" t="s">
        <v>1950</v>
      </c>
    </row>
    <row r="845" spans="2:2" x14ac:dyDescent="0.35">
      <c r="B845" s="8" t="s">
        <v>5041</v>
      </c>
    </row>
    <row r="846" spans="2:2" x14ac:dyDescent="0.35">
      <c r="B846" s="8" t="s">
        <v>961</v>
      </c>
    </row>
    <row r="847" spans="2:2" x14ac:dyDescent="0.35">
      <c r="B847" s="8" t="s">
        <v>4224</v>
      </c>
    </row>
    <row r="848" spans="2:2" x14ac:dyDescent="0.35">
      <c r="B848" s="8" t="s">
        <v>4029</v>
      </c>
    </row>
    <row r="849" spans="2:2" x14ac:dyDescent="0.35">
      <c r="B849" s="8" t="s">
        <v>3976</v>
      </c>
    </row>
    <row r="850" spans="2:2" x14ac:dyDescent="0.35">
      <c r="B850" s="8" t="s">
        <v>2990</v>
      </c>
    </row>
    <row r="851" spans="2:2" x14ac:dyDescent="0.35">
      <c r="B851" s="8" t="s">
        <v>1427</v>
      </c>
    </row>
    <row r="852" spans="2:2" x14ac:dyDescent="0.35">
      <c r="B852" s="8" t="s">
        <v>4799</v>
      </c>
    </row>
    <row r="853" spans="2:2" x14ac:dyDescent="0.35">
      <c r="B853" s="8" t="s">
        <v>4958</v>
      </c>
    </row>
    <row r="854" spans="2:2" x14ac:dyDescent="0.35">
      <c r="B854" s="8" t="s">
        <v>2610</v>
      </c>
    </row>
    <row r="855" spans="2:2" x14ac:dyDescent="0.35">
      <c r="B855" s="8" t="s">
        <v>5065</v>
      </c>
    </row>
    <row r="856" spans="2:2" x14ac:dyDescent="0.35">
      <c r="B856" s="8" t="s">
        <v>4419</v>
      </c>
    </row>
    <row r="857" spans="2:2" x14ac:dyDescent="0.35">
      <c r="B857" s="8" t="s">
        <v>1043</v>
      </c>
    </row>
    <row r="858" spans="2:2" x14ac:dyDescent="0.35">
      <c r="B858" s="8" t="s">
        <v>1812</v>
      </c>
    </row>
    <row r="859" spans="2:2" x14ac:dyDescent="0.35">
      <c r="B859" s="8" t="s">
        <v>1724</v>
      </c>
    </row>
    <row r="860" spans="2:2" x14ac:dyDescent="0.35">
      <c r="B860" s="8" t="s">
        <v>4317</v>
      </c>
    </row>
    <row r="861" spans="2:2" x14ac:dyDescent="0.35">
      <c r="B861" s="8" t="s">
        <v>4962</v>
      </c>
    </row>
    <row r="862" spans="2:2" x14ac:dyDescent="0.35">
      <c r="B862" s="8" t="s">
        <v>5442</v>
      </c>
    </row>
    <row r="863" spans="2:2" x14ac:dyDescent="0.35">
      <c r="B863" s="8" t="s">
        <v>1609</v>
      </c>
    </row>
    <row r="864" spans="2:2" x14ac:dyDescent="0.35">
      <c r="B864" s="8" t="s">
        <v>2409</v>
      </c>
    </row>
    <row r="865" spans="2:2" x14ac:dyDescent="0.35">
      <c r="B865" s="8" t="s">
        <v>5674</v>
      </c>
    </row>
    <row r="866" spans="2:2" x14ac:dyDescent="0.35">
      <c r="B866" s="8" t="s">
        <v>1196</v>
      </c>
    </row>
    <row r="867" spans="2:2" x14ac:dyDescent="0.35">
      <c r="B867" s="8" t="s">
        <v>4964</v>
      </c>
    </row>
    <row r="868" spans="2:2" x14ac:dyDescent="0.35">
      <c r="B868" s="8" t="s">
        <v>1160</v>
      </c>
    </row>
    <row r="869" spans="2:2" x14ac:dyDescent="0.35">
      <c r="B869" s="8" t="s">
        <v>4033</v>
      </c>
    </row>
    <row r="870" spans="2:2" x14ac:dyDescent="0.35">
      <c r="B870" s="8" t="s">
        <v>1162</v>
      </c>
    </row>
    <row r="871" spans="2:2" x14ac:dyDescent="0.35">
      <c r="B871" s="8" t="s">
        <v>2411</v>
      </c>
    </row>
    <row r="872" spans="2:2" x14ac:dyDescent="0.35">
      <c r="B872" s="8" t="s">
        <v>3533</v>
      </c>
    </row>
    <row r="873" spans="2:2" x14ac:dyDescent="0.35">
      <c r="B873" s="8" t="s">
        <v>5698</v>
      </c>
    </row>
    <row r="874" spans="2:2" x14ac:dyDescent="0.35">
      <c r="B874" s="8" t="s">
        <v>2147</v>
      </c>
    </row>
    <row r="875" spans="2:2" x14ac:dyDescent="0.35">
      <c r="B875" s="8" t="s">
        <v>2592</v>
      </c>
    </row>
    <row r="876" spans="2:2" x14ac:dyDescent="0.35">
      <c r="B876" s="8" t="s">
        <v>4572</v>
      </c>
    </row>
    <row r="877" spans="2:2" x14ac:dyDescent="0.35">
      <c r="B877" s="8" t="s">
        <v>3556</v>
      </c>
    </row>
    <row r="878" spans="2:2" x14ac:dyDescent="0.35">
      <c r="B878" s="8" t="s">
        <v>1702</v>
      </c>
    </row>
    <row r="879" spans="2:2" x14ac:dyDescent="0.35">
      <c r="B879" s="8" t="s">
        <v>1868</v>
      </c>
    </row>
    <row r="880" spans="2:2" x14ac:dyDescent="0.35">
      <c r="B880" s="8" t="s">
        <v>1254</v>
      </c>
    </row>
    <row r="881" spans="2:2" x14ac:dyDescent="0.35">
      <c r="B881" s="8" t="s">
        <v>2619</v>
      </c>
    </row>
    <row r="882" spans="2:2" x14ac:dyDescent="0.35">
      <c r="B882" s="8" t="s">
        <v>4346</v>
      </c>
    </row>
    <row r="883" spans="2:2" x14ac:dyDescent="0.35">
      <c r="B883" s="8" t="s">
        <v>1959</v>
      </c>
    </row>
    <row r="884" spans="2:2" x14ac:dyDescent="0.35">
      <c r="B884" s="8" t="s">
        <v>986</v>
      </c>
    </row>
    <row r="885" spans="2:2" x14ac:dyDescent="0.35">
      <c r="B885" s="8" t="s">
        <v>2106</v>
      </c>
    </row>
    <row r="886" spans="2:2" x14ac:dyDescent="0.35">
      <c r="B886" s="8" t="s">
        <v>5352</v>
      </c>
    </row>
    <row r="887" spans="2:2" x14ac:dyDescent="0.35">
      <c r="B887" s="8" t="s">
        <v>698</v>
      </c>
    </row>
    <row r="888" spans="2:2" x14ac:dyDescent="0.35">
      <c r="B888" s="8" t="s">
        <v>2979</v>
      </c>
    </row>
    <row r="889" spans="2:2" x14ac:dyDescent="0.35">
      <c r="B889" s="8" t="s">
        <v>5405</v>
      </c>
    </row>
    <row r="890" spans="2:2" x14ac:dyDescent="0.35">
      <c r="B890" s="8" t="s">
        <v>11389</v>
      </c>
    </row>
  </sheetData>
  <pageMargins left="0.7" right="0.7" top="0.75" bottom="0.75" header="0.3" footer="0.3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C77A4-0E10-4A86-A6FD-B4AF8040DD48}">
  <sheetPr>
    <tabColor theme="3"/>
  </sheetPr>
  <dimension ref="B2:L2986"/>
  <sheetViews>
    <sheetView topLeftCell="B3" workbookViewId="0">
      <selection activeCell="B2" sqref="B2:L2986"/>
    </sheetView>
  </sheetViews>
  <sheetFormatPr baseColWidth="10" defaultRowHeight="14.5" x14ac:dyDescent="0.35"/>
  <cols>
    <col min="1" max="1" width="2.7265625" customWidth="1"/>
    <col min="2" max="2" width="17.6328125" style="4" bestFit="1" customWidth="1"/>
    <col min="3" max="3" width="15.08984375" style="4" bestFit="1" customWidth="1"/>
    <col min="4" max="4" width="30.81640625" style="4" bestFit="1" customWidth="1"/>
    <col min="5" max="5" width="32.26953125" style="4" bestFit="1" customWidth="1"/>
    <col min="6" max="6" width="17.7265625" style="4" bestFit="1" customWidth="1"/>
    <col min="7" max="7" width="19.6328125" style="4" bestFit="1" customWidth="1"/>
    <col min="8" max="8" width="33.6328125" style="4" customWidth="1"/>
    <col min="9" max="9" width="20.6328125" style="4" customWidth="1"/>
    <col min="10" max="10" width="16.1796875" bestFit="1" customWidth="1"/>
    <col min="11" max="11" width="13" customWidth="1"/>
    <col min="12" max="12" width="17.1796875" bestFit="1" customWidth="1"/>
  </cols>
  <sheetData>
    <row r="2" spans="2:12" x14ac:dyDescent="0.35">
      <c r="B2" s="4" t="s">
        <v>5714</v>
      </c>
      <c r="C2" s="4" t="s">
        <v>5713</v>
      </c>
      <c r="D2" s="4" t="s">
        <v>5712</v>
      </c>
      <c r="E2" s="4" t="s">
        <v>5711</v>
      </c>
      <c r="F2" s="4" t="s">
        <v>5710</v>
      </c>
      <c r="G2" s="4" t="s">
        <v>2</v>
      </c>
      <c r="H2" s="4" t="s">
        <v>5709</v>
      </c>
      <c r="I2" s="4" t="s">
        <v>5716</v>
      </c>
      <c r="J2" s="4" t="s">
        <v>5766</v>
      </c>
      <c r="K2" s="4" t="s">
        <v>11380</v>
      </c>
      <c r="L2" s="4" t="s">
        <v>11384</v>
      </c>
    </row>
    <row r="3" spans="2:12" x14ac:dyDescent="0.35">
      <c r="B3" s="4" t="s">
        <v>3</v>
      </c>
      <c r="C3" s="4" t="s">
        <v>5767</v>
      </c>
      <c r="D3" s="4" t="s">
        <v>5</v>
      </c>
      <c r="E3" s="4" t="s">
        <v>6</v>
      </c>
      <c r="F3" s="4" t="s">
        <v>7</v>
      </c>
      <c r="G3" s="4" t="s">
        <v>11386</v>
      </c>
      <c r="H3" s="4" t="s">
        <v>9</v>
      </c>
      <c r="I3" s="5" t="str">
        <f>IFERROR(VLOOKUP(Consulta1[[#This Row],[Pozo largo]],'Lista YPF'!$B$3:$C$358,2,FALSE),"NO")</f>
        <v>NO</v>
      </c>
      <c r="J3" s="5" t="str">
        <f>IFERROR(VLOOKUP(Consulta1[[#This Row],[Pozo]],'Lista Oportunidades'!B:C,2,FALSE),"NO")</f>
        <v>NO</v>
      </c>
      <c r="K3" s="5">
        <f>IFERROR(VLOOKUP(Consulta1[[#This Row],[Pozo largo]],Controles!B:H,7,FALSE),"NO")</f>
        <v>0.66</v>
      </c>
      <c r="L3" s="5" t="str">
        <f>IFERROR(VLOOKUP(Consulta1[[#This Row],[Pozo largo]],Controles!B:J,9,FALSE),"NO")</f>
        <v>Ultimos 6 meses</v>
      </c>
    </row>
    <row r="4" spans="2:12" x14ac:dyDescent="0.35">
      <c r="B4" s="4" t="s">
        <v>10</v>
      </c>
      <c r="C4" s="4" t="s">
        <v>5756</v>
      </c>
      <c r="D4" s="4" t="s">
        <v>5</v>
      </c>
      <c r="E4" s="4" t="s">
        <v>12</v>
      </c>
      <c r="F4" s="4" t="s">
        <v>7</v>
      </c>
      <c r="G4" s="4" t="s">
        <v>13</v>
      </c>
      <c r="H4" s="4" t="s">
        <v>9</v>
      </c>
      <c r="I4" s="5" t="str">
        <f>IFERROR(VLOOKUP(Consulta1[[#This Row],[Pozo largo]],'Lista YPF'!$B$3:$C$358,2,FALSE),"NO")</f>
        <v>NO</v>
      </c>
      <c r="J4" s="5" t="str">
        <f>IFERROR(VLOOKUP(Consulta1[[#This Row],[Pozo]],'Lista Oportunidades'!B:C,2,FALSE),"NO")</f>
        <v>Oportunidad</v>
      </c>
      <c r="K4" s="5">
        <f>IFERROR(VLOOKUP(Consulta1[[#This Row],[Pozo largo]],Controles!B:H,7,FALSE),"NO")</f>
        <v>1</v>
      </c>
      <c r="L4" s="5">
        <f>IFERROR(VLOOKUP(Consulta1[[#This Row],[Pozo largo]],Controles!B:J,9,FALSE),"NO")</f>
        <v>0</v>
      </c>
    </row>
    <row r="5" spans="2:12" x14ac:dyDescent="0.35">
      <c r="B5" s="4" t="s">
        <v>14</v>
      </c>
      <c r="C5" s="4" t="s">
        <v>15</v>
      </c>
      <c r="D5" s="4" t="s">
        <v>5</v>
      </c>
      <c r="E5" s="4" t="s">
        <v>12</v>
      </c>
      <c r="F5" s="4" t="s">
        <v>7</v>
      </c>
      <c r="G5" s="4" t="s">
        <v>13</v>
      </c>
      <c r="H5" s="4" t="s">
        <v>16</v>
      </c>
      <c r="I5" s="5" t="str">
        <f>IFERROR(VLOOKUP(Consulta1[[#This Row],[Pozo largo]],'Lista YPF'!$B$3:$C$358,2,FALSE),"NO")</f>
        <v>NO</v>
      </c>
      <c r="J5" s="5" t="str">
        <f>IFERROR(VLOOKUP(Consulta1[[#This Row],[Pozo]],'Lista Oportunidades'!B:C,2,FALSE),"NO")</f>
        <v>NO</v>
      </c>
      <c r="K5" s="5">
        <f>IFERROR(VLOOKUP(Consulta1[[#This Row],[Pozo largo]],Controles!B:H,7,FALSE),"NO")</f>
        <v>4.9620000000000006</v>
      </c>
      <c r="L5" s="5">
        <f>IFERROR(VLOOKUP(Consulta1[[#This Row],[Pozo largo]],Controles!B:J,9,FALSE),"NO")</f>
        <v>0</v>
      </c>
    </row>
    <row r="6" spans="2:12" x14ac:dyDescent="0.35">
      <c r="B6" s="4" t="s">
        <v>17</v>
      </c>
      <c r="C6" s="4" t="s">
        <v>5768</v>
      </c>
      <c r="D6" s="4" t="s">
        <v>5</v>
      </c>
      <c r="E6" s="4" t="s">
        <v>12</v>
      </c>
      <c r="F6" s="4" t="s">
        <v>7</v>
      </c>
      <c r="G6" s="4" t="s">
        <v>13</v>
      </c>
      <c r="H6" s="4" t="s">
        <v>9</v>
      </c>
      <c r="I6" s="5" t="str">
        <f>IFERROR(VLOOKUP(Consulta1[[#This Row],[Pozo largo]],'Lista YPF'!$B$3:$C$358,2,FALSE),"NO")</f>
        <v>NO</v>
      </c>
      <c r="J6" s="5" t="str">
        <f>IFERROR(VLOOKUP(Consulta1[[#This Row],[Pozo]],'Lista Oportunidades'!B:C,2,FALSE),"NO")</f>
        <v>NO</v>
      </c>
      <c r="K6" s="5">
        <f>IFERROR(VLOOKUP(Consulta1[[#This Row],[Pozo largo]],Controles!B:H,7,FALSE),"NO")</f>
        <v>4.25</v>
      </c>
      <c r="L6" s="5">
        <f>IFERROR(VLOOKUP(Consulta1[[#This Row],[Pozo largo]],Controles!B:J,9,FALSE),"NO")</f>
        <v>0</v>
      </c>
    </row>
    <row r="7" spans="2:12" x14ac:dyDescent="0.35">
      <c r="B7" s="4" t="s">
        <v>19</v>
      </c>
      <c r="C7" s="4" t="s">
        <v>5769</v>
      </c>
      <c r="D7" s="4" t="s">
        <v>5</v>
      </c>
      <c r="E7" s="4" t="s">
        <v>12</v>
      </c>
      <c r="F7" s="4" t="s">
        <v>7</v>
      </c>
      <c r="G7" s="4" t="s">
        <v>13</v>
      </c>
      <c r="H7" s="4" t="s">
        <v>21</v>
      </c>
      <c r="I7" s="5" t="str">
        <f>IFERROR(VLOOKUP(Consulta1[[#This Row],[Pozo largo]],'Lista YPF'!$B$3:$C$358,2,FALSE),"NO")</f>
        <v>NO</v>
      </c>
      <c r="J7" s="5" t="str">
        <f>IFERROR(VLOOKUP(Consulta1[[#This Row],[Pozo]],'Lista Oportunidades'!B:C,2,FALSE),"NO")</f>
        <v>NO</v>
      </c>
      <c r="K7" s="5">
        <f>IFERROR(VLOOKUP(Consulta1[[#This Row],[Pozo largo]],Controles!B:H,7,FALSE),"NO")</f>
        <v>0.83700000000000008</v>
      </c>
      <c r="L7" s="5">
        <f>IFERROR(VLOOKUP(Consulta1[[#This Row],[Pozo largo]],Controles!B:J,9,FALSE),"NO")</f>
        <v>0</v>
      </c>
    </row>
    <row r="8" spans="2:12" x14ac:dyDescent="0.35">
      <c r="B8" s="4" t="s">
        <v>22</v>
      </c>
      <c r="C8" s="4" t="s">
        <v>5770</v>
      </c>
      <c r="D8" s="4" t="s">
        <v>5</v>
      </c>
      <c r="E8" s="4" t="s">
        <v>24</v>
      </c>
      <c r="F8" s="4" t="s">
        <v>25</v>
      </c>
      <c r="G8" s="4" t="s">
        <v>11387</v>
      </c>
      <c r="H8" s="4" t="s">
        <v>21</v>
      </c>
      <c r="I8" s="5" t="str">
        <f>IFERROR(VLOOKUP(Consulta1[[#This Row],[Pozo largo]],'Lista YPF'!$B$3:$C$358,2,FALSE),"NO")</f>
        <v>NO</v>
      </c>
      <c r="J8" s="5" t="str">
        <f>IFERROR(VLOOKUP(Consulta1[[#This Row],[Pozo]],'Lista Oportunidades'!B:C,2,FALSE),"NO")</f>
        <v>NO</v>
      </c>
      <c r="K8" s="5">
        <f>IFERROR(VLOOKUP(Consulta1[[#This Row],[Pozo largo]],Controles!B:H,7,FALSE),"NO")</f>
        <v>0.01</v>
      </c>
      <c r="L8" s="5" t="str">
        <f>IFERROR(VLOOKUP(Consulta1[[#This Row],[Pozo largo]],Controles!B:J,9,FALSE),"NO")</f>
        <v>Ultimo Año</v>
      </c>
    </row>
    <row r="9" spans="2:12" x14ac:dyDescent="0.35">
      <c r="B9" s="4" t="s">
        <v>26</v>
      </c>
      <c r="C9" s="4" t="s">
        <v>5771</v>
      </c>
      <c r="D9" s="4" t="s">
        <v>5</v>
      </c>
      <c r="E9" s="4" t="s">
        <v>12</v>
      </c>
      <c r="F9" s="4" t="s">
        <v>28</v>
      </c>
      <c r="G9" s="4" t="s">
        <v>13</v>
      </c>
      <c r="H9" s="4" t="s">
        <v>21</v>
      </c>
      <c r="I9" s="5" t="str">
        <f>IFERROR(VLOOKUP(Consulta1[[#This Row],[Pozo largo]],'Lista YPF'!$B$3:$C$358,2,FALSE),"NO")</f>
        <v>NO</v>
      </c>
      <c r="J9" s="5" t="str">
        <f>IFERROR(VLOOKUP(Consulta1[[#This Row],[Pozo]],'Lista Oportunidades'!B:C,2,FALSE),"NO")</f>
        <v>NO</v>
      </c>
      <c r="K9" s="5">
        <f>IFERROR(VLOOKUP(Consulta1[[#This Row],[Pozo largo]],Controles!B:H,7,FALSE),"NO")</f>
        <v>0</v>
      </c>
      <c r="L9" s="5">
        <f>IFERROR(VLOOKUP(Consulta1[[#This Row],[Pozo largo]],Controles!B:J,9,FALSE),"NO")</f>
        <v>0</v>
      </c>
    </row>
    <row r="10" spans="2:12" x14ac:dyDescent="0.35">
      <c r="B10" s="4" t="s">
        <v>29</v>
      </c>
      <c r="C10" s="4" t="s">
        <v>5772</v>
      </c>
      <c r="D10" s="4" t="s">
        <v>5</v>
      </c>
      <c r="E10" s="4" t="s">
        <v>30</v>
      </c>
      <c r="F10" s="4" t="s">
        <v>31</v>
      </c>
      <c r="G10" s="4" t="s">
        <v>32</v>
      </c>
      <c r="H10" s="4" t="s">
        <v>33</v>
      </c>
      <c r="I10" s="5" t="str">
        <f>IFERROR(VLOOKUP(Consulta1[[#This Row],[Pozo largo]],'Lista YPF'!$B$3:$C$358,2,FALSE),"NO")</f>
        <v>NO</v>
      </c>
      <c r="J10" s="5" t="str">
        <f>IFERROR(VLOOKUP(Consulta1[[#This Row],[Pozo]],'Lista Oportunidades'!B:C,2,FALSE),"NO")</f>
        <v>NO</v>
      </c>
      <c r="K10" s="5" t="str">
        <f>IFERROR(VLOOKUP(Consulta1[[#This Row],[Pozo largo]],Controles!B:H,7,FALSE),"NO")</f>
        <v>NO</v>
      </c>
      <c r="L10" s="5" t="str">
        <f>IFERROR(VLOOKUP(Consulta1[[#This Row],[Pozo largo]],Controles!B:J,9,FALSE),"NO")</f>
        <v>NO</v>
      </c>
    </row>
    <row r="11" spans="2:12" x14ac:dyDescent="0.35">
      <c r="B11" s="4" t="s">
        <v>34</v>
      </c>
      <c r="C11" s="4" t="s">
        <v>5773</v>
      </c>
      <c r="D11" s="4" t="s">
        <v>5</v>
      </c>
      <c r="E11" s="4" t="s">
        <v>12</v>
      </c>
      <c r="F11" s="4" t="s">
        <v>28</v>
      </c>
      <c r="G11" s="4" t="s">
        <v>13</v>
      </c>
      <c r="H11" s="4" t="s">
        <v>36</v>
      </c>
      <c r="I11" s="5" t="str">
        <f>IFERROR(VLOOKUP(Consulta1[[#This Row],[Pozo largo]],'Lista YPF'!$B$3:$C$358,2,FALSE),"NO")</f>
        <v>NO</v>
      </c>
      <c r="J11" s="5" t="str">
        <f>IFERROR(VLOOKUP(Consulta1[[#This Row],[Pozo]],'Lista Oportunidades'!B:C,2,FALSE),"NO")</f>
        <v>NO</v>
      </c>
      <c r="K11" s="5">
        <f>IFERROR(VLOOKUP(Consulta1[[#This Row],[Pozo largo]],Controles!B:H,7,FALSE),"NO")</f>
        <v>0</v>
      </c>
      <c r="L11" s="5">
        <f>IFERROR(VLOOKUP(Consulta1[[#This Row],[Pozo largo]],Controles!B:J,9,FALSE),"NO")</f>
        <v>0</v>
      </c>
    </row>
    <row r="12" spans="2:12" x14ac:dyDescent="0.35">
      <c r="B12" s="4" t="s">
        <v>37</v>
      </c>
      <c r="C12" s="4" t="s">
        <v>5774</v>
      </c>
      <c r="D12" s="4" t="s">
        <v>5</v>
      </c>
      <c r="E12" s="4" t="s">
        <v>12</v>
      </c>
      <c r="F12" s="4" t="s">
        <v>28</v>
      </c>
      <c r="G12" s="4" t="s">
        <v>13</v>
      </c>
      <c r="H12" s="4" t="s">
        <v>21</v>
      </c>
      <c r="I12" s="5" t="str">
        <f>IFERROR(VLOOKUP(Consulta1[[#This Row],[Pozo largo]],'Lista YPF'!$B$3:$C$358,2,FALSE),"NO")</f>
        <v>NO</v>
      </c>
      <c r="J12" s="5" t="str">
        <f>IFERROR(VLOOKUP(Consulta1[[#This Row],[Pozo]],'Lista Oportunidades'!B:C,2,FALSE),"NO")</f>
        <v>NO</v>
      </c>
      <c r="K12" s="5">
        <f>IFERROR(VLOOKUP(Consulta1[[#This Row],[Pozo largo]],Controles!B:H,7,FALSE),"NO")</f>
        <v>0</v>
      </c>
      <c r="L12" s="5">
        <f>IFERROR(VLOOKUP(Consulta1[[#This Row],[Pozo largo]],Controles!B:J,9,FALSE),"NO")</f>
        <v>0</v>
      </c>
    </row>
    <row r="13" spans="2:12" x14ac:dyDescent="0.35">
      <c r="B13" s="4" t="s">
        <v>39</v>
      </c>
      <c r="C13" s="4" t="s">
        <v>5775</v>
      </c>
      <c r="D13" s="4" t="s">
        <v>5</v>
      </c>
      <c r="E13" s="4" t="s">
        <v>12</v>
      </c>
      <c r="F13" s="4" t="s">
        <v>25</v>
      </c>
      <c r="G13" s="4" t="s">
        <v>13</v>
      </c>
      <c r="H13" s="4" t="s">
        <v>36</v>
      </c>
      <c r="I13" s="5" t="str">
        <f>IFERROR(VLOOKUP(Consulta1[[#This Row],[Pozo largo]],'Lista YPF'!$B$3:$C$358,2,FALSE),"NO")</f>
        <v>NO</v>
      </c>
      <c r="J13" s="5" t="str">
        <f>IFERROR(VLOOKUP(Consulta1[[#This Row],[Pozo]],'Lista Oportunidades'!B:C,2,FALSE),"NO")</f>
        <v>NO</v>
      </c>
      <c r="K13" s="5">
        <f>IFERROR(VLOOKUP(Consulta1[[#This Row],[Pozo largo]],Controles!B:H,7,FALSE),"NO")</f>
        <v>6.7000000000000004E-2</v>
      </c>
      <c r="L13" s="5">
        <f>IFERROR(VLOOKUP(Consulta1[[#This Row],[Pozo largo]],Controles!B:J,9,FALSE),"NO")</f>
        <v>0</v>
      </c>
    </row>
    <row r="14" spans="2:12" x14ac:dyDescent="0.35">
      <c r="B14" s="4" t="s">
        <v>41</v>
      </c>
      <c r="C14" s="4" t="s">
        <v>5776</v>
      </c>
      <c r="D14" s="4" t="s">
        <v>5</v>
      </c>
      <c r="E14" s="4" t="s">
        <v>12</v>
      </c>
      <c r="F14" s="4" t="s">
        <v>25</v>
      </c>
      <c r="G14" s="4" t="s">
        <v>13</v>
      </c>
      <c r="H14" s="4" t="s">
        <v>21</v>
      </c>
      <c r="I14" s="5" t="str">
        <f>IFERROR(VLOOKUP(Consulta1[[#This Row],[Pozo largo]],'Lista YPF'!$B$3:$C$358,2,FALSE),"NO")</f>
        <v>NO</v>
      </c>
      <c r="J14" s="5" t="str">
        <f>IFERROR(VLOOKUP(Consulta1[[#This Row],[Pozo]],'Lista Oportunidades'!B:C,2,FALSE),"NO")</f>
        <v>NO</v>
      </c>
      <c r="K14" s="5">
        <f>IFERROR(VLOOKUP(Consulta1[[#This Row],[Pozo largo]],Controles!B:H,7,FALSE),"NO")</f>
        <v>2.9000000000000001E-2</v>
      </c>
      <c r="L14" s="5">
        <f>IFERROR(VLOOKUP(Consulta1[[#This Row],[Pozo largo]],Controles!B:J,9,FALSE),"NO")</f>
        <v>0</v>
      </c>
    </row>
    <row r="15" spans="2:12" x14ac:dyDescent="0.35">
      <c r="B15" s="4" t="s">
        <v>43</v>
      </c>
      <c r="C15" s="4" t="s">
        <v>5777</v>
      </c>
      <c r="D15" s="4" t="s">
        <v>5</v>
      </c>
      <c r="E15" s="4" t="s">
        <v>30</v>
      </c>
      <c r="F15" s="4" t="s">
        <v>31</v>
      </c>
      <c r="G15" s="4" t="s">
        <v>32</v>
      </c>
      <c r="H15" s="4" t="s">
        <v>9</v>
      </c>
      <c r="I15" s="5" t="str">
        <f>IFERROR(VLOOKUP(Consulta1[[#This Row],[Pozo largo]],'Lista YPF'!$B$3:$C$358,2,FALSE),"NO")</f>
        <v>NO</v>
      </c>
      <c r="J15" s="5" t="str">
        <f>IFERROR(VLOOKUP(Consulta1[[#This Row],[Pozo]],'Lista Oportunidades'!B:C,2,FALSE),"NO")</f>
        <v>NO</v>
      </c>
      <c r="K15" s="5">
        <f>IFERROR(VLOOKUP(Consulta1[[#This Row],[Pozo largo]],Controles!B:H,7,FALSE),"NO")</f>
        <v>0.96</v>
      </c>
      <c r="L15" s="5">
        <f>IFERROR(VLOOKUP(Consulta1[[#This Row],[Pozo largo]],Controles!B:J,9,FALSE),"NO")</f>
        <v>0</v>
      </c>
    </row>
    <row r="16" spans="2:12" x14ac:dyDescent="0.35">
      <c r="B16" s="4" t="s">
        <v>45</v>
      </c>
      <c r="C16" s="4" t="s">
        <v>5778</v>
      </c>
      <c r="D16" s="4" t="s">
        <v>5</v>
      </c>
      <c r="E16" s="4" t="s">
        <v>24</v>
      </c>
      <c r="F16" s="4" t="s">
        <v>7</v>
      </c>
      <c r="G16" s="4" t="s">
        <v>8</v>
      </c>
      <c r="H16" s="4" t="s">
        <v>33</v>
      </c>
      <c r="I16" s="5" t="str">
        <f>IFERROR(VLOOKUP(Consulta1[[#This Row],[Pozo largo]],'Lista YPF'!$B$3:$C$358,2,FALSE),"NO")</f>
        <v>NO</v>
      </c>
      <c r="J16" s="5" t="str">
        <f>IFERROR(VLOOKUP(Consulta1[[#This Row],[Pozo]],'Lista Oportunidades'!B:C,2,FALSE),"NO")</f>
        <v>NO</v>
      </c>
      <c r="K16" s="5">
        <f>IFERROR(VLOOKUP(Consulta1[[#This Row],[Pozo largo]],Controles!B:H,7,FALSE),"NO")</f>
        <v>0.17600000000000002</v>
      </c>
      <c r="L16" s="5">
        <f>IFERROR(VLOOKUP(Consulta1[[#This Row],[Pozo largo]],Controles!B:J,9,FALSE),"NO")</f>
        <v>0</v>
      </c>
    </row>
    <row r="17" spans="2:12" x14ac:dyDescent="0.35">
      <c r="B17" s="4" t="s">
        <v>47</v>
      </c>
      <c r="C17" s="4" t="s">
        <v>5779</v>
      </c>
      <c r="D17" s="4" t="s">
        <v>5</v>
      </c>
      <c r="E17" s="4" t="s">
        <v>12</v>
      </c>
      <c r="F17" s="4" t="s">
        <v>28</v>
      </c>
      <c r="G17" s="4" t="s">
        <v>13</v>
      </c>
      <c r="H17" s="4" t="s">
        <v>33</v>
      </c>
      <c r="I17" s="5" t="str">
        <f>IFERROR(VLOOKUP(Consulta1[[#This Row],[Pozo largo]],'Lista YPF'!$B$3:$C$358,2,FALSE),"NO")</f>
        <v>NO</v>
      </c>
      <c r="J17" s="5" t="str">
        <f>IFERROR(VLOOKUP(Consulta1[[#This Row],[Pozo]],'Lista Oportunidades'!B:C,2,FALSE),"NO")</f>
        <v>NO</v>
      </c>
      <c r="K17" s="5">
        <f>IFERROR(VLOOKUP(Consulta1[[#This Row],[Pozo largo]],Controles!B:H,7,FALSE),"NO")</f>
        <v>0</v>
      </c>
      <c r="L17" s="5">
        <f>IFERROR(VLOOKUP(Consulta1[[#This Row],[Pozo largo]],Controles!B:J,9,FALSE),"NO")</f>
        <v>0</v>
      </c>
    </row>
    <row r="18" spans="2:12" x14ac:dyDescent="0.35">
      <c r="B18" s="4" t="s">
        <v>49</v>
      </c>
      <c r="C18" s="4" t="s">
        <v>5780</v>
      </c>
      <c r="D18" s="4" t="s">
        <v>5</v>
      </c>
      <c r="E18" s="4" t="s">
        <v>6</v>
      </c>
      <c r="F18" s="4" t="s">
        <v>28</v>
      </c>
      <c r="G18" s="4" t="s">
        <v>5718</v>
      </c>
      <c r="H18" s="4" t="s">
        <v>36</v>
      </c>
      <c r="I18" s="5" t="str">
        <f>IFERROR(VLOOKUP(Consulta1[[#This Row],[Pozo largo]],'Lista YPF'!$B$3:$C$358,2,FALSE),"NO")</f>
        <v>En lista de Abandono</v>
      </c>
      <c r="J18" s="5" t="str">
        <f>IFERROR(VLOOKUP(Consulta1[[#This Row],[Pozo]],'Lista Oportunidades'!B:C,2,FALSE),"NO")</f>
        <v>NO</v>
      </c>
      <c r="K18" s="5">
        <f>IFERROR(VLOOKUP(Consulta1[[#This Row],[Pozo largo]],Controles!B:H,7,FALSE),"NO")</f>
        <v>0</v>
      </c>
      <c r="L18" s="5">
        <f>IFERROR(VLOOKUP(Consulta1[[#This Row],[Pozo largo]],Controles!B:J,9,FALSE),"NO")</f>
        <v>0</v>
      </c>
    </row>
    <row r="19" spans="2:12" x14ac:dyDescent="0.35">
      <c r="B19" s="4" t="s">
        <v>51</v>
      </c>
      <c r="C19" s="4" t="s">
        <v>5781</v>
      </c>
      <c r="D19" s="4" t="s">
        <v>5</v>
      </c>
      <c r="E19" s="4" t="s">
        <v>12</v>
      </c>
      <c r="F19" s="4" t="s">
        <v>7</v>
      </c>
      <c r="G19" s="4" t="s">
        <v>13</v>
      </c>
      <c r="H19" s="4" t="s">
        <v>36</v>
      </c>
      <c r="I19" s="5" t="str">
        <f>IFERROR(VLOOKUP(Consulta1[[#This Row],[Pozo largo]],'Lista YPF'!$B$3:$C$358,2,FALSE),"NO")</f>
        <v>NO</v>
      </c>
      <c r="J19" s="5" t="str">
        <f>IFERROR(VLOOKUP(Consulta1[[#This Row],[Pozo]],'Lista Oportunidades'!B:C,2,FALSE),"NO")</f>
        <v>NO</v>
      </c>
      <c r="K19" s="5">
        <f>IFERROR(VLOOKUP(Consulta1[[#This Row],[Pozo largo]],Controles!B:H,7,FALSE),"NO")</f>
        <v>4.16</v>
      </c>
      <c r="L19" s="5">
        <f>IFERROR(VLOOKUP(Consulta1[[#This Row],[Pozo largo]],Controles!B:J,9,FALSE),"NO")</f>
        <v>0</v>
      </c>
    </row>
    <row r="20" spans="2:12" x14ac:dyDescent="0.35">
      <c r="B20" s="4" t="s">
        <v>53</v>
      </c>
      <c r="C20" s="4" t="s">
        <v>5782</v>
      </c>
      <c r="D20" s="4" t="s">
        <v>5</v>
      </c>
      <c r="E20" s="4" t="s">
        <v>12</v>
      </c>
      <c r="F20" s="4" t="s">
        <v>28</v>
      </c>
      <c r="G20" s="4" t="s">
        <v>13</v>
      </c>
      <c r="H20" s="4" t="s">
        <v>36</v>
      </c>
      <c r="I20" s="5" t="str">
        <f>IFERROR(VLOOKUP(Consulta1[[#This Row],[Pozo largo]],'Lista YPF'!$B$3:$C$358,2,FALSE),"NO")</f>
        <v>NO</v>
      </c>
      <c r="J20" s="5" t="str">
        <f>IFERROR(VLOOKUP(Consulta1[[#This Row],[Pozo]],'Lista Oportunidades'!B:C,2,FALSE),"NO")</f>
        <v>NO</v>
      </c>
      <c r="K20" s="5">
        <f>IFERROR(VLOOKUP(Consulta1[[#This Row],[Pozo largo]],Controles!B:H,7,FALSE),"NO")</f>
        <v>0</v>
      </c>
      <c r="L20" s="5">
        <f>IFERROR(VLOOKUP(Consulta1[[#This Row],[Pozo largo]],Controles!B:J,9,FALSE),"NO")</f>
        <v>0</v>
      </c>
    </row>
    <row r="21" spans="2:12" x14ac:dyDescent="0.35">
      <c r="B21" s="4" t="s">
        <v>55</v>
      </c>
      <c r="C21" s="4" t="s">
        <v>5783</v>
      </c>
      <c r="D21" s="4" t="s">
        <v>5</v>
      </c>
      <c r="E21" s="4" t="s">
        <v>57</v>
      </c>
      <c r="F21" s="4" t="s">
        <v>7</v>
      </c>
      <c r="G21" s="4" t="s">
        <v>5718</v>
      </c>
      <c r="H21" s="4" t="s">
        <v>36</v>
      </c>
      <c r="I21" s="5" t="str">
        <f>IFERROR(VLOOKUP(Consulta1[[#This Row],[Pozo largo]],'Lista YPF'!$B$3:$C$358,2,FALSE),"NO")</f>
        <v>En lista de Abandono</v>
      </c>
      <c r="J21" s="5" t="str">
        <f>IFERROR(VLOOKUP(Consulta1[[#This Row],[Pozo]],'Lista Oportunidades'!B:C,2,FALSE),"NO")</f>
        <v>NO</v>
      </c>
      <c r="K21" s="5">
        <f>IFERROR(VLOOKUP(Consulta1[[#This Row],[Pozo largo]],Controles!B:H,7,FALSE),"NO")</f>
        <v>0.10600000000000001</v>
      </c>
      <c r="L21" s="5">
        <f>IFERROR(VLOOKUP(Consulta1[[#This Row],[Pozo largo]],Controles!B:J,9,FALSE),"NO")</f>
        <v>0</v>
      </c>
    </row>
    <row r="22" spans="2:12" x14ac:dyDescent="0.35">
      <c r="B22" s="4" t="s">
        <v>58</v>
      </c>
      <c r="C22" s="4" t="s">
        <v>5784</v>
      </c>
      <c r="D22" s="4" t="s">
        <v>5</v>
      </c>
      <c r="E22" s="4" t="s">
        <v>12</v>
      </c>
      <c r="F22" s="4" t="s">
        <v>7</v>
      </c>
      <c r="G22" s="4" t="s">
        <v>13</v>
      </c>
      <c r="H22" s="4" t="s">
        <v>36</v>
      </c>
      <c r="I22" s="5" t="str">
        <f>IFERROR(VLOOKUP(Consulta1[[#This Row],[Pozo largo]],'Lista YPF'!$B$3:$C$358,2,FALSE),"NO")</f>
        <v>NO</v>
      </c>
      <c r="J22" s="5" t="str">
        <f>IFERROR(VLOOKUP(Consulta1[[#This Row],[Pozo]],'Lista Oportunidades'!B:C,2,FALSE),"NO")</f>
        <v>NO</v>
      </c>
      <c r="K22" s="5">
        <f>IFERROR(VLOOKUP(Consulta1[[#This Row],[Pozo largo]],Controles!B:H,7,FALSE),"NO")</f>
        <v>1.4000000000000001</v>
      </c>
      <c r="L22" s="5">
        <f>IFERROR(VLOOKUP(Consulta1[[#This Row],[Pozo largo]],Controles!B:J,9,FALSE),"NO")</f>
        <v>0</v>
      </c>
    </row>
    <row r="23" spans="2:12" x14ac:dyDescent="0.35">
      <c r="B23" s="4" t="s">
        <v>60</v>
      </c>
      <c r="C23" s="4" t="s">
        <v>5785</v>
      </c>
      <c r="D23" s="4" t="s">
        <v>5</v>
      </c>
      <c r="E23" s="4" t="s">
        <v>57</v>
      </c>
      <c r="F23" s="4" t="s">
        <v>28</v>
      </c>
      <c r="G23" s="4" t="s">
        <v>8</v>
      </c>
      <c r="H23" s="4" t="s">
        <v>36</v>
      </c>
      <c r="I23" s="5" t="str">
        <f>IFERROR(VLOOKUP(Consulta1[[#This Row],[Pozo largo]],'Lista YPF'!$B$3:$C$358,2,FALSE),"NO")</f>
        <v>NO</v>
      </c>
      <c r="J23" s="5" t="str">
        <f>IFERROR(VLOOKUP(Consulta1[[#This Row],[Pozo]],'Lista Oportunidades'!B:C,2,FALSE),"NO")</f>
        <v>NO</v>
      </c>
      <c r="K23" s="5">
        <f>IFERROR(VLOOKUP(Consulta1[[#This Row],[Pozo largo]],Controles!B:H,7,FALSE),"NO")</f>
        <v>0</v>
      </c>
      <c r="L23" s="5">
        <f>IFERROR(VLOOKUP(Consulta1[[#This Row],[Pozo largo]],Controles!B:J,9,FALSE),"NO")</f>
        <v>0</v>
      </c>
    </row>
    <row r="24" spans="2:12" x14ac:dyDescent="0.35">
      <c r="B24" s="4" t="s">
        <v>62</v>
      </c>
      <c r="C24" s="4" t="s">
        <v>5786</v>
      </c>
      <c r="D24" s="4" t="s">
        <v>5</v>
      </c>
      <c r="E24" s="4" t="s">
        <v>24</v>
      </c>
      <c r="F24" s="4" t="s">
        <v>25</v>
      </c>
      <c r="G24" s="4" t="s">
        <v>8</v>
      </c>
      <c r="H24" s="4" t="s">
        <v>36</v>
      </c>
      <c r="I24" s="5" t="str">
        <f>IFERROR(VLOOKUP(Consulta1[[#This Row],[Pozo largo]],'Lista YPF'!$B$3:$C$358,2,FALSE),"NO")</f>
        <v>NO</v>
      </c>
      <c r="J24" s="5" t="str">
        <f>IFERROR(VLOOKUP(Consulta1[[#This Row],[Pozo]],'Lista Oportunidades'!B:C,2,FALSE),"NO")</f>
        <v>NO</v>
      </c>
      <c r="K24" s="5">
        <f>IFERROR(VLOOKUP(Consulta1[[#This Row],[Pozo largo]],Controles!B:H,7,FALSE),"NO")</f>
        <v>0</v>
      </c>
      <c r="L24" s="5">
        <f>IFERROR(VLOOKUP(Consulta1[[#This Row],[Pozo largo]],Controles!B:J,9,FALSE),"NO")</f>
        <v>0</v>
      </c>
    </row>
    <row r="25" spans="2:12" x14ac:dyDescent="0.35">
      <c r="B25" s="4" t="s">
        <v>64</v>
      </c>
      <c r="C25" s="4" t="s">
        <v>5787</v>
      </c>
      <c r="D25" s="4" t="s">
        <v>5</v>
      </c>
      <c r="E25" s="4" t="s">
        <v>30</v>
      </c>
      <c r="F25" s="4" t="s">
        <v>31</v>
      </c>
      <c r="G25" s="4" t="s">
        <v>32</v>
      </c>
      <c r="H25" s="4" t="s">
        <v>66</v>
      </c>
      <c r="I25" s="5" t="str">
        <f>IFERROR(VLOOKUP(Consulta1[[#This Row],[Pozo largo]],'Lista YPF'!$B$3:$C$358,2,FALSE),"NO")</f>
        <v>NO</v>
      </c>
      <c r="J25" s="5" t="str">
        <f>IFERROR(VLOOKUP(Consulta1[[#This Row],[Pozo]],'Lista Oportunidades'!B:C,2,FALSE),"NO")</f>
        <v>NO</v>
      </c>
      <c r="K25" s="5">
        <f>IFERROR(VLOOKUP(Consulta1[[#This Row],[Pozo largo]],Controles!B:H,7,FALSE),"NO")</f>
        <v>6.93</v>
      </c>
      <c r="L25" s="5">
        <f>IFERROR(VLOOKUP(Consulta1[[#This Row],[Pozo largo]],Controles!B:J,9,FALSE),"NO")</f>
        <v>0</v>
      </c>
    </row>
    <row r="26" spans="2:12" x14ac:dyDescent="0.35">
      <c r="B26" s="4" t="s">
        <v>67</v>
      </c>
      <c r="C26" s="4" t="s">
        <v>5748</v>
      </c>
      <c r="D26" s="4" t="s">
        <v>5</v>
      </c>
      <c r="E26" s="4" t="s">
        <v>24</v>
      </c>
      <c r="F26" s="4" t="s">
        <v>25</v>
      </c>
      <c r="G26" s="4" t="s">
        <v>8689</v>
      </c>
      <c r="H26" s="4" t="s">
        <v>36</v>
      </c>
      <c r="I26" s="5" t="str">
        <f>IFERROR(VLOOKUP(Consulta1[[#This Row],[Pozo largo]],'Lista YPF'!$B$3:$C$358,2,FALSE),"NO")</f>
        <v>NO</v>
      </c>
      <c r="J26" s="5" t="str">
        <f>IFERROR(VLOOKUP(Consulta1[[#This Row],[Pozo]],'Lista Oportunidades'!B:C,2,FALSE),"NO")</f>
        <v>Oportunidad</v>
      </c>
      <c r="K26" s="5">
        <f>IFERROR(VLOOKUP(Consulta1[[#This Row],[Pozo largo]],Controles!B:H,7,FALSE),"NO")</f>
        <v>0</v>
      </c>
      <c r="L26" s="5">
        <f>IFERROR(VLOOKUP(Consulta1[[#This Row],[Pozo largo]],Controles!B:J,9,FALSE),"NO")</f>
        <v>0</v>
      </c>
    </row>
    <row r="27" spans="2:12" x14ac:dyDescent="0.35">
      <c r="B27" s="4" t="s">
        <v>69</v>
      </c>
      <c r="C27" s="4" t="s">
        <v>5788</v>
      </c>
      <c r="D27" s="4" t="s">
        <v>5</v>
      </c>
      <c r="E27" s="4" t="s">
        <v>24</v>
      </c>
      <c r="F27" s="4" t="s">
        <v>7</v>
      </c>
      <c r="G27" s="4" t="s">
        <v>8</v>
      </c>
      <c r="H27" s="4" t="s">
        <v>71</v>
      </c>
      <c r="I27" s="5" t="str">
        <f>IFERROR(VLOOKUP(Consulta1[[#This Row],[Pozo largo]],'Lista YPF'!$B$3:$C$358,2,FALSE),"NO")</f>
        <v>NO</v>
      </c>
      <c r="J27" s="5" t="str">
        <f>IFERROR(VLOOKUP(Consulta1[[#This Row],[Pozo]],'Lista Oportunidades'!B:C,2,FALSE),"NO")</f>
        <v>NO</v>
      </c>
      <c r="K27" s="5">
        <f>IFERROR(VLOOKUP(Consulta1[[#This Row],[Pozo largo]],Controles!B:H,7,FALSE),"NO")</f>
        <v>0.81600000000000006</v>
      </c>
      <c r="L27" s="5">
        <f>IFERROR(VLOOKUP(Consulta1[[#This Row],[Pozo largo]],Controles!B:J,9,FALSE),"NO")</f>
        <v>0</v>
      </c>
    </row>
    <row r="28" spans="2:12" x14ac:dyDescent="0.35">
      <c r="B28" s="4" t="s">
        <v>72</v>
      </c>
      <c r="C28" s="4" t="s">
        <v>5789</v>
      </c>
      <c r="D28" s="4" t="s">
        <v>5</v>
      </c>
      <c r="E28" s="4" t="s">
        <v>30</v>
      </c>
      <c r="F28" s="4" t="s">
        <v>31</v>
      </c>
      <c r="G28" s="4" t="s">
        <v>32</v>
      </c>
      <c r="H28" s="4" t="s">
        <v>33</v>
      </c>
      <c r="I28" s="5" t="str">
        <f>IFERROR(VLOOKUP(Consulta1[[#This Row],[Pozo largo]],'Lista YPF'!$B$3:$C$358,2,FALSE),"NO")</f>
        <v>NO</v>
      </c>
      <c r="J28" s="5" t="str">
        <f>IFERROR(VLOOKUP(Consulta1[[#This Row],[Pozo]],'Lista Oportunidades'!B:C,2,FALSE),"NO")</f>
        <v>NO</v>
      </c>
      <c r="K28" s="5" t="str">
        <f>IFERROR(VLOOKUP(Consulta1[[#This Row],[Pozo largo]],Controles!B:H,7,FALSE),"NO")</f>
        <v>NO</v>
      </c>
      <c r="L28" s="5" t="str">
        <f>IFERROR(VLOOKUP(Consulta1[[#This Row],[Pozo largo]],Controles!B:J,9,FALSE),"NO")</f>
        <v>NO</v>
      </c>
    </row>
    <row r="29" spans="2:12" x14ac:dyDescent="0.35">
      <c r="B29" s="4" t="s">
        <v>73</v>
      </c>
      <c r="C29" s="4" t="s">
        <v>5790</v>
      </c>
      <c r="D29" s="4" t="s">
        <v>5</v>
      </c>
      <c r="E29" s="4" t="s">
        <v>30</v>
      </c>
      <c r="F29" s="4" t="s">
        <v>31</v>
      </c>
      <c r="G29" s="4" t="s">
        <v>32</v>
      </c>
      <c r="H29" s="4" t="s">
        <v>74</v>
      </c>
      <c r="I29" s="5" t="str">
        <f>IFERROR(VLOOKUP(Consulta1[[#This Row],[Pozo largo]],'Lista YPF'!$B$3:$C$358,2,FALSE),"NO")</f>
        <v>NO</v>
      </c>
      <c r="J29" s="5" t="str">
        <f>IFERROR(VLOOKUP(Consulta1[[#This Row],[Pozo]],'Lista Oportunidades'!B:C,2,FALSE),"NO")</f>
        <v>NO</v>
      </c>
      <c r="K29" s="5" t="str">
        <f>IFERROR(VLOOKUP(Consulta1[[#This Row],[Pozo largo]],Controles!B:H,7,FALSE),"NO")</f>
        <v>NO</v>
      </c>
      <c r="L29" s="5" t="str">
        <f>IFERROR(VLOOKUP(Consulta1[[#This Row],[Pozo largo]],Controles!B:J,9,FALSE),"NO")</f>
        <v>NO</v>
      </c>
    </row>
    <row r="30" spans="2:12" x14ac:dyDescent="0.35">
      <c r="B30" s="4" t="s">
        <v>75</v>
      </c>
      <c r="C30" s="4" t="s">
        <v>5791</v>
      </c>
      <c r="D30" s="4" t="s">
        <v>5</v>
      </c>
      <c r="E30" s="4" t="s">
        <v>76</v>
      </c>
      <c r="F30" s="4" t="s">
        <v>31</v>
      </c>
      <c r="G30" s="4" t="s">
        <v>13</v>
      </c>
      <c r="H30" s="4" t="s">
        <v>77</v>
      </c>
      <c r="I30" s="5" t="str">
        <f>IFERROR(VLOOKUP(Consulta1[[#This Row],[Pozo largo]],'Lista YPF'!$B$3:$C$358,2,FALSE),"NO")</f>
        <v>NO</v>
      </c>
      <c r="J30" s="5" t="str">
        <f>IFERROR(VLOOKUP(Consulta1[[#This Row],[Pozo]],'Lista Oportunidades'!B:C,2,FALSE),"NO")</f>
        <v>NO</v>
      </c>
      <c r="K30" s="5" t="str">
        <f>IFERROR(VLOOKUP(Consulta1[[#This Row],[Pozo largo]],Controles!B:H,7,FALSE),"NO")</f>
        <v>NO</v>
      </c>
      <c r="L30" s="5" t="str">
        <f>IFERROR(VLOOKUP(Consulta1[[#This Row],[Pozo largo]],Controles!B:J,9,FALSE),"NO")</f>
        <v>NO</v>
      </c>
    </row>
    <row r="31" spans="2:12" x14ac:dyDescent="0.35">
      <c r="B31" s="4" t="s">
        <v>78</v>
      </c>
      <c r="C31" s="4" t="s">
        <v>5792</v>
      </c>
      <c r="D31" s="4" t="s">
        <v>5</v>
      </c>
      <c r="E31" s="4" t="s">
        <v>24</v>
      </c>
      <c r="F31" s="4" t="s">
        <v>25</v>
      </c>
      <c r="G31" s="4" t="s">
        <v>8</v>
      </c>
      <c r="H31" s="4" t="s">
        <v>80</v>
      </c>
      <c r="I31" s="5" t="str">
        <f>IFERROR(VLOOKUP(Consulta1[[#This Row],[Pozo largo]],'Lista YPF'!$B$3:$C$358,2,FALSE),"NO")</f>
        <v>NO</v>
      </c>
      <c r="J31" s="5" t="str">
        <f>IFERROR(VLOOKUP(Consulta1[[#This Row],[Pozo]],'Lista Oportunidades'!B:C,2,FALSE),"NO")</f>
        <v>NO</v>
      </c>
      <c r="K31" s="5">
        <f>IFERROR(VLOOKUP(Consulta1[[#This Row],[Pozo largo]],Controles!B:H,7,FALSE),"NO")</f>
        <v>0.45500000000000002</v>
      </c>
      <c r="L31" s="5">
        <f>IFERROR(VLOOKUP(Consulta1[[#This Row],[Pozo largo]],Controles!B:J,9,FALSE),"NO")</f>
        <v>0</v>
      </c>
    </row>
    <row r="32" spans="2:12" x14ac:dyDescent="0.35">
      <c r="B32" s="4" t="s">
        <v>81</v>
      </c>
      <c r="C32" s="4" t="s">
        <v>5793</v>
      </c>
      <c r="D32" s="4" t="s">
        <v>5</v>
      </c>
      <c r="E32" s="4" t="s">
        <v>12</v>
      </c>
      <c r="F32" s="4" t="s">
        <v>83</v>
      </c>
      <c r="G32" s="4" t="s">
        <v>13</v>
      </c>
      <c r="H32" s="4" t="s">
        <v>84</v>
      </c>
      <c r="I32" s="5" t="str">
        <f>IFERROR(VLOOKUP(Consulta1[[#This Row],[Pozo largo]],'Lista YPF'!$B$3:$C$358,2,FALSE),"NO")</f>
        <v>NO</v>
      </c>
      <c r="J32" s="5" t="str">
        <f>IFERROR(VLOOKUP(Consulta1[[#This Row],[Pozo]],'Lista Oportunidades'!B:C,2,FALSE),"NO")</f>
        <v>NO</v>
      </c>
      <c r="K32" s="5">
        <f>IFERROR(VLOOKUP(Consulta1[[#This Row],[Pozo largo]],Controles!B:H,7,FALSE),"NO")</f>
        <v>1.9320000000000002</v>
      </c>
      <c r="L32" s="5">
        <f>IFERROR(VLOOKUP(Consulta1[[#This Row],[Pozo largo]],Controles!B:J,9,FALSE),"NO")</f>
        <v>0</v>
      </c>
    </row>
    <row r="33" spans="2:12" x14ac:dyDescent="0.35">
      <c r="B33" s="4" t="s">
        <v>85</v>
      </c>
      <c r="C33" s="4" t="s">
        <v>5794</v>
      </c>
      <c r="D33" s="4" t="s">
        <v>5</v>
      </c>
      <c r="E33" s="4" t="s">
        <v>30</v>
      </c>
      <c r="F33" s="4" t="s">
        <v>31</v>
      </c>
      <c r="G33" s="4" t="s">
        <v>32</v>
      </c>
      <c r="H33" s="4" t="s">
        <v>86</v>
      </c>
      <c r="I33" s="5" t="str">
        <f>IFERROR(VLOOKUP(Consulta1[[#This Row],[Pozo largo]],'Lista YPF'!$B$3:$C$358,2,FALSE),"NO")</f>
        <v>NO</v>
      </c>
      <c r="J33" s="5" t="str">
        <f>IFERROR(VLOOKUP(Consulta1[[#This Row],[Pozo]],'Lista Oportunidades'!B:C,2,FALSE),"NO")</f>
        <v>NO</v>
      </c>
      <c r="K33" s="5" t="str">
        <f>IFERROR(VLOOKUP(Consulta1[[#This Row],[Pozo largo]],Controles!B:H,7,FALSE),"NO")</f>
        <v>NO</v>
      </c>
      <c r="L33" s="5" t="str">
        <f>IFERROR(VLOOKUP(Consulta1[[#This Row],[Pozo largo]],Controles!B:J,9,FALSE),"NO")</f>
        <v>NO</v>
      </c>
    </row>
    <row r="34" spans="2:12" x14ac:dyDescent="0.35">
      <c r="B34" s="4" t="s">
        <v>87</v>
      </c>
      <c r="C34" s="4" t="s">
        <v>5795</v>
      </c>
      <c r="D34" s="4" t="s">
        <v>5</v>
      </c>
      <c r="E34" s="4" t="s">
        <v>12</v>
      </c>
      <c r="F34" s="4" t="s">
        <v>7</v>
      </c>
      <c r="G34" s="4" t="s">
        <v>13</v>
      </c>
      <c r="H34" s="4" t="s">
        <v>84</v>
      </c>
      <c r="I34" s="5" t="str">
        <f>IFERROR(VLOOKUP(Consulta1[[#This Row],[Pozo largo]],'Lista YPF'!$B$3:$C$358,2,FALSE),"NO")</f>
        <v>NO</v>
      </c>
      <c r="J34" s="5" t="str">
        <f>IFERROR(VLOOKUP(Consulta1[[#This Row],[Pozo]],'Lista Oportunidades'!B:C,2,FALSE),"NO")</f>
        <v>NO</v>
      </c>
      <c r="K34" s="5">
        <f>IFERROR(VLOOKUP(Consulta1[[#This Row],[Pozo largo]],Controles!B:H,7,FALSE),"NO")</f>
        <v>1.222</v>
      </c>
      <c r="L34" s="5">
        <f>IFERROR(VLOOKUP(Consulta1[[#This Row],[Pozo largo]],Controles!B:J,9,FALSE),"NO")</f>
        <v>0</v>
      </c>
    </row>
    <row r="35" spans="2:12" x14ac:dyDescent="0.35">
      <c r="B35" s="4" t="s">
        <v>89</v>
      </c>
      <c r="C35" s="4" t="s">
        <v>5796</v>
      </c>
      <c r="D35" s="4" t="s">
        <v>5</v>
      </c>
      <c r="E35" s="4" t="s">
        <v>30</v>
      </c>
      <c r="F35" s="4" t="s">
        <v>31</v>
      </c>
      <c r="G35" s="4" t="s">
        <v>32</v>
      </c>
      <c r="I35" s="5" t="str">
        <f>IFERROR(VLOOKUP(Consulta1[[#This Row],[Pozo largo]],'Lista YPF'!$B$3:$C$358,2,FALSE),"NO")</f>
        <v>NO</v>
      </c>
      <c r="J35" s="5" t="str">
        <f>IFERROR(VLOOKUP(Consulta1[[#This Row],[Pozo]],'Lista Oportunidades'!B:C,2,FALSE),"NO")</f>
        <v>NO</v>
      </c>
      <c r="K35" s="5" t="str">
        <f>IFERROR(VLOOKUP(Consulta1[[#This Row],[Pozo largo]],Controles!B:H,7,FALSE),"NO")</f>
        <v>NO</v>
      </c>
      <c r="L35" s="5" t="str">
        <f>IFERROR(VLOOKUP(Consulta1[[#This Row],[Pozo largo]],Controles!B:J,9,FALSE),"NO")</f>
        <v>NO</v>
      </c>
    </row>
    <row r="36" spans="2:12" x14ac:dyDescent="0.35">
      <c r="B36" s="4" t="s">
        <v>90</v>
      </c>
      <c r="C36" s="4" t="s">
        <v>5797</v>
      </c>
      <c r="D36" s="4" t="s">
        <v>5</v>
      </c>
      <c r="E36" s="4" t="s">
        <v>30</v>
      </c>
      <c r="F36" s="4" t="s">
        <v>31</v>
      </c>
      <c r="G36" s="4" t="s">
        <v>32</v>
      </c>
      <c r="H36" s="4" t="s">
        <v>91</v>
      </c>
      <c r="I36" s="5" t="str">
        <f>IFERROR(VLOOKUP(Consulta1[[#This Row],[Pozo largo]],'Lista YPF'!$B$3:$C$358,2,FALSE),"NO")</f>
        <v>NO</v>
      </c>
      <c r="J36" s="5" t="str">
        <f>IFERROR(VLOOKUP(Consulta1[[#This Row],[Pozo]],'Lista Oportunidades'!B:C,2,FALSE),"NO")</f>
        <v>NO</v>
      </c>
      <c r="K36" s="5" t="str">
        <f>IFERROR(VLOOKUP(Consulta1[[#This Row],[Pozo largo]],Controles!B:H,7,FALSE),"NO")</f>
        <v>NO</v>
      </c>
      <c r="L36" s="5" t="str">
        <f>IFERROR(VLOOKUP(Consulta1[[#This Row],[Pozo largo]],Controles!B:J,9,FALSE),"NO")</f>
        <v>NO</v>
      </c>
    </row>
    <row r="37" spans="2:12" x14ac:dyDescent="0.35">
      <c r="B37" s="4" t="s">
        <v>92</v>
      </c>
      <c r="C37" s="4" t="s">
        <v>5798</v>
      </c>
      <c r="D37" s="4" t="s">
        <v>5</v>
      </c>
      <c r="E37" s="4" t="s">
        <v>24</v>
      </c>
      <c r="F37" s="4" t="s">
        <v>31</v>
      </c>
      <c r="G37" s="4" t="s">
        <v>8</v>
      </c>
      <c r="H37" s="4" t="s">
        <v>86</v>
      </c>
      <c r="I37" s="5" t="str">
        <f>IFERROR(VLOOKUP(Consulta1[[#This Row],[Pozo largo]],'Lista YPF'!$B$3:$C$358,2,FALSE),"NO")</f>
        <v>NO</v>
      </c>
      <c r="J37" s="5" t="str">
        <f>IFERROR(VLOOKUP(Consulta1[[#This Row],[Pozo]],'Lista Oportunidades'!B:C,2,FALSE),"NO")</f>
        <v>NO</v>
      </c>
      <c r="K37" s="5" t="str">
        <f>IFERROR(VLOOKUP(Consulta1[[#This Row],[Pozo largo]],Controles!B:H,7,FALSE),"NO")</f>
        <v>NO</v>
      </c>
      <c r="L37" s="5" t="str">
        <f>IFERROR(VLOOKUP(Consulta1[[#This Row],[Pozo largo]],Controles!B:J,9,FALSE),"NO")</f>
        <v>NO</v>
      </c>
    </row>
    <row r="38" spans="2:12" x14ac:dyDescent="0.35">
      <c r="B38" s="4" t="s">
        <v>93</v>
      </c>
      <c r="C38" s="4" t="s">
        <v>5799</v>
      </c>
      <c r="D38" s="4" t="s">
        <v>5</v>
      </c>
      <c r="E38" s="4" t="s">
        <v>30</v>
      </c>
      <c r="F38" s="4" t="s">
        <v>31</v>
      </c>
      <c r="G38" s="4" t="s">
        <v>32</v>
      </c>
      <c r="H38" s="4" t="s">
        <v>86</v>
      </c>
      <c r="I38" s="5" t="str">
        <f>IFERROR(VLOOKUP(Consulta1[[#This Row],[Pozo largo]],'Lista YPF'!$B$3:$C$358,2,FALSE),"NO")</f>
        <v>NO</v>
      </c>
      <c r="J38" s="5" t="str">
        <f>IFERROR(VLOOKUP(Consulta1[[#This Row],[Pozo]],'Lista Oportunidades'!B:C,2,FALSE),"NO")</f>
        <v>NO</v>
      </c>
      <c r="K38" s="5" t="str">
        <f>IFERROR(VLOOKUP(Consulta1[[#This Row],[Pozo largo]],Controles!B:H,7,FALSE),"NO")</f>
        <v>NO</v>
      </c>
      <c r="L38" s="5" t="str">
        <f>IFERROR(VLOOKUP(Consulta1[[#This Row],[Pozo largo]],Controles!B:J,9,FALSE),"NO")</f>
        <v>NO</v>
      </c>
    </row>
    <row r="39" spans="2:12" x14ac:dyDescent="0.35">
      <c r="B39" s="4" t="s">
        <v>94</v>
      </c>
      <c r="C39" s="4" t="s">
        <v>5800</v>
      </c>
      <c r="D39" s="4" t="s">
        <v>5</v>
      </c>
      <c r="E39" s="4" t="s">
        <v>30</v>
      </c>
      <c r="F39" s="4" t="s">
        <v>31</v>
      </c>
      <c r="G39" s="4" t="s">
        <v>32</v>
      </c>
      <c r="H39" s="4" t="s">
        <v>86</v>
      </c>
      <c r="I39" s="5" t="str">
        <f>IFERROR(VLOOKUP(Consulta1[[#This Row],[Pozo largo]],'Lista YPF'!$B$3:$C$358,2,FALSE),"NO")</f>
        <v>NO</v>
      </c>
      <c r="J39" s="5" t="str">
        <f>IFERROR(VLOOKUP(Consulta1[[#This Row],[Pozo]],'Lista Oportunidades'!B:C,2,FALSE),"NO")</f>
        <v>NO</v>
      </c>
      <c r="K39" s="5">
        <f>IFERROR(VLOOKUP(Consulta1[[#This Row],[Pozo largo]],Controles!B:H,7,FALSE),"NO")</f>
        <v>0.183</v>
      </c>
      <c r="L39" s="5">
        <f>IFERROR(VLOOKUP(Consulta1[[#This Row],[Pozo largo]],Controles!B:J,9,FALSE),"NO")</f>
        <v>0</v>
      </c>
    </row>
    <row r="40" spans="2:12" x14ac:dyDescent="0.35">
      <c r="B40" s="4" t="s">
        <v>96</v>
      </c>
      <c r="C40" s="4" t="s">
        <v>5801</v>
      </c>
      <c r="D40" s="4" t="s">
        <v>5</v>
      </c>
      <c r="E40" s="4" t="s">
        <v>57</v>
      </c>
      <c r="F40" s="4" t="s">
        <v>31</v>
      </c>
      <c r="G40" s="4" t="s">
        <v>5718</v>
      </c>
      <c r="H40" s="4" t="s">
        <v>71</v>
      </c>
      <c r="I40" s="5" t="str">
        <f>IFERROR(VLOOKUP(Consulta1[[#This Row],[Pozo largo]],'Lista YPF'!$B$3:$C$358,2,FALSE),"NO")</f>
        <v>En lista de Abandono</v>
      </c>
      <c r="J40" s="5" t="str">
        <f>IFERROR(VLOOKUP(Consulta1[[#This Row],[Pozo]],'Lista Oportunidades'!B:C,2,FALSE),"NO")</f>
        <v>NO</v>
      </c>
      <c r="K40" s="5">
        <f>IFERROR(VLOOKUP(Consulta1[[#This Row],[Pozo largo]],Controles!B:H,7,FALSE),"NO")</f>
        <v>1.08</v>
      </c>
      <c r="L40" s="5">
        <f>IFERROR(VLOOKUP(Consulta1[[#This Row],[Pozo largo]],Controles!B:J,9,FALSE),"NO")</f>
        <v>0</v>
      </c>
    </row>
    <row r="41" spans="2:12" x14ac:dyDescent="0.35">
      <c r="B41" s="4" t="s">
        <v>98</v>
      </c>
      <c r="C41" s="4" t="s">
        <v>5802</v>
      </c>
      <c r="D41" s="4" t="s">
        <v>5</v>
      </c>
      <c r="E41" s="4" t="s">
        <v>6</v>
      </c>
      <c r="F41" s="4" t="s">
        <v>25</v>
      </c>
      <c r="G41" s="4" t="s">
        <v>11386</v>
      </c>
      <c r="H41" s="4" t="s">
        <v>21</v>
      </c>
      <c r="I41" s="5" t="str">
        <f>IFERROR(VLOOKUP(Consulta1[[#This Row],[Pozo largo]],'Lista YPF'!$B$3:$C$358,2,FALSE),"NO")</f>
        <v>NO</v>
      </c>
      <c r="J41" s="5" t="str">
        <f>IFERROR(VLOOKUP(Consulta1[[#This Row],[Pozo]],'Lista Oportunidades'!B:C,2,FALSE),"NO")</f>
        <v>NO</v>
      </c>
      <c r="K41" s="5">
        <f>IFERROR(VLOOKUP(Consulta1[[#This Row],[Pozo largo]],Controles!B:H,7,FALSE),"NO")</f>
        <v>9.6000000000000002E-2</v>
      </c>
      <c r="L41" s="5" t="str">
        <f>IFERROR(VLOOKUP(Consulta1[[#This Row],[Pozo largo]],Controles!B:J,9,FALSE),"NO")</f>
        <v>Ultimos 6 meses</v>
      </c>
    </row>
    <row r="42" spans="2:12" x14ac:dyDescent="0.35">
      <c r="B42" s="4" t="s">
        <v>100</v>
      </c>
      <c r="C42" s="4" t="s">
        <v>5803</v>
      </c>
      <c r="D42" s="4" t="s">
        <v>5</v>
      </c>
      <c r="E42" s="4" t="s">
        <v>30</v>
      </c>
      <c r="F42" s="4" t="s">
        <v>31</v>
      </c>
      <c r="G42" s="4" t="s">
        <v>32</v>
      </c>
      <c r="H42" s="4" t="s">
        <v>66</v>
      </c>
      <c r="I42" s="5" t="str">
        <f>IFERROR(VLOOKUP(Consulta1[[#This Row],[Pozo largo]],'Lista YPF'!$B$3:$C$358,2,FALSE),"NO")</f>
        <v>NO</v>
      </c>
      <c r="J42" s="5" t="str">
        <f>IFERROR(VLOOKUP(Consulta1[[#This Row],[Pozo]],'Lista Oportunidades'!B:C,2,FALSE),"NO")</f>
        <v>NO</v>
      </c>
      <c r="K42" s="5">
        <f>IFERROR(VLOOKUP(Consulta1[[#This Row],[Pozo largo]],Controles!B:H,7,FALSE),"NO")</f>
        <v>0.91</v>
      </c>
      <c r="L42" s="5">
        <f>IFERROR(VLOOKUP(Consulta1[[#This Row],[Pozo largo]],Controles!B:J,9,FALSE),"NO")</f>
        <v>0</v>
      </c>
    </row>
    <row r="43" spans="2:12" x14ac:dyDescent="0.35">
      <c r="B43" s="4" t="s">
        <v>102</v>
      </c>
      <c r="C43" s="4" t="s">
        <v>5804</v>
      </c>
      <c r="D43" s="4" t="s">
        <v>5</v>
      </c>
      <c r="E43" s="4" t="s">
        <v>12</v>
      </c>
      <c r="F43" s="4" t="s">
        <v>7</v>
      </c>
      <c r="G43" s="4" t="s">
        <v>13</v>
      </c>
      <c r="H43" s="4" t="s">
        <v>80</v>
      </c>
      <c r="I43" s="5" t="str">
        <f>IFERROR(VLOOKUP(Consulta1[[#This Row],[Pozo largo]],'Lista YPF'!$B$3:$C$358,2,FALSE),"NO")</f>
        <v>NO</v>
      </c>
      <c r="J43" s="5" t="str">
        <f>IFERROR(VLOOKUP(Consulta1[[#This Row],[Pozo]],'Lista Oportunidades'!B:C,2,FALSE),"NO")</f>
        <v>NO</v>
      </c>
      <c r="K43" s="5">
        <f>IFERROR(VLOOKUP(Consulta1[[#This Row],[Pozo largo]],Controles!B:H,7,FALSE),"NO")</f>
        <v>0.8</v>
      </c>
      <c r="L43" s="5">
        <f>IFERROR(VLOOKUP(Consulta1[[#This Row],[Pozo largo]],Controles!B:J,9,FALSE),"NO")</f>
        <v>0</v>
      </c>
    </row>
    <row r="44" spans="2:12" x14ac:dyDescent="0.35">
      <c r="B44" s="4" t="s">
        <v>104</v>
      </c>
      <c r="C44" s="4" t="s">
        <v>5805</v>
      </c>
      <c r="D44" s="4" t="s">
        <v>5</v>
      </c>
      <c r="E44" s="4" t="s">
        <v>6</v>
      </c>
      <c r="F44" s="4" t="s">
        <v>7</v>
      </c>
      <c r="G44" s="4" t="s">
        <v>11386</v>
      </c>
      <c r="H44" s="4" t="s">
        <v>9</v>
      </c>
      <c r="I44" s="5" t="str">
        <f>IFERROR(VLOOKUP(Consulta1[[#This Row],[Pozo largo]],'Lista YPF'!$B$3:$C$358,2,FALSE),"NO")</f>
        <v>NO</v>
      </c>
      <c r="J44" s="5" t="str">
        <f>IFERROR(VLOOKUP(Consulta1[[#This Row],[Pozo]],'Lista Oportunidades'!B:C,2,FALSE),"NO")</f>
        <v>NO</v>
      </c>
      <c r="K44" s="5">
        <f>IFERROR(VLOOKUP(Consulta1[[#This Row],[Pozo largo]],Controles!B:H,7,FALSE),"NO")</f>
        <v>1.1000000000000001</v>
      </c>
      <c r="L44" s="5" t="str">
        <f>IFERROR(VLOOKUP(Consulta1[[#This Row],[Pozo largo]],Controles!B:J,9,FALSE),"NO")</f>
        <v>Ultimos 6 meses</v>
      </c>
    </row>
    <row r="45" spans="2:12" x14ac:dyDescent="0.35">
      <c r="B45" s="4" t="s">
        <v>106</v>
      </c>
      <c r="C45" s="4" t="s">
        <v>5806</v>
      </c>
      <c r="D45" s="4" t="s">
        <v>5</v>
      </c>
      <c r="E45" s="4" t="s">
        <v>12</v>
      </c>
      <c r="F45" s="4" t="s">
        <v>7</v>
      </c>
      <c r="G45" s="4" t="s">
        <v>13</v>
      </c>
      <c r="H45" s="4" t="s">
        <v>9</v>
      </c>
      <c r="I45" s="5" t="str">
        <f>IFERROR(VLOOKUP(Consulta1[[#This Row],[Pozo largo]],'Lista YPF'!$B$3:$C$358,2,FALSE),"NO")</f>
        <v>NO</v>
      </c>
      <c r="J45" s="5" t="str">
        <f>IFERROR(VLOOKUP(Consulta1[[#This Row],[Pozo]],'Lista Oportunidades'!B:C,2,FALSE),"NO")</f>
        <v>NO</v>
      </c>
      <c r="K45" s="5">
        <f>IFERROR(VLOOKUP(Consulta1[[#This Row],[Pozo largo]],Controles!B:H,7,FALSE),"NO")</f>
        <v>0.72</v>
      </c>
      <c r="L45" s="5">
        <f>IFERROR(VLOOKUP(Consulta1[[#This Row],[Pozo largo]],Controles!B:J,9,FALSE),"NO")</f>
        <v>0</v>
      </c>
    </row>
    <row r="46" spans="2:12" x14ac:dyDescent="0.35">
      <c r="B46" s="4" t="s">
        <v>108</v>
      </c>
      <c r="C46" s="4" t="s">
        <v>5807</v>
      </c>
      <c r="D46" s="4" t="s">
        <v>5</v>
      </c>
      <c r="E46" s="4" t="s">
        <v>12</v>
      </c>
      <c r="F46" s="4" t="s">
        <v>28</v>
      </c>
      <c r="G46" s="4" t="s">
        <v>13</v>
      </c>
      <c r="H46" s="4" t="s">
        <v>9</v>
      </c>
      <c r="I46" s="5" t="str">
        <f>IFERROR(VLOOKUP(Consulta1[[#This Row],[Pozo largo]],'Lista YPF'!$B$3:$C$358,2,FALSE),"NO")</f>
        <v>NO</v>
      </c>
      <c r="J46" s="5" t="str">
        <f>IFERROR(VLOOKUP(Consulta1[[#This Row],[Pozo]],'Lista Oportunidades'!B:C,2,FALSE),"NO")</f>
        <v>NO</v>
      </c>
      <c r="K46" s="5">
        <f>IFERROR(VLOOKUP(Consulta1[[#This Row],[Pozo largo]],Controles!B:H,7,FALSE),"NO")</f>
        <v>0</v>
      </c>
      <c r="L46" s="5">
        <f>IFERROR(VLOOKUP(Consulta1[[#This Row],[Pozo largo]],Controles!B:J,9,FALSE),"NO")</f>
        <v>0</v>
      </c>
    </row>
    <row r="47" spans="2:12" x14ac:dyDescent="0.35">
      <c r="B47" s="4" t="s">
        <v>110</v>
      </c>
      <c r="C47" s="4" t="s">
        <v>5808</v>
      </c>
      <c r="D47" s="4" t="s">
        <v>5</v>
      </c>
      <c r="E47" s="4" t="s">
        <v>24</v>
      </c>
      <c r="F47" s="4" t="s">
        <v>7</v>
      </c>
      <c r="G47" s="4" t="s">
        <v>8</v>
      </c>
      <c r="H47" s="4" t="s">
        <v>33</v>
      </c>
      <c r="I47" s="5" t="str">
        <f>IFERROR(VLOOKUP(Consulta1[[#This Row],[Pozo largo]],'Lista YPF'!$B$3:$C$358,2,FALSE),"NO")</f>
        <v>NO</v>
      </c>
      <c r="J47" s="5" t="str">
        <f>IFERROR(VLOOKUP(Consulta1[[#This Row],[Pozo]],'Lista Oportunidades'!B:C,2,FALSE),"NO")</f>
        <v>NO</v>
      </c>
      <c r="K47" s="5">
        <f>IFERROR(VLOOKUP(Consulta1[[#This Row],[Pozo largo]],Controles!B:H,7,FALSE),"NO")</f>
        <v>0.16500000000000001</v>
      </c>
      <c r="L47" s="5">
        <f>IFERROR(VLOOKUP(Consulta1[[#This Row],[Pozo largo]],Controles!B:J,9,FALSE),"NO")</f>
        <v>0</v>
      </c>
    </row>
    <row r="48" spans="2:12" x14ac:dyDescent="0.35">
      <c r="B48" s="4" t="s">
        <v>112</v>
      </c>
      <c r="C48" s="4" t="s">
        <v>5809</v>
      </c>
      <c r="D48" s="4" t="s">
        <v>5</v>
      </c>
      <c r="E48" s="4" t="s">
        <v>12</v>
      </c>
      <c r="F48" s="4" t="s">
        <v>7</v>
      </c>
      <c r="G48" s="4" t="s">
        <v>13</v>
      </c>
      <c r="H48" s="4" t="s">
        <v>86</v>
      </c>
      <c r="I48" s="5" t="str">
        <f>IFERROR(VLOOKUP(Consulta1[[#This Row],[Pozo largo]],'Lista YPF'!$B$3:$C$358,2,FALSE),"NO")</f>
        <v>NO</v>
      </c>
      <c r="J48" s="5" t="str">
        <f>IFERROR(VLOOKUP(Consulta1[[#This Row],[Pozo]],'Lista Oportunidades'!B:C,2,FALSE),"NO")</f>
        <v>NO</v>
      </c>
      <c r="K48" s="5">
        <f>IFERROR(VLOOKUP(Consulta1[[#This Row],[Pozo largo]],Controles!B:H,7,FALSE),"NO")</f>
        <v>0.25</v>
      </c>
      <c r="L48" s="5">
        <f>IFERROR(VLOOKUP(Consulta1[[#This Row],[Pozo largo]],Controles!B:J,9,FALSE),"NO")</f>
        <v>0</v>
      </c>
    </row>
    <row r="49" spans="2:12" x14ac:dyDescent="0.35">
      <c r="B49" s="4" t="s">
        <v>114</v>
      </c>
      <c r="C49" s="4" t="s">
        <v>5810</v>
      </c>
      <c r="D49" s="4" t="s">
        <v>5</v>
      </c>
      <c r="E49" s="4" t="s">
        <v>12</v>
      </c>
      <c r="F49" s="4" t="s">
        <v>7</v>
      </c>
      <c r="G49" s="4" t="s">
        <v>13</v>
      </c>
      <c r="H49" s="4" t="s">
        <v>9</v>
      </c>
      <c r="I49" s="5" t="str">
        <f>IFERROR(VLOOKUP(Consulta1[[#This Row],[Pozo largo]],'Lista YPF'!$B$3:$C$358,2,FALSE),"NO")</f>
        <v>NO</v>
      </c>
      <c r="J49" s="5" t="str">
        <f>IFERROR(VLOOKUP(Consulta1[[#This Row],[Pozo]],'Lista Oportunidades'!B:C,2,FALSE),"NO")</f>
        <v>NO</v>
      </c>
      <c r="K49" s="5">
        <f>IFERROR(VLOOKUP(Consulta1[[#This Row],[Pozo largo]],Controles!B:H,7,FALSE),"NO")</f>
        <v>0.9</v>
      </c>
      <c r="L49" s="5">
        <f>IFERROR(VLOOKUP(Consulta1[[#This Row],[Pozo largo]],Controles!B:J,9,FALSE),"NO")</f>
        <v>0</v>
      </c>
    </row>
    <row r="50" spans="2:12" x14ac:dyDescent="0.35">
      <c r="B50" s="4" t="s">
        <v>116</v>
      </c>
      <c r="C50" s="4" t="s">
        <v>5811</v>
      </c>
      <c r="D50" s="4" t="s">
        <v>5</v>
      </c>
      <c r="E50" s="4" t="s">
        <v>12</v>
      </c>
      <c r="F50" s="4" t="s">
        <v>25</v>
      </c>
      <c r="G50" s="4" t="s">
        <v>13</v>
      </c>
      <c r="H50" s="4" t="s">
        <v>86</v>
      </c>
      <c r="I50" s="5" t="str">
        <f>IFERROR(VLOOKUP(Consulta1[[#This Row],[Pozo largo]],'Lista YPF'!$B$3:$C$358,2,FALSE),"NO")</f>
        <v>NO</v>
      </c>
      <c r="J50" s="5" t="str">
        <f>IFERROR(VLOOKUP(Consulta1[[#This Row],[Pozo]],'Lista Oportunidades'!B:C,2,FALSE),"NO")</f>
        <v>NO</v>
      </c>
      <c r="K50" s="5">
        <f>IFERROR(VLOOKUP(Consulta1[[#This Row],[Pozo largo]],Controles!B:H,7,FALSE),"NO")</f>
        <v>0.12300000000000001</v>
      </c>
      <c r="L50" s="5">
        <f>IFERROR(VLOOKUP(Consulta1[[#This Row],[Pozo largo]],Controles!B:J,9,FALSE),"NO")</f>
        <v>0</v>
      </c>
    </row>
    <row r="51" spans="2:12" x14ac:dyDescent="0.35">
      <c r="B51" s="4" t="s">
        <v>118</v>
      </c>
      <c r="C51" s="4" t="s">
        <v>5812</v>
      </c>
      <c r="D51" s="4" t="s">
        <v>5</v>
      </c>
      <c r="E51" s="4" t="s">
        <v>30</v>
      </c>
      <c r="F51" s="4" t="s">
        <v>31</v>
      </c>
      <c r="G51" s="4" t="s">
        <v>32</v>
      </c>
      <c r="H51" s="4" t="s">
        <v>91</v>
      </c>
      <c r="I51" s="5" t="str">
        <f>IFERROR(VLOOKUP(Consulta1[[#This Row],[Pozo largo]],'Lista YPF'!$B$3:$C$358,2,FALSE),"NO")</f>
        <v>NO</v>
      </c>
      <c r="J51" s="5" t="str">
        <f>IFERROR(VLOOKUP(Consulta1[[#This Row],[Pozo]],'Lista Oportunidades'!B:C,2,FALSE),"NO")</f>
        <v>NO</v>
      </c>
      <c r="K51" s="5" t="str">
        <f>IFERROR(VLOOKUP(Consulta1[[#This Row],[Pozo largo]],Controles!B:H,7,FALSE),"NO")</f>
        <v>NO</v>
      </c>
      <c r="L51" s="5" t="str">
        <f>IFERROR(VLOOKUP(Consulta1[[#This Row],[Pozo largo]],Controles!B:J,9,FALSE),"NO")</f>
        <v>NO</v>
      </c>
    </row>
    <row r="52" spans="2:12" x14ac:dyDescent="0.35">
      <c r="B52" s="4" t="s">
        <v>119</v>
      </c>
      <c r="C52" s="4" t="s">
        <v>5813</v>
      </c>
      <c r="D52" s="4" t="s">
        <v>5</v>
      </c>
      <c r="E52" s="4" t="s">
        <v>12</v>
      </c>
      <c r="F52" s="4" t="s">
        <v>28</v>
      </c>
      <c r="G52" s="4" t="s">
        <v>13</v>
      </c>
      <c r="H52" s="4" t="s">
        <v>91</v>
      </c>
      <c r="I52" s="5" t="str">
        <f>IFERROR(VLOOKUP(Consulta1[[#This Row],[Pozo largo]],'Lista YPF'!$B$3:$C$358,2,FALSE),"NO")</f>
        <v>NO</v>
      </c>
      <c r="J52" s="5" t="str">
        <f>IFERROR(VLOOKUP(Consulta1[[#This Row],[Pozo]],'Lista Oportunidades'!B:C,2,FALSE),"NO")</f>
        <v>NO</v>
      </c>
      <c r="K52" s="5">
        <f>IFERROR(VLOOKUP(Consulta1[[#This Row],[Pozo largo]],Controles!B:H,7,FALSE),"NO")</f>
        <v>0</v>
      </c>
      <c r="L52" s="5">
        <f>IFERROR(VLOOKUP(Consulta1[[#This Row],[Pozo largo]],Controles!B:J,9,FALSE),"NO")</f>
        <v>0</v>
      </c>
    </row>
    <row r="53" spans="2:12" x14ac:dyDescent="0.35">
      <c r="B53" s="4" t="s">
        <v>121</v>
      </c>
      <c r="C53" s="4" t="s">
        <v>5814</v>
      </c>
      <c r="D53" s="4" t="s">
        <v>5</v>
      </c>
      <c r="E53" s="4" t="s">
        <v>57</v>
      </c>
      <c r="F53" s="4" t="s">
        <v>83</v>
      </c>
      <c r="G53" s="4" t="s">
        <v>5718</v>
      </c>
      <c r="H53" s="4" t="s">
        <v>86</v>
      </c>
      <c r="I53" s="5" t="str">
        <f>IFERROR(VLOOKUP(Consulta1[[#This Row],[Pozo largo]],'Lista YPF'!$B$3:$C$358,2,FALSE),"NO")</f>
        <v>En lista de Abandono</v>
      </c>
      <c r="J53" s="5" t="str">
        <f>IFERROR(VLOOKUP(Consulta1[[#This Row],[Pozo]],'Lista Oportunidades'!B:C,2,FALSE),"NO")</f>
        <v>NO</v>
      </c>
      <c r="K53" s="5">
        <f>IFERROR(VLOOKUP(Consulta1[[#This Row],[Pozo largo]],Controles!B:H,7,FALSE),"NO")</f>
        <v>0.45</v>
      </c>
      <c r="L53" s="5">
        <f>IFERROR(VLOOKUP(Consulta1[[#This Row],[Pozo largo]],Controles!B:J,9,FALSE),"NO")</f>
        <v>0</v>
      </c>
    </row>
    <row r="54" spans="2:12" x14ac:dyDescent="0.35">
      <c r="B54" s="4" t="s">
        <v>123</v>
      </c>
      <c r="C54" s="4" t="s">
        <v>5815</v>
      </c>
      <c r="D54" s="4" t="s">
        <v>5</v>
      </c>
      <c r="E54" s="4" t="s">
        <v>24</v>
      </c>
      <c r="F54" s="4" t="s">
        <v>7</v>
      </c>
      <c r="G54" s="4" t="s">
        <v>8</v>
      </c>
      <c r="H54" s="4" t="s">
        <v>86</v>
      </c>
      <c r="I54" s="5" t="str">
        <f>IFERROR(VLOOKUP(Consulta1[[#This Row],[Pozo largo]],'Lista YPF'!$B$3:$C$358,2,FALSE),"NO")</f>
        <v>NO</v>
      </c>
      <c r="J54" s="5" t="str">
        <f>IFERROR(VLOOKUP(Consulta1[[#This Row],[Pozo]],'Lista Oportunidades'!B:C,2,FALSE),"NO")</f>
        <v>NO</v>
      </c>
      <c r="K54" s="5">
        <f>IFERROR(VLOOKUP(Consulta1[[#This Row],[Pozo largo]],Controles!B:H,7,FALSE),"NO")</f>
        <v>0.24300000000000002</v>
      </c>
      <c r="L54" s="5">
        <f>IFERROR(VLOOKUP(Consulta1[[#This Row],[Pozo largo]],Controles!B:J,9,FALSE),"NO")</f>
        <v>0</v>
      </c>
    </row>
    <row r="55" spans="2:12" x14ac:dyDescent="0.35">
      <c r="B55" s="4" t="s">
        <v>125</v>
      </c>
      <c r="C55" s="4" t="s">
        <v>5816</v>
      </c>
      <c r="D55" s="4" t="s">
        <v>5</v>
      </c>
      <c r="E55" s="4" t="s">
        <v>12</v>
      </c>
      <c r="F55" s="4" t="s">
        <v>7</v>
      </c>
      <c r="G55" s="4" t="s">
        <v>13</v>
      </c>
      <c r="H55" s="4" t="s">
        <v>84</v>
      </c>
      <c r="I55" s="5" t="str">
        <f>IFERROR(VLOOKUP(Consulta1[[#This Row],[Pozo largo]],'Lista YPF'!$B$3:$C$358,2,FALSE),"NO")</f>
        <v>NO</v>
      </c>
      <c r="J55" s="5" t="str">
        <f>IFERROR(VLOOKUP(Consulta1[[#This Row],[Pozo]],'Lista Oportunidades'!B:C,2,FALSE),"NO")</f>
        <v>NO</v>
      </c>
      <c r="K55" s="5">
        <f>IFERROR(VLOOKUP(Consulta1[[#This Row],[Pozo largo]],Controles!B:H,7,FALSE),"NO")</f>
        <v>1.08</v>
      </c>
      <c r="L55" s="5">
        <f>IFERROR(VLOOKUP(Consulta1[[#This Row],[Pozo largo]],Controles!B:J,9,FALSE),"NO")</f>
        <v>0</v>
      </c>
    </row>
    <row r="56" spans="2:12" x14ac:dyDescent="0.35">
      <c r="B56" s="4" t="s">
        <v>127</v>
      </c>
      <c r="C56" s="4" t="s">
        <v>5817</v>
      </c>
      <c r="D56" s="4" t="s">
        <v>5</v>
      </c>
      <c r="E56" s="4" t="s">
        <v>57</v>
      </c>
      <c r="F56" s="4" t="s">
        <v>31</v>
      </c>
      <c r="G56" s="4" t="s">
        <v>11387</v>
      </c>
      <c r="H56" s="4" t="s">
        <v>86</v>
      </c>
      <c r="I56" s="5" t="str">
        <f>IFERROR(VLOOKUP(Consulta1[[#This Row],[Pozo largo]],'Lista YPF'!$B$3:$C$358,2,FALSE),"NO")</f>
        <v>NO</v>
      </c>
      <c r="J56" s="5" t="str">
        <f>IFERROR(VLOOKUP(Consulta1[[#This Row],[Pozo]],'Lista Oportunidades'!B:C,2,FALSE),"NO")</f>
        <v>NO</v>
      </c>
      <c r="K56" s="5">
        <f>IFERROR(VLOOKUP(Consulta1[[#This Row],[Pozo largo]],Controles!B:H,7,FALSE),"NO")</f>
        <v>1.425</v>
      </c>
      <c r="L56" s="5" t="str">
        <f>IFERROR(VLOOKUP(Consulta1[[#This Row],[Pozo largo]],Controles!B:J,9,FALSE),"NO")</f>
        <v>Ultimo Año</v>
      </c>
    </row>
    <row r="57" spans="2:12" x14ac:dyDescent="0.35">
      <c r="B57" s="4" t="s">
        <v>129</v>
      </c>
      <c r="C57" s="4" t="s">
        <v>5818</v>
      </c>
      <c r="D57" s="4" t="s">
        <v>5</v>
      </c>
      <c r="E57" s="4" t="s">
        <v>12</v>
      </c>
      <c r="F57" s="4" t="s">
        <v>83</v>
      </c>
      <c r="G57" s="4" t="s">
        <v>13</v>
      </c>
      <c r="H57" s="4" t="s">
        <v>86</v>
      </c>
      <c r="I57" s="5" t="str">
        <f>IFERROR(VLOOKUP(Consulta1[[#This Row],[Pozo largo]],'Lista YPF'!$B$3:$C$358,2,FALSE),"NO")</f>
        <v>NO</v>
      </c>
      <c r="J57" s="5" t="str">
        <f>IFERROR(VLOOKUP(Consulta1[[#This Row],[Pozo]],'Lista Oportunidades'!B:C,2,FALSE),"NO")</f>
        <v>NO</v>
      </c>
      <c r="K57" s="5">
        <f>IFERROR(VLOOKUP(Consulta1[[#This Row],[Pozo largo]],Controles!B:H,7,FALSE),"NO")</f>
        <v>0.73099999999999998</v>
      </c>
      <c r="L57" s="5">
        <f>IFERROR(VLOOKUP(Consulta1[[#This Row],[Pozo largo]],Controles!B:J,9,FALSE),"NO")</f>
        <v>0</v>
      </c>
    </row>
    <row r="58" spans="2:12" x14ac:dyDescent="0.35">
      <c r="B58" s="4" t="s">
        <v>131</v>
      </c>
      <c r="C58" s="4" t="s">
        <v>5819</v>
      </c>
      <c r="D58" s="4" t="s">
        <v>5</v>
      </c>
      <c r="E58" s="4" t="s">
        <v>30</v>
      </c>
      <c r="F58" s="4" t="s">
        <v>31</v>
      </c>
      <c r="G58" s="4" t="s">
        <v>32</v>
      </c>
      <c r="H58" s="4" t="s">
        <v>86</v>
      </c>
      <c r="I58" s="5" t="str">
        <f>IFERROR(VLOOKUP(Consulta1[[#This Row],[Pozo largo]],'Lista YPF'!$B$3:$C$358,2,FALSE),"NO")</f>
        <v>NO</v>
      </c>
      <c r="J58" s="5" t="str">
        <f>IFERROR(VLOOKUP(Consulta1[[#This Row],[Pozo]],'Lista Oportunidades'!B:C,2,FALSE),"NO")</f>
        <v>NO</v>
      </c>
      <c r="K58" s="5">
        <f>IFERROR(VLOOKUP(Consulta1[[#This Row],[Pozo largo]],Controles!B:H,7,FALSE),"NO")</f>
        <v>0.48200000000000004</v>
      </c>
      <c r="L58" s="5">
        <f>IFERROR(VLOOKUP(Consulta1[[#This Row],[Pozo largo]],Controles!B:J,9,FALSE),"NO")</f>
        <v>0</v>
      </c>
    </row>
    <row r="59" spans="2:12" x14ac:dyDescent="0.35">
      <c r="B59" s="4" t="s">
        <v>133</v>
      </c>
      <c r="C59" s="4" t="s">
        <v>5820</v>
      </c>
      <c r="D59" s="4" t="s">
        <v>5</v>
      </c>
      <c r="E59" s="4" t="s">
        <v>12</v>
      </c>
      <c r="F59" s="4" t="s">
        <v>7</v>
      </c>
      <c r="G59" s="4" t="s">
        <v>13</v>
      </c>
      <c r="H59" s="4" t="s">
        <v>84</v>
      </c>
      <c r="I59" s="5" t="str">
        <f>IFERROR(VLOOKUP(Consulta1[[#This Row],[Pozo largo]],'Lista YPF'!$B$3:$C$358,2,FALSE),"NO")</f>
        <v>NO</v>
      </c>
      <c r="J59" s="5" t="str">
        <f>IFERROR(VLOOKUP(Consulta1[[#This Row],[Pozo]],'Lista Oportunidades'!B:C,2,FALSE),"NO")</f>
        <v>NO</v>
      </c>
      <c r="K59" s="5">
        <f>IFERROR(VLOOKUP(Consulta1[[#This Row],[Pozo largo]],Controles!B:H,7,FALSE),"NO")</f>
        <v>1.2750000000000001</v>
      </c>
      <c r="L59" s="5">
        <f>IFERROR(VLOOKUP(Consulta1[[#This Row],[Pozo largo]],Controles!B:J,9,FALSE),"NO")</f>
        <v>0</v>
      </c>
    </row>
    <row r="60" spans="2:12" x14ac:dyDescent="0.35">
      <c r="B60" s="4" t="s">
        <v>135</v>
      </c>
      <c r="C60" s="4" t="s">
        <v>5821</v>
      </c>
      <c r="D60" s="4" t="s">
        <v>5</v>
      </c>
      <c r="E60" s="4" t="s">
        <v>12</v>
      </c>
      <c r="F60" s="4" t="s">
        <v>28</v>
      </c>
      <c r="G60" s="4" t="s">
        <v>13</v>
      </c>
      <c r="H60" s="4" t="s">
        <v>16</v>
      </c>
      <c r="I60" s="5" t="str">
        <f>IFERROR(VLOOKUP(Consulta1[[#This Row],[Pozo largo]],'Lista YPF'!$B$3:$C$358,2,FALSE),"NO")</f>
        <v>NO</v>
      </c>
      <c r="J60" s="5" t="str">
        <f>IFERROR(VLOOKUP(Consulta1[[#This Row],[Pozo]],'Lista Oportunidades'!B:C,2,FALSE),"NO")</f>
        <v>NO</v>
      </c>
      <c r="K60" s="5">
        <f>IFERROR(VLOOKUP(Consulta1[[#This Row],[Pozo largo]],Controles!B:H,7,FALSE),"NO")</f>
        <v>0</v>
      </c>
      <c r="L60" s="5">
        <f>IFERROR(VLOOKUP(Consulta1[[#This Row],[Pozo largo]],Controles!B:J,9,FALSE),"NO")</f>
        <v>0</v>
      </c>
    </row>
    <row r="61" spans="2:12" x14ac:dyDescent="0.35">
      <c r="B61" s="4" t="s">
        <v>137</v>
      </c>
      <c r="C61" s="4" t="s">
        <v>5822</v>
      </c>
      <c r="D61" s="4" t="s">
        <v>5</v>
      </c>
      <c r="E61" s="4" t="s">
        <v>24</v>
      </c>
      <c r="F61" s="4" t="s">
        <v>31</v>
      </c>
      <c r="G61" s="4" t="s">
        <v>8</v>
      </c>
      <c r="H61" s="4" t="s">
        <v>71</v>
      </c>
      <c r="I61" s="5" t="str">
        <f>IFERROR(VLOOKUP(Consulta1[[#This Row],[Pozo largo]],'Lista YPF'!$B$3:$C$358,2,FALSE),"NO")</f>
        <v>NO</v>
      </c>
      <c r="J61" s="5" t="str">
        <f>IFERROR(VLOOKUP(Consulta1[[#This Row],[Pozo]],'Lista Oportunidades'!B:C,2,FALSE),"NO")</f>
        <v>NO</v>
      </c>
      <c r="K61" s="5">
        <f>IFERROR(VLOOKUP(Consulta1[[#This Row],[Pozo largo]],Controles!B:H,7,FALSE),"NO")</f>
        <v>0.72</v>
      </c>
      <c r="L61" s="5">
        <f>IFERROR(VLOOKUP(Consulta1[[#This Row],[Pozo largo]],Controles!B:J,9,FALSE),"NO")</f>
        <v>0</v>
      </c>
    </row>
    <row r="62" spans="2:12" x14ac:dyDescent="0.35">
      <c r="B62" s="4" t="s">
        <v>139</v>
      </c>
      <c r="C62" s="4" t="s">
        <v>5823</v>
      </c>
      <c r="D62" s="4" t="s">
        <v>5</v>
      </c>
      <c r="E62" s="4" t="s">
        <v>12</v>
      </c>
      <c r="F62" s="4" t="s">
        <v>7</v>
      </c>
      <c r="G62" s="4" t="s">
        <v>13</v>
      </c>
      <c r="H62" s="4" t="s">
        <v>141</v>
      </c>
      <c r="I62" s="5" t="str">
        <f>IFERROR(VLOOKUP(Consulta1[[#This Row],[Pozo largo]],'Lista YPF'!$B$3:$C$358,2,FALSE),"NO")</f>
        <v>NO</v>
      </c>
      <c r="J62" s="5" t="str">
        <f>IFERROR(VLOOKUP(Consulta1[[#This Row],[Pozo]],'Lista Oportunidades'!B:C,2,FALSE),"NO")</f>
        <v>NO</v>
      </c>
      <c r="K62" s="5">
        <f>IFERROR(VLOOKUP(Consulta1[[#This Row],[Pozo largo]],Controles!B:H,7,FALSE),"NO")</f>
        <v>1.625</v>
      </c>
      <c r="L62" s="5">
        <f>IFERROR(VLOOKUP(Consulta1[[#This Row],[Pozo largo]],Controles!B:J,9,FALSE),"NO")</f>
        <v>0</v>
      </c>
    </row>
    <row r="63" spans="2:12" x14ac:dyDescent="0.35">
      <c r="B63" s="4" t="s">
        <v>142</v>
      </c>
      <c r="C63" s="4" t="s">
        <v>5824</v>
      </c>
      <c r="D63" s="4" t="s">
        <v>5</v>
      </c>
      <c r="E63" s="4" t="s">
        <v>12</v>
      </c>
      <c r="F63" s="4" t="s">
        <v>7</v>
      </c>
      <c r="G63" s="4" t="s">
        <v>13</v>
      </c>
      <c r="H63" s="4" t="s">
        <v>74</v>
      </c>
      <c r="I63" s="5" t="str">
        <f>IFERROR(VLOOKUP(Consulta1[[#This Row],[Pozo largo]],'Lista YPF'!$B$3:$C$358,2,FALSE),"NO")</f>
        <v>NO</v>
      </c>
      <c r="J63" s="5" t="str">
        <f>IFERROR(VLOOKUP(Consulta1[[#This Row],[Pozo]],'Lista Oportunidades'!B:C,2,FALSE),"NO")</f>
        <v>NO</v>
      </c>
      <c r="K63" s="5">
        <f>IFERROR(VLOOKUP(Consulta1[[#This Row],[Pozo largo]],Controles!B:H,7,FALSE),"NO")</f>
        <v>2</v>
      </c>
      <c r="L63" s="5">
        <f>IFERROR(VLOOKUP(Consulta1[[#This Row],[Pozo largo]],Controles!B:J,9,FALSE),"NO")</f>
        <v>0</v>
      </c>
    </row>
    <row r="64" spans="2:12" x14ac:dyDescent="0.35">
      <c r="B64" s="4" t="s">
        <v>144</v>
      </c>
      <c r="C64" s="4" t="s">
        <v>5825</v>
      </c>
      <c r="D64" s="4" t="s">
        <v>5</v>
      </c>
      <c r="E64" s="4" t="s">
        <v>24</v>
      </c>
      <c r="F64" s="4" t="s">
        <v>83</v>
      </c>
      <c r="G64" s="4" t="s">
        <v>8</v>
      </c>
      <c r="H64" s="4" t="s">
        <v>146</v>
      </c>
      <c r="I64" s="5" t="str">
        <f>IFERROR(VLOOKUP(Consulta1[[#This Row],[Pozo largo]],'Lista YPF'!$B$3:$C$358,2,FALSE),"NO")</f>
        <v>NO</v>
      </c>
      <c r="J64" s="5" t="str">
        <f>IFERROR(VLOOKUP(Consulta1[[#This Row],[Pozo]],'Lista Oportunidades'!B:C,2,FALSE),"NO")</f>
        <v>NO</v>
      </c>
      <c r="K64" s="5">
        <f>IFERROR(VLOOKUP(Consulta1[[#This Row],[Pozo largo]],Controles!B:H,7,FALSE),"NO")</f>
        <v>0.30399999999999999</v>
      </c>
      <c r="L64" s="5">
        <f>IFERROR(VLOOKUP(Consulta1[[#This Row],[Pozo largo]],Controles!B:J,9,FALSE),"NO")</f>
        <v>0</v>
      </c>
    </row>
    <row r="65" spans="2:12" x14ac:dyDescent="0.35">
      <c r="B65" s="4" t="s">
        <v>147</v>
      </c>
      <c r="C65" s="4" t="s">
        <v>5826</v>
      </c>
      <c r="D65" s="4" t="s">
        <v>5</v>
      </c>
      <c r="E65" s="4" t="s">
        <v>30</v>
      </c>
      <c r="F65" s="4" t="s">
        <v>31</v>
      </c>
      <c r="G65" s="4" t="s">
        <v>32</v>
      </c>
      <c r="H65" s="4" t="s">
        <v>33</v>
      </c>
      <c r="I65" s="5" t="str">
        <f>IFERROR(VLOOKUP(Consulta1[[#This Row],[Pozo largo]],'Lista YPF'!$B$3:$C$358,2,FALSE),"NO")</f>
        <v>NO</v>
      </c>
      <c r="J65" s="5" t="str">
        <f>IFERROR(VLOOKUP(Consulta1[[#This Row],[Pozo]],'Lista Oportunidades'!B:C,2,FALSE),"NO")</f>
        <v>NO</v>
      </c>
      <c r="K65" s="5" t="str">
        <f>IFERROR(VLOOKUP(Consulta1[[#This Row],[Pozo largo]],Controles!B:H,7,FALSE),"NO")</f>
        <v>NO</v>
      </c>
      <c r="L65" s="5" t="str">
        <f>IFERROR(VLOOKUP(Consulta1[[#This Row],[Pozo largo]],Controles!B:J,9,FALSE),"NO")</f>
        <v>NO</v>
      </c>
    </row>
    <row r="66" spans="2:12" x14ac:dyDescent="0.35">
      <c r="B66" s="4" t="s">
        <v>148</v>
      </c>
      <c r="C66" s="4" t="s">
        <v>5827</v>
      </c>
      <c r="D66" s="4" t="s">
        <v>5</v>
      </c>
      <c r="E66" s="4" t="s">
        <v>30</v>
      </c>
      <c r="F66" s="4" t="s">
        <v>31</v>
      </c>
      <c r="G66" s="4" t="s">
        <v>32</v>
      </c>
      <c r="H66" s="4" t="s">
        <v>149</v>
      </c>
      <c r="I66" s="5" t="str">
        <f>IFERROR(VLOOKUP(Consulta1[[#This Row],[Pozo largo]],'Lista YPF'!$B$3:$C$358,2,FALSE),"NO")</f>
        <v>NO</v>
      </c>
      <c r="J66" s="5" t="str">
        <f>IFERROR(VLOOKUP(Consulta1[[#This Row],[Pozo]],'Lista Oportunidades'!B:C,2,FALSE),"NO")</f>
        <v>NO</v>
      </c>
      <c r="K66" s="5" t="str">
        <f>IFERROR(VLOOKUP(Consulta1[[#This Row],[Pozo largo]],Controles!B:H,7,FALSE),"NO")</f>
        <v>NO</v>
      </c>
      <c r="L66" s="5" t="str">
        <f>IFERROR(VLOOKUP(Consulta1[[#This Row],[Pozo largo]],Controles!B:J,9,FALSE),"NO")</f>
        <v>NO</v>
      </c>
    </row>
    <row r="67" spans="2:12" x14ac:dyDescent="0.35">
      <c r="B67" s="4" t="s">
        <v>150</v>
      </c>
      <c r="C67" s="4" t="s">
        <v>5828</v>
      </c>
      <c r="D67" s="4" t="s">
        <v>5</v>
      </c>
      <c r="E67" s="4" t="s">
        <v>24</v>
      </c>
      <c r="F67" s="4" t="s">
        <v>31</v>
      </c>
      <c r="G67" s="4" t="s">
        <v>8</v>
      </c>
      <c r="H67" s="4" t="s">
        <v>9</v>
      </c>
      <c r="I67" s="5" t="str">
        <f>IFERROR(VLOOKUP(Consulta1[[#This Row],[Pozo largo]],'Lista YPF'!$B$3:$C$358,2,FALSE),"NO")</f>
        <v>NO</v>
      </c>
      <c r="J67" s="5" t="str">
        <f>IFERROR(VLOOKUP(Consulta1[[#This Row],[Pozo]],'Lista Oportunidades'!B:C,2,FALSE),"NO")</f>
        <v>NO</v>
      </c>
      <c r="K67" s="5">
        <f>IFERROR(VLOOKUP(Consulta1[[#This Row],[Pozo largo]],Controles!B:H,7,FALSE),"NO")</f>
        <v>0.5</v>
      </c>
      <c r="L67" s="5">
        <f>IFERROR(VLOOKUP(Consulta1[[#This Row],[Pozo largo]],Controles!B:J,9,FALSE),"NO")</f>
        <v>0</v>
      </c>
    </row>
    <row r="68" spans="2:12" x14ac:dyDescent="0.35">
      <c r="B68" s="4" t="s">
        <v>152</v>
      </c>
      <c r="C68" s="4" t="s">
        <v>5829</v>
      </c>
      <c r="D68" s="4" t="s">
        <v>5</v>
      </c>
      <c r="E68" s="4" t="s">
        <v>24</v>
      </c>
      <c r="F68" s="4" t="s">
        <v>7</v>
      </c>
      <c r="G68" s="4" t="s">
        <v>8</v>
      </c>
      <c r="H68" s="4" t="s">
        <v>149</v>
      </c>
      <c r="I68" s="5" t="str">
        <f>IFERROR(VLOOKUP(Consulta1[[#This Row],[Pozo largo]],'Lista YPF'!$B$3:$C$358,2,FALSE),"NO")</f>
        <v>NO</v>
      </c>
      <c r="J68" s="5" t="str">
        <f>IFERROR(VLOOKUP(Consulta1[[#This Row],[Pozo]],'Lista Oportunidades'!B:C,2,FALSE),"NO")</f>
        <v>NO</v>
      </c>
      <c r="K68" s="5">
        <f>IFERROR(VLOOKUP(Consulta1[[#This Row],[Pozo largo]],Controles!B:H,7,FALSE),"NO")</f>
        <v>0.6</v>
      </c>
      <c r="L68" s="5">
        <f>IFERROR(VLOOKUP(Consulta1[[#This Row],[Pozo largo]],Controles!B:J,9,FALSE),"NO")</f>
        <v>0</v>
      </c>
    </row>
    <row r="69" spans="2:12" x14ac:dyDescent="0.35">
      <c r="B69" s="4" t="s">
        <v>154</v>
      </c>
      <c r="C69" s="4" t="s">
        <v>5830</v>
      </c>
      <c r="D69" s="4" t="s">
        <v>5</v>
      </c>
      <c r="E69" s="4" t="s">
        <v>156</v>
      </c>
      <c r="F69" s="4" t="s">
        <v>31</v>
      </c>
      <c r="G69" s="4" t="s">
        <v>157</v>
      </c>
      <c r="H69" s="4" t="s">
        <v>21</v>
      </c>
      <c r="I69" s="5" t="str">
        <f>IFERROR(VLOOKUP(Consulta1[[#This Row],[Pozo largo]],'Lista YPF'!$B$3:$C$358,2,FALSE),"NO")</f>
        <v>NO</v>
      </c>
      <c r="J69" s="5" t="str">
        <f>IFERROR(VLOOKUP(Consulta1[[#This Row],[Pozo]],'Lista Oportunidades'!B:C,2,FALSE),"NO")</f>
        <v>NO</v>
      </c>
      <c r="K69" s="5">
        <f>IFERROR(VLOOKUP(Consulta1[[#This Row],[Pozo largo]],Controles!B:H,7,FALSE),"NO")</f>
        <v>0</v>
      </c>
      <c r="L69" s="5">
        <f>IFERROR(VLOOKUP(Consulta1[[#This Row],[Pozo largo]],Controles!B:J,9,FALSE),"NO")</f>
        <v>0</v>
      </c>
    </row>
    <row r="70" spans="2:12" x14ac:dyDescent="0.35">
      <c r="B70" s="4" t="s">
        <v>158</v>
      </c>
      <c r="C70" s="4" t="s">
        <v>5831</v>
      </c>
      <c r="D70" s="4" t="s">
        <v>5</v>
      </c>
      <c r="E70" s="4" t="s">
        <v>24</v>
      </c>
      <c r="F70" s="4" t="s">
        <v>31</v>
      </c>
      <c r="G70" s="4" t="s">
        <v>8</v>
      </c>
      <c r="H70" s="4" t="s">
        <v>80</v>
      </c>
      <c r="I70" s="5" t="str">
        <f>IFERROR(VLOOKUP(Consulta1[[#This Row],[Pozo largo]],'Lista YPF'!$B$3:$C$358,2,FALSE),"NO")</f>
        <v>NO</v>
      </c>
      <c r="J70" s="5" t="str">
        <f>IFERROR(VLOOKUP(Consulta1[[#This Row],[Pozo]],'Lista Oportunidades'!B:C,2,FALSE),"NO")</f>
        <v>NO</v>
      </c>
      <c r="K70" s="5">
        <f>IFERROR(VLOOKUP(Consulta1[[#This Row],[Pozo largo]],Controles!B:H,7,FALSE),"NO")</f>
        <v>0.79800000000000004</v>
      </c>
      <c r="L70" s="5">
        <f>IFERROR(VLOOKUP(Consulta1[[#This Row],[Pozo largo]],Controles!B:J,9,FALSE),"NO")</f>
        <v>0</v>
      </c>
    </row>
    <row r="71" spans="2:12" x14ac:dyDescent="0.35">
      <c r="B71" s="4" t="s">
        <v>160</v>
      </c>
      <c r="C71" s="4" t="s">
        <v>5832</v>
      </c>
      <c r="D71" s="4" t="s">
        <v>5</v>
      </c>
      <c r="E71" s="4" t="s">
        <v>12</v>
      </c>
      <c r="F71" s="4" t="s">
        <v>7</v>
      </c>
      <c r="G71" s="4" t="s">
        <v>13</v>
      </c>
      <c r="H71" s="4" t="s">
        <v>86</v>
      </c>
      <c r="I71" s="5" t="str">
        <f>IFERROR(VLOOKUP(Consulta1[[#This Row],[Pozo largo]],'Lista YPF'!$B$3:$C$358,2,FALSE),"NO")</f>
        <v>NO</v>
      </c>
      <c r="J71" s="5" t="str">
        <f>IFERROR(VLOOKUP(Consulta1[[#This Row],[Pozo]],'Lista Oportunidades'!B:C,2,FALSE),"NO")</f>
        <v>NO</v>
      </c>
      <c r="K71" s="5">
        <f>IFERROR(VLOOKUP(Consulta1[[#This Row],[Pozo largo]],Controles!B:H,7,FALSE),"NO")</f>
        <v>1.0860000000000001</v>
      </c>
      <c r="L71" s="5">
        <f>IFERROR(VLOOKUP(Consulta1[[#This Row],[Pozo largo]],Controles!B:J,9,FALSE),"NO")</f>
        <v>0</v>
      </c>
    </row>
    <row r="72" spans="2:12" x14ac:dyDescent="0.35">
      <c r="B72" s="4" t="s">
        <v>162</v>
      </c>
      <c r="C72" s="4" t="s">
        <v>5833</v>
      </c>
      <c r="D72" s="4" t="s">
        <v>5</v>
      </c>
      <c r="E72" s="4" t="s">
        <v>12</v>
      </c>
      <c r="F72" s="4" t="s">
        <v>7</v>
      </c>
      <c r="G72" s="4" t="s">
        <v>13</v>
      </c>
      <c r="H72" s="4" t="s">
        <v>80</v>
      </c>
      <c r="I72" s="5" t="str">
        <f>IFERROR(VLOOKUP(Consulta1[[#This Row],[Pozo largo]],'Lista YPF'!$B$3:$C$358,2,FALSE),"NO")</f>
        <v>NO</v>
      </c>
      <c r="J72" s="5" t="str">
        <f>IFERROR(VLOOKUP(Consulta1[[#This Row],[Pozo]],'Lista Oportunidades'!B:C,2,FALSE),"NO")</f>
        <v>NO</v>
      </c>
      <c r="K72" s="5">
        <f>IFERROR(VLOOKUP(Consulta1[[#This Row],[Pozo largo]],Controles!B:H,7,FALSE),"NO")</f>
        <v>0.73099999999999998</v>
      </c>
      <c r="L72" s="5">
        <f>IFERROR(VLOOKUP(Consulta1[[#This Row],[Pozo largo]],Controles!B:J,9,FALSE),"NO")</f>
        <v>0</v>
      </c>
    </row>
    <row r="73" spans="2:12" x14ac:dyDescent="0.35">
      <c r="B73" s="4" t="s">
        <v>164</v>
      </c>
      <c r="C73" s="4" t="s">
        <v>5834</v>
      </c>
      <c r="D73" s="4" t="s">
        <v>5</v>
      </c>
      <c r="E73" s="4" t="s">
        <v>12</v>
      </c>
      <c r="F73" s="4" t="s">
        <v>28</v>
      </c>
      <c r="G73" s="4" t="s">
        <v>13</v>
      </c>
      <c r="H73" s="4" t="s">
        <v>91</v>
      </c>
      <c r="I73" s="5" t="str">
        <f>IFERROR(VLOOKUP(Consulta1[[#This Row],[Pozo largo]],'Lista YPF'!$B$3:$C$358,2,FALSE),"NO")</f>
        <v>NO</v>
      </c>
      <c r="J73" s="5" t="str">
        <f>IFERROR(VLOOKUP(Consulta1[[#This Row],[Pozo]],'Lista Oportunidades'!B:C,2,FALSE),"NO")</f>
        <v>NO</v>
      </c>
      <c r="K73" s="5">
        <f>IFERROR(VLOOKUP(Consulta1[[#This Row],[Pozo largo]],Controles!B:H,7,FALSE),"NO")</f>
        <v>0</v>
      </c>
      <c r="L73" s="5">
        <f>IFERROR(VLOOKUP(Consulta1[[#This Row],[Pozo largo]],Controles!B:J,9,FALSE),"NO")</f>
        <v>0</v>
      </c>
    </row>
    <row r="74" spans="2:12" x14ac:dyDescent="0.35">
      <c r="B74" s="4" t="s">
        <v>166</v>
      </c>
      <c r="C74" s="4" t="s">
        <v>5835</v>
      </c>
      <c r="D74" s="4" t="s">
        <v>5</v>
      </c>
      <c r="E74" s="4" t="s">
        <v>6</v>
      </c>
      <c r="F74" s="4" t="s">
        <v>28</v>
      </c>
      <c r="G74" s="4" t="s">
        <v>5718</v>
      </c>
      <c r="H74" s="4" t="s">
        <v>80</v>
      </c>
      <c r="I74" s="5" t="str">
        <f>IFERROR(VLOOKUP(Consulta1[[#This Row],[Pozo largo]],'Lista YPF'!$B$3:$C$358,2,FALSE),"NO")</f>
        <v>En lista de Abandono</v>
      </c>
      <c r="J74" s="5" t="str">
        <f>IFERROR(VLOOKUP(Consulta1[[#This Row],[Pozo]],'Lista Oportunidades'!B:C,2,FALSE),"NO")</f>
        <v>NO</v>
      </c>
      <c r="K74" s="5">
        <f>IFERROR(VLOOKUP(Consulta1[[#This Row],[Pozo largo]],Controles!B:H,7,FALSE),"NO")</f>
        <v>0</v>
      </c>
      <c r="L74" s="5">
        <f>IFERROR(VLOOKUP(Consulta1[[#This Row],[Pozo largo]],Controles!B:J,9,FALSE),"NO")</f>
        <v>0</v>
      </c>
    </row>
    <row r="75" spans="2:12" x14ac:dyDescent="0.35">
      <c r="B75" s="4" t="s">
        <v>168</v>
      </c>
      <c r="C75" s="4" t="s">
        <v>5836</v>
      </c>
      <c r="D75" s="4" t="s">
        <v>5</v>
      </c>
      <c r="E75" s="4" t="s">
        <v>12</v>
      </c>
      <c r="F75" s="4" t="s">
        <v>25</v>
      </c>
      <c r="G75" s="4" t="s">
        <v>13</v>
      </c>
      <c r="H75" s="4" t="s">
        <v>91</v>
      </c>
      <c r="I75" s="5" t="str">
        <f>IFERROR(VLOOKUP(Consulta1[[#This Row],[Pozo largo]],'Lista YPF'!$B$3:$C$358,2,FALSE),"NO")</f>
        <v>NO</v>
      </c>
      <c r="J75" s="5" t="str">
        <f>IFERROR(VLOOKUP(Consulta1[[#This Row],[Pozo]],'Lista Oportunidades'!B:C,2,FALSE),"NO")</f>
        <v>NO</v>
      </c>
      <c r="K75" s="5">
        <f>IFERROR(VLOOKUP(Consulta1[[#This Row],[Pozo largo]],Controles!B:H,7,FALSE),"NO")</f>
        <v>0.10500000000000001</v>
      </c>
      <c r="L75" s="5">
        <f>IFERROR(VLOOKUP(Consulta1[[#This Row],[Pozo largo]],Controles!B:J,9,FALSE),"NO")</f>
        <v>0</v>
      </c>
    </row>
    <row r="76" spans="2:12" x14ac:dyDescent="0.35">
      <c r="B76" s="4" t="s">
        <v>170</v>
      </c>
      <c r="C76" s="4" t="s">
        <v>5837</v>
      </c>
      <c r="D76" s="4" t="s">
        <v>5</v>
      </c>
      <c r="E76" s="4" t="s">
        <v>30</v>
      </c>
      <c r="F76" s="4" t="s">
        <v>31</v>
      </c>
      <c r="G76" s="4" t="s">
        <v>32</v>
      </c>
      <c r="H76" s="4" t="s">
        <v>86</v>
      </c>
      <c r="I76" s="5" t="str">
        <f>IFERROR(VLOOKUP(Consulta1[[#This Row],[Pozo largo]],'Lista YPF'!$B$3:$C$358,2,FALSE),"NO")</f>
        <v>NO</v>
      </c>
      <c r="J76" s="5" t="str">
        <f>IFERROR(VLOOKUP(Consulta1[[#This Row],[Pozo]],'Lista Oportunidades'!B:C,2,FALSE),"NO")</f>
        <v>NO</v>
      </c>
      <c r="K76" s="5">
        <f>IFERROR(VLOOKUP(Consulta1[[#This Row],[Pozo largo]],Controles!B:H,7,FALSE),"NO")</f>
        <v>0.16200000000000001</v>
      </c>
      <c r="L76" s="5">
        <f>IFERROR(VLOOKUP(Consulta1[[#This Row],[Pozo largo]],Controles!B:J,9,FALSE),"NO")</f>
        <v>0</v>
      </c>
    </row>
    <row r="77" spans="2:12" x14ac:dyDescent="0.35">
      <c r="B77" s="4" t="s">
        <v>172</v>
      </c>
      <c r="C77" s="4" t="s">
        <v>5838</v>
      </c>
      <c r="D77" s="4" t="s">
        <v>5</v>
      </c>
      <c r="E77" s="4" t="s">
        <v>12</v>
      </c>
      <c r="F77" s="4" t="s">
        <v>25</v>
      </c>
      <c r="G77" s="4" t="s">
        <v>13</v>
      </c>
      <c r="H77" s="4" t="s">
        <v>80</v>
      </c>
      <c r="I77" s="5" t="str">
        <f>IFERROR(VLOOKUP(Consulta1[[#This Row],[Pozo largo]],'Lista YPF'!$B$3:$C$358,2,FALSE),"NO")</f>
        <v>NO</v>
      </c>
      <c r="J77" s="5" t="str">
        <f>IFERROR(VLOOKUP(Consulta1[[#This Row],[Pozo]],'Lista Oportunidades'!B:C,2,FALSE),"NO")</f>
        <v>NO</v>
      </c>
      <c r="K77" s="5">
        <f>IFERROR(VLOOKUP(Consulta1[[#This Row],[Pozo largo]],Controles!B:H,7,FALSE),"NO")</f>
        <v>0.10600000000000001</v>
      </c>
      <c r="L77" s="5">
        <f>IFERROR(VLOOKUP(Consulta1[[#This Row],[Pozo largo]],Controles!B:J,9,FALSE),"NO")</f>
        <v>0</v>
      </c>
    </row>
    <row r="78" spans="2:12" x14ac:dyDescent="0.35">
      <c r="B78" s="4" t="s">
        <v>174</v>
      </c>
      <c r="C78" s="4" t="s">
        <v>5839</v>
      </c>
      <c r="D78" s="4" t="s">
        <v>5</v>
      </c>
      <c r="E78" s="4" t="s">
        <v>12</v>
      </c>
      <c r="F78" s="4" t="s">
        <v>7</v>
      </c>
      <c r="G78" s="4" t="s">
        <v>13</v>
      </c>
      <c r="H78" s="4" t="s">
        <v>71</v>
      </c>
      <c r="I78" s="5" t="str">
        <f>IFERROR(VLOOKUP(Consulta1[[#This Row],[Pozo largo]],'Lista YPF'!$B$3:$C$358,2,FALSE),"NO")</f>
        <v>NO</v>
      </c>
      <c r="J78" s="5" t="str">
        <f>IFERROR(VLOOKUP(Consulta1[[#This Row],[Pozo]],'Lista Oportunidades'!B:C,2,FALSE),"NO")</f>
        <v>NO</v>
      </c>
      <c r="K78" s="5">
        <f>IFERROR(VLOOKUP(Consulta1[[#This Row],[Pozo largo]],Controles!B:H,7,FALSE),"NO")</f>
        <v>1.75</v>
      </c>
      <c r="L78" s="5">
        <f>IFERROR(VLOOKUP(Consulta1[[#This Row],[Pozo largo]],Controles!B:J,9,FALSE),"NO")</f>
        <v>0</v>
      </c>
    </row>
    <row r="79" spans="2:12" x14ac:dyDescent="0.35">
      <c r="B79" s="4" t="s">
        <v>176</v>
      </c>
      <c r="C79" s="4" t="s">
        <v>5840</v>
      </c>
      <c r="D79" s="4" t="s">
        <v>5</v>
      </c>
      <c r="E79" s="4" t="s">
        <v>12</v>
      </c>
      <c r="F79" s="4" t="s">
        <v>7</v>
      </c>
      <c r="G79" s="4" t="s">
        <v>13</v>
      </c>
      <c r="H79" s="4" t="s">
        <v>71</v>
      </c>
      <c r="I79" s="5" t="str">
        <f>IFERROR(VLOOKUP(Consulta1[[#This Row],[Pozo largo]],'Lista YPF'!$B$3:$C$358,2,FALSE),"NO")</f>
        <v>NO</v>
      </c>
      <c r="J79" s="5" t="str">
        <f>IFERROR(VLOOKUP(Consulta1[[#This Row],[Pozo]],'Lista Oportunidades'!B:C,2,FALSE),"NO")</f>
        <v>NO</v>
      </c>
      <c r="K79" s="5">
        <f>IFERROR(VLOOKUP(Consulta1[[#This Row],[Pozo largo]],Controles!B:H,7,FALSE),"NO")</f>
        <v>1</v>
      </c>
      <c r="L79" s="5">
        <f>IFERROR(VLOOKUP(Consulta1[[#This Row],[Pozo largo]],Controles!B:J,9,FALSE),"NO")</f>
        <v>0</v>
      </c>
    </row>
    <row r="80" spans="2:12" x14ac:dyDescent="0.35">
      <c r="B80" s="4" t="s">
        <v>178</v>
      </c>
      <c r="C80" s="4" t="s">
        <v>5841</v>
      </c>
      <c r="D80" s="4" t="s">
        <v>5</v>
      </c>
      <c r="E80" s="4" t="s">
        <v>30</v>
      </c>
      <c r="F80" s="4" t="s">
        <v>31</v>
      </c>
      <c r="G80" s="4" t="s">
        <v>32</v>
      </c>
      <c r="H80" s="4" t="s">
        <v>141</v>
      </c>
      <c r="I80" s="5" t="str">
        <f>IFERROR(VLOOKUP(Consulta1[[#This Row],[Pozo largo]],'Lista YPF'!$B$3:$C$358,2,FALSE),"NO")</f>
        <v>NO</v>
      </c>
      <c r="J80" s="5" t="str">
        <f>IFERROR(VLOOKUP(Consulta1[[#This Row],[Pozo]],'Lista Oportunidades'!B:C,2,FALSE),"NO")</f>
        <v>NO</v>
      </c>
      <c r="K80" s="5">
        <f>IFERROR(VLOOKUP(Consulta1[[#This Row],[Pozo largo]],Controles!B:H,7,FALSE),"NO")</f>
        <v>0.24</v>
      </c>
      <c r="L80" s="5">
        <f>IFERROR(VLOOKUP(Consulta1[[#This Row],[Pozo largo]],Controles!B:J,9,FALSE),"NO")</f>
        <v>0</v>
      </c>
    </row>
    <row r="81" spans="2:12" x14ac:dyDescent="0.35">
      <c r="B81" s="4" t="s">
        <v>180</v>
      </c>
      <c r="C81" s="4" t="s">
        <v>5842</v>
      </c>
      <c r="D81" s="4" t="s">
        <v>5</v>
      </c>
      <c r="E81" s="4" t="s">
        <v>24</v>
      </c>
      <c r="F81" s="4" t="s">
        <v>31</v>
      </c>
      <c r="G81" s="4" t="s">
        <v>8</v>
      </c>
      <c r="H81" s="4" t="s">
        <v>141</v>
      </c>
      <c r="I81" s="5" t="str">
        <f>IFERROR(VLOOKUP(Consulta1[[#This Row],[Pozo largo]],'Lista YPF'!$B$3:$C$358,2,FALSE),"NO")</f>
        <v>NO</v>
      </c>
      <c r="J81" s="5" t="str">
        <f>IFERROR(VLOOKUP(Consulta1[[#This Row],[Pozo]],'Lista Oportunidades'!B:C,2,FALSE),"NO")</f>
        <v>NO</v>
      </c>
      <c r="K81" s="5" t="str">
        <f>IFERROR(VLOOKUP(Consulta1[[#This Row],[Pozo largo]],Controles!B:H,7,FALSE),"NO")</f>
        <v>NO</v>
      </c>
      <c r="L81" s="5" t="str">
        <f>IFERROR(VLOOKUP(Consulta1[[#This Row],[Pozo largo]],Controles!B:J,9,FALSE),"NO")</f>
        <v>NO</v>
      </c>
    </row>
    <row r="82" spans="2:12" x14ac:dyDescent="0.35">
      <c r="B82" s="4" t="s">
        <v>181</v>
      </c>
      <c r="C82" s="4" t="s">
        <v>5843</v>
      </c>
      <c r="D82" s="4" t="s">
        <v>5</v>
      </c>
      <c r="E82" s="4" t="s">
        <v>12</v>
      </c>
      <c r="F82" s="4" t="s">
        <v>28</v>
      </c>
      <c r="G82" s="4" t="s">
        <v>13</v>
      </c>
      <c r="H82" s="4" t="s">
        <v>141</v>
      </c>
      <c r="I82" s="5" t="str">
        <f>IFERROR(VLOOKUP(Consulta1[[#This Row],[Pozo largo]],'Lista YPF'!$B$3:$C$358,2,FALSE),"NO")</f>
        <v>NO</v>
      </c>
      <c r="J82" s="5" t="str">
        <f>IFERROR(VLOOKUP(Consulta1[[#This Row],[Pozo]],'Lista Oportunidades'!B:C,2,FALSE),"NO")</f>
        <v>NO</v>
      </c>
      <c r="K82" s="5">
        <f>IFERROR(VLOOKUP(Consulta1[[#This Row],[Pozo largo]],Controles!B:H,7,FALSE),"NO")</f>
        <v>0</v>
      </c>
      <c r="L82" s="5">
        <f>IFERROR(VLOOKUP(Consulta1[[#This Row],[Pozo largo]],Controles!B:J,9,FALSE),"NO")</f>
        <v>0</v>
      </c>
    </row>
    <row r="83" spans="2:12" x14ac:dyDescent="0.35">
      <c r="B83" s="4" t="s">
        <v>183</v>
      </c>
      <c r="C83" s="4" t="s">
        <v>5844</v>
      </c>
      <c r="D83" s="4" t="s">
        <v>5</v>
      </c>
      <c r="E83" s="4" t="s">
        <v>12</v>
      </c>
      <c r="F83" s="4" t="s">
        <v>7</v>
      </c>
      <c r="G83" s="4" t="s">
        <v>13</v>
      </c>
      <c r="H83" s="4" t="s">
        <v>185</v>
      </c>
      <c r="I83" s="5" t="str">
        <f>IFERROR(VLOOKUP(Consulta1[[#This Row],[Pozo largo]],'Lista YPF'!$B$3:$C$358,2,FALSE),"NO")</f>
        <v>NO</v>
      </c>
      <c r="J83" s="5" t="str">
        <f>IFERROR(VLOOKUP(Consulta1[[#This Row],[Pozo]],'Lista Oportunidades'!B:C,2,FALSE),"NO")</f>
        <v>NO</v>
      </c>
      <c r="K83" s="5">
        <f>IFERROR(VLOOKUP(Consulta1[[#This Row],[Pozo largo]],Controles!B:H,7,FALSE),"NO")</f>
        <v>0.5</v>
      </c>
      <c r="L83" s="5">
        <f>IFERROR(VLOOKUP(Consulta1[[#This Row],[Pozo largo]],Controles!B:J,9,FALSE),"NO")</f>
        <v>0</v>
      </c>
    </row>
    <row r="84" spans="2:12" x14ac:dyDescent="0.35">
      <c r="B84" s="4" t="s">
        <v>186</v>
      </c>
      <c r="C84" s="4" t="s">
        <v>5845</v>
      </c>
      <c r="D84" s="4" t="s">
        <v>5</v>
      </c>
      <c r="E84" s="4" t="s">
        <v>6</v>
      </c>
      <c r="F84" s="4" t="s">
        <v>28</v>
      </c>
      <c r="G84" s="4" t="s">
        <v>5718</v>
      </c>
      <c r="H84" s="4" t="s">
        <v>71</v>
      </c>
      <c r="I84" s="5" t="str">
        <f>IFERROR(VLOOKUP(Consulta1[[#This Row],[Pozo largo]],'Lista YPF'!$B$3:$C$358,2,FALSE),"NO")</f>
        <v>En lista de Abandono</v>
      </c>
      <c r="J84" s="5" t="str">
        <f>IFERROR(VLOOKUP(Consulta1[[#This Row],[Pozo]],'Lista Oportunidades'!B:C,2,FALSE),"NO")</f>
        <v>NO</v>
      </c>
      <c r="K84" s="5">
        <f>IFERROR(VLOOKUP(Consulta1[[#This Row],[Pozo largo]],Controles!B:H,7,FALSE),"NO")</f>
        <v>0</v>
      </c>
      <c r="L84" s="5" t="str">
        <f>IFERROR(VLOOKUP(Consulta1[[#This Row],[Pozo largo]],Controles!B:J,9,FALSE),"NO")</f>
        <v>Ultimo Año</v>
      </c>
    </row>
    <row r="85" spans="2:12" x14ac:dyDescent="0.35">
      <c r="B85" s="4" t="s">
        <v>188</v>
      </c>
      <c r="C85" s="4" t="s">
        <v>5846</v>
      </c>
      <c r="D85" s="4" t="s">
        <v>5</v>
      </c>
      <c r="E85" s="4" t="s">
        <v>12</v>
      </c>
      <c r="F85" s="4" t="s">
        <v>7</v>
      </c>
      <c r="G85" s="4" t="s">
        <v>13</v>
      </c>
      <c r="H85" s="4" t="s">
        <v>71</v>
      </c>
      <c r="I85" s="5" t="str">
        <f>IFERROR(VLOOKUP(Consulta1[[#This Row],[Pozo largo]],'Lista YPF'!$B$3:$C$358,2,FALSE),"NO")</f>
        <v>NO</v>
      </c>
      <c r="J85" s="5" t="str">
        <f>IFERROR(VLOOKUP(Consulta1[[#This Row],[Pozo]],'Lista Oportunidades'!B:C,2,FALSE),"NO")</f>
        <v>NO</v>
      </c>
      <c r="K85" s="5">
        <f>IFERROR(VLOOKUP(Consulta1[[#This Row],[Pozo largo]],Controles!B:H,7,FALSE),"NO")</f>
        <v>0.17</v>
      </c>
      <c r="L85" s="5">
        <f>IFERROR(VLOOKUP(Consulta1[[#This Row],[Pozo largo]],Controles!B:J,9,FALSE),"NO")</f>
        <v>0</v>
      </c>
    </row>
    <row r="86" spans="2:12" x14ac:dyDescent="0.35">
      <c r="B86" s="4" t="s">
        <v>190</v>
      </c>
      <c r="C86" s="4" t="s">
        <v>5847</v>
      </c>
      <c r="D86" s="4" t="s">
        <v>5</v>
      </c>
      <c r="E86" s="4" t="s">
        <v>12</v>
      </c>
      <c r="F86" s="4" t="s">
        <v>7</v>
      </c>
      <c r="G86" s="4" t="s">
        <v>13</v>
      </c>
      <c r="H86" s="4" t="s">
        <v>74</v>
      </c>
      <c r="I86" s="5" t="str">
        <f>IFERROR(VLOOKUP(Consulta1[[#This Row],[Pozo largo]],'Lista YPF'!$B$3:$C$358,2,FALSE),"NO")</f>
        <v>NO</v>
      </c>
      <c r="J86" s="5" t="str">
        <f>IFERROR(VLOOKUP(Consulta1[[#This Row],[Pozo]],'Lista Oportunidades'!B:C,2,FALSE),"NO")</f>
        <v>NO</v>
      </c>
      <c r="K86" s="5">
        <f>IFERROR(VLOOKUP(Consulta1[[#This Row],[Pozo largo]],Controles!B:H,7,FALSE),"NO")</f>
        <v>2.97</v>
      </c>
      <c r="L86" s="5">
        <f>IFERROR(VLOOKUP(Consulta1[[#This Row],[Pozo largo]],Controles!B:J,9,FALSE),"NO")</f>
        <v>0</v>
      </c>
    </row>
    <row r="87" spans="2:12" x14ac:dyDescent="0.35">
      <c r="B87" s="4" t="s">
        <v>192</v>
      </c>
      <c r="C87" s="4" t="s">
        <v>5848</v>
      </c>
      <c r="D87" s="4" t="s">
        <v>5</v>
      </c>
      <c r="E87" s="4" t="s">
        <v>194</v>
      </c>
      <c r="F87" s="4" t="s">
        <v>31</v>
      </c>
      <c r="G87" s="4" t="s">
        <v>5718</v>
      </c>
      <c r="H87" s="4" t="s">
        <v>71</v>
      </c>
      <c r="I87" s="5" t="str">
        <f>IFERROR(VLOOKUP(Consulta1[[#This Row],[Pozo largo]],'Lista YPF'!$B$3:$C$358,2,FALSE),"NO")</f>
        <v>En lista de Abandono</v>
      </c>
      <c r="J87" s="5" t="str">
        <f>IFERROR(VLOOKUP(Consulta1[[#This Row],[Pozo]],'Lista Oportunidades'!B:C,2,FALSE),"NO")</f>
        <v>NO</v>
      </c>
      <c r="K87" s="5">
        <f>IFERROR(VLOOKUP(Consulta1[[#This Row],[Pozo largo]],Controles!B:H,7,FALSE),"NO")</f>
        <v>0.70000000000000007</v>
      </c>
      <c r="L87" s="5">
        <f>IFERROR(VLOOKUP(Consulta1[[#This Row],[Pozo largo]],Controles!B:J,9,FALSE),"NO")</f>
        <v>0</v>
      </c>
    </row>
    <row r="88" spans="2:12" x14ac:dyDescent="0.35">
      <c r="B88" s="4" t="s">
        <v>196</v>
      </c>
      <c r="C88" s="4" t="s">
        <v>5849</v>
      </c>
      <c r="D88" s="4" t="s">
        <v>5</v>
      </c>
      <c r="E88" s="4" t="s">
        <v>30</v>
      </c>
      <c r="F88" s="4" t="s">
        <v>31</v>
      </c>
      <c r="G88" s="4" t="s">
        <v>32</v>
      </c>
      <c r="H88" s="4" t="s">
        <v>185</v>
      </c>
      <c r="I88" s="5" t="str">
        <f>IFERROR(VLOOKUP(Consulta1[[#This Row],[Pozo largo]],'Lista YPF'!$B$3:$C$358,2,FALSE),"NO")</f>
        <v>NO</v>
      </c>
      <c r="J88" s="5" t="str">
        <f>IFERROR(VLOOKUP(Consulta1[[#This Row],[Pozo]],'Lista Oportunidades'!B:C,2,FALSE),"NO")</f>
        <v>NO</v>
      </c>
      <c r="K88" s="5">
        <f>IFERROR(VLOOKUP(Consulta1[[#This Row],[Pozo largo]],Controles!B:H,7,FALSE),"NO")</f>
        <v>0.33800000000000002</v>
      </c>
      <c r="L88" s="5">
        <f>IFERROR(VLOOKUP(Consulta1[[#This Row],[Pozo largo]],Controles!B:J,9,FALSE),"NO")</f>
        <v>0</v>
      </c>
    </row>
    <row r="89" spans="2:12" x14ac:dyDescent="0.35">
      <c r="B89" s="4" t="s">
        <v>198</v>
      </c>
      <c r="C89" s="4" t="s">
        <v>5850</v>
      </c>
      <c r="D89" s="4" t="s">
        <v>5</v>
      </c>
      <c r="E89" s="4" t="s">
        <v>30</v>
      </c>
      <c r="F89" s="4" t="s">
        <v>31</v>
      </c>
      <c r="G89" s="4" t="s">
        <v>32</v>
      </c>
      <c r="H89" s="4" t="s">
        <v>185</v>
      </c>
      <c r="I89" s="5" t="str">
        <f>IFERROR(VLOOKUP(Consulta1[[#This Row],[Pozo largo]],'Lista YPF'!$B$3:$C$358,2,FALSE),"NO")</f>
        <v>NO</v>
      </c>
      <c r="J89" s="5" t="str">
        <f>IFERROR(VLOOKUP(Consulta1[[#This Row],[Pozo]],'Lista Oportunidades'!B:C,2,FALSE),"NO")</f>
        <v>NO</v>
      </c>
      <c r="K89" s="5" t="str">
        <f>IFERROR(VLOOKUP(Consulta1[[#This Row],[Pozo largo]],Controles!B:H,7,FALSE),"NO")</f>
        <v>NO</v>
      </c>
      <c r="L89" s="5" t="str">
        <f>IFERROR(VLOOKUP(Consulta1[[#This Row],[Pozo largo]],Controles!B:J,9,FALSE),"NO")</f>
        <v>NO</v>
      </c>
    </row>
    <row r="90" spans="2:12" x14ac:dyDescent="0.35">
      <c r="B90" s="4" t="s">
        <v>199</v>
      </c>
      <c r="C90" s="4" t="s">
        <v>5851</v>
      </c>
      <c r="D90" s="4" t="s">
        <v>5</v>
      </c>
      <c r="E90" s="4" t="s">
        <v>57</v>
      </c>
      <c r="F90" s="4" t="s">
        <v>31</v>
      </c>
      <c r="G90" s="4" t="s">
        <v>11386</v>
      </c>
      <c r="H90" s="4" t="s">
        <v>71</v>
      </c>
      <c r="I90" s="5" t="str">
        <f>IFERROR(VLOOKUP(Consulta1[[#This Row],[Pozo largo]],'Lista YPF'!$B$3:$C$358,2,FALSE),"NO")</f>
        <v>NO</v>
      </c>
      <c r="J90" s="5" t="str">
        <f>IFERROR(VLOOKUP(Consulta1[[#This Row],[Pozo]],'Lista Oportunidades'!B:C,2,FALSE),"NO")</f>
        <v>NO</v>
      </c>
      <c r="K90" s="5">
        <f>IFERROR(VLOOKUP(Consulta1[[#This Row],[Pozo largo]],Controles!B:H,7,FALSE),"NO")</f>
        <v>0.15</v>
      </c>
      <c r="L90" s="5" t="str">
        <f>IFERROR(VLOOKUP(Consulta1[[#This Row],[Pozo largo]],Controles!B:J,9,FALSE),"NO")</f>
        <v>Ultimos 6 meses</v>
      </c>
    </row>
    <row r="91" spans="2:12" x14ac:dyDescent="0.35">
      <c r="B91" s="4" t="s">
        <v>201</v>
      </c>
      <c r="C91" s="4" t="s">
        <v>5852</v>
      </c>
      <c r="D91" s="4" t="s">
        <v>5</v>
      </c>
      <c r="E91" s="4" t="s">
        <v>12</v>
      </c>
      <c r="F91" s="4" t="s">
        <v>7</v>
      </c>
      <c r="G91" s="4" t="s">
        <v>13</v>
      </c>
      <c r="H91" s="4" t="s">
        <v>71</v>
      </c>
      <c r="I91" s="5" t="str">
        <f>IFERROR(VLOOKUP(Consulta1[[#This Row],[Pozo largo]],'Lista YPF'!$B$3:$C$358,2,FALSE),"NO")</f>
        <v>NO</v>
      </c>
      <c r="J91" s="5" t="str">
        <f>IFERROR(VLOOKUP(Consulta1[[#This Row],[Pozo]],'Lista Oportunidades'!B:C,2,FALSE),"NO")</f>
        <v>NO</v>
      </c>
      <c r="K91" s="5">
        <f>IFERROR(VLOOKUP(Consulta1[[#This Row],[Pozo largo]],Controles!B:H,7,FALSE),"NO")</f>
        <v>0.42</v>
      </c>
      <c r="L91" s="5">
        <f>IFERROR(VLOOKUP(Consulta1[[#This Row],[Pozo largo]],Controles!B:J,9,FALSE),"NO")</f>
        <v>0</v>
      </c>
    </row>
    <row r="92" spans="2:12" x14ac:dyDescent="0.35">
      <c r="B92" s="4" t="s">
        <v>203</v>
      </c>
      <c r="C92" s="4" t="s">
        <v>5853</v>
      </c>
      <c r="D92" s="4" t="s">
        <v>5</v>
      </c>
      <c r="E92" s="4" t="s">
        <v>12</v>
      </c>
      <c r="F92" s="4" t="s">
        <v>7</v>
      </c>
      <c r="G92" s="4" t="s">
        <v>13</v>
      </c>
      <c r="H92" s="4" t="s">
        <v>9</v>
      </c>
      <c r="I92" s="5" t="str">
        <f>IFERROR(VLOOKUP(Consulta1[[#This Row],[Pozo largo]],'Lista YPF'!$B$3:$C$358,2,FALSE),"NO")</f>
        <v>NO</v>
      </c>
      <c r="J92" s="5" t="str">
        <f>IFERROR(VLOOKUP(Consulta1[[#This Row],[Pozo]],'Lista Oportunidades'!B:C,2,FALSE),"NO")</f>
        <v>NO</v>
      </c>
      <c r="K92" s="5">
        <f>IFERROR(VLOOKUP(Consulta1[[#This Row],[Pozo largo]],Controles!B:H,7,FALSE),"NO")</f>
        <v>1.125</v>
      </c>
      <c r="L92" s="5">
        <f>IFERROR(VLOOKUP(Consulta1[[#This Row],[Pozo largo]],Controles!B:J,9,FALSE),"NO")</f>
        <v>0</v>
      </c>
    </row>
    <row r="93" spans="2:12" x14ac:dyDescent="0.35">
      <c r="B93" s="4" t="s">
        <v>205</v>
      </c>
      <c r="C93" s="4" t="s">
        <v>5854</v>
      </c>
      <c r="D93" s="4" t="s">
        <v>5</v>
      </c>
      <c r="E93" s="4" t="s">
        <v>30</v>
      </c>
      <c r="F93" s="4" t="s">
        <v>31</v>
      </c>
      <c r="G93" s="4" t="s">
        <v>32</v>
      </c>
      <c r="H93" s="4" t="s">
        <v>33</v>
      </c>
      <c r="I93" s="5" t="str">
        <f>IFERROR(VLOOKUP(Consulta1[[#This Row],[Pozo largo]],'Lista YPF'!$B$3:$C$358,2,FALSE),"NO")</f>
        <v>NO</v>
      </c>
      <c r="J93" s="5" t="str">
        <f>IFERROR(VLOOKUP(Consulta1[[#This Row],[Pozo]],'Lista Oportunidades'!B:C,2,FALSE),"NO")</f>
        <v>NO</v>
      </c>
      <c r="K93" s="5" t="str">
        <f>IFERROR(VLOOKUP(Consulta1[[#This Row],[Pozo largo]],Controles!B:H,7,FALSE),"NO")</f>
        <v>NO</v>
      </c>
      <c r="L93" s="5" t="str">
        <f>IFERROR(VLOOKUP(Consulta1[[#This Row],[Pozo largo]],Controles!B:J,9,FALSE),"NO")</f>
        <v>NO</v>
      </c>
    </row>
    <row r="94" spans="2:12" x14ac:dyDescent="0.35">
      <c r="B94" s="4" t="s">
        <v>206</v>
      </c>
      <c r="C94" s="4" t="s">
        <v>5855</v>
      </c>
      <c r="D94" s="4" t="s">
        <v>5</v>
      </c>
      <c r="E94" s="4" t="s">
        <v>12</v>
      </c>
      <c r="F94" s="4" t="s">
        <v>7</v>
      </c>
      <c r="G94" s="4" t="s">
        <v>13</v>
      </c>
      <c r="H94" s="4" t="s">
        <v>9</v>
      </c>
      <c r="I94" s="5" t="str">
        <f>IFERROR(VLOOKUP(Consulta1[[#This Row],[Pozo largo]],'Lista YPF'!$B$3:$C$358,2,FALSE),"NO")</f>
        <v>NO</v>
      </c>
      <c r="J94" s="5" t="str">
        <f>IFERROR(VLOOKUP(Consulta1[[#This Row],[Pozo]],'Lista Oportunidades'!B:C,2,FALSE),"NO")</f>
        <v>NO</v>
      </c>
      <c r="K94" s="5">
        <f>IFERROR(VLOOKUP(Consulta1[[#This Row],[Pozo largo]],Controles!B:H,7,FALSE),"NO")</f>
        <v>1.2</v>
      </c>
      <c r="L94" s="5">
        <f>IFERROR(VLOOKUP(Consulta1[[#This Row],[Pozo largo]],Controles!B:J,9,FALSE),"NO")</f>
        <v>0</v>
      </c>
    </row>
    <row r="95" spans="2:12" x14ac:dyDescent="0.35">
      <c r="B95" s="4" t="s">
        <v>208</v>
      </c>
      <c r="C95" s="4" t="s">
        <v>5856</v>
      </c>
      <c r="D95" s="4" t="s">
        <v>5</v>
      </c>
      <c r="E95" s="4" t="s">
        <v>24</v>
      </c>
      <c r="F95" s="4" t="s">
        <v>7</v>
      </c>
      <c r="G95" s="4" t="s">
        <v>8</v>
      </c>
      <c r="H95" s="4" t="s">
        <v>9</v>
      </c>
      <c r="I95" s="5" t="str">
        <f>IFERROR(VLOOKUP(Consulta1[[#This Row],[Pozo largo]],'Lista YPF'!$B$3:$C$358,2,FALSE),"NO")</f>
        <v>NO</v>
      </c>
      <c r="J95" s="5" t="str">
        <f>IFERROR(VLOOKUP(Consulta1[[#This Row],[Pozo]],'Lista Oportunidades'!B:C,2,FALSE),"NO")</f>
        <v>NO</v>
      </c>
      <c r="K95" s="5">
        <f>IFERROR(VLOOKUP(Consulta1[[#This Row],[Pozo largo]],Controles!B:H,7,FALSE),"NO")</f>
        <v>0.6</v>
      </c>
      <c r="L95" s="5">
        <f>IFERROR(VLOOKUP(Consulta1[[#This Row],[Pozo largo]],Controles!B:J,9,FALSE),"NO")</f>
        <v>0</v>
      </c>
    </row>
    <row r="96" spans="2:12" x14ac:dyDescent="0.35">
      <c r="B96" s="4" t="s">
        <v>210</v>
      </c>
      <c r="C96" s="4" t="s">
        <v>5857</v>
      </c>
      <c r="D96" s="4" t="s">
        <v>5</v>
      </c>
      <c r="E96" s="4" t="s">
        <v>12</v>
      </c>
      <c r="F96" s="4" t="s">
        <v>83</v>
      </c>
      <c r="G96" s="4" t="s">
        <v>13</v>
      </c>
      <c r="H96" s="4" t="s">
        <v>91</v>
      </c>
      <c r="I96" s="5" t="str">
        <f>IFERROR(VLOOKUP(Consulta1[[#This Row],[Pozo largo]],'Lista YPF'!$B$3:$C$358,2,FALSE),"NO")</f>
        <v>NO</v>
      </c>
      <c r="J96" s="5" t="str">
        <f>IFERROR(VLOOKUP(Consulta1[[#This Row],[Pozo]],'Lista Oportunidades'!B:C,2,FALSE),"NO")</f>
        <v>NO</v>
      </c>
      <c r="K96" s="5">
        <f>IFERROR(VLOOKUP(Consulta1[[#This Row],[Pozo largo]],Controles!B:H,7,FALSE),"NO")</f>
        <v>2.0300000000000002</v>
      </c>
      <c r="L96" s="5">
        <f>IFERROR(VLOOKUP(Consulta1[[#This Row],[Pozo largo]],Controles!B:J,9,FALSE),"NO")</f>
        <v>0</v>
      </c>
    </row>
    <row r="97" spans="2:12" x14ac:dyDescent="0.35">
      <c r="B97" s="4" t="s">
        <v>212</v>
      </c>
      <c r="C97" s="4" t="s">
        <v>5858</v>
      </c>
      <c r="D97" s="4" t="s">
        <v>5</v>
      </c>
      <c r="E97" s="4" t="s">
        <v>57</v>
      </c>
      <c r="F97" s="4" t="s">
        <v>83</v>
      </c>
      <c r="G97" s="4" t="s">
        <v>11386</v>
      </c>
      <c r="H97" s="4" t="s">
        <v>91</v>
      </c>
      <c r="I97" s="5" t="str">
        <f>IFERROR(VLOOKUP(Consulta1[[#This Row],[Pozo largo]],'Lista YPF'!$B$3:$C$358,2,FALSE),"NO")</f>
        <v>NO</v>
      </c>
      <c r="J97" s="5" t="str">
        <f>IFERROR(VLOOKUP(Consulta1[[#This Row],[Pozo]],'Lista Oportunidades'!B:C,2,FALSE),"NO")</f>
        <v>NO</v>
      </c>
      <c r="K97" s="5">
        <f>IFERROR(VLOOKUP(Consulta1[[#This Row],[Pozo largo]],Controles!B:H,7,FALSE),"NO")</f>
        <v>0.44</v>
      </c>
      <c r="L97" s="5" t="str">
        <f>IFERROR(VLOOKUP(Consulta1[[#This Row],[Pozo largo]],Controles!B:J,9,FALSE),"NO")</f>
        <v>Ultimos 6 meses</v>
      </c>
    </row>
    <row r="98" spans="2:12" x14ac:dyDescent="0.35">
      <c r="B98" s="4" t="s">
        <v>214</v>
      </c>
      <c r="C98" s="4" t="s">
        <v>5859</v>
      </c>
      <c r="D98" s="4" t="s">
        <v>5</v>
      </c>
      <c r="E98" s="4" t="s">
        <v>12</v>
      </c>
      <c r="F98" s="4" t="s">
        <v>7</v>
      </c>
      <c r="G98" s="4" t="s">
        <v>13</v>
      </c>
      <c r="H98" s="4" t="s">
        <v>86</v>
      </c>
      <c r="I98" s="5" t="str">
        <f>IFERROR(VLOOKUP(Consulta1[[#This Row],[Pozo largo]],'Lista YPF'!$B$3:$C$358,2,FALSE),"NO")</f>
        <v>NO</v>
      </c>
      <c r="J98" s="5" t="str">
        <f>IFERROR(VLOOKUP(Consulta1[[#This Row],[Pozo]],'Lista Oportunidades'!B:C,2,FALSE),"NO")</f>
        <v>NO</v>
      </c>
      <c r="K98" s="5">
        <f>IFERROR(VLOOKUP(Consulta1[[#This Row],[Pozo largo]],Controles!B:H,7,FALSE),"NO")</f>
        <v>0.88300000000000001</v>
      </c>
      <c r="L98" s="5">
        <f>IFERROR(VLOOKUP(Consulta1[[#This Row],[Pozo largo]],Controles!B:J,9,FALSE),"NO")</f>
        <v>0</v>
      </c>
    </row>
    <row r="99" spans="2:12" x14ac:dyDescent="0.35">
      <c r="B99" s="4" t="s">
        <v>216</v>
      </c>
      <c r="C99" s="4" t="s">
        <v>5860</v>
      </c>
      <c r="D99" s="4" t="s">
        <v>5</v>
      </c>
      <c r="E99" s="4" t="s">
        <v>30</v>
      </c>
      <c r="F99" s="4" t="s">
        <v>31</v>
      </c>
      <c r="G99" s="4" t="s">
        <v>32</v>
      </c>
      <c r="H99" s="4" t="s">
        <v>80</v>
      </c>
      <c r="I99" s="5" t="str">
        <f>IFERROR(VLOOKUP(Consulta1[[#This Row],[Pozo largo]],'Lista YPF'!$B$3:$C$358,2,FALSE),"NO")</f>
        <v>NO</v>
      </c>
      <c r="J99" s="5" t="str">
        <f>IFERROR(VLOOKUP(Consulta1[[#This Row],[Pozo]],'Lista Oportunidades'!B:C,2,FALSE),"NO")</f>
        <v>NO</v>
      </c>
      <c r="K99" s="5">
        <f>IFERROR(VLOOKUP(Consulta1[[#This Row],[Pozo largo]],Controles!B:H,7,FALSE),"NO")</f>
        <v>0.85</v>
      </c>
      <c r="L99" s="5">
        <f>IFERROR(VLOOKUP(Consulta1[[#This Row],[Pozo largo]],Controles!B:J,9,FALSE),"NO")</f>
        <v>0</v>
      </c>
    </row>
    <row r="100" spans="2:12" x14ac:dyDescent="0.35">
      <c r="B100" s="4" t="s">
        <v>218</v>
      </c>
      <c r="C100" s="4" t="s">
        <v>5861</v>
      </c>
      <c r="D100" s="4" t="s">
        <v>5</v>
      </c>
      <c r="E100" s="4" t="s">
        <v>6</v>
      </c>
      <c r="F100" s="4" t="s">
        <v>28</v>
      </c>
      <c r="G100" s="4" t="s">
        <v>8</v>
      </c>
      <c r="H100" s="4" t="s">
        <v>71</v>
      </c>
      <c r="I100" s="5" t="str">
        <f>IFERROR(VLOOKUP(Consulta1[[#This Row],[Pozo largo]],'Lista YPF'!$B$3:$C$358,2,FALSE),"NO")</f>
        <v>NO</v>
      </c>
      <c r="J100" s="5" t="str">
        <f>IFERROR(VLOOKUP(Consulta1[[#This Row],[Pozo]],'Lista Oportunidades'!B:C,2,FALSE),"NO")</f>
        <v>NO</v>
      </c>
      <c r="K100" s="5">
        <f>IFERROR(VLOOKUP(Consulta1[[#This Row],[Pozo largo]],Controles!B:H,7,FALSE),"NO")</f>
        <v>0</v>
      </c>
      <c r="L100" s="5">
        <f>IFERROR(VLOOKUP(Consulta1[[#This Row],[Pozo largo]],Controles!B:J,9,FALSE),"NO")</f>
        <v>0</v>
      </c>
    </row>
    <row r="101" spans="2:12" x14ac:dyDescent="0.35">
      <c r="B101" s="4" t="s">
        <v>220</v>
      </c>
      <c r="C101" s="4" t="s">
        <v>5862</v>
      </c>
      <c r="D101" s="4" t="s">
        <v>5</v>
      </c>
      <c r="E101" s="4" t="s">
        <v>57</v>
      </c>
      <c r="F101" s="4" t="s">
        <v>7</v>
      </c>
      <c r="G101" s="4" t="s">
        <v>5718</v>
      </c>
      <c r="H101" s="4" t="s">
        <v>71</v>
      </c>
      <c r="I101" s="5" t="str">
        <f>IFERROR(VLOOKUP(Consulta1[[#This Row],[Pozo largo]],'Lista YPF'!$B$3:$C$358,2,FALSE),"NO")</f>
        <v>En lista de Abandono</v>
      </c>
      <c r="J101" s="5" t="str">
        <f>IFERROR(VLOOKUP(Consulta1[[#This Row],[Pozo]],'Lista Oportunidades'!B:C,2,FALSE),"NO")</f>
        <v>NO</v>
      </c>
      <c r="K101" s="5">
        <f>IFERROR(VLOOKUP(Consulta1[[#This Row],[Pozo largo]],Controles!B:H,7,FALSE),"NO")</f>
        <v>0.64</v>
      </c>
      <c r="L101" s="5">
        <f>IFERROR(VLOOKUP(Consulta1[[#This Row],[Pozo largo]],Controles!B:J,9,FALSE),"NO")</f>
        <v>0</v>
      </c>
    </row>
    <row r="102" spans="2:12" x14ac:dyDescent="0.35">
      <c r="B102" s="4" t="s">
        <v>222</v>
      </c>
      <c r="C102" s="4" t="s">
        <v>5863</v>
      </c>
      <c r="D102" s="4" t="s">
        <v>5</v>
      </c>
      <c r="E102" s="4" t="s">
        <v>6</v>
      </c>
      <c r="F102" s="4" t="s">
        <v>25</v>
      </c>
      <c r="G102" s="4" t="s">
        <v>11386</v>
      </c>
      <c r="H102" s="4" t="s">
        <v>71</v>
      </c>
      <c r="I102" s="5" t="str">
        <f>IFERROR(VLOOKUP(Consulta1[[#This Row],[Pozo largo]],'Lista YPF'!$B$3:$C$358,2,FALSE),"NO")</f>
        <v>NO</v>
      </c>
      <c r="J102" s="5" t="str">
        <f>IFERROR(VLOOKUP(Consulta1[[#This Row],[Pozo]],'Lista Oportunidades'!B:C,2,FALSE),"NO")</f>
        <v>NO</v>
      </c>
      <c r="K102" s="5">
        <f>IFERROR(VLOOKUP(Consulta1[[#This Row],[Pozo largo]],Controles!B:H,7,FALSE),"NO")</f>
        <v>4.0000000000000001E-3</v>
      </c>
      <c r="L102" s="5" t="str">
        <f>IFERROR(VLOOKUP(Consulta1[[#This Row],[Pozo largo]],Controles!B:J,9,FALSE),"NO")</f>
        <v>Ultimos 6 meses</v>
      </c>
    </row>
    <row r="103" spans="2:12" x14ac:dyDescent="0.35">
      <c r="B103" s="4" t="s">
        <v>224</v>
      </c>
      <c r="C103" s="4" t="s">
        <v>5864</v>
      </c>
      <c r="D103" s="4" t="s">
        <v>5</v>
      </c>
      <c r="E103" s="4" t="s">
        <v>12</v>
      </c>
      <c r="F103" s="4" t="s">
        <v>7</v>
      </c>
      <c r="G103" s="4" t="s">
        <v>13</v>
      </c>
      <c r="H103" s="4" t="s">
        <v>71</v>
      </c>
      <c r="I103" s="5" t="str">
        <f>IFERROR(VLOOKUP(Consulta1[[#This Row],[Pozo largo]],'Lista YPF'!$B$3:$C$358,2,FALSE),"NO")</f>
        <v>NO</v>
      </c>
      <c r="J103" s="5" t="str">
        <f>IFERROR(VLOOKUP(Consulta1[[#This Row],[Pozo]],'Lista Oportunidades'!B:C,2,FALSE),"NO")</f>
        <v>NO</v>
      </c>
      <c r="K103" s="5">
        <f>IFERROR(VLOOKUP(Consulta1[[#This Row],[Pozo largo]],Controles!B:H,7,FALSE),"NO")</f>
        <v>1.68</v>
      </c>
      <c r="L103" s="5">
        <f>IFERROR(VLOOKUP(Consulta1[[#This Row],[Pozo largo]],Controles!B:J,9,FALSE),"NO")</f>
        <v>0</v>
      </c>
    </row>
    <row r="104" spans="2:12" x14ac:dyDescent="0.35">
      <c r="B104" s="4" t="s">
        <v>226</v>
      </c>
      <c r="C104" s="4" t="s">
        <v>5865</v>
      </c>
      <c r="D104" s="4" t="s">
        <v>5</v>
      </c>
      <c r="E104" s="4" t="s">
        <v>24</v>
      </c>
      <c r="F104" s="4" t="s">
        <v>7</v>
      </c>
      <c r="G104" s="4" t="s">
        <v>8</v>
      </c>
      <c r="H104" s="4" t="s">
        <v>149</v>
      </c>
      <c r="I104" s="5" t="str">
        <f>IFERROR(VLOOKUP(Consulta1[[#This Row],[Pozo largo]],'Lista YPF'!$B$3:$C$358,2,FALSE),"NO")</f>
        <v>NO</v>
      </c>
      <c r="J104" s="5" t="str">
        <f>IFERROR(VLOOKUP(Consulta1[[#This Row],[Pozo]],'Lista Oportunidades'!B:C,2,FALSE),"NO")</f>
        <v>NO</v>
      </c>
      <c r="K104" s="5">
        <f>IFERROR(VLOOKUP(Consulta1[[#This Row],[Pozo largo]],Controles!B:H,7,FALSE),"NO")</f>
        <v>0.99</v>
      </c>
      <c r="L104" s="5">
        <f>IFERROR(VLOOKUP(Consulta1[[#This Row],[Pozo largo]],Controles!B:J,9,FALSE),"NO")</f>
        <v>0</v>
      </c>
    </row>
    <row r="105" spans="2:12" x14ac:dyDescent="0.35">
      <c r="B105" s="4" t="s">
        <v>228</v>
      </c>
      <c r="C105" s="4" t="s">
        <v>5866</v>
      </c>
      <c r="D105" s="4" t="s">
        <v>5</v>
      </c>
      <c r="E105" s="4" t="s">
        <v>24</v>
      </c>
      <c r="F105" s="4" t="s">
        <v>31</v>
      </c>
      <c r="G105" s="4" t="s">
        <v>8</v>
      </c>
      <c r="H105" s="4" t="s">
        <v>9</v>
      </c>
      <c r="I105" s="5" t="str">
        <f>IFERROR(VLOOKUP(Consulta1[[#This Row],[Pozo largo]],'Lista YPF'!$B$3:$C$358,2,FALSE),"NO")</f>
        <v>NO</v>
      </c>
      <c r="J105" s="5" t="str">
        <f>IFERROR(VLOOKUP(Consulta1[[#This Row],[Pozo]],'Lista Oportunidades'!B:C,2,FALSE),"NO")</f>
        <v>NO</v>
      </c>
      <c r="K105" s="5">
        <f>IFERROR(VLOOKUP(Consulta1[[#This Row],[Pozo largo]],Controles!B:H,7,FALSE),"NO")</f>
        <v>0.46</v>
      </c>
      <c r="L105" s="5">
        <f>IFERROR(VLOOKUP(Consulta1[[#This Row],[Pozo largo]],Controles!B:J,9,FALSE),"NO")</f>
        <v>0</v>
      </c>
    </row>
    <row r="106" spans="2:12" x14ac:dyDescent="0.35">
      <c r="B106" s="4" t="s">
        <v>230</v>
      </c>
      <c r="C106" s="4" t="s">
        <v>5867</v>
      </c>
      <c r="D106" s="4" t="s">
        <v>5</v>
      </c>
      <c r="E106" s="4" t="s">
        <v>24</v>
      </c>
      <c r="F106" s="4" t="s">
        <v>31</v>
      </c>
      <c r="G106" s="4" t="s">
        <v>11385</v>
      </c>
      <c r="H106" s="4" t="s">
        <v>21</v>
      </c>
      <c r="I106" s="5" t="str">
        <f>IFERROR(VLOOKUP(Consulta1[[#This Row],[Pozo largo]],'Lista YPF'!$B$3:$C$358,2,FALSE),"NO")</f>
        <v>NO</v>
      </c>
      <c r="J106" s="5" t="str">
        <f>IFERROR(VLOOKUP(Consulta1[[#This Row],[Pozo]],'Lista Oportunidades'!B:C,2,FALSE),"NO")</f>
        <v>NO</v>
      </c>
      <c r="K106" s="5">
        <f>IFERROR(VLOOKUP(Consulta1[[#This Row],[Pozo largo]],Controles!B:H,7,FALSE),"NO")</f>
        <v>1.7</v>
      </c>
      <c r="L106" s="5">
        <f>IFERROR(VLOOKUP(Consulta1[[#This Row],[Pozo largo]],Controles!B:J,9,FALSE),"NO")</f>
        <v>0</v>
      </c>
    </row>
    <row r="107" spans="2:12" x14ac:dyDescent="0.35">
      <c r="B107" s="4" t="s">
        <v>232</v>
      </c>
      <c r="C107" s="4" t="s">
        <v>5868</v>
      </c>
      <c r="D107" s="4" t="s">
        <v>5</v>
      </c>
      <c r="E107" s="4" t="s">
        <v>12</v>
      </c>
      <c r="F107" s="4" t="s">
        <v>25</v>
      </c>
      <c r="G107" s="4" t="s">
        <v>13</v>
      </c>
      <c r="H107" s="4" t="s">
        <v>21</v>
      </c>
      <c r="I107" s="5" t="str">
        <f>IFERROR(VLOOKUP(Consulta1[[#This Row],[Pozo largo]],'Lista YPF'!$B$3:$C$358,2,FALSE),"NO")</f>
        <v>NO</v>
      </c>
      <c r="J107" s="5" t="str">
        <f>IFERROR(VLOOKUP(Consulta1[[#This Row],[Pozo]],'Lista Oportunidades'!B:C,2,FALSE),"NO")</f>
        <v>NO</v>
      </c>
      <c r="K107" s="5">
        <f>IFERROR(VLOOKUP(Consulta1[[#This Row],[Pozo largo]],Controles!B:H,7,FALSE),"NO")</f>
        <v>0.14400000000000002</v>
      </c>
      <c r="L107" s="5">
        <f>IFERROR(VLOOKUP(Consulta1[[#This Row],[Pozo largo]],Controles!B:J,9,FALSE),"NO")</f>
        <v>0</v>
      </c>
    </row>
    <row r="108" spans="2:12" x14ac:dyDescent="0.35">
      <c r="B108" s="4" t="s">
        <v>234</v>
      </c>
      <c r="C108" s="4" t="s">
        <v>5869</v>
      </c>
      <c r="D108" s="4" t="s">
        <v>5</v>
      </c>
      <c r="E108" s="4" t="s">
        <v>30</v>
      </c>
      <c r="F108" s="4" t="s">
        <v>31</v>
      </c>
      <c r="G108" s="4" t="s">
        <v>32</v>
      </c>
      <c r="H108" s="4" t="s">
        <v>33</v>
      </c>
      <c r="I108" s="5" t="str">
        <f>IFERROR(VLOOKUP(Consulta1[[#This Row],[Pozo largo]],'Lista YPF'!$B$3:$C$358,2,FALSE),"NO")</f>
        <v>NO</v>
      </c>
      <c r="J108" s="5" t="str">
        <f>IFERROR(VLOOKUP(Consulta1[[#This Row],[Pozo]],'Lista Oportunidades'!B:C,2,FALSE),"NO")</f>
        <v>NO</v>
      </c>
      <c r="K108" s="5">
        <f>IFERROR(VLOOKUP(Consulta1[[#This Row],[Pozo largo]],Controles!B:H,7,FALSE),"NO")</f>
        <v>0</v>
      </c>
      <c r="L108" s="5">
        <f>IFERROR(VLOOKUP(Consulta1[[#This Row],[Pozo largo]],Controles!B:J,9,FALSE),"NO")</f>
        <v>0</v>
      </c>
    </row>
    <row r="109" spans="2:12" x14ac:dyDescent="0.35">
      <c r="B109" s="4" t="s">
        <v>236</v>
      </c>
      <c r="C109" s="4" t="s">
        <v>5870</v>
      </c>
      <c r="D109" s="4" t="s">
        <v>5</v>
      </c>
      <c r="E109" s="4" t="s">
        <v>12</v>
      </c>
      <c r="F109" s="4" t="s">
        <v>238</v>
      </c>
      <c r="G109" s="4" t="s">
        <v>13</v>
      </c>
      <c r="H109" s="4" t="s">
        <v>21</v>
      </c>
      <c r="I109" s="5" t="str">
        <f>IFERROR(VLOOKUP(Consulta1[[#This Row],[Pozo largo]],'Lista YPF'!$B$3:$C$358,2,FALSE),"NO")</f>
        <v>NO</v>
      </c>
      <c r="J109" s="5" t="str">
        <f>IFERROR(VLOOKUP(Consulta1[[#This Row],[Pozo]],'Lista Oportunidades'!B:C,2,FALSE),"NO")</f>
        <v>NO</v>
      </c>
      <c r="K109" s="5">
        <f>IFERROR(VLOOKUP(Consulta1[[#This Row],[Pozo largo]],Controles!B:H,7,FALSE),"NO")</f>
        <v>1.54</v>
      </c>
      <c r="L109" s="5">
        <f>IFERROR(VLOOKUP(Consulta1[[#This Row],[Pozo largo]],Controles!B:J,9,FALSE),"NO")</f>
        <v>0</v>
      </c>
    </row>
    <row r="110" spans="2:12" x14ac:dyDescent="0.35">
      <c r="B110" s="4" t="s">
        <v>239</v>
      </c>
      <c r="C110" s="4" t="s">
        <v>5871</v>
      </c>
      <c r="D110" s="4" t="s">
        <v>5</v>
      </c>
      <c r="E110" s="4" t="s">
        <v>57</v>
      </c>
      <c r="F110" s="4" t="s">
        <v>7</v>
      </c>
      <c r="G110" s="4" t="s">
        <v>5718</v>
      </c>
      <c r="H110" s="4" t="s">
        <v>33</v>
      </c>
      <c r="I110" s="5" t="str">
        <f>IFERROR(VLOOKUP(Consulta1[[#This Row],[Pozo largo]],'Lista YPF'!$B$3:$C$358,2,FALSE),"NO")</f>
        <v>En lista de Abandono</v>
      </c>
      <c r="J110" s="5" t="str">
        <f>IFERROR(VLOOKUP(Consulta1[[#This Row],[Pozo]],'Lista Oportunidades'!B:C,2,FALSE),"NO")</f>
        <v>NO</v>
      </c>
      <c r="K110" s="5">
        <f>IFERROR(VLOOKUP(Consulta1[[#This Row],[Pozo largo]],Controles!B:H,7,FALSE),"NO")</f>
        <v>0.24</v>
      </c>
      <c r="L110" s="5">
        <f>IFERROR(VLOOKUP(Consulta1[[#This Row],[Pozo largo]],Controles!B:J,9,FALSE),"NO")</f>
        <v>0</v>
      </c>
    </row>
    <row r="111" spans="2:12" x14ac:dyDescent="0.35">
      <c r="B111" s="4" t="s">
        <v>241</v>
      </c>
      <c r="C111" s="4" t="s">
        <v>5872</v>
      </c>
      <c r="D111" s="4" t="s">
        <v>5</v>
      </c>
      <c r="E111" s="4" t="s">
        <v>24</v>
      </c>
      <c r="F111" s="4" t="s">
        <v>7</v>
      </c>
      <c r="G111" s="4" t="s">
        <v>8</v>
      </c>
      <c r="H111" s="4" t="s">
        <v>9</v>
      </c>
      <c r="I111" s="5" t="str">
        <f>IFERROR(VLOOKUP(Consulta1[[#This Row],[Pozo largo]],'Lista YPF'!$B$3:$C$358,2,FALSE),"NO")</f>
        <v>NO</v>
      </c>
      <c r="J111" s="5" t="str">
        <f>IFERROR(VLOOKUP(Consulta1[[#This Row],[Pozo]],'Lista Oportunidades'!B:C,2,FALSE),"NO")</f>
        <v>NO</v>
      </c>
      <c r="K111" s="5">
        <f>IFERROR(VLOOKUP(Consulta1[[#This Row],[Pozo largo]],Controles!B:H,7,FALSE),"NO")</f>
        <v>1.173</v>
      </c>
      <c r="L111" s="5">
        <f>IFERROR(VLOOKUP(Consulta1[[#This Row],[Pozo largo]],Controles!B:J,9,FALSE),"NO")</f>
        <v>0</v>
      </c>
    </row>
    <row r="112" spans="2:12" x14ac:dyDescent="0.35">
      <c r="B112" s="4" t="s">
        <v>243</v>
      </c>
      <c r="C112" s="4" t="s">
        <v>5873</v>
      </c>
      <c r="D112" s="4" t="s">
        <v>5</v>
      </c>
      <c r="E112" s="4" t="s">
        <v>12</v>
      </c>
      <c r="F112" s="4" t="s">
        <v>7</v>
      </c>
      <c r="G112" s="4" t="s">
        <v>13</v>
      </c>
      <c r="H112" s="4" t="s">
        <v>36</v>
      </c>
      <c r="I112" s="5" t="str">
        <f>IFERROR(VLOOKUP(Consulta1[[#This Row],[Pozo largo]],'Lista YPF'!$B$3:$C$358,2,FALSE),"NO")</f>
        <v>NO</v>
      </c>
      <c r="J112" s="5" t="str">
        <f>IFERROR(VLOOKUP(Consulta1[[#This Row],[Pozo]],'Lista Oportunidades'!B:C,2,FALSE),"NO")</f>
        <v>NO</v>
      </c>
      <c r="K112" s="5">
        <f>IFERROR(VLOOKUP(Consulta1[[#This Row],[Pozo largo]],Controles!B:H,7,FALSE),"NO")</f>
        <v>1.014</v>
      </c>
      <c r="L112" s="5">
        <f>IFERROR(VLOOKUP(Consulta1[[#This Row],[Pozo largo]],Controles!B:J,9,FALSE),"NO")</f>
        <v>0</v>
      </c>
    </row>
    <row r="113" spans="2:12" x14ac:dyDescent="0.35">
      <c r="B113" s="4" t="s">
        <v>245</v>
      </c>
      <c r="C113" s="4" t="s">
        <v>5874</v>
      </c>
      <c r="D113" s="4" t="s">
        <v>5</v>
      </c>
      <c r="E113" s="4" t="s">
        <v>12</v>
      </c>
      <c r="F113" s="4" t="s">
        <v>28</v>
      </c>
      <c r="G113" s="4" t="s">
        <v>13</v>
      </c>
      <c r="H113" s="4" t="s">
        <v>36</v>
      </c>
      <c r="I113" s="5" t="str">
        <f>IFERROR(VLOOKUP(Consulta1[[#This Row],[Pozo largo]],'Lista YPF'!$B$3:$C$358,2,FALSE),"NO")</f>
        <v>NO</v>
      </c>
      <c r="J113" s="5" t="str">
        <f>IFERROR(VLOOKUP(Consulta1[[#This Row],[Pozo]],'Lista Oportunidades'!B:C,2,FALSE),"NO")</f>
        <v>NO</v>
      </c>
      <c r="K113" s="5">
        <f>IFERROR(VLOOKUP(Consulta1[[#This Row],[Pozo largo]],Controles!B:H,7,FALSE),"NO")</f>
        <v>0</v>
      </c>
      <c r="L113" s="5">
        <f>IFERROR(VLOOKUP(Consulta1[[#This Row],[Pozo largo]],Controles!B:J,9,FALSE),"NO")</f>
        <v>0</v>
      </c>
    </row>
    <row r="114" spans="2:12" x14ac:dyDescent="0.35">
      <c r="B114" s="4" t="s">
        <v>247</v>
      </c>
      <c r="C114" s="4" t="s">
        <v>5875</v>
      </c>
      <c r="D114" s="4" t="s">
        <v>5</v>
      </c>
      <c r="E114" s="4" t="s">
        <v>57</v>
      </c>
      <c r="F114" s="4" t="s">
        <v>7</v>
      </c>
      <c r="G114" s="4" t="s">
        <v>5718</v>
      </c>
      <c r="H114" s="4" t="s">
        <v>36</v>
      </c>
      <c r="I114" s="5" t="str">
        <f>IFERROR(VLOOKUP(Consulta1[[#This Row],[Pozo largo]],'Lista YPF'!$B$3:$C$358,2,FALSE),"NO")</f>
        <v>En lista de Abandono</v>
      </c>
      <c r="J114" s="5" t="str">
        <f>IFERROR(VLOOKUP(Consulta1[[#This Row],[Pozo]],'Lista Oportunidades'!B:C,2,FALSE),"NO")</f>
        <v>NO</v>
      </c>
      <c r="K114" s="5">
        <f>IFERROR(VLOOKUP(Consulta1[[#This Row],[Pozo largo]],Controles!B:H,7,FALSE),"NO")</f>
        <v>0.67200000000000004</v>
      </c>
      <c r="L114" s="5">
        <f>IFERROR(VLOOKUP(Consulta1[[#This Row],[Pozo largo]],Controles!B:J,9,FALSE),"NO")</f>
        <v>0</v>
      </c>
    </row>
    <row r="115" spans="2:12" x14ac:dyDescent="0.35">
      <c r="B115" s="4" t="s">
        <v>249</v>
      </c>
      <c r="C115" s="4" t="s">
        <v>5876</v>
      </c>
      <c r="D115" s="4" t="s">
        <v>5</v>
      </c>
      <c r="E115" s="4" t="s">
        <v>12</v>
      </c>
      <c r="F115" s="4" t="s">
        <v>28</v>
      </c>
      <c r="G115" s="4" t="s">
        <v>13</v>
      </c>
      <c r="H115" s="4" t="s">
        <v>36</v>
      </c>
      <c r="I115" s="5" t="str">
        <f>IFERROR(VLOOKUP(Consulta1[[#This Row],[Pozo largo]],'Lista YPF'!$B$3:$C$358,2,FALSE),"NO")</f>
        <v>NO</v>
      </c>
      <c r="J115" s="5" t="str">
        <f>IFERROR(VLOOKUP(Consulta1[[#This Row],[Pozo]],'Lista Oportunidades'!B:C,2,FALSE),"NO")</f>
        <v>NO</v>
      </c>
      <c r="K115" s="5">
        <f>IFERROR(VLOOKUP(Consulta1[[#This Row],[Pozo largo]],Controles!B:H,7,FALSE),"NO")</f>
        <v>0</v>
      </c>
      <c r="L115" s="5">
        <f>IFERROR(VLOOKUP(Consulta1[[#This Row],[Pozo largo]],Controles!B:J,9,FALSE),"NO")</f>
        <v>0</v>
      </c>
    </row>
    <row r="116" spans="2:12" x14ac:dyDescent="0.35">
      <c r="B116" s="4" t="s">
        <v>251</v>
      </c>
      <c r="C116" s="4" t="s">
        <v>5877</v>
      </c>
      <c r="D116" s="4" t="s">
        <v>5</v>
      </c>
      <c r="E116" s="4" t="s">
        <v>30</v>
      </c>
      <c r="F116" s="4" t="s">
        <v>31</v>
      </c>
      <c r="G116" s="4" t="s">
        <v>32</v>
      </c>
      <c r="H116" s="4" t="s">
        <v>21</v>
      </c>
      <c r="I116" s="5" t="str">
        <f>IFERROR(VLOOKUP(Consulta1[[#This Row],[Pozo largo]],'Lista YPF'!$B$3:$C$358,2,FALSE),"NO")</f>
        <v>NO</v>
      </c>
      <c r="J116" s="5" t="str">
        <f>IFERROR(VLOOKUP(Consulta1[[#This Row],[Pozo]],'Lista Oportunidades'!B:C,2,FALSE),"NO")</f>
        <v>NO</v>
      </c>
      <c r="K116" s="5" t="str">
        <f>IFERROR(VLOOKUP(Consulta1[[#This Row],[Pozo largo]],Controles!B:H,7,FALSE),"NO")</f>
        <v>NO</v>
      </c>
      <c r="L116" s="5" t="str">
        <f>IFERROR(VLOOKUP(Consulta1[[#This Row],[Pozo largo]],Controles!B:J,9,FALSE),"NO")</f>
        <v>NO</v>
      </c>
    </row>
    <row r="117" spans="2:12" x14ac:dyDescent="0.35">
      <c r="B117" s="4" t="s">
        <v>252</v>
      </c>
      <c r="C117" s="4" t="s">
        <v>5878</v>
      </c>
      <c r="D117" s="4" t="s">
        <v>5</v>
      </c>
      <c r="E117" s="4" t="s">
        <v>30</v>
      </c>
      <c r="F117" s="4" t="s">
        <v>31</v>
      </c>
      <c r="G117" s="4" t="s">
        <v>32</v>
      </c>
      <c r="H117" s="4" t="s">
        <v>36</v>
      </c>
      <c r="I117" s="5" t="str">
        <f>IFERROR(VLOOKUP(Consulta1[[#This Row],[Pozo largo]],'Lista YPF'!$B$3:$C$358,2,FALSE),"NO")</f>
        <v>NO</v>
      </c>
      <c r="J117" s="5" t="str">
        <f>IFERROR(VLOOKUP(Consulta1[[#This Row],[Pozo]],'Lista Oportunidades'!B:C,2,FALSE),"NO")</f>
        <v>NO</v>
      </c>
      <c r="K117" s="5" t="str">
        <f>IFERROR(VLOOKUP(Consulta1[[#This Row],[Pozo largo]],Controles!B:H,7,FALSE),"NO")</f>
        <v>NO</v>
      </c>
      <c r="L117" s="5" t="str">
        <f>IFERROR(VLOOKUP(Consulta1[[#This Row],[Pozo largo]],Controles!B:J,9,FALSE),"NO")</f>
        <v>NO</v>
      </c>
    </row>
    <row r="118" spans="2:12" x14ac:dyDescent="0.35">
      <c r="B118" s="4" t="s">
        <v>253</v>
      </c>
      <c r="C118" s="4" t="s">
        <v>5879</v>
      </c>
      <c r="D118" s="4" t="s">
        <v>5</v>
      </c>
      <c r="E118" s="4" t="s">
        <v>30</v>
      </c>
      <c r="F118" s="4" t="s">
        <v>31</v>
      </c>
      <c r="G118" s="4" t="s">
        <v>32</v>
      </c>
      <c r="H118" s="4" t="s">
        <v>254</v>
      </c>
      <c r="I118" s="5" t="str">
        <f>IFERROR(VLOOKUP(Consulta1[[#This Row],[Pozo largo]],'Lista YPF'!$B$3:$C$358,2,FALSE),"NO")</f>
        <v>NO</v>
      </c>
      <c r="J118" s="5" t="str">
        <f>IFERROR(VLOOKUP(Consulta1[[#This Row],[Pozo]],'Lista Oportunidades'!B:C,2,FALSE),"NO")</f>
        <v>NO</v>
      </c>
      <c r="K118" s="5" t="str">
        <f>IFERROR(VLOOKUP(Consulta1[[#This Row],[Pozo largo]],Controles!B:H,7,FALSE),"NO")</f>
        <v>NO</v>
      </c>
      <c r="L118" s="5" t="str">
        <f>IFERROR(VLOOKUP(Consulta1[[#This Row],[Pozo largo]],Controles!B:J,9,FALSE),"NO")</f>
        <v>NO</v>
      </c>
    </row>
    <row r="119" spans="2:12" x14ac:dyDescent="0.35">
      <c r="B119" s="4" t="s">
        <v>255</v>
      </c>
      <c r="C119" s="4" t="s">
        <v>5880</v>
      </c>
      <c r="D119" s="4" t="s">
        <v>5</v>
      </c>
      <c r="E119" s="4" t="s">
        <v>12</v>
      </c>
      <c r="F119" s="4" t="s">
        <v>28</v>
      </c>
      <c r="G119" s="4" t="s">
        <v>13</v>
      </c>
      <c r="H119" s="4" t="s">
        <v>86</v>
      </c>
      <c r="I119" s="5" t="str">
        <f>IFERROR(VLOOKUP(Consulta1[[#This Row],[Pozo largo]],'Lista YPF'!$B$3:$C$358,2,FALSE),"NO")</f>
        <v>NO</v>
      </c>
      <c r="J119" s="5" t="str">
        <f>IFERROR(VLOOKUP(Consulta1[[#This Row],[Pozo]],'Lista Oportunidades'!B:C,2,FALSE),"NO")</f>
        <v>NO</v>
      </c>
      <c r="K119" s="5">
        <f>IFERROR(VLOOKUP(Consulta1[[#This Row],[Pozo largo]],Controles!B:H,7,FALSE),"NO")</f>
        <v>0</v>
      </c>
      <c r="L119" s="5">
        <f>IFERROR(VLOOKUP(Consulta1[[#This Row],[Pozo largo]],Controles!B:J,9,FALSE),"NO")</f>
        <v>0</v>
      </c>
    </row>
    <row r="120" spans="2:12" x14ac:dyDescent="0.35">
      <c r="B120" s="4" t="s">
        <v>257</v>
      </c>
      <c r="C120" s="4" t="s">
        <v>5881</v>
      </c>
      <c r="D120" s="4" t="s">
        <v>5</v>
      </c>
      <c r="E120" s="4" t="s">
        <v>30</v>
      </c>
      <c r="F120" s="4" t="s">
        <v>31</v>
      </c>
      <c r="G120" s="4" t="s">
        <v>32</v>
      </c>
      <c r="H120" s="4" t="s">
        <v>185</v>
      </c>
      <c r="I120" s="5" t="str">
        <f>IFERROR(VLOOKUP(Consulta1[[#This Row],[Pozo largo]],'Lista YPF'!$B$3:$C$358,2,FALSE),"NO")</f>
        <v>NO</v>
      </c>
      <c r="J120" s="5" t="str">
        <f>IFERROR(VLOOKUP(Consulta1[[#This Row],[Pozo]],'Lista Oportunidades'!B:C,2,FALSE),"NO")</f>
        <v>NO</v>
      </c>
      <c r="K120" s="5" t="str">
        <f>IFERROR(VLOOKUP(Consulta1[[#This Row],[Pozo largo]],Controles!B:H,7,FALSE),"NO")</f>
        <v>NO</v>
      </c>
      <c r="L120" s="5" t="str">
        <f>IFERROR(VLOOKUP(Consulta1[[#This Row],[Pozo largo]],Controles!B:J,9,FALSE),"NO")</f>
        <v>NO</v>
      </c>
    </row>
    <row r="121" spans="2:12" x14ac:dyDescent="0.35">
      <c r="B121" s="4" t="s">
        <v>258</v>
      </c>
      <c r="C121" s="4" t="s">
        <v>5882</v>
      </c>
      <c r="D121" s="4" t="s">
        <v>5</v>
      </c>
      <c r="E121" s="4" t="s">
        <v>12</v>
      </c>
      <c r="F121" s="4" t="s">
        <v>7</v>
      </c>
      <c r="G121" s="4" t="s">
        <v>13</v>
      </c>
      <c r="H121" s="4" t="s">
        <v>260</v>
      </c>
      <c r="I121" s="5" t="str">
        <f>IFERROR(VLOOKUP(Consulta1[[#This Row],[Pozo largo]],'Lista YPF'!$B$3:$C$358,2,FALSE),"NO")</f>
        <v>NO</v>
      </c>
      <c r="J121" s="5" t="str">
        <f>IFERROR(VLOOKUP(Consulta1[[#This Row],[Pozo]],'Lista Oportunidades'!B:C,2,FALSE),"NO")</f>
        <v>NO</v>
      </c>
      <c r="K121" s="5">
        <f>IFERROR(VLOOKUP(Consulta1[[#This Row],[Pozo largo]],Controles!B:H,7,FALSE),"NO")</f>
        <v>2.34</v>
      </c>
      <c r="L121" s="5" t="str">
        <f>IFERROR(VLOOKUP(Consulta1[[#This Row],[Pozo largo]],Controles!B:J,9,FALSE),"NO")</f>
        <v>Ultimos 6 meses</v>
      </c>
    </row>
    <row r="122" spans="2:12" x14ac:dyDescent="0.35">
      <c r="B122" s="4" t="s">
        <v>261</v>
      </c>
      <c r="C122" s="4" t="s">
        <v>5883</v>
      </c>
      <c r="D122" s="4" t="s">
        <v>5</v>
      </c>
      <c r="E122" s="4" t="s">
        <v>30</v>
      </c>
      <c r="F122" s="4" t="s">
        <v>31</v>
      </c>
      <c r="G122" s="4" t="s">
        <v>32</v>
      </c>
      <c r="H122" s="4" t="s">
        <v>91</v>
      </c>
      <c r="I122" s="5" t="str">
        <f>IFERROR(VLOOKUP(Consulta1[[#This Row],[Pozo largo]],'Lista YPF'!$B$3:$C$358,2,FALSE),"NO")</f>
        <v>NO</v>
      </c>
      <c r="J122" s="5" t="str">
        <f>IFERROR(VLOOKUP(Consulta1[[#This Row],[Pozo]],'Lista Oportunidades'!B:C,2,FALSE),"NO")</f>
        <v>NO</v>
      </c>
      <c r="K122" s="5">
        <f>IFERROR(VLOOKUP(Consulta1[[#This Row],[Pozo largo]],Controles!B:H,7,FALSE),"NO")</f>
        <v>0.48200000000000004</v>
      </c>
      <c r="L122" s="5">
        <f>IFERROR(VLOOKUP(Consulta1[[#This Row],[Pozo largo]],Controles!B:J,9,FALSE),"NO")</f>
        <v>0</v>
      </c>
    </row>
    <row r="123" spans="2:12" x14ac:dyDescent="0.35">
      <c r="B123" s="4" t="s">
        <v>263</v>
      </c>
      <c r="C123" s="4" t="s">
        <v>5884</v>
      </c>
      <c r="D123" s="4" t="s">
        <v>5</v>
      </c>
      <c r="E123" s="4" t="s">
        <v>24</v>
      </c>
      <c r="F123" s="4" t="s">
        <v>31</v>
      </c>
      <c r="G123" s="4" t="s">
        <v>8</v>
      </c>
      <c r="H123" s="4" t="s">
        <v>21</v>
      </c>
      <c r="I123" s="5" t="str">
        <f>IFERROR(VLOOKUP(Consulta1[[#This Row],[Pozo largo]],'Lista YPF'!$B$3:$C$358,2,FALSE),"NO")</f>
        <v>NO</v>
      </c>
      <c r="J123" s="5" t="str">
        <f>IFERROR(VLOOKUP(Consulta1[[#This Row],[Pozo]],'Lista Oportunidades'!B:C,2,FALSE),"NO")</f>
        <v>NO</v>
      </c>
      <c r="K123" s="5" t="str">
        <f>IFERROR(VLOOKUP(Consulta1[[#This Row],[Pozo largo]],Controles!B:H,7,FALSE),"NO")</f>
        <v>NO</v>
      </c>
      <c r="L123" s="5" t="str">
        <f>IFERROR(VLOOKUP(Consulta1[[#This Row],[Pozo largo]],Controles!B:J,9,FALSE),"NO")</f>
        <v>NO</v>
      </c>
    </row>
    <row r="124" spans="2:12" x14ac:dyDescent="0.35">
      <c r="B124" s="4" t="s">
        <v>264</v>
      </c>
      <c r="C124" s="4" t="s">
        <v>5885</v>
      </c>
      <c r="D124" s="4" t="s">
        <v>5</v>
      </c>
      <c r="E124" s="4" t="s">
        <v>6</v>
      </c>
      <c r="F124" s="4" t="s">
        <v>28</v>
      </c>
      <c r="G124" s="4" t="s">
        <v>5718</v>
      </c>
      <c r="H124" s="4" t="s">
        <v>80</v>
      </c>
      <c r="I124" s="5" t="str">
        <f>IFERROR(VLOOKUP(Consulta1[[#This Row],[Pozo largo]],'Lista YPF'!$B$3:$C$358,2,FALSE),"NO")</f>
        <v>En lista de Abandono</v>
      </c>
      <c r="J124" s="5" t="str">
        <f>IFERROR(VLOOKUP(Consulta1[[#This Row],[Pozo]],'Lista Oportunidades'!B:C,2,FALSE),"NO")</f>
        <v>NO</v>
      </c>
      <c r="K124" s="5">
        <f>IFERROR(VLOOKUP(Consulta1[[#This Row],[Pozo largo]],Controles!B:H,7,FALSE),"NO")</f>
        <v>0</v>
      </c>
      <c r="L124" s="5">
        <f>IFERROR(VLOOKUP(Consulta1[[#This Row],[Pozo largo]],Controles!B:J,9,FALSE),"NO")</f>
        <v>0</v>
      </c>
    </row>
    <row r="125" spans="2:12" x14ac:dyDescent="0.35">
      <c r="B125" s="4" t="s">
        <v>266</v>
      </c>
      <c r="C125" s="4" t="s">
        <v>5886</v>
      </c>
      <c r="D125" s="4" t="s">
        <v>5</v>
      </c>
      <c r="E125" s="4" t="s">
        <v>12</v>
      </c>
      <c r="F125" s="4" t="s">
        <v>7</v>
      </c>
      <c r="G125" s="4" t="s">
        <v>13</v>
      </c>
      <c r="H125" s="4" t="s">
        <v>91</v>
      </c>
      <c r="I125" s="5" t="str">
        <f>IFERROR(VLOOKUP(Consulta1[[#This Row],[Pozo largo]],'Lista YPF'!$B$3:$C$358,2,FALSE),"NO")</f>
        <v>NO</v>
      </c>
      <c r="J125" s="5" t="str">
        <f>IFERROR(VLOOKUP(Consulta1[[#This Row],[Pozo]],'Lista Oportunidades'!B:C,2,FALSE),"NO")</f>
        <v>NO</v>
      </c>
      <c r="K125" s="5">
        <f>IFERROR(VLOOKUP(Consulta1[[#This Row],[Pozo largo]],Controles!B:H,7,FALSE),"NO")</f>
        <v>2.42</v>
      </c>
      <c r="L125" s="5">
        <f>IFERROR(VLOOKUP(Consulta1[[#This Row],[Pozo largo]],Controles!B:J,9,FALSE),"NO")</f>
        <v>0</v>
      </c>
    </row>
    <row r="126" spans="2:12" x14ac:dyDescent="0.35">
      <c r="B126" s="4" t="s">
        <v>268</v>
      </c>
      <c r="C126" s="4" t="s">
        <v>5887</v>
      </c>
      <c r="D126" s="4" t="s">
        <v>5</v>
      </c>
      <c r="E126" s="4" t="s">
        <v>30</v>
      </c>
      <c r="F126" s="4" t="s">
        <v>31</v>
      </c>
      <c r="G126" s="4" t="s">
        <v>32</v>
      </c>
      <c r="H126" s="4" t="s">
        <v>80</v>
      </c>
      <c r="I126" s="5" t="str">
        <f>IFERROR(VLOOKUP(Consulta1[[#This Row],[Pozo largo]],'Lista YPF'!$B$3:$C$358,2,FALSE),"NO")</f>
        <v>NO</v>
      </c>
      <c r="J126" s="5" t="str">
        <f>IFERROR(VLOOKUP(Consulta1[[#This Row],[Pozo]],'Lista Oportunidades'!B:C,2,FALSE),"NO")</f>
        <v>NO</v>
      </c>
      <c r="K126" s="5">
        <f>IFERROR(VLOOKUP(Consulta1[[#This Row],[Pozo largo]],Controles!B:H,7,FALSE),"NO")</f>
        <v>0</v>
      </c>
      <c r="L126" s="5">
        <f>IFERROR(VLOOKUP(Consulta1[[#This Row],[Pozo largo]],Controles!B:J,9,FALSE),"NO")</f>
        <v>0</v>
      </c>
    </row>
    <row r="127" spans="2:12" x14ac:dyDescent="0.35">
      <c r="B127" s="4" t="s">
        <v>270</v>
      </c>
      <c r="C127" s="4" t="s">
        <v>5888</v>
      </c>
      <c r="D127" s="4" t="s">
        <v>5</v>
      </c>
      <c r="E127" s="4" t="s">
        <v>12</v>
      </c>
      <c r="F127" s="4" t="s">
        <v>83</v>
      </c>
      <c r="G127" s="4" t="s">
        <v>13</v>
      </c>
      <c r="H127" s="4" t="s">
        <v>84</v>
      </c>
      <c r="I127" s="5" t="str">
        <f>IFERROR(VLOOKUP(Consulta1[[#This Row],[Pozo largo]],'Lista YPF'!$B$3:$C$358,2,FALSE),"NO")</f>
        <v>NO</v>
      </c>
      <c r="J127" s="5" t="str">
        <f>IFERROR(VLOOKUP(Consulta1[[#This Row],[Pozo]],'Lista Oportunidades'!B:C,2,FALSE),"NO")</f>
        <v>NO</v>
      </c>
      <c r="K127" s="5">
        <f>IFERROR(VLOOKUP(Consulta1[[#This Row],[Pozo largo]],Controles!B:H,7,FALSE),"NO")</f>
        <v>1.95</v>
      </c>
      <c r="L127" s="5">
        <f>IFERROR(VLOOKUP(Consulta1[[#This Row],[Pozo largo]],Controles!B:J,9,FALSE),"NO")</f>
        <v>0</v>
      </c>
    </row>
    <row r="128" spans="2:12" x14ac:dyDescent="0.35">
      <c r="B128" s="4" t="s">
        <v>272</v>
      </c>
      <c r="C128" s="4" t="s">
        <v>5889</v>
      </c>
      <c r="D128" s="4" t="s">
        <v>5</v>
      </c>
      <c r="E128" s="4" t="s">
        <v>30</v>
      </c>
      <c r="F128" s="4" t="s">
        <v>31</v>
      </c>
      <c r="G128" s="4" t="s">
        <v>32</v>
      </c>
      <c r="H128" s="4" t="s">
        <v>91</v>
      </c>
      <c r="I128" s="5" t="str">
        <f>IFERROR(VLOOKUP(Consulta1[[#This Row],[Pozo largo]],'Lista YPF'!$B$3:$C$358,2,FALSE),"NO")</f>
        <v>NO</v>
      </c>
      <c r="J128" s="5" t="str">
        <f>IFERROR(VLOOKUP(Consulta1[[#This Row],[Pozo]],'Lista Oportunidades'!B:C,2,FALSE),"NO")</f>
        <v>NO</v>
      </c>
      <c r="K128" s="5" t="str">
        <f>IFERROR(VLOOKUP(Consulta1[[#This Row],[Pozo largo]],Controles!B:H,7,FALSE),"NO")</f>
        <v>NO</v>
      </c>
      <c r="L128" s="5" t="str">
        <f>IFERROR(VLOOKUP(Consulta1[[#This Row],[Pozo largo]],Controles!B:J,9,FALSE),"NO")</f>
        <v>NO</v>
      </c>
    </row>
    <row r="129" spans="2:12" x14ac:dyDescent="0.35">
      <c r="B129" s="4" t="s">
        <v>273</v>
      </c>
      <c r="C129" s="4" t="s">
        <v>5890</v>
      </c>
      <c r="D129" s="4" t="s">
        <v>5</v>
      </c>
      <c r="E129" s="4" t="s">
        <v>30</v>
      </c>
      <c r="F129" s="4" t="s">
        <v>31</v>
      </c>
      <c r="G129" s="4" t="s">
        <v>32</v>
      </c>
      <c r="H129" s="4" t="s">
        <v>91</v>
      </c>
      <c r="I129" s="5" t="str">
        <f>IFERROR(VLOOKUP(Consulta1[[#This Row],[Pozo largo]],'Lista YPF'!$B$3:$C$358,2,FALSE),"NO")</f>
        <v>NO</v>
      </c>
      <c r="J129" s="5" t="str">
        <f>IFERROR(VLOOKUP(Consulta1[[#This Row],[Pozo]],'Lista Oportunidades'!B:C,2,FALSE),"NO")</f>
        <v>NO</v>
      </c>
      <c r="K129" s="5" t="str">
        <f>IFERROR(VLOOKUP(Consulta1[[#This Row],[Pozo largo]],Controles!B:H,7,FALSE),"NO")</f>
        <v>NO</v>
      </c>
      <c r="L129" s="5" t="str">
        <f>IFERROR(VLOOKUP(Consulta1[[#This Row],[Pozo largo]],Controles!B:J,9,FALSE),"NO")</f>
        <v>NO</v>
      </c>
    </row>
    <row r="130" spans="2:12" x14ac:dyDescent="0.35">
      <c r="B130" s="4" t="s">
        <v>274</v>
      </c>
      <c r="C130" s="4" t="s">
        <v>5891</v>
      </c>
      <c r="D130" s="4" t="s">
        <v>5</v>
      </c>
      <c r="E130" s="4" t="s">
        <v>12</v>
      </c>
      <c r="F130" s="4" t="s">
        <v>238</v>
      </c>
      <c r="G130" s="4" t="s">
        <v>13</v>
      </c>
      <c r="H130" s="4" t="s">
        <v>91</v>
      </c>
      <c r="I130" s="5" t="str">
        <f>IFERROR(VLOOKUP(Consulta1[[#This Row],[Pozo largo]],'Lista YPF'!$B$3:$C$358,2,FALSE),"NO")</f>
        <v>NO</v>
      </c>
      <c r="J130" s="5" t="str">
        <f>IFERROR(VLOOKUP(Consulta1[[#This Row],[Pozo]],'Lista Oportunidades'!B:C,2,FALSE),"NO")</f>
        <v>NO</v>
      </c>
      <c r="K130" s="5">
        <f>IFERROR(VLOOKUP(Consulta1[[#This Row],[Pozo largo]],Controles!B:H,7,FALSE),"NO")</f>
        <v>3.3000000000000003</v>
      </c>
      <c r="L130" s="5">
        <f>IFERROR(VLOOKUP(Consulta1[[#This Row],[Pozo largo]],Controles!B:J,9,FALSE),"NO")</f>
        <v>0</v>
      </c>
    </row>
    <row r="131" spans="2:12" x14ac:dyDescent="0.35">
      <c r="B131" s="4" t="s">
        <v>276</v>
      </c>
      <c r="C131" s="4" t="s">
        <v>5892</v>
      </c>
      <c r="D131" s="4" t="s">
        <v>5</v>
      </c>
      <c r="E131" s="4" t="s">
        <v>24</v>
      </c>
      <c r="F131" s="4" t="s">
        <v>25</v>
      </c>
      <c r="G131" s="4" t="s">
        <v>8</v>
      </c>
      <c r="H131" s="4" t="s">
        <v>86</v>
      </c>
      <c r="I131" s="5" t="str">
        <f>IFERROR(VLOOKUP(Consulta1[[#This Row],[Pozo largo]],'Lista YPF'!$B$3:$C$358,2,FALSE),"NO")</f>
        <v>NO</v>
      </c>
      <c r="J131" s="5" t="str">
        <f>IFERROR(VLOOKUP(Consulta1[[#This Row],[Pozo]],'Lista Oportunidades'!B:C,2,FALSE),"NO")</f>
        <v>NO</v>
      </c>
      <c r="K131" s="5">
        <f>IFERROR(VLOOKUP(Consulta1[[#This Row],[Pozo largo]],Controles!B:H,7,FALSE),"NO")</f>
        <v>0.221</v>
      </c>
      <c r="L131" s="5">
        <f>IFERROR(VLOOKUP(Consulta1[[#This Row],[Pozo largo]],Controles!B:J,9,FALSE),"NO")</f>
        <v>0</v>
      </c>
    </row>
    <row r="132" spans="2:12" x14ac:dyDescent="0.35">
      <c r="B132" s="4" t="s">
        <v>278</v>
      </c>
      <c r="C132" s="4" t="s">
        <v>5893</v>
      </c>
      <c r="D132" s="4" t="s">
        <v>5</v>
      </c>
      <c r="E132" s="4" t="s">
        <v>12</v>
      </c>
      <c r="F132" s="4" t="s">
        <v>25</v>
      </c>
      <c r="G132" s="4" t="s">
        <v>13</v>
      </c>
      <c r="H132" s="4" t="s">
        <v>86</v>
      </c>
      <c r="I132" s="5" t="str">
        <f>IFERROR(VLOOKUP(Consulta1[[#This Row],[Pozo largo]],'Lista YPF'!$B$3:$C$358,2,FALSE),"NO")</f>
        <v>NO</v>
      </c>
      <c r="J132" s="5" t="str">
        <f>IFERROR(VLOOKUP(Consulta1[[#This Row],[Pozo]],'Lista Oportunidades'!B:C,2,FALSE),"NO")</f>
        <v>NO</v>
      </c>
      <c r="K132" s="5">
        <f>IFERROR(VLOOKUP(Consulta1[[#This Row],[Pozo largo]],Controles!B:H,7,FALSE),"NO")</f>
        <v>0.13200000000000001</v>
      </c>
      <c r="L132" s="5">
        <f>IFERROR(VLOOKUP(Consulta1[[#This Row],[Pozo largo]],Controles!B:J,9,FALSE),"NO")</f>
        <v>0</v>
      </c>
    </row>
    <row r="133" spans="2:12" x14ac:dyDescent="0.35">
      <c r="B133" s="4" t="s">
        <v>280</v>
      </c>
      <c r="C133" s="4" t="s">
        <v>5894</v>
      </c>
      <c r="D133" s="4" t="s">
        <v>5</v>
      </c>
      <c r="E133" s="4" t="s">
        <v>12</v>
      </c>
      <c r="F133" s="4" t="s">
        <v>238</v>
      </c>
      <c r="G133" s="4" t="s">
        <v>13</v>
      </c>
      <c r="H133" s="4" t="s">
        <v>86</v>
      </c>
      <c r="I133" s="5" t="str">
        <f>IFERROR(VLOOKUP(Consulta1[[#This Row],[Pozo largo]],'Lista YPF'!$B$3:$C$358,2,FALSE),"NO")</f>
        <v>NO</v>
      </c>
      <c r="J133" s="5" t="str">
        <f>IFERROR(VLOOKUP(Consulta1[[#This Row],[Pozo]],'Lista Oportunidades'!B:C,2,FALSE),"NO")</f>
        <v>NO</v>
      </c>
      <c r="K133" s="5">
        <f>IFERROR(VLOOKUP(Consulta1[[#This Row],[Pozo largo]],Controles!B:H,7,FALSE),"NO")</f>
        <v>0.87</v>
      </c>
      <c r="L133" s="5">
        <f>IFERROR(VLOOKUP(Consulta1[[#This Row],[Pozo largo]],Controles!B:J,9,FALSE),"NO")</f>
        <v>0</v>
      </c>
    </row>
    <row r="134" spans="2:12" x14ac:dyDescent="0.35">
      <c r="B134" s="4" t="s">
        <v>282</v>
      </c>
      <c r="C134" s="4" t="s">
        <v>5895</v>
      </c>
      <c r="D134" s="4" t="s">
        <v>5</v>
      </c>
      <c r="E134" s="4" t="s">
        <v>12</v>
      </c>
      <c r="F134" s="4" t="s">
        <v>7</v>
      </c>
      <c r="G134" s="4" t="s">
        <v>13</v>
      </c>
      <c r="H134" s="4" t="s">
        <v>185</v>
      </c>
      <c r="I134" s="5" t="str">
        <f>IFERROR(VLOOKUP(Consulta1[[#This Row],[Pozo largo]],'Lista YPF'!$B$3:$C$358,2,FALSE),"NO")</f>
        <v>NO</v>
      </c>
      <c r="J134" s="5" t="str">
        <f>IFERROR(VLOOKUP(Consulta1[[#This Row],[Pozo]],'Lista Oportunidades'!B:C,2,FALSE),"NO")</f>
        <v>NO</v>
      </c>
      <c r="K134" s="5">
        <f>IFERROR(VLOOKUP(Consulta1[[#This Row],[Pozo largo]],Controles!B:H,7,FALSE),"NO")</f>
        <v>3.9060000000000001</v>
      </c>
      <c r="L134" s="5">
        <f>IFERROR(VLOOKUP(Consulta1[[#This Row],[Pozo largo]],Controles!B:J,9,FALSE),"NO")</f>
        <v>0</v>
      </c>
    </row>
    <row r="135" spans="2:12" x14ac:dyDescent="0.35">
      <c r="B135" s="4" t="s">
        <v>284</v>
      </c>
      <c r="C135" s="4" t="s">
        <v>5896</v>
      </c>
      <c r="D135" s="4" t="s">
        <v>5</v>
      </c>
      <c r="E135" s="4" t="s">
        <v>24</v>
      </c>
      <c r="F135" s="4" t="s">
        <v>31</v>
      </c>
      <c r="G135" s="4" t="s">
        <v>8</v>
      </c>
      <c r="H135" s="4" t="s">
        <v>141</v>
      </c>
      <c r="I135" s="5" t="str">
        <f>IFERROR(VLOOKUP(Consulta1[[#This Row],[Pozo largo]],'Lista YPF'!$B$3:$C$358,2,FALSE),"NO")</f>
        <v>NO</v>
      </c>
      <c r="J135" s="5" t="str">
        <f>IFERROR(VLOOKUP(Consulta1[[#This Row],[Pozo]],'Lista Oportunidades'!B:C,2,FALSE),"NO")</f>
        <v>NO</v>
      </c>
      <c r="K135" s="5">
        <f>IFERROR(VLOOKUP(Consulta1[[#This Row],[Pozo largo]],Controles!B:H,7,FALSE),"NO")</f>
        <v>1.1599999999999999</v>
      </c>
      <c r="L135" s="5">
        <f>IFERROR(VLOOKUP(Consulta1[[#This Row],[Pozo largo]],Controles!B:J,9,FALSE),"NO")</f>
        <v>0</v>
      </c>
    </row>
    <row r="136" spans="2:12" x14ac:dyDescent="0.35">
      <c r="B136" s="4" t="s">
        <v>286</v>
      </c>
      <c r="C136" s="4" t="s">
        <v>5897</v>
      </c>
      <c r="D136" s="4" t="s">
        <v>5</v>
      </c>
      <c r="E136" s="4" t="s">
        <v>24</v>
      </c>
      <c r="F136" s="4" t="s">
        <v>31</v>
      </c>
      <c r="G136" s="4" t="s">
        <v>8</v>
      </c>
      <c r="H136" s="4" t="s">
        <v>16</v>
      </c>
      <c r="I136" s="5" t="str">
        <f>IFERROR(VLOOKUP(Consulta1[[#This Row],[Pozo largo]],'Lista YPF'!$B$3:$C$358,2,FALSE),"NO")</f>
        <v>NO</v>
      </c>
      <c r="J136" s="5" t="str">
        <f>IFERROR(VLOOKUP(Consulta1[[#This Row],[Pozo]],'Lista Oportunidades'!B:C,2,FALSE),"NO")</f>
        <v>NO</v>
      </c>
      <c r="K136" s="5">
        <f>IFERROR(VLOOKUP(Consulta1[[#This Row],[Pozo largo]],Controles!B:H,7,FALSE),"NO")</f>
        <v>8.6000000000000007E-2</v>
      </c>
      <c r="L136" s="5">
        <f>IFERROR(VLOOKUP(Consulta1[[#This Row],[Pozo largo]],Controles!B:J,9,FALSE),"NO")</f>
        <v>0</v>
      </c>
    </row>
    <row r="137" spans="2:12" x14ac:dyDescent="0.35">
      <c r="B137" s="4" t="s">
        <v>288</v>
      </c>
      <c r="C137" s="4" t="s">
        <v>5898</v>
      </c>
      <c r="D137" s="4" t="s">
        <v>5</v>
      </c>
      <c r="E137" s="4" t="s">
        <v>30</v>
      </c>
      <c r="F137" s="4" t="s">
        <v>31</v>
      </c>
      <c r="G137" s="4" t="s">
        <v>32</v>
      </c>
      <c r="H137" s="4" t="s">
        <v>290</v>
      </c>
      <c r="I137" s="5" t="str">
        <f>IFERROR(VLOOKUP(Consulta1[[#This Row],[Pozo largo]],'Lista YPF'!$B$3:$C$358,2,FALSE),"NO")</f>
        <v>NO</v>
      </c>
      <c r="J137" s="5" t="str">
        <f>IFERROR(VLOOKUP(Consulta1[[#This Row],[Pozo]],'Lista Oportunidades'!B:C,2,FALSE),"NO")</f>
        <v>NO</v>
      </c>
      <c r="K137" s="5">
        <f>IFERROR(VLOOKUP(Consulta1[[#This Row],[Pozo largo]],Controles!B:H,7,FALSE),"NO")</f>
        <v>2.94</v>
      </c>
      <c r="L137" s="5">
        <f>IFERROR(VLOOKUP(Consulta1[[#This Row],[Pozo largo]],Controles!B:J,9,FALSE),"NO")</f>
        <v>0</v>
      </c>
    </row>
    <row r="138" spans="2:12" x14ac:dyDescent="0.35">
      <c r="B138" s="4" t="s">
        <v>291</v>
      </c>
      <c r="C138" s="4" t="s">
        <v>5899</v>
      </c>
      <c r="D138" s="4" t="s">
        <v>5</v>
      </c>
      <c r="E138" s="4" t="s">
        <v>57</v>
      </c>
      <c r="F138" s="4" t="s">
        <v>31</v>
      </c>
      <c r="G138" s="4" t="s">
        <v>5718</v>
      </c>
      <c r="H138" s="4" t="s">
        <v>71</v>
      </c>
      <c r="I138" s="5" t="str">
        <f>IFERROR(VLOOKUP(Consulta1[[#This Row],[Pozo largo]],'Lista YPF'!$B$3:$C$358,2,FALSE),"NO")</f>
        <v>En lista de Abandono</v>
      </c>
      <c r="J138" s="5" t="str">
        <f>IFERROR(VLOOKUP(Consulta1[[#This Row],[Pozo]],'Lista Oportunidades'!B:C,2,FALSE),"NO")</f>
        <v>NO</v>
      </c>
      <c r="K138" s="5">
        <f>IFERROR(VLOOKUP(Consulta1[[#This Row],[Pozo largo]],Controles!B:H,7,FALSE),"NO")</f>
        <v>3.6</v>
      </c>
      <c r="L138" s="5">
        <f>IFERROR(VLOOKUP(Consulta1[[#This Row],[Pozo largo]],Controles!B:J,9,FALSE),"NO")</f>
        <v>0</v>
      </c>
    </row>
    <row r="139" spans="2:12" x14ac:dyDescent="0.35">
      <c r="B139" s="4" t="s">
        <v>293</v>
      </c>
      <c r="C139" s="4" t="s">
        <v>5900</v>
      </c>
      <c r="D139" s="4" t="s">
        <v>5</v>
      </c>
      <c r="E139" s="4" t="s">
        <v>12</v>
      </c>
      <c r="F139" s="4" t="s">
        <v>7</v>
      </c>
      <c r="G139" s="4" t="s">
        <v>13</v>
      </c>
      <c r="H139" s="4" t="s">
        <v>9</v>
      </c>
      <c r="I139" s="5" t="str">
        <f>IFERROR(VLOOKUP(Consulta1[[#This Row],[Pozo largo]],'Lista YPF'!$B$3:$C$358,2,FALSE),"NO")</f>
        <v>NO</v>
      </c>
      <c r="J139" s="5" t="str">
        <f>IFERROR(VLOOKUP(Consulta1[[#This Row],[Pozo]],'Lista Oportunidades'!B:C,2,FALSE),"NO")</f>
        <v>NO</v>
      </c>
      <c r="K139" s="5">
        <f>IFERROR(VLOOKUP(Consulta1[[#This Row],[Pozo largo]],Controles!B:H,7,FALSE),"NO")</f>
        <v>1.3</v>
      </c>
      <c r="L139" s="5">
        <f>IFERROR(VLOOKUP(Consulta1[[#This Row],[Pozo largo]],Controles!B:J,9,FALSE),"NO")</f>
        <v>0</v>
      </c>
    </row>
    <row r="140" spans="2:12" x14ac:dyDescent="0.35">
      <c r="B140" s="4" t="s">
        <v>295</v>
      </c>
      <c r="C140" s="4" t="s">
        <v>5901</v>
      </c>
      <c r="D140" s="4" t="s">
        <v>5</v>
      </c>
      <c r="E140" s="4" t="s">
        <v>24</v>
      </c>
      <c r="F140" s="4" t="s">
        <v>31</v>
      </c>
      <c r="G140" s="4" t="s">
        <v>11385</v>
      </c>
      <c r="H140" s="4" t="s">
        <v>71</v>
      </c>
      <c r="I140" s="5" t="str">
        <f>IFERROR(VLOOKUP(Consulta1[[#This Row],[Pozo largo]],'Lista YPF'!$B$3:$C$358,2,FALSE),"NO")</f>
        <v>NO</v>
      </c>
      <c r="J140" s="5" t="str">
        <f>IFERROR(VLOOKUP(Consulta1[[#This Row],[Pozo]],'Lista Oportunidades'!B:C,2,FALSE),"NO")</f>
        <v>NO</v>
      </c>
      <c r="K140" s="5">
        <f>IFERROR(VLOOKUP(Consulta1[[#This Row],[Pozo largo]],Controles!B:H,7,FALSE),"NO")</f>
        <v>1.9000000000000001</v>
      </c>
      <c r="L140" s="5">
        <f>IFERROR(VLOOKUP(Consulta1[[#This Row],[Pozo largo]],Controles!B:J,9,FALSE),"NO")</f>
        <v>0</v>
      </c>
    </row>
    <row r="141" spans="2:12" x14ac:dyDescent="0.35">
      <c r="B141" s="4" t="s">
        <v>297</v>
      </c>
      <c r="C141" s="4" t="s">
        <v>5902</v>
      </c>
      <c r="D141" s="4" t="s">
        <v>5</v>
      </c>
      <c r="E141" s="4" t="s">
        <v>6</v>
      </c>
      <c r="F141" s="4" t="s">
        <v>7</v>
      </c>
      <c r="G141" s="4" t="s">
        <v>5718</v>
      </c>
      <c r="H141" s="4" t="s">
        <v>21</v>
      </c>
      <c r="I141" s="5" t="str">
        <f>IFERROR(VLOOKUP(Consulta1[[#This Row],[Pozo largo]],'Lista YPF'!$B$3:$C$358,2,FALSE),"NO")</f>
        <v>En lista de Abandono</v>
      </c>
      <c r="J141" s="5" t="str">
        <f>IFERROR(VLOOKUP(Consulta1[[#This Row],[Pozo]],'Lista Oportunidades'!B:C,2,FALSE),"NO")</f>
        <v>NO</v>
      </c>
      <c r="K141" s="5">
        <f>IFERROR(VLOOKUP(Consulta1[[#This Row],[Pozo largo]],Controles!B:H,7,FALSE),"NO")</f>
        <v>0.8</v>
      </c>
      <c r="L141" s="5">
        <f>IFERROR(VLOOKUP(Consulta1[[#This Row],[Pozo largo]],Controles!B:J,9,FALSE),"NO")</f>
        <v>0</v>
      </c>
    </row>
    <row r="142" spans="2:12" x14ac:dyDescent="0.35">
      <c r="B142" s="4" t="s">
        <v>299</v>
      </c>
      <c r="C142" s="4" t="s">
        <v>5903</v>
      </c>
      <c r="D142" s="4" t="s">
        <v>5</v>
      </c>
      <c r="E142" s="4" t="s">
        <v>12</v>
      </c>
      <c r="F142" s="4" t="s">
        <v>7</v>
      </c>
      <c r="G142" s="4" t="s">
        <v>13</v>
      </c>
      <c r="H142" s="4" t="s">
        <v>21</v>
      </c>
      <c r="I142" s="5" t="str">
        <f>IFERROR(VLOOKUP(Consulta1[[#This Row],[Pozo largo]],'Lista YPF'!$B$3:$C$358,2,FALSE),"NO")</f>
        <v>NO</v>
      </c>
      <c r="J142" s="5" t="str">
        <f>IFERROR(VLOOKUP(Consulta1[[#This Row],[Pozo]],'Lista Oportunidades'!B:C,2,FALSE),"NO")</f>
        <v>NO</v>
      </c>
      <c r="K142" s="5">
        <f>IFERROR(VLOOKUP(Consulta1[[#This Row],[Pozo largo]],Controles!B:H,7,FALSE),"NO")</f>
        <v>0.78400000000000003</v>
      </c>
      <c r="L142" s="5">
        <f>IFERROR(VLOOKUP(Consulta1[[#This Row],[Pozo largo]],Controles!B:J,9,FALSE),"NO")</f>
        <v>0</v>
      </c>
    </row>
    <row r="143" spans="2:12" x14ac:dyDescent="0.35">
      <c r="B143" s="4" t="s">
        <v>301</v>
      </c>
      <c r="C143" s="4" t="s">
        <v>5904</v>
      </c>
      <c r="D143" s="4" t="s">
        <v>5</v>
      </c>
      <c r="E143" s="4" t="s">
        <v>12</v>
      </c>
      <c r="F143" s="4" t="s">
        <v>7</v>
      </c>
      <c r="G143" s="4" t="s">
        <v>13</v>
      </c>
      <c r="H143" s="4" t="s">
        <v>21</v>
      </c>
      <c r="I143" s="5" t="str">
        <f>IFERROR(VLOOKUP(Consulta1[[#This Row],[Pozo largo]],'Lista YPF'!$B$3:$C$358,2,FALSE),"NO")</f>
        <v>NO</v>
      </c>
      <c r="J143" s="5" t="str">
        <f>IFERROR(VLOOKUP(Consulta1[[#This Row],[Pozo]],'Lista Oportunidades'!B:C,2,FALSE),"NO")</f>
        <v>NO</v>
      </c>
      <c r="K143" s="5">
        <f>IFERROR(VLOOKUP(Consulta1[[#This Row],[Pozo largo]],Controles!B:H,7,FALSE),"NO")</f>
        <v>1.1599999999999999</v>
      </c>
      <c r="L143" s="5">
        <f>IFERROR(VLOOKUP(Consulta1[[#This Row],[Pozo largo]],Controles!B:J,9,FALSE),"NO")</f>
        <v>0</v>
      </c>
    </row>
    <row r="144" spans="2:12" x14ac:dyDescent="0.35">
      <c r="B144" s="4" t="s">
        <v>303</v>
      </c>
      <c r="C144" s="4" t="s">
        <v>5905</v>
      </c>
      <c r="D144" s="4" t="s">
        <v>5</v>
      </c>
      <c r="E144" s="4" t="s">
        <v>24</v>
      </c>
      <c r="F144" s="4" t="s">
        <v>28</v>
      </c>
      <c r="G144" s="4" t="s">
        <v>8</v>
      </c>
      <c r="H144" s="4" t="s">
        <v>21</v>
      </c>
      <c r="I144" s="5" t="str">
        <f>IFERROR(VLOOKUP(Consulta1[[#This Row],[Pozo largo]],'Lista YPF'!$B$3:$C$358,2,FALSE),"NO")</f>
        <v>NO</v>
      </c>
      <c r="J144" s="5" t="str">
        <f>IFERROR(VLOOKUP(Consulta1[[#This Row],[Pozo]],'Lista Oportunidades'!B:C,2,FALSE),"NO")</f>
        <v>NO</v>
      </c>
      <c r="K144" s="5">
        <f>IFERROR(VLOOKUP(Consulta1[[#This Row],[Pozo largo]],Controles!B:H,7,FALSE),"NO")</f>
        <v>0</v>
      </c>
      <c r="L144" s="5">
        <f>IFERROR(VLOOKUP(Consulta1[[#This Row],[Pozo largo]],Controles!B:J,9,FALSE),"NO")</f>
        <v>0</v>
      </c>
    </row>
    <row r="145" spans="2:12" x14ac:dyDescent="0.35">
      <c r="B145" s="4" t="s">
        <v>305</v>
      </c>
      <c r="C145" s="4" t="s">
        <v>5906</v>
      </c>
      <c r="D145" s="4" t="s">
        <v>5</v>
      </c>
      <c r="E145" s="4" t="s">
        <v>12</v>
      </c>
      <c r="F145" s="4" t="s">
        <v>7</v>
      </c>
      <c r="G145" s="4" t="s">
        <v>13</v>
      </c>
      <c r="H145" s="4" t="s">
        <v>36</v>
      </c>
      <c r="I145" s="5" t="str">
        <f>IFERROR(VLOOKUP(Consulta1[[#This Row],[Pozo largo]],'Lista YPF'!$B$3:$C$358,2,FALSE),"NO")</f>
        <v>NO</v>
      </c>
      <c r="J145" s="5" t="str">
        <f>IFERROR(VLOOKUP(Consulta1[[#This Row],[Pozo]],'Lista Oportunidades'!B:C,2,FALSE),"NO")</f>
        <v>NO</v>
      </c>
      <c r="K145" s="5">
        <f>IFERROR(VLOOKUP(Consulta1[[#This Row],[Pozo largo]],Controles!B:H,7,FALSE),"NO")</f>
        <v>3.2</v>
      </c>
      <c r="L145" s="5">
        <f>IFERROR(VLOOKUP(Consulta1[[#This Row],[Pozo largo]],Controles!B:J,9,FALSE),"NO")</f>
        <v>0</v>
      </c>
    </row>
    <row r="146" spans="2:12" x14ac:dyDescent="0.35">
      <c r="B146" s="4" t="s">
        <v>307</v>
      </c>
      <c r="C146" s="4" t="s">
        <v>5907</v>
      </c>
      <c r="D146" s="4" t="s">
        <v>5</v>
      </c>
      <c r="E146" s="4" t="s">
        <v>309</v>
      </c>
      <c r="F146" s="4" t="s">
        <v>31</v>
      </c>
      <c r="G146" s="4" t="s">
        <v>5718</v>
      </c>
      <c r="H146" s="4" t="s">
        <v>36</v>
      </c>
      <c r="I146" s="5" t="str">
        <f>IFERROR(VLOOKUP(Consulta1[[#This Row],[Pozo largo]],'Lista YPF'!$B$3:$C$358,2,FALSE),"NO")</f>
        <v>En lista de Abandono</v>
      </c>
      <c r="J146" s="5" t="str">
        <f>IFERROR(VLOOKUP(Consulta1[[#This Row],[Pozo]],'Lista Oportunidades'!B:C,2,FALSE),"NO")</f>
        <v>NO</v>
      </c>
      <c r="K146" s="5">
        <f>IFERROR(VLOOKUP(Consulta1[[#This Row],[Pozo largo]],Controles!B:H,7,FALSE),"NO")</f>
        <v>0.14800000000000002</v>
      </c>
      <c r="L146" s="5">
        <f>IFERROR(VLOOKUP(Consulta1[[#This Row],[Pozo largo]],Controles!B:J,9,FALSE),"NO")</f>
        <v>0</v>
      </c>
    </row>
    <row r="147" spans="2:12" x14ac:dyDescent="0.35">
      <c r="B147" s="4" t="s">
        <v>310</v>
      </c>
      <c r="C147" s="4" t="s">
        <v>5908</v>
      </c>
      <c r="D147" s="4" t="s">
        <v>5</v>
      </c>
      <c r="E147" s="4" t="s">
        <v>12</v>
      </c>
      <c r="F147" s="4" t="s">
        <v>7</v>
      </c>
      <c r="G147" s="4" t="s">
        <v>13</v>
      </c>
      <c r="H147" s="4" t="s">
        <v>33</v>
      </c>
      <c r="I147" s="5" t="str">
        <f>IFERROR(VLOOKUP(Consulta1[[#This Row],[Pozo largo]],'Lista YPF'!$B$3:$C$358,2,FALSE),"NO")</f>
        <v>NO</v>
      </c>
      <c r="J147" s="5" t="str">
        <f>IFERROR(VLOOKUP(Consulta1[[#This Row],[Pozo]],'Lista Oportunidades'!B:C,2,FALSE),"NO")</f>
        <v>NO</v>
      </c>
      <c r="K147" s="5">
        <f>IFERROR(VLOOKUP(Consulta1[[#This Row],[Pozo largo]],Controles!B:H,7,FALSE),"NO")</f>
        <v>6.0440000000000005</v>
      </c>
      <c r="L147" s="5">
        <f>IFERROR(VLOOKUP(Consulta1[[#This Row],[Pozo largo]],Controles!B:J,9,FALSE),"NO")</f>
        <v>0</v>
      </c>
    </row>
    <row r="148" spans="2:12" x14ac:dyDescent="0.35">
      <c r="B148" s="4" t="s">
        <v>312</v>
      </c>
      <c r="C148" s="4" t="s">
        <v>5909</v>
      </c>
      <c r="D148" s="4" t="s">
        <v>5</v>
      </c>
      <c r="E148" s="4" t="s">
        <v>12</v>
      </c>
      <c r="F148" s="4" t="s">
        <v>83</v>
      </c>
      <c r="G148" s="4" t="s">
        <v>13</v>
      </c>
      <c r="H148" s="4" t="s">
        <v>16</v>
      </c>
      <c r="I148" s="5" t="str">
        <f>IFERROR(VLOOKUP(Consulta1[[#This Row],[Pozo largo]],'Lista YPF'!$B$3:$C$358,2,FALSE),"NO")</f>
        <v>NO</v>
      </c>
      <c r="J148" s="5" t="str">
        <f>IFERROR(VLOOKUP(Consulta1[[#This Row],[Pozo]],'Lista Oportunidades'!B:C,2,FALSE),"NO")</f>
        <v>NO</v>
      </c>
      <c r="K148" s="5">
        <f>IFERROR(VLOOKUP(Consulta1[[#This Row],[Pozo largo]],Controles!B:H,7,FALSE),"NO")</f>
        <v>1.32</v>
      </c>
      <c r="L148" s="5">
        <f>IFERROR(VLOOKUP(Consulta1[[#This Row],[Pozo largo]],Controles!B:J,9,FALSE),"NO")</f>
        <v>0</v>
      </c>
    </row>
    <row r="149" spans="2:12" x14ac:dyDescent="0.35">
      <c r="B149" s="4" t="s">
        <v>314</v>
      </c>
      <c r="C149" s="4" t="s">
        <v>5910</v>
      </c>
      <c r="D149" s="4" t="s">
        <v>5</v>
      </c>
      <c r="E149" s="4" t="s">
        <v>24</v>
      </c>
      <c r="F149" s="4" t="s">
        <v>31</v>
      </c>
      <c r="G149" s="4" t="s">
        <v>8</v>
      </c>
      <c r="H149" s="4" t="s">
        <v>21</v>
      </c>
      <c r="I149" s="5" t="str">
        <f>IFERROR(VLOOKUP(Consulta1[[#This Row],[Pozo largo]],'Lista YPF'!$B$3:$C$358,2,FALSE),"NO")</f>
        <v>NO</v>
      </c>
      <c r="J149" s="5" t="str">
        <f>IFERROR(VLOOKUP(Consulta1[[#This Row],[Pozo]],'Lista Oportunidades'!B:C,2,FALSE),"NO")</f>
        <v>NO</v>
      </c>
      <c r="K149" s="5" t="str">
        <f>IFERROR(VLOOKUP(Consulta1[[#This Row],[Pozo largo]],Controles!B:H,7,FALSE),"NO")</f>
        <v>NO</v>
      </c>
      <c r="L149" s="5" t="str">
        <f>IFERROR(VLOOKUP(Consulta1[[#This Row],[Pozo largo]],Controles!B:J,9,FALSE),"NO")</f>
        <v>NO</v>
      </c>
    </row>
    <row r="150" spans="2:12" x14ac:dyDescent="0.35">
      <c r="B150" s="4" t="s">
        <v>315</v>
      </c>
      <c r="C150" s="4" t="s">
        <v>5911</v>
      </c>
      <c r="D150" s="4" t="s">
        <v>5</v>
      </c>
      <c r="E150" s="4" t="s">
        <v>12</v>
      </c>
      <c r="F150" s="4" t="s">
        <v>7</v>
      </c>
      <c r="G150" s="4" t="s">
        <v>13</v>
      </c>
      <c r="H150" s="4" t="s">
        <v>9</v>
      </c>
      <c r="I150" s="5" t="str">
        <f>IFERROR(VLOOKUP(Consulta1[[#This Row],[Pozo largo]],'Lista YPF'!$B$3:$C$358,2,FALSE),"NO")</f>
        <v>NO</v>
      </c>
      <c r="J150" s="5" t="str">
        <f>IFERROR(VLOOKUP(Consulta1[[#This Row],[Pozo]],'Lista Oportunidades'!B:C,2,FALSE),"NO")</f>
        <v>NO</v>
      </c>
      <c r="K150" s="5">
        <f>IFERROR(VLOOKUP(Consulta1[[#This Row],[Pozo largo]],Controles!B:H,7,FALSE),"NO")</f>
        <v>2</v>
      </c>
      <c r="L150" s="5">
        <f>IFERROR(VLOOKUP(Consulta1[[#This Row],[Pozo largo]],Controles!B:J,9,FALSE),"NO")</f>
        <v>0</v>
      </c>
    </row>
    <row r="151" spans="2:12" x14ac:dyDescent="0.35">
      <c r="B151" s="4" t="s">
        <v>317</v>
      </c>
      <c r="C151" s="4" t="s">
        <v>5912</v>
      </c>
      <c r="D151" s="4" t="s">
        <v>5</v>
      </c>
      <c r="E151" s="4" t="s">
        <v>12</v>
      </c>
      <c r="F151" s="4" t="s">
        <v>7</v>
      </c>
      <c r="G151" s="4" t="s">
        <v>13</v>
      </c>
      <c r="H151" s="4" t="s">
        <v>80</v>
      </c>
      <c r="I151" s="5" t="str">
        <f>IFERROR(VLOOKUP(Consulta1[[#This Row],[Pozo largo]],'Lista YPF'!$B$3:$C$358,2,FALSE),"NO")</f>
        <v>NO</v>
      </c>
      <c r="J151" s="5" t="str">
        <f>IFERROR(VLOOKUP(Consulta1[[#This Row],[Pozo]],'Lista Oportunidades'!B:C,2,FALSE),"NO")</f>
        <v>NO</v>
      </c>
      <c r="K151" s="5">
        <f>IFERROR(VLOOKUP(Consulta1[[#This Row],[Pozo largo]],Controles!B:H,7,FALSE),"NO")</f>
        <v>0.52500000000000002</v>
      </c>
      <c r="L151" s="5" t="str">
        <f>IFERROR(VLOOKUP(Consulta1[[#This Row],[Pozo largo]],Controles!B:J,9,FALSE),"NO")</f>
        <v>Ultimos 6 meses</v>
      </c>
    </row>
    <row r="152" spans="2:12" x14ac:dyDescent="0.35">
      <c r="B152" s="4" t="s">
        <v>319</v>
      </c>
      <c r="C152" s="4" t="s">
        <v>5913</v>
      </c>
      <c r="D152" s="4" t="s">
        <v>5</v>
      </c>
      <c r="E152" s="4" t="s">
        <v>24</v>
      </c>
      <c r="F152" s="4" t="s">
        <v>25</v>
      </c>
      <c r="G152" s="4" t="s">
        <v>8</v>
      </c>
      <c r="H152" s="4" t="s">
        <v>86</v>
      </c>
      <c r="I152" s="5" t="str">
        <f>IFERROR(VLOOKUP(Consulta1[[#This Row],[Pozo largo]],'Lista YPF'!$B$3:$C$358,2,FALSE),"NO")</f>
        <v>NO</v>
      </c>
      <c r="J152" s="5" t="str">
        <f>IFERROR(VLOOKUP(Consulta1[[#This Row],[Pozo]],'Lista Oportunidades'!B:C,2,FALSE),"NO")</f>
        <v>NO</v>
      </c>
      <c r="K152" s="5">
        <f>IFERROR(VLOOKUP(Consulta1[[#This Row],[Pozo largo]],Controles!B:H,7,FALSE),"NO")</f>
        <v>0.24</v>
      </c>
      <c r="L152" s="5">
        <f>IFERROR(VLOOKUP(Consulta1[[#This Row],[Pozo largo]],Controles!B:J,9,FALSE),"NO")</f>
        <v>0</v>
      </c>
    </row>
    <row r="153" spans="2:12" x14ac:dyDescent="0.35">
      <c r="B153" s="4" t="s">
        <v>321</v>
      </c>
      <c r="C153" s="4" t="s">
        <v>5914</v>
      </c>
      <c r="D153" s="4" t="s">
        <v>5</v>
      </c>
      <c r="E153" s="4" t="s">
        <v>30</v>
      </c>
      <c r="F153" s="4" t="s">
        <v>31</v>
      </c>
      <c r="G153" s="4" t="s">
        <v>32</v>
      </c>
      <c r="H153" s="4" t="s">
        <v>80</v>
      </c>
      <c r="I153" s="5" t="str">
        <f>IFERROR(VLOOKUP(Consulta1[[#This Row],[Pozo largo]],'Lista YPF'!$B$3:$C$358,2,FALSE),"NO")</f>
        <v>NO</v>
      </c>
      <c r="J153" s="5" t="str">
        <f>IFERROR(VLOOKUP(Consulta1[[#This Row],[Pozo]],'Lista Oportunidades'!B:C,2,FALSE),"NO")</f>
        <v>NO</v>
      </c>
      <c r="K153" s="5">
        <f>IFERROR(VLOOKUP(Consulta1[[#This Row],[Pozo largo]],Controles!B:H,7,FALSE),"NO")</f>
        <v>1.105</v>
      </c>
      <c r="L153" s="5">
        <f>IFERROR(VLOOKUP(Consulta1[[#This Row],[Pozo largo]],Controles!B:J,9,FALSE),"NO")</f>
        <v>0</v>
      </c>
    </row>
    <row r="154" spans="2:12" x14ac:dyDescent="0.35">
      <c r="B154" s="4" t="s">
        <v>323</v>
      </c>
      <c r="C154" s="4" t="s">
        <v>5915</v>
      </c>
      <c r="D154" s="4" t="s">
        <v>5</v>
      </c>
      <c r="E154" s="4" t="s">
        <v>30</v>
      </c>
      <c r="F154" s="4" t="s">
        <v>31</v>
      </c>
      <c r="G154" s="4" t="s">
        <v>32</v>
      </c>
      <c r="H154" s="4" t="s">
        <v>86</v>
      </c>
      <c r="I154" s="5" t="str">
        <f>IFERROR(VLOOKUP(Consulta1[[#This Row],[Pozo largo]],'Lista YPF'!$B$3:$C$358,2,FALSE),"NO")</f>
        <v>NO</v>
      </c>
      <c r="J154" s="5" t="str">
        <f>IFERROR(VLOOKUP(Consulta1[[#This Row],[Pozo]],'Lista Oportunidades'!B:C,2,FALSE),"NO")</f>
        <v>NO</v>
      </c>
      <c r="K154" s="5" t="str">
        <f>IFERROR(VLOOKUP(Consulta1[[#This Row],[Pozo largo]],Controles!B:H,7,FALSE),"NO")</f>
        <v>NO</v>
      </c>
      <c r="L154" s="5" t="str">
        <f>IFERROR(VLOOKUP(Consulta1[[#This Row],[Pozo largo]],Controles!B:J,9,FALSE),"NO")</f>
        <v>NO</v>
      </c>
    </row>
    <row r="155" spans="2:12" x14ac:dyDescent="0.35">
      <c r="B155" s="4" t="s">
        <v>324</v>
      </c>
      <c r="C155" s="4" t="s">
        <v>5916</v>
      </c>
      <c r="D155" s="4" t="s">
        <v>5</v>
      </c>
      <c r="E155" s="4" t="s">
        <v>12</v>
      </c>
      <c r="F155" s="4" t="s">
        <v>25</v>
      </c>
      <c r="G155" s="4" t="s">
        <v>13</v>
      </c>
      <c r="H155" s="4" t="s">
        <v>84</v>
      </c>
      <c r="I155" s="5" t="str">
        <f>IFERROR(VLOOKUP(Consulta1[[#This Row],[Pozo largo]],'Lista YPF'!$B$3:$C$358,2,FALSE),"NO")</f>
        <v>NO</v>
      </c>
      <c r="J155" s="5" t="str">
        <f>IFERROR(VLOOKUP(Consulta1[[#This Row],[Pozo]],'Lista Oportunidades'!B:C,2,FALSE),"NO")</f>
        <v>NO</v>
      </c>
      <c r="K155" s="5">
        <f>IFERROR(VLOOKUP(Consulta1[[#This Row],[Pozo largo]],Controles!B:H,7,FALSE),"NO")</f>
        <v>0.10400000000000001</v>
      </c>
      <c r="L155" s="5">
        <f>IFERROR(VLOOKUP(Consulta1[[#This Row],[Pozo largo]],Controles!B:J,9,FALSE),"NO")</f>
        <v>0</v>
      </c>
    </row>
    <row r="156" spans="2:12" x14ac:dyDescent="0.35">
      <c r="B156" s="4" t="s">
        <v>326</v>
      </c>
      <c r="C156" s="4" t="s">
        <v>5917</v>
      </c>
      <c r="D156" s="4" t="s">
        <v>5</v>
      </c>
      <c r="E156" s="4" t="s">
        <v>30</v>
      </c>
      <c r="F156" s="4" t="s">
        <v>31</v>
      </c>
      <c r="G156" s="4" t="s">
        <v>32</v>
      </c>
      <c r="H156" s="4" t="s">
        <v>86</v>
      </c>
      <c r="I156" s="5" t="str">
        <f>IFERROR(VLOOKUP(Consulta1[[#This Row],[Pozo largo]],'Lista YPF'!$B$3:$C$358,2,FALSE),"NO")</f>
        <v>NO</v>
      </c>
      <c r="J156" s="5" t="str">
        <f>IFERROR(VLOOKUP(Consulta1[[#This Row],[Pozo]],'Lista Oportunidades'!B:C,2,FALSE),"NO")</f>
        <v>NO</v>
      </c>
      <c r="K156" s="5">
        <f>IFERROR(VLOOKUP(Consulta1[[#This Row],[Pozo largo]],Controles!B:H,7,FALSE),"NO")</f>
        <v>0.15</v>
      </c>
      <c r="L156" s="5">
        <f>IFERROR(VLOOKUP(Consulta1[[#This Row],[Pozo largo]],Controles!B:J,9,FALSE),"NO")</f>
        <v>0</v>
      </c>
    </row>
    <row r="157" spans="2:12" x14ac:dyDescent="0.35">
      <c r="B157" s="4" t="s">
        <v>328</v>
      </c>
      <c r="C157" s="4" t="s">
        <v>5918</v>
      </c>
      <c r="D157" s="4" t="s">
        <v>5</v>
      </c>
      <c r="E157" s="4" t="s">
        <v>12</v>
      </c>
      <c r="F157" s="4" t="s">
        <v>7</v>
      </c>
      <c r="G157" s="4" t="s">
        <v>13</v>
      </c>
      <c r="H157" s="4" t="s">
        <v>86</v>
      </c>
      <c r="I157" s="5" t="str">
        <f>IFERROR(VLOOKUP(Consulta1[[#This Row],[Pozo largo]],'Lista YPF'!$B$3:$C$358,2,FALSE),"NO")</f>
        <v>NO</v>
      </c>
      <c r="J157" s="5" t="str">
        <f>IFERROR(VLOOKUP(Consulta1[[#This Row],[Pozo]],'Lista Oportunidades'!B:C,2,FALSE),"NO")</f>
        <v>NO</v>
      </c>
      <c r="K157" s="5">
        <f>IFERROR(VLOOKUP(Consulta1[[#This Row],[Pozo largo]],Controles!B:H,7,FALSE),"NO")</f>
        <v>0.6</v>
      </c>
      <c r="L157" s="5">
        <f>IFERROR(VLOOKUP(Consulta1[[#This Row],[Pozo largo]],Controles!B:J,9,FALSE),"NO")</f>
        <v>0</v>
      </c>
    </row>
    <row r="158" spans="2:12" x14ac:dyDescent="0.35">
      <c r="B158" s="4" t="s">
        <v>330</v>
      </c>
      <c r="C158" s="4" t="s">
        <v>5919</v>
      </c>
      <c r="D158" s="4" t="s">
        <v>5</v>
      </c>
      <c r="E158" s="4" t="s">
        <v>12</v>
      </c>
      <c r="F158" s="4" t="s">
        <v>25</v>
      </c>
      <c r="G158" s="4" t="s">
        <v>13</v>
      </c>
      <c r="H158" s="4" t="s">
        <v>86</v>
      </c>
      <c r="I158" s="5" t="str">
        <f>IFERROR(VLOOKUP(Consulta1[[#This Row],[Pozo largo]],'Lista YPF'!$B$3:$C$358,2,FALSE),"NO")</f>
        <v>NO</v>
      </c>
      <c r="J158" s="5" t="str">
        <f>IFERROR(VLOOKUP(Consulta1[[#This Row],[Pozo]],'Lista Oportunidades'!B:C,2,FALSE),"NO")</f>
        <v>NO</v>
      </c>
      <c r="K158" s="5">
        <f>IFERROR(VLOOKUP(Consulta1[[#This Row],[Pozo largo]],Controles!B:H,7,FALSE),"NO")</f>
        <v>0.17100000000000001</v>
      </c>
      <c r="L158" s="5">
        <f>IFERROR(VLOOKUP(Consulta1[[#This Row],[Pozo largo]],Controles!B:J,9,FALSE),"NO")</f>
        <v>0</v>
      </c>
    </row>
    <row r="159" spans="2:12" x14ac:dyDescent="0.35">
      <c r="B159" s="4" t="s">
        <v>332</v>
      </c>
      <c r="C159" s="4" t="s">
        <v>5920</v>
      </c>
      <c r="D159" s="4" t="s">
        <v>5</v>
      </c>
      <c r="E159" s="4" t="s">
        <v>24</v>
      </c>
      <c r="F159" s="4" t="s">
        <v>31</v>
      </c>
      <c r="G159" s="4" t="s">
        <v>8</v>
      </c>
      <c r="H159" s="4" t="s">
        <v>185</v>
      </c>
      <c r="I159" s="5" t="str">
        <f>IFERROR(VLOOKUP(Consulta1[[#This Row],[Pozo largo]],'Lista YPF'!$B$3:$C$358,2,FALSE),"NO")</f>
        <v>NO</v>
      </c>
      <c r="J159" s="5" t="str">
        <f>IFERROR(VLOOKUP(Consulta1[[#This Row],[Pozo]],'Lista Oportunidades'!B:C,2,FALSE),"NO")</f>
        <v>NO</v>
      </c>
      <c r="K159" s="5" t="str">
        <f>IFERROR(VLOOKUP(Consulta1[[#This Row],[Pozo largo]],Controles!B:H,7,FALSE),"NO")</f>
        <v>NO</v>
      </c>
      <c r="L159" s="5" t="str">
        <f>IFERROR(VLOOKUP(Consulta1[[#This Row],[Pozo largo]],Controles!B:J,9,FALSE),"NO")</f>
        <v>NO</v>
      </c>
    </row>
    <row r="160" spans="2:12" x14ac:dyDescent="0.35">
      <c r="B160" s="4" t="s">
        <v>333</v>
      </c>
      <c r="C160" s="4" t="s">
        <v>5921</v>
      </c>
      <c r="D160" s="4" t="s">
        <v>5</v>
      </c>
      <c r="E160" s="4" t="s">
        <v>24</v>
      </c>
      <c r="F160" s="4" t="s">
        <v>7</v>
      </c>
      <c r="G160" s="4" t="s">
        <v>8</v>
      </c>
      <c r="H160" s="4" t="s">
        <v>74</v>
      </c>
      <c r="I160" s="5" t="str">
        <f>IFERROR(VLOOKUP(Consulta1[[#This Row],[Pozo largo]],'Lista YPF'!$B$3:$C$358,2,FALSE),"NO")</f>
        <v>NO</v>
      </c>
      <c r="J160" s="5" t="str">
        <f>IFERROR(VLOOKUP(Consulta1[[#This Row],[Pozo]],'Lista Oportunidades'!B:C,2,FALSE),"NO")</f>
        <v>NO</v>
      </c>
      <c r="K160" s="5">
        <f>IFERROR(VLOOKUP(Consulta1[[#This Row],[Pozo largo]],Controles!B:H,7,FALSE),"NO")</f>
        <v>0.80400000000000005</v>
      </c>
      <c r="L160" s="5">
        <f>IFERROR(VLOOKUP(Consulta1[[#This Row],[Pozo largo]],Controles!B:J,9,FALSE),"NO")</f>
        <v>0</v>
      </c>
    </row>
    <row r="161" spans="2:12" x14ac:dyDescent="0.35">
      <c r="B161" s="4" t="s">
        <v>335</v>
      </c>
      <c r="C161" s="4" t="s">
        <v>5922</v>
      </c>
      <c r="D161" s="4" t="s">
        <v>5</v>
      </c>
      <c r="E161" s="4" t="s">
        <v>6</v>
      </c>
      <c r="F161" s="4" t="s">
        <v>31</v>
      </c>
      <c r="G161" s="4" t="s">
        <v>5718</v>
      </c>
      <c r="H161" s="4" t="s">
        <v>71</v>
      </c>
      <c r="I161" s="5" t="str">
        <f>IFERROR(VLOOKUP(Consulta1[[#This Row],[Pozo largo]],'Lista YPF'!$B$3:$C$358,2,FALSE),"NO")</f>
        <v>En lista de Abandono</v>
      </c>
      <c r="J161" s="5" t="str">
        <f>IFERROR(VLOOKUP(Consulta1[[#This Row],[Pozo]],'Lista Oportunidades'!B:C,2,FALSE),"NO")</f>
        <v>NO</v>
      </c>
      <c r="K161" s="5">
        <f>IFERROR(VLOOKUP(Consulta1[[#This Row],[Pozo largo]],Controles!B:H,7,FALSE),"NO")</f>
        <v>4.1000000000000002E-2</v>
      </c>
      <c r="L161" s="5">
        <f>IFERROR(VLOOKUP(Consulta1[[#This Row],[Pozo largo]],Controles!B:J,9,FALSE),"NO")</f>
        <v>0</v>
      </c>
    </row>
    <row r="162" spans="2:12" x14ac:dyDescent="0.35">
      <c r="B162" s="4" t="s">
        <v>337</v>
      </c>
      <c r="C162" s="4" t="s">
        <v>5923</v>
      </c>
      <c r="D162" s="4" t="s">
        <v>5</v>
      </c>
      <c r="E162" s="4" t="s">
        <v>24</v>
      </c>
      <c r="F162" s="4" t="s">
        <v>7</v>
      </c>
      <c r="G162" s="4" t="s">
        <v>8</v>
      </c>
      <c r="H162" s="4" t="s">
        <v>86</v>
      </c>
      <c r="I162" s="5" t="str">
        <f>IFERROR(VLOOKUP(Consulta1[[#This Row],[Pozo largo]],'Lista YPF'!$B$3:$C$358,2,FALSE),"NO")</f>
        <v>NO</v>
      </c>
      <c r="J162" s="5" t="str">
        <f>IFERROR(VLOOKUP(Consulta1[[#This Row],[Pozo]],'Lista Oportunidades'!B:C,2,FALSE),"NO")</f>
        <v>NO</v>
      </c>
      <c r="K162" s="5">
        <f>IFERROR(VLOOKUP(Consulta1[[#This Row],[Pozo largo]],Controles!B:H,7,FALSE),"NO")</f>
        <v>0.76</v>
      </c>
      <c r="L162" s="5">
        <f>IFERROR(VLOOKUP(Consulta1[[#This Row],[Pozo largo]],Controles!B:J,9,FALSE),"NO")</f>
        <v>0</v>
      </c>
    </row>
    <row r="163" spans="2:12" x14ac:dyDescent="0.35">
      <c r="B163" s="4" t="s">
        <v>339</v>
      </c>
      <c r="C163" s="4" t="s">
        <v>5924</v>
      </c>
      <c r="D163" s="4" t="s">
        <v>5</v>
      </c>
      <c r="E163" s="4" t="s">
        <v>24</v>
      </c>
      <c r="F163" s="4" t="s">
        <v>25</v>
      </c>
      <c r="G163" s="4" t="s">
        <v>8689</v>
      </c>
      <c r="H163" s="4" t="s">
        <v>86</v>
      </c>
      <c r="I163" s="5" t="str">
        <f>IFERROR(VLOOKUP(Consulta1[[#This Row],[Pozo largo]],'Lista YPF'!$B$3:$C$358,2,FALSE),"NO")</f>
        <v>NO</v>
      </c>
      <c r="J163" s="5" t="str">
        <f>IFERROR(VLOOKUP(Consulta1[[#This Row],[Pozo]],'Lista Oportunidades'!B:C,2,FALSE),"NO")</f>
        <v>Oportunidad</v>
      </c>
      <c r="K163" s="5">
        <f>IFERROR(VLOOKUP(Consulta1[[#This Row],[Pozo largo]],Controles!B:H,7,FALSE),"NO")</f>
        <v>0</v>
      </c>
      <c r="L163" s="5" t="str">
        <f>IFERROR(VLOOKUP(Consulta1[[#This Row],[Pozo largo]],Controles!B:J,9,FALSE),"NO")</f>
        <v>Ultimo Año</v>
      </c>
    </row>
    <row r="164" spans="2:12" x14ac:dyDescent="0.35">
      <c r="B164" s="4" t="s">
        <v>341</v>
      </c>
      <c r="C164" s="4" t="s">
        <v>5925</v>
      </c>
      <c r="D164" s="4" t="s">
        <v>5</v>
      </c>
      <c r="E164" s="4" t="s">
        <v>12</v>
      </c>
      <c r="F164" s="4" t="s">
        <v>7</v>
      </c>
      <c r="G164" s="4" t="s">
        <v>13</v>
      </c>
      <c r="H164" s="4" t="s">
        <v>91</v>
      </c>
      <c r="I164" s="5" t="str">
        <f>IFERROR(VLOOKUP(Consulta1[[#This Row],[Pozo largo]],'Lista YPF'!$B$3:$C$358,2,FALSE),"NO")</f>
        <v>NO</v>
      </c>
      <c r="J164" s="5" t="str">
        <f>IFERROR(VLOOKUP(Consulta1[[#This Row],[Pozo]],'Lista Oportunidades'!B:C,2,FALSE),"NO")</f>
        <v>NO</v>
      </c>
      <c r="K164" s="5">
        <f>IFERROR(VLOOKUP(Consulta1[[#This Row],[Pozo largo]],Controles!B:H,7,FALSE),"NO")</f>
        <v>0.90200000000000002</v>
      </c>
      <c r="L164" s="5">
        <f>IFERROR(VLOOKUP(Consulta1[[#This Row],[Pozo largo]],Controles!B:J,9,FALSE),"NO")</f>
        <v>0</v>
      </c>
    </row>
    <row r="165" spans="2:12" x14ac:dyDescent="0.35">
      <c r="B165" s="4" t="s">
        <v>343</v>
      </c>
      <c r="C165" s="4" t="s">
        <v>5926</v>
      </c>
      <c r="D165" s="4" t="s">
        <v>5</v>
      </c>
      <c r="E165" s="4" t="s">
        <v>12</v>
      </c>
      <c r="F165" s="4" t="s">
        <v>238</v>
      </c>
      <c r="G165" s="4" t="s">
        <v>13</v>
      </c>
      <c r="H165" s="4" t="s">
        <v>9</v>
      </c>
      <c r="I165" s="5" t="str">
        <f>IFERROR(VLOOKUP(Consulta1[[#This Row],[Pozo largo]],'Lista YPF'!$B$3:$C$358,2,FALSE),"NO")</f>
        <v>NO</v>
      </c>
      <c r="J165" s="5" t="str">
        <f>IFERROR(VLOOKUP(Consulta1[[#This Row],[Pozo]],'Lista Oportunidades'!B:C,2,FALSE),"NO")</f>
        <v>NO</v>
      </c>
      <c r="K165" s="5">
        <f>IFERROR(VLOOKUP(Consulta1[[#This Row],[Pozo largo]],Controles!B:H,7,FALSE),"NO")</f>
        <v>0.98</v>
      </c>
      <c r="L165" s="5">
        <f>IFERROR(VLOOKUP(Consulta1[[#This Row],[Pozo largo]],Controles!B:J,9,FALSE),"NO")</f>
        <v>0</v>
      </c>
    </row>
    <row r="166" spans="2:12" x14ac:dyDescent="0.35">
      <c r="B166" s="4" t="s">
        <v>345</v>
      </c>
      <c r="C166" s="4" t="s">
        <v>5927</v>
      </c>
      <c r="D166" s="4" t="s">
        <v>5</v>
      </c>
      <c r="E166" s="4" t="s">
        <v>12</v>
      </c>
      <c r="F166" s="4" t="s">
        <v>7</v>
      </c>
      <c r="G166" s="4" t="s">
        <v>13</v>
      </c>
      <c r="H166" s="4" t="s">
        <v>185</v>
      </c>
      <c r="I166" s="5" t="str">
        <f>IFERROR(VLOOKUP(Consulta1[[#This Row],[Pozo largo]],'Lista YPF'!$B$3:$C$358,2,FALSE),"NO")</f>
        <v>NO</v>
      </c>
      <c r="J166" s="5" t="str">
        <f>IFERROR(VLOOKUP(Consulta1[[#This Row],[Pozo]],'Lista Oportunidades'!B:C,2,FALSE),"NO")</f>
        <v>NO</v>
      </c>
      <c r="K166" s="5">
        <f>IFERROR(VLOOKUP(Consulta1[[#This Row],[Pozo largo]],Controles!B:H,7,FALSE),"NO")</f>
        <v>0.77</v>
      </c>
      <c r="L166" s="5">
        <f>IFERROR(VLOOKUP(Consulta1[[#This Row],[Pozo largo]],Controles!B:J,9,FALSE),"NO")</f>
        <v>0</v>
      </c>
    </row>
    <row r="167" spans="2:12" x14ac:dyDescent="0.35">
      <c r="B167" s="4" t="s">
        <v>347</v>
      </c>
      <c r="C167" s="4" t="s">
        <v>5928</v>
      </c>
      <c r="D167" s="4" t="s">
        <v>5</v>
      </c>
      <c r="E167" s="4" t="s">
        <v>12</v>
      </c>
      <c r="F167" s="4" t="s">
        <v>7</v>
      </c>
      <c r="G167" s="4" t="s">
        <v>13</v>
      </c>
      <c r="H167" s="4" t="s">
        <v>9</v>
      </c>
      <c r="I167" s="5" t="str">
        <f>IFERROR(VLOOKUP(Consulta1[[#This Row],[Pozo largo]],'Lista YPF'!$B$3:$C$358,2,FALSE),"NO")</f>
        <v>NO</v>
      </c>
      <c r="J167" s="5" t="str">
        <f>IFERROR(VLOOKUP(Consulta1[[#This Row],[Pozo]],'Lista Oportunidades'!B:C,2,FALSE),"NO")</f>
        <v>NO</v>
      </c>
      <c r="K167" s="5">
        <f>IFERROR(VLOOKUP(Consulta1[[#This Row],[Pozo largo]],Controles!B:H,7,FALSE),"NO")</f>
        <v>1.2</v>
      </c>
      <c r="L167" s="5">
        <f>IFERROR(VLOOKUP(Consulta1[[#This Row],[Pozo largo]],Controles!B:J,9,FALSE),"NO")</f>
        <v>0</v>
      </c>
    </row>
    <row r="168" spans="2:12" x14ac:dyDescent="0.35">
      <c r="B168" s="4" t="s">
        <v>349</v>
      </c>
      <c r="C168" s="4" t="s">
        <v>5929</v>
      </c>
      <c r="D168" s="4" t="s">
        <v>5</v>
      </c>
      <c r="E168" s="4" t="s">
        <v>12</v>
      </c>
      <c r="F168" s="4" t="s">
        <v>7</v>
      </c>
      <c r="G168" s="4" t="s">
        <v>13</v>
      </c>
      <c r="H168" s="4" t="s">
        <v>21</v>
      </c>
      <c r="I168" s="5" t="str">
        <f>IFERROR(VLOOKUP(Consulta1[[#This Row],[Pozo largo]],'Lista YPF'!$B$3:$C$358,2,FALSE),"NO")</f>
        <v>NO</v>
      </c>
      <c r="J168" s="5" t="str">
        <f>IFERROR(VLOOKUP(Consulta1[[#This Row],[Pozo]],'Lista Oportunidades'!B:C,2,FALSE),"NO")</f>
        <v>NO</v>
      </c>
      <c r="K168" s="5">
        <f>IFERROR(VLOOKUP(Consulta1[[#This Row],[Pozo largo]],Controles!B:H,7,FALSE),"NO")</f>
        <v>0.66</v>
      </c>
      <c r="L168" s="5">
        <f>IFERROR(VLOOKUP(Consulta1[[#This Row],[Pozo largo]],Controles!B:J,9,FALSE),"NO")</f>
        <v>0</v>
      </c>
    </row>
    <row r="169" spans="2:12" x14ac:dyDescent="0.35">
      <c r="B169" s="4" t="s">
        <v>351</v>
      </c>
      <c r="C169" s="4" t="s">
        <v>5930</v>
      </c>
      <c r="D169" s="4" t="s">
        <v>5</v>
      </c>
      <c r="E169" s="4" t="s">
        <v>12</v>
      </c>
      <c r="F169" s="4" t="s">
        <v>7</v>
      </c>
      <c r="G169" s="4" t="s">
        <v>13</v>
      </c>
      <c r="H169" s="4" t="s">
        <v>36</v>
      </c>
      <c r="I169" s="5" t="str">
        <f>IFERROR(VLOOKUP(Consulta1[[#This Row],[Pozo largo]],'Lista YPF'!$B$3:$C$358,2,FALSE),"NO")</f>
        <v>NO</v>
      </c>
      <c r="J169" s="5" t="str">
        <f>IFERROR(VLOOKUP(Consulta1[[#This Row],[Pozo]],'Lista Oportunidades'!B:C,2,FALSE),"NO")</f>
        <v>NO</v>
      </c>
      <c r="K169" s="5">
        <f>IFERROR(VLOOKUP(Consulta1[[#This Row],[Pozo largo]],Controles!B:H,7,FALSE),"NO")</f>
        <v>1.0150000000000001</v>
      </c>
      <c r="L169" s="5">
        <f>IFERROR(VLOOKUP(Consulta1[[#This Row],[Pozo largo]],Controles!B:J,9,FALSE),"NO")</f>
        <v>0</v>
      </c>
    </row>
    <row r="170" spans="2:12" x14ac:dyDescent="0.35">
      <c r="B170" s="4" t="s">
        <v>353</v>
      </c>
      <c r="C170" s="4" t="s">
        <v>5931</v>
      </c>
      <c r="D170" s="4" t="s">
        <v>5</v>
      </c>
      <c r="E170" s="4" t="s">
        <v>12</v>
      </c>
      <c r="F170" s="4" t="s">
        <v>7</v>
      </c>
      <c r="G170" s="4" t="s">
        <v>13</v>
      </c>
      <c r="H170" s="4" t="s">
        <v>86</v>
      </c>
      <c r="I170" s="5" t="str">
        <f>IFERROR(VLOOKUP(Consulta1[[#This Row],[Pozo largo]],'Lista YPF'!$B$3:$C$358,2,FALSE),"NO")</f>
        <v>NO</v>
      </c>
      <c r="J170" s="5" t="str">
        <f>IFERROR(VLOOKUP(Consulta1[[#This Row],[Pozo]],'Lista Oportunidades'!B:C,2,FALSE),"NO")</f>
        <v>NO</v>
      </c>
      <c r="K170" s="5">
        <f>IFERROR(VLOOKUP(Consulta1[[#This Row],[Pozo largo]],Controles!B:H,7,FALSE),"NO")</f>
        <v>1.02</v>
      </c>
      <c r="L170" s="5">
        <f>IFERROR(VLOOKUP(Consulta1[[#This Row],[Pozo largo]],Controles!B:J,9,FALSE),"NO")</f>
        <v>0</v>
      </c>
    </row>
    <row r="171" spans="2:12" x14ac:dyDescent="0.35">
      <c r="B171" s="4" t="s">
        <v>355</v>
      </c>
      <c r="C171" s="4" t="s">
        <v>5932</v>
      </c>
      <c r="D171" s="4" t="s">
        <v>5</v>
      </c>
      <c r="E171" s="4" t="s">
        <v>24</v>
      </c>
      <c r="F171" s="4" t="s">
        <v>25</v>
      </c>
      <c r="G171" s="4" t="s">
        <v>8</v>
      </c>
      <c r="H171" s="4" t="s">
        <v>9</v>
      </c>
      <c r="I171" s="5" t="str">
        <f>IFERROR(VLOOKUP(Consulta1[[#This Row],[Pozo largo]],'Lista YPF'!$B$3:$C$358,2,FALSE),"NO")</f>
        <v>NO</v>
      </c>
      <c r="J171" s="5" t="str">
        <f>IFERROR(VLOOKUP(Consulta1[[#This Row],[Pozo]],'Lista Oportunidades'!B:C,2,FALSE),"NO")</f>
        <v>NO</v>
      </c>
      <c r="K171" s="5">
        <f>IFERROR(VLOOKUP(Consulta1[[#This Row],[Pozo largo]],Controles!B:H,7,FALSE),"NO")</f>
        <v>0.315</v>
      </c>
      <c r="L171" s="5">
        <f>IFERROR(VLOOKUP(Consulta1[[#This Row],[Pozo largo]],Controles!B:J,9,FALSE),"NO")</f>
        <v>0</v>
      </c>
    </row>
    <row r="172" spans="2:12" x14ac:dyDescent="0.35">
      <c r="B172" s="4" t="s">
        <v>357</v>
      </c>
      <c r="C172" s="4" t="s">
        <v>5933</v>
      </c>
      <c r="D172" s="4" t="s">
        <v>5</v>
      </c>
      <c r="E172" s="4" t="s">
        <v>6</v>
      </c>
      <c r="F172" s="4" t="s">
        <v>31</v>
      </c>
      <c r="G172" s="4" t="s">
        <v>11387</v>
      </c>
      <c r="H172" s="4" t="s">
        <v>9</v>
      </c>
      <c r="I172" s="5" t="str">
        <f>IFERROR(VLOOKUP(Consulta1[[#This Row],[Pozo largo]],'Lista YPF'!$B$3:$C$358,2,FALSE),"NO")</f>
        <v>NO</v>
      </c>
      <c r="J172" s="5" t="str">
        <f>IFERROR(VLOOKUP(Consulta1[[#This Row],[Pozo]],'Lista Oportunidades'!B:C,2,FALSE),"NO")</f>
        <v>NO</v>
      </c>
      <c r="K172" s="5">
        <f>IFERROR(VLOOKUP(Consulta1[[#This Row],[Pozo largo]],Controles!B:H,7,FALSE),"NO")</f>
        <v>0.3</v>
      </c>
      <c r="L172" s="5" t="str">
        <f>IFERROR(VLOOKUP(Consulta1[[#This Row],[Pozo largo]],Controles!B:J,9,FALSE),"NO")</f>
        <v>Ultimo Año</v>
      </c>
    </row>
    <row r="173" spans="2:12" x14ac:dyDescent="0.35">
      <c r="B173" s="4" t="s">
        <v>359</v>
      </c>
      <c r="C173" s="4" t="s">
        <v>5934</v>
      </c>
      <c r="D173" s="4" t="s">
        <v>5</v>
      </c>
      <c r="E173" s="4" t="s">
        <v>24</v>
      </c>
      <c r="F173" s="4" t="s">
        <v>31</v>
      </c>
      <c r="G173" s="4" t="s">
        <v>8689</v>
      </c>
      <c r="H173" s="4" t="s">
        <v>21</v>
      </c>
      <c r="I173" s="5" t="str">
        <f>IFERROR(VLOOKUP(Consulta1[[#This Row],[Pozo largo]],'Lista YPF'!$B$3:$C$358,2,FALSE),"NO")</f>
        <v>NO</v>
      </c>
      <c r="J173" s="5" t="str">
        <f>IFERROR(VLOOKUP(Consulta1[[#This Row],[Pozo]],'Lista Oportunidades'!B:C,2,FALSE),"NO")</f>
        <v>Oportunidad</v>
      </c>
      <c r="K173" s="5" t="str">
        <f>IFERROR(VLOOKUP(Consulta1[[#This Row],[Pozo largo]],Controles!B:H,7,FALSE),"NO")</f>
        <v>NO</v>
      </c>
      <c r="L173" s="5" t="str">
        <f>IFERROR(VLOOKUP(Consulta1[[#This Row],[Pozo largo]],Controles!B:J,9,FALSE),"NO")</f>
        <v>NO</v>
      </c>
    </row>
    <row r="174" spans="2:12" x14ac:dyDescent="0.35">
      <c r="B174" s="4" t="s">
        <v>360</v>
      </c>
      <c r="C174" s="4" t="s">
        <v>5935</v>
      </c>
      <c r="D174" s="4" t="s">
        <v>5</v>
      </c>
      <c r="E174" s="4" t="s">
        <v>12</v>
      </c>
      <c r="F174" s="4" t="s">
        <v>7</v>
      </c>
      <c r="G174" s="4" t="s">
        <v>13</v>
      </c>
      <c r="H174" s="4" t="s">
        <v>86</v>
      </c>
      <c r="I174" s="5" t="str">
        <f>IFERROR(VLOOKUP(Consulta1[[#This Row],[Pozo largo]],'Lista YPF'!$B$3:$C$358,2,FALSE),"NO")</f>
        <v>NO</v>
      </c>
      <c r="J174" s="5" t="str">
        <f>IFERROR(VLOOKUP(Consulta1[[#This Row],[Pozo]],'Lista Oportunidades'!B:C,2,FALSE),"NO")</f>
        <v>NO</v>
      </c>
      <c r="K174" s="5">
        <f>IFERROR(VLOOKUP(Consulta1[[#This Row],[Pozo largo]],Controles!B:H,7,FALSE),"NO")</f>
        <v>1.05</v>
      </c>
      <c r="L174" s="5">
        <f>IFERROR(VLOOKUP(Consulta1[[#This Row],[Pozo largo]],Controles!B:J,9,FALSE),"NO")</f>
        <v>0</v>
      </c>
    </row>
    <row r="175" spans="2:12" x14ac:dyDescent="0.35">
      <c r="B175" s="4" t="s">
        <v>362</v>
      </c>
      <c r="C175" s="4" t="s">
        <v>5936</v>
      </c>
      <c r="D175" s="4" t="s">
        <v>5</v>
      </c>
      <c r="E175" s="4" t="s">
        <v>12</v>
      </c>
      <c r="F175" s="4" t="s">
        <v>28</v>
      </c>
      <c r="G175" s="4" t="s">
        <v>13</v>
      </c>
      <c r="H175" s="4" t="s">
        <v>185</v>
      </c>
      <c r="I175" s="5" t="str">
        <f>IFERROR(VLOOKUP(Consulta1[[#This Row],[Pozo largo]],'Lista YPF'!$B$3:$C$358,2,FALSE),"NO")</f>
        <v>NO</v>
      </c>
      <c r="J175" s="5" t="str">
        <f>IFERROR(VLOOKUP(Consulta1[[#This Row],[Pozo]],'Lista Oportunidades'!B:C,2,FALSE),"NO")</f>
        <v>NO</v>
      </c>
      <c r="K175" s="5">
        <f>IFERROR(VLOOKUP(Consulta1[[#This Row],[Pozo largo]],Controles!B:H,7,FALSE),"NO")</f>
        <v>0</v>
      </c>
      <c r="L175" s="5">
        <f>IFERROR(VLOOKUP(Consulta1[[#This Row],[Pozo largo]],Controles!B:J,9,FALSE),"NO")</f>
        <v>0</v>
      </c>
    </row>
    <row r="176" spans="2:12" x14ac:dyDescent="0.35">
      <c r="B176" s="4" t="s">
        <v>364</v>
      </c>
      <c r="C176" s="4" t="s">
        <v>5937</v>
      </c>
      <c r="D176" s="4" t="s">
        <v>5</v>
      </c>
      <c r="E176" s="4" t="s">
        <v>24</v>
      </c>
      <c r="F176" s="4" t="s">
        <v>25</v>
      </c>
      <c r="G176" s="4" t="s">
        <v>8</v>
      </c>
      <c r="H176" s="4" t="s">
        <v>91</v>
      </c>
      <c r="I176" s="5" t="str">
        <f>IFERROR(VLOOKUP(Consulta1[[#This Row],[Pozo largo]],'Lista YPF'!$B$3:$C$358,2,FALSE),"NO")</f>
        <v>NO</v>
      </c>
      <c r="J176" s="5" t="str">
        <f>IFERROR(VLOOKUP(Consulta1[[#This Row],[Pozo]],'Lista Oportunidades'!B:C,2,FALSE),"NO")</f>
        <v>NO</v>
      </c>
      <c r="K176" s="5">
        <f>IFERROR(VLOOKUP(Consulta1[[#This Row],[Pozo largo]],Controles!B:H,7,FALSE),"NO")</f>
        <v>9.7000000000000003E-2</v>
      </c>
      <c r="L176" s="5">
        <f>IFERROR(VLOOKUP(Consulta1[[#This Row],[Pozo largo]],Controles!B:J,9,FALSE),"NO")</f>
        <v>0</v>
      </c>
    </row>
    <row r="177" spans="2:12" x14ac:dyDescent="0.35">
      <c r="B177" s="4" t="s">
        <v>366</v>
      </c>
      <c r="C177" s="4" t="s">
        <v>5938</v>
      </c>
      <c r="D177" s="4" t="s">
        <v>5</v>
      </c>
      <c r="E177" s="4" t="s">
        <v>12</v>
      </c>
      <c r="F177" s="4" t="s">
        <v>28</v>
      </c>
      <c r="G177" s="4" t="s">
        <v>13</v>
      </c>
      <c r="H177" s="4" t="s">
        <v>36</v>
      </c>
      <c r="I177" s="5" t="str">
        <f>IFERROR(VLOOKUP(Consulta1[[#This Row],[Pozo largo]],'Lista YPF'!$B$3:$C$358,2,FALSE),"NO")</f>
        <v>NO</v>
      </c>
      <c r="J177" s="5" t="str">
        <f>IFERROR(VLOOKUP(Consulta1[[#This Row],[Pozo]],'Lista Oportunidades'!B:C,2,FALSE),"NO")</f>
        <v>NO</v>
      </c>
      <c r="K177" s="5">
        <f>IFERROR(VLOOKUP(Consulta1[[#This Row],[Pozo largo]],Controles!B:H,7,FALSE),"NO")</f>
        <v>0</v>
      </c>
      <c r="L177" s="5">
        <f>IFERROR(VLOOKUP(Consulta1[[#This Row],[Pozo largo]],Controles!B:J,9,FALSE),"NO")</f>
        <v>0</v>
      </c>
    </row>
    <row r="178" spans="2:12" x14ac:dyDescent="0.35">
      <c r="B178" s="4" t="s">
        <v>368</v>
      </c>
      <c r="C178" s="4" t="s">
        <v>5939</v>
      </c>
      <c r="D178" s="4" t="s">
        <v>5</v>
      </c>
      <c r="E178" s="4" t="s">
        <v>12</v>
      </c>
      <c r="F178" s="4" t="s">
        <v>7</v>
      </c>
      <c r="G178" s="4" t="s">
        <v>13</v>
      </c>
      <c r="H178" s="4" t="s">
        <v>86</v>
      </c>
      <c r="I178" s="5" t="str">
        <f>IFERROR(VLOOKUP(Consulta1[[#This Row],[Pozo largo]],'Lista YPF'!$B$3:$C$358,2,FALSE),"NO")</f>
        <v>NO</v>
      </c>
      <c r="J178" s="5" t="str">
        <f>IFERROR(VLOOKUP(Consulta1[[#This Row],[Pozo]],'Lista Oportunidades'!B:C,2,FALSE),"NO")</f>
        <v>NO</v>
      </c>
      <c r="K178" s="5">
        <f>IFERROR(VLOOKUP(Consulta1[[#This Row],[Pozo largo]],Controles!B:H,7,FALSE),"NO")</f>
        <v>1.2650000000000001</v>
      </c>
      <c r="L178" s="5">
        <f>IFERROR(VLOOKUP(Consulta1[[#This Row],[Pozo largo]],Controles!B:J,9,FALSE),"NO")</f>
        <v>0</v>
      </c>
    </row>
    <row r="179" spans="2:12" x14ac:dyDescent="0.35">
      <c r="B179" s="4" t="s">
        <v>370</v>
      </c>
      <c r="C179" s="4" t="s">
        <v>5940</v>
      </c>
      <c r="D179" s="4" t="s">
        <v>5</v>
      </c>
      <c r="E179" s="4" t="s">
        <v>12</v>
      </c>
      <c r="F179" s="4" t="s">
        <v>7</v>
      </c>
      <c r="G179" s="4" t="s">
        <v>13</v>
      </c>
      <c r="H179" s="4" t="s">
        <v>74</v>
      </c>
      <c r="I179" s="5" t="str">
        <f>IFERROR(VLOOKUP(Consulta1[[#This Row],[Pozo largo]],'Lista YPF'!$B$3:$C$358,2,FALSE),"NO")</f>
        <v>NO</v>
      </c>
      <c r="J179" s="5" t="str">
        <f>IFERROR(VLOOKUP(Consulta1[[#This Row],[Pozo]],'Lista Oportunidades'!B:C,2,FALSE),"NO")</f>
        <v>NO</v>
      </c>
      <c r="K179" s="5">
        <f>IFERROR(VLOOKUP(Consulta1[[#This Row],[Pozo largo]],Controles!B:H,7,FALSE),"NO")</f>
        <v>2.86</v>
      </c>
      <c r="L179" s="5">
        <f>IFERROR(VLOOKUP(Consulta1[[#This Row],[Pozo largo]],Controles!B:J,9,FALSE),"NO")</f>
        <v>0</v>
      </c>
    </row>
    <row r="180" spans="2:12" x14ac:dyDescent="0.35">
      <c r="B180" s="4" t="s">
        <v>372</v>
      </c>
      <c r="C180" s="4" t="s">
        <v>5941</v>
      </c>
      <c r="D180" s="4" t="s">
        <v>5</v>
      </c>
      <c r="E180" s="4" t="s">
        <v>12</v>
      </c>
      <c r="F180" s="4" t="s">
        <v>7</v>
      </c>
      <c r="G180" s="4" t="s">
        <v>13</v>
      </c>
      <c r="H180" s="4" t="s">
        <v>9</v>
      </c>
      <c r="I180" s="5" t="str">
        <f>IFERROR(VLOOKUP(Consulta1[[#This Row],[Pozo largo]],'Lista YPF'!$B$3:$C$358,2,FALSE),"NO")</f>
        <v>NO</v>
      </c>
      <c r="J180" s="5" t="str">
        <f>IFERROR(VLOOKUP(Consulta1[[#This Row],[Pozo]],'Lista Oportunidades'!B:C,2,FALSE),"NO")</f>
        <v>Oportunidad</v>
      </c>
      <c r="K180" s="5">
        <f>IFERROR(VLOOKUP(Consulta1[[#This Row],[Pozo largo]],Controles!B:H,7,FALSE),"NO")</f>
        <v>1.5</v>
      </c>
      <c r="L180" s="5">
        <f>IFERROR(VLOOKUP(Consulta1[[#This Row],[Pozo largo]],Controles!B:J,9,FALSE),"NO")</f>
        <v>0</v>
      </c>
    </row>
    <row r="181" spans="2:12" x14ac:dyDescent="0.35">
      <c r="B181" s="4" t="s">
        <v>374</v>
      </c>
      <c r="C181" s="4" t="s">
        <v>5942</v>
      </c>
      <c r="D181" s="4" t="s">
        <v>5</v>
      </c>
      <c r="E181" s="4" t="s">
        <v>12</v>
      </c>
      <c r="F181" s="4" t="s">
        <v>238</v>
      </c>
      <c r="G181" s="4" t="s">
        <v>13</v>
      </c>
      <c r="H181" s="4" t="s">
        <v>254</v>
      </c>
      <c r="I181" s="5" t="str">
        <f>IFERROR(VLOOKUP(Consulta1[[#This Row],[Pozo largo]],'Lista YPF'!$B$3:$C$358,2,FALSE),"NO")</f>
        <v>NO</v>
      </c>
      <c r="J181" s="5" t="str">
        <f>IFERROR(VLOOKUP(Consulta1[[#This Row],[Pozo]],'Lista Oportunidades'!B:C,2,FALSE),"NO")</f>
        <v>NO</v>
      </c>
      <c r="K181" s="5">
        <f>IFERROR(VLOOKUP(Consulta1[[#This Row],[Pozo largo]],Controles!B:H,7,FALSE),"NO")</f>
        <v>5.8</v>
      </c>
      <c r="L181" s="5">
        <f>IFERROR(VLOOKUP(Consulta1[[#This Row],[Pozo largo]],Controles!B:J,9,FALSE),"NO")</f>
        <v>0</v>
      </c>
    </row>
    <row r="182" spans="2:12" x14ac:dyDescent="0.35">
      <c r="B182" s="4" t="s">
        <v>376</v>
      </c>
      <c r="C182" s="4" t="s">
        <v>5943</v>
      </c>
      <c r="D182" s="4" t="s">
        <v>5</v>
      </c>
      <c r="E182" s="4" t="s">
        <v>12</v>
      </c>
      <c r="F182" s="4" t="s">
        <v>7</v>
      </c>
      <c r="G182" s="4" t="s">
        <v>13</v>
      </c>
      <c r="H182" s="4" t="s">
        <v>21</v>
      </c>
      <c r="I182" s="5" t="str">
        <f>IFERROR(VLOOKUP(Consulta1[[#This Row],[Pozo largo]],'Lista YPF'!$B$3:$C$358,2,FALSE),"NO")</f>
        <v>NO</v>
      </c>
      <c r="J182" s="5" t="str">
        <f>IFERROR(VLOOKUP(Consulta1[[#This Row],[Pozo]],'Lista Oportunidades'!B:C,2,FALSE),"NO")</f>
        <v>NO</v>
      </c>
      <c r="K182" s="5">
        <f>IFERROR(VLOOKUP(Consulta1[[#This Row],[Pozo largo]],Controles!B:H,7,FALSE),"NO")</f>
        <v>8</v>
      </c>
      <c r="L182" s="5">
        <f>IFERROR(VLOOKUP(Consulta1[[#This Row],[Pozo largo]],Controles!B:J,9,FALSE),"NO")</f>
        <v>0</v>
      </c>
    </row>
    <row r="183" spans="2:12" x14ac:dyDescent="0.35">
      <c r="B183" s="4" t="s">
        <v>378</v>
      </c>
      <c r="C183" s="4" t="s">
        <v>5944</v>
      </c>
      <c r="D183" s="4" t="s">
        <v>5</v>
      </c>
      <c r="E183" s="4" t="s">
        <v>24</v>
      </c>
      <c r="F183" s="4" t="s">
        <v>25</v>
      </c>
      <c r="G183" s="4" t="s">
        <v>11387</v>
      </c>
      <c r="H183" s="4" t="s">
        <v>21</v>
      </c>
      <c r="I183" s="5" t="str">
        <f>IFERROR(VLOOKUP(Consulta1[[#This Row],[Pozo largo]],'Lista YPF'!$B$3:$C$358,2,FALSE),"NO")</f>
        <v>NO</v>
      </c>
      <c r="J183" s="5" t="str">
        <f>IFERROR(VLOOKUP(Consulta1[[#This Row],[Pozo]],'Lista Oportunidades'!B:C,2,FALSE),"NO")</f>
        <v>NO</v>
      </c>
      <c r="K183" s="5">
        <f>IFERROR(VLOOKUP(Consulta1[[#This Row],[Pozo largo]],Controles!B:H,7,FALSE),"NO")</f>
        <v>0.01</v>
      </c>
      <c r="L183" s="5" t="str">
        <f>IFERROR(VLOOKUP(Consulta1[[#This Row],[Pozo largo]],Controles!B:J,9,FALSE),"NO")</f>
        <v>Ultimo Año</v>
      </c>
    </row>
    <row r="184" spans="2:12" x14ac:dyDescent="0.35">
      <c r="B184" s="4" t="s">
        <v>380</v>
      </c>
      <c r="C184" s="4" t="s">
        <v>5945</v>
      </c>
      <c r="D184" s="4" t="s">
        <v>5</v>
      </c>
      <c r="E184" s="4" t="s">
        <v>12</v>
      </c>
      <c r="F184" s="4" t="s">
        <v>28</v>
      </c>
      <c r="G184" s="4" t="s">
        <v>13</v>
      </c>
      <c r="H184" s="4" t="s">
        <v>86</v>
      </c>
      <c r="I184" s="5" t="str">
        <f>IFERROR(VLOOKUP(Consulta1[[#This Row],[Pozo largo]],'Lista YPF'!$B$3:$C$358,2,FALSE),"NO")</f>
        <v>NO</v>
      </c>
      <c r="J184" s="5" t="str">
        <f>IFERROR(VLOOKUP(Consulta1[[#This Row],[Pozo]],'Lista Oportunidades'!B:C,2,FALSE),"NO")</f>
        <v>NO</v>
      </c>
      <c r="K184" s="5">
        <f>IFERROR(VLOOKUP(Consulta1[[#This Row],[Pozo largo]],Controles!B:H,7,FALSE),"NO")</f>
        <v>0</v>
      </c>
      <c r="L184" s="5">
        <f>IFERROR(VLOOKUP(Consulta1[[#This Row],[Pozo largo]],Controles!B:J,9,FALSE),"NO")</f>
        <v>0</v>
      </c>
    </row>
    <row r="185" spans="2:12" x14ac:dyDescent="0.35">
      <c r="B185" s="4" t="s">
        <v>382</v>
      </c>
      <c r="C185" s="4" t="s">
        <v>5946</v>
      </c>
      <c r="D185" s="4" t="s">
        <v>5</v>
      </c>
      <c r="E185" s="4" t="s">
        <v>12</v>
      </c>
      <c r="F185" s="4" t="s">
        <v>7</v>
      </c>
      <c r="G185" s="4" t="s">
        <v>13</v>
      </c>
      <c r="H185" s="4" t="s">
        <v>74</v>
      </c>
      <c r="I185" s="5" t="str">
        <f>IFERROR(VLOOKUP(Consulta1[[#This Row],[Pozo largo]],'Lista YPF'!$B$3:$C$358,2,FALSE),"NO")</f>
        <v>NO</v>
      </c>
      <c r="J185" s="5" t="str">
        <f>IFERROR(VLOOKUP(Consulta1[[#This Row],[Pozo]],'Lista Oportunidades'!B:C,2,FALSE),"NO")</f>
        <v>NO</v>
      </c>
      <c r="K185" s="5">
        <f>IFERROR(VLOOKUP(Consulta1[[#This Row],[Pozo largo]],Controles!B:H,7,FALSE),"NO")</f>
        <v>1.248</v>
      </c>
      <c r="L185" s="5">
        <f>IFERROR(VLOOKUP(Consulta1[[#This Row],[Pozo largo]],Controles!B:J,9,FALSE),"NO")</f>
        <v>0</v>
      </c>
    </row>
    <row r="186" spans="2:12" x14ac:dyDescent="0.35">
      <c r="B186" s="4" t="s">
        <v>384</v>
      </c>
      <c r="C186" s="4" t="s">
        <v>5947</v>
      </c>
      <c r="D186" s="4" t="s">
        <v>5</v>
      </c>
      <c r="E186" s="4" t="s">
        <v>12</v>
      </c>
      <c r="F186" s="4" t="s">
        <v>7</v>
      </c>
      <c r="G186" s="4" t="s">
        <v>13</v>
      </c>
      <c r="H186" s="4" t="s">
        <v>185</v>
      </c>
      <c r="I186" s="5" t="str">
        <f>IFERROR(VLOOKUP(Consulta1[[#This Row],[Pozo largo]],'Lista YPF'!$B$3:$C$358,2,FALSE),"NO")</f>
        <v>NO</v>
      </c>
      <c r="J186" s="5" t="str">
        <f>IFERROR(VLOOKUP(Consulta1[[#This Row],[Pozo]],'Lista Oportunidades'!B:C,2,FALSE),"NO")</f>
        <v>NO</v>
      </c>
      <c r="K186" s="5">
        <f>IFERROR(VLOOKUP(Consulta1[[#This Row],[Pozo largo]],Controles!B:H,7,FALSE),"NO")</f>
        <v>1.5</v>
      </c>
      <c r="L186" s="5">
        <f>IFERROR(VLOOKUP(Consulta1[[#This Row],[Pozo largo]],Controles!B:J,9,FALSE),"NO")</f>
        <v>0</v>
      </c>
    </row>
    <row r="187" spans="2:12" x14ac:dyDescent="0.35">
      <c r="B187" s="4" t="s">
        <v>386</v>
      </c>
      <c r="C187" s="4" t="s">
        <v>5948</v>
      </c>
      <c r="D187" s="4" t="s">
        <v>5</v>
      </c>
      <c r="E187" s="4" t="s">
        <v>12</v>
      </c>
      <c r="F187" s="4" t="s">
        <v>7</v>
      </c>
      <c r="G187" s="4" t="s">
        <v>13</v>
      </c>
      <c r="H187" s="4" t="s">
        <v>74</v>
      </c>
      <c r="I187" s="5" t="str">
        <f>IFERROR(VLOOKUP(Consulta1[[#This Row],[Pozo largo]],'Lista YPF'!$B$3:$C$358,2,FALSE),"NO")</f>
        <v>NO</v>
      </c>
      <c r="J187" s="5" t="str">
        <f>IFERROR(VLOOKUP(Consulta1[[#This Row],[Pozo]],'Lista Oportunidades'!B:C,2,FALSE),"NO")</f>
        <v>NO</v>
      </c>
      <c r="K187" s="5">
        <f>IFERROR(VLOOKUP(Consulta1[[#This Row],[Pozo largo]],Controles!B:H,7,FALSE),"NO")</f>
        <v>1.6</v>
      </c>
      <c r="L187" s="5">
        <f>IFERROR(VLOOKUP(Consulta1[[#This Row],[Pozo largo]],Controles!B:J,9,FALSE),"NO")</f>
        <v>0</v>
      </c>
    </row>
    <row r="188" spans="2:12" x14ac:dyDescent="0.35">
      <c r="B188" s="4" t="s">
        <v>388</v>
      </c>
      <c r="C188" s="4" t="s">
        <v>5949</v>
      </c>
      <c r="D188" s="4" t="s">
        <v>5</v>
      </c>
      <c r="E188" s="4" t="s">
        <v>12</v>
      </c>
      <c r="F188" s="4" t="s">
        <v>7</v>
      </c>
      <c r="G188" s="4" t="s">
        <v>13</v>
      </c>
      <c r="H188" s="4" t="s">
        <v>141</v>
      </c>
      <c r="I188" s="5" t="str">
        <f>IFERROR(VLOOKUP(Consulta1[[#This Row],[Pozo largo]],'Lista YPF'!$B$3:$C$358,2,FALSE),"NO")</f>
        <v>NO</v>
      </c>
      <c r="J188" s="5" t="str">
        <f>IFERROR(VLOOKUP(Consulta1[[#This Row],[Pozo]],'Lista Oportunidades'!B:C,2,FALSE),"NO")</f>
        <v>NO</v>
      </c>
      <c r="K188" s="5">
        <f>IFERROR(VLOOKUP(Consulta1[[#This Row],[Pozo largo]],Controles!B:H,7,FALSE),"NO")</f>
        <v>2.2400000000000002</v>
      </c>
      <c r="L188" s="5">
        <f>IFERROR(VLOOKUP(Consulta1[[#This Row],[Pozo largo]],Controles!B:J,9,FALSE),"NO")</f>
        <v>0</v>
      </c>
    </row>
    <row r="189" spans="2:12" x14ac:dyDescent="0.35">
      <c r="B189" s="4" t="s">
        <v>390</v>
      </c>
      <c r="C189" s="4" t="s">
        <v>5950</v>
      </c>
      <c r="D189" s="4" t="s">
        <v>5</v>
      </c>
      <c r="E189" s="4" t="s">
        <v>12</v>
      </c>
      <c r="F189" s="4" t="s">
        <v>25</v>
      </c>
      <c r="G189" s="4" t="s">
        <v>13</v>
      </c>
      <c r="H189" s="4" t="s">
        <v>185</v>
      </c>
      <c r="I189" s="5" t="str">
        <f>IFERROR(VLOOKUP(Consulta1[[#This Row],[Pozo largo]],'Lista YPF'!$B$3:$C$358,2,FALSE),"NO")</f>
        <v>NO</v>
      </c>
      <c r="J189" s="5" t="str">
        <f>IFERROR(VLOOKUP(Consulta1[[#This Row],[Pozo]],'Lista Oportunidades'!B:C,2,FALSE),"NO")</f>
        <v>NO</v>
      </c>
      <c r="K189" s="5">
        <f>IFERROR(VLOOKUP(Consulta1[[#This Row],[Pozo largo]],Controles!B:H,7,FALSE),"NO")</f>
        <v>0.10400000000000001</v>
      </c>
      <c r="L189" s="5">
        <f>IFERROR(VLOOKUP(Consulta1[[#This Row],[Pozo largo]],Controles!B:J,9,FALSE),"NO")</f>
        <v>0</v>
      </c>
    </row>
    <row r="190" spans="2:12" x14ac:dyDescent="0.35">
      <c r="B190" s="4" t="s">
        <v>392</v>
      </c>
      <c r="C190" s="4" t="s">
        <v>5951</v>
      </c>
      <c r="D190" s="4" t="s">
        <v>5</v>
      </c>
      <c r="E190" s="4" t="s">
        <v>6</v>
      </c>
      <c r="F190" s="4" t="s">
        <v>7</v>
      </c>
      <c r="G190" s="4" t="s">
        <v>5718</v>
      </c>
      <c r="H190" s="4" t="s">
        <v>9</v>
      </c>
      <c r="I190" s="5" t="str">
        <f>IFERROR(VLOOKUP(Consulta1[[#This Row],[Pozo largo]],'Lista YPF'!$B$3:$C$358,2,FALSE),"NO")</f>
        <v>En lista de Abandono</v>
      </c>
      <c r="J190" s="5" t="str">
        <f>IFERROR(VLOOKUP(Consulta1[[#This Row],[Pozo]],'Lista Oportunidades'!B:C,2,FALSE),"NO")</f>
        <v>NO</v>
      </c>
      <c r="K190" s="5">
        <f>IFERROR(VLOOKUP(Consulta1[[#This Row],[Pozo largo]],Controles!B:H,7,FALSE),"NO")</f>
        <v>0.1</v>
      </c>
      <c r="L190" s="5">
        <f>IFERROR(VLOOKUP(Consulta1[[#This Row],[Pozo largo]],Controles!B:J,9,FALSE),"NO")</f>
        <v>0</v>
      </c>
    </row>
    <row r="191" spans="2:12" x14ac:dyDescent="0.35">
      <c r="B191" s="4" t="s">
        <v>394</v>
      </c>
      <c r="C191" s="4" t="s">
        <v>5952</v>
      </c>
      <c r="D191" s="4" t="s">
        <v>5</v>
      </c>
      <c r="E191" s="4" t="s">
        <v>6</v>
      </c>
      <c r="F191" s="4" t="s">
        <v>7</v>
      </c>
      <c r="G191" s="4" t="s">
        <v>5718</v>
      </c>
      <c r="H191" s="4" t="s">
        <v>9</v>
      </c>
      <c r="I191" s="5" t="str">
        <f>IFERROR(VLOOKUP(Consulta1[[#This Row],[Pozo largo]],'Lista YPF'!$B$3:$C$358,2,FALSE),"NO")</f>
        <v>En lista de Abandono</v>
      </c>
      <c r="J191" s="5" t="str">
        <f>IFERROR(VLOOKUP(Consulta1[[#This Row],[Pozo]],'Lista Oportunidades'!B:C,2,FALSE),"NO")</f>
        <v>NO</v>
      </c>
      <c r="K191" s="5">
        <f>IFERROR(VLOOKUP(Consulta1[[#This Row],[Pozo largo]],Controles!B:H,7,FALSE),"NO")</f>
        <v>0.96</v>
      </c>
      <c r="L191" s="5" t="str">
        <f>IFERROR(VLOOKUP(Consulta1[[#This Row],[Pozo largo]],Controles!B:J,9,FALSE),"NO")</f>
        <v>Ultimo Año</v>
      </c>
    </row>
    <row r="192" spans="2:12" x14ac:dyDescent="0.35">
      <c r="B192" s="4" t="s">
        <v>396</v>
      </c>
      <c r="C192" s="4" t="s">
        <v>5953</v>
      </c>
      <c r="D192" s="4" t="s">
        <v>5</v>
      </c>
      <c r="E192" s="4" t="s">
        <v>24</v>
      </c>
      <c r="F192" s="4" t="s">
        <v>7</v>
      </c>
      <c r="G192" s="4" t="s">
        <v>11387</v>
      </c>
      <c r="H192" s="4" t="s">
        <v>91</v>
      </c>
      <c r="I192" s="5" t="str">
        <f>IFERROR(VLOOKUP(Consulta1[[#This Row],[Pozo largo]],'Lista YPF'!$B$3:$C$358,2,FALSE),"NO")</f>
        <v>NO</v>
      </c>
      <c r="J192" s="5" t="str">
        <f>IFERROR(VLOOKUP(Consulta1[[#This Row],[Pozo]],'Lista Oportunidades'!B:C,2,FALSE),"NO")</f>
        <v>NO</v>
      </c>
      <c r="K192" s="5">
        <f>IFERROR(VLOOKUP(Consulta1[[#This Row],[Pozo largo]],Controles!B:H,7,FALSE),"NO")</f>
        <v>0.18</v>
      </c>
      <c r="L192" s="5" t="str">
        <f>IFERROR(VLOOKUP(Consulta1[[#This Row],[Pozo largo]],Controles!B:J,9,FALSE),"NO")</f>
        <v>Ultimo Año</v>
      </c>
    </row>
    <row r="193" spans="2:12" x14ac:dyDescent="0.35">
      <c r="B193" s="4" t="s">
        <v>398</v>
      </c>
      <c r="C193" s="4" t="s">
        <v>5954</v>
      </c>
      <c r="D193" s="4" t="s">
        <v>5</v>
      </c>
      <c r="E193" s="4" t="s">
        <v>12</v>
      </c>
      <c r="F193" s="4" t="s">
        <v>7</v>
      </c>
      <c r="G193" s="4" t="s">
        <v>13</v>
      </c>
      <c r="H193" s="4" t="s">
        <v>71</v>
      </c>
      <c r="I193" s="5" t="str">
        <f>IFERROR(VLOOKUP(Consulta1[[#This Row],[Pozo largo]],'Lista YPF'!$B$3:$C$358,2,FALSE),"NO")</f>
        <v>NO</v>
      </c>
      <c r="J193" s="5" t="str">
        <f>IFERROR(VLOOKUP(Consulta1[[#This Row],[Pozo]],'Lista Oportunidades'!B:C,2,FALSE),"NO")</f>
        <v>NO</v>
      </c>
      <c r="K193" s="5">
        <f>IFERROR(VLOOKUP(Consulta1[[#This Row],[Pozo largo]],Controles!B:H,7,FALSE),"NO")</f>
        <v>2.4</v>
      </c>
      <c r="L193" s="5">
        <f>IFERROR(VLOOKUP(Consulta1[[#This Row],[Pozo largo]],Controles!B:J,9,FALSE),"NO")</f>
        <v>0</v>
      </c>
    </row>
    <row r="194" spans="2:12" x14ac:dyDescent="0.35">
      <c r="B194" s="4" t="s">
        <v>400</v>
      </c>
      <c r="C194" s="4" t="s">
        <v>5955</v>
      </c>
      <c r="D194" s="4" t="s">
        <v>5</v>
      </c>
      <c r="E194" s="4" t="s">
        <v>12</v>
      </c>
      <c r="F194" s="4" t="s">
        <v>7</v>
      </c>
      <c r="G194" s="4" t="s">
        <v>13</v>
      </c>
      <c r="H194" s="4" t="s">
        <v>9</v>
      </c>
      <c r="I194" s="5" t="str">
        <f>IFERROR(VLOOKUP(Consulta1[[#This Row],[Pozo largo]],'Lista YPF'!$B$3:$C$358,2,FALSE),"NO")</f>
        <v>NO</v>
      </c>
      <c r="J194" s="5" t="str">
        <f>IFERROR(VLOOKUP(Consulta1[[#This Row],[Pozo]],'Lista Oportunidades'!B:C,2,FALSE),"NO")</f>
        <v>NO</v>
      </c>
      <c r="K194" s="5">
        <f>IFERROR(VLOOKUP(Consulta1[[#This Row],[Pozo largo]],Controles!B:H,7,FALSE),"NO")</f>
        <v>0.4</v>
      </c>
      <c r="L194" s="5">
        <f>IFERROR(VLOOKUP(Consulta1[[#This Row],[Pozo largo]],Controles!B:J,9,FALSE),"NO")</f>
        <v>0</v>
      </c>
    </row>
    <row r="195" spans="2:12" x14ac:dyDescent="0.35">
      <c r="B195" s="4" t="s">
        <v>402</v>
      </c>
      <c r="C195" s="4" t="s">
        <v>5956</v>
      </c>
      <c r="D195" s="4" t="s">
        <v>5</v>
      </c>
      <c r="E195" s="4" t="s">
        <v>12</v>
      </c>
      <c r="F195" s="4" t="s">
        <v>7</v>
      </c>
      <c r="G195" s="4" t="s">
        <v>13</v>
      </c>
      <c r="H195" s="4" t="s">
        <v>74</v>
      </c>
      <c r="I195" s="5" t="str">
        <f>IFERROR(VLOOKUP(Consulta1[[#This Row],[Pozo largo]],'Lista YPF'!$B$3:$C$358,2,FALSE),"NO")</f>
        <v>NO</v>
      </c>
      <c r="J195" s="5" t="str">
        <f>IFERROR(VLOOKUP(Consulta1[[#This Row],[Pozo]],'Lista Oportunidades'!B:C,2,FALSE),"NO")</f>
        <v>NO</v>
      </c>
      <c r="K195" s="5">
        <f>IFERROR(VLOOKUP(Consulta1[[#This Row],[Pozo largo]],Controles!B:H,7,FALSE),"NO")</f>
        <v>1.8</v>
      </c>
      <c r="L195" s="5">
        <f>IFERROR(VLOOKUP(Consulta1[[#This Row],[Pozo largo]],Controles!B:J,9,FALSE),"NO")</f>
        <v>0</v>
      </c>
    </row>
    <row r="196" spans="2:12" x14ac:dyDescent="0.35">
      <c r="B196" s="4" t="s">
        <v>404</v>
      </c>
      <c r="C196" s="4" t="s">
        <v>5723</v>
      </c>
      <c r="D196" s="4" t="s">
        <v>5</v>
      </c>
      <c r="E196" s="4" t="s">
        <v>12</v>
      </c>
      <c r="F196" s="4" t="s">
        <v>83</v>
      </c>
      <c r="G196" s="4" t="s">
        <v>13</v>
      </c>
      <c r="H196" s="4" t="s">
        <v>84</v>
      </c>
      <c r="I196" s="5" t="str">
        <f>IFERROR(VLOOKUP(Consulta1[[#This Row],[Pozo largo]],'Lista YPF'!$B$3:$C$358,2,FALSE),"NO")</f>
        <v>NO</v>
      </c>
      <c r="J196" s="5" t="str">
        <f>IFERROR(VLOOKUP(Consulta1[[#This Row],[Pozo]],'Lista Oportunidades'!B:C,2,FALSE),"NO")</f>
        <v>Oportunidad</v>
      </c>
      <c r="K196" s="5">
        <f>IFERROR(VLOOKUP(Consulta1[[#This Row],[Pozo largo]],Controles!B:H,7,FALSE),"NO")</f>
        <v>1.778</v>
      </c>
      <c r="L196" s="5">
        <f>IFERROR(VLOOKUP(Consulta1[[#This Row],[Pozo largo]],Controles!B:J,9,FALSE),"NO")</f>
        <v>0</v>
      </c>
    </row>
    <row r="197" spans="2:12" x14ac:dyDescent="0.35">
      <c r="B197" s="4" t="s">
        <v>406</v>
      </c>
      <c r="C197" s="4" t="s">
        <v>5957</v>
      </c>
      <c r="D197" s="4" t="s">
        <v>5</v>
      </c>
      <c r="E197" s="4" t="s">
        <v>12</v>
      </c>
      <c r="F197" s="4" t="s">
        <v>7</v>
      </c>
      <c r="G197" s="4" t="s">
        <v>13</v>
      </c>
      <c r="H197" s="4" t="s">
        <v>80</v>
      </c>
      <c r="I197" s="5" t="str">
        <f>IFERROR(VLOOKUP(Consulta1[[#This Row],[Pozo largo]],'Lista YPF'!$B$3:$C$358,2,FALSE),"NO")</f>
        <v>NO</v>
      </c>
      <c r="J197" s="5" t="str">
        <f>IFERROR(VLOOKUP(Consulta1[[#This Row],[Pozo]],'Lista Oportunidades'!B:C,2,FALSE),"NO")</f>
        <v>NO</v>
      </c>
      <c r="K197" s="5">
        <f>IFERROR(VLOOKUP(Consulta1[[#This Row],[Pozo largo]],Controles!B:H,7,FALSE),"NO")</f>
        <v>2</v>
      </c>
      <c r="L197" s="5">
        <f>IFERROR(VLOOKUP(Consulta1[[#This Row],[Pozo largo]],Controles!B:J,9,FALSE),"NO")</f>
        <v>0</v>
      </c>
    </row>
    <row r="198" spans="2:12" x14ac:dyDescent="0.35">
      <c r="B198" s="4" t="s">
        <v>408</v>
      </c>
      <c r="C198" s="4" t="s">
        <v>5958</v>
      </c>
      <c r="D198" s="4" t="s">
        <v>5</v>
      </c>
      <c r="E198" s="4" t="s">
        <v>57</v>
      </c>
      <c r="F198" s="4" t="s">
        <v>7</v>
      </c>
      <c r="G198" s="4" t="s">
        <v>5718</v>
      </c>
      <c r="H198" s="4" t="s">
        <v>36</v>
      </c>
      <c r="I198" s="5" t="str">
        <f>IFERROR(VLOOKUP(Consulta1[[#This Row],[Pozo largo]],'Lista YPF'!$B$3:$C$358,2,FALSE),"NO")</f>
        <v>En lista de Abandono</v>
      </c>
      <c r="J198" s="5" t="str">
        <f>IFERROR(VLOOKUP(Consulta1[[#This Row],[Pozo]],'Lista Oportunidades'!B:C,2,FALSE),"NO")</f>
        <v>NO</v>
      </c>
      <c r="K198" s="5">
        <f>IFERROR(VLOOKUP(Consulta1[[#This Row],[Pozo largo]],Controles!B:H,7,FALSE),"NO")</f>
        <v>0.14000000000000001</v>
      </c>
      <c r="L198" s="5">
        <f>IFERROR(VLOOKUP(Consulta1[[#This Row],[Pozo largo]],Controles!B:J,9,FALSE),"NO")</f>
        <v>0</v>
      </c>
    </row>
    <row r="199" spans="2:12" x14ac:dyDescent="0.35">
      <c r="B199" s="4" t="s">
        <v>410</v>
      </c>
      <c r="C199" s="4" t="s">
        <v>5959</v>
      </c>
      <c r="D199" s="4" t="s">
        <v>5</v>
      </c>
      <c r="E199" s="4" t="s">
        <v>6</v>
      </c>
      <c r="F199" s="4" t="s">
        <v>83</v>
      </c>
      <c r="G199" s="4" t="s">
        <v>5718</v>
      </c>
      <c r="H199" s="4" t="s">
        <v>91</v>
      </c>
      <c r="I199" s="5" t="str">
        <f>IFERROR(VLOOKUP(Consulta1[[#This Row],[Pozo largo]],'Lista YPF'!$B$3:$C$358,2,FALSE),"NO")</f>
        <v>En lista de Abandono</v>
      </c>
      <c r="J199" s="5" t="str">
        <f>IFERROR(VLOOKUP(Consulta1[[#This Row],[Pozo]],'Lista Oportunidades'!B:C,2,FALSE),"NO")</f>
        <v>NO</v>
      </c>
      <c r="K199" s="5">
        <f>IFERROR(VLOOKUP(Consulta1[[#This Row],[Pozo largo]],Controles!B:H,7,FALSE),"NO")</f>
        <v>1.125</v>
      </c>
      <c r="L199" s="5">
        <f>IFERROR(VLOOKUP(Consulta1[[#This Row],[Pozo largo]],Controles!B:J,9,FALSE),"NO")</f>
        <v>0</v>
      </c>
    </row>
    <row r="200" spans="2:12" x14ac:dyDescent="0.35">
      <c r="B200" s="4" t="s">
        <v>412</v>
      </c>
      <c r="C200" s="4" t="s">
        <v>5960</v>
      </c>
      <c r="D200" s="4" t="s">
        <v>5</v>
      </c>
      <c r="E200" s="4" t="s">
        <v>12</v>
      </c>
      <c r="F200" s="4" t="s">
        <v>25</v>
      </c>
      <c r="G200" s="4" t="s">
        <v>13</v>
      </c>
      <c r="H200" s="4" t="s">
        <v>86</v>
      </c>
      <c r="I200" s="5" t="str">
        <f>IFERROR(VLOOKUP(Consulta1[[#This Row],[Pozo largo]],'Lista YPF'!$B$3:$C$358,2,FALSE),"NO")</f>
        <v>NO</v>
      </c>
      <c r="J200" s="5" t="str">
        <f>IFERROR(VLOOKUP(Consulta1[[#This Row],[Pozo]],'Lista Oportunidades'!B:C,2,FALSE),"NO")</f>
        <v>NO</v>
      </c>
      <c r="K200" s="5">
        <f>IFERROR(VLOOKUP(Consulta1[[#This Row],[Pozo largo]],Controles!B:H,7,FALSE),"NO")</f>
        <v>0.19</v>
      </c>
      <c r="L200" s="5">
        <f>IFERROR(VLOOKUP(Consulta1[[#This Row],[Pozo largo]],Controles!B:J,9,FALSE),"NO")</f>
        <v>0</v>
      </c>
    </row>
    <row r="201" spans="2:12" x14ac:dyDescent="0.35">
      <c r="B201" s="4" t="s">
        <v>414</v>
      </c>
      <c r="C201" s="4" t="s">
        <v>5961</v>
      </c>
      <c r="D201" s="4" t="s">
        <v>5</v>
      </c>
      <c r="E201" s="4" t="s">
        <v>24</v>
      </c>
      <c r="F201" s="4" t="s">
        <v>25</v>
      </c>
      <c r="G201" s="4" t="s">
        <v>8</v>
      </c>
      <c r="H201" s="4" t="s">
        <v>86</v>
      </c>
      <c r="I201" s="5" t="str">
        <f>IFERROR(VLOOKUP(Consulta1[[#This Row],[Pozo largo]],'Lista YPF'!$B$3:$C$358,2,FALSE),"NO")</f>
        <v>NO</v>
      </c>
      <c r="J201" s="5" t="str">
        <f>IFERROR(VLOOKUP(Consulta1[[#This Row],[Pozo]],'Lista Oportunidades'!B:C,2,FALSE),"NO")</f>
        <v>NO</v>
      </c>
      <c r="K201" s="5">
        <f>IFERROR(VLOOKUP(Consulta1[[#This Row],[Pozo largo]],Controles!B:H,7,FALSE),"NO")</f>
        <v>9.4E-2</v>
      </c>
      <c r="L201" s="5">
        <f>IFERROR(VLOOKUP(Consulta1[[#This Row],[Pozo largo]],Controles!B:J,9,FALSE),"NO")</f>
        <v>0</v>
      </c>
    </row>
    <row r="202" spans="2:12" x14ac:dyDescent="0.35">
      <c r="B202" s="4" t="s">
        <v>416</v>
      </c>
      <c r="C202" s="4" t="s">
        <v>5962</v>
      </c>
      <c r="D202" s="4" t="s">
        <v>5</v>
      </c>
      <c r="E202" s="4" t="s">
        <v>12</v>
      </c>
      <c r="F202" s="4" t="s">
        <v>7</v>
      </c>
      <c r="G202" s="4" t="s">
        <v>13</v>
      </c>
      <c r="H202" s="4" t="s">
        <v>86</v>
      </c>
      <c r="I202" s="5" t="str">
        <f>IFERROR(VLOOKUP(Consulta1[[#This Row],[Pozo largo]],'Lista YPF'!$B$3:$C$358,2,FALSE),"NO")</f>
        <v>NO</v>
      </c>
      <c r="J202" s="5" t="str">
        <f>IFERROR(VLOOKUP(Consulta1[[#This Row],[Pozo]],'Lista Oportunidades'!B:C,2,FALSE),"NO")</f>
        <v>NO</v>
      </c>
      <c r="K202" s="5">
        <f>IFERROR(VLOOKUP(Consulta1[[#This Row],[Pozo largo]],Controles!B:H,7,FALSE),"NO")</f>
        <v>0.129</v>
      </c>
      <c r="L202" s="5">
        <f>IFERROR(VLOOKUP(Consulta1[[#This Row],[Pozo largo]],Controles!B:J,9,FALSE),"NO")</f>
        <v>0</v>
      </c>
    </row>
    <row r="203" spans="2:12" x14ac:dyDescent="0.35">
      <c r="B203" s="4" t="s">
        <v>418</v>
      </c>
      <c r="C203" s="4" t="s">
        <v>5963</v>
      </c>
      <c r="D203" s="4" t="s">
        <v>5</v>
      </c>
      <c r="E203" s="4" t="s">
        <v>24</v>
      </c>
      <c r="F203" s="4" t="s">
        <v>31</v>
      </c>
      <c r="G203" s="4" t="s">
        <v>8</v>
      </c>
      <c r="H203" s="4" t="s">
        <v>71</v>
      </c>
      <c r="I203" s="5" t="str">
        <f>IFERROR(VLOOKUP(Consulta1[[#This Row],[Pozo largo]],'Lista YPF'!$B$3:$C$358,2,FALSE),"NO")</f>
        <v>NO</v>
      </c>
      <c r="J203" s="5" t="str">
        <f>IFERROR(VLOOKUP(Consulta1[[#This Row],[Pozo]],'Lista Oportunidades'!B:C,2,FALSE),"NO")</f>
        <v>NO</v>
      </c>
      <c r="K203" s="5">
        <f>IFERROR(VLOOKUP(Consulta1[[#This Row],[Pozo largo]],Controles!B:H,7,FALSE),"NO")</f>
        <v>0.23700000000000002</v>
      </c>
      <c r="L203" s="5">
        <f>IFERROR(VLOOKUP(Consulta1[[#This Row],[Pozo largo]],Controles!B:J,9,FALSE),"NO")</f>
        <v>0</v>
      </c>
    </row>
    <row r="204" spans="2:12" x14ac:dyDescent="0.35">
      <c r="B204" s="4" t="s">
        <v>420</v>
      </c>
      <c r="C204" s="4" t="s">
        <v>5964</v>
      </c>
      <c r="D204" s="4" t="s">
        <v>5</v>
      </c>
      <c r="E204" s="4" t="s">
        <v>30</v>
      </c>
      <c r="F204" s="4" t="s">
        <v>31</v>
      </c>
      <c r="G204" s="4" t="s">
        <v>32</v>
      </c>
      <c r="H204" s="4" t="s">
        <v>74</v>
      </c>
      <c r="I204" s="5" t="str">
        <f>IFERROR(VLOOKUP(Consulta1[[#This Row],[Pozo largo]],'Lista YPF'!$B$3:$C$358,2,FALSE),"NO")</f>
        <v>NO</v>
      </c>
      <c r="J204" s="5" t="str">
        <f>IFERROR(VLOOKUP(Consulta1[[#This Row],[Pozo]],'Lista Oportunidades'!B:C,2,FALSE),"NO")</f>
        <v>NO</v>
      </c>
      <c r="K204" s="5" t="str">
        <f>IFERROR(VLOOKUP(Consulta1[[#This Row],[Pozo largo]],Controles!B:H,7,FALSE),"NO")</f>
        <v>NO</v>
      </c>
      <c r="L204" s="5" t="str">
        <f>IFERROR(VLOOKUP(Consulta1[[#This Row],[Pozo largo]],Controles!B:J,9,FALSE),"NO")</f>
        <v>NO</v>
      </c>
    </row>
    <row r="205" spans="2:12" x14ac:dyDescent="0.35">
      <c r="B205" s="4" t="s">
        <v>421</v>
      </c>
      <c r="C205" s="4" t="s">
        <v>5965</v>
      </c>
      <c r="D205" s="4" t="s">
        <v>5</v>
      </c>
      <c r="E205" s="4" t="s">
        <v>12</v>
      </c>
      <c r="F205" s="4" t="s">
        <v>7</v>
      </c>
      <c r="G205" s="4" t="s">
        <v>13</v>
      </c>
      <c r="H205" s="4" t="s">
        <v>21</v>
      </c>
      <c r="I205" s="5" t="str">
        <f>IFERROR(VLOOKUP(Consulta1[[#This Row],[Pozo largo]],'Lista YPF'!$B$3:$C$358,2,FALSE),"NO")</f>
        <v>NO</v>
      </c>
      <c r="J205" s="5" t="str">
        <f>IFERROR(VLOOKUP(Consulta1[[#This Row],[Pozo]],'Lista Oportunidades'!B:C,2,FALSE),"NO")</f>
        <v>NO</v>
      </c>
      <c r="K205" s="5">
        <f>IFERROR(VLOOKUP(Consulta1[[#This Row],[Pozo largo]],Controles!B:H,7,FALSE),"NO")</f>
        <v>0.47500000000000003</v>
      </c>
      <c r="L205" s="5">
        <f>IFERROR(VLOOKUP(Consulta1[[#This Row],[Pozo largo]],Controles!B:J,9,FALSE),"NO")</f>
        <v>0</v>
      </c>
    </row>
    <row r="206" spans="2:12" x14ac:dyDescent="0.35">
      <c r="B206" s="4" t="s">
        <v>423</v>
      </c>
      <c r="C206" s="4" t="s">
        <v>5966</v>
      </c>
      <c r="D206" s="4" t="s">
        <v>5</v>
      </c>
      <c r="E206" s="4" t="s">
        <v>30</v>
      </c>
      <c r="F206" s="4" t="s">
        <v>31</v>
      </c>
      <c r="G206" s="4" t="s">
        <v>32</v>
      </c>
      <c r="H206" s="4" t="s">
        <v>80</v>
      </c>
      <c r="I206" s="5" t="str">
        <f>IFERROR(VLOOKUP(Consulta1[[#This Row],[Pozo largo]],'Lista YPF'!$B$3:$C$358,2,FALSE),"NO")</f>
        <v>NO</v>
      </c>
      <c r="J206" s="5" t="str">
        <f>IFERROR(VLOOKUP(Consulta1[[#This Row],[Pozo]],'Lista Oportunidades'!B:C,2,FALSE),"NO")</f>
        <v>NO</v>
      </c>
      <c r="K206" s="5">
        <f>IFERROR(VLOOKUP(Consulta1[[#This Row],[Pozo largo]],Controles!B:H,7,FALSE),"NO")</f>
        <v>0.78</v>
      </c>
      <c r="L206" s="5">
        <f>IFERROR(VLOOKUP(Consulta1[[#This Row],[Pozo largo]],Controles!B:J,9,FALSE),"NO")</f>
        <v>0</v>
      </c>
    </row>
    <row r="207" spans="2:12" x14ac:dyDescent="0.35">
      <c r="B207" s="4" t="s">
        <v>425</v>
      </c>
      <c r="C207" s="4" t="s">
        <v>5967</v>
      </c>
      <c r="D207" s="4" t="s">
        <v>5</v>
      </c>
      <c r="E207" s="4" t="s">
        <v>30</v>
      </c>
      <c r="F207" s="4" t="s">
        <v>31</v>
      </c>
      <c r="G207" s="4" t="s">
        <v>32</v>
      </c>
      <c r="H207" s="4" t="s">
        <v>91</v>
      </c>
      <c r="I207" s="5" t="str">
        <f>IFERROR(VLOOKUP(Consulta1[[#This Row],[Pozo largo]],'Lista YPF'!$B$3:$C$358,2,FALSE),"NO")</f>
        <v>NO</v>
      </c>
      <c r="J207" s="5" t="str">
        <f>IFERROR(VLOOKUP(Consulta1[[#This Row],[Pozo]],'Lista Oportunidades'!B:C,2,FALSE),"NO")</f>
        <v>NO</v>
      </c>
      <c r="K207" s="5" t="str">
        <f>IFERROR(VLOOKUP(Consulta1[[#This Row],[Pozo largo]],Controles!B:H,7,FALSE),"NO")</f>
        <v>NO</v>
      </c>
      <c r="L207" s="5" t="str">
        <f>IFERROR(VLOOKUP(Consulta1[[#This Row],[Pozo largo]],Controles!B:J,9,FALSE),"NO")</f>
        <v>NO</v>
      </c>
    </row>
    <row r="208" spans="2:12" x14ac:dyDescent="0.35">
      <c r="B208" s="4" t="s">
        <v>426</v>
      </c>
      <c r="C208" s="4" t="s">
        <v>5968</v>
      </c>
      <c r="D208" s="4" t="s">
        <v>5</v>
      </c>
      <c r="E208" s="4" t="s">
        <v>12</v>
      </c>
      <c r="F208" s="4" t="s">
        <v>7</v>
      </c>
      <c r="G208" s="4" t="s">
        <v>13</v>
      </c>
      <c r="H208" s="4" t="s">
        <v>185</v>
      </c>
      <c r="I208" s="5" t="str">
        <f>IFERROR(VLOOKUP(Consulta1[[#This Row],[Pozo largo]],'Lista YPF'!$B$3:$C$358,2,FALSE),"NO")</f>
        <v>NO</v>
      </c>
      <c r="J208" s="5" t="str">
        <f>IFERROR(VLOOKUP(Consulta1[[#This Row],[Pozo]],'Lista Oportunidades'!B:C,2,FALSE),"NO")</f>
        <v>NO</v>
      </c>
      <c r="K208" s="5">
        <f>IFERROR(VLOOKUP(Consulta1[[#This Row],[Pozo largo]],Controles!B:H,7,FALSE),"NO")</f>
        <v>0.96</v>
      </c>
      <c r="L208" s="5">
        <f>IFERROR(VLOOKUP(Consulta1[[#This Row],[Pozo largo]],Controles!B:J,9,FALSE),"NO")</f>
        <v>0</v>
      </c>
    </row>
    <row r="209" spans="2:12" x14ac:dyDescent="0.35">
      <c r="B209" s="4" t="s">
        <v>428</v>
      </c>
      <c r="C209" s="4" t="s">
        <v>5969</v>
      </c>
      <c r="D209" s="4" t="s">
        <v>5</v>
      </c>
      <c r="E209" s="4" t="s">
        <v>430</v>
      </c>
      <c r="F209" s="4" t="s">
        <v>7</v>
      </c>
      <c r="G209" s="4" t="s">
        <v>5718</v>
      </c>
      <c r="H209" s="4" t="s">
        <v>86</v>
      </c>
      <c r="I209" s="5" t="str">
        <f>IFERROR(VLOOKUP(Consulta1[[#This Row],[Pozo largo]],'Lista YPF'!$B$3:$C$358,2,FALSE),"NO")</f>
        <v>En lista de Abandono</v>
      </c>
      <c r="J209" s="5" t="str">
        <f>IFERROR(VLOOKUP(Consulta1[[#This Row],[Pozo]],'Lista Oportunidades'!B:C,2,FALSE),"NO")</f>
        <v>NO</v>
      </c>
      <c r="K209" s="5">
        <f>IFERROR(VLOOKUP(Consulta1[[#This Row],[Pozo largo]],Controles!B:H,7,FALSE),"NO")</f>
        <v>0.46</v>
      </c>
      <c r="L209" s="5">
        <f>IFERROR(VLOOKUP(Consulta1[[#This Row],[Pozo largo]],Controles!B:J,9,FALSE),"NO")</f>
        <v>0</v>
      </c>
    </row>
    <row r="210" spans="2:12" x14ac:dyDescent="0.35">
      <c r="B210" s="4" t="s">
        <v>431</v>
      </c>
      <c r="C210" s="4" t="s">
        <v>5970</v>
      </c>
      <c r="D210" s="4" t="s">
        <v>5</v>
      </c>
      <c r="E210" s="4" t="s">
        <v>6</v>
      </c>
      <c r="F210" s="4" t="s">
        <v>25</v>
      </c>
      <c r="G210" s="4" t="s">
        <v>11386</v>
      </c>
      <c r="H210" s="4" t="s">
        <v>9</v>
      </c>
      <c r="I210" s="5" t="str">
        <f>IFERROR(VLOOKUP(Consulta1[[#This Row],[Pozo largo]],'Lista YPF'!$B$3:$C$358,2,FALSE),"NO")</f>
        <v>NO</v>
      </c>
      <c r="J210" s="5" t="str">
        <f>IFERROR(VLOOKUP(Consulta1[[#This Row],[Pozo]],'Lista Oportunidades'!B:C,2,FALSE),"NO")</f>
        <v>NO</v>
      </c>
      <c r="K210" s="5">
        <f>IFERROR(VLOOKUP(Consulta1[[#This Row],[Pozo largo]],Controles!B:H,7,FALSE),"NO")</f>
        <v>0.79200000000000004</v>
      </c>
      <c r="L210" s="5" t="str">
        <f>IFERROR(VLOOKUP(Consulta1[[#This Row],[Pozo largo]],Controles!B:J,9,FALSE),"NO")</f>
        <v>Ultimos 6 meses</v>
      </c>
    </row>
    <row r="211" spans="2:12" x14ac:dyDescent="0.35">
      <c r="B211" s="4" t="s">
        <v>433</v>
      </c>
      <c r="C211" s="4" t="s">
        <v>5971</v>
      </c>
      <c r="D211" s="4" t="s">
        <v>5</v>
      </c>
      <c r="E211" s="4" t="s">
        <v>57</v>
      </c>
      <c r="F211" s="4" t="s">
        <v>7</v>
      </c>
      <c r="G211" s="4" t="s">
        <v>5718</v>
      </c>
      <c r="H211" s="4" t="s">
        <v>86</v>
      </c>
      <c r="I211" s="5" t="str">
        <f>IFERROR(VLOOKUP(Consulta1[[#This Row],[Pozo largo]],'Lista YPF'!$B$3:$C$358,2,FALSE),"NO")</f>
        <v>En lista de Abandono</v>
      </c>
      <c r="J211" s="5" t="str">
        <f>IFERROR(VLOOKUP(Consulta1[[#This Row],[Pozo]],'Lista Oportunidades'!B:C,2,FALSE),"NO")</f>
        <v>NO</v>
      </c>
      <c r="K211" s="5">
        <f>IFERROR(VLOOKUP(Consulta1[[#This Row],[Pozo largo]],Controles!B:H,7,FALSE),"NO")</f>
        <v>0.49500000000000005</v>
      </c>
      <c r="L211" s="5">
        <f>IFERROR(VLOOKUP(Consulta1[[#This Row],[Pozo largo]],Controles!B:J,9,FALSE),"NO")</f>
        <v>0</v>
      </c>
    </row>
    <row r="212" spans="2:12" x14ac:dyDescent="0.35">
      <c r="B212" s="4" t="s">
        <v>435</v>
      </c>
      <c r="C212" s="4" t="s">
        <v>5972</v>
      </c>
      <c r="D212" s="4" t="s">
        <v>5</v>
      </c>
      <c r="E212" s="4" t="s">
        <v>6</v>
      </c>
      <c r="F212" s="4" t="s">
        <v>28</v>
      </c>
      <c r="G212" s="4" t="s">
        <v>5718</v>
      </c>
      <c r="H212" s="4" t="s">
        <v>86</v>
      </c>
      <c r="I212" s="5" t="str">
        <f>IFERROR(VLOOKUP(Consulta1[[#This Row],[Pozo largo]],'Lista YPF'!$B$3:$C$358,2,FALSE),"NO")</f>
        <v>En lista de Abandono</v>
      </c>
      <c r="J212" s="5" t="str">
        <f>IFERROR(VLOOKUP(Consulta1[[#This Row],[Pozo]],'Lista Oportunidades'!B:C,2,FALSE),"NO")</f>
        <v>NO</v>
      </c>
      <c r="K212" s="5">
        <f>IFERROR(VLOOKUP(Consulta1[[#This Row],[Pozo largo]],Controles!B:H,7,FALSE),"NO")</f>
        <v>0</v>
      </c>
      <c r="L212" s="5">
        <f>IFERROR(VLOOKUP(Consulta1[[#This Row],[Pozo largo]],Controles!B:J,9,FALSE),"NO")</f>
        <v>0</v>
      </c>
    </row>
    <row r="213" spans="2:12" x14ac:dyDescent="0.35">
      <c r="B213" s="4" t="s">
        <v>437</v>
      </c>
      <c r="C213" s="4" t="s">
        <v>5973</v>
      </c>
      <c r="D213" s="4" t="s">
        <v>5</v>
      </c>
      <c r="E213" s="4" t="s">
        <v>12</v>
      </c>
      <c r="F213" s="4" t="s">
        <v>7</v>
      </c>
      <c r="G213" s="4" t="s">
        <v>13</v>
      </c>
      <c r="H213" s="4" t="s">
        <v>185</v>
      </c>
      <c r="I213" s="5" t="str">
        <f>IFERROR(VLOOKUP(Consulta1[[#This Row],[Pozo largo]],'Lista YPF'!$B$3:$C$358,2,FALSE),"NO")</f>
        <v>NO</v>
      </c>
      <c r="J213" s="5" t="str">
        <f>IFERROR(VLOOKUP(Consulta1[[#This Row],[Pozo]],'Lista Oportunidades'!B:C,2,FALSE),"NO")</f>
        <v>NO</v>
      </c>
      <c r="K213" s="5">
        <f>IFERROR(VLOOKUP(Consulta1[[#This Row],[Pozo largo]],Controles!B:H,7,FALSE),"NO")</f>
        <v>0.71</v>
      </c>
      <c r="L213" s="5">
        <f>IFERROR(VLOOKUP(Consulta1[[#This Row],[Pozo largo]],Controles!B:J,9,FALSE),"NO")</f>
        <v>0</v>
      </c>
    </row>
    <row r="214" spans="2:12" x14ac:dyDescent="0.35">
      <c r="B214" s="4" t="s">
        <v>439</v>
      </c>
      <c r="C214" s="4" t="s">
        <v>5974</v>
      </c>
      <c r="D214" s="4" t="s">
        <v>5</v>
      </c>
      <c r="E214" s="4" t="s">
        <v>24</v>
      </c>
      <c r="F214" s="4" t="s">
        <v>25</v>
      </c>
      <c r="G214" s="4" t="s">
        <v>8</v>
      </c>
      <c r="H214" s="4" t="s">
        <v>185</v>
      </c>
      <c r="I214" s="5" t="str">
        <f>IFERROR(VLOOKUP(Consulta1[[#This Row],[Pozo largo]],'Lista YPF'!$B$3:$C$358,2,FALSE),"NO")</f>
        <v>NO</v>
      </c>
      <c r="J214" s="5" t="str">
        <f>IFERROR(VLOOKUP(Consulta1[[#This Row],[Pozo]],'Lista Oportunidades'!B:C,2,FALSE),"NO")</f>
        <v>NO</v>
      </c>
      <c r="K214" s="5">
        <f>IFERROR(VLOOKUP(Consulta1[[#This Row],[Pozo largo]],Controles!B:H,7,FALSE),"NO")</f>
        <v>7.8E-2</v>
      </c>
      <c r="L214" s="5">
        <f>IFERROR(VLOOKUP(Consulta1[[#This Row],[Pozo largo]],Controles!B:J,9,FALSE),"NO")</f>
        <v>0</v>
      </c>
    </row>
    <row r="215" spans="2:12" x14ac:dyDescent="0.35">
      <c r="B215" s="4" t="s">
        <v>441</v>
      </c>
      <c r="C215" s="4" t="s">
        <v>5975</v>
      </c>
      <c r="D215" s="4" t="s">
        <v>5</v>
      </c>
      <c r="E215" s="4" t="s">
        <v>24</v>
      </c>
      <c r="F215" s="4" t="s">
        <v>7</v>
      </c>
      <c r="G215" s="4" t="s">
        <v>8</v>
      </c>
      <c r="H215" s="4" t="s">
        <v>185</v>
      </c>
      <c r="I215" s="5" t="str">
        <f>IFERROR(VLOOKUP(Consulta1[[#This Row],[Pozo largo]],'Lista YPF'!$B$3:$C$358,2,FALSE),"NO")</f>
        <v>NO</v>
      </c>
      <c r="J215" s="5" t="str">
        <f>IFERROR(VLOOKUP(Consulta1[[#This Row],[Pozo]],'Lista Oportunidades'!B:C,2,FALSE),"NO")</f>
        <v>NO</v>
      </c>
      <c r="K215" s="5">
        <f>IFERROR(VLOOKUP(Consulta1[[#This Row],[Pozo largo]],Controles!B:H,7,FALSE),"NO")</f>
        <v>0.41200000000000003</v>
      </c>
      <c r="L215" s="5">
        <f>IFERROR(VLOOKUP(Consulta1[[#This Row],[Pozo largo]],Controles!B:J,9,FALSE),"NO")</f>
        <v>0</v>
      </c>
    </row>
    <row r="216" spans="2:12" x14ac:dyDescent="0.35">
      <c r="B216" s="4" t="s">
        <v>443</v>
      </c>
      <c r="C216" s="4" t="s">
        <v>5976</v>
      </c>
      <c r="D216" s="4" t="s">
        <v>5</v>
      </c>
      <c r="E216" s="4" t="s">
        <v>12</v>
      </c>
      <c r="F216" s="4" t="s">
        <v>7</v>
      </c>
      <c r="G216" s="4" t="s">
        <v>13</v>
      </c>
      <c r="H216" s="4" t="s">
        <v>86</v>
      </c>
      <c r="I216" s="5" t="str">
        <f>IFERROR(VLOOKUP(Consulta1[[#This Row],[Pozo largo]],'Lista YPF'!$B$3:$C$358,2,FALSE),"NO")</f>
        <v>NO</v>
      </c>
      <c r="J216" s="5" t="str">
        <f>IFERROR(VLOOKUP(Consulta1[[#This Row],[Pozo]],'Lista Oportunidades'!B:C,2,FALSE),"NO")</f>
        <v>NO</v>
      </c>
      <c r="K216" s="5">
        <f>IFERROR(VLOOKUP(Consulta1[[#This Row],[Pozo largo]],Controles!B:H,7,FALSE),"NO")</f>
        <v>1.125</v>
      </c>
      <c r="L216" s="5">
        <f>IFERROR(VLOOKUP(Consulta1[[#This Row],[Pozo largo]],Controles!B:J,9,FALSE),"NO")</f>
        <v>0</v>
      </c>
    </row>
    <row r="217" spans="2:12" x14ac:dyDescent="0.35">
      <c r="B217" s="4" t="s">
        <v>445</v>
      </c>
      <c r="C217" s="4" t="s">
        <v>5977</v>
      </c>
      <c r="D217" s="4" t="s">
        <v>5</v>
      </c>
      <c r="E217" s="4" t="s">
        <v>12</v>
      </c>
      <c r="F217" s="4" t="s">
        <v>7</v>
      </c>
      <c r="G217" s="4" t="s">
        <v>13</v>
      </c>
      <c r="H217" s="4" t="s">
        <v>80</v>
      </c>
      <c r="I217" s="5" t="str">
        <f>IFERROR(VLOOKUP(Consulta1[[#This Row],[Pozo largo]],'Lista YPF'!$B$3:$C$358,2,FALSE),"NO")</f>
        <v>NO</v>
      </c>
      <c r="J217" s="5" t="str">
        <f>IFERROR(VLOOKUP(Consulta1[[#This Row],[Pozo]],'Lista Oportunidades'!B:C,2,FALSE),"NO")</f>
        <v>NO</v>
      </c>
      <c r="K217" s="5">
        <f>IFERROR(VLOOKUP(Consulta1[[#This Row],[Pozo largo]],Controles!B:H,7,FALSE),"NO")</f>
        <v>1.9000000000000001</v>
      </c>
      <c r="L217" s="5">
        <f>IFERROR(VLOOKUP(Consulta1[[#This Row],[Pozo largo]],Controles!B:J,9,FALSE),"NO")</f>
        <v>0</v>
      </c>
    </row>
    <row r="218" spans="2:12" x14ac:dyDescent="0.35">
      <c r="B218" s="4" t="s">
        <v>447</v>
      </c>
      <c r="C218" s="4" t="s">
        <v>5978</v>
      </c>
      <c r="D218" s="4" t="s">
        <v>5</v>
      </c>
      <c r="E218" s="4" t="s">
        <v>12</v>
      </c>
      <c r="F218" s="4" t="s">
        <v>28</v>
      </c>
      <c r="G218" s="4" t="s">
        <v>13</v>
      </c>
      <c r="H218" s="4" t="s">
        <v>9</v>
      </c>
      <c r="I218" s="5" t="str">
        <f>IFERROR(VLOOKUP(Consulta1[[#This Row],[Pozo largo]],'Lista YPF'!$B$3:$C$358,2,FALSE),"NO")</f>
        <v>NO</v>
      </c>
      <c r="J218" s="5" t="str">
        <f>IFERROR(VLOOKUP(Consulta1[[#This Row],[Pozo]],'Lista Oportunidades'!B:C,2,FALSE),"NO")</f>
        <v>NO</v>
      </c>
      <c r="K218" s="5">
        <f>IFERROR(VLOOKUP(Consulta1[[#This Row],[Pozo largo]],Controles!B:H,7,FALSE),"NO")</f>
        <v>0</v>
      </c>
      <c r="L218" s="5">
        <f>IFERROR(VLOOKUP(Consulta1[[#This Row],[Pozo largo]],Controles!B:J,9,FALSE),"NO")</f>
        <v>0</v>
      </c>
    </row>
    <row r="219" spans="2:12" x14ac:dyDescent="0.35">
      <c r="B219" s="4" t="s">
        <v>449</v>
      </c>
      <c r="C219" s="4" t="s">
        <v>5979</v>
      </c>
      <c r="D219" s="4" t="s">
        <v>5</v>
      </c>
      <c r="E219" s="4" t="s">
        <v>12</v>
      </c>
      <c r="F219" s="4" t="s">
        <v>7</v>
      </c>
      <c r="G219" s="4" t="s">
        <v>13</v>
      </c>
      <c r="H219" s="4" t="s">
        <v>71</v>
      </c>
      <c r="I219" s="5" t="str">
        <f>IFERROR(VLOOKUP(Consulta1[[#This Row],[Pozo largo]],'Lista YPF'!$B$3:$C$358,2,FALSE),"NO")</f>
        <v>NO</v>
      </c>
      <c r="J219" s="5" t="str">
        <f>IFERROR(VLOOKUP(Consulta1[[#This Row],[Pozo]],'Lista Oportunidades'!B:C,2,FALSE),"NO")</f>
        <v>NO</v>
      </c>
      <c r="K219" s="5">
        <f>IFERROR(VLOOKUP(Consulta1[[#This Row],[Pozo largo]],Controles!B:H,7,FALSE),"NO")</f>
        <v>2.0699999999999998</v>
      </c>
      <c r="L219" s="5">
        <f>IFERROR(VLOOKUP(Consulta1[[#This Row],[Pozo largo]],Controles!B:J,9,FALSE),"NO")</f>
        <v>0</v>
      </c>
    </row>
    <row r="220" spans="2:12" x14ac:dyDescent="0.35">
      <c r="B220" s="4" t="s">
        <v>451</v>
      </c>
      <c r="C220" s="4" t="s">
        <v>5980</v>
      </c>
      <c r="D220" s="4" t="s">
        <v>5</v>
      </c>
      <c r="E220" s="4" t="s">
        <v>24</v>
      </c>
      <c r="F220" s="4" t="s">
        <v>31</v>
      </c>
      <c r="G220" s="4" t="s">
        <v>11387</v>
      </c>
      <c r="H220" s="4" t="s">
        <v>185</v>
      </c>
      <c r="I220" s="5" t="str">
        <f>IFERROR(VLOOKUP(Consulta1[[#This Row],[Pozo largo]],'Lista YPF'!$B$3:$C$358,2,FALSE),"NO")</f>
        <v>NO</v>
      </c>
      <c r="J220" s="5" t="str">
        <f>IFERROR(VLOOKUP(Consulta1[[#This Row],[Pozo]],'Lista Oportunidades'!B:C,2,FALSE),"NO")</f>
        <v>NO</v>
      </c>
      <c r="K220" s="5">
        <f>IFERROR(VLOOKUP(Consulta1[[#This Row],[Pozo largo]],Controles!B:H,7,FALSE),"NO")</f>
        <v>1.05</v>
      </c>
      <c r="L220" s="5" t="str">
        <f>IFERROR(VLOOKUP(Consulta1[[#This Row],[Pozo largo]],Controles!B:J,9,FALSE),"NO")</f>
        <v>Ultimo Año</v>
      </c>
    </row>
    <row r="221" spans="2:12" x14ac:dyDescent="0.35">
      <c r="B221" s="4" t="s">
        <v>453</v>
      </c>
      <c r="C221" s="4" t="s">
        <v>5981</v>
      </c>
      <c r="D221" s="4" t="s">
        <v>5</v>
      </c>
      <c r="E221" s="4" t="s">
        <v>6</v>
      </c>
      <c r="F221" s="4" t="s">
        <v>7</v>
      </c>
      <c r="G221" s="4" t="s">
        <v>5718</v>
      </c>
      <c r="H221" s="4" t="s">
        <v>9</v>
      </c>
      <c r="I221" s="5" t="str">
        <f>IFERROR(VLOOKUP(Consulta1[[#This Row],[Pozo largo]],'Lista YPF'!$B$3:$C$358,2,FALSE),"NO")</f>
        <v>En lista de Abandono</v>
      </c>
      <c r="J221" s="5" t="str">
        <f>IFERROR(VLOOKUP(Consulta1[[#This Row],[Pozo]],'Lista Oportunidades'!B:C,2,FALSE),"NO")</f>
        <v>NO</v>
      </c>
      <c r="K221" s="5">
        <f>IFERROR(VLOOKUP(Consulta1[[#This Row],[Pozo largo]],Controles!B:H,7,FALSE),"NO")</f>
        <v>0.56000000000000005</v>
      </c>
      <c r="L221" s="5">
        <f>IFERROR(VLOOKUP(Consulta1[[#This Row],[Pozo largo]],Controles!B:J,9,FALSE),"NO")</f>
        <v>0</v>
      </c>
    </row>
    <row r="222" spans="2:12" x14ac:dyDescent="0.35">
      <c r="B222" s="4" t="s">
        <v>455</v>
      </c>
      <c r="C222" s="4" t="s">
        <v>5982</v>
      </c>
      <c r="D222" s="4" t="s">
        <v>5</v>
      </c>
      <c r="E222" s="4" t="s">
        <v>12</v>
      </c>
      <c r="F222" s="4" t="s">
        <v>7</v>
      </c>
      <c r="G222" s="4" t="s">
        <v>13</v>
      </c>
      <c r="H222" s="4" t="s">
        <v>185</v>
      </c>
      <c r="I222" s="5" t="str">
        <f>IFERROR(VLOOKUP(Consulta1[[#This Row],[Pozo largo]],'Lista YPF'!$B$3:$C$358,2,FALSE),"NO")</f>
        <v>NO</v>
      </c>
      <c r="J222" s="5" t="str">
        <f>IFERROR(VLOOKUP(Consulta1[[#This Row],[Pozo]],'Lista Oportunidades'!B:C,2,FALSE),"NO")</f>
        <v>NO</v>
      </c>
      <c r="K222" s="5">
        <f>IFERROR(VLOOKUP(Consulta1[[#This Row],[Pozo largo]],Controles!B:H,7,FALSE),"NO")</f>
        <v>0.92</v>
      </c>
      <c r="L222" s="5">
        <f>IFERROR(VLOOKUP(Consulta1[[#This Row],[Pozo largo]],Controles!B:J,9,FALSE),"NO")</f>
        <v>0</v>
      </c>
    </row>
    <row r="223" spans="2:12" x14ac:dyDescent="0.35">
      <c r="B223" s="4" t="s">
        <v>457</v>
      </c>
      <c r="C223" s="4" t="s">
        <v>5983</v>
      </c>
      <c r="D223" s="4" t="s">
        <v>5</v>
      </c>
      <c r="E223" s="4" t="s">
        <v>12</v>
      </c>
      <c r="F223" s="4" t="s">
        <v>7</v>
      </c>
      <c r="G223" s="4" t="s">
        <v>13</v>
      </c>
      <c r="H223" s="4" t="s">
        <v>33</v>
      </c>
      <c r="I223" s="5" t="str">
        <f>IFERROR(VLOOKUP(Consulta1[[#This Row],[Pozo largo]],'Lista YPF'!$B$3:$C$358,2,FALSE),"NO")</f>
        <v>NO</v>
      </c>
      <c r="J223" s="5" t="str">
        <f>IFERROR(VLOOKUP(Consulta1[[#This Row],[Pozo]],'Lista Oportunidades'!B:C,2,FALSE),"NO")</f>
        <v>NO</v>
      </c>
      <c r="K223" s="5">
        <f>IFERROR(VLOOKUP(Consulta1[[#This Row],[Pozo largo]],Controles!B:H,7,FALSE),"NO")</f>
        <v>9.5000000000000001E-2</v>
      </c>
      <c r="L223" s="5">
        <f>IFERROR(VLOOKUP(Consulta1[[#This Row],[Pozo largo]],Controles!B:J,9,FALSE),"NO")</f>
        <v>0</v>
      </c>
    </row>
    <row r="224" spans="2:12" x14ac:dyDescent="0.35">
      <c r="B224" s="4" t="s">
        <v>459</v>
      </c>
      <c r="C224" s="4" t="s">
        <v>5984</v>
      </c>
      <c r="D224" s="4" t="s">
        <v>5</v>
      </c>
      <c r="E224" s="4" t="s">
        <v>12</v>
      </c>
      <c r="F224" s="4" t="s">
        <v>83</v>
      </c>
      <c r="G224" s="4" t="s">
        <v>13</v>
      </c>
      <c r="H224" s="4" t="s">
        <v>16</v>
      </c>
      <c r="I224" s="5" t="str">
        <f>IFERROR(VLOOKUP(Consulta1[[#This Row],[Pozo largo]],'Lista YPF'!$B$3:$C$358,2,FALSE),"NO")</f>
        <v>NO</v>
      </c>
      <c r="J224" s="5" t="str">
        <f>IFERROR(VLOOKUP(Consulta1[[#This Row],[Pozo]],'Lista Oportunidades'!B:C,2,FALSE),"NO")</f>
        <v>NO</v>
      </c>
      <c r="K224" s="5">
        <f>IFERROR(VLOOKUP(Consulta1[[#This Row],[Pozo largo]],Controles!B:H,7,FALSE),"NO")</f>
        <v>4.3180000000000005</v>
      </c>
      <c r="L224" s="5">
        <f>IFERROR(VLOOKUP(Consulta1[[#This Row],[Pozo largo]],Controles!B:J,9,FALSE),"NO")</f>
        <v>0</v>
      </c>
    </row>
    <row r="225" spans="2:12" x14ac:dyDescent="0.35">
      <c r="B225" s="4" t="s">
        <v>461</v>
      </c>
      <c r="C225" s="4" t="s">
        <v>5985</v>
      </c>
      <c r="D225" s="4" t="s">
        <v>5</v>
      </c>
      <c r="E225" s="4" t="s">
        <v>12</v>
      </c>
      <c r="F225" s="4" t="s">
        <v>25</v>
      </c>
      <c r="G225" s="4" t="s">
        <v>13</v>
      </c>
      <c r="H225" s="4" t="s">
        <v>21</v>
      </c>
      <c r="I225" s="5" t="str">
        <f>IFERROR(VLOOKUP(Consulta1[[#This Row],[Pozo largo]],'Lista YPF'!$B$3:$C$358,2,FALSE),"NO")</f>
        <v>NO</v>
      </c>
      <c r="J225" s="5" t="str">
        <f>IFERROR(VLOOKUP(Consulta1[[#This Row],[Pozo]],'Lista Oportunidades'!B:C,2,FALSE),"NO")</f>
        <v>NO</v>
      </c>
      <c r="K225" s="5">
        <f>IFERROR(VLOOKUP(Consulta1[[#This Row],[Pozo largo]],Controles!B:H,7,FALSE),"NO")</f>
        <v>2.9000000000000001E-2</v>
      </c>
      <c r="L225" s="5">
        <f>IFERROR(VLOOKUP(Consulta1[[#This Row],[Pozo largo]],Controles!B:J,9,FALSE),"NO")</f>
        <v>0</v>
      </c>
    </row>
    <row r="226" spans="2:12" x14ac:dyDescent="0.35">
      <c r="B226" s="4" t="s">
        <v>463</v>
      </c>
      <c r="C226" s="4" t="s">
        <v>5986</v>
      </c>
      <c r="D226" s="4" t="s">
        <v>5</v>
      </c>
      <c r="E226" s="4" t="s">
        <v>12</v>
      </c>
      <c r="F226" s="4" t="s">
        <v>7</v>
      </c>
      <c r="G226" s="4" t="s">
        <v>13</v>
      </c>
      <c r="H226" s="4" t="s">
        <v>86</v>
      </c>
      <c r="I226" s="5" t="str">
        <f>IFERROR(VLOOKUP(Consulta1[[#This Row],[Pozo largo]],'Lista YPF'!$B$3:$C$358,2,FALSE),"NO")</f>
        <v>NO</v>
      </c>
      <c r="J226" s="5" t="str">
        <f>IFERROR(VLOOKUP(Consulta1[[#This Row],[Pozo]],'Lista Oportunidades'!B:C,2,FALSE),"NO")</f>
        <v>NO</v>
      </c>
      <c r="K226" s="5">
        <f>IFERROR(VLOOKUP(Consulta1[[#This Row],[Pozo largo]],Controles!B:H,7,FALSE),"NO")</f>
        <v>0.54</v>
      </c>
      <c r="L226" s="5">
        <f>IFERROR(VLOOKUP(Consulta1[[#This Row],[Pozo largo]],Controles!B:J,9,FALSE),"NO")</f>
        <v>0</v>
      </c>
    </row>
    <row r="227" spans="2:12" x14ac:dyDescent="0.35">
      <c r="B227" s="4" t="s">
        <v>465</v>
      </c>
      <c r="C227" s="4" t="s">
        <v>466</v>
      </c>
      <c r="D227" s="4" t="s">
        <v>5</v>
      </c>
      <c r="E227" s="4" t="s">
        <v>12</v>
      </c>
      <c r="F227" s="4" t="s">
        <v>7</v>
      </c>
      <c r="G227" s="4" t="s">
        <v>13</v>
      </c>
      <c r="H227" s="4" t="s">
        <v>21</v>
      </c>
      <c r="I227" s="5" t="str">
        <f>IFERROR(VLOOKUP(Consulta1[[#This Row],[Pozo largo]],'Lista YPF'!$B$3:$C$358,2,FALSE),"NO")</f>
        <v>NO</v>
      </c>
      <c r="J227" s="5" t="str">
        <f>IFERROR(VLOOKUP(Consulta1[[#This Row],[Pozo]],'Lista Oportunidades'!B:C,2,FALSE),"NO")</f>
        <v>NO</v>
      </c>
      <c r="K227" s="5">
        <f>IFERROR(VLOOKUP(Consulta1[[#This Row],[Pozo largo]],Controles!B:H,7,FALSE),"NO")</f>
        <v>0.255</v>
      </c>
      <c r="L227" s="5">
        <f>IFERROR(VLOOKUP(Consulta1[[#This Row],[Pozo largo]],Controles!B:J,9,FALSE),"NO")</f>
        <v>0</v>
      </c>
    </row>
    <row r="228" spans="2:12" x14ac:dyDescent="0.35">
      <c r="B228" s="4" t="s">
        <v>467</v>
      </c>
      <c r="C228" s="4" t="s">
        <v>5987</v>
      </c>
      <c r="D228" s="4" t="s">
        <v>5</v>
      </c>
      <c r="E228" s="4" t="s">
        <v>12</v>
      </c>
      <c r="F228" s="4" t="s">
        <v>7</v>
      </c>
      <c r="G228" s="4" t="s">
        <v>13</v>
      </c>
      <c r="H228" s="4" t="s">
        <v>9</v>
      </c>
      <c r="I228" s="5" t="str">
        <f>IFERROR(VLOOKUP(Consulta1[[#This Row],[Pozo largo]],'Lista YPF'!$B$3:$C$358,2,FALSE),"NO")</f>
        <v>NO</v>
      </c>
      <c r="J228" s="5" t="str">
        <f>IFERROR(VLOOKUP(Consulta1[[#This Row],[Pozo]],'Lista Oportunidades'!B:C,2,FALSE),"NO")</f>
        <v>NO</v>
      </c>
      <c r="K228" s="5">
        <f>IFERROR(VLOOKUP(Consulta1[[#This Row],[Pozo largo]],Controles!B:H,7,FALSE),"NO")</f>
        <v>4.2</v>
      </c>
      <c r="L228" s="5">
        <f>IFERROR(VLOOKUP(Consulta1[[#This Row],[Pozo largo]],Controles!B:J,9,FALSE),"NO")</f>
        <v>0</v>
      </c>
    </row>
    <row r="229" spans="2:12" x14ac:dyDescent="0.35">
      <c r="B229" s="4" t="s">
        <v>469</v>
      </c>
      <c r="C229" s="4" t="s">
        <v>5988</v>
      </c>
      <c r="D229" s="4" t="s">
        <v>5</v>
      </c>
      <c r="E229" s="4" t="s">
        <v>24</v>
      </c>
      <c r="F229" s="4" t="s">
        <v>7</v>
      </c>
      <c r="G229" s="4" t="s">
        <v>8</v>
      </c>
      <c r="H229" s="4" t="s">
        <v>91</v>
      </c>
      <c r="I229" s="5" t="str">
        <f>IFERROR(VLOOKUP(Consulta1[[#This Row],[Pozo largo]],'Lista YPF'!$B$3:$C$358,2,FALSE),"NO")</f>
        <v>NO</v>
      </c>
      <c r="J229" s="5" t="str">
        <f>IFERROR(VLOOKUP(Consulta1[[#This Row],[Pozo]],'Lista Oportunidades'!B:C,2,FALSE),"NO")</f>
        <v>NO</v>
      </c>
      <c r="K229" s="5">
        <f>IFERROR(VLOOKUP(Consulta1[[#This Row],[Pozo largo]],Controles!B:H,7,FALSE),"NO")</f>
        <v>0.45</v>
      </c>
      <c r="L229" s="5">
        <f>IFERROR(VLOOKUP(Consulta1[[#This Row],[Pozo largo]],Controles!B:J,9,FALSE),"NO")</f>
        <v>0</v>
      </c>
    </row>
    <row r="230" spans="2:12" x14ac:dyDescent="0.35">
      <c r="B230" s="4" t="s">
        <v>471</v>
      </c>
      <c r="C230" s="4" t="s">
        <v>5989</v>
      </c>
      <c r="D230" s="4" t="s">
        <v>5</v>
      </c>
      <c r="E230" s="4" t="s">
        <v>30</v>
      </c>
      <c r="F230" s="4" t="s">
        <v>31</v>
      </c>
      <c r="G230" s="4" t="s">
        <v>32</v>
      </c>
      <c r="H230" s="4" t="s">
        <v>86</v>
      </c>
      <c r="I230" s="5" t="str">
        <f>IFERROR(VLOOKUP(Consulta1[[#This Row],[Pozo largo]],'Lista YPF'!$B$3:$C$358,2,FALSE),"NO")</f>
        <v>NO</v>
      </c>
      <c r="J230" s="5" t="str">
        <f>IFERROR(VLOOKUP(Consulta1[[#This Row],[Pozo]],'Lista Oportunidades'!B:C,2,FALSE),"NO")</f>
        <v>NO</v>
      </c>
      <c r="K230" s="5" t="str">
        <f>IFERROR(VLOOKUP(Consulta1[[#This Row],[Pozo largo]],Controles!B:H,7,FALSE),"NO")</f>
        <v>NO</v>
      </c>
      <c r="L230" s="5" t="str">
        <f>IFERROR(VLOOKUP(Consulta1[[#This Row],[Pozo largo]],Controles!B:J,9,FALSE),"NO")</f>
        <v>NO</v>
      </c>
    </row>
    <row r="231" spans="2:12" x14ac:dyDescent="0.35">
      <c r="B231" s="4" t="s">
        <v>472</v>
      </c>
      <c r="C231" s="4" t="s">
        <v>5990</v>
      </c>
      <c r="D231" s="4" t="s">
        <v>5</v>
      </c>
      <c r="E231" s="4" t="s">
        <v>12</v>
      </c>
      <c r="F231" s="4" t="s">
        <v>7</v>
      </c>
      <c r="G231" s="4" t="s">
        <v>13</v>
      </c>
      <c r="H231" s="4" t="s">
        <v>80</v>
      </c>
      <c r="I231" s="5" t="str">
        <f>IFERROR(VLOOKUP(Consulta1[[#This Row],[Pozo largo]],'Lista YPF'!$B$3:$C$358,2,FALSE),"NO")</f>
        <v>NO</v>
      </c>
      <c r="J231" s="5" t="str">
        <f>IFERROR(VLOOKUP(Consulta1[[#This Row],[Pozo]],'Lista Oportunidades'!B:C,2,FALSE),"NO")</f>
        <v>NO</v>
      </c>
      <c r="K231" s="5">
        <f>IFERROR(VLOOKUP(Consulta1[[#This Row],[Pozo largo]],Controles!B:H,7,FALSE),"NO")</f>
        <v>1.04</v>
      </c>
      <c r="L231" s="5">
        <f>IFERROR(VLOOKUP(Consulta1[[#This Row],[Pozo largo]],Controles!B:J,9,FALSE),"NO")</f>
        <v>0</v>
      </c>
    </row>
    <row r="232" spans="2:12" x14ac:dyDescent="0.35">
      <c r="B232" s="4" t="s">
        <v>474</v>
      </c>
      <c r="C232" s="4" t="s">
        <v>5991</v>
      </c>
      <c r="D232" s="4" t="s">
        <v>5</v>
      </c>
      <c r="E232" s="4" t="s">
        <v>12</v>
      </c>
      <c r="F232" s="4" t="s">
        <v>7</v>
      </c>
      <c r="G232" s="4" t="s">
        <v>13</v>
      </c>
      <c r="H232" s="4" t="s">
        <v>185</v>
      </c>
      <c r="I232" s="5" t="str">
        <f>IFERROR(VLOOKUP(Consulta1[[#This Row],[Pozo largo]],'Lista YPF'!$B$3:$C$358,2,FALSE),"NO")</f>
        <v>NO</v>
      </c>
      <c r="J232" s="5" t="str">
        <f>IFERROR(VLOOKUP(Consulta1[[#This Row],[Pozo]],'Lista Oportunidades'!B:C,2,FALSE),"NO")</f>
        <v>NO</v>
      </c>
      <c r="K232" s="5">
        <f>IFERROR(VLOOKUP(Consulta1[[#This Row],[Pozo largo]],Controles!B:H,7,FALSE),"NO")</f>
        <v>1.095</v>
      </c>
      <c r="L232" s="5">
        <f>IFERROR(VLOOKUP(Consulta1[[#This Row],[Pozo largo]],Controles!B:J,9,FALSE),"NO")</f>
        <v>0</v>
      </c>
    </row>
    <row r="233" spans="2:12" x14ac:dyDescent="0.35">
      <c r="B233" s="4" t="s">
        <v>476</v>
      </c>
      <c r="C233" s="4" t="s">
        <v>5992</v>
      </c>
      <c r="D233" s="4" t="s">
        <v>5</v>
      </c>
      <c r="E233" s="4" t="s">
        <v>12</v>
      </c>
      <c r="F233" s="4" t="s">
        <v>7</v>
      </c>
      <c r="G233" s="4" t="s">
        <v>13</v>
      </c>
      <c r="H233" s="4" t="s">
        <v>185</v>
      </c>
      <c r="I233" s="5" t="str">
        <f>IFERROR(VLOOKUP(Consulta1[[#This Row],[Pozo largo]],'Lista YPF'!$B$3:$C$358,2,FALSE),"NO")</f>
        <v>NO</v>
      </c>
      <c r="J233" s="5" t="str">
        <f>IFERROR(VLOOKUP(Consulta1[[#This Row],[Pozo]],'Lista Oportunidades'!B:C,2,FALSE),"NO")</f>
        <v>NO</v>
      </c>
      <c r="K233" s="5">
        <f>IFERROR(VLOOKUP(Consulta1[[#This Row],[Pozo largo]],Controles!B:H,7,FALSE),"NO")</f>
        <v>1.054</v>
      </c>
      <c r="L233" s="5">
        <f>IFERROR(VLOOKUP(Consulta1[[#This Row],[Pozo largo]],Controles!B:J,9,FALSE),"NO")</f>
        <v>0</v>
      </c>
    </row>
    <row r="234" spans="2:12" x14ac:dyDescent="0.35">
      <c r="B234" s="4" t="s">
        <v>478</v>
      </c>
      <c r="C234" s="4" t="s">
        <v>5993</v>
      </c>
      <c r="D234" s="4" t="s">
        <v>5</v>
      </c>
      <c r="E234" s="4" t="s">
        <v>12</v>
      </c>
      <c r="F234" s="4" t="s">
        <v>7</v>
      </c>
      <c r="G234" s="4" t="s">
        <v>13</v>
      </c>
      <c r="H234" s="4" t="s">
        <v>21</v>
      </c>
      <c r="I234" s="5" t="str">
        <f>IFERROR(VLOOKUP(Consulta1[[#This Row],[Pozo largo]],'Lista YPF'!$B$3:$C$358,2,FALSE),"NO")</f>
        <v>NO</v>
      </c>
      <c r="J234" s="5" t="str">
        <f>IFERROR(VLOOKUP(Consulta1[[#This Row],[Pozo]],'Lista Oportunidades'!B:C,2,FALSE),"NO")</f>
        <v>NO</v>
      </c>
      <c r="K234" s="5">
        <f>IFERROR(VLOOKUP(Consulta1[[#This Row],[Pozo largo]],Controles!B:H,7,FALSE),"NO")</f>
        <v>1.08</v>
      </c>
      <c r="L234" s="5">
        <f>IFERROR(VLOOKUP(Consulta1[[#This Row],[Pozo largo]],Controles!B:J,9,FALSE),"NO")</f>
        <v>0</v>
      </c>
    </row>
    <row r="235" spans="2:12" x14ac:dyDescent="0.35">
      <c r="B235" s="4" t="s">
        <v>480</v>
      </c>
      <c r="C235" s="4" t="s">
        <v>5994</v>
      </c>
      <c r="D235" s="4" t="s">
        <v>5</v>
      </c>
      <c r="E235" s="4" t="s">
        <v>12</v>
      </c>
      <c r="F235" s="4" t="s">
        <v>7</v>
      </c>
      <c r="G235" s="4" t="s">
        <v>13</v>
      </c>
      <c r="H235" s="4" t="s">
        <v>185</v>
      </c>
      <c r="I235" s="5" t="str">
        <f>IFERROR(VLOOKUP(Consulta1[[#This Row],[Pozo largo]],'Lista YPF'!$B$3:$C$358,2,FALSE),"NO")</f>
        <v>NO</v>
      </c>
      <c r="J235" s="5" t="str">
        <f>IFERROR(VLOOKUP(Consulta1[[#This Row],[Pozo]],'Lista Oportunidades'!B:C,2,FALSE),"NO")</f>
        <v>NO</v>
      </c>
      <c r="K235" s="5">
        <f>IFERROR(VLOOKUP(Consulta1[[#This Row],[Pozo largo]],Controles!B:H,7,FALSE),"NO")</f>
        <v>1.8</v>
      </c>
      <c r="L235" s="5">
        <f>IFERROR(VLOOKUP(Consulta1[[#This Row],[Pozo largo]],Controles!B:J,9,FALSE),"NO")</f>
        <v>0</v>
      </c>
    </row>
    <row r="236" spans="2:12" x14ac:dyDescent="0.35">
      <c r="B236" s="4" t="s">
        <v>482</v>
      </c>
      <c r="C236" s="4" t="s">
        <v>5995</v>
      </c>
      <c r="D236" s="4" t="s">
        <v>5</v>
      </c>
      <c r="E236" s="4" t="s">
        <v>24</v>
      </c>
      <c r="F236" s="4" t="s">
        <v>7</v>
      </c>
      <c r="G236" s="4" t="s">
        <v>8</v>
      </c>
      <c r="H236" s="4" t="s">
        <v>185</v>
      </c>
      <c r="I236" s="5" t="str">
        <f>IFERROR(VLOOKUP(Consulta1[[#This Row],[Pozo largo]],'Lista YPF'!$B$3:$C$358,2,FALSE),"NO")</f>
        <v>NO</v>
      </c>
      <c r="J236" s="5" t="str">
        <f>IFERROR(VLOOKUP(Consulta1[[#This Row],[Pozo]],'Lista Oportunidades'!B:C,2,FALSE),"NO")</f>
        <v>NO</v>
      </c>
      <c r="K236" s="5">
        <f>IFERROR(VLOOKUP(Consulta1[[#This Row],[Pozo largo]],Controles!B:H,7,FALSE),"NO")</f>
        <v>0.88</v>
      </c>
      <c r="L236" s="5">
        <f>IFERROR(VLOOKUP(Consulta1[[#This Row],[Pozo largo]],Controles!B:J,9,FALSE),"NO")</f>
        <v>0</v>
      </c>
    </row>
    <row r="237" spans="2:12" x14ac:dyDescent="0.35">
      <c r="B237" s="4" t="s">
        <v>484</v>
      </c>
      <c r="C237" s="4" t="s">
        <v>5996</v>
      </c>
      <c r="D237" s="4" t="s">
        <v>5</v>
      </c>
      <c r="E237" s="4" t="s">
        <v>12</v>
      </c>
      <c r="F237" s="4" t="s">
        <v>7</v>
      </c>
      <c r="G237" s="4" t="s">
        <v>13</v>
      </c>
      <c r="H237" s="4" t="s">
        <v>185</v>
      </c>
      <c r="I237" s="5" t="str">
        <f>IFERROR(VLOOKUP(Consulta1[[#This Row],[Pozo largo]],'Lista YPF'!$B$3:$C$358,2,FALSE),"NO")</f>
        <v>NO</v>
      </c>
      <c r="J237" s="5" t="str">
        <f>IFERROR(VLOOKUP(Consulta1[[#This Row],[Pozo]],'Lista Oportunidades'!B:C,2,FALSE),"NO")</f>
        <v>NO</v>
      </c>
      <c r="K237" s="5">
        <f>IFERROR(VLOOKUP(Consulta1[[#This Row],[Pozo largo]],Controles!B:H,7,FALSE),"NO")</f>
        <v>0.55800000000000005</v>
      </c>
      <c r="L237" s="5">
        <f>IFERROR(VLOOKUP(Consulta1[[#This Row],[Pozo largo]],Controles!B:J,9,FALSE),"NO")</f>
        <v>0</v>
      </c>
    </row>
    <row r="238" spans="2:12" x14ac:dyDescent="0.35">
      <c r="B238" s="4" t="s">
        <v>486</v>
      </c>
      <c r="C238" s="4" t="s">
        <v>5997</v>
      </c>
      <c r="D238" s="4" t="s">
        <v>5</v>
      </c>
      <c r="E238" s="4" t="s">
        <v>12</v>
      </c>
      <c r="F238" s="4" t="s">
        <v>238</v>
      </c>
      <c r="G238" s="4" t="s">
        <v>13</v>
      </c>
      <c r="H238" s="4" t="s">
        <v>185</v>
      </c>
      <c r="I238" s="5" t="str">
        <f>IFERROR(VLOOKUP(Consulta1[[#This Row],[Pozo largo]],'Lista YPF'!$B$3:$C$358,2,FALSE),"NO")</f>
        <v>NO</v>
      </c>
      <c r="J238" s="5" t="str">
        <f>IFERROR(VLOOKUP(Consulta1[[#This Row],[Pozo]],'Lista Oportunidades'!B:C,2,FALSE),"NO")</f>
        <v>NO</v>
      </c>
      <c r="K238" s="5">
        <f>IFERROR(VLOOKUP(Consulta1[[#This Row],[Pozo largo]],Controles!B:H,7,FALSE),"NO")</f>
        <v>1.2</v>
      </c>
      <c r="L238" s="5">
        <f>IFERROR(VLOOKUP(Consulta1[[#This Row],[Pozo largo]],Controles!B:J,9,FALSE),"NO")</f>
        <v>0</v>
      </c>
    </row>
    <row r="239" spans="2:12" x14ac:dyDescent="0.35">
      <c r="B239" s="4" t="s">
        <v>488</v>
      </c>
      <c r="C239" s="4" t="s">
        <v>5998</v>
      </c>
      <c r="D239" s="4" t="s">
        <v>5</v>
      </c>
      <c r="E239" s="4" t="s">
        <v>12</v>
      </c>
      <c r="F239" s="4" t="s">
        <v>7</v>
      </c>
      <c r="G239" s="4" t="s">
        <v>13</v>
      </c>
      <c r="H239" s="4" t="s">
        <v>185</v>
      </c>
      <c r="I239" s="5" t="str">
        <f>IFERROR(VLOOKUP(Consulta1[[#This Row],[Pozo largo]],'Lista YPF'!$B$3:$C$358,2,FALSE),"NO")</f>
        <v>NO</v>
      </c>
      <c r="J239" s="5" t="str">
        <f>IFERROR(VLOOKUP(Consulta1[[#This Row],[Pozo]],'Lista Oportunidades'!B:C,2,FALSE),"NO")</f>
        <v>NO</v>
      </c>
      <c r="K239" s="5">
        <f>IFERROR(VLOOKUP(Consulta1[[#This Row],[Pozo largo]],Controles!B:H,7,FALSE),"NO")</f>
        <v>0.38</v>
      </c>
      <c r="L239" s="5">
        <f>IFERROR(VLOOKUP(Consulta1[[#This Row],[Pozo largo]],Controles!B:J,9,FALSE),"NO")</f>
        <v>0</v>
      </c>
    </row>
    <row r="240" spans="2:12" x14ac:dyDescent="0.35">
      <c r="B240" s="4" t="s">
        <v>490</v>
      </c>
      <c r="C240" s="4" t="s">
        <v>5999</v>
      </c>
      <c r="D240" s="4" t="s">
        <v>5</v>
      </c>
      <c r="E240" s="4" t="s">
        <v>12</v>
      </c>
      <c r="F240" s="4" t="s">
        <v>7</v>
      </c>
      <c r="G240" s="4" t="s">
        <v>13</v>
      </c>
      <c r="H240" s="4" t="s">
        <v>9</v>
      </c>
      <c r="I240" s="5" t="str">
        <f>IFERROR(VLOOKUP(Consulta1[[#This Row],[Pozo largo]],'Lista YPF'!$B$3:$C$358,2,FALSE),"NO")</f>
        <v>NO</v>
      </c>
      <c r="J240" s="5" t="str">
        <f>IFERROR(VLOOKUP(Consulta1[[#This Row],[Pozo]],'Lista Oportunidades'!B:C,2,FALSE),"NO")</f>
        <v>NO</v>
      </c>
      <c r="K240" s="5">
        <f>IFERROR(VLOOKUP(Consulta1[[#This Row],[Pozo largo]],Controles!B:H,7,FALSE),"NO")</f>
        <v>0.69600000000000006</v>
      </c>
      <c r="L240" s="5">
        <f>IFERROR(VLOOKUP(Consulta1[[#This Row],[Pozo largo]],Controles!B:J,9,FALSE),"NO")</f>
        <v>0</v>
      </c>
    </row>
    <row r="241" spans="2:12" x14ac:dyDescent="0.35">
      <c r="B241" s="4" t="s">
        <v>492</v>
      </c>
      <c r="C241" s="4" t="s">
        <v>6000</v>
      </c>
      <c r="D241" s="4" t="s">
        <v>5</v>
      </c>
      <c r="E241" s="4" t="s">
        <v>76</v>
      </c>
      <c r="F241" s="4" t="s">
        <v>7</v>
      </c>
      <c r="G241" s="4" t="s">
        <v>5718</v>
      </c>
      <c r="H241" s="4" t="s">
        <v>33</v>
      </c>
      <c r="I241" s="5" t="str">
        <f>IFERROR(VLOOKUP(Consulta1[[#This Row],[Pozo largo]],'Lista YPF'!$B$3:$C$358,2,FALSE),"NO")</f>
        <v>En lista de Abandono</v>
      </c>
      <c r="J241" s="5" t="str">
        <f>IFERROR(VLOOKUP(Consulta1[[#This Row],[Pozo]],'Lista Oportunidades'!B:C,2,FALSE),"NO")</f>
        <v>NO</v>
      </c>
      <c r="K241" s="5">
        <f>IFERROR(VLOOKUP(Consulta1[[#This Row],[Pozo largo]],Controles!B:H,7,FALSE),"NO")</f>
        <v>0.52</v>
      </c>
      <c r="L241" s="5">
        <f>IFERROR(VLOOKUP(Consulta1[[#This Row],[Pozo largo]],Controles!B:J,9,FALSE),"NO")</f>
        <v>0</v>
      </c>
    </row>
    <row r="242" spans="2:12" x14ac:dyDescent="0.35">
      <c r="B242" s="4" t="s">
        <v>494</v>
      </c>
      <c r="C242" s="4" t="s">
        <v>6001</v>
      </c>
      <c r="D242" s="4" t="s">
        <v>5</v>
      </c>
      <c r="E242" s="4" t="s">
        <v>12</v>
      </c>
      <c r="F242" s="4" t="s">
        <v>7</v>
      </c>
      <c r="G242" s="4" t="s">
        <v>13</v>
      </c>
      <c r="H242" s="4" t="s">
        <v>9</v>
      </c>
      <c r="I242" s="5" t="str">
        <f>IFERROR(VLOOKUP(Consulta1[[#This Row],[Pozo largo]],'Lista YPF'!$B$3:$C$358,2,FALSE),"NO")</f>
        <v>NO</v>
      </c>
      <c r="J242" s="5" t="str">
        <f>IFERROR(VLOOKUP(Consulta1[[#This Row],[Pozo]],'Lista Oportunidades'!B:C,2,FALSE),"NO")</f>
        <v>NO</v>
      </c>
      <c r="K242" s="5">
        <f>IFERROR(VLOOKUP(Consulta1[[#This Row],[Pozo largo]],Controles!B:H,7,FALSE),"NO")</f>
        <v>1.76</v>
      </c>
      <c r="L242" s="5">
        <f>IFERROR(VLOOKUP(Consulta1[[#This Row],[Pozo largo]],Controles!B:J,9,FALSE),"NO")</f>
        <v>0</v>
      </c>
    </row>
    <row r="243" spans="2:12" x14ac:dyDescent="0.35">
      <c r="B243" s="4" t="s">
        <v>496</v>
      </c>
      <c r="C243" s="4" t="s">
        <v>6002</v>
      </c>
      <c r="D243" s="4" t="s">
        <v>5</v>
      </c>
      <c r="E243" s="4" t="s">
        <v>12</v>
      </c>
      <c r="F243" s="4" t="s">
        <v>7</v>
      </c>
      <c r="G243" s="4" t="s">
        <v>13</v>
      </c>
      <c r="H243" s="4" t="s">
        <v>185</v>
      </c>
      <c r="I243" s="5" t="str">
        <f>IFERROR(VLOOKUP(Consulta1[[#This Row],[Pozo largo]],'Lista YPF'!$B$3:$C$358,2,FALSE),"NO")</f>
        <v>NO</v>
      </c>
      <c r="J243" s="5" t="str">
        <f>IFERROR(VLOOKUP(Consulta1[[#This Row],[Pozo]],'Lista Oportunidades'!B:C,2,FALSE),"NO")</f>
        <v>NO</v>
      </c>
      <c r="K243" s="5">
        <f>IFERROR(VLOOKUP(Consulta1[[#This Row],[Pozo largo]],Controles!B:H,7,FALSE),"NO")</f>
        <v>4.28</v>
      </c>
      <c r="L243" s="5">
        <f>IFERROR(VLOOKUP(Consulta1[[#This Row],[Pozo largo]],Controles!B:J,9,FALSE),"NO")</f>
        <v>0</v>
      </c>
    </row>
    <row r="244" spans="2:12" x14ac:dyDescent="0.35">
      <c r="B244" s="4" t="s">
        <v>498</v>
      </c>
      <c r="C244" s="4" t="s">
        <v>6003</v>
      </c>
      <c r="D244" s="4" t="s">
        <v>5</v>
      </c>
      <c r="E244" s="4" t="s">
        <v>57</v>
      </c>
      <c r="F244" s="4" t="s">
        <v>7</v>
      </c>
      <c r="G244" s="4" t="s">
        <v>5718</v>
      </c>
      <c r="H244" s="4" t="s">
        <v>21</v>
      </c>
      <c r="I244" s="5" t="str">
        <f>IFERROR(VLOOKUP(Consulta1[[#This Row],[Pozo largo]],'Lista YPF'!$B$3:$C$358,2,FALSE),"NO")</f>
        <v>En lista de Abandono</v>
      </c>
      <c r="J244" s="5" t="str">
        <f>IFERROR(VLOOKUP(Consulta1[[#This Row],[Pozo]],'Lista Oportunidades'!B:C,2,FALSE),"NO")</f>
        <v>NO</v>
      </c>
      <c r="K244" s="5">
        <f>IFERROR(VLOOKUP(Consulta1[[#This Row],[Pozo largo]],Controles!B:H,7,FALSE),"NO")</f>
        <v>0.875</v>
      </c>
      <c r="L244" s="5">
        <f>IFERROR(VLOOKUP(Consulta1[[#This Row],[Pozo largo]],Controles!B:J,9,FALSE),"NO")</f>
        <v>0</v>
      </c>
    </row>
    <row r="245" spans="2:12" x14ac:dyDescent="0.35">
      <c r="B245" s="4" t="s">
        <v>500</v>
      </c>
      <c r="C245" s="4" t="s">
        <v>6004</v>
      </c>
      <c r="D245" s="4" t="s">
        <v>5</v>
      </c>
      <c r="E245" s="4" t="s">
        <v>24</v>
      </c>
      <c r="F245" s="4" t="s">
        <v>7</v>
      </c>
      <c r="G245" s="4" t="s">
        <v>11386</v>
      </c>
      <c r="H245" s="4" t="s">
        <v>33</v>
      </c>
      <c r="I245" s="5" t="str">
        <f>IFERROR(VLOOKUP(Consulta1[[#This Row],[Pozo largo]],'Lista YPF'!$B$3:$C$358,2,FALSE),"NO")</f>
        <v>NO</v>
      </c>
      <c r="J245" s="5" t="str">
        <f>IFERROR(VLOOKUP(Consulta1[[#This Row],[Pozo]],'Lista Oportunidades'!B:C,2,FALSE),"NO")</f>
        <v>NO</v>
      </c>
      <c r="K245" s="5">
        <f>IFERROR(VLOOKUP(Consulta1[[#This Row],[Pozo largo]],Controles!B:H,7,FALSE),"NO")</f>
        <v>1.1000000000000001</v>
      </c>
      <c r="L245" s="5" t="str">
        <f>IFERROR(VLOOKUP(Consulta1[[#This Row],[Pozo largo]],Controles!B:J,9,FALSE),"NO")</f>
        <v>Ultimos 6 meses</v>
      </c>
    </row>
    <row r="246" spans="2:12" x14ac:dyDescent="0.35">
      <c r="B246" s="4" t="s">
        <v>502</v>
      </c>
      <c r="C246" s="4" t="s">
        <v>6005</v>
      </c>
      <c r="D246" s="4" t="s">
        <v>5</v>
      </c>
      <c r="E246" s="4" t="s">
        <v>6</v>
      </c>
      <c r="F246" s="4" t="s">
        <v>7</v>
      </c>
      <c r="G246" s="4" t="s">
        <v>5718</v>
      </c>
      <c r="H246" s="4" t="s">
        <v>9</v>
      </c>
      <c r="I246" s="5" t="str">
        <f>IFERROR(VLOOKUP(Consulta1[[#This Row],[Pozo largo]],'Lista YPF'!$B$3:$C$358,2,FALSE),"NO")</f>
        <v>En lista de Abandono</v>
      </c>
      <c r="J246" s="5" t="str">
        <f>IFERROR(VLOOKUP(Consulta1[[#This Row],[Pozo]],'Lista Oportunidades'!B:C,2,FALSE),"NO")</f>
        <v>NO</v>
      </c>
      <c r="K246" s="5">
        <f>IFERROR(VLOOKUP(Consulta1[[#This Row],[Pozo largo]],Controles!B:H,7,FALSE),"NO")</f>
        <v>0.33</v>
      </c>
      <c r="L246" s="5">
        <f>IFERROR(VLOOKUP(Consulta1[[#This Row],[Pozo largo]],Controles!B:J,9,FALSE),"NO")</f>
        <v>0</v>
      </c>
    </row>
    <row r="247" spans="2:12" x14ac:dyDescent="0.35">
      <c r="B247" s="4" t="s">
        <v>504</v>
      </c>
      <c r="C247" s="4" t="s">
        <v>6006</v>
      </c>
      <c r="D247" s="4" t="s">
        <v>5</v>
      </c>
      <c r="E247" s="4" t="s">
        <v>12</v>
      </c>
      <c r="F247" s="4" t="s">
        <v>7</v>
      </c>
      <c r="G247" s="4" t="s">
        <v>13</v>
      </c>
      <c r="H247" s="4" t="s">
        <v>9</v>
      </c>
      <c r="I247" s="5" t="str">
        <f>IFERROR(VLOOKUP(Consulta1[[#This Row],[Pozo largo]],'Lista YPF'!$B$3:$C$358,2,FALSE),"NO")</f>
        <v>NO</v>
      </c>
      <c r="J247" s="5" t="str">
        <f>IFERROR(VLOOKUP(Consulta1[[#This Row],[Pozo]],'Lista Oportunidades'!B:C,2,FALSE),"NO")</f>
        <v>NO</v>
      </c>
      <c r="K247" s="5">
        <f>IFERROR(VLOOKUP(Consulta1[[#This Row],[Pozo largo]],Controles!B:H,7,FALSE),"NO")</f>
        <v>1.8</v>
      </c>
      <c r="L247" s="5">
        <f>IFERROR(VLOOKUP(Consulta1[[#This Row],[Pozo largo]],Controles!B:J,9,FALSE),"NO")</f>
        <v>0</v>
      </c>
    </row>
    <row r="248" spans="2:12" x14ac:dyDescent="0.35">
      <c r="B248" s="4" t="s">
        <v>506</v>
      </c>
      <c r="C248" s="4" t="s">
        <v>6007</v>
      </c>
      <c r="D248" s="4" t="s">
        <v>5</v>
      </c>
      <c r="E248" s="4" t="s">
        <v>12</v>
      </c>
      <c r="F248" s="4" t="s">
        <v>238</v>
      </c>
      <c r="G248" s="4" t="s">
        <v>13</v>
      </c>
      <c r="H248" s="4" t="s">
        <v>21</v>
      </c>
      <c r="I248" s="5" t="str">
        <f>IFERROR(VLOOKUP(Consulta1[[#This Row],[Pozo largo]],'Lista YPF'!$B$3:$C$358,2,FALSE),"NO")</f>
        <v>NO</v>
      </c>
      <c r="J248" s="5" t="str">
        <f>IFERROR(VLOOKUP(Consulta1[[#This Row],[Pozo]],'Lista Oportunidades'!B:C,2,FALSE),"NO")</f>
        <v>NO</v>
      </c>
      <c r="K248" s="5">
        <f>IFERROR(VLOOKUP(Consulta1[[#This Row],[Pozo largo]],Controles!B:H,7,FALSE),"NO")</f>
        <v>5.98</v>
      </c>
      <c r="L248" s="5">
        <f>IFERROR(VLOOKUP(Consulta1[[#This Row],[Pozo largo]],Controles!B:J,9,FALSE),"NO")</f>
        <v>0</v>
      </c>
    </row>
    <row r="249" spans="2:12" x14ac:dyDescent="0.35">
      <c r="B249" s="4" t="s">
        <v>508</v>
      </c>
      <c r="C249" s="4" t="s">
        <v>6008</v>
      </c>
      <c r="D249" s="4" t="s">
        <v>5</v>
      </c>
      <c r="E249" s="4" t="s">
        <v>6</v>
      </c>
      <c r="F249" s="4" t="s">
        <v>238</v>
      </c>
      <c r="G249" s="4" t="s">
        <v>11386</v>
      </c>
      <c r="H249" s="4" t="s">
        <v>185</v>
      </c>
      <c r="I249" s="5" t="str">
        <f>IFERROR(VLOOKUP(Consulta1[[#This Row],[Pozo largo]],'Lista YPF'!$B$3:$C$358,2,FALSE),"NO")</f>
        <v>NO</v>
      </c>
      <c r="J249" s="5" t="str">
        <f>IFERROR(VLOOKUP(Consulta1[[#This Row],[Pozo]],'Lista Oportunidades'!B:C,2,FALSE),"NO")</f>
        <v>NO</v>
      </c>
      <c r="K249" s="5">
        <f>IFERROR(VLOOKUP(Consulta1[[#This Row],[Pozo largo]],Controles!B:H,7,FALSE),"NO")</f>
        <v>0.78</v>
      </c>
      <c r="L249" s="5" t="str">
        <f>IFERROR(VLOOKUP(Consulta1[[#This Row],[Pozo largo]],Controles!B:J,9,FALSE),"NO")</f>
        <v>Ultimos 6 meses</v>
      </c>
    </row>
    <row r="250" spans="2:12" x14ac:dyDescent="0.35">
      <c r="B250" s="4" t="s">
        <v>510</v>
      </c>
      <c r="C250" s="4" t="s">
        <v>6009</v>
      </c>
      <c r="D250" s="4" t="s">
        <v>5</v>
      </c>
      <c r="E250" s="4" t="s">
        <v>30</v>
      </c>
      <c r="F250" s="4" t="s">
        <v>31</v>
      </c>
      <c r="G250" s="4" t="s">
        <v>32</v>
      </c>
      <c r="H250" s="4" t="s">
        <v>91</v>
      </c>
      <c r="I250" s="5" t="str">
        <f>IFERROR(VLOOKUP(Consulta1[[#This Row],[Pozo largo]],'Lista YPF'!$B$3:$C$358,2,FALSE),"NO")</f>
        <v>NO</v>
      </c>
      <c r="J250" s="5" t="str">
        <f>IFERROR(VLOOKUP(Consulta1[[#This Row],[Pozo]],'Lista Oportunidades'!B:C,2,FALSE),"NO")</f>
        <v>NO</v>
      </c>
      <c r="K250" s="5" t="str">
        <f>IFERROR(VLOOKUP(Consulta1[[#This Row],[Pozo largo]],Controles!B:H,7,FALSE),"NO")</f>
        <v>NO</v>
      </c>
      <c r="L250" s="5" t="str">
        <f>IFERROR(VLOOKUP(Consulta1[[#This Row],[Pozo largo]],Controles!B:J,9,FALSE),"NO")</f>
        <v>NO</v>
      </c>
    </row>
    <row r="251" spans="2:12" x14ac:dyDescent="0.35">
      <c r="B251" s="4" t="s">
        <v>511</v>
      </c>
      <c r="C251" s="4" t="s">
        <v>6010</v>
      </c>
      <c r="D251" s="4" t="s">
        <v>5</v>
      </c>
      <c r="E251" s="4" t="s">
        <v>6</v>
      </c>
      <c r="F251" s="4" t="s">
        <v>28</v>
      </c>
      <c r="G251" s="4" t="s">
        <v>5718</v>
      </c>
      <c r="H251" s="4" t="s">
        <v>86</v>
      </c>
      <c r="I251" s="5" t="str">
        <f>IFERROR(VLOOKUP(Consulta1[[#This Row],[Pozo largo]],'Lista YPF'!$B$3:$C$358,2,FALSE),"NO")</f>
        <v>En lista de Abandono</v>
      </c>
      <c r="J251" s="5" t="str">
        <f>IFERROR(VLOOKUP(Consulta1[[#This Row],[Pozo]],'Lista Oportunidades'!B:C,2,FALSE),"NO")</f>
        <v>NO</v>
      </c>
      <c r="K251" s="5">
        <f>IFERROR(VLOOKUP(Consulta1[[#This Row],[Pozo largo]],Controles!B:H,7,FALSE),"NO")</f>
        <v>0</v>
      </c>
      <c r="L251" s="5" t="str">
        <f>IFERROR(VLOOKUP(Consulta1[[#This Row],[Pozo largo]],Controles!B:J,9,FALSE),"NO")</f>
        <v>Ultimo Año</v>
      </c>
    </row>
    <row r="252" spans="2:12" x14ac:dyDescent="0.35">
      <c r="B252" s="4" t="s">
        <v>513</v>
      </c>
      <c r="C252" s="4" t="s">
        <v>6011</v>
      </c>
      <c r="D252" s="4" t="s">
        <v>5</v>
      </c>
      <c r="E252" s="4" t="s">
        <v>24</v>
      </c>
      <c r="F252" s="4" t="s">
        <v>28</v>
      </c>
      <c r="G252" s="4" t="s">
        <v>11387</v>
      </c>
      <c r="H252" s="4" t="s">
        <v>86</v>
      </c>
      <c r="I252" s="5" t="str">
        <f>IFERROR(VLOOKUP(Consulta1[[#This Row],[Pozo largo]],'Lista YPF'!$B$3:$C$358,2,FALSE),"NO")</f>
        <v>NO</v>
      </c>
      <c r="J252" s="5" t="str">
        <f>IFERROR(VLOOKUP(Consulta1[[#This Row],[Pozo]],'Lista Oportunidades'!B:C,2,FALSE),"NO")</f>
        <v>NO</v>
      </c>
      <c r="K252" s="5">
        <f>IFERROR(VLOOKUP(Consulta1[[#This Row],[Pozo largo]],Controles!B:H,7,FALSE),"NO")</f>
        <v>0</v>
      </c>
      <c r="L252" s="5" t="str">
        <f>IFERROR(VLOOKUP(Consulta1[[#This Row],[Pozo largo]],Controles!B:J,9,FALSE),"NO")</f>
        <v>Ultimo Año</v>
      </c>
    </row>
    <row r="253" spans="2:12" x14ac:dyDescent="0.35">
      <c r="B253" s="4" t="s">
        <v>515</v>
      </c>
      <c r="C253" s="4" t="s">
        <v>6012</v>
      </c>
      <c r="D253" s="4" t="s">
        <v>5</v>
      </c>
      <c r="E253" s="4" t="s">
        <v>24</v>
      </c>
      <c r="F253" s="4" t="s">
        <v>25</v>
      </c>
      <c r="G253" s="4" t="s">
        <v>8</v>
      </c>
      <c r="H253" s="4" t="s">
        <v>86</v>
      </c>
      <c r="I253" s="5" t="str">
        <f>IFERROR(VLOOKUP(Consulta1[[#This Row],[Pozo largo]],'Lista YPF'!$B$3:$C$358,2,FALSE),"NO")</f>
        <v>NO</v>
      </c>
      <c r="J253" s="5" t="str">
        <f>IFERROR(VLOOKUP(Consulta1[[#This Row],[Pozo]],'Lista Oportunidades'!B:C,2,FALSE),"NO")</f>
        <v>NO</v>
      </c>
      <c r="K253" s="5">
        <f>IFERROR(VLOOKUP(Consulta1[[#This Row],[Pozo largo]],Controles!B:H,7,FALSE),"NO")</f>
        <v>0.188</v>
      </c>
      <c r="L253" s="5">
        <f>IFERROR(VLOOKUP(Consulta1[[#This Row],[Pozo largo]],Controles!B:J,9,FALSE),"NO")</f>
        <v>0</v>
      </c>
    </row>
    <row r="254" spans="2:12" x14ac:dyDescent="0.35">
      <c r="B254" s="4" t="s">
        <v>517</v>
      </c>
      <c r="C254" s="4" t="s">
        <v>6013</v>
      </c>
      <c r="D254" s="4" t="s">
        <v>5</v>
      </c>
      <c r="E254" s="4" t="s">
        <v>24</v>
      </c>
      <c r="F254" s="4" t="s">
        <v>28</v>
      </c>
      <c r="G254" s="4" t="s">
        <v>8</v>
      </c>
      <c r="H254" s="4" t="s">
        <v>86</v>
      </c>
      <c r="I254" s="5" t="str">
        <f>IFERROR(VLOOKUP(Consulta1[[#This Row],[Pozo largo]],'Lista YPF'!$B$3:$C$358,2,FALSE),"NO")</f>
        <v>NO</v>
      </c>
      <c r="J254" s="5" t="str">
        <f>IFERROR(VLOOKUP(Consulta1[[#This Row],[Pozo]],'Lista Oportunidades'!B:C,2,FALSE),"NO")</f>
        <v>NO</v>
      </c>
      <c r="K254" s="5">
        <f>IFERROR(VLOOKUP(Consulta1[[#This Row],[Pozo largo]],Controles!B:H,7,FALSE),"NO")</f>
        <v>0</v>
      </c>
      <c r="L254" s="5">
        <f>IFERROR(VLOOKUP(Consulta1[[#This Row],[Pozo largo]],Controles!B:J,9,FALSE),"NO")</f>
        <v>0</v>
      </c>
    </row>
    <row r="255" spans="2:12" x14ac:dyDescent="0.35">
      <c r="B255" s="4" t="s">
        <v>519</v>
      </c>
      <c r="C255" s="4" t="s">
        <v>6014</v>
      </c>
      <c r="D255" s="4" t="s">
        <v>5</v>
      </c>
      <c r="E255" s="4" t="s">
        <v>24</v>
      </c>
      <c r="F255" s="4" t="s">
        <v>31</v>
      </c>
      <c r="G255" s="4" t="s">
        <v>8</v>
      </c>
      <c r="H255" s="4" t="s">
        <v>80</v>
      </c>
      <c r="I255" s="5" t="str">
        <f>IFERROR(VLOOKUP(Consulta1[[#This Row],[Pozo largo]],'Lista YPF'!$B$3:$C$358,2,FALSE),"NO")</f>
        <v>NO</v>
      </c>
      <c r="J255" s="5" t="str">
        <f>IFERROR(VLOOKUP(Consulta1[[#This Row],[Pozo]],'Lista Oportunidades'!B:C,2,FALSE),"NO")</f>
        <v>NO</v>
      </c>
      <c r="K255" s="5">
        <f>IFERROR(VLOOKUP(Consulta1[[#This Row],[Pozo largo]],Controles!B:H,7,FALSE),"NO")</f>
        <v>0</v>
      </c>
      <c r="L255" s="5">
        <f>IFERROR(VLOOKUP(Consulta1[[#This Row],[Pozo largo]],Controles!B:J,9,FALSE),"NO")</f>
        <v>0</v>
      </c>
    </row>
    <row r="256" spans="2:12" x14ac:dyDescent="0.35">
      <c r="B256" s="4" t="s">
        <v>521</v>
      </c>
      <c r="C256" s="4" t="s">
        <v>6015</v>
      </c>
      <c r="D256" s="4" t="s">
        <v>5</v>
      </c>
      <c r="E256" s="4" t="s">
        <v>6</v>
      </c>
      <c r="F256" s="4" t="s">
        <v>28</v>
      </c>
      <c r="G256" s="4" t="s">
        <v>8</v>
      </c>
      <c r="H256" s="4" t="s">
        <v>16</v>
      </c>
      <c r="I256" s="5" t="str">
        <f>IFERROR(VLOOKUP(Consulta1[[#This Row],[Pozo largo]],'Lista YPF'!$B$3:$C$358,2,FALSE),"NO")</f>
        <v>NO</v>
      </c>
      <c r="J256" s="5" t="str">
        <f>IFERROR(VLOOKUP(Consulta1[[#This Row],[Pozo]],'Lista Oportunidades'!B:C,2,FALSE),"NO")</f>
        <v>NO</v>
      </c>
      <c r="K256" s="5">
        <f>IFERROR(VLOOKUP(Consulta1[[#This Row],[Pozo largo]],Controles!B:H,7,FALSE),"NO")</f>
        <v>0</v>
      </c>
      <c r="L256" s="5">
        <f>IFERROR(VLOOKUP(Consulta1[[#This Row],[Pozo largo]],Controles!B:J,9,FALSE),"NO")</f>
        <v>0</v>
      </c>
    </row>
    <row r="257" spans="2:12" x14ac:dyDescent="0.35">
      <c r="B257" s="4" t="s">
        <v>523</v>
      </c>
      <c r="C257" s="4" t="s">
        <v>6016</v>
      </c>
      <c r="D257" s="4" t="s">
        <v>5</v>
      </c>
      <c r="E257" s="4" t="s">
        <v>24</v>
      </c>
      <c r="F257" s="4" t="s">
        <v>31</v>
      </c>
      <c r="G257" s="4" t="s">
        <v>8</v>
      </c>
      <c r="H257" s="4" t="s">
        <v>141</v>
      </c>
      <c r="I257" s="5" t="str">
        <f>IFERROR(VLOOKUP(Consulta1[[#This Row],[Pozo largo]],'Lista YPF'!$B$3:$C$358,2,FALSE),"NO")</f>
        <v>NO</v>
      </c>
      <c r="J257" s="5" t="str">
        <f>IFERROR(VLOOKUP(Consulta1[[#This Row],[Pozo]],'Lista Oportunidades'!B:C,2,FALSE),"NO")</f>
        <v>NO</v>
      </c>
      <c r="K257" s="5">
        <f>IFERROR(VLOOKUP(Consulta1[[#This Row],[Pozo largo]],Controles!B:H,7,FALSE),"NO")</f>
        <v>0.8</v>
      </c>
      <c r="L257" s="5">
        <f>IFERROR(VLOOKUP(Consulta1[[#This Row],[Pozo largo]],Controles!B:J,9,FALSE),"NO")</f>
        <v>0</v>
      </c>
    </row>
    <row r="258" spans="2:12" x14ac:dyDescent="0.35">
      <c r="B258" s="4" t="s">
        <v>525</v>
      </c>
      <c r="C258" s="4" t="s">
        <v>6017</v>
      </c>
      <c r="D258" s="4" t="s">
        <v>5</v>
      </c>
      <c r="E258" s="4" t="s">
        <v>12</v>
      </c>
      <c r="F258" s="4" t="s">
        <v>7</v>
      </c>
      <c r="G258" s="4" t="s">
        <v>13</v>
      </c>
      <c r="H258" s="4" t="s">
        <v>185</v>
      </c>
      <c r="I258" s="5" t="str">
        <f>IFERROR(VLOOKUP(Consulta1[[#This Row],[Pozo largo]],'Lista YPF'!$B$3:$C$358,2,FALSE),"NO")</f>
        <v>NO</v>
      </c>
      <c r="J258" s="5" t="str">
        <f>IFERROR(VLOOKUP(Consulta1[[#This Row],[Pozo]],'Lista Oportunidades'!B:C,2,FALSE),"NO")</f>
        <v>NO</v>
      </c>
      <c r="K258" s="5">
        <f>IFERROR(VLOOKUP(Consulta1[[#This Row],[Pozo largo]],Controles!B:H,7,FALSE),"NO")</f>
        <v>1.52</v>
      </c>
      <c r="L258" s="5">
        <f>IFERROR(VLOOKUP(Consulta1[[#This Row],[Pozo largo]],Controles!B:J,9,FALSE),"NO")</f>
        <v>0</v>
      </c>
    </row>
    <row r="259" spans="2:12" x14ac:dyDescent="0.35">
      <c r="B259" s="4" t="s">
        <v>527</v>
      </c>
      <c r="C259" s="4" t="s">
        <v>6018</v>
      </c>
      <c r="D259" s="4" t="s">
        <v>5</v>
      </c>
      <c r="E259" s="4" t="s">
        <v>24</v>
      </c>
      <c r="F259" s="4" t="s">
        <v>7</v>
      </c>
      <c r="G259" s="4" t="s">
        <v>8</v>
      </c>
      <c r="H259" s="4" t="s">
        <v>71</v>
      </c>
      <c r="I259" s="5" t="str">
        <f>IFERROR(VLOOKUP(Consulta1[[#This Row],[Pozo largo]],'Lista YPF'!$B$3:$C$358,2,FALSE),"NO")</f>
        <v>NO</v>
      </c>
      <c r="J259" s="5" t="str">
        <f>IFERROR(VLOOKUP(Consulta1[[#This Row],[Pozo]],'Lista Oportunidades'!B:C,2,FALSE),"NO")</f>
        <v>NO</v>
      </c>
      <c r="K259" s="5">
        <f>IFERROR(VLOOKUP(Consulta1[[#This Row],[Pozo largo]],Controles!B:H,7,FALSE),"NO")</f>
        <v>0.70400000000000007</v>
      </c>
      <c r="L259" s="5">
        <f>IFERROR(VLOOKUP(Consulta1[[#This Row],[Pozo largo]],Controles!B:J,9,FALSE),"NO")</f>
        <v>0</v>
      </c>
    </row>
    <row r="260" spans="2:12" x14ac:dyDescent="0.35">
      <c r="B260" s="4" t="s">
        <v>529</v>
      </c>
      <c r="C260" s="4" t="s">
        <v>6019</v>
      </c>
      <c r="D260" s="4" t="s">
        <v>5</v>
      </c>
      <c r="E260" s="4" t="s">
        <v>12</v>
      </c>
      <c r="F260" s="4" t="s">
        <v>7</v>
      </c>
      <c r="G260" s="4" t="s">
        <v>13</v>
      </c>
      <c r="H260" s="4" t="s">
        <v>16</v>
      </c>
      <c r="I260" s="5" t="str">
        <f>IFERROR(VLOOKUP(Consulta1[[#This Row],[Pozo largo]],'Lista YPF'!$B$3:$C$358,2,FALSE),"NO")</f>
        <v>NO</v>
      </c>
      <c r="J260" s="5" t="str">
        <f>IFERROR(VLOOKUP(Consulta1[[#This Row],[Pozo]],'Lista Oportunidades'!B:C,2,FALSE),"NO")</f>
        <v>NO</v>
      </c>
      <c r="K260" s="5">
        <f>IFERROR(VLOOKUP(Consulta1[[#This Row],[Pozo largo]],Controles!B:H,7,FALSE),"NO")</f>
        <v>1.74</v>
      </c>
      <c r="L260" s="5">
        <f>IFERROR(VLOOKUP(Consulta1[[#This Row],[Pozo largo]],Controles!B:J,9,FALSE),"NO")</f>
        <v>0</v>
      </c>
    </row>
    <row r="261" spans="2:12" x14ac:dyDescent="0.35">
      <c r="B261" s="4" t="s">
        <v>531</v>
      </c>
      <c r="C261" s="4" t="s">
        <v>6020</v>
      </c>
      <c r="D261" s="4" t="s">
        <v>5</v>
      </c>
      <c r="E261" s="4" t="s">
        <v>24</v>
      </c>
      <c r="F261" s="4" t="s">
        <v>25</v>
      </c>
      <c r="G261" s="4" t="s">
        <v>8</v>
      </c>
      <c r="H261" s="4" t="s">
        <v>185</v>
      </c>
      <c r="I261" s="5" t="str">
        <f>IFERROR(VLOOKUP(Consulta1[[#This Row],[Pozo largo]],'Lista YPF'!$B$3:$C$358,2,FALSE),"NO")</f>
        <v>NO</v>
      </c>
      <c r="J261" s="5" t="str">
        <f>IFERROR(VLOOKUP(Consulta1[[#This Row],[Pozo]],'Lista Oportunidades'!B:C,2,FALSE),"NO")</f>
        <v>NO</v>
      </c>
      <c r="K261" s="5">
        <f>IFERROR(VLOOKUP(Consulta1[[#This Row],[Pozo largo]],Controles!B:H,7,FALSE),"NO")</f>
        <v>0.13400000000000001</v>
      </c>
      <c r="L261" s="5">
        <f>IFERROR(VLOOKUP(Consulta1[[#This Row],[Pozo largo]],Controles!B:J,9,FALSE),"NO")</f>
        <v>0</v>
      </c>
    </row>
    <row r="262" spans="2:12" x14ac:dyDescent="0.35">
      <c r="B262" s="4" t="s">
        <v>533</v>
      </c>
      <c r="C262" s="4" t="s">
        <v>6021</v>
      </c>
      <c r="D262" s="4" t="s">
        <v>5</v>
      </c>
      <c r="E262" s="4" t="s">
        <v>12</v>
      </c>
      <c r="F262" s="4" t="s">
        <v>7</v>
      </c>
      <c r="G262" s="4" t="s">
        <v>13</v>
      </c>
      <c r="H262" s="4" t="s">
        <v>185</v>
      </c>
      <c r="I262" s="5" t="str">
        <f>IFERROR(VLOOKUP(Consulta1[[#This Row],[Pozo largo]],'Lista YPF'!$B$3:$C$358,2,FALSE),"NO")</f>
        <v>NO</v>
      </c>
      <c r="J262" s="5" t="str">
        <f>IFERROR(VLOOKUP(Consulta1[[#This Row],[Pozo]],'Lista Oportunidades'!B:C,2,FALSE),"NO")</f>
        <v>NO</v>
      </c>
      <c r="K262" s="5">
        <f>IFERROR(VLOOKUP(Consulta1[[#This Row],[Pozo largo]],Controles!B:H,7,FALSE),"NO")</f>
        <v>1.2350000000000001</v>
      </c>
      <c r="L262" s="5">
        <f>IFERROR(VLOOKUP(Consulta1[[#This Row],[Pozo largo]],Controles!B:J,9,FALSE),"NO")</f>
        <v>0</v>
      </c>
    </row>
    <row r="263" spans="2:12" x14ac:dyDescent="0.35">
      <c r="B263" s="4" t="s">
        <v>535</v>
      </c>
      <c r="C263" s="4" t="s">
        <v>6022</v>
      </c>
      <c r="D263" s="4" t="s">
        <v>5</v>
      </c>
      <c r="E263" s="4" t="s">
        <v>24</v>
      </c>
      <c r="F263" s="4" t="s">
        <v>31</v>
      </c>
      <c r="G263" s="4" t="s">
        <v>8</v>
      </c>
      <c r="H263" s="4" t="s">
        <v>66</v>
      </c>
      <c r="I263" s="5" t="str">
        <f>IFERROR(VLOOKUP(Consulta1[[#This Row],[Pozo largo]],'Lista YPF'!$B$3:$C$358,2,FALSE),"NO")</f>
        <v>NO</v>
      </c>
      <c r="J263" s="5" t="str">
        <f>IFERROR(VLOOKUP(Consulta1[[#This Row],[Pozo]],'Lista Oportunidades'!B:C,2,FALSE),"NO")</f>
        <v>NO</v>
      </c>
      <c r="K263" s="5">
        <f>IFERROR(VLOOKUP(Consulta1[[#This Row],[Pozo largo]],Controles!B:H,7,FALSE),"NO")</f>
        <v>0</v>
      </c>
      <c r="L263" s="5">
        <f>IFERROR(VLOOKUP(Consulta1[[#This Row],[Pozo largo]],Controles!B:J,9,FALSE),"NO")</f>
        <v>0</v>
      </c>
    </row>
    <row r="264" spans="2:12" x14ac:dyDescent="0.35">
      <c r="B264" s="4" t="s">
        <v>537</v>
      </c>
      <c r="C264" s="4" t="s">
        <v>6023</v>
      </c>
      <c r="D264" s="4" t="s">
        <v>5</v>
      </c>
      <c r="E264" s="4" t="s">
        <v>6</v>
      </c>
      <c r="F264" s="4" t="s">
        <v>7</v>
      </c>
      <c r="G264" s="4" t="s">
        <v>8</v>
      </c>
      <c r="H264" s="4" t="s">
        <v>290</v>
      </c>
      <c r="I264" s="5" t="str">
        <f>IFERROR(VLOOKUP(Consulta1[[#This Row],[Pozo largo]],'Lista YPF'!$B$3:$C$358,2,FALSE),"NO")</f>
        <v>NO</v>
      </c>
      <c r="J264" s="5" t="str">
        <f>IFERROR(VLOOKUP(Consulta1[[#This Row],[Pozo]],'Lista Oportunidades'!B:C,2,FALSE),"NO")</f>
        <v>NO</v>
      </c>
      <c r="K264" s="5">
        <f>IFERROR(VLOOKUP(Consulta1[[#This Row],[Pozo largo]],Controles!B:H,7,FALSE),"NO")</f>
        <v>9.7000000000000003E-2</v>
      </c>
      <c r="L264" s="5">
        <f>IFERROR(VLOOKUP(Consulta1[[#This Row],[Pozo largo]],Controles!B:J,9,FALSE),"NO")</f>
        <v>0</v>
      </c>
    </row>
    <row r="265" spans="2:12" x14ac:dyDescent="0.35">
      <c r="B265" s="4" t="s">
        <v>539</v>
      </c>
      <c r="C265" s="4" t="s">
        <v>6024</v>
      </c>
      <c r="D265" s="4" t="s">
        <v>5</v>
      </c>
      <c r="E265" s="4" t="s">
        <v>12</v>
      </c>
      <c r="F265" s="4" t="s">
        <v>7</v>
      </c>
      <c r="G265" s="4" t="s">
        <v>13</v>
      </c>
      <c r="H265" s="4" t="s">
        <v>66</v>
      </c>
      <c r="I265" s="5" t="str">
        <f>IFERROR(VLOOKUP(Consulta1[[#This Row],[Pozo largo]],'Lista YPF'!$B$3:$C$358,2,FALSE),"NO")</f>
        <v>NO</v>
      </c>
      <c r="J265" s="5" t="str">
        <f>IFERROR(VLOOKUP(Consulta1[[#This Row],[Pozo]],'Lista Oportunidades'!B:C,2,FALSE),"NO")</f>
        <v>NO</v>
      </c>
      <c r="K265" s="5">
        <f>IFERROR(VLOOKUP(Consulta1[[#This Row],[Pozo largo]],Controles!B:H,7,FALSE),"NO")</f>
        <v>0.94000000000000006</v>
      </c>
      <c r="L265" s="5">
        <f>IFERROR(VLOOKUP(Consulta1[[#This Row],[Pozo largo]],Controles!B:J,9,FALSE),"NO")</f>
        <v>0</v>
      </c>
    </row>
    <row r="266" spans="2:12" x14ac:dyDescent="0.35">
      <c r="B266" s="4" t="s">
        <v>541</v>
      </c>
      <c r="C266" s="4" t="s">
        <v>6025</v>
      </c>
      <c r="D266" s="4" t="s">
        <v>5</v>
      </c>
      <c r="E266" s="4" t="s">
        <v>57</v>
      </c>
      <c r="F266" s="4" t="s">
        <v>7</v>
      </c>
      <c r="G266" s="4" t="s">
        <v>5718</v>
      </c>
      <c r="H266" s="4" t="s">
        <v>149</v>
      </c>
      <c r="I266" s="5" t="str">
        <f>IFERROR(VLOOKUP(Consulta1[[#This Row],[Pozo largo]],'Lista YPF'!$B$3:$C$358,2,FALSE),"NO")</f>
        <v>En lista de Abandono</v>
      </c>
      <c r="J266" s="5" t="str">
        <f>IFERROR(VLOOKUP(Consulta1[[#This Row],[Pozo]],'Lista Oportunidades'!B:C,2,FALSE),"NO")</f>
        <v>NO</v>
      </c>
      <c r="K266" s="5">
        <f>IFERROR(VLOOKUP(Consulta1[[#This Row],[Pozo largo]],Controles!B:H,7,FALSE),"NO")</f>
        <v>0.88</v>
      </c>
      <c r="L266" s="5">
        <f>IFERROR(VLOOKUP(Consulta1[[#This Row],[Pozo largo]],Controles!B:J,9,FALSE),"NO")</f>
        <v>0</v>
      </c>
    </row>
    <row r="267" spans="2:12" x14ac:dyDescent="0.35">
      <c r="B267" s="4" t="s">
        <v>543</v>
      </c>
      <c r="C267" s="4" t="s">
        <v>6026</v>
      </c>
      <c r="D267" s="4" t="s">
        <v>5</v>
      </c>
      <c r="E267" s="4" t="s">
        <v>24</v>
      </c>
      <c r="F267" s="4" t="s">
        <v>31</v>
      </c>
      <c r="G267" s="4" t="s">
        <v>8</v>
      </c>
      <c r="H267" s="4" t="s">
        <v>149</v>
      </c>
      <c r="I267" s="5" t="str">
        <f>IFERROR(VLOOKUP(Consulta1[[#This Row],[Pozo largo]],'Lista YPF'!$B$3:$C$358,2,FALSE),"NO")</f>
        <v>NO</v>
      </c>
      <c r="J267" s="5" t="str">
        <f>IFERROR(VLOOKUP(Consulta1[[#This Row],[Pozo]],'Lista Oportunidades'!B:C,2,FALSE),"NO")</f>
        <v>NO</v>
      </c>
      <c r="K267" s="5" t="str">
        <f>IFERROR(VLOOKUP(Consulta1[[#This Row],[Pozo largo]],Controles!B:H,7,FALSE),"NO")</f>
        <v>NO</v>
      </c>
      <c r="L267" s="5" t="str">
        <f>IFERROR(VLOOKUP(Consulta1[[#This Row],[Pozo largo]],Controles!B:J,9,FALSE),"NO")</f>
        <v>NO</v>
      </c>
    </row>
    <row r="268" spans="2:12" x14ac:dyDescent="0.35">
      <c r="B268" s="4" t="s">
        <v>544</v>
      </c>
      <c r="C268" s="4" t="s">
        <v>6027</v>
      </c>
      <c r="D268" s="4" t="s">
        <v>5</v>
      </c>
      <c r="E268" s="4" t="s">
        <v>12</v>
      </c>
      <c r="F268" s="4" t="s">
        <v>7</v>
      </c>
      <c r="G268" s="4" t="s">
        <v>13</v>
      </c>
      <c r="H268" s="4" t="s">
        <v>9</v>
      </c>
      <c r="I268" s="5" t="str">
        <f>IFERROR(VLOOKUP(Consulta1[[#This Row],[Pozo largo]],'Lista YPF'!$B$3:$C$358,2,FALSE),"NO")</f>
        <v>NO</v>
      </c>
      <c r="J268" s="5" t="str">
        <f>IFERROR(VLOOKUP(Consulta1[[#This Row],[Pozo]],'Lista Oportunidades'!B:C,2,FALSE),"NO")</f>
        <v>NO</v>
      </c>
      <c r="K268" s="5">
        <f>IFERROR(VLOOKUP(Consulta1[[#This Row],[Pozo largo]],Controles!B:H,7,FALSE),"NO")</f>
        <v>1.024</v>
      </c>
      <c r="L268" s="5">
        <f>IFERROR(VLOOKUP(Consulta1[[#This Row],[Pozo largo]],Controles!B:J,9,FALSE),"NO")</f>
        <v>0</v>
      </c>
    </row>
    <row r="269" spans="2:12" x14ac:dyDescent="0.35">
      <c r="B269" s="4" t="s">
        <v>546</v>
      </c>
      <c r="C269" s="4" t="s">
        <v>6028</v>
      </c>
      <c r="D269" s="4" t="s">
        <v>5</v>
      </c>
      <c r="E269" s="4" t="s">
        <v>24</v>
      </c>
      <c r="F269" s="4" t="s">
        <v>7</v>
      </c>
      <c r="G269" s="4" t="s">
        <v>8</v>
      </c>
      <c r="H269" s="4" t="s">
        <v>254</v>
      </c>
      <c r="I269" s="5" t="str">
        <f>IFERROR(VLOOKUP(Consulta1[[#This Row],[Pozo largo]],'Lista YPF'!$B$3:$C$358,2,FALSE),"NO")</f>
        <v>NO</v>
      </c>
      <c r="J269" s="5" t="str">
        <f>IFERROR(VLOOKUP(Consulta1[[#This Row],[Pozo]],'Lista Oportunidades'!B:C,2,FALSE),"NO")</f>
        <v>NO</v>
      </c>
      <c r="K269" s="5">
        <f>IFERROR(VLOOKUP(Consulta1[[#This Row],[Pozo largo]],Controles!B:H,7,FALSE),"NO")</f>
        <v>0.62</v>
      </c>
      <c r="L269" s="5">
        <f>IFERROR(VLOOKUP(Consulta1[[#This Row],[Pozo largo]],Controles!B:J,9,FALSE),"NO")</f>
        <v>0</v>
      </c>
    </row>
    <row r="270" spans="2:12" x14ac:dyDescent="0.35">
      <c r="B270" s="4" t="s">
        <v>548</v>
      </c>
      <c r="C270" s="4" t="s">
        <v>6029</v>
      </c>
      <c r="D270" s="4" t="s">
        <v>5</v>
      </c>
      <c r="E270" s="4" t="s">
        <v>12</v>
      </c>
      <c r="F270" s="4" t="s">
        <v>7</v>
      </c>
      <c r="G270" s="4" t="s">
        <v>13</v>
      </c>
      <c r="H270" s="4" t="s">
        <v>21</v>
      </c>
      <c r="I270" s="5" t="str">
        <f>IFERROR(VLOOKUP(Consulta1[[#This Row],[Pozo largo]],'Lista YPF'!$B$3:$C$358,2,FALSE),"NO")</f>
        <v>NO</v>
      </c>
      <c r="J270" s="5" t="str">
        <f>IFERROR(VLOOKUP(Consulta1[[#This Row],[Pozo]],'Lista Oportunidades'!B:C,2,FALSE),"NO")</f>
        <v>NO</v>
      </c>
      <c r="K270" s="5">
        <f>IFERROR(VLOOKUP(Consulta1[[#This Row],[Pozo largo]],Controles!B:H,7,FALSE),"NO")</f>
        <v>0.74</v>
      </c>
      <c r="L270" s="5">
        <f>IFERROR(VLOOKUP(Consulta1[[#This Row],[Pozo largo]],Controles!B:J,9,FALSE),"NO")</f>
        <v>0</v>
      </c>
    </row>
    <row r="271" spans="2:12" x14ac:dyDescent="0.35">
      <c r="B271" s="4" t="s">
        <v>550</v>
      </c>
      <c r="C271" s="4" t="s">
        <v>6030</v>
      </c>
      <c r="D271" s="4" t="s">
        <v>5</v>
      </c>
      <c r="E271" s="4" t="s">
        <v>12</v>
      </c>
      <c r="F271" s="4" t="s">
        <v>238</v>
      </c>
      <c r="G271" s="4" t="s">
        <v>13</v>
      </c>
      <c r="H271" s="4" t="s">
        <v>21</v>
      </c>
      <c r="I271" s="5" t="str">
        <f>IFERROR(VLOOKUP(Consulta1[[#This Row],[Pozo largo]],'Lista YPF'!$B$3:$C$358,2,FALSE),"NO")</f>
        <v>NO</v>
      </c>
      <c r="J271" s="5" t="str">
        <f>IFERROR(VLOOKUP(Consulta1[[#This Row],[Pozo]],'Lista Oportunidades'!B:C,2,FALSE),"NO")</f>
        <v>NO</v>
      </c>
      <c r="K271" s="5">
        <f>IFERROR(VLOOKUP(Consulta1[[#This Row],[Pozo largo]],Controles!B:H,7,FALSE),"NO")</f>
        <v>1.0840000000000001</v>
      </c>
      <c r="L271" s="5">
        <f>IFERROR(VLOOKUP(Consulta1[[#This Row],[Pozo largo]],Controles!B:J,9,FALSE),"NO")</f>
        <v>0</v>
      </c>
    </row>
    <row r="272" spans="2:12" x14ac:dyDescent="0.35">
      <c r="B272" s="4" t="s">
        <v>552</v>
      </c>
      <c r="C272" s="4" t="s">
        <v>6031</v>
      </c>
      <c r="D272" s="4" t="s">
        <v>5</v>
      </c>
      <c r="E272" s="4" t="s">
        <v>12</v>
      </c>
      <c r="F272" s="4" t="s">
        <v>238</v>
      </c>
      <c r="G272" s="4" t="s">
        <v>13</v>
      </c>
      <c r="H272" s="4" t="s">
        <v>36</v>
      </c>
      <c r="I272" s="5" t="str">
        <f>IFERROR(VLOOKUP(Consulta1[[#This Row],[Pozo largo]],'Lista YPF'!$B$3:$C$358,2,FALSE),"NO")</f>
        <v>NO</v>
      </c>
      <c r="J272" s="5" t="str">
        <f>IFERROR(VLOOKUP(Consulta1[[#This Row],[Pozo]],'Lista Oportunidades'!B:C,2,FALSE),"NO")</f>
        <v>NO</v>
      </c>
      <c r="K272" s="5">
        <f>IFERROR(VLOOKUP(Consulta1[[#This Row],[Pozo largo]],Controles!B:H,7,FALSE),"NO")</f>
        <v>2.36</v>
      </c>
      <c r="L272" s="5">
        <f>IFERROR(VLOOKUP(Consulta1[[#This Row],[Pozo largo]],Controles!B:J,9,FALSE),"NO")</f>
        <v>0</v>
      </c>
    </row>
    <row r="273" spans="2:12" x14ac:dyDescent="0.35">
      <c r="B273" s="4" t="s">
        <v>554</v>
      </c>
      <c r="C273" s="4" t="s">
        <v>6032</v>
      </c>
      <c r="D273" s="4" t="s">
        <v>5</v>
      </c>
      <c r="E273" s="4" t="s">
        <v>12</v>
      </c>
      <c r="F273" s="4" t="s">
        <v>7</v>
      </c>
      <c r="G273" s="4" t="s">
        <v>13</v>
      </c>
      <c r="H273" s="4" t="s">
        <v>21</v>
      </c>
      <c r="I273" s="5" t="str">
        <f>IFERROR(VLOOKUP(Consulta1[[#This Row],[Pozo largo]],'Lista YPF'!$B$3:$C$358,2,FALSE),"NO")</f>
        <v>NO</v>
      </c>
      <c r="J273" s="5" t="str">
        <f>IFERROR(VLOOKUP(Consulta1[[#This Row],[Pozo]],'Lista Oportunidades'!B:C,2,FALSE),"NO")</f>
        <v>NO</v>
      </c>
      <c r="K273" s="5">
        <f>IFERROR(VLOOKUP(Consulta1[[#This Row],[Pozo largo]],Controles!B:H,7,FALSE),"NO")</f>
        <v>0.92</v>
      </c>
      <c r="L273" s="5">
        <f>IFERROR(VLOOKUP(Consulta1[[#This Row],[Pozo largo]],Controles!B:J,9,FALSE),"NO")</f>
        <v>0</v>
      </c>
    </row>
    <row r="274" spans="2:12" x14ac:dyDescent="0.35">
      <c r="B274" s="4" t="s">
        <v>556</v>
      </c>
      <c r="C274" s="4" t="s">
        <v>6033</v>
      </c>
      <c r="D274" s="4" t="s">
        <v>5</v>
      </c>
      <c r="E274" s="4" t="s">
        <v>24</v>
      </c>
      <c r="F274" s="4" t="s">
        <v>31</v>
      </c>
      <c r="G274" s="4" t="s">
        <v>8</v>
      </c>
      <c r="H274" s="4" t="s">
        <v>9</v>
      </c>
      <c r="I274" s="5" t="str">
        <f>IFERROR(VLOOKUP(Consulta1[[#This Row],[Pozo largo]],'Lista YPF'!$B$3:$C$358,2,FALSE),"NO")</f>
        <v>NO</v>
      </c>
      <c r="J274" s="5" t="str">
        <f>IFERROR(VLOOKUP(Consulta1[[#This Row],[Pozo]],'Lista Oportunidades'!B:C,2,FALSE),"NO")</f>
        <v>NO</v>
      </c>
      <c r="K274" s="5" t="str">
        <f>IFERROR(VLOOKUP(Consulta1[[#This Row],[Pozo largo]],Controles!B:H,7,FALSE),"NO")</f>
        <v>NO</v>
      </c>
      <c r="L274" s="5" t="str">
        <f>IFERROR(VLOOKUP(Consulta1[[#This Row],[Pozo largo]],Controles!B:J,9,FALSE),"NO")</f>
        <v>NO</v>
      </c>
    </row>
    <row r="275" spans="2:12" x14ac:dyDescent="0.35">
      <c r="B275" s="4" t="s">
        <v>557</v>
      </c>
      <c r="C275" s="4" t="s">
        <v>6034</v>
      </c>
      <c r="D275" s="4" t="s">
        <v>5</v>
      </c>
      <c r="E275" s="4" t="s">
        <v>24</v>
      </c>
      <c r="F275" s="4" t="s">
        <v>25</v>
      </c>
      <c r="G275" s="4" t="s">
        <v>11387</v>
      </c>
      <c r="H275" s="4" t="s">
        <v>36</v>
      </c>
      <c r="I275" s="5" t="str">
        <f>IFERROR(VLOOKUP(Consulta1[[#This Row],[Pozo largo]],'Lista YPF'!$B$3:$C$358,2,FALSE),"NO")</f>
        <v>NO</v>
      </c>
      <c r="J275" s="5" t="str">
        <f>IFERROR(VLOOKUP(Consulta1[[#This Row],[Pozo]],'Lista Oportunidades'!B:C,2,FALSE),"NO")</f>
        <v>NO</v>
      </c>
      <c r="K275" s="5">
        <f>IFERROR(VLOOKUP(Consulta1[[#This Row],[Pozo largo]],Controles!B:H,7,FALSE),"NO")</f>
        <v>0.01</v>
      </c>
      <c r="L275" s="5" t="str">
        <f>IFERROR(VLOOKUP(Consulta1[[#This Row],[Pozo largo]],Controles!B:J,9,FALSE),"NO")</f>
        <v>Ultimo Año</v>
      </c>
    </row>
    <row r="276" spans="2:12" x14ac:dyDescent="0.35">
      <c r="B276" s="4" t="s">
        <v>559</v>
      </c>
      <c r="C276" s="4" t="s">
        <v>6035</v>
      </c>
      <c r="D276" s="4" t="s">
        <v>5</v>
      </c>
      <c r="E276" s="4" t="s">
        <v>156</v>
      </c>
      <c r="F276" s="4" t="s">
        <v>31</v>
      </c>
      <c r="G276" s="4" t="s">
        <v>157</v>
      </c>
      <c r="H276" s="4" t="s">
        <v>91</v>
      </c>
      <c r="I276" s="5" t="str">
        <f>IFERROR(VLOOKUP(Consulta1[[#This Row],[Pozo largo]],'Lista YPF'!$B$3:$C$358,2,FALSE),"NO")</f>
        <v>NO</v>
      </c>
      <c r="J276" s="5" t="str">
        <f>IFERROR(VLOOKUP(Consulta1[[#This Row],[Pozo]],'Lista Oportunidades'!B:C,2,FALSE),"NO")</f>
        <v>NO</v>
      </c>
      <c r="K276" s="5" t="str">
        <f>IFERROR(VLOOKUP(Consulta1[[#This Row],[Pozo largo]],Controles!B:H,7,FALSE),"NO")</f>
        <v>NO</v>
      </c>
      <c r="L276" s="5" t="str">
        <f>IFERROR(VLOOKUP(Consulta1[[#This Row],[Pozo largo]],Controles!B:J,9,FALSE),"NO")</f>
        <v>NO</v>
      </c>
    </row>
    <row r="277" spans="2:12" x14ac:dyDescent="0.35">
      <c r="B277" s="4" t="s">
        <v>560</v>
      </c>
      <c r="C277" s="4" t="s">
        <v>6036</v>
      </c>
      <c r="D277" s="4" t="s">
        <v>5</v>
      </c>
      <c r="E277" s="4" t="s">
        <v>12</v>
      </c>
      <c r="F277" s="4" t="s">
        <v>238</v>
      </c>
      <c r="G277" s="4" t="s">
        <v>13</v>
      </c>
      <c r="H277" s="4" t="s">
        <v>21</v>
      </c>
      <c r="I277" s="5" t="str">
        <f>IFERROR(VLOOKUP(Consulta1[[#This Row],[Pozo largo]],'Lista YPF'!$B$3:$C$358,2,FALSE),"NO")</f>
        <v>NO</v>
      </c>
      <c r="J277" s="5" t="str">
        <f>IFERROR(VLOOKUP(Consulta1[[#This Row],[Pozo]],'Lista Oportunidades'!B:C,2,FALSE),"NO")</f>
        <v>NO</v>
      </c>
      <c r="K277" s="5">
        <f>IFERROR(VLOOKUP(Consulta1[[#This Row],[Pozo largo]],Controles!B:H,7,FALSE),"NO")</f>
        <v>1.4850000000000001</v>
      </c>
      <c r="L277" s="5">
        <f>IFERROR(VLOOKUP(Consulta1[[#This Row],[Pozo largo]],Controles!B:J,9,FALSE),"NO")</f>
        <v>0</v>
      </c>
    </row>
    <row r="278" spans="2:12" x14ac:dyDescent="0.35">
      <c r="B278" s="4" t="s">
        <v>562</v>
      </c>
      <c r="C278" s="4" t="s">
        <v>6037</v>
      </c>
      <c r="D278" s="4" t="s">
        <v>5</v>
      </c>
      <c r="E278" s="4" t="s">
        <v>57</v>
      </c>
      <c r="F278" s="4" t="s">
        <v>7</v>
      </c>
      <c r="G278" s="4" t="s">
        <v>5718</v>
      </c>
      <c r="H278" s="4" t="s">
        <v>33</v>
      </c>
      <c r="I278" s="5" t="str">
        <f>IFERROR(VLOOKUP(Consulta1[[#This Row],[Pozo largo]],'Lista YPF'!$B$3:$C$358,2,FALSE),"NO")</f>
        <v>En lista de Abandono</v>
      </c>
      <c r="J278" s="5" t="str">
        <f>IFERROR(VLOOKUP(Consulta1[[#This Row],[Pozo]],'Lista Oportunidades'!B:C,2,FALSE),"NO")</f>
        <v>NO</v>
      </c>
      <c r="K278" s="5">
        <f>IFERROR(VLOOKUP(Consulta1[[#This Row],[Pozo largo]],Controles!B:H,7,FALSE),"NO")</f>
        <v>0.877</v>
      </c>
      <c r="L278" s="5">
        <f>IFERROR(VLOOKUP(Consulta1[[#This Row],[Pozo largo]],Controles!B:J,9,FALSE),"NO")</f>
        <v>0</v>
      </c>
    </row>
    <row r="279" spans="2:12" x14ac:dyDescent="0.35">
      <c r="B279" s="4" t="s">
        <v>564</v>
      </c>
      <c r="C279" s="4" t="s">
        <v>6038</v>
      </c>
      <c r="D279" s="4" t="s">
        <v>5</v>
      </c>
      <c r="E279" s="4" t="s">
        <v>566</v>
      </c>
      <c r="F279" s="4" t="s">
        <v>7</v>
      </c>
      <c r="G279" s="4" t="s">
        <v>11387</v>
      </c>
      <c r="H279" s="4" t="s">
        <v>9</v>
      </c>
      <c r="I279" s="5" t="str">
        <f>IFERROR(VLOOKUP(Consulta1[[#This Row],[Pozo largo]],'Lista YPF'!$B$3:$C$358,2,FALSE),"NO")</f>
        <v>NO</v>
      </c>
      <c r="J279" s="5" t="str">
        <f>IFERROR(VLOOKUP(Consulta1[[#This Row],[Pozo]],'Lista Oportunidades'!B:C,2,FALSE),"NO")</f>
        <v>NO</v>
      </c>
      <c r="K279" s="5">
        <f>IFERROR(VLOOKUP(Consulta1[[#This Row],[Pozo largo]],Controles!B:H,7,FALSE),"NO")</f>
        <v>1.23</v>
      </c>
      <c r="L279" s="5" t="str">
        <f>IFERROR(VLOOKUP(Consulta1[[#This Row],[Pozo largo]],Controles!B:J,9,FALSE),"NO")</f>
        <v>Ultimo Año</v>
      </c>
    </row>
    <row r="280" spans="2:12" x14ac:dyDescent="0.35">
      <c r="B280" s="4" t="s">
        <v>567</v>
      </c>
      <c r="C280" s="4" t="s">
        <v>6039</v>
      </c>
      <c r="D280" s="4" t="s">
        <v>5</v>
      </c>
      <c r="E280" s="4" t="s">
        <v>30</v>
      </c>
      <c r="F280" s="4" t="s">
        <v>31</v>
      </c>
      <c r="G280" s="4" t="s">
        <v>32</v>
      </c>
      <c r="H280" s="4" t="s">
        <v>254</v>
      </c>
      <c r="I280" s="5" t="str">
        <f>IFERROR(VLOOKUP(Consulta1[[#This Row],[Pozo largo]],'Lista YPF'!$B$3:$C$358,2,FALSE),"NO")</f>
        <v>NO</v>
      </c>
      <c r="J280" s="5" t="str">
        <f>IFERROR(VLOOKUP(Consulta1[[#This Row],[Pozo]],'Lista Oportunidades'!B:C,2,FALSE),"NO")</f>
        <v>NO</v>
      </c>
      <c r="K280" s="5">
        <f>IFERROR(VLOOKUP(Consulta1[[#This Row],[Pozo largo]],Controles!B:H,7,FALSE),"NO")</f>
        <v>0</v>
      </c>
      <c r="L280" s="5">
        <f>IFERROR(VLOOKUP(Consulta1[[#This Row],[Pozo largo]],Controles!B:J,9,FALSE),"NO")</f>
        <v>0</v>
      </c>
    </row>
    <row r="281" spans="2:12" x14ac:dyDescent="0.35">
      <c r="B281" s="4" t="s">
        <v>569</v>
      </c>
      <c r="C281" s="4" t="s">
        <v>6040</v>
      </c>
      <c r="D281" s="4" t="s">
        <v>5</v>
      </c>
      <c r="E281" s="4" t="s">
        <v>24</v>
      </c>
      <c r="F281" s="4" t="s">
        <v>31</v>
      </c>
      <c r="G281" s="4" t="s">
        <v>8</v>
      </c>
      <c r="H281" s="4" t="s">
        <v>254</v>
      </c>
      <c r="I281" s="5" t="str">
        <f>IFERROR(VLOOKUP(Consulta1[[#This Row],[Pozo largo]],'Lista YPF'!$B$3:$C$358,2,FALSE),"NO")</f>
        <v>NO</v>
      </c>
      <c r="J281" s="5" t="str">
        <f>IFERROR(VLOOKUP(Consulta1[[#This Row],[Pozo]],'Lista Oportunidades'!B:C,2,FALSE),"NO")</f>
        <v>NO</v>
      </c>
      <c r="K281" s="5">
        <f>IFERROR(VLOOKUP(Consulta1[[#This Row],[Pozo largo]],Controles!B:H,7,FALSE),"NO")</f>
        <v>0.94000000000000006</v>
      </c>
      <c r="L281" s="5">
        <f>IFERROR(VLOOKUP(Consulta1[[#This Row],[Pozo largo]],Controles!B:J,9,FALSE),"NO")</f>
        <v>0</v>
      </c>
    </row>
    <row r="282" spans="2:12" x14ac:dyDescent="0.35">
      <c r="B282" s="4" t="s">
        <v>571</v>
      </c>
      <c r="C282" s="4" t="s">
        <v>6041</v>
      </c>
      <c r="D282" s="4" t="s">
        <v>5</v>
      </c>
      <c r="E282" s="4" t="s">
        <v>12</v>
      </c>
      <c r="F282" s="4" t="s">
        <v>7</v>
      </c>
      <c r="G282" s="4" t="s">
        <v>13</v>
      </c>
      <c r="H282" s="4" t="s">
        <v>33</v>
      </c>
      <c r="I282" s="5" t="str">
        <f>IFERROR(VLOOKUP(Consulta1[[#This Row],[Pozo largo]],'Lista YPF'!$B$3:$C$358,2,FALSE),"NO")</f>
        <v>NO</v>
      </c>
      <c r="J282" s="5" t="str">
        <f>IFERROR(VLOOKUP(Consulta1[[#This Row],[Pozo]],'Lista Oportunidades'!B:C,2,FALSE),"NO")</f>
        <v>NO</v>
      </c>
      <c r="K282" s="5">
        <f>IFERROR(VLOOKUP(Consulta1[[#This Row],[Pozo largo]],Controles!B:H,7,FALSE),"NO")</f>
        <v>0.16200000000000001</v>
      </c>
      <c r="L282" s="5">
        <f>IFERROR(VLOOKUP(Consulta1[[#This Row],[Pozo largo]],Controles!B:J,9,FALSE),"NO")</f>
        <v>0</v>
      </c>
    </row>
    <row r="283" spans="2:12" x14ac:dyDescent="0.35">
      <c r="B283" s="4" t="s">
        <v>573</v>
      </c>
      <c r="C283" s="4" t="s">
        <v>6042</v>
      </c>
      <c r="D283" s="4" t="s">
        <v>5</v>
      </c>
      <c r="E283" s="4" t="s">
        <v>12</v>
      </c>
      <c r="F283" s="4" t="s">
        <v>7</v>
      </c>
      <c r="G283" s="4" t="s">
        <v>13</v>
      </c>
      <c r="H283" s="4" t="s">
        <v>86</v>
      </c>
      <c r="I283" s="5" t="str">
        <f>IFERROR(VLOOKUP(Consulta1[[#This Row],[Pozo largo]],'Lista YPF'!$B$3:$C$358,2,FALSE),"NO")</f>
        <v>NO</v>
      </c>
      <c r="J283" s="5" t="str">
        <f>IFERROR(VLOOKUP(Consulta1[[#This Row],[Pozo]],'Lista Oportunidades'!B:C,2,FALSE),"NO")</f>
        <v>NO</v>
      </c>
      <c r="K283" s="5">
        <f>IFERROR(VLOOKUP(Consulta1[[#This Row],[Pozo largo]],Controles!B:H,7,FALSE),"NO")</f>
        <v>1.21</v>
      </c>
      <c r="L283" s="5">
        <f>IFERROR(VLOOKUP(Consulta1[[#This Row],[Pozo largo]],Controles!B:J,9,FALSE),"NO")</f>
        <v>0</v>
      </c>
    </row>
    <row r="284" spans="2:12" x14ac:dyDescent="0.35">
      <c r="B284" s="4" t="s">
        <v>575</v>
      </c>
      <c r="C284" s="4" t="s">
        <v>6043</v>
      </c>
      <c r="D284" s="4" t="s">
        <v>5</v>
      </c>
      <c r="E284" s="4" t="s">
        <v>30</v>
      </c>
      <c r="F284" s="4" t="s">
        <v>31</v>
      </c>
      <c r="G284" s="4" t="s">
        <v>32</v>
      </c>
      <c r="H284" s="4" t="s">
        <v>91</v>
      </c>
      <c r="I284" s="5" t="str">
        <f>IFERROR(VLOOKUP(Consulta1[[#This Row],[Pozo largo]],'Lista YPF'!$B$3:$C$358,2,FALSE),"NO")</f>
        <v>NO</v>
      </c>
      <c r="J284" s="5" t="str">
        <f>IFERROR(VLOOKUP(Consulta1[[#This Row],[Pozo]],'Lista Oportunidades'!B:C,2,FALSE),"NO")</f>
        <v>NO</v>
      </c>
      <c r="K284" s="5" t="str">
        <f>IFERROR(VLOOKUP(Consulta1[[#This Row],[Pozo largo]],Controles!B:H,7,FALSE),"NO")</f>
        <v>NO</v>
      </c>
      <c r="L284" s="5" t="str">
        <f>IFERROR(VLOOKUP(Consulta1[[#This Row],[Pozo largo]],Controles!B:J,9,FALSE),"NO")</f>
        <v>NO</v>
      </c>
    </row>
    <row r="285" spans="2:12" x14ac:dyDescent="0.35">
      <c r="B285" s="4" t="s">
        <v>576</v>
      </c>
      <c r="C285" s="4" t="s">
        <v>6044</v>
      </c>
      <c r="D285" s="4" t="s">
        <v>5</v>
      </c>
      <c r="E285" s="4" t="s">
        <v>30</v>
      </c>
      <c r="F285" s="4" t="s">
        <v>31</v>
      </c>
      <c r="G285" s="4" t="s">
        <v>32</v>
      </c>
      <c r="H285" s="4" t="s">
        <v>80</v>
      </c>
      <c r="I285" s="5" t="str">
        <f>IFERROR(VLOOKUP(Consulta1[[#This Row],[Pozo largo]],'Lista YPF'!$B$3:$C$358,2,FALSE),"NO")</f>
        <v>NO</v>
      </c>
      <c r="J285" s="5" t="str">
        <f>IFERROR(VLOOKUP(Consulta1[[#This Row],[Pozo]],'Lista Oportunidades'!B:C,2,FALSE),"NO")</f>
        <v>NO</v>
      </c>
      <c r="K285" s="5">
        <f>IFERROR(VLOOKUP(Consulta1[[#This Row],[Pozo largo]],Controles!B:H,7,FALSE),"NO")</f>
        <v>9.6000000000000002E-2</v>
      </c>
      <c r="L285" s="5">
        <f>IFERROR(VLOOKUP(Consulta1[[#This Row],[Pozo largo]],Controles!B:J,9,FALSE),"NO")</f>
        <v>0</v>
      </c>
    </row>
    <row r="286" spans="2:12" x14ac:dyDescent="0.35">
      <c r="B286" s="4" t="s">
        <v>578</v>
      </c>
      <c r="C286" s="4" t="s">
        <v>6045</v>
      </c>
      <c r="D286" s="4" t="s">
        <v>5</v>
      </c>
      <c r="E286" s="4" t="s">
        <v>30</v>
      </c>
      <c r="F286" s="4" t="s">
        <v>31</v>
      </c>
      <c r="G286" s="4" t="s">
        <v>32</v>
      </c>
      <c r="H286" s="4" t="s">
        <v>185</v>
      </c>
      <c r="I286" s="5" t="str">
        <f>IFERROR(VLOOKUP(Consulta1[[#This Row],[Pozo largo]],'Lista YPF'!$B$3:$C$358,2,FALSE),"NO")</f>
        <v>NO</v>
      </c>
      <c r="J286" s="5" t="str">
        <f>IFERROR(VLOOKUP(Consulta1[[#This Row],[Pozo]],'Lista Oportunidades'!B:C,2,FALSE),"NO")</f>
        <v>NO</v>
      </c>
      <c r="K286" s="5" t="str">
        <f>IFERROR(VLOOKUP(Consulta1[[#This Row],[Pozo largo]],Controles!B:H,7,FALSE),"NO")</f>
        <v>NO</v>
      </c>
      <c r="L286" s="5" t="str">
        <f>IFERROR(VLOOKUP(Consulta1[[#This Row],[Pozo largo]],Controles!B:J,9,FALSE),"NO")</f>
        <v>NO</v>
      </c>
    </row>
    <row r="287" spans="2:12" x14ac:dyDescent="0.35">
      <c r="B287" s="4" t="s">
        <v>579</v>
      </c>
      <c r="C287" s="4" t="s">
        <v>6046</v>
      </c>
      <c r="D287" s="4" t="s">
        <v>5</v>
      </c>
      <c r="E287" s="4" t="s">
        <v>6</v>
      </c>
      <c r="F287" s="4" t="s">
        <v>7</v>
      </c>
      <c r="G287" s="4" t="s">
        <v>5718</v>
      </c>
      <c r="H287" s="4" t="s">
        <v>86</v>
      </c>
      <c r="I287" s="5" t="str">
        <f>IFERROR(VLOOKUP(Consulta1[[#This Row],[Pozo largo]],'Lista YPF'!$B$3:$C$358,2,FALSE),"NO")</f>
        <v>En lista de Abandono</v>
      </c>
      <c r="J287" s="5" t="str">
        <f>IFERROR(VLOOKUP(Consulta1[[#This Row],[Pozo]],'Lista Oportunidades'!B:C,2,FALSE),"NO")</f>
        <v>NO</v>
      </c>
      <c r="K287" s="5">
        <f>IFERROR(VLOOKUP(Consulta1[[#This Row],[Pozo largo]],Controles!B:H,7,FALSE),"NO")</f>
        <v>0.81</v>
      </c>
      <c r="L287" s="5">
        <f>IFERROR(VLOOKUP(Consulta1[[#This Row],[Pozo largo]],Controles!B:J,9,FALSE),"NO")</f>
        <v>0</v>
      </c>
    </row>
    <row r="288" spans="2:12" x14ac:dyDescent="0.35">
      <c r="B288" s="4" t="s">
        <v>581</v>
      </c>
      <c r="C288" s="4" t="s">
        <v>6047</v>
      </c>
      <c r="D288" s="4" t="s">
        <v>5</v>
      </c>
      <c r="E288" s="4" t="s">
        <v>12</v>
      </c>
      <c r="F288" s="4" t="s">
        <v>25</v>
      </c>
      <c r="G288" s="4" t="s">
        <v>13</v>
      </c>
      <c r="H288" s="4" t="s">
        <v>86</v>
      </c>
      <c r="I288" s="5" t="str">
        <f>IFERROR(VLOOKUP(Consulta1[[#This Row],[Pozo largo]],'Lista YPF'!$B$3:$C$358,2,FALSE),"NO")</f>
        <v>NO</v>
      </c>
      <c r="J288" s="5" t="str">
        <f>IFERROR(VLOOKUP(Consulta1[[#This Row],[Pozo]],'Lista Oportunidades'!B:C,2,FALSE),"NO")</f>
        <v>NO</v>
      </c>
      <c r="K288" s="5">
        <f>IFERROR(VLOOKUP(Consulta1[[#This Row],[Pozo largo]],Controles!B:H,7,FALSE),"NO")</f>
        <v>0.115</v>
      </c>
      <c r="L288" s="5">
        <f>IFERROR(VLOOKUP(Consulta1[[#This Row],[Pozo largo]],Controles!B:J,9,FALSE),"NO")</f>
        <v>0</v>
      </c>
    </row>
    <row r="289" spans="2:12" x14ac:dyDescent="0.35">
      <c r="B289" s="4" t="s">
        <v>583</v>
      </c>
      <c r="C289" s="4" t="s">
        <v>6048</v>
      </c>
      <c r="D289" s="4" t="s">
        <v>5</v>
      </c>
      <c r="E289" s="4" t="s">
        <v>30</v>
      </c>
      <c r="F289" s="4" t="s">
        <v>31</v>
      </c>
      <c r="G289" s="4" t="s">
        <v>32</v>
      </c>
      <c r="H289" s="4" t="s">
        <v>21</v>
      </c>
      <c r="I289" s="5" t="str">
        <f>IFERROR(VLOOKUP(Consulta1[[#This Row],[Pozo largo]],'Lista YPF'!$B$3:$C$358,2,FALSE),"NO")</f>
        <v>NO</v>
      </c>
      <c r="J289" s="5" t="str">
        <f>IFERROR(VLOOKUP(Consulta1[[#This Row],[Pozo]],'Lista Oportunidades'!B:C,2,FALSE),"NO")</f>
        <v>NO</v>
      </c>
      <c r="K289" s="5" t="str">
        <f>IFERROR(VLOOKUP(Consulta1[[#This Row],[Pozo largo]],Controles!B:H,7,FALSE),"NO")</f>
        <v>NO</v>
      </c>
      <c r="L289" s="5" t="str">
        <f>IFERROR(VLOOKUP(Consulta1[[#This Row],[Pozo largo]],Controles!B:J,9,FALSE),"NO")</f>
        <v>NO</v>
      </c>
    </row>
    <row r="290" spans="2:12" x14ac:dyDescent="0.35">
      <c r="B290" s="4" t="s">
        <v>584</v>
      </c>
      <c r="C290" s="4" t="s">
        <v>6049</v>
      </c>
      <c r="D290" s="4" t="s">
        <v>5</v>
      </c>
      <c r="E290" s="4" t="s">
        <v>12</v>
      </c>
      <c r="F290" s="4" t="s">
        <v>7</v>
      </c>
      <c r="G290" s="4" t="s">
        <v>13</v>
      </c>
      <c r="H290" s="4" t="s">
        <v>185</v>
      </c>
      <c r="I290" s="5" t="str">
        <f>IFERROR(VLOOKUP(Consulta1[[#This Row],[Pozo largo]],'Lista YPF'!$B$3:$C$358,2,FALSE),"NO")</f>
        <v>NO</v>
      </c>
      <c r="J290" s="5" t="str">
        <f>IFERROR(VLOOKUP(Consulta1[[#This Row],[Pozo]],'Lista Oportunidades'!B:C,2,FALSE),"NO")</f>
        <v>NO</v>
      </c>
      <c r="K290" s="5">
        <f>IFERROR(VLOOKUP(Consulta1[[#This Row],[Pozo largo]],Controles!B:H,7,FALSE),"NO")</f>
        <v>1.512</v>
      </c>
      <c r="L290" s="5">
        <f>IFERROR(VLOOKUP(Consulta1[[#This Row],[Pozo largo]],Controles!B:J,9,FALSE),"NO")</f>
        <v>0</v>
      </c>
    </row>
    <row r="291" spans="2:12" x14ac:dyDescent="0.35">
      <c r="B291" s="4" t="s">
        <v>586</v>
      </c>
      <c r="C291" s="4" t="s">
        <v>6050</v>
      </c>
      <c r="D291" s="4" t="s">
        <v>5</v>
      </c>
      <c r="E291" s="4" t="s">
        <v>12</v>
      </c>
      <c r="F291" s="4" t="s">
        <v>7</v>
      </c>
      <c r="G291" s="4" t="s">
        <v>13</v>
      </c>
      <c r="H291" s="4" t="s">
        <v>86</v>
      </c>
      <c r="I291" s="5" t="str">
        <f>IFERROR(VLOOKUP(Consulta1[[#This Row],[Pozo largo]],'Lista YPF'!$B$3:$C$358,2,FALSE),"NO")</f>
        <v>NO</v>
      </c>
      <c r="J291" s="5" t="str">
        <f>IFERROR(VLOOKUP(Consulta1[[#This Row],[Pozo]],'Lista Oportunidades'!B:C,2,FALSE),"NO")</f>
        <v>NO</v>
      </c>
      <c r="K291" s="5">
        <f>IFERROR(VLOOKUP(Consulta1[[#This Row],[Pozo largo]],Controles!B:H,7,FALSE),"NO")</f>
        <v>1.32</v>
      </c>
      <c r="L291" s="5">
        <f>IFERROR(VLOOKUP(Consulta1[[#This Row],[Pozo largo]],Controles!B:J,9,FALSE),"NO")</f>
        <v>0</v>
      </c>
    </row>
    <row r="292" spans="2:12" x14ac:dyDescent="0.35">
      <c r="B292" s="4" t="s">
        <v>588</v>
      </c>
      <c r="C292" s="4" t="s">
        <v>6051</v>
      </c>
      <c r="D292" s="4" t="s">
        <v>5</v>
      </c>
      <c r="E292" s="4" t="s">
        <v>12</v>
      </c>
      <c r="F292" s="4" t="s">
        <v>25</v>
      </c>
      <c r="G292" s="4" t="s">
        <v>13</v>
      </c>
      <c r="H292" s="4" t="s">
        <v>86</v>
      </c>
      <c r="I292" s="5" t="str">
        <f>IFERROR(VLOOKUP(Consulta1[[#This Row],[Pozo largo]],'Lista YPF'!$B$3:$C$358,2,FALSE),"NO")</f>
        <v>NO</v>
      </c>
      <c r="J292" s="5" t="str">
        <f>IFERROR(VLOOKUP(Consulta1[[#This Row],[Pozo]],'Lista Oportunidades'!B:C,2,FALSE),"NO")</f>
        <v>NO</v>
      </c>
      <c r="K292" s="5">
        <f>IFERROR(VLOOKUP(Consulta1[[#This Row],[Pozo largo]],Controles!B:H,7,FALSE),"NO")</f>
        <v>0.10400000000000001</v>
      </c>
      <c r="L292" s="5">
        <f>IFERROR(VLOOKUP(Consulta1[[#This Row],[Pozo largo]],Controles!B:J,9,FALSE),"NO")</f>
        <v>0</v>
      </c>
    </row>
    <row r="293" spans="2:12" x14ac:dyDescent="0.35">
      <c r="B293" s="4" t="s">
        <v>590</v>
      </c>
      <c r="C293" s="4" t="s">
        <v>6052</v>
      </c>
      <c r="D293" s="4" t="s">
        <v>5</v>
      </c>
      <c r="E293" s="4" t="s">
        <v>12</v>
      </c>
      <c r="F293" s="4" t="s">
        <v>7</v>
      </c>
      <c r="G293" s="4" t="s">
        <v>13</v>
      </c>
      <c r="H293" s="4" t="s">
        <v>185</v>
      </c>
      <c r="I293" s="5" t="str">
        <f>IFERROR(VLOOKUP(Consulta1[[#This Row],[Pozo largo]],'Lista YPF'!$B$3:$C$358,2,FALSE),"NO")</f>
        <v>NO</v>
      </c>
      <c r="J293" s="5" t="str">
        <f>IFERROR(VLOOKUP(Consulta1[[#This Row],[Pozo]],'Lista Oportunidades'!B:C,2,FALSE),"NO")</f>
        <v>NO</v>
      </c>
      <c r="K293" s="5">
        <f>IFERROR(VLOOKUP(Consulta1[[#This Row],[Pozo largo]],Controles!B:H,7,FALSE),"NO")</f>
        <v>2.1</v>
      </c>
      <c r="L293" s="5">
        <f>IFERROR(VLOOKUP(Consulta1[[#This Row],[Pozo largo]],Controles!B:J,9,FALSE),"NO")</f>
        <v>0</v>
      </c>
    </row>
    <row r="294" spans="2:12" x14ac:dyDescent="0.35">
      <c r="B294" s="4" t="s">
        <v>592</v>
      </c>
      <c r="C294" s="4" t="s">
        <v>6053</v>
      </c>
      <c r="D294" s="4" t="s">
        <v>5</v>
      </c>
      <c r="E294" s="4" t="s">
        <v>57</v>
      </c>
      <c r="F294" s="4" t="s">
        <v>7</v>
      </c>
      <c r="G294" s="4" t="s">
        <v>5718</v>
      </c>
      <c r="H294" s="4" t="s">
        <v>185</v>
      </c>
      <c r="I294" s="5" t="str">
        <f>IFERROR(VLOOKUP(Consulta1[[#This Row],[Pozo largo]],'Lista YPF'!$B$3:$C$358,2,FALSE),"NO")</f>
        <v>En lista de Abandono</v>
      </c>
      <c r="J294" s="5" t="str">
        <f>IFERROR(VLOOKUP(Consulta1[[#This Row],[Pozo]],'Lista Oportunidades'!B:C,2,FALSE),"NO")</f>
        <v>NO</v>
      </c>
      <c r="K294" s="5">
        <f>IFERROR(VLOOKUP(Consulta1[[#This Row],[Pozo largo]],Controles!B:H,7,FALSE),"NO")</f>
        <v>0.23</v>
      </c>
      <c r="L294" s="5">
        <f>IFERROR(VLOOKUP(Consulta1[[#This Row],[Pozo largo]],Controles!B:J,9,FALSE),"NO")</f>
        <v>0</v>
      </c>
    </row>
    <row r="295" spans="2:12" x14ac:dyDescent="0.35">
      <c r="B295" s="4" t="s">
        <v>594</v>
      </c>
      <c r="C295" s="4" t="s">
        <v>5734</v>
      </c>
      <c r="D295" s="4" t="s">
        <v>5</v>
      </c>
      <c r="E295" s="4" t="s">
        <v>6</v>
      </c>
      <c r="F295" s="4" t="s">
        <v>28</v>
      </c>
      <c r="G295" s="4" t="s">
        <v>8689</v>
      </c>
      <c r="H295" s="4" t="s">
        <v>86</v>
      </c>
      <c r="I295" s="5" t="str">
        <f>IFERROR(VLOOKUP(Consulta1[[#This Row],[Pozo largo]],'Lista YPF'!$B$3:$C$358,2,FALSE),"NO")</f>
        <v>NO</v>
      </c>
      <c r="J295" s="5" t="str">
        <f>IFERROR(VLOOKUP(Consulta1[[#This Row],[Pozo]],'Lista Oportunidades'!B:C,2,FALSE),"NO")</f>
        <v>Oportunidad</v>
      </c>
      <c r="K295" s="5">
        <f>IFERROR(VLOOKUP(Consulta1[[#This Row],[Pozo largo]],Controles!B:H,7,FALSE),"NO")</f>
        <v>0</v>
      </c>
      <c r="L295" s="5">
        <f>IFERROR(VLOOKUP(Consulta1[[#This Row],[Pozo largo]],Controles!B:J,9,FALSE),"NO")</f>
        <v>0</v>
      </c>
    </row>
    <row r="296" spans="2:12" x14ac:dyDescent="0.35">
      <c r="B296" s="4" t="s">
        <v>596</v>
      </c>
      <c r="C296" s="4" t="s">
        <v>6054</v>
      </c>
      <c r="D296" s="4" t="s">
        <v>5</v>
      </c>
      <c r="E296" s="4" t="s">
        <v>6</v>
      </c>
      <c r="F296" s="4" t="s">
        <v>7</v>
      </c>
      <c r="G296" s="4" t="s">
        <v>5718</v>
      </c>
      <c r="H296" s="4" t="s">
        <v>9</v>
      </c>
      <c r="I296" s="5" t="str">
        <f>IFERROR(VLOOKUP(Consulta1[[#This Row],[Pozo largo]],'Lista YPF'!$B$3:$C$358,2,FALSE),"NO")</f>
        <v>En lista de Abandono</v>
      </c>
      <c r="J296" s="5" t="str">
        <f>IFERROR(VLOOKUP(Consulta1[[#This Row],[Pozo]],'Lista Oportunidades'!B:C,2,FALSE),"NO")</f>
        <v>NO</v>
      </c>
      <c r="K296" s="5">
        <f>IFERROR(VLOOKUP(Consulta1[[#This Row],[Pozo largo]],Controles!B:H,7,FALSE),"NO")</f>
        <v>0.28000000000000003</v>
      </c>
      <c r="L296" s="5">
        <f>IFERROR(VLOOKUP(Consulta1[[#This Row],[Pozo largo]],Controles!B:J,9,FALSE),"NO")</f>
        <v>0</v>
      </c>
    </row>
    <row r="297" spans="2:12" x14ac:dyDescent="0.35">
      <c r="B297" s="4" t="s">
        <v>598</v>
      </c>
      <c r="C297" s="4" t="s">
        <v>6055</v>
      </c>
      <c r="D297" s="4" t="s">
        <v>5</v>
      </c>
      <c r="E297" s="4" t="s">
        <v>12</v>
      </c>
      <c r="F297" s="4" t="s">
        <v>7</v>
      </c>
      <c r="G297" s="4" t="s">
        <v>13</v>
      </c>
      <c r="H297" s="4" t="s">
        <v>185</v>
      </c>
      <c r="I297" s="5" t="str">
        <f>IFERROR(VLOOKUP(Consulta1[[#This Row],[Pozo largo]],'Lista YPF'!$B$3:$C$358,2,FALSE),"NO")</f>
        <v>NO</v>
      </c>
      <c r="J297" s="5" t="str">
        <f>IFERROR(VLOOKUP(Consulta1[[#This Row],[Pozo]],'Lista Oportunidades'!B:C,2,FALSE),"NO")</f>
        <v>NO</v>
      </c>
      <c r="K297" s="5">
        <f>IFERROR(VLOOKUP(Consulta1[[#This Row],[Pozo largo]],Controles!B:H,7,FALSE),"NO")</f>
        <v>2.6870000000000003</v>
      </c>
      <c r="L297" s="5">
        <f>IFERROR(VLOOKUP(Consulta1[[#This Row],[Pozo largo]],Controles!B:J,9,FALSE),"NO")</f>
        <v>0</v>
      </c>
    </row>
    <row r="298" spans="2:12" x14ac:dyDescent="0.35">
      <c r="B298" s="4" t="s">
        <v>600</v>
      </c>
      <c r="C298" s="4" t="s">
        <v>6056</v>
      </c>
      <c r="D298" s="4" t="s">
        <v>5</v>
      </c>
      <c r="E298" s="4" t="s">
        <v>12</v>
      </c>
      <c r="F298" s="4" t="s">
        <v>7</v>
      </c>
      <c r="G298" s="4" t="s">
        <v>13</v>
      </c>
      <c r="H298" s="4" t="s">
        <v>9</v>
      </c>
      <c r="I298" s="5" t="str">
        <f>IFERROR(VLOOKUP(Consulta1[[#This Row],[Pozo largo]],'Lista YPF'!$B$3:$C$358,2,FALSE),"NO")</f>
        <v>NO</v>
      </c>
      <c r="J298" s="5" t="str">
        <f>IFERROR(VLOOKUP(Consulta1[[#This Row],[Pozo]],'Lista Oportunidades'!B:C,2,FALSE),"NO")</f>
        <v>NO</v>
      </c>
      <c r="K298" s="5">
        <f>IFERROR(VLOOKUP(Consulta1[[#This Row],[Pozo largo]],Controles!B:H,7,FALSE),"NO")</f>
        <v>0.96</v>
      </c>
      <c r="L298" s="5">
        <f>IFERROR(VLOOKUP(Consulta1[[#This Row],[Pozo largo]],Controles!B:J,9,FALSE),"NO")</f>
        <v>0</v>
      </c>
    </row>
    <row r="299" spans="2:12" x14ac:dyDescent="0.35">
      <c r="B299" s="4" t="s">
        <v>602</v>
      </c>
      <c r="C299" s="4" t="s">
        <v>6057</v>
      </c>
      <c r="D299" s="4" t="s">
        <v>5</v>
      </c>
      <c r="E299" s="4" t="s">
        <v>12</v>
      </c>
      <c r="F299" s="4" t="s">
        <v>238</v>
      </c>
      <c r="G299" s="4" t="s">
        <v>13</v>
      </c>
      <c r="H299" s="4" t="s">
        <v>21</v>
      </c>
      <c r="I299" s="5" t="str">
        <f>IFERROR(VLOOKUP(Consulta1[[#This Row],[Pozo largo]],'Lista YPF'!$B$3:$C$358,2,FALSE),"NO")</f>
        <v>NO</v>
      </c>
      <c r="J299" s="5" t="str">
        <f>IFERROR(VLOOKUP(Consulta1[[#This Row],[Pozo]],'Lista Oportunidades'!B:C,2,FALSE),"NO")</f>
        <v>NO</v>
      </c>
      <c r="K299" s="5">
        <f>IFERROR(VLOOKUP(Consulta1[[#This Row],[Pozo largo]],Controles!B:H,7,FALSE),"NO")</f>
        <v>1.6960000000000002</v>
      </c>
      <c r="L299" s="5">
        <f>IFERROR(VLOOKUP(Consulta1[[#This Row],[Pozo largo]],Controles!B:J,9,FALSE),"NO")</f>
        <v>0</v>
      </c>
    </row>
    <row r="300" spans="2:12" x14ac:dyDescent="0.35">
      <c r="B300" s="4" t="s">
        <v>604</v>
      </c>
      <c r="C300" s="4" t="s">
        <v>6058</v>
      </c>
      <c r="D300" s="4" t="s">
        <v>5</v>
      </c>
      <c r="E300" s="4" t="s">
        <v>12</v>
      </c>
      <c r="F300" s="4" t="s">
        <v>7</v>
      </c>
      <c r="G300" s="4" t="s">
        <v>13</v>
      </c>
      <c r="H300" s="4" t="s">
        <v>86</v>
      </c>
      <c r="I300" s="5" t="str">
        <f>IFERROR(VLOOKUP(Consulta1[[#This Row],[Pozo largo]],'Lista YPF'!$B$3:$C$358,2,FALSE),"NO")</f>
        <v>NO</v>
      </c>
      <c r="J300" s="5" t="str">
        <f>IFERROR(VLOOKUP(Consulta1[[#This Row],[Pozo]],'Lista Oportunidades'!B:C,2,FALSE),"NO")</f>
        <v>NO</v>
      </c>
      <c r="K300" s="5">
        <f>IFERROR(VLOOKUP(Consulta1[[#This Row],[Pozo largo]],Controles!B:H,7,FALSE),"NO")</f>
        <v>1.1680000000000001</v>
      </c>
      <c r="L300" s="5">
        <f>IFERROR(VLOOKUP(Consulta1[[#This Row],[Pozo largo]],Controles!B:J,9,FALSE),"NO")</f>
        <v>0</v>
      </c>
    </row>
    <row r="301" spans="2:12" x14ac:dyDescent="0.35">
      <c r="B301" s="4" t="s">
        <v>606</v>
      </c>
      <c r="C301" s="4" t="s">
        <v>6059</v>
      </c>
      <c r="D301" s="4" t="s">
        <v>5</v>
      </c>
      <c r="E301" s="4" t="s">
        <v>12</v>
      </c>
      <c r="F301" s="4" t="s">
        <v>7</v>
      </c>
      <c r="G301" s="4" t="s">
        <v>13</v>
      </c>
      <c r="H301" s="4" t="s">
        <v>185</v>
      </c>
      <c r="I301" s="5" t="str">
        <f>IFERROR(VLOOKUP(Consulta1[[#This Row],[Pozo largo]],'Lista YPF'!$B$3:$C$358,2,FALSE),"NO")</f>
        <v>NO</v>
      </c>
      <c r="J301" s="5" t="str">
        <f>IFERROR(VLOOKUP(Consulta1[[#This Row],[Pozo]],'Lista Oportunidades'!B:C,2,FALSE),"NO")</f>
        <v>NO</v>
      </c>
      <c r="K301" s="5">
        <f>IFERROR(VLOOKUP(Consulta1[[#This Row],[Pozo largo]],Controles!B:H,7,FALSE),"NO")</f>
        <v>1.8900000000000001</v>
      </c>
      <c r="L301" s="5">
        <f>IFERROR(VLOOKUP(Consulta1[[#This Row],[Pozo largo]],Controles!B:J,9,FALSE),"NO")</f>
        <v>0</v>
      </c>
    </row>
    <row r="302" spans="2:12" x14ac:dyDescent="0.35">
      <c r="B302" s="4" t="s">
        <v>608</v>
      </c>
      <c r="C302" s="4" t="s">
        <v>6060</v>
      </c>
      <c r="D302" s="4" t="s">
        <v>5</v>
      </c>
      <c r="E302" s="4" t="s">
        <v>6</v>
      </c>
      <c r="F302" s="4" t="s">
        <v>7</v>
      </c>
      <c r="G302" s="4" t="s">
        <v>5718</v>
      </c>
      <c r="H302" s="4" t="s">
        <v>185</v>
      </c>
      <c r="I302" s="5" t="str">
        <f>IFERROR(VLOOKUP(Consulta1[[#This Row],[Pozo largo]],'Lista YPF'!$B$3:$C$358,2,FALSE),"NO")</f>
        <v>En lista de Abandono</v>
      </c>
      <c r="J302" s="5" t="str">
        <f>IFERROR(VLOOKUP(Consulta1[[#This Row],[Pozo]],'Lista Oportunidades'!B:C,2,FALSE),"NO")</f>
        <v>NO</v>
      </c>
      <c r="K302" s="5">
        <f>IFERROR(VLOOKUP(Consulta1[[#This Row],[Pozo largo]],Controles!B:H,7,FALSE),"NO")</f>
        <v>0.96600000000000008</v>
      </c>
      <c r="L302" s="5">
        <f>IFERROR(VLOOKUP(Consulta1[[#This Row],[Pozo largo]],Controles!B:J,9,FALSE),"NO")</f>
        <v>0</v>
      </c>
    </row>
    <row r="303" spans="2:12" x14ac:dyDescent="0.35">
      <c r="B303" s="4" t="s">
        <v>610</v>
      </c>
      <c r="C303" s="4" t="s">
        <v>6061</v>
      </c>
      <c r="D303" s="4" t="s">
        <v>5</v>
      </c>
      <c r="E303" s="4" t="s">
        <v>12</v>
      </c>
      <c r="F303" s="4" t="s">
        <v>7</v>
      </c>
      <c r="G303" s="4" t="s">
        <v>13</v>
      </c>
      <c r="H303" s="4" t="s">
        <v>9</v>
      </c>
      <c r="I303" s="5" t="str">
        <f>IFERROR(VLOOKUP(Consulta1[[#This Row],[Pozo largo]],'Lista YPF'!$B$3:$C$358,2,FALSE),"NO")</f>
        <v>NO</v>
      </c>
      <c r="J303" s="5" t="str">
        <f>IFERROR(VLOOKUP(Consulta1[[#This Row],[Pozo]],'Lista Oportunidades'!B:C,2,FALSE),"NO")</f>
        <v>NO</v>
      </c>
      <c r="K303" s="5">
        <f>IFERROR(VLOOKUP(Consulta1[[#This Row],[Pozo largo]],Controles!B:H,7,FALSE),"NO")</f>
        <v>2.85</v>
      </c>
      <c r="L303" s="5">
        <f>IFERROR(VLOOKUP(Consulta1[[#This Row],[Pozo largo]],Controles!B:J,9,FALSE),"NO")</f>
        <v>0</v>
      </c>
    </row>
    <row r="304" spans="2:12" x14ac:dyDescent="0.35">
      <c r="B304" s="4" t="s">
        <v>612</v>
      </c>
      <c r="C304" s="4" t="s">
        <v>613</v>
      </c>
      <c r="D304" s="4" t="s">
        <v>5</v>
      </c>
      <c r="E304" s="4" t="s">
        <v>12</v>
      </c>
      <c r="F304" s="4" t="s">
        <v>7</v>
      </c>
      <c r="G304" s="4" t="s">
        <v>13</v>
      </c>
      <c r="H304" s="4" t="s">
        <v>91</v>
      </c>
      <c r="I304" s="5" t="str">
        <f>IFERROR(VLOOKUP(Consulta1[[#This Row],[Pozo largo]],'Lista YPF'!$B$3:$C$358,2,FALSE),"NO")</f>
        <v>NO</v>
      </c>
      <c r="J304" s="5" t="str">
        <f>IFERROR(VLOOKUP(Consulta1[[#This Row],[Pozo]],'Lista Oportunidades'!B:C,2,FALSE),"NO")</f>
        <v>NO</v>
      </c>
      <c r="K304" s="5">
        <f>IFERROR(VLOOKUP(Consulta1[[#This Row],[Pozo largo]],Controles!B:H,7,FALSE),"NO")</f>
        <v>0.8</v>
      </c>
      <c r="L304" s="5">
        <f>IFERROR(VLOOKUP(Consulta1[[#This Row],[Pozo largo]],Controles!B:J,9,FALSE),"NO")</f>
        <v>0</v>
      </c>
    </row>
    <row r="305" spans="2:12" x14ac:dyDescent="0.35">
      <c r="B305" s="4" t="s">
        <v>614</v>
      </c>
      <c r="C305" s="4" t="s">
        <v>6062</v>
      </c>
      <c r="D305" s="4" t="s">
        <v>5</v>
      </c>
      <c r="E305" s="4" t="s">
        <v>12</v>
      </c>
      <c r="F305" s="4" t="s">
        <v>7</v>
      </c>
      <c r="G305" s="4" t="s">
        <v>13</v>
      </c>
      <c r="H305" s="4" t="s">
        <v>9</v>
      </c>
      <c r="I305" s="5" t="str">
        <f>IFERROR(VLOOKUP(Consulta1[[#This Row],[Pozo largo]],'Lista YPF'!$B$3:$C$358,2,FALSE),"NO")</f>
        <v>NO</v>
      </c>
      <c r="J305" s="5" t="str">
        <f>IFERROR(VLOOKUP(Consulta1[[#This Row],[Pozo]],'Lista Oportunidades'!B:C,2,FALSE),"NO")</f>
        <v>NO</v>
      </c>
      <c r="K305" s="5">
        <f>IFERROR(VLOOKUP(Consulta1[[#This Row],[Pozo largo]],Controles!B:H,7,FALSE),"NO")</f>
        <v>7.7</v>
      </c>
      <c r="L305" s="5">
        <f>IFERROR(VLOOKUP(Consulta1[[#This Row],[Pozo largo]],Controles!B:J,9,FALSE),"NO")</f>
        <v>0</v>
      </c>
    </row>
    <row r="306" spans="2:12" x14ac:dyDescent="0.35">
      <c r="B306" s="4" t="s">
        <v>616</v>
      </c>
      <c r="C306" s="4" t="s">
        <v>6063</v>
      </c>
      <c r="D306" s="4" t="s">
        <v>5</v>
      </c>
      <c r="E306" s="4" t="s">
        <v>12</v>
      </c>
      <c r="F306" s="4" t="s">
        <v>28</v>
      </c>
      <c r="G306" s="4" t="s">
        <v>13</v>
      </c>
      <c r="H306" s="4" t="s">
        <v>16</v>
      </c>
      <c r="I306" s="5" t="str">
        <f>IFERROR(VLOOKUP(Consulta1[[#This Row],[Pozo largo]],'Lista YPF'!$B$3:$C$358,2,FALSE),"NO")</f>
        <v>NO</v>
      </c>
      <c r="J306" s="5" t="str">
        <f>IFERROR(VLOOKUP(Consulta1[[#This Row],[Pozo]],'Lista Oportunidades'!B:C,2,FALSE),"NO")</f>
        <v>NO</v>
      </c>
      <c r="K306" s="5">
        <f>IFERROR(VLOOKUP(Consulta1[[#This Row],[Pozo largo]],Controles!B:H,7,FALSE),"NO")</f>
        <v>0</v>
      </c>
      <c r="L306" s="5">
        <f>IFERROR(VLOOKUP(Consulta1[[#This Row],[Pozo largo]],Controles!B:J,9,FALSE),"NO")</f>
        <v>0</v>
      </c>
    </row>
    <row r="307" spans="2:12" x14ac:dyDescent="0.35">
      <c r="B307" s="4" t="s">
        <v>618</v>
      </c>
      <c r="C307" s="4" t="s">
        <v>6064</v>
      </c>
      <c r="D307" s="4" t="s">
        <v>5</v>
      </c>
      <c r="E307" s="4" t="s">
        <v>12</v>
      </c>
      <c r="F307" s="4" t="s">
        <v>7</v>
      </c>
      <c r="G307" s="4" t="s">
        <v>13</v>
      </c>
      <c r="H307" s="4" t="s">
        <v>74</v>
      </c>
      <c r="I307" s="5" t="str">
        <f>IFERROR(VLOOKUP(Consulta1[[#This Row],[Pozo largo]],'Lista YPF'!$B$3:$C$358,2,FALSE),"NO")</f>
        <v>NO</v>
      </c>
      <c r="J307" s="5" t="str">
        <f>IFERROR(VLOOKUP(Consulta1[[#This Row],[Pozo]],'Lista Oportunidades'!B:C,2,FALSE),"NO")</f>
        <v>NO</v>
      </c>
      <c r="K307" s="5">
        <f>IFERROR(VLOOKUP(Consulta1[[#This Row],[Pozo largo]],Controles!B:H,7,FALSE),"NO")</f>
        <v>1.68</v>
      </c>
      <c r="L307" s="5">
        <f>IFERROR(VLOOKUP(Consulta1[[#This Row],[Pozo largo]],Controles!B:J,9,FALSE),"NO")</f>
        <v>0</v>
      </c>
    </row>
    <row r="308" spans="2:12" x14ac:dyDescent="0.35">
      <c r="B308" s="4" t="s">
        <v>620</v>
      </c>
      <c r="C308" s="4" t="s">
        <v>6065</v>
      </c>
      <c r="D308" s="4" t="s">
        <v>5</v>
      </c>
      <c r="E308" s="4" t="s">
        <v>6</v>
      </c>
      <c r="F308" s="4" t="s">
        <v>31</v>
      </c>
      <c r="G308" s="4" t="s">
        <v>11386</v>
      </c>
      <c r="H308" s="4" t="s">
        <v>149</v>
      </c>
      <c r="I308" s="5" t="str">
        <f>IFERROR(VLOOKUP(Consulta1[[#This Row],[Pozo largo]],'Lista YPF'!$B$3:$C$358,2,FALSE),"NO")</f>
        <v>NO</v>
      </c>
      <c r="J308" s="5" t="str">
        <f>IFERROR(VLOOKUP(Consulta1[[#This Row],[Pozo]],'Lista Oportunidades'!B:C,2,FALSE),"NO")</f>
        <v>NO</v>
      </c>
      <c r="K308" s="5">
        <f>IFERROR(VLOOKUP(Consulta1[[#This Row],[Pozo largo]],Controles!B:H,7,FALSE),"NO")</f>
        <v>0.45</v>
      </c>
      <c r="L308" s="5" t="str">
        <f>IFERROR(VLOOKUP(Consulta1[[#This Row],[Pozo largo]],Controles!B:J,9,FALSE),"NO")</f>
        <v>Ultimos 6 meses</v>
      </c>
    </row>
    <row r="309" spans="2:12" x14ac:dyDescent="0.35">
      <c r="B309" s="4" t="s">
        <v>622</v>
      </c>
      <c r="C309" s="4" t="s">
        <v>6066</v>
      </c>
      <c r="D309" s="4" t="s">
        <v>5</v>
      </c>
      <c r="E309" s="4" t="s">
        <v>12</v>
      </c>
      <c r="F309" s="4" t="s">
        <v>7</v>
      </c>
      <c r="G309" s="4" t="s">
        <v>13</v>
      </c>
      <c r="H309" s="4" t="s">
        <v>21</v>
      </c>
      <c r="I309" s="5" t="str">
        <f>IFERROR(VLOOKUP(Consulta1[[#This Row],[Pozo largo]],'Lista YPF'!$B$3:$C$358,2,FALSE),"NO")</f>
        <v>NO</v>
      </c>
      <c r="J309" s="5" t="str">
        <f>IFERROR(VLOOKUP(Consulta1[[#This Row],[Pozo]],'Lista Oportunidades'!B:C,2,FALSE),"NO")</f>
        <v>Oportunidad</v>
      </c>
      <c r="K309" s="5">
        <f>IFERROR(VLOOKUP(Consulta1[[#This Row],[Pozo largo]],Controles!B:H,7,FALSE),"NO")</f>
        <v>0.14000000000000001</v>
      </c>
      <c r="L309" s="5">
        <f>IFERROR(VLOOKUP(Consulta1[[#This Row],[Pozo largo]],Controles!B:J,9,FALSE),"NO")</f>
        <v>0</v>
      </c>
    </row>
    <row r="310" spans="2:12" x14ac:dyDescent="0.35">
      <c r="B310" s="4" t="s">
        <v>624</v>
      </c>
      <c r="C310" s="4" t="s">
        <v>6067</v>
      </c>
      <c r="D310" s="4" t="s">
        <v>5</v>
      </c>
      <c r="E310" s="4" t="s">
        <v>12</v>
      </c>
      <c r="F310" s="4" t="s">
        <v>7</v>
      </c>
      <c r="G310" s="4" t="s">
        <v>13</v>
      </c>
      <c r="H310" s="4" t="s">
        <v>254</v>
      </c>
      <c r="I310" s="5" t="str">
        <f>IFERROR(VLOOKUP(Consulta1[[#This Row],[Pozo largo]],'Lista YPF'!$B$3:$C$358,2,FALSE),"NO")</f>
        <v>NO</v>
      </c>
      <c r="J310" s="5" t="str">
        <f>IFERROR(VLOOKUP(Consulta1[[#This Row],[Pozo]],'Lista Oportunidades'!B:C,2,FALSE),"NO")</f>
        <v>NO</v>
      </c>
      <c r="K310" s="5">
        <f>IFERROR(VLOOKUP(Consulta1[[#This Row],[Pozo largo]],Controles!B:H,7,FALSE),"NO")</f>
        <v>1.0110000000000001</v>
      </c>
      <c r="L310" s="5">
        <f>IFERROR(VLOOKUP(Consulta1[[#This Row],[Pozo largo]],Controles!B:J,9,FALSE),"NO")</f>
        <v>0</v>
      </c>
    </row>
    <row r="311" spans="2:12" x14ac:dyDescent="0.35">
      <c r="B311" s="4" t="s">
        <v>626</v>
      </c>
      <c r="C311" s="4" t="s">
        <v>6068</v>
      </c>
      <c r="D311" s="4" t="s">
        <v>5</v>
      </c>
      <c r="E311" s="4" t="s">
        <v>12</v>
      </c>
      <c r="F311" s="4" t="s">
        <v>7</v>
      </c>
      <c r="G311" s="4" t="s">
        <v>13</v>
      </c>
      <c r="H311" s="4" t="s">
        <v>80</v>
      </c>
      <c r="I311" s="5" t="str">
        <f>IFERROR(VLOOKUP(Consulta1[[#This Row],[Pozo largo]],'Lista YPF'!$B$3:$C$358,2,FALSE),"NO")</f>
        <v>NO</v>
      </c>
      <c r="J311" s="5" t="str">
        <f>IFERROR(VLOOKUP(Consulta1[[#This Row],[Pozo]],'Lista Oportunidades'!B:C,2,FALSE),"NO")</f>
        <v>NO</v>
      </c>
      <c r="K311" s="5">
        <f>IFERROR(VLOOKUP(Consulta1[[#This Row],[Pozo largo]],Controles!B:H,7,FALSE),"NO")</f>
        <v>0.63</v>
      </c>
      <c r="L311" s="5">
        <f>IFERROR(VLOOKUP(Consulta1[[#This Row],[Pozo largo]],Controles!B:J,9,FALSE),"NO")</f>
        <v>0</v>
      </c>
    </row>
    <row r="312" spans="2:12" x14ac:dyDescent="0.35">
      <c r="B312" s="4" t="s">
        <v>628</v>
      </c>
      <c r="C312" s="4" t="s">
        <v>6069</v>
      </c>
      <c r="D312" s="4" t="s">
        <v>5</v>
      </c>
      <c r="E312" s="4" t="s">
        <v>12</v>
      </c>
      <c r="F312" s="4" t="s">
        <v>7</v>
      </c>
      <c r="G312" s="4" t="s">
        <v>13</v>
      </c>
      <c r="H312" s="4" t="s">
        <v>9</v>
      </c>
      <c r="I312" s="5" t="str">
        <f>IFERROR(VLOOKUP(Consulta1[[#This Row],[Pozo largo]],'Lista YPF'!$B$3:$C$358,2,FALSE),"NO")</f>
        <v>NO</v>
      </c>
      <c r="J312" s="5" t="str">
        <f>IFERROR(VLOOKUP(Consulta1[[#This Row],[Pozo]],'Lista Oportunidades'!B:C,2,FALSE),"NO")</f>
        <v>NO</v>
      </c>
      <c r="K312" s="5">
        <f>IFERROR(VLOOKUP(Consulta1[[#This Row],[Pozo largo]],Controles!B:H,7,FALSE),"NO")</f>
        <v>2.56</v>
      </c>
      <c r="L312" s="5">
        <f>IFERROR(VLOOKUP(Consulta1[[#This Row],[Pozo largo]],Controles!B:J,9,FALSE),"NO")</f>
        <v>0</v>
      </c>
    </row>
    <row r="313" spans="2:12" x14ac:dyDescent="0.35">
      <c r="B313" s="4" t="s">
        <v>630</v>
      </c>
      <c r="C313" s="4" t="s">
        <v>6070</v>
      </c>
      <c r="D313" s="4" t="s">
        <v>5</v>
      </c>
      <c r="E313" s="4" t="s">
        <v>12</v>
      </c>
      <c r="F313" s="4" t="s">
        <v>7</v>
      </c>
      <c r="G313" s="4" t="s">
        <v>13</v>
      </c>
      <c r="H313" s="4" t="s">
        <v>71</v>
      </c>
      <c r="I313" s="5" t="str">
        <f>IFERROR(VLOOKUP(Consulta1[[#This Row],[Pozo largo]],'Lista YPF'!$B$3:$C$358,2,FALSE),"NO")</f>
        <v>NO</v>
      </c>
      <c r="J313" s="5" t="str">
        <f>IFERROR(VLOOKUP(Consulta1[[#This Row],[Pozo]],'Lista Oportunidades'!B:C,2,FALSE),"NO")</f>
        <v>NO</v>
      </c>
      <c r="K313" s="5">
        <f>IFERROR(VLOOKUP(Consulta1[[#This Row],[Pozo largo]],Controles!B:H,7,FALSE),"NO")</f>
        <v>0.8</v>
      </c>
      <c r="L313" s="5">
        <f>IFERROR(VLOOKUP(Consulta1[[#This Row],[Pozo largo]],Controles!B:J,9,FALSE),"NO")</f>
        <v>0</v>
      </c>
    </row>
    <row r="314" spans="2:12" x14ac:dyDescent="0.35">
      <c r="B314" s="4" t="s">
        <v>632</v>
      </c>
      <c r="C314" s="4" t="s">
        <v>6071</v>
      </c>
      <c r="D314" s="4" t="s">
        <v>5</v>
      </c>
      <c r="E314" s="4" t="s">
        <v>12</v>
      </c>
      <c r="F314" s="4" t="s">
        <v>7</v>
      </c>
      <c r="G314" s="4" t="s">
        <v>13</v>
      </c>
      <c r="H314" s="4" t="s">
        <v>80</v>
      </c>
      <c r="I314" s="5" t="str">
        <f>IFERROR(VLOOKUP(Consulta1[[#This Row],[Pozo largo]],'Lista YPF'!$B$3:$C$358,2,FALSE),"NO")</f>
        <v>NO</v>
      </c>
      <c r="J314" s="5" t="str">
        <f>IFERROR(VLOOKUP(Consulta1[[#This Row],[Pozo]],'Lista Oportunidades'!B:C,2,FALSE),"NO")</f>
        <v>NO</v>
      </c>
      <c r="K314" s="5">
        <f>IFERROR(VLOOKUP(Consulta1[[#This Row],[Pozo largo]],Controles!B:H,7,FALSE),"NO")</f>
        <v>0.71</v>
      </c>
      <c r="L314" s="5">
        <f>IFERROR(VLOOKUP(Consulta1[[#This Row],[Pozo largo]],Controles!B:J,9,FALSE),"NO")</f>
        <v>0</v>
      </c>
    </row>
    <row r="315" spans="2:12" x14ac:dyDescent="0.35">
      <c r="B315" s="4" t="s">
        <v>634</v>
      </c>
      <c r="C315" s="4" t="s">
        <v>6072</v>
      </c>
      <c r="D315" s="4" t="s">
        <v>5</v>
      </c>
      <c r="E315" s="4" t="s">
        <v>12</v>
      </c>
      <c r="F315" s="4" t="s">
        <v>7</v>
      </c>
      <c r="G315" s="4" t="s">
        <v>13</v>
      </c>
      <c r="H315" s="4" t="s">
        <v>36</v>
      </c>
      <c r="I315" s="5" t="str">
        <f>IFERROR(VLOOKUP(Consulta1[[#This Row],[Pozo largo]],'Lista YPF'!$B$3:$C$358,2,FALSE),"NO")</f>
        <v>NO</v>
      </c>
      <c r="J315" s="5" t="str">
        <f>IFERROR(VLOOKUP(Consulta1[[#This Row],[Pozo]],'Lista Oportunidades'!B:C,2,FALSE),"NO")</f>
        <v>NO</v>
      </c>
      <c r="K315" s="5">
        <f>IFERROR(VLOOKUP(Consulta1[[#This Row],[Pozo largo]],Controles!B:H,7,FALSE),"NO")</f>
        <v>1.3050000000000002</v>
      </c>
      <c r="L315" s="5">
        <f>IFERROR(VLOOKUP(Consulta1[[#This Row],[Pozo largo]],Controles!B:J,9,FALSE),"NO")</f>
        <v>0</v>
      </c>
    </row>
    <row r="316" spans="2:12" x14ac:dyDescent="0.35">
      <c r="B316" s="4" t="s">
        <v>636</v>
      </c>
      <c r="C316" s="4" t="s">
        <v>6073</v>
      </c>
      <c r="D316" s="4" t="s">
        <v>5</v>
      </c>
      <c r="E316" s="4" t="s">
        <v>30</v>
      </c>
      <c r="F316" s="4" t="s">
        <v>31</v>
      </c>
      <c r="G316" s="4" t="s">
        <v>32</v>
      </c>
      <c r="H316" s="4" t="s">
        <v>21</v>
      </c>
      <c r="I316" s="5" t="str">
        <f>IFERROR(VLOOKUP(Consulta1[[#This Row],[Pozo largo]],'Lista YPF'!$B$3:$C$358,2,FALSE),"NO")</f>
        <v>NO</v>
      </c>
      <c r="J316" s="5" t="str">
        <f>IFERROR(VLOOKUP(Consulta1[[#This Row],[Pozo]],'Lista Oportunidades'!B:C,2,FALSE),"NO")</f>
        <v>NO</v>
      </c>
      <c r="K316" s="5" t="str">
        <f>IFERROR(VLOOKUP(Consulta1[[#This Row],[Pozo largo]],Controles!B:H,7,FALSE),"NO")</f>
        <v>NO</v>
      </c>
      <c r="L316" s="5" t="str">
        <f>IFERROR(VLOOKUP(Consulta1[[#This Row],[Pozo largo]],Controles!B:J,9,FALSE),"NO")</f>
        <v>NO</v>
      </c>
    </row>
    <row r="317" spans="2:12" x14ac:dyDescent="0.35">
      <c r="B317" s="4" t="s">
        <v>637</v>
      </c>
      <c r="C317" s="4" t="s">
        <v>6074</v>
      </c>
      <c r="D317" s="4" t="s">
        <v>5</v>
      </c>
      <c r="E317" s="4" t="s">
        <v>24</v>
      </c>
      <c r="F317" s="4" t="s">
        <v>28</v>
      </c>
      <c r="G317" s="4" t="s">
        <v>8</v>
      </c>
      <c r="H317" s="4" t="s">
        <v>91</v>
      </c>
      <c r="I317" s="5" t="str">
        <f>IFERROR(VLOOKUP(Consulta1[[#This Row],[Pozo largo]],'Lista YPF'!$B$3:$C$358,2,FALSE),"NO")</f>
        <v>NO</v>
      </c>
      <c r="J317" s="5" t="str">
        <f>IFERROR(VLOOKUP(Consulta1[[#This Row],[Pozo]],'Lista Oportunidades'!B:C,2,FALSE),"NO")</f>
        <v>NO</v>
      </c>
      <c r="K317" s="5">
        <f>IFERROR(VLOOKUP(Consulta1[[#This Row],[Pozo largo]],Controles!B:H,7,FALSE),"NO")</f>
        <v>0</v>
      </c>
      <c r="L317" s="5">
        <f>IFERROR(VLOOKUP(Consulta1[[#This Row],[Pozo largo]],Controles!B:J,9,FALSE),"NO")</f>
        <v>0</v>
      </c>
    </row>
    <row r="318" spans="2:12" x14ac:dyDescent="0.35">
      <c r="B318" s="4" t="s">
        <v>639</v>
      </c>
      <c r="C318" s="4" t="s">
        <v>6075</v>
      </c>
      <c r="D318" s="4" t="s">
        <v>5</v>
      </c>
      <c r="E318" s="4" t="s">
        <v>30</v>
      </c>
      <c r="F318" s="4" t="s">
        <v>31</v>
      </c>
      <c r="G318" s="4" t="s">
        <v>32</v>
      </c>
      <c r="H318" s="4" t="s">
        <v>91</v>
      </c>
      <c r="I318" s="5" t="str">
        <f>IFERROR(VLOOKUP(Consulta1[[#This Row],[Pozo largo]],'Lista YPF'!$B$3:$C$358,2,FALSE),"NO")</f>
        <v>NO</v>
      </c>
      <c r="J318" s="5" t="str">
        <f>IFERROR(VLOOKUP(Consulta1[[#This Row],[Pozo]],'Lista Oportunidades'!B:C,2,FALSE),"NO")</f>
        <v>NO</v>
      </c>
      <c r="K318" s="5" t="str">
        <f>IFERROR(VLOOKUP(Consulta1[[#This Row],[Pozo largo]],Controles!B:H,7,FALSE),"NO")</f>
        <v>NO</v>
      </c>
      <c r="L318" s="5" t="str">
        <f>IFERROR(VLOOKUP(Consulta1[[#This Row],[Pozo largo]],Controles!B:J,9,FALSE),"NO")</f>
        <v>NO</v>
      </c>
    </row>
    <row r="319" spans="2:12" x14ac:dyDescent="0.35">
      <c r="B319" s="4" t="s">
        <v>640</v>
      </c>
      <c r="C319" s="4" t="s">
        <v>6076</v>
      </c>
      <c r="D319" s="4" t="s">
        <v>5</v>
      </c>
      <c r="E319" s="4" t="s">
        <v>12</v>
      </c>
      <c r="F319" s="4" t="s">
        <v>28</v>
      </c>
      <c r="G319" s="4" t="s">
        <v>13</v>
      </c>
      <c r="H319" s="4" t="s">
        <v>86</v>
      </c>
      <c r="I319" s="5" t="str">
        <f>IFERROR(VLOOKUP(Consulta1[[#This Row],[Pozo largo]],'Lista YPF'!$B$3:$C$358,2,FALSE),"NO")</f>
        <v>NO</v>
      </c>
      <c r="J319" s="5" t="str">
        <f>IFERROR(VLOOKUP(Consulta1[[#This Row],[Pozo]],'Lista Oportunidades'!B:C,2,FALSE),"NO")</f>
        <v>NO</v>
      </c>
      <c r="K319" s="5">
        <f>IFERROR(VLOOKUP(Consulta1[[#This Row],[Pozo largo]],Controles!B:H,7,FALSE),"NO")</f>
        <v>0</v>
      </c>
      <c r="L319" s="5">
        <f>IFERROR(VLOOKUP(Consulta1[[#This Row],[Pozo largo]],Controles!B:J,9,FALSE),"NO")</f>
        <v>0</v>
      </c>
    </row>
    <row r="320" spans="2:12" x14ac:dyDescent="0.35">
      <c r="B320" s="4" t="s">
        <v>642</v>
      </c>
      <c r="C320" s="4" t="s">
        <v>6077</v>
      </c>
      <c r="D320" s="4" t="s">
        <v>5</v>
      </c>
      <c r="E320" s="4" t="s">
        <v>430</v>
      </c>
      <c r="F320" s="4" t="s">
        <v>7</v>
      </c>
      <c r="G320" s="4" t="s">
        <v>5718</v>
      </c>
      <c r="H320" s="4" t="s">
        <v>86</v>
      </c>
      <c r="I320" s="5" t="str">
        <f>IFERROR(VLOOKUP(Consulta1[[#This Row],[Pozo largo]],'Lista YPF'!$B$3:$C$358,2,FALSE),"NO")</f>
        <v>En lista de Abandono</v>
      </c>
      <c r="J320" s="5" t="str">
        <f>IFERROR(VLOOKUP(Consulta1[[#This Row],[Pozo]],'Lista Oportunidades'!B:C,2,FALSE),"NO")</f>
        <v>NO</v>
      </c>
      <c r="K320" s="5">
        <f>IFERROR(VLOOKUP(Consulta1[[#This Row],[Pozo largo]],Controles!B:H,7,FALSE),"NO")</f>
        <v>0.54</v>
      </c>
      <c r="L320" s="5">
        <f>IFERROR(VLOOKUP(Consulta1[[#This Row],[Pozo largo]],Controles!B:J,9,FALSE),"NO")</f>
        <v>0</v>
      </c>
    </row>
    <row r="321" spans="2:12" x14ac:dyDescent="0.35">
      <c r="B321" s="4" t="s">
        <v>644</v>
      </c>
      <c r="C321" s="4" t="s">
        <v>6078</v>
      </c>
      <c r="D321" s="4" t="s">
        <v>5</v>
      </c>
      <c r="E321" s="4" t="s">
        <v>30</v>
      </c>
      <c r="F321" s="4" t="s">
        <v>31</v>
      </c>
      <c r="G321" s="4" t="s">
        <v>32</v>
      </c>
      <c r="H321" s="4" t="s">
        <v>91</v>
      </c>
      <c r="I321" s="5" t="str">
        <f>IFERROR(VLOOKUP(Consulta1[[#This Row],[Pozo largo]],'Lista YPF'!$B$3:$C$358,2,FALSE),"NO")</f>
        <v>NO</v>
      </c>
      <c r="J321" s="5" t="str">
        <f>IFERROR(VLOOKUP(Consulta1[[#This Row],[Pozo]],'Lista Oportunidades'!B:C,2,FALSE),"NO")</f>
        <v>NO</v>
      </c>
      <c r="K321" s="5">
        <f>IFERROR(VLOOKUP(Consulta1[[#This Row],[Pozo largo]],Controles!B:H,7,FALSE),"NO")</f>
        <v>0</v>
      </c>
      <c r="L321" s="5">
        <f>IFERROR(VLOOKUP(Consulta1[[#This Row],[Pozo largo]],Controles!B:J,9,FALSE),"NO")</f>
        <v>0</v>
      </c>
    </row>
    <row r="322" spans="2:12" x14ac:dyDescent="0.35">
      <c r="B322" s="4" t="s">
        <v>646</v>
      </c>
      <c r="C322" s="4" t="s">
        <v>6079</v>
      </c>
      <c r="D322" s="4" t="s">
        <v>5</v>
      </c>
      <c r="E322" s="4" t="s">
        <v>57</v>
      </c>
      <c r="F322" s="4" t="s">
        <v>31</v>
      </c>
      <c r="G322" s="4" t="s">
        <v>5718</v>
      </c>
      <c r="H322" s="4" t="s">
        <v>86</v>
      </c>
      <c r="I322" s="5" t="str">
        <f>IFERROR(VLOOKUP(Consulta1[[#This Row],[Pozo largo]],'Lista YPF'!$B$3:$C$358,2,FALSE),"NO")</f>
        <v>En lista de Abandono</v>
      </c>
      <c r="J322" s="5" t="str">
        <f>IFERROR(VLOOKUP(Consulta1[[#This Row],[Pozo]],'Lista Oportunidades'!B:C,2,FALSE),"NO")</f>
        <v>NO</v>
      </c>
      <c r="K322" s="5">
        <f>IFERROR(VLOOKUP(Consulta1[[#This Row],[Pozo largo]],Controles!B:H,7,FALSE),"NO")</f>
        <v>0.50800000000000001</v>
      </c>
      <c r="L322" s="5">
        <f>IFERROR(VLOOKUP(Consulta1[[#This Row],[Pozo largo]],Controles!B:J,9,FALSE),"NO")</f>
        <v>0</v>
      </c>
    </row>
    <row r="323" spans="2:12" x14ac:dyDescent="0.35">
      <c r="B323" s="4" t="s">
        <v>648</v>
      </c>
      <c r="C323" s="4" t="s">
        <v>6080</v>
      </c>
      <c r="D323" s="4" t="s">
        <v>5</v>
      </c>
      <c r="E323" s="4" t="s">
        <v>30</v>
      </c>
      <c r="F323" s="4" t="s">
        <v>31</v>
      </c>
      <c r="G323" s="4" t="s">
        <v>32</v>
      </c>
      <c r="H323" s="4" t="s">
        <v>91</v>
      </c>
      <c r="I323" s="5" t="str">
        <f>IFERROR(VLOOKUP(Consulta1[[#This Row],[Pozo largo]],'Lista YPF'!$B$3:$C$358,2,FALSE),"NO")</f>
        <v>NO</v>
      </c>
      <c r="J323" s="5" t="str">
        <f>IFERROR(VLOOKUP(Consulta1[[#This Row],[Pozo]],'Lista Oportunidades'!B:C,2,FALSE),"NO")</f>
        <v>NO</v>
      </c>
      <c r="K323" s="5" t="str">
        <f>IFERROR(VLOOKUP(Consulta1[[#This Row],[Pozo largo]],Controles!B:H,7,FALSE),"NO")</f>
        <v>NO</v>
      </c>
      <c r="L323" s="5" t="str">
        <f>IFERROR(VLOOKUP(Consulta1[[#This Row],[Pozo largo]],Controles!B:J,9,FALSE),"NO")</f>
        <v>NO</v>
      </c>
    </row>
    <row r="324" spans="2:12" x14ac:dyDescent="0.35">
      <c r="B324" s="4" t="s">
        <v>649</v>
      </c>
      <c r="C324" s="4" t="s">
        <v>6081</v>
      </c>
      <c r="D324" s="4" t="s">
        <v>5</v>
      </c>
      <c r="E324" s="4" t="s">
        <v>12</v>
      </c>
      <c r="F324" s="4" t="s">
        <v>7</v>
      </c>
      <c r="G324" s="4" t="s">
        <v>13</v>
      </c>
      <c r="H324" s="4" t="s">
        <v>86</v>
      </c>
      <c r="I324" s="5" t="str">
        <f>IFERROR(VLOOKUP(Consulta1[[#This Row],[Pozo largo]],'Lista YPF'!$B$3:$C$358,2,FALSE),"NO")</f>
        <v>NO</v>
      </c>
      <c r="J324" s="5" t="str">
        <f>IFERROR(VLOOKUP(Consulta1[[#This Row],[Pozo]],'Lista Oportunidades'!B:C,2,FALSE),"NO")</f>
        <v>NO</v>
      </c>
      <c r="K324" s="5">
        <f>IFERROR(VLOOKUP(Consulta1[[#This Row],[Pozo largo]],Controles!B:H,7,FALSE),"NO")</f>
        <v>1.335</v>
      </c>
      <c r="L324" s="5">
        <f>IFERROR(VLOOKUP(Consulta1[[#This Row],[Pozo largo]],Controles!B:J,9,FALSE),"NO")</f>
        <v>0</v>
      </c>
    </row>
    <row r="325" spans="2:12" x14ac:dyDescent="0.35">
      <c r="B325" s="4" t="s">
        <v>651</v>
      </c>
      <c r="C325" s="4" t="s">
        <v>6082</v>
      </c>
      <c r="D325" s="4" t="s">
        <v>5</v>
      </c>
      <c r="E325" s="4" t="s">
        <v>6</v>
      </c>
      <c r="F325" s="4" t="s">
        <v>7</v>
      </c>
      <c r="G325" s="4" t="s">
        <v>5718</v>
      </c>
      <c r="H325" s="4" t="s">
        <v>185</v>
      </c>
      <c r="I325" s="5" t="str">
        <f>IFERROR(VLOOKUP(Consulta1[[#This Row],[Pozo largo]],'Lista YPF'!$B$3:$C$358,2,FALSE),"NO")</f>
        <v>En lista de Abandono</v>
      </c>
      <c r="J325" s="5" t="str">
        <f>IFERROR(VLOOKUP(Consulta1[[#This Row],[Pozo]],'Lista Oportunidades'!B:C,2,FALSE),"NO")</f>
        <v>NO</v>
      </c>
      <c r="K325" s="5">
        <f>IFERROR(VLOOKUP(Consulta1[[#This Row],[Pozo largo]],Controles!B:H,7,FALSE),"NO")</f>
        <v>0.78200000000000003</v>
      </c>
      <c r="L325" s="5" t="str">
        <f>IFERROR(VLOOKUP(Consulta1[[#This Row],[Pozo largo]],Controles!B:J,9,FALSE),"NO")</f>
        <v>Ultimo Año</v>
      </c>
    </row>
    <row r="326" spans="2:12" x14ac:dyDescent="0.35">
      <c r="B326" s="4" t="s">
        <v>653</v>
      </c>
      <c r="C326" s="4" t="s">
        <v>6083</v>
      </c>
      <c r="D326" s="4" t="s">
        <v>5</v>
      </c>
      <c r="E326" s="4" t="s">
        <v>24</v>
      </c>
      <c r="F326" s="4" t="s">
        <v>31</v>
      </c>
      <c r="G326" s="4" t="s">
        <v>8</v>
      </c>
      <c r="H326" s="4" t="s">
        <v>71</v>
      </c>
      <c r="I326" s="5" t="str">
        <f>IFERROR(VLOOKUP(Consulta1[[#This Row],[Pozo largo]],'Lista YPF'!$B$3:$C$358,2,FALSE),"NO")</f>
        <v>NO</v>
      </c>
      <c r="J326" s="5" t="str">
        <f>IFERROR(VLOOKUP(Consulta1[[#This Row],[Pozo]],'Lista Oportunidades'!B:C,2,FALSE),"NO")</f>
        <v>NO</v>
      </c>
      <c r="K326" s="5">
        <f>IFERROR(VLOOKUP(Consulta1[[#This Row],[Pozo largo]],Controles!B:H,7,FALSE),"NO")</f>
        <v>0.44</v>
      </c>
      <c r="L326" s="5">
        <f>IFERROR(VLOOKUP(Consulta1[[#This Row],[Pozo largo]],Controles!B:J,9,FALSE),"NO")</f>
        <v>0</v>
      </c>
    </row>
    <row r="327" spans="2:12" x14ac:dyDescent="0.35">
      <c r="B327" s="4" t="s">
        <v>655</v>
      </c>
      <c r="C327" s="4" t="s">
        <v>6084</v>
      </c>
      <c r="D327" s="4" t="s">
        <v>5</v>
      </c>
      <c r="E327" s="4" t="s">
        <v>6</v>
      </c>
      <c r="F327" s="4" t="s">
        <v>7</v>
      </c>
      <c r="G327" s="4" t="s">
        <v>5718</v>
      </c>
      <c r="H327" s="4" t="s">
        <v>71</v>
      </c>
      <c r="I327" s="5" t="str">
        <f>IFERROR(VLOOKUP(Consulta1[[#This Row],[Pozo largo]],'Lista YPF'!$B$3:$C$358,2,FALSE),"NO")</f>
        <v>En lista de Abandono</v>
      </c>
      <c r="J327" s="5" t="str">
        <f>IFERROR(VLOOKUP(Consulta1[[#This Row],[Pozo]],'Lista Oportunidades'!B:C,2,FALSE),"NO")</f>
        <v>NO</v>
      </c>
      <c r="K327" s="5">
        <f>IFERROR(VLOOKUP(Consulta1[[#This Row],[Pozo largo]],Controles!B:H,7,FALSE),"NO")</f>
        <v>0.55000000000000004</v>
      </c>
      <c r="L327" s="5">
        <f>IFERROR(VLOOKUP(Consulta1[[#This Row],[Pozo largo]],Controles!B:J,9,FALSE),"NO")</f>
        <v>0</v>
      </c>
    </row>
    <row r="328" spans="2:12" x14ac:dyDescent="0.35">
      <c r="B328" s="4" t="s">
        <v>657</v>
      </c>
      <c r="C328" s="4" t="s">
        <v>6085</v>
      </c>
      <c r="D328" s="4" t="s">
        <v>5</v>
      </c>
      <c r="E328" s="4" t="s">
        <v>24</v>
      </c>
      <c r="F328" s="4" t="s">
        <v>28</v>
      </c>
      <c r="G328" s="4" t="s">
        <v>8</v>
      </c>
      <c r="H328" s="4" t="s">
        <v>71</v>
      </c>
      <c r="I328" s="5" t="str">
        <f>IFERROR(VLOOKUP(Consulta1[[#This Row],[Pozo largo]],'Lista YPF'!$B$3:$C$358,2,FALSE),"NO")</f>
        <v>NO</v>
      </c>
      <c r="J328" s="5" t="str">
        <f>IFERROR(VLOOKUP(Consulta1[[#This Row],[Pozo]],'Lista Oportunidades'!B:C,2,FALSE),"NO")</f>
        <v>NO</v>
      </c>
      <c r="K328" s="5">
        <f>IFERROR(VLOOKUP(Consulta1[[#This Row],[Pozo largo]],Controles!B:H,7,FALSE),"NO")</f>
        <v>0</v>
      </c>
      <c r="L328" s="5">
        <f>IFERROR(VLOOKUP(Consulta1[[#This Row],[Pozo largo]],Controles!B:J,9,FALSE),"NO")</f>
        <v>0</v>
      </c>
    </row>
    <row r="329" spans="2:12" x14ac:dyDescent="0.35">
      <c r="B329" s="4" t="s">
        <v>659</v>
      </c>
      <c r="C329" s="4" t="s">
        <v>5753</v>
      </c>
      <c r="D329" s="4" t="s">
        <v>5</v>
      </c>
      <c r="E329" s="4" t="s">
        <v>12</v>
      </c>
      <c r="F329" s="4" t="s">
        <v>7</v>
      </c>
      <c r="G329" s="4" t="s">
        <v>13</v>
      </c>
      <c r="H329" s="4" t="s">
        <v>16</v>
      </c>
      <c r="I329" s="5" t="str">
        <f>IFERROR(VLOOKUP(Consulta1[[#This Row],[Pozo largo]],'Lista YPF'!$B$3:$C$358,2,FALSE),"NO")</f>
        <v>NO</v>
      </c>
      <c r="J329" s="5" t="str">
        <f>IFERROR(VLOOKUP(Consulta1[[#This Row],[Pozo]],'Lista Oportunidades'!B:C,2,FALSE),"NO")</f>
        <v>Oportunidad</v>
      </c>
      <c r="K329" s="5">
        <f>IFERROR(VLOOKUP(Consulta1[[#This Row],[Pozo largo]],Controles!B:H,7,FALSE),"NO")</f>
        <v>1.248</v>
      </c>
      <c r="L329" s="5">
        <f>IFERROR(VLOOKUP(Consulta1[[#This Row],[Pozo largo]],Controles!B:J,9,FALSE),"NO")</f>
        <v>0</v>
      </c>
    </row>
    <row r="330" spans="2:12" x14ac:dyDescent="0.35">
      <c r="B330" s="4" t="s">
        <v>661</v>
      </c>
      <c r="C330" s="4" t="s">
        <v>6086</v>
      </c>
      <c r="D330" s="4" t="s">
        <v>5</v>
      </c>
      <c r="E330" s="4" t="s">
        <v>24</v>
      </c>
      <c r="F330" s="4" t="s">
        <v>7</v>
      </c>
      <c r="G330" s="4" t="s">
        <v>8</v>
      </c>
      <c r="H330" s="4" t="s">
        <v>71</v>
      </c>
      <c r="I330" s="5" t="str">
        <f>IFERROR(VLOOKUP(Consulta1[[#This Row],[Pozo largo]],'Lista YPF'!$B$3:$C$358,2,FALSE),"NO")</f>
        <v>NO</v>
      </c>
      <c r="J330" s="5" t="str">
        <f>IFERROR(VLOOKUP(Consulta1[[#This Row],[Pozo]],'Lista Oportunidades'!B:C,2,FALSE),"NO")</f>
        <v>NO</v>
      </c>
      <c r="K330" s="5">
        <f>IFERROR(VLOOKUP(Consulta1[[#This Row],[Pozo largo]],Controles!B:H,7,FALSE),"NO")</f>
        <v>0.16</v>
      </c>
      <c r="L330" s="5">
        <f>IFERROR(VLOOKUP(Consulta1[[#This Row],[Pozo largo]],Controles!B:J,9,FALSE),"NO")</f>
        <v>0</v>
      </c>
    </row>
    <row r="331" spans="2:12" x14ac:dyDescent="0.35">
      <c r="B331" s="4" t="s">
        <v>663</v>
      </c>
      <c r="C331" s="4" t="s">
        <v>6087</v>
      </c>
      <c r="D331" s="4" t="s">
        <v>5</v>
      </c>
      <c r="E331" s="4" t="s">
        <v>24</v>
      </c>
      <c r="F331" s="4" t="s">
        <v>31</v>
      </c>
      <c r="G331" s="4" t="s">
        <v>8</v>
      </c>
      <c r="H331" s="4" t="s">
        <v>9</v>
      </c>
      <c r="I331" s="5" t="str">
        <f>IFERROR(VLOOKUP(Consulta1[[#This Row],[Pozo largo]],'Lista YPF'!$B$3:$C$358,2,FALSE),"NO")</f>
        <v>NO</v>
      </c>
      <c r="J331" s="5" t="str">
        <f>IFERROR(VLOOKUP(Consulta1[[#This Row],[Pozo]],'Lista Oportunidades'!B:C,2,FALSE),"NO")</f>
        <v>NO</v>
      </c>
      <c r="K331" s="5" t="str">
        <f>IFERROR(VLOOKUP(Consulta1[[#This Row],[Pozo largo]],Controles!B:H,7,FALSE),"NO")</f>
        <v>NO</v>
      </c>
      <c r="L331" s="5" t="str">
        <f>IFERROR(VLOOKUP(Consulta1[[#This Row],[Pozo largo]],Controles!B:J,9,FALSE),"NO")</f>
        <v>NO</v>
      </c>
    </row>
    <row r="332" spans="2:12" x14ac:dyDescent="0.35">
      <c r="B332" s="4" t="s">
        <v>664</v>
      </c>
      <c r="C332" s="4" t="s">
        <v>6088</v>
      </c>
      <c r="D332" s="4" t="s">
        <v>5</v>
      </c>
      <c r="E332" s="4" t="s">
        <v>12</v>
      </c>
      <c r="F332" s="4" t="s">
        <v>7</v>
      </c>
      <c r="G332" s="4" t="s">
        <v>13</v>
      </c>
      <c r="H332" s="4" t="s">
        <v>149</v>
      </c>
      <c r="I332" s="5" t="str">
        <f>IFERROR(VLOOKUP(Consulta1[[#This Row],[Pozo largo]],'Lista YPF'!$B$3:$C$358,2,FALSE),"NO")</f>
        <v>NO</v>
      </c>
      <c r="J332" s="5" t="str">
        <f>IFERROR(VLOOKUP(Consulta1[[#This Row],[Pozo]],'Lista Oportunidades'!B:C,2,FALSE),"NO")</f>
        <v>NO</v>
      </c>
      <c r="K332" s="5">
        <f>IFERROR(VLOOKUP(Consulta1[[#This Row],[Pozo largo]],Controles!B:H,7,FALSE),"NO")</f>
        <v>1.4000000000000001</v>
      </c>
      <c r="L332" s="5">
        <f>IFERROR(VLOOKUP(Consulta1[[#This Row],[Pozo largo]],Controles!B:J,9,FALSE),"NO")</f>
        <v>0</v>
      </c>
    </row>
    <row r="333" spans="2:12" x14ac:dyDescent="0.35">
      <c r="B333" s="4" t="s">
        <v>666</v>
      </c>
      <c r="C333" s="4" t="s">
        <v>6089</v>
      </c>
      <c r="D333" s="4" t="s">
        <v>5</v>
      </c>
      <c r="E333" s="4" t="s">
        <v>12</v>
      </c>
      <c r="F333" s="4" t="s">
        <v>7</v>
      </c>
      <c r="G333" s="4" t="s">
        <v>13</v>
      </c>
      <c r="H333" s="4" t="s">
        <v>21</v>
      </c>
      <c r="I333" s="5" t="str">
        <f>IFERROR(VLOOKUP(Consulta1[[#This Row],[Pozo largo]],'Lista YPF'!$B$3:$C$358,2,FALSE),"NO")</f>
        <v>NO</v>
      </c>
      <c r="J333" s="5" t="str">
        <f>IFERROR(VLOOKUP(Consulta1[[#This Row],[Pozo]],'Lista Oportunidades'!B:C,2,FALSE),"NO")</f>
        <v>NO</v>
      </c>
      <c r="K333" s="5">
        <f>IFERROR(VLOOKUP(Consulta1[[#This Row],[Pozo largo]],Controles!B:H,7,FALSE),"NO")</f>
        <v>0.54</v>
      </c>
      <c r="L333" s="5">
        <f>IFERROR(VLOOKUP(Consulta1[[#This Row],[Pozo largo]],Controles!B:J,9,FALSE),"NO")</f>
        <v>0</v>
      </c>
    </row>
    <row r="334" spans="2:12" x14ac:dyDescent="0.35">
      <c r="B334" s="4" t="s">
        <v>668</v>
      </c>
      <c r="C334" s="4" t="s">
        <v>6090</v>
      </c>
      <c r="D334" s="4" t="s">
        <v>5</v>
      </c>
      <c r="E334" s="4" t="s">
        <v>24</v>
      </c>
      <c r="F334" s="4" t="s">
        <v>31</v>
      </c>
      <c r="G334" s="4" t="s">
        <v>8</v>
      </c>
      <c r="H334" s="4" t="s">
        <v>9</v>
      </c>
      <c r="I334" s="5" t="str">
        <f>IFERROR(VLOOKUP(Consulta1[[#This Row],[Pozo largo]],'Lista YPF'!$B$3:$C$358,2,FALSE),"NO")</f>
        <v>NO</v>
      </c>
      <c r="J334" s="5" t="str">
        <f>IFERROR(VLOOKUP(Consulta1[[#This Row],[Pozo]],'Lista Oportunidades'!B:C,2,FALSE),"NO")</f>
        <v>NO</v>
      </c>
      <c r="K334" s="5">
        <f>IFERROR(VLOOKUP(Consulta1[[#This Row],[Pozo largo]],Controles!B:H,7,FALSE),"NO")</f>
        <v>0.36</v>
      </c>
      <c r="L334" s="5">
        <f>IFERROR(VLOOKUP(Consulta1[[#This Row],[Pozo largo]],Controles!B:J,9,FALSE),"NO")</f>
        <v>0</v>
      </c>
    </row>
    <row r="335" spans="2:12" x14ac:dyDescent="0.35">
      <c r="B335" s="4" t="s">
        <v>670</v>
      </c>
      <c r="C335" s="4" t="s">
        <v>6091</v>
      </c>
      <c r="D335" s="4" t="s">
        <v>5</v>
      </c>
      <c r="E335" s="4" t="s">
        <v>24</v>
      </c>
      <c r="F335" s="4" t="s">
        <v>31</v>
      </c>
      <c r="G335" s="4" t="s">
        <v>8</v>
      </c>
      <c r="H335" s="4" t="s">
        <v>9</v>
      </c>
      <c r="I335" s="5" t="str">
        <f>IFERROR(VLOOKUP(Consulta1[[#This Row],[Pozo largo]],'Lista YPF'!$B$3:$C$358,2,FALSE),"NO")</f>
        <v>NO</v>
      </c>
      <c r="J335" s="5" t="str">
        <f>IFERROR(VLOOKUP(Consulta1[[#This Row],[Pozo]],'Lista Oportunidades'!B:C,2,FALSE),"NO")</f>
        <v>NO</v>
      </c>
      <c r="K335" s="5">
        <f>IFERROR(VLOOKUP(Consulta1[[#This Row],[Pozo largo]],Controles!B:H,7,FALSE),"NO")</f>
        <v>0.75</v>
      </c>
      <c r="L335" s="5">
        <f>IFERROR(VLOOKUP(Consulta1[[#This Row],[Pozo largo]],Controles!B:J,9,FALSE),"NO")</f>
        <v>0</v>
      </c>
    </row>
    <row r="336" spans="2:12" x14ac:dyDescent="0.35">
      <c r="B336" s="4" t="s">
        <v>672</v>
      </c>
      <c r="C336" s="4" t="s">
        <v>6092</v>
      </c>
      <c r="D336" s="4" t="s">
        <v>5</v>
      </c>
      <c r="E336" s="4" t="s">
        <v>57</v>
      </c>
      <c r="F336" s="4" t="s">
        <v>7</v>
      </c>
      <c r="G336" s="4" t="s">
        <v>5718</v>
      </c>
      <c r="H336" s="4" t="s">
        <v>9</v>
      </c>
      <c r="I336" s="5" t="str">
        <f>IFERROR(VLOOKUP(Consulta1[[#This Row],[Pozo largo]],'Lista YPF'!$B$3:$C$358,2,FALSE),"NO")</f>
        <v>En lista de Abandono</v>
      </c>
      <c r="J336" s="5" t="str">
        <f>IFERROR(VLOOKUP(Consulta1[[#This Row],[Pozo]],'Lista Oportunidades'!B:C,2,FALSE),"NO")</f>
        <v>NO</v>
      </c>
      <c r="K336" s="5">
        <f>IFERROR(VLOOKUP(Consulta1[[#This Row],[Pozo largo]],Controles!B:H,7,FALSE),"NO")</f>
        <v>0.78200000000000003</v>
      </c>
      <c r="L336" s="5">
        <f>IFERROR(VLOOKUP(Consulta1[[#This Row],[Pozo largo]],Controles!B:J,9,FALSE),"NO")</f>
        <v>0</v>
      </c>
    </row>
    <row r="337" spans="2:12" x14ac:dyDescent="0.35">
      <c r="B337" s="4" t="s">
        <v>674</v>
      </c>
      <c r="C337" s="4" t="s">
        <v>6093</v>
      </c>
      <c r="D337" s="4" t="s">
        <v>5</v>
      </c>
      <c r="E337" s="4" t="s">
        <v>57</v>
      </c>
      <c r="F337" s="4" t="s">
        <v>25</v>
      </c>
      <c r="G337" s="4" t="s">
        <v>5718</v>
      </c>
      <c r="H337" s="4" t="s">
        <v>33</v>
      </c>
      <c r="I337" s="5" t="str">
        <f>IFERROR(VLOOKUP(Consulta1[[#This Row],[Pozo largo]],'Lista YPF'!$B$3:$C$358,2,FALSE),"NO")</f>
        <v>En lista de Abandono</v>
      </c>
      <c r="J337" s="5" t="str">
        <f>IFERROR(VLOOKUP(Consulta1[[#This Row],[Pozo]],'Lista Oportunidades'!B:C,2,FALSE),"NO")</f>
        <v>NO</v>
      </c>
      <c r="K337" s="5">
        <f>IFERROR(VLOOKUP(Consulta1[[#This Row],[Pozo largo]],Controles!B:H,7,FALSE),"NO")</f>
        <v>0.11</v>
      </c>
      <c r="L337" s="5">
        <f>IFERROR(VLOOKUP(Consulta1[[#This Row],[Pozo largo]],Controles!B:J,9,FALSE),"NO")</f>
        <v>0</v>
      </c>
    </row>
    <row r="338" spans="2:12" x14ac:dyDescent="0.35">
      <c r="B338" s="4" t="s">
        <v>676</v>
      </c>
      <c r="C338" s="4" t="s">
        <v>6094</v>
      </c>
      <c r="D338" s="4" t="s">
        <v>5</v>
      </c>
      <c r="E338" s="4" t="s">
        <v>12</v>
      </c>
      <c r="F338" s="4" t="s">
        <v>28</v>
      </c>
      <c r="G338" s="4" t="s">
        <v>13</v>
      </c>
      <c r="H338" s="4" t="s">
        <v>33</v>
      </c>
      <c r="I338" s="5" t="str">
        <f>IFERROR(VLOOKUP(Consulta1[[#This Row],[Pozo largo]],'Lista YPF'!$B$3:$C$358,2,FALSE),"NO")</f>
        <v>NO</v>
      </c>
      <c r="J338" s="5" t="str">
        <f>IFERROR(VLOOKUP(Consulta1[[#This Row],[Pozo]],'Lista Oportunidades'!B:C,2,FALSE),"NO")</f>
        <v>NO</v>
      </c>
      <c r="K338" s="5">
        <f>IFERROR(VLOOKUP(Consulta1[[#This Row],[Pozo largo]],Controles!B:H,7,FALSE),"NO")</f>
        <v>0</v>
      </c>
      <c r="L338" s="5">
        <f>IFERROR(VLOOKUP(Consulta1[[#This Row],[Pozo largo]],Controles!B:J,9,FALSE),"NO")</f>
        <v>0</v>
      </c>
    </row>
    <row r="339" spans="2:12" x14ac:dyDescent="0.35">
      <c r="B339" s="4" t="s">
        <v>678</v>
      </c>
      <c r="C339" s="4" t="s">
        <v>6095</v>
      </c>
      <c r="D339" s="4" t="s">
        <v>5</v>
      </c>
      <c r="E339" s="4" t="s">
        <v>12</v>
      </c>
      <c r="F339" s="4" t="s">
        <v>28</v>
      </c>
      <c r="G339" s="4" t="s">
        <v>13</v>
      </c>
      <c r="H339" s="4" t="s">
        <v>36</v>
      </c>
      <c r="I339" s="5" t="str">
        <f>IFERROR(VLOOKUP(Consulta1[[#This Row],[Pozo largo]],'Lista YPF'!$B$3:$C$358,2,FALSE),"NO")</f>
        <v>NO</v>
      </c>
      <c r="J339" s="5" t="str">
        <f>IFERROR(VLOOKUP(Consulta1[[#This Row],[Pozo]],'Lista Oportunidades'!B:C,2,FALSE),"NO")</f>
        <v>NO</v>
      </c>
      <c r="K339" s="5">
        <f>IFERROR(VLOOKUP(Consulta1[[#This Row],[Pozo largo]],Controles!B:H,7,FALSE),"NO")</f>
        <v>0</v>
      </c>
      <c r="L339" s="5">
        <f>IFERROR(VLOOKUP(Consulta1[[#This Row],[Pozo largo]],Controles!B:J,9,FALSE),"NO")</f>
        <v>0</v>
      </c>
    </row>
    <row r="340" spans="2:12" x14ac:dyDescent="0.35">
      <c r="B340" s="4" t="s">
        <v>680</v>
      </c>
      <c r="C340" s="4" t="s">
        <v>6096</v>
      </c>
      <c r="D340" s="4" t="s">
        <v>5</v>
      </c>
      <c r="E340" s="4" t="s">
        <v>12</v>
      </c>
      <c r="F340" s="4" t="s">
        <v>7</v>
      </c>
      <c r="G340" s="4" t="s">
        <v>13</v>
      </c>
      <c r="H340" s="4" t="s">
        <v>36</v>
      </c>
      <c r="I340" s="5" t="str">
        <f>IFERROR(VLOOKUP(Consulta1[[#This Row],[Pozo largo]],'Lista YPF'!$B$3:$C$358,2,FALSE),"NO")</f>
        <v>NO</v>
      </c>
      <c r="J340" s="5" t="str">
        <f>IFERROR(VLOOKUP(Consulta1[[#This Row],[Pozo]],'Lista Oportunidades'!B:C,2,FALSE),"NO")</f>
        <v>NO</v>
      </c>
      <c r="K340" s="5">
        <f>IFERROR(VLOOKUP(Consulta1[[#This Row],[Pozo largo]],Controles!B:H,7,FALSE),"NO")</f>
        <v>3.8000000000000003</v>
      </c>
      <c r="L340" s="5">
        <f>IFERROR(VLOOKUP(Consulta1[[#This Row],[Pozo largo]],Controles!B:J,9,FALSE),"NO")</f>
        <v>0</v>
      </c>
    </row>
    <row r="341" spans="2:12" x14ac:dyDescent="0.35">
      <c r="B341" s="4" t="s">
        <v>682</v>
      </c>
      <c r="C341" s="4" t="s">
        <v>6097</v>
      </c>
      <c r="D341" s="4" t="s">
        <v>5</v>
      </c>
      <c r="E341" s="4" t="s">
        <v>12</v>
      </c>
      <c r="F341" s="4" t="s">
        <v>7</v>
      </c>
      <c r="G341" s="4" t="s">
        <v>13</v>
      </c>
      <c r="H341" s="4" t="s">
        <v>21</v>
      </c>
      <c r="I341" s="5" t="str">
        <f>IFERROR(VLOOKUP(Consulta1[[#This Row],[Pozo largo]],'Lista YPF'!$B$3:$C$358,2,FALSE),"NO")</f>
        <v>NO</v>
      </c>
      <c r="J341" s="5" t="str">
        <f>IFERROR(VLOOKUP(Consulta1[[#This Row],[Pozo]],'Lista Oportunidades'!B:C,2,FALSE),"NO")</f>
        <v>NO</v>
      </c>
      <c r="K341" s="5">
        <f>IFERROR(VLOOKUP(Consulta1[[#This Row],[Pozo largo]],Controles!B:H,7,FALSE),"NO")</f>
        <v>1.1000000000000001</v>
      </c>
      <c r="L341" s="5">
        <f>IFERROR(VLOOKUP(Consulta1[[#This Row],[Pozo largo]],Controles!B:J,9,FALSE),"NO")</f>
        <v>0</v>
      </c>
    </row>
    <row r="342" spans="2:12" x14ac:dyDescent="0.35">
      <c r="B342" s="4" t="s">
        <v>684</v>
      </c>
      <c r="C342" s="4" t="s">
        <v>6098</v>
      </c>
      <c r="D342" s="4" t="s">
        <v>5</v>
      </c>
      <c r="E342" s="4" t="s">
        <v>12</v>
      </c>
      <c r="F342" s="4" t="s">
        <v>28</v>
      </c>
      <c r="G342" s="4" t="s">
        <v>13</v>
      </c>
      <c r="H342" s="4" t="s">
        <v>254</v>
      </c>
      <c r="I342" s="5" t="str">
        <f>IFERROR(VLOOKUP(Consulta1[[#This Row],[Pozo largo]],'Lista YPF'!$B$3:$C$358,2,FALSE),"NO")</f>
        <v>NO</v>
      </c>
      <c r="J342" s="5" t="str">
        <f>IFERROR(VLOOKUP(Consulta1[[#This Row],[Pozo]],'Lista Oportunidades'!B:C,2,FALSE),"NO")</f>
        <v>NO</v>
      </c>
      <c r="K342" s="5">
        <f>IFERROR(VLOOKUP(Consulta1[[#This Row],[Pozo largo]],Controles!B:H,7,FALSE),"NO")</f>
        <v>0</v>
      </c>
      <c r="L342" s="5">
        <f>IFERROR(VLOOKUP(Consulta1[[#This Row],[Pozo largo]],Controles!B:J,9,FALSE),"NO")</f>
        <v>0</v>
      </c>
    </row>
    <row r="343" spans="2:12" x14ac:dyDescent="0.35">
      <c r="B343" s="4" t="s">
        <v>686</v>
      </c>
      <c r="C343" s="4" t="s">
        <v>6099</v>
      </c>
      <c r="D343" s="4" t="s">
        <v>5</v>
      </c>
      <c r="E343" s="4" t="s">
        <v>24</v>
      </c>
      <c r="F343" s="4" t="s">
        <v>25</v>
      </c>
      <c r="G343" s="4" t="s">
        <v>11387</v>
      </c>
      <c r="H343" s="4" t="s">
        <v>21</v>
      </c>
      <c r="I343" s="5" t="str">
        <f>IFERROR(VLOOKUP(Consulta1[[#This Row],[Pozo largo]],'Lista YPF'!$B$3:$C$358,2,FALSE),"NO")</f>
        <v>NO</v>
      </c>
      <c r="J343" s="5" t="str">
        <f>IFERROR(VLOOKUP(Consulta1[[#This Row],[Pozo]],'Lista Oportunidades'!B:C,2,FALSE),"NO")</f>
        <v>NO</v>
      </c>
      <c r="K343" s="5">
        <f>IFERROR(VLOOKUP(Consulta1[[#This Row],[Pozo largo]],Controles!B:H,7,FALSE),"NO")</f>
        <v>0.01</v>
      </c>
      <c r="L343" s="5" t="str">
        <f>IFERROR(VLOOKUP(Consulta1[[#This Row],[Pozo largo]],Controles!B:J,9,FALSE),"NO")</f>
        <v>Ultimo Año</v>
      </c>
    </row>
    <row r="344" spans="2:12" x14ac:dyDescent="0.35">
      <c r="B344" s="4" t="s">
        <v>688</v>
      </c>
      <c r="C344" s="4" t="s">
        <v>6100</v>
      </c>
      <c r="D344" s="4" t="s">
        <v>5</v>
      </c>
      <c r="E344" s="4" t="s">
        <v>30</v>
      </c>
      <c r="F344" s="4" t="s">
        <v>31</v>
      </c>
      <c r="G344" s="4" t="s">
        <v>32</v>
      </c>
      <c r="H344" s="4" t="s">
        <v>36</v>
      </c>
      <c r="I344" s="5" t="str">
        <f>IFERROR(VLOOKUP(Consulta1[[#This Row],[Pozo largo]],'Lista YPF'!$B$3:$C$358,2,FALSE),"NO")</f>
        <v>NO</v>
      </c>
      <c r="J344" s="5" t="str">
        <f>IFERROR(VLOOKUP(Consulta1[[#This Row],[Pozo]],'Lista Oportunidades'!B:C,2,FALSE),"NO")</f>
        <v>NO</v>
      </c>
      <c r="K344" s="5">
        <f>IFERROR(VLOOKUP(Consulta1[[#This Row],[Pozo largo]],Controles!B:H,7,FALSE),"NO")</f>
        <v>0.81500000000000006</v>
      </c>
      <c r="L344" s="5">
        <f>IFERROR(VLOOKUP(Consulta1[[#This Row],[Pozo largo]],Controles!B:J,9,FALSE),"NO")</f>
        <v>0</v>
      </c>
    </row>
    <row r="345" spans="2:12" x14ac:dyDescent="0.35">
      <c r="B345" s="4" t="s">
        <v>690</v>
      </c>
      <c r="C345" s="4" t="s">
        <v>6101</v>
      </c>
      <c r="D345" s="4" t="s">
        <v>5</v>
      </c>
      <c r="E345" s="4" t="s">
        <v>12</v>
      </c>
      <c r="F345" s="4" t="s">
        <v>28</v>
      </c>
      <c r="G345" s="4" t="s">
        <v>13</v>
      </c>
      <c r="H345" s="4" t="s">
        <v>86</v>
      </c>
      <c r="I345" s="5" t="str">
        <f>IFERROR(VLOOKUP(Consulta1[[#This Row],[Pozo largo]],'Lista YPF'!$B$3:$C$358,2,FALSE),"NO")</f>
        <v>NO</v>
      </c>
      <c r="J345" s="5" t="str">
        <f>IFERROR(VLOOKUP(Consulta1[[#This Row],[Pozo]],'Lista Oportunidades'!B:C,2,FALSE),"NO")</f>
        <v>NO</v>
      </c>
      <c r="K345" s="5">
        <f>IFERROR(VLOOKUP(Consulta1[[#This Row],[Pozo largo]],Controles!B:H,7,FALSE),"NO")</f>
        <v>0</v>
      </c>
      <c r="L345" s="5">
        <f>IFERROR(VLOOKUP(Consulta1[[#This Row],[Pozo largo]],Controles!B:J,9,FALSE),"NO")</f>
        <v>0</v>
      </c>
    </row>
    <row r="346" spans="2:12" x14ac:dyDescent="0.35">
      <c r="B346" s="4" t="s">
        <v>692</v>
      </c>
      <c r="C346" s="4" t="s">
        <v>6102</v>
      </c>
      <c r="D346" s="4" t="s">
        <v>5</v>
      </c>
      <c r="E346" s="4" t="s">
        <v>12</v>
      </c>
      <c r="F346" s="4" t="s">
        <v>238</v>
      </c>
      <c r="G346" s="4" t="s">
        <v>13</v>
      </c>
      <c r="H346" s="4" t="s">
        <v>86</v>
      </c>
      <c r="I346" s="5" t="str">
        <f>IFERROR(VLOOKUP(Consulta1[[#This Row],[Pozo largo]],'Lista YPF'!$B$3:$C$358,2,FALSE),"NO")</f>
        <v>NO</v>
      </c>
      <c r="J346" s="5" t="str">
        <f>IFERROR(VLOOKUP(Consulta1[[#This Row],[Pozo]],'Lista Oportunidades'!B:C,2,FALSE),"NO")</f>
        <v>NO</v>
      </c>
      <c r="K346" s="5">
        <f>IFERROR(VLOOKUP(Consulta1[[#This Row],[Pozo largo]],Controles!B:H,7,FALSE),"NO")</f>
        <v>0.20200000000000001</v>
      </c>
      <c r="L346" s="5">
        <f>IFERROR(VLOOKUP(Consulta1[[#This Row],[Pozo largo]],Controles!B:J,9,FALSE),"NO")</f>
        <v>0</v>
      </c>
    </row>
    <row r="347" spans="2:12" x14ac:dyDescent="0.35">
      <c r="B347" s="4" t="s">
        <v>694</v>
      </c>
      <c r="C347" s="4" t="s">
        <v>6103</v>
      </c>
      <c r="D347" s="4" t="s">
        <v>5</v>
      </c>
      <c r="E347" s="4" t="s">
        <v>12</v>
      </c>
      <c r="F347" s="4" t="s">
        <v>7</v>
      </c>
      <c r="G347" s="4" t="s">
        <v>13</v>
      </c>
      <c r="H347" s="4" t="s">
        <v>185</v>
      </c>
      <c r="I347" s="5" t="str">
        <f>IFERROR(VLOOKUP(Consulta1[[#This Row],[Pozo largo]],'Lista YPF'!$B$3:$C$358,2,FALSE),"NO")</f>
        <v>NO</v>
      </c>
      <c r="J347" s="5" t="str">
        <f>IFERROR(VLOOKUP(Consulta1[[#This Row],[Pozo]],'Lista Oportunidades'!B:C,2,FALSE),"NO")</f>
        <v>NO</v>
      </c>
      <c r="K347" s="5">
        <f>IFERROR(VLOOKUP(Consulta1[[#This Row],[Pozo largo]],Controles!B:H,7,FALSE),"NO")</f>
        <v>2.508</v>
      </c>
      <c r="L347" s="5">
        <f>IFERROR(VLOOKUP(Consulta1[[#This Row],[Pozo largo]],Controles!B:J,9,FALSE),"NO")</f>
        <v>0</v>
      </c>
    </row>
    <row r="348" spans="2:12" x14ac:dyDescent="0.35">
      <c r="B348" s="4" t="s">
        <v>696</v>
      </c>
      <c r="C348" s="4" t="s">
        <v>6104</v>
      </c>
      <c r="D348" s="4" t="s">
        <v>5</v>
      </c>
      <c r="E348" s="4" t="s">
        <v>12</v>
      </c>
      <c r="F348" s="4" t="s">
        <v>7</v>
      </c>
      <c r="G348" s="4" t="s">
        <v>13</v>
      </c>
      <c r="H348" s="4" t="s">
        <v>71</v>
      </c>
      <c r="I348" s="5" t="str">
        <f>IFERROR(VLOOKUP(Consulta1[[#This Row],[Pozo largo]],'Lista YPF'!$B$3:$C$358,2,FALSE),"NO")</f>
        <v>NO</v>
      </c>
      <c r="J348" s="5" t="str">
        <f>IFERROR(VLOOKUP(Consulta1[[#This Row],[Pozo]],'Lista Oportunidades'!B:C,2,FALSE),"NO")</f>
        <v>NO</v>
      </c>
      <c r="K348" s="5">
        <f>IFERROR(VLOOKUP(Consulta1[[#This Row],[Pozo largo]],Controles!B:H,7,FALSE),"NO")</f>
        <v>0.18</v>
      </c>
      <c r="L348" s="5">
        <f>IFERROR(VLOOKUP(Consulta1[[#This Row],[Pozo largo]],Controles!B:J,9,FALSE),"NO")</f>
        <v>0</v>
      </c>
    </row>
    <row r="349" spans="2:12" x14ac:dyDescent="0.35">
      <c r="B349" s="4" t="s">
        <v>698</v>
      </c>
      <c r="C349" s="4" t="s">
        <v>6105</v>
      </c>
      <c r="D349" s="4" t="s">
        <v>5</v>
      </c>
      <c r="E349" s="4" t="s">
        <v>24</v>
      </c>
      <c r="F349" s="4" t="s">
        <v>28</v>
      </c>
      <c r="G349" s="4" t="s">
        <v>8</v>
      </c>
      <c r="H349" s="4" t="s">
        <v>149</v>
      </c>
      <c r="I349" s="5" t="str">
        <f>IFERROR(VLOOKUP(Consulta1[[#This Row],[Pozo largo]],'Lista YPF'!$B$3:$C$358,2,FALSE),"NO")</f>
        <v>NO</v>
      </c>
      <c r="J349" s="5" t="str">
        <f>IFERROR(VLOOKUP(Consulta1[[#This Row],[Pozo]],'Lista Oportunidades'!B:C,2,FALSE),"NO")</f>
        <v>NO</v>
      </c>
      <c r="K349" s="5">
        <f>IFERROR(VLOOKUP(Consulta1[[#This Row],[Pozo largo]],Controles!B:H,7,FALSE),"NO")</f>
        <v>0</v>
      </c>
      <c r="L349" s="5">
        <f>IFERROR(VLOOKUP(Consulta1[[#This Row],[Pozo largo]],Controles!B:J,9,FALSE),"NO")</f>
        <v>0</v>
      </c>
    </row>
    <row r="350" spans="2:12" x14ac:dyDescent="0.35">
      <c r="B350" s="4" t="s">
        <v>700</v>
      </c>
      <c r="C350" s="4" t="s">
        <v>6106</v>
      </c>
      <c r="D350" s="4" t="s">
        <v>5</v>
      </c>
      <c r="E350" s="4" t="s">
        <v>12</v>
      </c>
      <c r="F350" s="4" t="s">
        <v>7</v>
      </c>
      <c r="G350" s="4" t="s">
        <v>13</v>
      </c>
      <c r="H350" s="4" t="s">
        <v>91</v>
      </c>
      <c r="I350" s="5" t="str">
        <f>IFERROR(VLOOKUP(Consulta1[[#This Row],[Pozo largo]],'Lista YPF'!$B$3:$C$358,2,FALSE),"NO")</f>
        <v>NO</v>
      </c>
      <c r="J350" s="5" t="str">
        <f>IFERROR(VLOOKUP(Consulta1[[#This Row],[Pozo]],'Lista Oportunidades'!B:C,2,FALSE),"NO")</f>
        <v>NO</v>
      </c>
      <c r="K350" s="5">
        <f>IFERROR(VLOOKUP(Consulta1[[#This Row],[Pozo largo]],Controles!B:H,7,FALSE),"NO")</f>
        <v>1.33</v>
      </c>
      <c r="L350" s="5">
        <f>IFERROR(VLOOKUP(Consulta1[[#This Row],[Pozo largo]],Controles!B:J,9,FALSE),"NO")</f>
        <v>0</v>
      </c>
    </row>
    <row r="351" spans="2:12" x14ac:dyDescent="0.35">
      <c r="B351" s="4" t="s">
        <v>702</v>
      </c>
      <c r="C351" s="4" t="s">
        <v>6107</v>
      </c>
      <c r="D351" s="4" t="s">
        <v>5</v>
      </c>
      <c r="E351" s="4" t="s">
        <v>12</v>
      </c>
      <c r="F351" s="4" t="s">
        <v>7</v>
      </c>
      <c r="G351" s="4" t="s">
        <v>13</v>
      </c>
      <c r="H351" s="4" t="s">
        <v>86</v>
      </c>
      <c r="I351" s="5" t="str">
        <f>IFERROR(VLOOKUP(Consulta1[[#This Row],[Pozo largo]],'Lista YPF'!$B$3:$C$358,2,FALSE),"NO")</f>
        <v>NO</v>
      </c>
      <c r="J351" s="5" t="str">
        <f>IFERROR(VLOOKUP(Consulta1[[#This Row],[Pozo]],'Lista Oportunidades'!B:C,2,FALSE),"NO")</f>
        <v>NO</v>
      </c>
      <c r="K351" s="5">
        <f>IFERROR(VLOOKUP(Consulta1[[#This Row],[Pozo largo]],Controles!B:H,7,FALSE),"NO")</f>
        <v>1.1990000000000001</v>
      </c>
      <c r="L351" s="5">
        <f>IFERROR(VLOOKUP(Consulta1[[#This Row],[Pozo largo]],Controles!B:J,9,FALSE),"NO")</f>
        <v>0</v>
      </c>
    </row>
    <row r="352" spans="2:12" x14ac:dyDescent="0.35">
      <c r="B352" s="4" t="s">
        <v>704</v>
      </c>
      <c r="C352" s="4" t="s">
        <v>6108</v>
      </c>
      <c r="D352" s="4" t="s">
        <v>5</v>
      </c>
      <c r="E352" s="4" t="s">
        <v>30</v>
      </c>
      <c r="F352" s="4" t="s">
        <v>31</v>
      </c>
      <c r="G352" s="4" t="s">
        <v>32</v>
      </c>
      <c r="H352" s="4" t="s">
        <v>80</v>
      </c>
      <c r="I352" s="5" t="str">
        <f>IFERROR(VLOOKUP(Consulta1[[#This Row],[Pozo largo]],'Lista YPF'!$B$3:$C$358,2,FALSE),"NO")</f>
        <v>NO</v>
      </c>
      <c r="J352" s="5" t="str">
        <f>IFERROR(VLOOKUP(Consulta1[[#This Row],[Pozo]],'Lista Oportunidades'!B:C,2,FALSE),"NO")</f>
        <v>NO</v>
      </c>
      <c r="K352" s="5" t="str">
        <f>IFERROR(VLOOKUP(Consulta1[[#This Row],[Pozo largo]],Controles!B:H,7,FALSE),"NO")</f>
        <v>NO</v>
      </c>
      <c r="L352" s="5" t="str">
        <f>IFERROR(VLOOKUP(Consulta1[[#This Row],[Pozo largo]],Controles!B:J,9,FALSE),"NO")</f>
        <v>NO</v>
      </c>
    </row>
    <row r="353" spans="2:12" x14ac:dyDescent="0.35">
      <c r="B353" s="4" t="s">
        <v>705</v>
      </c>
      <c r="C353" s="4" t="s">
        <v>6109</v>
      </c>
      <c r="D353" s="4" t="s">
        <v>5</v>
      </c>
      <c r="E353" s="4" t="s">
        <v>30</v>
      </c>
      <c r="F353" s="4" t="s">
        <v>31</v>
      </c>
      <c r="G353" s="4" t="s">
        <v>32</v>
      </c>
      <c r="H353" s="4" t="s">
        <v>80</v>
      </c>
      <c r="I353" s="5" t="str">
        <f>IFERROR(VLOOKUP(Consulta1[[#This Row],[Pozo largo]],'Lista YPF'!$B$3:$C$358,2,FALSE),"NO")</f>
        <v>NO</v>
      </c>
      <c r="J353" s="5" t="str">
        <f>IFERROR(VLOOKUP(Consulta1[[#This Row],[Pozo]],'Lista Oportunidades'!B:C,2,FALSE),"NO")</f>
        <v>NO</v>
      </c>
      <c r="K353" s="5">
        <f>IFERROR(VLOOKUP(Consulta1[[#This Row],[Pozo largo]],Controles!B:H,7,FALSE),"NO")</f>
        <v>0.46500000000000002</v>
      </c>
      <c r="L353" s="5">
        <f>IFERROR(VLOOKUP(Consulta1[[#This Row],[Pozo largo]],Controles!B:J,9,FALSE),"NO")</f>
        <v>0</v>
      </c>
    </row>
    <row r="354" spans="2:12" x14ac:dyDescent="0.35">
      <c r="B354" s="4" t="s">
        <v>707</v>
      </c>
      <c r="C354" s="4" t="s">
        <v>6110</v>
      </c>
      <c r="D354" s="4" t="s">
        <v>5</v>
      </c>
      <c r="E354" s="4" t="s">
        <v>12</v>
      </c>
      <c r="F354" s="4" t="s">
        <v>7</v>
      </c>
      <c r="G354" s="4" t="s">
        <v>13</v>
      </c>
      <c r="H354" s="4" t="s">
        <v>71</v>
      </c>
      <c r="I354" s="5" t="str">
        <f>IFERROR(VLOOKUP(Consulta1[[#This Row],[Pozo largo]],'Lista YPF'!$B$3:$C$358,2,FALSE),"NO")</f>
        <v>NO</v>
      </c>
      <c r="J354" s="5" t="str">
        <f>IFERROR(VLOOKUP(Consulta1[[#This Row],[Pozo]],'Lista Oportunidades'!B:C,2,FALSE),"NO")</f>
        <v>NO</v>
      </c>
      <c r="K354" s="5">
        <f>IFERROR(VLOOKUP(Consulta1[[#This Row],[Pozo largo]],Controles!B:H,7,FALSE),"NO")</f>
        <v>0.88</v>
      </c>
      <c r="L354" s="5">
        <f>IFERROR(VLOOKUP(Consulta1[[#This Row],[Pozo largo]],Controles!B:J,9,FALSE),"NO")</f>
        <v>0</v>
      </c>
    </row>
    <row r="355" spans="2:12" x14ac:dyDescent="0.35">
      <c r="B355" s="4" t="s">
        <v>709</v>
      </c>
      <c r="C355" s="4" t="s">
        <v>6111</v>
      </c>
      <c r="D355" s="4" t="s">
        <v>5</v>
      </c>
      <c r="E355" s="4" t="s">
        <v>30</v>
      </c>
      <c r="F355" s="4" t="s">
        <v>31</v>
      </c>
      <c r="G355" s="4" t="s">
        <v>32</v>
      </c>
      <c r="H355" s="4" t="s">
        <v>74</v>
      </c>
      <c r="I355" s="5" t="str">
        <f>IFERROR(VLOOKUP(Consulta1[[#This Row],[Pozo largo]],'Lista YPF'!$B$3:$C$358,2,FALSE),"NO")</f>
        <v>NO</v>
      </c>
      <c r="J355" s="5" t="str">
        <f>IFERROR(VLOOKUP(Consulta1[[#This Row],[Pozo]],'Lista Oportunidades'!B:C,2,FALSE),"NO")</f>
        <v>NO</v>
      </c>
      <c r="K355" s="5">
        <f>IFERROR(VLOOKUP(Consulta1[[#This Row],[Pozo largo]],Controles!B:H,7,FALSE),"NO")</f>
        <v>0.12</v>
      </c>
      <c r="L355" s="5">
        <f>IFERROR(VLOOKUP(Consulta1[[#This Row],[Pozo largo]],Controles!B:J,9,FALSE),"NO")</f>
        <v>0</v>
      </c>
    </row>
    <row r="356" spans="2:12" x14ac:dyDescent="0.35">
      <c r="B356" s="4" t="s">
        <v>711</v>
      </c>
      <c r="C356" s="4" t="s">
        <v>6112</v>
      </c>
      <c r="D356" s="4" t="s">
        <v>5</v>
      </c>
      <c r="E356" s="4" t="s">
        <v>24</v>
      </c>
      <c r="F356" s="4" t="s">
        <v>7</v>
      </c>
      <c r="G356" s="4" t="s">
        <v>8</v>
      </c>
      <c r="H356" s="4" t="s">
        <v>185</v>
      </c>
      <c r="I356" s="5" t="str">
        <f>IFERROR(VLOOKUP(Consulta1[[#This Row],[Pozo largo]],'Lista YPF'!$B$3:$C$358,2,FALSE),"NO")</f>
        <v>NO</v>
      </c>
      <c r="J356" s="5" t="str">
        <f>IFERROR(VLOOKUP(Consulta1[[#This Row],[Pozo]],'Lista Oportunidades'!B:C,2,FALSE),"NO")</f>
        <v>NO</v>
      </c>
      <c r="K356" s="5">
        <f>IFERROR(VLOOKUP(Consulta1[[#This Row],[Pozo largo]],Controles!B:H,7,FALSE),"NO")</f>
        <v>0.51</v>
      </c>
      <c r="L356" s="5">
        <f>IFERROR(VLOOKUP(Consulta1[[#This Row],[Pozo largo]],Controles!B:J,9,FALSE),"NO")</f>
        <v>0</v>
      </c>
    </row>
    <row r="357" spans="2:12" x14ac:dyDescent="0.35">
      <c r="B357" s="4" t="s">
        <v>713</v>
      </c>
      <c r="C357" s="4" t="s">
        <v>6113</v>
      </c>
      <c r="D357" s="4" t="s">
        <v>5</v>
      </c>
      <c r="E357" s="4" t="s">
        <v>12</v>
      </c>
      <c r="F357" s="4" t="s">
        <v>7</v>
      </c>
      <c r="G357" s="4" t="s">
        <v>13</v>
      </c>
      <c r="H357" s="4" t="s">
        <v>185</v>
      </c>
      <c r="I357" s="5" t="str">
        <f>IFERROR(VLOOKUP(Consulta1[[#This Row],[Pozo largo]],'Lista YPF'!$B$3:$C$358,2,FALSE),"NO")</f>
        <v>NO</v>
      </c>
      <c r="J357" s="5" t="str">
        <f>IFERROR(VLOOKUP(Consulta1[[#This Row],[Pozo]],'Lista Oportunidades'!B:C,2,FALSE),"NO")</f>
        <v>NO</v>
      </c>
      <c r="K357" s="5">
        <f>IFERROR(VLOOKUP(Consulta1[[#This Row],[Pozo largo]],Controles!B:H,7,FALSE),"NO")</f>
        <v>0.375</v>
      </c>
      <c r="L357" s="5">
        <f>IFERROR(VLOOKUP(Consulta1[[#This Row],[Pozo largo]],Controles!B:J,9,FALSE),"NO")</f>
        <v>0</v>
      </c>
    </row>
    <row r="358" spans="2:12" x14ac:dyDescent="0.35">
      <c r="B358" s="4" t="s">
        <v>715</v>
      </c>
      <c r="C358" s="4" t="s">
        <v>6114</v>
      </c>
      <c r="D358" s="4" t="s">
        <v>5</v>
      </c>
      <c r="E358" s="4" t="s">
        <v>24</v>
      </c>
      <c r="F358" s="4" t="s">
        <v>7</v>
      </c>
      <c r="G358" s="4" t="s">
        <v>8</v>
      </c>
      <c r="H358" s="4" t="s">
        <v>71</v>
      </c>
      <c r="I358" s="5" t="str">
        <f>IFERROR(VLOOKUP(Consulta1[[#This Row],[Pozo largo]],'Lista YPF'!$B$3:$C$358,2,FALSE),"NO")</f>
        <v>NO</v>
      </c>
      <c r="J358" s="5" t="str">
        <f>IFERROR(VLOOKUP(Consulta1[[#This Row],[Pozo]],'Lista Oportunidades'!B:C,2,FALSE),"NO")</f>
        <v>NO</v>
      </c>
      <c r="K358" s="5">
        <f>IFERROR(VLOOKUP(Consulta1[[#This Row],[Pozo largo]],Controles!B:H,7,FALSE),"NO")</f>
        <v>0.72799999999999998</v>
      </c>
      <c r="L358" s="5">
        <f>IFERROR(VLOOKUP(Consulta1[[#This Row],[Pozo largo]],Controles!B:J,9,FALSE),"NO")</f>
        <v>0</v>
      </c>
    </row>
    <row r="359" spans="2:12" x14ac:dyDescent="0.35">
      <c r="B359" s="4" t="s">
        <v>717</v>
      </c>
      <c r="C359" s="4" t="s">
        <v>6115</v>
      </c>
      <c r="D359" s="4" t="s">
        <v>5</v>
      </c>
      <c r="E359" s="4" t="s">
        <v>12</v>
      </c>
      <c r="F359" s="4" t="s">
        <v>7</v>
      </c>
      <c r="G359" s="4" t="s">
        <v>13</v>
      </c>
      <c r="H359" s="4" t="s">
        <v>185</v>
      </c>
      <c r="I359" s="5" t="str">
        <f>IFERROR(VLOOKUP(Consulta1[[#This Row],[Pozo largo]],'Lista YPF'!$B$3:$C$358,2,FALSE),"NO")</f>
        <v>NO</v>
      </c>
      <c r="J359" s="5" t="str">
        <f>IFERROR(VLOOKUP(Consulta1[[#This Row],[Pozo]],'Lista Oportunidades'!B:C,2,FALSE),"NO")</f>
        <v>NO</v>
      </c>
      <c r="K359" s="5">
        <f>IFERROR(VLOOKUP(Consulta1[[#This Row],[Pozo largo]],Controles!B:H,7,FALSE),"NO")</f>
        <v>1.3320000000000001</v>
      </c>
      <c r="L359" s="5">
        <f>IFERROR(VLOOKUP(Consulta1[[#This Row],[Pozo largo]],Controles!B:J,9,FALSE),"NO")</f>
        <v>0</v>
      </c>
    </row>
    <row r="360" spans="2:12" x14ac:dyDescent="0.35">
      <c r="B360" s="4" t="s">
        <v>719</v>
      </c>
      <c r="C360" s="4" t="s">
        <v>6116</v>
      </c>
      <c r="D360" s="4" t="s">
        <v>5</v>
      </c>
      <c r="E360" s="4" t="s">
        <v>24</v>
      </c>
      <c r="F360" s="4" t="s">
        <v>31</v>
      </c>
      <c r="G360" s="4" t="s">
        <v>8</v>
      </c>
      <c r="H360" s="4" t="s">
        <v>185</v>
      </c>
      <c r="I360" s="5" t="str">
        <f>IFERROR(VLOOKUP(Consulta1[[#This Row],[Pozo largo]],'Lista YPF'!$B$3:$C$358,2,FALSE),"NO")</f>
        <v>NO</v>
      </c>
      <c r="J360" s="5" t="str">
        <f>IFERROR(VLOOKUP(Consulta1[[#This Row],[Pozo]],'Lista Oportunidades'!B:C,2,FALSE),"NO")</f>
        <v>NO</v>
      </c>
      <c r="K360" s="5">
        <f>IFERROR(VLOOKUP(Consulta1[[#This Row],[Pozo largo]],Controles!B:H,7,FALSE),"NO")</f>
        <v>0.98</v>
      </c>
      <c r="L360" s="5">
        <f>IFERROR(VLOOKUP(Consulta1[[#This Row],[Pozo largo]],Controles!B:J,9,FALSE),"NO")</f>
        <v>0</v>
      </c>
    </row>
    <row r="361" spans="2:12" x14ac:dyDescent="0.35">
      <c r="B361" s="4" t="s">
        <v>721</v>
      </c>
      <c r="C361" s="4" t="s">
        <v>6117</v>
      </c>
      <c r="D361" s="4" t="s">
        <v>5</v>
      </c>
      <c r="E361" s="4" t="s">
        <v>24</v>
      </c>
      <c r="F361" s="4" t="s">
        <v>31</v>
      </c>
      <c r="G361" s="4" t="s">
        <v>8</v>
      </c>
      <c r="H361" s="4" t="s">
        <v>185</v>
      </c>
      <c r="I361" s="5" t="str">
        <f>IFERROR(VLOOKUP(Consulta1[[#This Row],[Pozo largo]],'Lista YPF'!$B$3:$C$358,2,FALSE),"NO")</f>
        <v>NO</v>
      </c>
      <c r="J361" s="5" t="str">
        <f>IFERROR(VLOOKUP(Consulta1[[#This Row],[Pozo]],'Lista Oportunidades'!B:C,2,FALSE),"NO")</f>
        <v>NO</v>
      </c>
      <c r="K361" s="5" t="str">
        <f>IFERROR(VLOOKUP(Consulta1[[#This Row],[Pozo largo]],Controles!B:H,7,FALSE),"NO")</f>
        <v>NO</v>
      </c>
      <c r="L361" s="5" t="str">
        <f>IFERROR(VLOOKUP(Consulta1[[#This Row],[Pozo largo]],Controles!B:J,9,FALSE),"NO")</f>
        <v>NO</v>
      </c>
    </row>
    <row r="362" spans="2:12" x14ac:dyDescent="0.35">
      <c r="B362" s="4" t="s">
        <v>722</v>
      </c>
      <c r="C362" s="4" t="s">
        <v>6118</v>
      </c>
      <c r="D362" s="4" t="s">
        <v>5</v>
      </c>
      <c r="E362" s="4" t="s">
        <v>24</v>
      </c>
      <c r="F362" s="4" t="s">
        <v>31</v>
      </c>
      <c r="G362" s="4" t="s">
        <v>8</v>
      </c>
      <c r="H362" s="4" t="s">
        <v>146</v>
      </c>
      <c r="I362" s="5" t="str">
        <f>IFERROR(VLOOKUP(Consulta1[[#This Row],[Pozo largo]],'Lista YPF'!$B$3:$C$358,2,FALSE),"NO")</f>
        <v>NO</v>
      </c>
      <c r="J362" s="5" t="str">
        <f>IFERROR(VLOOKUP(Consulta1[[#This Row],[Pozo]],'Lista Oportunidades'!B:C,2,FALSE),"NO")</f>
        <v>NO</v>
      </c>
      <c r="K362" s="5" t="str">
        <f>IFERROR(VLOOKUP(Consulta1[[#This Row],[Pozo largo]],Controles!B:H,7,FALSE),"NO")</f>
        <v>NO</v>
      </c>
      <c r="L362" s="5" t="str">
        <f>IFERROR(VLOOKUP(Consulta1[[#This Row],[Pozo largo]],Controles!B:J,9,FALSE),"NO")</f>
        <v>NO</v>
      </c>
    </row>
    <row r="363" spans="2:12" x14ac:dyDescent="0.35">
      <c r="B363" s="4" t="s">
        <v>723</v>
      </c>
      <c r="C363" s="4" t="s">
        <v>6119</v>
      </c>
      <c r="D363" s="4" t="s">
        <v>5</v>
      </c>
      <c r="E363" s="4" t="s">
        <v>430</v>
      </c>
      <c r="F363" s="4" t="s">
        <v>7</v>
      </c>
      <c r="G363" s="4" t="s">
        <v>5718</v>
      </c>
      <c r="H363" s="4" t="s">
        <v>21</v>
      </c>
      <c r="I363" s="5" t="str">
        <f>IFERROR(VLOOKUP(Consulta1[[#This Row],[Pozo largo]],'Lista YPF'!$B$3:$C$358,2,FALSE),"NO")</f>
        <v>En lista de Abandono</v>
      </c>
      <c r="J363" s="5" t="str">
        <f>IFERROR(VLOOKUP(Consulta1[[#This Row],[Pozo]],'Lista Oportunidades'!B:C,2,FALSE),"NO")</f>
        <v>NO</v>
      </c>
      <c r="K363" s="5">
        <f>IFERROR(VLOOKUP(Consulta1[[#This Row],[Pozo largo]],Controles!B:H,7,FALSE),"NO")</f>
        <v>0.76</v>
      </c>
      <c r="L363" s="5">
        <f>IFERROR(VLOOKUP(Consulta1[[#This Row],[Pozo largo]],Controles!B:J,9,FALSE),"NO")</f>
        <v>0</v>
      </c>
    </row>
    <row r="364" spans="2:12" x14ac:dyDescent="0.35">
      <c r="B364" s="4" t="s">
        <v>725</v>
      </c>
      <c r="C364" s="4" t="s">
        <v>6120</v>
      </c>
      <c r="D364" s="4" t="s">
        <v>5</v>
      </c>
      <c r="E364" s="4" t="s">
        <v>12</v>
      </c>
      <c r="F364" s="4" t="s">
        <v>28</v>
      </c>
      <c r="G364" s="4" t="s">
        <v>13</v>
      </c>
      <c r="H364" s="4" t="s">
        <v>9</v>
      </c>
      <c r="I364" s="5" t="str">
        <f>IFERROR(VLOOKUP(Consulta1[[#This Row],[Pozo largo]],'Lista YPF'!$B$3:$C$358,2,FALSE),"NO")</f>
        <v>NO</v>
      </c>
      <c r="J364" s="5" t="str">
        <f>IFERROR(VLOOKUP(Consulta1[[#This Row],[Pozo]],'Lista Oportunidades'!B:C,2,FALSE),"NO")</f>
        <v>NO</v>
      </c>
      <c r="K364" s="5">
        <f>IFERROR(VLOOKUP(Consulta1[[#This Row],[Pozo largo]],Controles!B:H,7,FALSE),"NO")</f>
        <v>0</v>
      </c>
      <c r="L364" s="5">
        <f>IFERROR(VLOOKUP(Consulta1[[#This Row],[Pozo largo]],Controles!B:J,9,FALSE),"NO")</f>
        <v>0</v>
      </c>
    </row>
    <row r="365" spans="2:12" x14ac:dyDescent="0.35">
      <c r="B365" s="4" t="s">
        <v>727</v>
      </c>
      <c r="C365" s="4" t="s">
        <v>6121</v>
      </c>
      <c r="D365" s="4" t="s">
        <v>5</v>
      </c>
      <c r="E365" s="4" t="s">
        <v>12</v>
      </c>
      <c r="F365" s="4" t="s">
        <v>28</v>
      </c>
      <c r="G365" s="4" t="s">
        <v>13</v>
      </c>
      <c r="H365" s="4" t="s">
        <v>21</v>
      </c>
      <c r="I365" s="5" t="str">
        <f>IFERROR(VLOOKUP(Consulta1[[#This Row],[Pozo largo]],'Lista YPF'!$B$3:$C$358,2,FALSE),"NO")</f>
        <v>NO</v>
      </c>
      <c r="J365" s="5" t="str">
        <f>IFERROR(VLOOKUP(Consulta1[[#This Row],[Pozo]],'Lista Oportunidades'!B:C,2,FALSE),"NO")</f>
        <v>NO</v>
      </c>
      <c r="K365" s="5">
        <f>IFERROR(VLOOKUP(Consulta1[[#This Row],[Pozo largo]],Controles!B:H,7,FALSE),"NO")</f>
        <v>0</v>
      </c>
      <c r="L365" s="5">
        <f>IFERROR(VLOOKUP(Consulta1[[#This Row],[Pozo largo]],Controles!B:J,9,FALSE),"NO")</f>
        <v>0</v>
      </c>
    </row>
    <row r="366" spans="2:12" x14ac:dyDescent="0.35">
      <c r="B366" s="4" t="s">
        <v>729</v>
      </c>
      <c r="C366" s="4" t="s">
        <v>6122</v>
      </c>
      <c r="D366" s="4" t="s">
        <v>5</v>
      </c>
      <c r="E366" s="4" t="s">
        <v>430</v>
      </c>
      <c r="F366" s="4" t="s">
        <v>7</v>
      </c>
      <c r="G366" s="4" t="s">
        <v>5718</v>
      </c>
      <c r="H366" s="4" t="s">
        <v>21</v>
      </c>
      <c r="I366" s="5" t="str">
        <f>IFERROR(VLOOKUP(Consulta1[[#This Row],[Pozo largo]],'Lista YPF'!$B$3:$C$358,2,FALSE),"NO")</f>
        <v>En lista de Abandono</v>
      </c>
      <c r="J366" s="5" t="str">
        <f>IFERROR(VLOOKUP(Consulta1[[#This Row],[Pozo]],'Lista Oportunidades'!B:C,2,FALSE),"NO")</f>
        <v>NO</v>
      </c>
      <c r="K366" s="5">
        <f>IFERROR(VLOOKUP(Consulta1[[#This Row],[Pozo largo]],Controles!B:H,7,FALSE),"NO")</f>
        <v>0.3</v>
      </c>
      <c r="L366" s="5">
        <f>IFERROR(VLOOKUP(Consulta1[[#This Row],[Pozo largo]],Controles!B:J,9,FALSE),"NO")</f>
        <v>0</v>
      </c>
    </row>
    <row r="367" spans="2:12" x14ac:dyDescent="0.35">
      <c r="B367" s="4" t="s">
        <v>731</v>
      </c>
      <c r="C367" s="4" t="s">
        <v>6123</v>
      </c>
      <c r="D367" s="4" t="s">
        <v>5</v>
      </c>
      <c r="E367" s="4" t="s">
        <v>30</v>
      </c>
      <c r="F367" s="4" t="s">
        <v>31</v>
      </c>
      <c r="G367" s="4" t="s">
        <v>32</v>
      </c>
      <c r="H367" s="4" t="s">
        <v>21</v>
      </c>
      <c r="I367" s="5" t="str">
        <f>IFERROR(VLOOKUP(Consulta1[[#This Row],[Pozo largo]],'Lista YPF'!$B$3:$C$358,2,FALSE),"NO")</f>
        <v>NO</v>
      </c>
      <c r="J367" s="5" t="str">
        <f>IFERROR(VLOOKUP(Consulta1[[#This Row],[Pozo]],'Lista Oportunidades'!B:C,2,FALSE),"NO")</f>
        <v>NO</v>
      </c>
      <c r="K367" s="5">
        <f>IFERROR(VLOOKUP(Consulta1[[#This Row],[Pozo largo]],Controles!B:H,7,FALSE),"NO")</f>
        <v>0.4</v>
      </c>
      <c r="L367" s="5">
        <f>IFERROR(VLOOKUP(Consulta1[[#This Row],[Pozo largo]],Controles!B:J,9,FALSE),"NO")</f>
        <v>0</v>
      </c>
    </row>
    <row r="368" spans="2:12" x14ac:dyDescent="0.35">
      <c r="B368" s="4" t="s">
        <v>733</v>
      </c>
      <c r="C368" s="4" t="s">
        <v>6124</v>
      </c>
      <c r="D368" s="4" t="s">
        <v>5</v>
      </c>
      <c r="E368" s="4" t="s">
        <v>6</v>
      </c>
      <c r="F368" s="4" t="s">
        <v>7</v>
      </c>
      <c r="G368" s="4" t="s">
        <v>5718</v>
      </c>
      <c r="H368" s="4" t="s">
        <v>36</v>
      </c>
      <c r="I368" s="5" t="str">
        <f>IFERROR(VLOOKUP(Consulta1[[#This Row],[Pozo largo]],'Lista YPF'!$B$3:$C$358,2,FALSE),"NO")</f>
        <v>En lista de Abandono</v>
      </c>
      <c r="J368" s="5" t="str">
        <f>IFERROR(VLOOKUP(Consulta1[[#This Row],[Pozo]],'Lista Oportunidades'!B:C,2,FALSE),"NO")</f>
        <v>NO</v>
      </c>
      <c r="K368" s="5">
        <f>IFERROR(VLOOKUP(Consulta1[[#This Row],[Pozo largo]],Controles!B:H,7,FALSE),"NO")</f>
        <v>1.0640000000000001</v>
      </c>
      <c r="L368" s="5">
        <f>IFERROR(VLOOKUP(Consulta1[[#This Row],[Pozo largo]],Controles!B:J,9,FALSE),"NO")</f>
        <v>0</v>
      </c>
    </row>
    <row r="369" spans="2:12" x14ac:dyDescent="0.35">
      <c r="B369" s="4" t="s">
        <v>735</v>
      </c>
      <c r="C369" s="4" t="s">
        <v>6125</v>
      </c>
      <c r="D369" s="4" t="s">
        <v>5</v>
      </c>
      <c r="E369" s="4" t="s">
        <v>12</v>
      </c>
      <c r="F369" s="4" t="s">
        <v>25</v>
      </c>
      <c r="G369" s="4" t="s">
        <v>13</v>
      </c>
      <c r="H369" s="4" t="s">
        <v>33</v>
      </c>
      <c r="I369" s="5" t="str">
        <f>IFERROR(VLOOKUP(Consulta1[[#This Row],[Pozo largo]],'Lista YPF'!$B$3:$C$358,2,FALSE),"NO")</f>
        <v>NO</v>
      </c>
      <c r="J369" s="5" t="str">
        <f>IFERROR(VLOOKUP(Consulta1[[#This Row],[Pozo]],'Lista Oportunidades'!B:C,2,FALSE),"NO")</f>
        <v>NO</v>
      </c>
      <c r="K369" s="5">
        <f>IFERROR(VLOOKUP(Consulta1[[#This Row],[Pozo largo]],Controles!B:H,7,FALSE),"NO")</f>
        <v>0.28800000000000003</v>
      </c>
      <c r="L369" s="5">
        <f>IFERROR(VLOOKUP(Consulta1[[#This Row],[Pozo largo]],Controles!B:J,9,FALSE),"NO")</f>
        <v>0</v>
      </c>
    </row>
    <row r="370" spans="2:12" x14ac:dyDescent="0.35">
      <c r="B370" s="4" t="s">
        <v>737</v>
      </c>
      <c r="C370" s="4" t="s">
        <v>6126</v>
      </c>
      <c r="D370" s="4" t="s">
        <v>5</v>
      </c>
      <c r="E370" s="4" t="s">
        <v>24</v>
      </c>
      <c r="F370" s="4" t="s">
        <v>28</v>
      </c>
      <c r="G370" s="4" t="s">
        <v>8</v>
      </c>
      <c r="H370" s="4" t="s">
        <v>21</v>
      </c>
      <c r="I370" s="5" t="str">
        <f>IFERROR(VLOOKUP(Consulta1[[#This Row],[Pozo largo]],'Lista YPF'!$B$3:$C$358,2,FALSE),"NO")</f>
        <v>NO</v>
      </c>
      <c r="J370" s="5" t="str">
        <f>IFERROR(VLOOKUP(Consulta1[[#This Row],[Pozo]],'Lista Oportunidades'!B:C,2,FALSE),"NO")</f>
        <v>NO</v>
      </c>
      <c r="K370" s="5">
        <f>IFERROR(VLOOKUP(Consulta1[[#This Row],[Pozo largo]],Controles!B:H,7,FALSE),"NO")</f>
        <v>0</v>
      </c>
      <c r="L370" s="5">
        <f>IFERROR(VLOOKUP(Consulta1[[#This Row],[Pozo largo]],Controles!B:J,9,FALSE),"NO")</f>
        <v>0</v>
      </c>
    </row>
    <row r="371" spans="2:12" x14ac:dyDescent="0.35">
      <c r="B371" s="4" t="s">
        <v>739</v>
      </c>
      <c r="C371" s="4" t="s">
        <v>6127</v>
      </c>
      <c r="D371" s="4" t="s">
        <v>5</v>
      </c>
      <c r="E371" s="4" t="s">
        <v>12</v>
      </c>
      <c r="F371" s="4" t="s">
        <v>25</v>
      </c>
      <c r="G371" s="4" t="s">
        <v>13</v>
      </c>
      <c r="H371" s="4" t="s">
        <v>254</v>
      </c>
      <c r="I371" s="5" t="str">
        <f>IFERROR(VLOOKUP(Consulta1[[#This Row],[Pozo largo]],'Lista YPF'!$B$3:$C$358,2,FALSE),"NO")</f>
        <v>NO</v>
      </c>
      <c r="J371" s="5" t="str">
        <f>IFERROR(VLOOKUP(Consulta1[[#This Row],[Pozo]],'Lista Oportunidades'!B:C,2,FALSE),"NO")</f>
        <v>NO</v>
      </c>
      <c r="K371" s="5">
        <f>IFERROR(VLOOKUP(Consulta1[[#This Row],[Pozo largo]],Controles!B:H,7,FALSE),"NO")</f>
        <v>0.115</v>
      </c>
      <c r="L371" s="5">
        <f>IFERROR(VLOOKUP(Consulta1[[#This Row],[Pozo largo]],Controles!B:J,9,FALSE),"NO")</f>
        <v>0</v>
      </c>
    </row>
    <row r="372" spans="2:12" x14ac:dyDescent="0.35">
      <c r="B372" s="4" t="s">
        <v>741</v>
      </c>
      <c r="C372" s="4" t="s">
        <v>6128</v>
      </c>
      <c r="D372" s="4" t="s">
        <v>5</v>
      </c>
      <c r="E372" s="4" t="s">
        <v>57</v>
      </c>
      <c r="F372" s="4" t="s">
        <v>28</v>
      </c>
      <c r="G372" s="4" t="s">
        <v>5718</v>
      </c>
      <c r="H372" s="4" t="s">
        <v>33</v>
      </c>
      <c r="I372" s="5" t="str">
        <f>IFERROR(VLOOKUP(Consulta1[[#This Row],[Pozo largo]],'Lista YPF'!$B$3:$C$358,2,FALSE),"NO")</f>
        <v>En lista de Abandono</v>
      </c>
      <c r="J372" s="5" t="str">
        <f>IFERROR(VLOOKUP(Consulta1[[#This Row],[Pozo]],'Lista Oportunidades'!B:C,2,FALSE),"NO")</f>
        <v>NO</v>
      </c>
      <c r="K372" s="5">
        <f>IFERROR(VLOOKUP(Consulta1[[#This Row],[Pozo largo]],Controles!B:H,7,FALSE),"NO")</f>
        <v>0</v>
      </c>
      <c r="L372" s="5">
        <f>IFERROR(VLOOKUP(Consulta1[[#This Row],[Pozo largo]],Controles!B:J,9,FALSE),"NO")</f>
        <v>0</v>
      </c>
    </row>
    <row r="373" spans="2:12" x14ac:dyDescent="0.35">
      <c r="B373" s="4" t="s">
        <v>743</v>
      </c>
      <c r="C373" s="4" t="s">
        <v>6129</v>
      </c>
      <c r="D373" s="4" t="s">
        <v>5</v>
      </c>
      <c r="E373" s="4" t="s">
        <v>430</v>
      </c>
      <c r="F373" s="4" t="s">
        <v>7</v>
      </c>
      <c r="G373" s="4" t="s">
        <v>5718</v>
      </c>
      <c r="H373" s="4" t="s">
        <v>33</v>
      </c>
      <c r="I373" s="5" t="str">
        <f>IFERROR(VLOOKUP(Consulta1[[#This Row],[Pozo largo]],'Lista YPF'!$B$3:$C$358,2,FALSE),"NO")</f>
        <v>En lista de Abandono</v>
      </c>
      <c r="J373" s="5" t="str">
        <f>IFERROR(VLOOKUP(Consulta1[[#This Row],[Pozo]],'Lista Oportunidades'!B:C,2,FALSE),"NO")</f>
        <v>NO</v>
      </c>
      <c r="K373" s="5">
        <f>IFERROR(VLOOKUP(Consulta1[[#This Row],[Pozo largo]],Controles!B:H,7,FALSE),"NO")</f>
        <v>0.28000000000000003</v>
      </c>
      <c r="L373" s="5">
        <f>IFERROR(VLOOKUP(Consulta1[[#This Row],[Pozo largo]],Controles!B:J,9,FALSE),"NO")</f>
        <v>0</v>
      </c>
    </row>
    <row r="374" spans="2:12" x14ac:dyDescent="0.35">
      <c r="B374" s="4" t="s">
        <v>745</v>
      </c>
      <c r="C374" s="4" t="s">
        <v>6130</v>
      </c>
      <c r="D374" s="4" t="s">
        <v>5</v>
      </c>
      <c r="E374" s="4" t="s">
        <v>12</v>
      </c>
      <c r="F374" s="4" t="s">
        <v>7</v>
      </c>
      <c r="G374" s="4" t="s">
        <v>13</v>
      </c>
      <c r="H374" s="4" t="s">
        <v>33</v>
      </c>
      <c r="I374" s="5" t="str">
        <f>IFERROR(VLOOKUP(Consulta1[[#This Row],[Pozo largo]],'Lista YPF'!$B$3:$C$358,2,FALSE),"NO")</f>
        <v>NO</v>
      </c>
      <c r="J374" s="5" t="str">
        <f>IFERROR(VLOOKUP(Consulta1[[#This Row],[Pozo]],'Lista Oportunidades'!B:C,2,FALSE),"NO")</f>
        <v>NO</v>
      </c>
      <c r="K374" s="5">
        <f>IFERROR(VLOOKUP(Consulta1[[#This Row],[Pozo largo]],Controles!B:H,7,FALSE),"NO")</f>
        <v>0.46</v>
      </c>
      <c r="L374" s="5">
        <f>IFERROR(VLOOKUP(Consulta1[[#This Row],[Pozo largo]],Controles!B:J,9,FALSE),"NO")</f>
        <v>0</v>
      </c>
    </row>
    <row r="375" spans="2:12" x14ac:dyDescent="0.35">
      <c r="B375" s="4" t="s">
        <v>747</v>
      </c>
      <c r="C375" s="4" t="s">
        <v>6131</v>
      </c>
      <c r="D375" s="4" t="s">
        <v>5</v>
      </c>
      <c r="E375" s="4" t="s">
        <v>12</v>
      </c>
      <c r="F375" s="4" t="s">
        <v>7</v>
      </c>
      <c r="G375" s="4" t="s">
        <v>13</v>
      </c>
      <c r="H375" s="4" t="s">
        <v>33</v>
      </c>
      <c r="I375" s="5" t="str">
        <f>IFERROR(VLOOKUP(Consulta1[[#This Row],[Pozo largo]],'Lista YPF'!$B$3:$C$358,2,FALSE),"NO")</f>
        <v>NO</v>
      </c>
      <c r="J375" s="5" t="str">
        <f>IFERROR(VLOOKUP(Consulta1[[#This Row],[Pozo]],'Lista Oportunidades'!B:C,2,FALSE),"NO")</f>
        <v>NO</v>
      </c>
      <c r="K375" s="5">
        <f>IFERROR(VLOOKUP(Consulta1[[#This Row],[Pozo largo]],Controles!B:H,7,FALSE),"NO")</f>
        <v>1.44</v>
      </c>
      <c r="L375" s="5">
        <f>IFERROR(VLOOKUP(Consulta1[[#This Row],[Pozo largo]],Controles!B:J,9,FALSE),"NO")</f>
        <v>0</v>
      </c>
    </row>
    <row r="376" spans="2:12" x14ac:dyDescent="0.35">
      <c r="B376" s="4" t="s">
        <v>749</v>
      </c>
      <c r="C376" s="4" t="s">
        <v>5765</v>
      </c>
      <c r="D376" s="4" t="s">
        <v>5</v>
      </c>
      <c r="E376" s="4" t="s">
        <v>57</v>
      </c>
      <c r="F376" s="4" t="s">
        <v>7</v>
      </c>
      <c r="G376" s="4" t="s">
        <v>8689</v>
      </c>
      <c r="H376" s="4" t="s">
        <v>21</v>
      </c>
      <c r="I376" s="5" t="str">
        <f>IFERROR(VLOOKUP(Consulta1[[#This Row],[Pozo largo]],'Lista YPF'!$B$3:$C$358,2,FALSE),"NO")</f>
        <v>NO</v>
      </c>
      <c r="J376" s="5" t="str">
        <f>IFERROR(VLOOKUP(Consulta1[[#This Row],[Pozo]],'Lista Oportunidades'!B:C,2,FALSE),"NO")</f>
        <v>Oportunidad</v>
      </c>
      <c r="K376" s="5">
        <f>IFERROR(VLOOKUP(Consulta1[[#This Row],[Pozo largo]],Controles!B:H,7,FALSE),"NO")</f>
        <v>1.75</v>
      </c>
      <c r="L376" s="5" t="str">
        <f>IFERROR(VLOOKUP(Consulta1[[#This Row],[Pozo largo]],Controles!B:J,9,FALSE),"NO")</f>
        <v>Ultimos 6 meses</v>
      </c>
    </row>
    <row r="377" spans="2:12" x14ac:dyDescent="0.35">
      <c r="B377" s="4" t="s">
        <v>751</v>
      </c>
      <c r="C377" s="4" t="s">
        <v>6132</v>
      </c>
      <c r="D377" s="4" t="s">
        <v>5</v>
      </c>
      <c r="E377" s="4" t="s">
        <v>57</v>
      </c>
      <c r="F377" s="4" t="s">
        <v>7</v>
      </c>
      <c r="G377" s="4" t="s">
        <v>5718</v>
      </c>
      <c r="H377" s="4" t="s">
        <v>36</v>
      </c>
      <c r="I377" s="5" t="str">
        <f>IFERROR(VLOOKUP(Consulta1[[#This Row],[Pozo largo]],'Lista YPF'!$B$3:$C$358,2,FALSE),"NO")</f>
        <v>En lista de Abandono</v>
      </c>
      <c r="J377" s="5" t="str">
        <f>IFERROR(VLOOKUP(Consulta1[[#This Row],[Pozo]],'Lista Oportunidades'!B:C,2,FALSE),"NO")</f>
        <v>NO</v>
      </c>
      <c r="K377" s="5">
        <f>IFERROR(VLOOKUP(Consulta1[[#This Row],[Pozo largo]],Controles!B:H,7,FALSE),"NO")</f>
        <v>1.1200000000000001</v>
      </c>
      <c r="L377" s="5">
        <f>IFERROR(VLOOKUP(Consulta1[[#This Row],[Pozo largo]],Controles!B:J,9,FALSE),"NO")</f>
        <v>0</v>
      </c>
    </row>
    <row r="378" spans="2:12" x14ac:dyDescent="0.35">
      <c r="B378" s="4" t="s">
        <v>753</v>
      </c>
      <c r="C378" s="4" t="s">
        <v>6133</v>
      </c>
      <c r="D378" s="4" t="s">
        <v>5</v>
      </c>
      <c r="E378" s="4" t="s">
        <v>30</v>
      </c>
      <c r="F378" s="4" t="s">
        <v>31</v>
      </c>
      <c r="G378" s="4" t="s">
        <v>32</v>
      </c>
      <c r="H378" s="4" t="s">
        <v>80</v>
      </c>
      <c r="I378" s="5" t="str">
        <f>IFERROR(VLOOKUP(Consulta1[[#This Row],[Pozo largo]],'Lista YPF'!$B$3:$C$358,2,FALSE),"NO")</f>
        <v>NO</v>
      </c>
      <c r="J378" s="5" t="str">
        <f>IFERROR(VLOOKUP(Consulta1[[#This Row],[Pozo]],'Lista Oportunidades'!B:C,2,FALSE),"NO")</f>
        <v>NO</v>
      </c>
      <c r="K378" s="5" t="str">
        <f>IFERROR(VLOOKUP(Consulta1[[#This Row],[Pozo largo]],Controles!B:H,7,FALSE),"NO")</f>
        <v>NO</v>
      </c>
      <c r="L378" s="5" t="str">
        <f>IFERROR(VLOOKUP(Consulta1[[#This Row],[Pozo largo]],Controles!B:J,9,FALSE),"NO")</f>
        <v>NO</v>
      </c>
    </row>
    <row r="379" spans="2:12" x14ac:dyDescent="0.35">
      <c r="B379" s="4" t="s">
        <v>754</v>
      </c>
      <c r="C379" s="4" t="s">
        <v>6134</v>
      </c>
      <c r="D379" s="4" t="s">
        <v>5</v>
      </c>
      <c r="E379" s="4" t="s">
        <v>30</v>
      </c>
      <c r="F379" s="4" t="s">
        <v>31</v>
      </c>
      <c r="G379" s="4" t="s">
        <v>32</v>
      </c>
      <c r="H379" s="4" t="s">
        <v>86</v>
      </c>
      <c r="I379" s="5" t="str">
        <f>IFERROR(VLOOKUP(Consulta1[[#This Row],[Pozo largo]],'Lista YPF'!$B$3:$C$358,2,FALSE),"NO")</f>
        <v>NO</v>
      </c>
      <c r="J379" s="5" t="str">
        <f>IFERROR(VLOOKUP(Consulta1[[#This Row],[Pozo]],'Lista Oportunidades'!B:C,2,FALSE),"NO")</f>
        <v>NO</v>
      </c>
      <c r="K379" s="5" t="str">
        <f>IFERROR(VLOOKUP(Consulta1[[#This Row],[Pozo largo]],Controles!B:H,7,FALSE),"NO")</f>
        <v>NO</v>
      </c>
      <c r="L379" s="5" t="str">
        <f>IFERROR(VLOOKUP(Consulta1[[#This Row],[Pozo largo]],Controles!B:J,9,FALSE),"NO")</f>
        <v>NO</v>
      </c>
    </row>
    <row r="380" spans="2:12" x14ac:dyDescent="0.35">
      <c r="B380" s="4" t="s">
        <v>755</v>
      </c>
      <c r="C380" s="4" t="s">
        <v>6135</v>
      </c>
      <c r="D380" s="4" t="s">
        <v>5</v>
      </c>
      <c r="E380" s="4" t="s">
        <v>12</v>
      </c>
      <c r="F380" s="4" t="s">
        <v>83</v>
      </c>
      <c r="G380" s="4" t="s">
        <v>13</v>
      </c>
      <c r="H380" s="4" t="s">
        <v>16</v>
      </c>
      <c r="I380" s="5" t="str">
        <f>IFERROR(VLOOKUP(Consulta1[[#This Row],[Pozo largo]],'Lista YPF'!$B$3:$C$358,2,FALSE),"NO")</f>
        <v>NO</v>
      </c>
      <c r="J380" s="5" t="str">
        <f>IFERROR(VLOOKUP(Consulta1[[#This Row],[Pozo]],'Lista Oportunidades'!B:C,2,FALSE),"NO")</f>
        <v>NO</v>
      </c>
      <c r="K380" s="5">
        <f>IFERROR(VLOOKUP(Consulta1[[#This Row],[Pozo largo]],Controles!B:H,7,FALSE),"NO")</f>
        <v>1.9240000000000002</v>
      </c>
      <c r="L380" s="5">
        <f>IFERROR(VLOOKUP(Consulta1[[#This Row],[Pozo largo]],Controles!B:J,9,FALSE),"NO")</f>
        <v>0</v>
      </c>
    </row>
    <row r="381" spans="2:12" x14ac:dyDescent="0.35">
      <c r="B381" s="4" t="s">
        <v>757</v>
      </c>
      <c r="C381" s="4" t="s">
        <v>6136</v>
      </c>
      <c r="D381" s="4" t="s">
        <v>5</v>
      </c>
      <c r="E381" s="4" t="s">
        <v>12</v>
      </c>
      <c r="F381" s="4" t="s">
        <v>238</v>
      </c>
      <c r="G381" s="4" t="s">
        <v>13</v>
      </c>
      <c r="H381" s="4" t="s">
        <v>9</v>
      </c>
      <c r="I381" s="5" t="str">
        <f>IFERROR(VLOOKUP(Consulta1[[#This Row],[Pozo largo]],'Lista YPF'!$B$3:$C$358,2,FALSE),"NO")</f>
        <v>NO</v>
      </c>
      <c r="J381" s="5" t="str">
        <f>IFERROR(VLOOKUP(Consulta1[[#This Row],[Pozo]],'Lista Oportunidades'!B:C,2,FALSE),"NO")</f>
        <v>NO</v>
      </c>
      <c r="K381" s="5">
        <f>IFERROR(VLOOKUP(Consulta1[[#This Row],[Pozo largo]],Controles!B:H,7,FALSE),"NO")</f>
        <v>0.9</v>
      </c>
      <c r="L381" s="5">
        <f>IFERROR(VLOOKUP(Consulta1[[#This Row],[Pozo largo]],Controles!B:J,9,FALSE),"NO")</f>
        <v>0</v>
      </c>
    </row>
    <row r="382" spans="2:12" x14ac:dyDescent="0.35">
      <c r="B382" s="4" t="s">
        <v>759</v>
      </c>
      <c r="C382" s="4" t="s">
        <v>6137</v>
      </c>
      <c r="D382" s="4" t="s">
        <v>5</v>
      </c>
      <c r="E382" s="4" t="s">
        <v>12</v>
      </c>
      <c r="F382" s="4" t="s">
        <v>7</v>
      </c>
      <c r="G382" s="4" t="s">
        <v>13</v>
      </c>
      <c r="H382" s="4" t="s">
        <v>185</v>
      </c>
      <c r="I382" s="5" t="str">
        <f>IFERROR(VLOOKUP(Consulta1[[#This Row],[Pozo largo]],'Lista YPF'!$B$3:$C$358,2,FALSE),"NO")</f>
        <v>NO</v>
      </c>
      <c r="J382" s="5" t="str">
        <f>IFERROR(VLOOKUP(Consulta1[[#This Row],[Pozo]],'Lista Oportunidades'!B:C,2,FALSE),"NO")</f>
        <v>NO</v>
      </c>
      <c r="K382" s="5">
        <f>IFERROR(VLOOKUP(Consulta1[[#This Row],[Pozo largo]],Controles!B:H,7,FALSE),"NO")</f>
        <v>1.5</v>
      </c>
      <c r="L382" s="5">
        <f>IFERROR(VLOOKUP(Consulta1[[#This Row],[Pozo largo]],Controles!B:J,9,FALSE),"NO")</f>
        <v>0</v>
      </c>
    </row>
    <row r="383" spans="2:12" x14ac:dyDescent="0.35">
      <c r="B383" s="4" t="s">
        <v>761</v>
      </c>
      <c r="C383" s="4" t="s">
        <v>6138</v>
      </c>
      <c r="D383" s="4" t="s">
        <v>5</v>
      </c>
      <c r="E383" s="4" t="s">
        <v>12</v>
      </c>
      <c r="F383" s="4" t="s">
        <v>7</v>
      </c>
      <c r="G383" s="4" t="s">
        <v>13</v>
      </c>
      <c r="H383" s="4" t="s">
        <v>71</v>
      </c>
      <c r="I383" s="5" t="str">
        <f>IFERROR(VLOOKUP(Consulta1[[#This Row],[Pozo largo]],'Lista YPF'!$B$3:$C$358,2,FALSE),"NO")</f>
        <v>NO</v>
      </c>
      <c r="J383" s="5" t="str">
        <f>IFERROR(VLOOKUP(Consulta1[[#This Row],[Pozo]],'Lista Oportunidades'!B:C,2,FALSE),"NO")</f>
        <v>NO</v>
      </c>
      <c r="K383" s="5">
        <f>IFERROR(VLOOKUP(Consulta1[[#This Row],[Pozo largo]],Controles!B:H,7,FALSE),"NO")</f>
        <v>2.2000000000000002</v>
      </c>
      <c r="L383" s="5">
        <f>IFERROR(VLOOKUP(Consulta1[[#This Row],[Pozo largo]],Controles!B:J,9,FALSE),"NO")</f>
        <v>0</v>
      </c>
    </row>
    <row r="384" spans="2:12" x14ac:dyDescent="0.35">
      <c r="B384" s="4" t="s">
        <v>763</v>
      </c>
      <c r="C384" s="4" t="s">
        <v>6139</v>
      </c>
      <c r="D384" s="4" t="s">
        <v>5</v>
      </c>
      <c r="E384" s="4" t="s">
        <v>12</v>
      </c>
      <c r="F384" s="4" t="s">
        <v>7</v>
      </c>
      <c r="G384" s="4" t="s">
        <v>13</v>
      </c>
      <c r="H384" s="4" t="s">
        <v>91</v>
      </c>
      <c r="I384" s="5" t="str">
        <f>IFERROR(VLOOKUP(Consulta1[[#This Row],[Pozo largo]],'Lista YPF'!$B$3:$C$358,2,FALSE),"NO")</f>
        <v>NO</v>
      </c>
      <c r="J384" s="5" t="str">
        <f>IFERROR(VLOOKUP(Consulta1[[#This Row],[Pozo]],'Lista Oportunidades'!B:C,2,FALSE),"NO")</f>
        <v>NO</v>
      </c>
      <c r="K384" s="5">
        <f>IFERROR(VLOOKUP(Consulta1[[#This Row],[Pozo largo]],Controles!B:H,7,FALSE),"NO")</f>
        <v>0.60899999999999999</v>
      </c>
      <c r="L384" s="5">
        <f>IFERROR(VLOOKUP(Consulta1[[#This Row],[Pozo largo]],Controles!B:J,9,FALSE),"NO")</f>
        <v>0</v>
      </c>
    </row>
    <row r="385" spans="2:12" x14ac:dyDescent="0.35">
      <c r="B385" s="4" t="s">
        <v>765</v>
      </c>
      <c r="C385" s="4" t="s">
        <v>6140</v>
      </c>
      <c r="D385" s="4" t="s">
        <v>5</v>
      </c>
      <c r="E385" s="4" t="s">
        <v>12</v>
      </c>
      <c r="F385" s="4" t="s">
        <v>238</v>
      </c>
      <c r="G385" s="4" t="s">
        <v>13</v>
      </c>
      <c r="H385" s="4" t="s">
        <v>185</v>
      </c>
      <c r="I385" s="5" t="str">
        <f>IFERROR(VLOOKUP(Consulta1[[#This Row],[Pozo largo]],'Lista YPF'!$B$3:$C$358,2,FALSE),"NO")</f>
        <v>NO</v>
      </c>
      <c r="J385" s="5" t="str">
        <f>IFERROR(VLOOKUP(Consulta1[[#This Row],[Pozo]],'Lista Oportunidades'!B:C,2,FALSE),"NO")</f>
        <v>NO</v>
      </c>
      <c r="K385" s="5">
        <f>IFERROR(VLOOKUP(Consulta1[[#This Row],[Pozo largo]],Controles!B:H,7,FALSE),"NO")</f>
        <v>0.51900000000000002</v>
      </c>
      <c r="L385" s="5">
        <f>IFERROR(VLOOKUP(Consulta1[[#This Row],[Pozo largo]],Controles!B:J,9,FALSE),"NO")</f>
        <v>0</v>
      </c>
    </row>
    <row r="386" spans="2:12" x14ac:dyDescent="0.35">
      <c r="B386" s="4" t="s">
        <v>767</v>
      </c>
      <c r="C386" s="4" t="s">
        <v>6141</v>
      </c>
      <c r="D386" s="4" t="s">
        <v>5</v>
      </c>
      <c r="E386" s="4" t="s">
        <v>12</v>
      </c>
      <c r="F386" s="4" t="s">
        <v>7</v>
      </c>
      <c r="G386" s="4" t="s">
        <v>13</v>
      </c>
      <c r="H386" s="4" t="s">
        <v>185</v>
      </c>
      <c r="I386" s="5" t="str">
        <f>IFERROR(VLOOKUP(Consulta1[[#This Row],[Pozo largo]],'Lista YPF'!$B$3:$C$358,2,FALSE),"NO")</f>
        <v>NO</v>
      </c>
      <c r="J386" s="5" t="str">
        <f>IFERROR(VLOOKUP(Consulta1[[#This Row],[Pozo]],'Lista Oportunidades'!B:C,2,FALSE),"NO")</f>
        <v>NO</v>
      </c>
      <c r="K386" s="5">
        <f>IFERROR(VLOOKUP(Consulta1[[#This Row],[Pozo largo]],Controles!B:H,7,FALSE),"NO")</f>
        <v>0.29799999999999999</v>
      </c>
      <c r="L386" s="5">
        <f>IFERROR(VLOOKUP(Consulta1[[#This Row],[Pozo largo]],Controles!B:J,9,FALSE),"NO")</f>
        <v>0</v>
      </c>
    </row>
    <row r="387" spans="2:12" x14ac:dyDescent="0.35">
      <c r="B387" s="4" t="s">
        <v>769</v>
      </c>
      <c r="C387" s="4" t="s">
        <v>6142</v>
      </c>
      <c r="D387" s="4" t="s">
        <v>5</v>
      </c>
      <c r="E387" s="4" t="s">
        <v>12</v>
      </c>
      <c r="F387" s="4" t="s">
        <v>7</v>
      </c>
      <c r="G387" s="4" t="s">
        <v>13</v>
      </c>
      <c r="H387" s="4" t="s">
        <v>185</v>
      </c>
      <c r="I387" s="5" t="str">
        <f>IFERROR(VLOOKUP(Consulta1[[#This Row],[Pozo largo]],'Lista YPF'!$B$3:$C$358,2,FALSE),"NO")</f>
        <v>NO</v>
      </c>
      <c r="J387" s="5" t="str">
        <f>IFERROR(VLOOKUP(Consulta1[[#This Row],[Pozo]],'Lista Oportunidades'!B:C,2,FALSE),"NO")</f>
        <v>NO</v>
      </c>
      <c r="K387" s="5">
        <f>IFERROR(VLOOKUP(Consulta1[[#This Row],[Pozo largo]],Controles!B:H,7,FALSE),"NO")</f>
        <v>2.42</v>
      </c>
      <c r="L387" s="5">
        <f>IFERROR(VLOOKUP(Consulta1[[#This Row],[Pozo largo]],Controles!B:J,9,FALSE),"NO")</f>
        <v>0</v>
      </c>
    </row>
    <row r="388" spans="2:12" x14ac:dyDescent="0.35">
      <c r="B388" s="4" t="s">
        <v>771</v>
      </c>
      <c r="C388" s="4" t="s">
        <v>6143</v>
      </c>
      <c r="D388" s="4" t="s">
        <v>5</v>
      </c>
      <c r="E388" s="4" t="s">
        <v>30</v>
      </c>
      <c r="F388" s="4" t="s">
        <v>31</v>
      </c>
      <c r="G388" s="4" t="s">
        <v>32</v>
      </c>
      <c r="H388" s="4" t="s">
        <v>36</v>
      </c>
      <c r="I388" s="5" t="str">
        <f>IFERROR(VLOOKUP(Consulta1[[#This Row],[Pozo largo]],'Lista YPF'!$B$3:$C$358,2,FALSE),"NO")</f>
        <v>NO</v>
      </c>
      <c r="J388" s="5" t="str">
        <f>IFERROR(VLOOKUP(Consulta1[[#This Row],[Pozo]],'Lista Oportunidades'!B:C,2,FALSE),"NO")</f>
        <v>NO</v>
      </c>
      <c r="K388" s="5" t="str">
        <f>IFERROR(VLOOKUP(Consulta1[[#This Row],[Pozo largo]],Controles!B:H,7,FALSE),"NO")</f>
        <v>NO</v>
      </c>
      <c r="L388" s="5" t="str">
        <f>IFERROR(VLOOKUP(Consulta1[[#This Row],[Pozo largo]],Controles!B:J,9,FALSE),"NO")</f>
        <v>NO</v>
      </c>
    </row>
    <row r="389" spans="2:12" x14ac:dyDescent="0.35">
      <c r="B389" s="4" t="s">
        <v>772</v>
      </c>
      <c r="C389" s="4" t="s">
        <v>6144</v>
      </c>
      <c r="D389" s="4" t="s">
        <v>5</v>
      </c>
      <c r="E389" s="4" t="s">
        <v>24</v>
      </c>
      <c r="F389" s="4" t="s">
        <v>7</v>
      </c>
      <c r="G389" s="4" t="s">
        <v>8</v>
      </c>
      <c r="H389" s="4" t="s">
        <v>80</v>
      </c>
      <c r="I389" s="5" t="str">
        <f>IFERROR(VLOOKUP(Consulta1[[#This Row],[Pozo largo]],'Lista YPF'!$B$3:$C$358,2,FALSE),"NO")</f>
        <v>NO</v>
      </c>
      <c r="J389" s="5" t="str">
        <f>IFERROR(VLOOKUP(Consulta1[[#This Row],[Pozo]],'Lista Oportunidades'!B:C,2,FALSE),"NO")</f>
        <v>NO</v>
      </c>
      <c r="K389" s="5">
        <f>IFERROR(VLOOKUP(Consulta1[[#This Row],[Pozo largo]],Controles!B:H,7,FALSE),"NO")</f>
        <v>0.24500000000000002</v>
      </c>
      <c r="L389" s="5">
        <f>IFERROR(VLOOKUP(Consulta1[[#This Row],[Pozo largo]],Controles!B:J,9,FALSE),"NO")</f>
        <v>0</v>
      </c>
    </row>
    <row r="390" spans="2:12" x14ac:dyDescent="0.35">
      <c r="B390" s="4" t="s">
        <v>774</v>
      </c>
      <c r="C390" s="4" t="s">
        <v>6145</v>
      </c>
      <c r="D390" s="4" t="s">
        <v>5</v>
      </c>
      <c r="E390" s="4" t="s">
        <v>24</v>
      </c>
      <c r="F390" s="4" t="s">
        <v>25</v>
      </c>
      <c r="G390" s="4" t="s">
        <v>8</v>
      </c>
      <c r="H390" s="4" t="s">
        <v>86</v>
      </c>
      <c r="I390" s="5" t="str">
        <f>IFERROR(VLOOKUP(Consulta1[[#This Row],[Pozo largo]],'Lista YPF'!$B$3:$C$358,2,FALSE),"NO")</f>
        <v>NO</v>
      </c>
      <c r="J390" s="5" t="str">
        <f>IFERROR(VLOOKUP(Consulta1[[#This Row],[Pozo]],'Lista Oportunidades'!B:C,2,FALSE),"NO")</f>
        <v>NO</v>
      </c>
      <c r="K390" s="5">
        <f>IFERROR(VLOOKUP(Consulta1[[#This Row],[Pozo largo]],Controles!B:H,7,FALSE),"NO")</f>
        <v>0.14100000000000001</v>
      </c>
      <c r="L390" s="5">
        <f>IFERROR(VLOOKUP(Consulta1[[#This Row],[Pozo largo]],Controles!B:J,9,FALSE),"NO")</f>
        <v>0</v>
      </c>
    </row>
    <row r="391" spans="2:12" x14ac:dyDescent="0.35">
      <c r="B391" s="4" t="s">
        <v>776</v>
      </c>
      <c r="C391" s="4" t="s">
        <v>6146</v>
      </c>
      <c r="D391" s="4" t="s">
        <v>5</v>
      </c>
      <c r="E391" s="4" t="s">
        <v>12</v>
      </c>
      <c r="F391" s="4" t="s">
        <v>7</v>
      </c>
      <c r="G391" s="4" t="s">
        <v>13</v>
      </c>
      <c r="H391" s="4" t="s">
        <v>86</v>
      </c>
      <c r="I391" s="5" t="str">
        <f>IFERROR(VLOOKUP(Consulta1[[#This Row],[Pozo largo]],'Lista YPF'!$B$3:$C$358,2,FALSE),"NO")</f>
        <v>NO</v>
      </c>
      <c r="J391" s="5" t="str">
        <f>IFERROR(VLOOKUP(Consulta1[[#This Row],[Pozo]],'Lista Oportunidades'!B:C,2,FALSE),"NO")</f>
        <v>NO</v>
      </c>
      <c r="K391" s="5">
        <f>IFERROR(VLOOKUP(Consulta1[[#This Row],[Pozo largo]],Controles!B:H,7,FALSE),"NO")</f>
        <v>1.0230000000000001</v>
      </c>
      <c r="L391" s="5">
        <f>IFERROR(VLOOKUP(Consulta1[[#This Row],[Pozo largo]],Controles!B:J,9,FALSE),"NO")</f>
        <v>0</v>
      </c>
    </row>
    <row r="392" spans="2:12" x14ac:dyDescent="0.35">
      <c r="B392" s="4" t="s">
        <v>778</v>
      </c>
      <c r="C392" s="4" t="s">
        <v>6147</v>
      </c>
      <c r="D392" s="4" t="s">
        <v>5</v>
      </c>
      <c r="E392" s="4" t="s">
        <v>12</v>
      </c>
      <c r="F392" s="4" t="s">
        <v>28</v>
      </c>
      <c r="G392" s="4" t="s">
        <v>13</v>
      </c>
      <c r="H392" s="4" t="s">
        <v>86</v>
      </c>
      <c r="I392" s="5" t="str">
        <f>IFERROR(VLOOKUP(Consulta1[[#This Row],[Pozo largo]],'Lista YPF'!$B$3:$C$358,2,FALSE),"NO")</f>
        <v>NO</v>
      </c>
      <c r="J392" s="5" t="str">
        <f>IFERROR(VLOOKUP(Consulta1[[#This Row],[Pozo]],'Lista Oportunidades'!B:C,2,FALSE),"NO")</f>
        <v>NO</v>
      </c>
      <c r="K392" s="5">
        <f>IFERROR(VLOOKUP(Consulta1[[#This Row],[Pozo largo]],Controles!B:H,7,FALSE),"NO")</f>
        <v>0</v>
      </c>
      <c r="L392" s="5">
        <f>IFERROR(VLOOKUP(Consulta1[[#This Row],[Pozo largo]],Controles!B:J,9,FALSE),"NO")</f>
        <v>0</v>
      </c>
    </row>
    <row r="393" spans="2:12" x14ac:dyDescent="0.35">
      <c r="B393" s="4" t="s">
        <v>780</v>
      </c>
      <c r="C393" s="4" t="s">
        <v>5739</v>
      </c>
      <c r="D393" s="4" t="s">
        <v>5</v>
      </c>
      <c r="E393" s="4" t="s">
        <v>12</v>
      </c>
      <c r="F393" s="4" t="s">
        <v>28</v>
      </c>
      <c r="G393" s="4" t="s">
        <v>13</v>
      </c>
      <c r="H393" s="4" t="s">
        <v>16</v>
      </c>
      <c r="I393" s="5" t="str">
        <f>IFERROR(VLOOKUP(Consulta1[[#This Row],[Pozo largo]],'Lista YPF'!$B$3:$C$358,2,FALSE),"NO")</f>
        <v>NO</v>
      </c>
      <c r="J393" s="5" t="str">
        <f>IFERROR(VLOOKUP(Consulta1[[#This Row],[Pozo]],'Lista Oportunidades'!B:C,2,FALSE),"NO")</f>
        <v>Oportunidad</v>
      </c>
      <c r="K393" s="5">
        <f>IFERROR(VLOOKUP(Consulta1[[#This Row],[Pozo largo]],Controles!B:H,7,FALSE),"NO")</f>
        <v>0</v>
      </c>
      <c r="L393" s="5">
        <f>IFERROR(VLOOKUP(Consulta1[[#This Row],[Pozo largo]],Controles!B:J,9,FALSE),"NO")</f>
        <v>0</v>
      </c>
    </row>
    <row r="394" spans="2:12" x14ac:dyDescent="0.35">
      <c r="B394" s="4" t="s">
        <v>782</v>
      </c>
      <c r="C394" s="4" t="s">
        <v>6148</v>
      </c>
      <c r="D394" s="4" t="s">
        <v>5</v>
      </c>
      <c r="E394" s="4" t="s">
        <v>24</v>
      </c>
      <c r="F394" s="4" t="s">
        <v>28</v>
      </c>
      <c r="G394" s="4" t="s">
        <v>8</v>
      </c>
      <c r="H394" s="4" t="s">
        <v>71</v>
      </c>
      <c r="I394" s="5" t="str">
        <f>IFERROR(VLOOKUP(Consulta1[[#This Row],[Pozo largo]],'Lista YPF'!$B$3:$C$358,2,FALSE),"NO")</f>
        <v>NO</v>
      </c>
      <c r="J394" s="5" t="str">
        <f>IFERROR(VLOOKUP(Consulta1[[#This Row],[Pozo]],'Lista Oportunidades'!B:C,2,FALSE),"NO")</f>
        <v>NO</v>
      </c>
      <c r="K394" s="5">
        <f>IFERROR(VLOOKUP(Consulta1[[#This Row],[Pozo largo]],Controles!B:H,7,FALSE),"NO")</f>
        <v>0</v>
      </c>
      <c r="L394" s="5">
        <f>IFERROR(VLOOKUP(Consulta1[[#This Row],[Pozo largo]],Controles!B:J,9,FALSE),"NO")</f>
        <v>0</v>
      </c>
    </row>
    <row r="395" spans="2:12" x14ac:dyDescent="0.35">
      <c r="B395" s="4" t="s">
        <v>784</v>
      </c>
      <c r="C395" s="4" t="s">
        <v>6149</v>
      </c>
      <c r="D395" s="4" t="s">
        <v>5</v>
      </c>
      <c r="E395" s="4" t="s">
        <v>12</v>
      </c>
      <c r="F395" s="4" t="s">
        <v>7</v>
      </c>
      <c r="G395" s="4" t="s">
        <v>13</v>
      </c>
      <c r="H395" s="4" t="s">
        <v>141</v>
      </c>
      <c r="I395" s="5" t="str">
        <f>IFERROR(VLOOKUP(Consulta1[[#This Row],[Pozo largo]],'Lista YPF'!$B$3:$C$358,2,FALSE),"NO")</f>
        <v>NO</v>
      </c>
      <c r="J395" s="5" t="str">
        <f>IFERROR(VLOOKUP(Consulta1[[#This Row],[Pozo]],'Lista Oportunidades'!B:C,2,FALSE),"NO")</f>
        <v>NO</v>
      </c>
      <c r="K395" s="5">
        <f>IFERROR(VLOOKUP(Consulta1[[#This Row],[Pozo largo]],Controles!B:H,7,FALSE),"NO")</f>
        <v>1.6</v>
      </c>
      <c r="L395" s="5">
        <f>IFERROR(VLOOKUP(Consulta1[[#This Row],[Pozo largo]],Controles!B:J,9,FALSE),"NO")</f>
        <v>0</v>
      </c>
    </row>
    <row r="396" spans="2:12" x14ac:dyDescent="0.35">
      <c r="B396" s="4" t="s">
        <v>786</v>
      </c>
      <c r="C396" s="4" t="s">
        <v>6150</v>
      </c>
      <c r="D396" s="4" t="s">
        <v>5</v>
      </c>
      <c r="E396" s="4" t="s">
        <v>12</v>
      </c>
      <c r="F396" s="4" t="s">
        <v>7</v>
      </c>
      <c r="G396" s="4" t="s">
        <v>13</v>
      </c>
      <c r="H396" s="4" t="s">
        <v>185</v>
      </c>
      <c r="I396" s="5" t="str">
        <f>IFERROR(VLOOKUP(Consulta1[[#This Row],[Pozo largo]],'Lista YPF'!$B$3:$C$358,2,FALSE),"NO")</f>
        <v>NO</v>
      </c>
      <c r="J396" s="5" t="str">
        <f>IFERROR(VLOOKUP(Consulta1[[#This Row],[Pozo]],'Lista Oportunidades'!B:C,2,FALSE),"NO")</f>
        <v>NO</v>
      </c>
      <c r="K396" s="5">
        <f>IFERROR(VLOOKUP(Consulta1[[#This Row],[Pozo largo]],Controles!B:H,7,FALSE),"NO")</f>
        <v>1.02</v>
      </c>
      <c r="L396" s="5">
        <f>IFERROR(VLOOKUP(Consulta1[[#This Row],[Pozo largo]],Controles!B:J,9,FALSE),"NO")</f>
        <v>0</v>
      </c>
    </row>
    <row r="397" spans="2:12" x14ac:dyDescent="0.35">
      <c r="B397" s="4" t="s">
        <v>788</v>
      </c>
      <c r="C397" s="4" t="s">
        <v>6151</v>
      </c>
      <c r="D397" s="4" t="s">
        <v>5</v>
      </c>
      <c r="E397" s="4" t="s">
        <v>12</v>
      </c>
      <c r="F397" s="4" t="s">
        <v>7</v>
      </c>
      <c r="G397" s="4" t="s">
        <v>13</v>
      </c>
      <c r="H397" s="4" t="s">
        <v>185</v>
      </c>
      <c r="I397" s="5" t="str">
        <f>IFERROR(VLOOKUP(Consulta1[[#This Row],[Pozo largo]],'Lista YPF'!$B$3:$C$358,2,FALSE),"NO")</f>
        <v>NO</v>
      </c>
      <c r="J397" s="5" t="str">
        <f>IFERROR(VLOOKUP(Consulta1[[#This Row],[Pozo]],'Lista Oportunidades'!B:C,2,FALSE),"NO")</f>
        <v>NO</v>
      </c>
      <c r="K397" s="5">
        <f>IFERROR(VLOOKUP(Consulta1[[#This Row],[Pozo largo]],Controles!B:H,7,FALSE),"NO")</f>
        <v>2.67</v>
      </c>
      <c r="L397" s="5">
        <f>IFERROR(VLOOKUP(Consulta1[[#This Row],[Pozo largo]],Controles!B:J,9,FALSE),"NO")</f>
        <v>0</v>
      </c>
    </row>
    <row r="398" spans="2:12" x14ac:dyDescent="0.35">
      <c r="B398" s="4" t="s">
        <v>790</v>
      </c>
      <c r="C398" s="4" t="s">
        <v>6152</v>
      </c>
      <c r="D398" s="4" t="s">
        <v>5</v>
      </c>
      <c r="E398" s="4" t="s">
        <v>6</v>
      </c>
      <c r="F398" s="4" t="s">
        <v>28</v>
      </c>
      <c r="G398" s="4" t="s">
        <v>8</v>
      </c>
      <c r="H398" s="4" t="s">
        <v>185</v>
      </c>
      <c r="I398" s="5" t="str">
        <f>IFERROR(VLOOKUP(Consulta1[[#This Row],[Pozo largo]],'Lista YPF'!$B$3:$C$358,2,FALSE),"NO")</f>
        <v>NO</v>
      </c>
      <c r="J398" s="5" t="str">
        <f>IFERROR(VLOOKUP(Consulta1[[#This Row],[Pozo]],'Lista Oportunidades'!B:C,2,FALSE),"NO")</f>
        <v>NO</v>
      </c>
      <c r="K398" s="5">
        <f>IFERROR(VLOOKUP(Consulta1[[#This Row],[Pozo largo]],Controles!B:H,7,FALSE),"NO")</f>
        <v>0</v>
      </c>
      <c r="L398" s="5">
        <f>IFERROR(VLOOKUP(Consulta1[[#This Row],[Pozo largo]],Controles!B:J,9,FALSE),"NO")</f>
        <v>0</v>
      </c>
    </row>
    <row r="399" spans="2:12" x14ac:dyDescent="0.35">
      <c r="B399" s="4" t="s">
        <v>792</v>
      </c>
      <c r="C399" s="4" t="s">
        <v>6153</v>
      </c>
      <c r="D399" s="4" t="s">
        <v>5</v>
      </c>
      <c r="E399" s="4" t="s">
        <v>24</v>
      </c>
      <c r="F399" s="4" t="s">
        <v>31</v>
      </c>
      <c r="G399" s="4" t="s">
        <v>8</v>
      </c>
      <c r="H399" s="4" t="s">
        <v>16</v>
      </c>
      <c r="I399" s="5" t="str">
        <f>IFERROR(VLOOKUP(Consulta1[[#This Row],[Pozo largo]],'Lista YPF'!$B$3:$C$358,2,FALSE),"NO")</f>
        <v>NO</v>
      </c>
      <c r="J399" s="5" t="str">
        <f>IFERROR(VLOOKUP(Consulta1[[#This Row],[Pozo]],'Lista Oportunidades'!B:C,2,FALSE),"NO")</f>
        <v>NO</v>
      </c>
      <c r="K399" s="5">
        <f>IFERROR(VLOOKUP(Consulta1[[#This Row],[Pozo largo]],Controles!B:H,7,FALSE),"NO")</f>
        <v>0.72</v>
      </c>
      <c r="L399" s="5">
        <f>IFERROR(VLOOKUP(Consulta1[[#This Row],[Pozo largo]],Controles!B:J,9,FALSE),"NO")</f>
        <v>0</v>
      </c>
    </row>
    <row r="400" spans="2:12" x14ac:dyDescent="0.35">
      <c r="B400" s="4" t="s">
        <v>794</v>
      </c>
      <c r="C400" s="4" t="s">
        <v>6154</v>
      </c>
      <c r="D400" s="4" t="s">
        <v>5</v>
      </c>
      <c r="E400" s="4" t="s">
        <v>30</v>
      </c>
      <c r="F400" s="4" t="s">
        <v>31</v>
      </c>
      <c r="G400" s="4" t="s">
        <v>32</v>
      </c>
      <c r="H400" s="4" t="s">
        <v>36</v>
      </c>
      <c r="I400" s="5" t="str">
        <f>IFERROR(VLOOKUP(Consulta1[[#This Row],[Pozo largo]],'Lista YPF'!$B$3:$C$358,2,FALSE),"NO")</f>
        <v>NO</v>
      </c>
      <c r="J400" s="5" t="str">
        <f>IFERROR(VLOOKUP(Consulta1[[#This Row],[Pozo]],'Lista Oportunidades'!B:C,2,FALSE),"NO")</f>
        <v>NO</v>
      </c>
      <c r="K400" s="5">
        <f>IFERROR(VLOOKUP(Consulta1[[#This Row],[Pozo largo]],Controles!B:H,7,FALSE),"NO")</f>
        <v>2E-3</v>
      </c>
      <c r="L400" s="5">
        <f>IFERROR(VLOOKUP(Consulta1[[#This Row],[Pozo largo]],Controles!B:J,9,FALSE),"NO")</f>
        <v>0</v>
      </c>
    </row>
    <row r="401" spans="2:12" x14ac:dyDescent="0.35">
      <c r="B401" s="4" t="s">
        <v>796</v>
      </c>
      <c r="C401" s="4" t="s">
        <v>6155</v>
      </c>
      <c r="D401" s="4" t="s">
        <v>5</v>
      </c>
      <c r="E401" s="4" t="s">
        <v>30</v>
      </c>
      <c r="F401" s="4" t="s">
        <v>31</v>
      </c>
      <c r="G401" s="4" t="s">
        <v>32</v>
      </c>
      <c r="H401" s="4" t="s">
        <v>36</v>
      </c>
      <c r="I401" s="5" t="str">
        <f>IFERROR(VLOOKUP(Consulta1[[#This Row],[Pozo largo]],'Lista YPF'!$B$3:$C$358,2,FALSE),"NO")</f>
        <v>NO</v>
      </c>
      <c r="J401" s="5" t="str">
        <f>IFERROR(VLOOKUP(Consulta1[[#This Row],[Pozo]],'Lista Oportunidades'!B:C,2,FALSE),"NO")</f>
        <v>NO</v>
      </c>
      <c r="K401" s="5" t="str">
        <f>IFERROR(VLOOKUP(Consulta1[[#This Row],[Pozo largo]],Controles!B:H,7,FALSE),"NO")</f>
        <v>NO</v>
      </c>
      <c r="L401" s="5" t="str">
        <f>IFERROR(VLOOKUP(Consulta1[[#This Row],[Pozo largo]],Controles!B:J,9,FALSE),"NO")</f>
        <v>NO</v>
      </c>
    </row>
    <row r="402" spans="2:12" x14ac:dyDescent="0.35">
      <c r="B402" s="4" t="s">
        <v>797</v>
      </c>
      <c r="C402" s="4" t="s">
        <v>6156</v>
      </c>
      <c r="D402" s="4" t="s">
        <v>5</v>
      </c>
      <c r="E402" s="4" t="s">
        <v>12</v>
      </c>
      <c r="F402" s="4" t="s">
        <v>7</v>
      </c>
      <c r="G402" s="4" t="s">
        <v>13</v>
      </c>
      <c r="H402" s="4" t="s">
        <v>71</v>
      </c>
      <c r="I402" s="5" t="str">
        <f>IFERROR(VLOOKUP(Consulta1[[#This Row],[Pozo largo]],'Lista YPF'!$B$3:$C$358,2,FALSE),"NO")</f>
        <v>NO</v>
      </c>
      <c r="J402" s="5" t="str">
        <f>IFERROR(VLOOKUP(Consulta1[[#This Row],[Pozo]],'Lista Oportunidades'!B:C,2,FALSE),"NO")</f>
        <v>NO</v>
      </c>
      <c r="K402" s="5">
        <f>IFERROR(VLOOKUP(Consulta1[[#This Row],[Pozo largo]],Controles!B:H,7,FALSE),"NO")</f>
        <v>2.58</v>
      </c>
      <c r="L402" s="5">
        <f>IFERROR(VLOOKUP(Consulta1[[#This Row],[Pozo largo]],Controles!B:J,9,FALSE),"NO")</f>
        <v>0</v>
      </c>
    </row>
    <row r="403" spans="2:12" x14ac:dyDescent="0.35">
      <c r="B403" s="4" t="s">
        <v>799</v>
      </c>
      <c r="C403" s="4" t="s">
        <v>6157</v>
      </c>
      <c r="D403" s="4" t="s">
        <v>5</v>
      </c>
      <c r="E403" s="4" t="s">
        <v>12</v>
      </c>
      <c r="F403" s="4" t="s">
        <v>28</v>
      </c>
      <c r="G403" s="4" t="s">
        <v>13</v>
      </c>
      <c r="H403" s="4" t="s">
        <v>254</v>
      </c>
      <c r="I403" s="5" t="str">
        <f>IFERROR(VLOOKUP(Consulta1[[#This Row],[Pozo largo]],'Lista YPF'!$B$3:$C$358,2,FALSE),"NO")</f>
        <v>NO</v>
      </c>
      <c r="J403" s="5" t="str">
        <f>IFERROR(VLOOKUP(Consulta1[[#This Row],[Pozo]],'Lista Oportunidades'!B:C,2,FALSE),"NO")</f>
        <v>NO</v>
      </c>
      <c r="K403" s="5">
        <f>IFERROR(VLOOKUP(Consulta1[[#This Row],[Pozo largo]],Controles!B:H,7,FALSE),"NO")</f>
        <v>0</v>
      </c>
      <c r="L403" s="5">
        <f>IFERROR(VLOOKUP(Consulta1[[#This Row],[Pozo largo]],Controles!B:J,9,FALSE),"NO")</f>
        <v>0</v>
      </c>
    </row>
    <row r="404" spans="2:12" x14ac:dyDescent="0.35">
      <c r="B404" s="4" t="s">
        <v>801</v>
      </c>
      <c r="C404" s="4" t="s">
        <v>6158</v>
      </c>
      <c r="D404" s="4" t="s">
        <v>5</v>
      </c>
      <c r="E404" s="4" t="s">
        <v>12</v>
      </c>
      <c r="F404" s="4" t="s">
        <v>28</v>
      </c>
      <c r="G404" s="4" t="s">
        <v>13</v>
      </c>
      <c r="H404" s="4" t="s">
        <v>16</v>
      </c>
      <c r="I404" s="5" t="str">
        <f>IFERROR(VLOOKUP(Consulta1[[#This Row],[Pozo largo]],'Lista YPF'!$B$3:$C$358,2,FALSE),"NO")</f>
        <v>NO</v>
      </c>
      <c r="J404" s="5" t="str">
        <f>IFERROR(VLOOKUP(Consulta1[[#This Row],[Pozo]],'Lista Oportunidades'!B:C,2,FALSE),"NO")</f>
        <v>NO</v>
      </c>
      <c r="K404" s="5">
        <f>IFERROR(VLOOKUP(Consulta1[[#This Row],[Pozo largo]],Controles!B:H,7,FALSE),"NO")</f>
        <v>0</v>
      </c>
      <c r="L404" s="5">
        <f>IFERROR(VLOOKUP(Consulta1[[#This Row],[Pozo largo]],Controles!B:J,9,FALSE),"NO")</f>
        <v>0</v>
      </c>
    </row>
    <row r="405" spans="2:12" x14ac:dyDescent="0.35">
      <c r="B405" s="4" t="s">
        <v>803</v>
      </c>
      <c r="C405" s="4" t="s">
        <v>6159</v>
      </c>
      <c r="D405" s="4" t="s">
        <v>5</v>
      </c>
      <c r="E405" s="4" t="s">
        <v>12</v>
      </c>
      <c r="F405" s="4" t="s">
        <v>25</v>
      </c>
      <c r="G405" s="4" t="s">
        <v>13</v>
      </c>
      <c r="H405" s="4" t="s">
        <v>80</v>
      </c>
      <c r="I405" s="5" t="str">
        <f>IFERROR(VLOOKUP(Consulta1[[#This Row],[Pozo largo]],'Lista YPF'!$B$3:$C$358,2,FALSE),"NO")</f>
        <v>NO</v>
      </c>
      <c r="J405" s="5" t="str">
        <f>IFERROR(VLOOKUP(Consulta1[[#This Row],[Pozo]],'Lista Oportunidades'!B:C,2,FALSE),"NO")</f>
        <v>NO</v>
      </c>
      <c r="K405" s="5">
        <f>IFERROR(VLOOKUP(Consulta1[[#This Row],[Pozo largo]],Controles!B:H,7,FALSE),"NO")</f>
        <v>0.28800000000000003</v>
      </c>
      <c r="L405" s="5">
        <f>IFERROR(VLOOKUP(Consulta1[[#This Row],[Pozo largo]],Controles!B:J,9,FALSE),"NO")</f>
        <v>0</v>
      </c>
    </row>
    <row r="406" spans="2:12" x14ac:dyDescent="0.35">
      <c r="B406" s="4" t="s">
        <v>805</v>
      </c>
      <c r="C406" s="4" t="s">
        <v>6160</v>
      </c>
      <c r="D406" s="4" t="s">
        <v>5</v>
      </c>
      <c r="E406" s="4" t="s">
        <v>12</v>
      </c>
      <c r="F406" s="4" t="s">
        <v>7</v>
      </c>
      <c r="G406" s="4" t="s">
        <v>13</v>
      </c>
      <c r="H406" s="4" t="s">
        <v>80</v>
      </c>
      <c r="I406" s="5" t="str">
        <f>IFERROR(VLOOKUP(Consulta1[[#This Row],[Pozo largo]],'Lista YPF'!$B$3:$C$358,2,FALSE),"NO")</f>
        <v>NO</v>
      </c>
      <c r="J406" s="5" t="str">
        <f>IFERROR(VLOOKUP(Consulta1[[#This Row],[Pozo]],'Lista Oportunidades'!B:C,2,FALSE),"NO")</f>
        <v>NO</v>
      </c>
      <c r="K406" s="5">
        <f>IFERROR(VLOOKUP(Consulta1[[#This Row],[Pozo largo]],Controles!B:H,7,FALSE),"NO")</f>
        <v>0.73</v>
      </c>
      <c r="L406" s="5">
        <f>IFERROR(VLOOKUP(Consulta1[[#This Row],[Pozo largo]],Controles!B:J,9,FALSE),"NO")</f>
        <v>0</v>
      </c>
    </row>
    <row r="407" spans="2:12" x14ac:dyDescent="0.35">
      <c r="B407" s="4" t="s">
        <v>807</v>
      </c>
      <c r="C407" s="4" t="s">
        <v>6161</v>
      </c>
      <c r="D407" s="4" t="s">
        <v>5</v>
      </c>
      <c r="E407" s="4" t="s">
        <v>30</v>
      </c>
      <c r="F407" s="4" t="s">
        <v>31</v>
      </c>
      <c r="G407" s="4" t="s">
        <v>32</v>
      </c>
      <c r="H407" s="4" t="s">
        <v>33</v>
      </c>
      <c r="I407" s="5" t="str">
        <f>IFERROR(VLOOKUP(Consulta1[[#This Row],[Pozo largo]],'Lista YPF'!$B$3:$C$358,2,FALSE),"NO")</f>
        <v>NO</v>
      </c>
      <c r="J407" s="5" t="str">
        <f>IFERROR(VLOOKUP(Consulta1[[#This Row],[Pozo]],'Lista Oportunidades'!B:C,2,FALSE),"NO")</f>
        <v>NO</v>
      </c>
      <c r="K407" s="5" t="str">
        <f>IFERROR(VLOOKUP(Consulta1[[#This Row],[Pozo largo]],Controles!B:H,7,FALSE),"NO")</f>
        <v>NO</v>
      </c>
      <c r="L407" s="5" t="str">
        <f>IFERROR(VLOOKUP(Consulta1[[#This Row],[Pozo largo]],Controles!B:J,9,FALSE),"NO")</f>
        <v>NO</v>
      </c>
    </row>
    <row r="408" spans="2:12" x14ac:dyDescent="0.35">
      <c r="B408" s="4" t="s">
        <v>808</v>
      </c>
      <c r="C408" s="4" t="s">
        <v>6162</v>
      </c>
      <c r="D408" s="4" t="s">
        <v>5</v>
      </c>
      <c r="E408" s="4" t="s">
        <v>57</v>
      </c>
      <c r="F408" s="4" t="s">
        <v>83</v>
      </c>
      <c r="G408" s="4" t="s">
        <v>5718</v>
      </c>
      <c r="H408" s="4" t="s">
        <v>86</v>
      </c>
      <c r="I408" s="5" t="str">
        <f>IFERROR(VLOOKUP(Consulta1[[#This Row],[Pozo largo]],'Lista YPF'!$B$3:$C$358,2,FALSE),"NO")</f>
        <v>En lista de Abandono</v>
      </c>
      <c r="J408" s="5" t="str">
        <f>IFERROR(VLOOKUP(Consulta1[[#This Row],[Pozo]],'Lista Oportunidades'!B:C,2,FALSE),"NO")</f>
        <v>NO</v>
      </c>
      <c r="K408" s="5">
        <f>IFERROR(VLOOKUP(Consulta1[[#This Row],[Pozo largo]],Controles!B:H,7,FALSE),"NO")</f>
        <v>0.53900000000000003</v>
      </c>
      <c r="L408" s="5">
        <f>IFERROR(VLOOKUP(Consulta1[[#This Row],[Pozo largo]],Controles!B:J,9,FALSE),"NO")</f>
        <v>0</v>
      </c>
    </row>
    <row r="409" spans="2:12" x14ac:dyDescent="0.35">
      <c r="B409" s="4" t="s">
        <v>810</v>
      </c>
      <c r="C409" s="4" t="s">
        <v>6163</v>
      </c>
      <c r="D409" s="4" t="s">
        <v>5</v>
      </c>
      <c r="E409" s="4" t="s">
        <v>30</v>
      </c>
      <c r="F409" s="4" t="s">
        <v>31</v>
      </c>
      <c r="G409" s="4" t="s">
        <v>32</v>
      </c>
      <c r="H409" s="4" t="s">
        <v>91</v>
      </c>
      <c r="I409" s="5" t="str">
        <f>IFERROR(VLOOKUP(Consulta1[[#This Row],[Pozo largo]],'Lista YPF'!$B$3:$C$358,2,FALSE),"NO")</f>
        <v>NO</v>
      </c>
      <c r="J409" s="5" t="str">
        <f>IFERROR(VLOOKUP(Consulta1[[#This Row],[Pozo]],'Lista Oportunidades'!B:C,2,FALSE),"NO")</f>
        <v>NO</v>
      </c>
      <c r="K409" s="5" t="str">
        <f>IFERROR(VLOOKUP(Consulta1[[#This Row],[Pozo largo]],Controles!B:H,7,FALSE),"NO")</f>
        <v>NO</v>
      </c>
      <c r="L409" s="5" t="str">
        <f>IFERROR(VLOOKUP(Consulta1[[#This Row],[Pozo largo]],Controles!B:J,9,FALSE),"NO")</f>
        <v>NO</v>
      </c>
    </row>
    <row r="410" spans="2:12" x14ac:dyDescent="0.35">
      <c r="B410" s="4" t="s">
        <v>811</v>
      </c>
      <c r="C410" s="4" t="s">
        <v>6164</v>
      </c>
      <c r="D410" s="4" t="s">
        <v>5</v>
      </c>
      <c r="E410" s="4" t="s">
        <v>12</v>
      </c>
      <c r="F410" s="4" t="s">
        <v>7</v>
      </c>
      <c r="G410" s="4" t="s">
        <v>13</v>
      </c>
      <c r="H410" s="4" t="s">
        <v>185</v>
      </c>
      <c r="I410" s="5" t="str">
        <f>IFERROR(VLOOKUP(Consulta1[[#This Row],[Pozo largo]],'Lista YPF'!$B$3:$C$358,2,FALSE),"NO")</f>
        <v>NO</v>
      </c>
      <c r="J410" s="5" t="str">
        <f>IFERROR(VLOOKUP(Consulta1[[#This Row],[Pozo]],'Lista Oportunidades'!B:C,2,FALSE),"NO")</f>
        <v>NO</v>
      </c>
      <c r="K410" s="5">
        <f>IFERROR(VLOOKUP(Consulta1[[#This Row],[Pozo largo]],Controles!B:H,7,FALSE),"NO")</f>
        <v>1.302</v>
      </c>
      <c r="L410" s="5">
        <f>IFERROR(VLOOKUP(Consulta1[[#This Row],[Pozo largo]],Controles!B:J,9,FALSE),"NO")</f>
        <v>0</v>
      </c>
    </row>
    <row r="411" spans="2:12" x14ac:dyDescent="0.35">
      <c r="B411" s="4" t="s">
        <v>813</v>
      </c>
      <c r="C411" s="4" t="s">
        <v>6165</v>
      </c>
      <c r="D411" s="4" t="s">
        <v>5</v>
      </c>
      <c r="E411" s="4" t="s">
        <v>57</v>
      </c>
      <c r="F411" s="4" t="s">
        <v>7</v>
      </c>
      <c r="G411" s="4" t="s">
        <v>5718</v>
      </c>
      <c r="H411" s="4" t="s">
        <v>185</v>
      </c>
      <c r="I411" s="5" t="str">
        <f>IFERROR(VLOOKUP(Consulta1[[#This Row],[Pozo largo]],'Lista YPF'!$B$3:$C$358,2,FALSE),"NO")</f>
        <v>En lista de Abandono</v>
      </c>
      <c r="J411" s="5" t="str">
        <f>IFERROR(VLOOKUP(Consulta1[[#This Row],[Pozo]],'Lista Oportunidades'!B:C,2,FALSE),"NO")</f>
        <v>NO</v>
      </c>
      <c r="K411" s="5">
        <f>IFERROR(VLOOKUP(Consulta1[[#This Row],[Pozo largo]],Controles!B:H,7,FALSE),"NO")</f>
        <v>0.748</v>
      </c>
      <c r="L411" s="5">
        <f>IFERROR(VLOOKUP(Consulta1[[#This Row],[Pozo largo]],Controles!B:J,9,FALSE),"NO")</f>
        <v>0</v>
      </c>
    </row>
    <row r="412" spans="2:12" x14ac:dyDescent="0.35">
      <c r="B412" s="4" t="s">
        <v>815</v>
      </c>
      <c r="C412" s="4" t="s">
        <v>6166</v>
      </c>
      <c r="D412" s="4" t="s">
        <v>5</v>
      </c>
      <c r="E412" s="4" t="s">
        <v>24</v>
      </c>
      <c r="F412" s="4" t="s">
        <v>31</v>
      </c>
      <c r="G412" s="4" t="s">
        <v>8</v>
      </c>
      <c r="H412" s="4" t="s">
        <v>71</v>
      </c>
      <c r="I412" s="5" t="str">
        <f>IFERROR(VLOOKUP(Consulta1[[#This Row],[Pozo largo]],'Lista YPF'!$B$3:$C$358,2,FALSE),"NO")</f>
        <v>NO</v>
      </c>
      <c r="J412" s="5" t="str">
        <f>IFERROR(VLOOKUP(Consulta1[[#This Row],[Pozo]],'Lista Oportunidades'!B:C,2,FALSE),"NO")</f>
        <v>NO</v>
      </c>
      <c r="K412" s="5">
        <f>IFERROR(VLOOKUP(Consulta1[[#This Row],[Pozo largo]],Controles!B:H,7,FALSE),"NO")</f>
        <v>0.158</v>
      </c>
      <c r="L412" s="5">
        <f>IFERROR(VLOOKUP(Consulta1[[#This Row],[Pozo largo]],Controles!B:J,9,FALSE),"NO")</f>
        <v>0</v>
      </c>
    </row>
    <row r="413" spans="2:12" x14ac:dyDescent="0.35">
      <c r="B413" s="4" t="s">
        <v>817</v>
      </c>
      <c r="C413" s="4" t="s">
        <v>6167</v>
      </c>
      <c r="D413" s="4" t="s">
        <v>5</v>
      </c>
      <c r="E413" s="4" t="s">
        <v>12</v>
      </c>
      <c r="F413" s="4" t="s">
        <v>83</v>
      </c>
      <c r="G413" s="4" t="s">
        <v>13</v>
      </c>
      <c r="H413" s="4" t="s">
        <v>84</v>
      </c>
      <c r="I413" s="5" t="str">
        <f>IFERROR(VLOOKUP(Consulta1[[#This Row],[Pozo largo]],'Lista YPF'!$B$3:$C$358,2,FALSE),"NO")</f>
        <v>NO</v>
      </c>
      <c r="J413" s="5" t="str">
        <f>IFERROR(VLOOKUP(Consulta1[[#This Row],[Pozo]],'Lista Oportunidades'!B:C,2,FALSE),"NO")</f>
        <v>NO</v>
      </c>
      <c r="K413" s="5">
        <f>IFERROR(VLOOKUP(Consulta1[[#This Row],[Pozo largo]],Controles!B:H,7,FALSE),"NO")</f>
        <v>3.3000000000000003</v>
      </c>
      <c r="L413" s="5">
        <f>IFERROR(VLOOKUP(Consulta1[[#This Row],[Pozo largo]],Controles!B:J,9,FALSE),"NO")</f>
        <v>0</v>
      </c>
    </row>
    <row r="414" spans="2:12" x14ac:dyDescent="0.35">
      <c r="B414" s="4" t="s">
        <v>819</v>
      </c>
      <c r="C414" s="4" t="s">
        <v>6168</v>
      </c>
      <c r="D414" s="4" t="s">
        <v>5</v>
      </c>
      <c r="E414" s="4" t="s">
        <v>30</v>
      </c>
      <c r="F414" s="4" t="s">
        <v>31</v>
      </c>
      <c r="G414" s="4" t="s">
        <v>32</v>
      </c>
      <c r="H414" s="4" t="s">
        <v>80</v>
      </c>
      <c r="I414" s="5" t="str">
        <f>IFERROR(VLOOKUP(Consulta1[[#This Row],[Pozo largo]],'Lista YPF'!$B$3:$C$358,2,FALSE),"NO")</f>
        <v>NO</v>
      </c>
      <c r="J414" s="5" t="str">
        <f>IFERROR(VLOOKUP(Consulta1[[#This Row],[Pozo]],'Lista Oportunidades'!B:C,2,FALSE),"NO")</f>
        <v>NO</v>
      </c>
      <c r="K414" s="5" t="str">
        <f>IFERROR(VLOOKUP(Consulta1[[#This Row],[Pozo largo]],Controles!B:H,7,FALSE),"NO")</f>
        <v>NO</v>
      </c>
      <c r="L414" s="5" t="str">
        <f>IFERROR(VLOOKUP(Consulta1[[#This Row],[Pozo largo]],Controles!B:J,9,FALSE),"NO")</f>
        <v>NO</v>
      </c>
    </row>
    <row r="415" spans="2:12" x14ac:dyDescent="0.35">
      <c r="B415" s="4" t="s">
        <v>820</v>
      </c>
      <c r="C415" s="4" t="s">
        <v>6169</v>
      </c>
      <c r="D415" s="4" t="s">
        <v>5</v>
      </c>
      <c r="E415" s="4" t="s">
        <v>6</v>
      </c>
      <c r="F415" s="4" t="s">
        <v>83</v>
      </c>
      <c r="G415" s="4" t="s">
        <v>5718</v>
      </c>
      <c r="H415" s="4" t="s">
        <v>84</v>
      </c>
      <c r="I415" s="5" t="str">
        <f>IFERROR(VLOOKUP(Consulta1[[#This Row],[Pozo largo]],'Lista YPF'!$B$3:$C$358,2,FALSE),"NO")</f>
        <v>En lista de Abandono</v>
      </c>
      <c r="J415" s="5" t="str">
        <f>IFERROR(VLOOKUP(Consulta1[[#This Row],[Pozo]],'Lista Oportunidades'!B:C,2,FALSE),"NO")</f>
        <v>NO</v>
      </c>
      <c r="K415" s="5">
        <f>IFERROR(VLOOKUP(Consulta1[[#This Row],[Pozo largo]],Controles!B:H,7,FALSE),"NO")</f>
        <v>1.44</v>
      </c>
      <c r="L415" s="5">
        <f>IFERROR(VLOOKUP(Consulta1[[#This Row],[Pozo largo]],Controles!B:J,9,FALSE),"NO")</f>
        <v>0</v>
      </c>
    </row>
    <row r="416" spans="2:12" x14ac:dyDescent="0.35">
      <c r="B416" s="4" t="s">
        <v>822</v>
      </c>
      <c r="C416" s="4" t="s">
        <v>6170</v>
      </c>
      <c r="D416" s="4" t="s">
        <v>5</v>
      </c>
      <c r="E416" s="4" t="s">
        <v>24</v>
      </c>
      <c r="F416" s="4" t="s">
        <v>25</v>
      </c>
      <c r="G416" s="4" t="s">
        <v>8</v>
      </c>
      <c r="H416" s="4" t="s">
        <v>86</v>
      </c>
      <c r="I416" s="5" t="str">
        <f>IFERROR(VLOOKUP(Consulta1[[#This Row],[Pozo largo]],'Lista YPF'!$B$3:$C$358,2,FALSE),"NO")</f>
        <v>NO</v>
      </c>
      <c r="J416" s="5" t="str">
        <f>IFERROR(VLOOKUP(Consulta1[[#This Row],[Pozo]],'Lista Oportunidades'!B:C,2,FALSE),"NO")</f>
        <v>NO</v>
      </c>
      <c r="K416" s="5">
        <f>IFERROR(VLOOKUP(Consulta1[[#This Row],[Pozo largo]],Controles!B:H,7,FALSE),"NO")</f>
        <v>9.7000000000000003E-2</v>
      </c>
      <c r="L416" s="5">
        <f>IFERROR(VLOOKUP(Consulta1[[#This Row],[Pozo largo]],Controles!B:J,9,FALSE),"NO")</f>
        <v>0</v>
      </c>
    </row>
    <row r="417" spans="2:12" x14ac:dyDescent="0.35">
      <c r="B417" s="4" t="s">
        <v>824</v>
      </c>
      <c r="C417" s="4" t="s">
        <v>6171</v>
      </c>
      <c r="D417" s="4" t="s">
        <v>5</v>
      </c>
      <c r="E417" s="4" t="s">
        <v>826</v>
      </c>
      <c r="F417" s="4" t="s">
        <v>28</v>
      </c>
      <c r="G417" s="4" t="s">
        <v>5718</v>
      </c>
      <c r="H417" s="4" t="s">
        <v>86</v>
      </c>
      <c r="I417" s="5" t="str">
        <f>IFERROR(VLOOKUP(Consulta1[[#This Row],[Pozo largo]],'Lista YPF'!$B$3:$C$358,2,FALSE),"NO")</f>
        <v>En lista de Abandono</v>
      </c>
      <c r="J417" s="5" t="str">
        <f>IFERROR(VLOOKUP(Consulta1[[#This Row],[Pozo]],'Lista Oportunidades'!B:C,2,FALSE),"NO")</f>
        <v>NO</v>
      </c>
      <c r="K417" s="5">
        <f>IFERROR(VLOOKUP(Consulta1[[#This Row],[Pozo largo]],Controles!B:H,7,FALSE),"NO")</f>
        <v>0</v>
      </c>
      <c r="L417" s="5">
        <f>IFERROR(VLOOKUP(Consulta1[[#This Row],[Pozo largo]],Controles!B:J,9,FALSE),"NO")</f>
        <v>0</v>
      </c>
    </row>
    <row r="418" spans="2:12" x14ac:dyDescent="0.35">
      <c r="B418" s="4" t="s">
        <v>827</v>
      </c>
      <c r="C418" s="4" t="s">
        <v>6172</v>
      </c>
      <c r="D418" s="4" t="s">
        <v>5</v>
      </c>
      <c r="E418" s="4" t="s">
        <v>24</v>
      </c>
      <c r="F418" s="4" t="s">
        <v>31</v>
      </c>
      <c r="G418" s="4" t="s">
        <v>8</v>
      </c>
      <c r="H418" s="4" t="s">
        <v>91</v>
      </c>
      <c r="I418" s="5" t="str">
        <f>IFERROR(VLOOKUP(Consulta1[[#This Row],[Pozo largo]],'Lista YPF'!$B$3:$C$358,2,FALSE),"NO")</f>
        <v>NO</v>
      </c>
      <c r="J418" s="5" t="str">
        <f>IFERROR(VLOOKUP(Consulta1[[#This Row],[Pozo]],'Lista Oportunidades'!B:C,2,FALSE),"NO")</f>
        <v>NO</v>
      </c>
      <c r="K418" s="5">
        <f>IFERROR(VLOOKUP(Consulta1[[#This Row],[Pozo largo]],Controles!B:H,7,FALSE),"NO")</f>
        <v>0.184</v>
      </c>
      <c r="L418" s="5">
        <f>IFERROR(VLOOKUP(Consulta1[[#This Row],[Pozo largo]],Controles!B:J,9,FALSE),"NO")</f>
        <v>0</v>
      </c>
    </row>
    <row r="419" spans="2:12" x14ac:dyDescent="0.35">
      <c r="B419" s="4" t="s">
        <v>829</v>
      </c>
      <c r="C419" s="4" t="s">
        <v>6173</v>
      </c>
      <c r="D419" s="4" t="s">
        <v>5</v>
      </c>
      <c r="E419" s="4" t="s">
        <v>24</v>
      </c>
      <c r="F419" s="4" t="s">
        <v>28</v>
      </c>
      <c r="G419" s="4" t="s">
        <v>8</v>
      </c>
      <c r="H419" s="4" t="s">
        <v>71</v>
      </c>
      <c r="I419" s="5" t="str">
        <f>IFERROR(VLOOKUP(Consulta1[[#This Row],[Pozo largo]],'Lista YPF'!$B$3:$C$358,2,FALSE),"NO")</f>
        <v>NO</v>
      </c>
      <c r="J419" s="5" t="str">
        <f>IFERROR(VLOOKUP(Consulta1[[#This Row],[Pozo]],'Lista Oportunidades'!B:C,2,FALSE),"NO")</f>
        <v>NO</v>
      </c>
      <c r="K419" s="5">
        <f>IFERROR(VLOOKUP(Consulta1[[#This Row],[Pozo largo]],Controles!B:H,7,FALSE),"NO")</f>
        <v>0</v>
      </c>
      <c r="L419" s="5">
        <f>IFERROR(VLOOKUP(Consulta1[[#This Row],[Pozo largo]],Controles!B:J,9,FALSE),"NO")</f>
        <v>0</v>
      </c>
    </row>
    <row r="420" spans="2:12" x14ac:dyDescent="0.35">
      <c r="B420" s="4" t="s">
        <v>831</v>
      </c>
      <c r="C420" s="4" t="s">
        <v>6174</v>
      </c>
      <c r="D420" s="4" t="s">
        <v>5</v>
      </c>
      <c r="E420" s="4" t="s">
        <v>12</v>
      </c>
      <c r="F420" s="4" t="s">
        <v>7</v>
      </c>
      <c r="G420" s="4" t="s">
        <v>13</v>
      </c>
      <c r="H420" s="4" t="s">
        <v>185</v>
      </c>
      <c r="I420" s="5" t="str">
        <f>IFERROR(VLOOKUP(Consulta1[[#This Row],[Pozo largo]],'Lista YPF'!$B$3:$C$358,2,FALSE),"NO")</f>
        <v>NO</v>
      </c>
      <c r="J420" s="5" t="str">
        <f>IFERROR(VLOOKUP(Consulta1[[#This Row],[Pozo]],'Lista Oportunidades'!B:C,2,FALSE),"NO")</f>
        <v>NO</v>
      </c>
      <c r="K420" s="5">
        <f>IFERROR(VLOOKUP(Consulta1[[#This Row],[Pozo largo]],Controles!B:H,7,FALSE),"NO")</f>
        <v>1.0880000000000001</v>
      </c>
      <c r="L420" s="5">
        <f>IFERROR(VLOOKUP(Consulta1[[#This Row],[Pozo largo]],Controles!B:J,9,FALSE),"NO")</f>
        <v>0</v>
      </c>
    </row>
    <row r="421" spans="2:12" x14ac:dyDescent="0.35">
      <c r="B421" s="4" t="s">
        <v>833</v>
      </c>
      <c r="C421" s="4" t="s">
        <v>6175</v>
      </c>
      <c r="D421" s="4" t="s">
        <v>5</v>
      </c>
      <c r="E421" s="4" t="s">
        <v>24</v>
      </c>
      <c r="F421" s="4" t="s">
        <v>31</v>
      </c>
      <c r="G421" s="4" t="s">
        <v>8</v>
      </c>
      <c r="H421" s="4" t="s">
        <v>185</v>
      </c>
      <c r="I421" s="5" t="str">
        <f>IFERROR(VLOOKUP(Consulta1[[#This Row],[Pozo largo]],'Lista YPF'!$B$3:$C$358,2,FALSE),"NO")</f>
        <v>NO</v>
      </c>
      <c r="J421" s="5" t="str">
        <f>IFERROR(VLOOKUP(Consulta1[[#This Row],[Pozo]],'Lista Oportunidades'!B:C,2,FALSE),"NO")</f>
        <v>NO</v>
      </c>
      <c r="K421" s="5">
        <f>IFERROR(VLOOKUP(Consulta1[[#This Row],[Pozo largo]],Controles!B:H,7,FALSE),"NO")</f>
        <v>0</v>
      </c>
      <c r="L421" s="5">
        <f>IFERROR(VLOOKUP(Consulta1[[#This Row],[Pozo largo]],Controles!B:J,9,FALSE),"NO")</f>
        <v>0</v>
      </c>
    </row>
    <row r="422" spans="2:12" x14ac:dyDescent="0.35">
      <c r="B422" s="4" t="s">
        <v>835</v>
      </c>
      <c r="C422" s="4" t="s">
        <v>6176</v>
      </c>
      <c r="D422" s="4" t="s">
        <v>5</v>
      </c>
      <c r="E422" s="4" t="s">
        <v>12</v>
      </c>
      <c r="F422" s="4" t="s">
        <v>28</v>
      </c>
      <c r="G422" s="4" t="s">
        <v>13</v>
      </c>
      <c r="H422" s="4" t="s">
        <v>185</v>
      </c>
      <c r="I422" s="5" t="str">
        <f>IFERROR(VLOOKUP(Consulta1[[#This Row],[Pozo largo]],'Lista YPF'!$B$3:$C$358,2,FALSE),"NO")</f>
        <v>NO</v>
      </c>
      <c r="J422" s="5" t="str">
        <f>IFERROR(VLOOKUP(Consulta1[[#This Row],[Pozo]],'Lista Oportunidades'!B:C,2,FALSE),"NO")</f>
        <v>NO</v>
      </c>
      <c r="K422" s="5">
        <f>IFERROR(VLOOKUP(Consulta1[[#This Row],[Pozo largo]],Controles!B:H,7,FALSE),"NO")</f>
        <v>0</v>
      </c>
      <c r="L422" s="5">
        <f>IFERROR(VLOOKUP(Consulta1[[#This Row],[Pozo largo]],Controles!B:J,9,FALSE),"NO")</f>
        <v>0</v>
      </c>
    </row>
    <row r="423" spans="2:12" x14ac:dyDescent="0.35">
      <c r="B423" s="4" t="s">
        <v>837</v>
      </c>
      <c r="C423" s="4" t="s">
        <v>6177</v>
      </c>
      <c r="D423" s="4" t="s">
        <v>5</v>
      </c>
      <c r="E423" s="4" t="s">
        <v>12</v>
      </c>
      <c r="F423" s="4" t="s">
        <v>7</v>
      </c>
      <c r="G423" s="4" t="s">
        <v>13</v>
      </c>
      <c r="H423" s="4" t="s">
        <v>185</v>
      </c>
      <c r="I423" s="5" t="str">
        <f>IFERROR(VLOOKUP(Consulta1[[#This Row],[Pozo largo]],'Lista YPF'!$B$3:$C$358,2,FALSE),"NO")</f>
        <v>NO</v>
      </c>
      <c r="J423" s="5" t="str">
        <f>IFERROR(VLOOKUP(Consulta1[[#This Row],[Pozo]],'Lista Oportunidades'!B:C,2,FALSE),"NO")</f>
        <v>NO</v>
      </c>
      <c r="K423" s="5">
        <f>IFERROR(VLOOKUP(Consulta1[[#This Row],[Pozo largo]],Controles!B:H,7,FALSE),"NO")</f>
        <v>1.26</v>
      </c>
      <c r="L423" s="5">
        <f>IFERROR(VLOOKUP(Consulta1[[#This Row],[Pozo largo]],Controles!B:J,9,FALSE),"NO")</f>
        <v>0</v>
      </c>
    </row>
    <row r="424" spans="2:12" x14ac:dyDescent="0.35">
      <c r="B424" s="4" t="s">
        <v>839</v>
      </c>
      <c r="C424" s="4" t="s">
        <v>6178</v>
      </c>
      <c r="D424" s="4" t="s">
        <v>5</v>
      </c>
      <c r="E424" s="4" t="s">
        <v>24</v>
      </c>
      <c r="F424" s="4" t="s">
        <v>31</v>
      </c>
      <c r="G424" s="4" t="s">
        <v>8</v>
      </c>
      <c r="H424" s="4" t="s">
        <v>71</v>
      </c>
      <c r="I424" s="5" t="str">
        <f>IFERROR(VLOOKUP(Consulta1[[#This Row],[Pozo largo]],'Lista YPF'!$B$3:$C$358,2,FALSE),"NO")</f>
        <v>NO</v>
      </c>
      <c r="J424" s="5" t="str">
        <f>IFERROR(VLOOKUP(Consulta1[[#This Row],[Pozo]],'Lista Oportunidades'!B:C,2,FALSE),"NO")</f>
        <v>NO</v>
      </c>
      <c r="K424" s="5">
        <f>IFERROR(VLOOKUP(Consulta1[[#This Row],[Pozo largo]],Controles!B:H,7,FALSE),"NO")</f>
        <v>0.70000000000000007</v>
      </c>
      <c r="L424" s="5">
        <f>IFERROR(VLOOKUP(Consulta1[[#This Row],[Pozo largo]],Controles!B:J,9,FALSE),"NO")</f>
        <v>0</v>
      </c>
    </row>
    <row r="425" spans="2:12" x14ac:dyDescent="0.35">
      <c r="B425" s="4" t="s">
        <v>841</v>
      </c>
      <c r="C425" s="4" t="s">
        <v>6179</v>
      </c>
      <c r="D425" s="4" t="s">
        <v>5</v>
      </c>
      <c r="E425" s="4" t="s">
        <v>57</v>
      </c>
      <c r="F425" s="4" t="s">
        <v>28</v>
      </c>
      <c r="G425" s="4" t="s">
        <v>5718</v>
      </c>
      <c r="H425" s="4" t="s">
        <v>146</v>
      </c>
      <c r="I425" s="5" t="str">
        <f>IFERROR(VLOOKUP(Consulta1[[#This Row],[Pozo largo]],'Lista YPF'!$B$3:$C$358,2,FALSE),"NO")</f>
        <v>En lista de Abandono</v>
      </c>
      <c r="J425" s="5" t="str">
        <f>IFERROR(VLOOKUP(Consulta1[[#This Row],[Pozo]],'Lista Oportunidades'!B:C,2,FALSE),"NO")</f>
        <v>NO</v>
      </c>
      <c r="K425" s="5">
        <f>IFERROR(VLOOKUP(Consulta1[[#This Row],[Pozo largo]],Controles!B:H,7,FALSE),"NO")</f>
        <v>0</v>
      </c>
      <c r="L425" s="5">
        <f>IFERROR(VLOOKUP(Consulta1[[#This Row],[Pozo largo]],Controles!B:J,9,FALSE),"NO")</f>
        <v>0</v>
      </c>
    </row>
    <row r="426" spans="2:12" x14ac:dyDescent="0.35">
      <c r="B426" s="4" t="s">
        <v>843</v>
      </c>
      <c r="C426" s="4" t="s">
        <v>6180</v>
      </c>
      <c r="D426" s="4" t="s">
        <v>5</v>
      </c>
      <c r="E426" s="4" t="s">
        <v>6</v>
      </c>
      <c r="F426" s="4" t="s">
        <v>31</v>
      </c>
      <c r="G426" s="4" t="s">
        <v>8</v>
      </c>
      <c r="H426" s="4" t="s">
        <v>9</v>
      </c>
      <c r="I426" s="5" t="str">
        <f>IFERROR(VLOOKUP(Consulta1[[#This Row],[Pozo largo]],'Lista YPF'!$B$3:$C$358,2,FALSE),"NO")</f>
        <v>NO</v>
      </c>
      <c r="J426" s="5" t="str">
        <f>IFERROR(VLOOKUP(Consulta1[[#This Row],[Pozo]],'Lista Oportunidades'!B:C,2,FALSE),"NO")</f>
        <v>NO</v>
      </c>
      <c r="K426" s="5">
        <f>IFERROR(VLOOKUP(Consulta1[[#This Row],[Pozo largo]],Controles!B:H,7,FALSE),"NO")</f>
        <v>0</v>
      </c>
      <c r="L426" s="5">
        <f>IFERROR(VLOOKUP(Consulta1[[#This Row],[Pozo largo]],Controles!B:J,9,FALSE),"NO")</f>
        <v>0</v>
      </c>
    </row>
    <row r="427" spans="2:12" x14ac:dyDescent="0.35">
      <c r="B427" s="4" t="s">
        <v>845</v>
      </c>
      <c r="C427" s="4" t="s">
        <v>6181</v>
      </c>
      <c r="D427" s="4" t="s">
        <v>5</v>
      </c>
      <c r="E427" s="4" t="s">
        <v>12</v>
      </c>
      <c r="F427" s="4" t="s">
        <v>28</v>
      </c>
      <c r="G427" s="4" t="s">
        <v>13</v>
      </c>
      <c r="H427" s="4" t="s">
        <v>9</v>
      </c>
      <c r="I427" s="5" t="str">
        <f>IFERROR(VLOOKUP(Consulta1[[#This Row],[Pozo largo]],'Lista YPF'!$B$3:$C$358,2,FALSE),"NO")</f>
        <v>NO</v>
      </c>
      <c r="J427" s="5" t="str">
        <f>IFERROR(VLOOKUP(Consulta1[[#This Row],[Pozo]],'Lista Oportunidades'!B:C,2,FALSE),"NO")</f>
        <v>NO</v>
      </c>
      <c r="K427" s="5">
        <f>IFERROR(VLOOKUP(Consulta1[[#This Row],[Pozo largo]],Controles!B:H,7,FALSE),"NO")</f>
        <v>0</v>
      </c>
      <c r="L427" s="5">
        <f>IFERROR(VLOOKUP(Consulta1[[#This Row],[Pozo largo]],Controles!B:J,9,FALSE),"NO")</f>
        <v>0</v>
      </c>
    </row>
    <row r="428" spans="2:12" x14ac:dyDescent="0.35">
      <c r="B428" s="4" t="s">
        <v>847</v>
      </c>
      <c r="C428" s="4" t="s">
        <v>6182</v>
      </c>
      <c r="D428" s="4" t="s">
        <v>5</v>
      </c>
      <c r="E428" s="4" t="s">
        <v>12</v>
      </c>
      <c r="F428" s="4" t="s">
        <v>28</v>
      </c>
      <c r="G428" s="4" t="s">
        <v>13</v>
      </c>
      <c r="H428" s="4" t="s">
        <v>21</v>
      </c>
      <c r="I428" s="5" t="str">
        <f>IFERROR(VLOOKUP(Consulta1[[#This Row],[Pozo largo]],'Lista YPF'!$B$3:$C$358,2,FALSE),"NO")</f>
        <v>NO</v>
      </c>
      <c r="J428" s="5" t="str">
        <f>IFERROR(VLOOKUP(Consulta1[[#This Row],[Pozo]],'Lista Oportunidades'!B:C,2,FALSE),"NO")</f>
        <v>NO</v>
      </c>
      <c r="K428" s="5">
        <f>IFERROR(VLOOKUP(Consulta1[[#This Row],[Pozo largo]],Controles!B:H,7,FALSE),"NO")</f>
        <v>0</v>
      </c>
      <c r="L428" s="5">
        <f>IFERROR(VLOOKUP(Consulta1[[#This Row],[Pozo largo]],Controles!B:J,9,FALSE),"NO")</f>
        <v>0</v>
      </c>
    </row>
    <row r="429" spans="2:12" x14ac:dyDescent="0.35">
      <c r="B429" s="4" t="s">
        <v>849</v>
      </c>
      <c r="C429" s="4" t="s">
        <v>6183</v>
      </c>
      <c r="D429" s="4" t="s">
        <v>5</v>
      </c>
      <c r="E429" s="4" t="s">
        <v>12</v>
      </c>
      <c r="F429" s="4" t="s">
        <v>7</v>
      </c>
      <c r="G429" s="4" t="s">
        <v>13</v>
      </c>
      <c r="H429" s="4" t="s">
        <v>21</v>
      </c>
      <c r="I429" s="5" t="str">
        <f>IFERROR(VLOOKUP(Consulta1[[#This Row],[Pozo largo]],'Lista YPF'!$B$3:$C$358,2,FALSE),"NO")</f>
        <v>NO</v>
      </c>
      <c r="J429" s="5" t="str">
        <f>IFERROR(VLOOKUP(Consulta1[[#This Row],[Pozo]],'Lista Oportunidades'!B:C,2,FALSE),"NO")</f>
        <v>NO</v>
      </c>
      <c r="K429" s="5">
        <f>IFERROR(VLOOKUP(Consulta1[[#This Row],[Pozo largo]],Controles!B:H,7,FALSE),"NO")</f>
        <v>0.40800000000000003</v>
      </c>
      <c r="L429" s="5">
        <f>IFERROR(VLOOKUP(Consulta1[[#This Row],[Pozo largo]],Controles!B:J,9,FALSE),"NO")</f>
        <v>0</v>
      </c>
    </row>
    <row r="430" spans="2:12" x14ac:dyDescent="0.35">
      <c r="B430" s="4" t="s">
        <v>851</v>
      </c>
      <c r="C430" s="4" t="s">
        <v>6184</v>
      </c>
      <c r="D430" s="4" t="s">
        <v>5</v>
      </c>
      <c r="E430" s="4" t="s">
        <v>12</v>
      </c>
      <c r="F430" s="4" t="s">
        <v>7</v>
      </c>
      <c r="G430" s="4" t="s">
        <v>13</v>
      </c>
      <c r="H430" s="4" t="s">
        <v>21</v>
      </c>
      <c r="I430" s="5" t="str">
        <f>IFERROR(VLOOKUP(Consulta1[[#This Row],[Pozo largo]],'Lista YPF'!$B$3:$C$358,2,FALSE),"NO")</f>
        <v>NO</v>
      </c>
      <c r="J430" s="5" t="str">
        <f>IFERROR(VLOOKUP(Consulta1[[#This Row],[Pozo]],'Lista Oportunidades'!B:C,2,FALSE),"NO")</f>
        <v>NO</v>
      </c>
      <c r="K430" s="5">
        <f>IFERROR(VLOOKUP(Consulta1[[#This Row],[Pozo largo]],Controles!B:H,7,FALSE),"NO")</f>
        <v>0.76</v>
      </c>
      <c r="L430" s="5">
        <f>IFERROR(VLOOKUP(Consulta1[[#This Row],[Pozo largo]],Controles!B:J,9,FALSE),"NO")</f>
        <v>0</v>
      </c>
    </row>
    <row r="431" spans="2:12" x14ac:dyDescent="0.35">
      <c r="B431" s="4" t="s">
        <v>853</v>
      </c>
      <c r="C431" s="4" t="s">
        <v>6185</v>
      </c>
      <c r="D431" s="4" t="s">
        <v>5</v>
      </c>
      <c r="E431" s="4" t="s">
        <v>12</v>
      </c>
      <c r="F431" s="4" t="s">
        <v>7</v>
      </c>
      <c r="G431" s="4" t="s">
        <v>13</v>
      </c>
      <c r="H431" s="4" t="s">
        <v>21</v>
      </c>
      <c r="I431" s="5" t="str">
        <f>IFERROR(VLOOKUP(Consulta1[[#This Row],[Pozo largo]],'Lista YPF'!$B$3:$C$358,2,FALSE),"NO")</f>
        <v>NO</v>
      </c>
      <c r="J431" s="5" t="str">
        <f>IFERROR(VLOOKUP(Consulta1[[#This Row],[Pozo]],'Lista Oportunidades'!B:C,2,FALSE),"NO")</f>
        <v>NO</v>
      </c>
      <c r="K431" s="5">
        <f>IFERROR(VLOOKUP(Consulta1[[#This Row],[Pozo largo]],Controles!B:H,7,FALSE),"NO")</f>
        <v>0.27300000000000002</v>
      </c>
      <c r="L431" s="5">
        <f>IFERROR(VLOOKUP(Consulta1[[#This Row],[Pozo largo]],Controles!B:J,9,FALSE),"NO")</f>
        <v>0</v>
      </c>
    </row>
    <row r="432" spans="2:12" x14ac:dyDescent="0.35">
      <c r="B432" s="4" t="s">
        <v>855</v>
      </c>
      <c r="C432" s="4" t="s">
        <v>6186</v>
      </c>
      <c r="D432" s="4" t="s">
        <v>5</v>
      </c>
      <c r="E432" s="4" t="s">
        <v>12</v>
      </c>
      <c r="F432" s="4" t="s">
        <v>7</v>
      </c>
      <c r="G432" s="4" t="s">
        <v>13</v>
      </c>
      <c r="H432" s="4" t="s">
        <v>21</v>
      </c>
      <c r="I432" s="5" t="str">
        <f>IFERROR(VLOOKUP(Consulta1[[#This Row],[Pozo largo]],'Lista YPF'!$B$3:$C$358,2,FALSE),"NO")</f>
        <v>NO</v>
      </c>
      <c r="J432" s="5" t="str">
        <f>IFERROR(VLOOKUP(Consulta1[[#This Row],[Pozo]],'Lista Oportunidades'!B:C,2,FALSE),"NO")</f>
        <v>NO</v>
      </c>
      <c r="K432" s="5">
        <f>IFERROR(VLOOKUP(Consulta1[[#This Row],[Pozo largo]],Controles!B:H,7,FALSE),"NO")</f>
        <v>1.5960000000000001</v>
      </c>
      <c r="L432" s="5">
        <f>IFERROR(VLOOKUP(Consulta1[[#This Row],[Pozo largo]],Controles!B:J,9,FALSE),"NO")</f>
        <v>0</v>
      </c>
    </row>
    <row r="433" spans="2:12" x14ac:dyDescent="0.35">
      <c r="B433" s="4" t="s">
        <v>857</v>
      </c>
      <c r="C433" s="4" t="s">
        <v>6187</v>
      </c>
      <c r="D433" s="4" t="s">
        <v>5</v>
      </c>
      <c r="E433" s="4" t="s">
        <v>12</v>
      </c>
      <c r="F433" s="4" t="s">
        <v>25</v>
      </c>
      <c r="G433" s="4" t="s">
        <v>13</v>
      </c>
      <c r="H433" s="4" t="s">
        <v>254</v>
      </c>
      <c r="I433" s="5" t="str">
        <f>IFERROR(VLOOKUP(Consulta1[[#This Row],[Pozo largo]],'Lista YPF'!$B$3:$C$358,2,FALSE),"NO")</f>
        <v>NO</v>
      </c>
      <c r="J433" s="5" t="str">
        <f>IFERROR(VLOOKUP(Consulta1[[#This Row],[Pozo]],'Lista Oportunidades'!B:C,2,FALSE),"NO")</f>
        <v>NO</v>
      </c>
      <c r="K433" s="5">
        <f>IFERROR(VLOOKUP(Consulta1[[#This Row],[Pozo largo]],Controles!B:H,7,FALSE),"NO")</f>
        <v>9.5000000000000001E-2</v>
      </c>
      <c r="L433" s="5">
        <f>IFERROR(VLOOKUP(Consulta1[[#This Row],[Pozo largo]],Controles!B:J,9,FALSE),"NO")</f>
        <v>0</v>
      </c>
    </row>
    <row r="434" spans="2:12" x14ac:dyDescent="0.35">
      <c r="B434" s="4" t="s">
        <v>859</v>
      </c>
      <c r="C434" s="4" t="s">
        <v>6188</v>
      </c>
      <c r="D434" s="4" t="s">
        <v>5</v>
      </c>
      <c r="E434" s="4" t="s">
        <v>57</v>
      </c>
      <c r="F434" s="4" t="s">
        <v>7</v>
      </c>
      <c r="G434" s="4" t="s">
        <v>5718</v>
      </c>
      <c r="H434" s="4" t="s">
        <v>36</v>
      </c>
      <c r="I434" s="5" t="str">
        <f>IFERROR(VLOOKUP(Consulta1[[#This Row],[Pozo largo]],'Lista YPF'!$B$3:$C$358,2,FALSE),"NO")</f>
        <v>En lista de Abandono</v>
      </c>
      <c r="J434" s="5" t="str">
        <f>IFERROR(VLOOKUP(Consulta1[[#This Row],[Pozo]],'Lista Oportunidades'!B:C,2,FALSE),"NO")</f>
        <v>NO</v>
      </c>
      <c r="K434" s="5">
        <f>IFERROR(VLOOKUP(Consulta1[[#This Row],[Pozo largo]],Controles!B:H,7,FALSE),"NO")</f>
        <v>0.45</v>
      </c>
      <c r="L434" s="5">
        <f>IFERROR(VLOOKUP(Consulta1[[#This Row],[Pozo largo]],Controles!B:J,9,FALSE),"NO")</f>
        <v>0</v>
      </c>
    </row>
    <row r="435" spans="2:12" x14ac:dyDescent="0.35">
      <c r="B435" s="4" t="s">
        <v>861</v>
      </c>
      <c r="C435" s="4" t="s">
        <v>5761</v>
      </c>
      <c r="D435" s="4" t="s">
        <v>5</v>
      </c>
      <c r="E435" s="4" t="s">
        <v>6</v>
      </c>
      <c r="F435" s="4" t="s">
        <v>25</v>
      </c>
      <c r="G435" s="4" t="s">
        <v>8688</v>
      </c>
      <c r="H435" s="4" t="s">
        <v>36</v>
      </c>
      <c r="I435" s="5" t="str">
        <f>IFERROR(VLOOKUP(Consulta1[[#This Row],[Pozo largo]],'Lista YPF'!$B$3:$C$358,2,FALSE),"NO")</f>
        <v>En lista de Abandono</v>
      </c>
      <c r="J435" s="5" t="str">
        <f>IFERROR(VLOOKUP(Consulta1[[#This Row],[Pozo]],'Lista Oportunidades'!B:C,2,FALSE),"NO")</f>
        <v>Oportunidad</v>
      </c>
      <c r="K435" s="5">
        <f>IFERROR(VLOOKUP(Consulta1[[#This Row],[Pozo largo]],Controles!B:H,7,FALSE),"NO")</f>
        <v>9.6000000000000002E-2</v>
      </c>
      <c r="L435" s="5" t="str">
        <f>IFERROR(VLOOKUP(Consulta1[[#This Row],[Pozo largo]],Controles!B:J,9,FALSE),"NO")</f>
        <v>Ultimo Año</v>
      </c>
    </row>
    <row r="436" spans="2:12" x14ac:dyDescent="0.35">
      <c r="B436" s="4" t="s">
        <v>863</v>
      </c>
      <c r="C436" s="4" t="s">
        <v>6189</v>
      </c>
      <c r="D436" s="4" t="s">
        <v>5</v>
      </c>
      <c r="E436" s="4" t="s">
        <v>12</v>
      </c>
      <c r="F436" s="4" t="s">
        <v>7</v>
      </c>
      <c r="G436" s="4" t="s">
        <v>13</v>
      </c>
      <c r="H436" s="4" t="s">
        <v>36</v>
      </c>
      <c r="I436" s="5" t="str">
        <f>IFERROR(VLOOKUP(Consulta1[[#This Row],[Pozo largo]],'Lista YPF'!$B$3:$C$358,2,FALSE),"NO")</f>
        <v>NO</v>
      </c>
      <c r="J436" s="5" t="str">
        <f>IFERROR(VLOOKUP(Consulta1[[#This Row],[Pozo]],'Lista Oportunidades'!B:C,2,FALSE),"NO")</f>
        <v>NO</v>
      </c>
      <c r="K436" s="5">
        <f>IFERROR(VLOOKUP(Consulta1[[#This Row],[Pozo largo]],Controles!B:H,7,FALSE),"NO")</f>
        <v>2.839</v>
      </c>
      <c r="L436" s="5">
        <f>IFERROR(VLOOKUP(Consulta1[[#This Row],[Pozo largo]],Controles!B:J,9,FALSE),"NO")</f>
        <v>0</v>
      </c>
    </row>
    <row r="437" spans="2:12" x14ac:dyDescent="0.35">
      <c r="B437" s="4" t="s">
        <v>865</v>
      </c>
      <c r="C437" s="4" t="s">
        <v>6190</v>
      </c>
      <c r="D437" s="4" t="s">
        <v>5</v>
      </c>
      <c r="E437" s="4" t="s">
        <v>12</v>
      </c>
      <c r="F437" s="4" t="s">
        <v>7</v>
      </c>
      <c r="G437" s="4" t="s">
        <v>13</v>
      </c>
      <c r="H437" s="4" t="s">
        <v>33</v>
      </c>
      <c r="I437" s="5" t="str">
        <f>IFERROR(VLOOKUP(Consulta1[[#This Row],[Pozo largo]],'Lista YPF'!$B$3:$C$358,2,FALSE),"NO")</f>
        <v>NO</v>
      </c>
      <c r="J437" s="5" t="str">
        <f>IFERROR(VLOOKUP(Consulta1[[#This Row],[Pozo]],'Lista Oportunidades'!B:C,2,FALSE),"NO")</f>
        <v>NO</v>
      </c>
      <c r="K437" s="5">
        <f>IFERROR(VLOOKUP(Consulta1[[#This Row],[Pozo largo]],Controles!B:H,7,FALSE),"NO")</f>
        <v>1.24</v>
      </c>
      <c r="L437" s="5">
        <f>IFERROR(VLOOKUP(Consulta1[[#This Row],[Pozo largo]],Controles!B:J,9,FALSE),"NO")</f>
        <v>0</v>
      </c>
    </row>
    <row r="438" spans="2:12" x14ac:dyDescent="0.35">
      <c r="B438" s="4" t="s">
        <v>867</v>
      </c>
      <c r="C438" s="4" t="s">
        <v>6191</v>
      </c>
      <c r="D438" s="4" t="s">
        <v>5</v>
      </c>
      <c r="E438" s="4" t="s">
        <v>12</v>
      </c>
      <c r="F438" s="4" t="s">
        <v>28</v>
      </c>
      <c r="G438" s="4" t="s">
        <v>13</v>
      </c>
      <c r="H438" s="4" t="s">
        <v>36</v>
      </c>
      <c r="I438" s="5" t="str">
        <f>IFERROR(VLOOKUP(Consulta1[[#This Row],[Pozo largo]],'Lista YPF'!$B$3:$C$358,2,FALSE),"NO")</f>
        <v>NO</v>
      </c>
      <c r="J438" s="5" t="str">
        <f>IFERROR(VLOOKUP(Consulta1[[#This Row],[Pozo]],'Lista Oportunidades'!B:C,2,FALSE),"NO")</f>
        <v>NO</v>
      </c>
      <c r="K438" s="5">
        <f>IFERROR(VLOOKUP(Consulta1[[#This Row],[Pozo largo]],Controles!B:H,7,FALSE),"NO")</f>
        <v>0</v>
      </c>
      <c r="L438" s="5">
        <f>IFERROR(VLOOKUP(Consulta1[[#This Row],[Pozo largo]],Controles!B:J,9,FALSE),"NO")</f>
        <v>0</v>
      </c>
    </row>
    <row r="439" spans="2:12" x14ac:dyDescent="0.35">
      <c r="B439" s="4" t="s">
        <v>869</v>
      </c>
      <c r="C439" s="4" t="s">
        <v>6192</v>
      </c>
      <c r="D439" s="4" t="s">
        <v>5</v>
      </c>
      <c r="E439" s="4" t="s">
        <v>6</v>
      </c>
      <c r="F439" s="4" t="s">
        <v>28</v>
      </c>
      <c r="G439" s="4" t="s">
        <v>5718</v>
      </c>
      <c r="H439" s="4" t="s">
        <v>36</v>
      </c>
      <c r="I439" s="5" t="str">
        <f>IFERROR(VLOOKUP(Consulta1[[#This Row],[Pozo largo]],'Lista YPF'!$B$3:$C$358,2,FALSE),"NO")</f>
        <v>En lista de Abandono</v>
      </c>
      <c r="J439" s="5" t="str">
        <f>IFERROR(VLOOKUP(Consulta1[[#This Row],[Pozo]],'Lista Oportunidades'!B:C,2,FALSE),"NO")</f>
        <v>NO</v>
      </c>
      <c r="K439" s="5">
        <f>IFERROR(VLOOKUP(Consulta1[[#This Row],[Pozo largo]],Controles!B:H,7,FALSE),"NO")</f>
        <v>0</v>
      </c>
      <c r="L439" s="5">
        <f>IFERROR(VLOOKUP(Consulta1[[#This Row],[Pozo largo]],Controles!B:J,9,FALSE),"NO")</f>
        <v>0</v>
      </c>
    </row>
    <row r="440" spans="2:12" x14ac:dyDescent="0.35">
      <c r="B440" s="4" t="s">
        <v>871</v>
      </c>
      <c r="C440" s="4" t="s">
        <v>6193</v>
      </c>
      <c r="D440" s="4" t="s">
        <v>5</v>
      </c>
      <c r="E440" s="4" t="s">
        <v>24</v>
      </c>
      <c r="F440" s="4" t="s">
        <v>28</v>
      </c>
      <c r="G440" s="4" t="s">
        <v>8</v>
      </c>
      <c r="H440" s="4" t="s">
        <v>36</v>
      </c>
      <c r="I440" s="5" t="str">
        <f>IFERROR(VLOOKUP(Consulta1[[#This Row],[Pozo largo]],'Lista YPF'!$B$3:$C$358,2,FALSE),"NO")</f>
        <v>NO</v>
      </c>
      <c r="J440" s="5" t="str">
        <f>IFERROR(VLOOKUP(Consulta1[[#This Row],[Pozo]],'Lista Oportunidades'!B:C,2,FALSE),"NO")</f>
        <v>NO</v>
      </c>
      <c r="K440" s="5">
        <f>IFERROR(VLOOKUP(Consulta1[[#This Row],[Pozo largo]],Controles!B:H,7,FALSE),"NO")</f>
        <v>0</v>
      </c>
      <c r="L440" s="5">
        <f>IFERROR(VLOOKUP(Consulta1[[#This Row],[Pozo largo]],Controles!B:J,9,FALSE),"NO")</f>
        <v>0</v>
      </c>
    </row>
    <row r="441" spans="2:12" x14ac:dyDescent="0.35">
      <c r="B441" s="4" t="s">
        <v>873</v>
      </c>
      <c r="C441" s="4" t="s">
        <v>6194</v>
      </c>
      <c r="D441" s="4" t="s">
        <v>5</v>
      </c>
      <c r="E441" s="4" t="s">
        <v>30</v>
      </c>
      <c r="F441" s="4" t="s">
        <v>31</v>
      </c>
      <c r="G441" s="4" t="s">
        <v>32</v>
      </c>
      <c r="H441" s="4" t="s">
        <v>91</v>
      </c>
      <c r="I441" s="5" t="str">
        <f>IFERROR(VLOOKUP(Consulta1[[#This Row],[Pozo largo]],'Lista YPF'!$B$3:$C$358,2,FALSE),"NO")</f>
        <v>NO</v>
      </c>
      <c r="J441" s="5" t="str">
        <f>IFERROR(VLOOKUP(Consulta1[[#This Row],[Pozo]],'Lista Oportunidades'!B:C,2,FALSE),"NO")</f>
        <v>NO</v>
      </c>
      <c r="K441" s="5" t="str">
        <f>IFERROR(VLOOKUP(Consulta1[[#This Row],[Pozo largo]],Controles!B:H,7,FALSE),"NO")</f>
        <v>NO</v>
      </c>
      <c r="L441" s="5" t="str">
        <f>IFERROR(VLOOKUP(Consulta1[[#This Row],[Pozo largo]],Controles!B:J,9,FALSE),"NO")</f>
        <v>NO</v>
      </c>
    </row>
    <row r="442" spans="2:12" x14ac:dyDescent="0.35">
      <c r="B442" s="4" t="s">
        <v>874</v>
      </c>
      <c r="C442" s="4" t="s">
        <v>6195</v>
      </c>
      <c r="D442" s="4" t="s">
        <v>5</v>
      </c>
      <c r="E442" s="4" t="s">
        <v>30</v>
      </c>
      <c r="F442" s="4" t="s">
        <v>31</v>
      </c>
      <c r="G442" s="4" t="s">
        <v>32</v>
      </c>
      <c r="H442" s="4" t="s">
        <v>86</v>
      </c>
      <c r="I442" s="5" t="str">
        <f>IFERROR(VLOOKUP(Consulta1[[#This Row],[Pozo largo]],'Lista YPF'!$B$3:$C$358,2,FALSE),"NO")</f>
        <v>NO</v>
      </c>
      <c r="J442" s="5" t="str">
        <f>IFERROR(VLOOKUP(Consulta1[[#This Row],[Pozo]],'Lista Oportunidades'!B:C,2,FALSE),"NO")</f>
        <v>NO</v>
      </c>
      <c r="K442" s="5">
        <f>IFERROR(VLOOKUP(Consulta1[[#This Row],[Pozo largo]],Controles!B:H,7,FALSE),"NO")</f>
        <v>0.19</v>
      </c>
      <c r="L442" s="5">
        <f>IFERROR(VLOOKUP(Consulta1[[#This Row],[Pozo largo]],Controles!B:J,9,FALSE),"NO")</f>
        <v>0</v>
      </c>
    </row>
    <row r="443" spans="2:12" x14ac:dyDescent="0.35">
      <c r="B443" s="4" t="s">
        <v>876</v>
      </c>
      <c r="C443" s="4" t="s">
        <v>6196</v>
      </c>
      <c r="D443" s="4" t="s">
        <v>5</v>
      </c>
      <c r="E443" s="4" t="s">
        <v>30</v>
      </c>
      <c r="F443" s="4" t="s">
        <v>31</v>
      </c>
      <c r="G443" s="4" t="s">
        <v>32</v>
      </c>
      <c r="H443" s="4" t="s">
        <v>80</v>
      </c>
      <c r="I443" s="5" t="str">
        <f>IFERROR(VLOOKUP(Consulta1[[#This Row],[Pozo largo]],'Lista YPF'!$B$3:$C$358,2,FALSE),"NO")</f>
        <v>NO</v>
      </c>
      <c r="J443" s="5" t="str">
        <f>IFERROR(VLOOKUP(Consulta1[[#This Row],[Pozo]],'Lista Oportunidades'!B:C,2,FALSE),"NO")</f>
        <v>NO</v>
      </c>
      <c r="K443" s="5">
        <f>IFERROR(VLOOKUP(Consulta1[[#This Row],[Pozo largo]],Controles!B:H,7,FALSE),"NO")</f>
        <v>0.14000000000000001</v>
      </c>
      <c r="L443" s="5">
        <f>IFERROR(VLOOKUP(Consulta1[[#This Row],[Pozo largo]],Controles!B:J,9,FALSE),"NO")</f>
        <v>0</v>
      </c>
    </row>
    <row r="444" spans="2:12" x14ac:dyDescent="0.35">
      <c r="B444" s="4" t="s">
        <v>878</v>
      </c>
      <c r="C444" s="4" t="s">
        <v>6197</v>
      </c>
      <c r="D444" s="4" t="s">
        <v>5</v>
      </c>
      <c r="E444" s="4" t="s">
        <v>30</v>
      </c>
      <c r="F444" s="4" t="s">
        <v>31</v>
      </c>
      <c r="G444" s="4" t="s">
        <v>32</v>
      </c>
      <c r="H444" s="4" t="s">
        <v>74</v>
      </c>
      <c r="I444" s="5" t="str">
        <f>IFERROR(VLOOKUP(Consulta1[[#This Row],[Pozo largo]],'Lista YPF'!$B$3:$C$358,2,FALSE),"NO")</f>
        <v>NO</v>
      </c>
      <c r="J444" s="5" t="str">
        <f>IFERROR(VLOOKUP(Consulta1[[#This Row],[Pozo]],'Lista Oportunidades'!B:C,2,FALSE),"NO")</f>
        <v>NO</v>
      </c>
      <c r="K444" s="5">
        <f>IFERROR(VLOOKUP(Consulta1[[#This Row],[Pozo largo]],Controles!B:H,7,FALSE),"NO")</f>
        <v>0.16700000000000001</v>
      </c>
      <c r="L444" s="5">
        <f>IFERROR(VLOOKUP(Consulta1[[#This Row],[Pozo largo]],Controles!B:J,9,FALSE),"NO")</f>
        <v>0</v>
      </c>
    </row>
    <row r="445" spans="2:12" x14ac:dyDescent="0.35">
      <c r="B445" s="4" t="s">
        <v>880</v>
      </c>
      <c r="C445" s="4" t="s">
        <v>5736</v>
      </c>
      <c r="D445" s="4" t="s">
        <v>5</v>
      </c>
      <c r="E445" s="4" t="s">
        <v>882</v>
      </c>
      <c r="F445" s="4" t="s">
        <v>31</v>
      </c>
      <c r="G445" s="4" t="s">
        <v>13</v>
      </c>
      <c r="H445" s="4" t="s">
        <v>71</v>
      </c>
      <c r="I445" s="5" t="str">
        <f>IFERROR(VLOOKUP(Consulta1[[#This Row],[Pozo largo]],'Lista YPF'!$B$3:$C$358,2,FALSE),"NO")</f>
        <v>NO</v>
      </c>
      <c r="J445" s="5" t="str">
        <f>IFERROR(VLOOKUP(Consulta1[[#This Row],[Pozo]],'Lista Oportunidades'!B:C,2,FALSE),"NO")</f>
        <v>Oportunidad</v>
      </c>
      <c r="K445" s="5">
        <f>IFERROR(VLOOKUP(Consulta1[[#This Row],[Pozo largo]],Controles!B:H,7,FALSE),"NO")</f>
        <v>0</v>
      </c>
      <c r="L445" s="5">
        <f>IFERROR(VLOOKUP(Consulta1[[#This Row],[Pozo largo]],Controles!B:J,9,FALSE),"NO")</f>
        <v>0</v>
      </c>
    </row>
    <row r="446" spans="2:12" x14ac:dyDescent="0.35">
      <c r="B446" s="4" t="s">
        <v>883</v>
      </c>
      <c r="C446" s="4" t="s">
        <v>6198</v>
      </c>
      <c r="D446" s="4" t="s">
        <v>5</v>
      </c>
      <c r="E446" s="4" t="s">
        <v>12</v>
      </c>
      <c r="F446" s="4" t="s">
        <v>7</v>
      </c>
      <c r="G446" s="4" t="s">
        <v>13</v>
      </c>
      <c r="H446" s="4" t="s">
        <v>86</v>
      </c>
      <c r="I446" s="5" t="str">
        <f>IFERROR(VLOOKUP(Consulta1[[#This Row],[Pozo largo]],'Lista YPF'!$B$3:$C$358,2,FALSE),"NO")</f>
        <v>NO</v>
      </c>
      <c r="J446" s="5" t="str">
        <f>IFERROR(VLOOKUP(Consulta1[[#This Row],[Pozo]],'Lista Oportunidades'!B:C,2,FALSE),"NO")</f>
        <v>NO</v>
      </c>
      <c r="K446" s="5">
        <f>IFERROR(VLOOKUP(Consulta1[[#This Row],[Pozo largo]],Controles!B:H,7,FALSE),"NO")</f>
        <v>0.90100000000000002</v>
      </c>
      <c r="L446" s="5">
        <f>IFERROR(VLOOKUP(Consulta1[[#This Row],[Pozo largo]],Controles!B:J,9,FALSE),"NO")</f>
        <v>0</v>
      </c>
    </row>
    <row r="447" spans="2:12" x14ac:dyDescent="0.35">
      <c r="B447" s="4" t="s">
        <v>885</v>
      </c>
      <c r="C447" s="4" t="s">
        <v>6199</v>
      </c>
      <c r="D447" s="4" t="s">
        <v>5</v>
      </c>
      <c r="E447" s="4" t="s">
        <v>12</v>
      </c>
      <c r="F447" s="4" t="s">
        <v>7</v>
      </c>
      <c r="G447" s="4" t="s">
        <v>13</v>
      </c>
      <c r="H447" s="4" t="s">
        <v>80</v>
      </c>
      <c r="I447" s="5" t="str">
        <f>IFERROR(VLOOKUP(Consulta1[[#This Row],[Pozo largo]],'Lista YPF'!$B$3:$C$358,2,FALSE),"NO")</f>
        <v>NO</v>
      </c>
      <c r="J447" s="5" t="str">
        <f>IFERROR(VLOOKUP(Consulta1[[#This Row],[Pozo]],'Lista Oportunidades'!B:C,2,FALSE),"NO")</f>
        <v>NO</v>
      </c>
      <c r="K447" s="5">
        <f>IFERROR(VLOOKUP(Consulta1[[#This Row],[Pozo largo]],Controles!B:H,7,FALSE),"NO")</f>
        <v>1.085</v>
      </c>
      <c r="L447" s="5">
        <f>IFERROR(VLOOKUP(Consulta1[[#This Row],[Pozo largo]],Controles!B:J,9,FALSE),"NO")</f>
        <v>0</v>
      </c>
    </row>
    <row r="448" spans="2:12" x14ac:dyDescent="0.35">
      <c r="B448" s="4" t="s">
        <v>887</v>
      </c>
      <c r="C448" s="4" t="s">
        <v>6200</v>
      </c>
      <c r="D448" s="4" t="s">
        <v>5</v>
      </c>
      <c r="E448" s="4" t="s">
        <v>24</v>
      </c>
      <c r="F448" s="4" t="s">
        <v>31</v>
      </c>
      <c r="G448" s="4" t="s">
        <v>8</v>
      </c>
      <c r="H448" s="4" t="s">
        <v>86</v>
      </c>
      <c r="I448" s="5" t="str">
        <f>IFERROR(VLOOKUP(Consulta1[[#This Row],[Pozo largo]],'Lista YPF'!$B$3:$C$358,2,FALSE),"NO")</f>
        <v>NO</v>
      </c>
      <c r="J448" s="5" t="str">
        <f>IFERROR(VLOOKUP(Consulta1[[#This Row],[Pozo]],'Lista Oportunidades'!B:C,2,FALSE),"NO")</f>
        <v>NO</v>
      </c>
      <c r="K448" s="5">
        <f>IFERROR(VLOOKUP(Consulta1[[#This Row],[Pozo largo]],Controles!B:H,7,FALSE),"NO")</f>
        <v>0.81</v>
      </c>
      <c r="L448" s="5">
        <f>IFERROR(VLOOKUP(Consulta1[[#This Row],[Pozo largo]],Controles!B:J,9,FALSE),"NO")</f>
        <v>0</v>
      </c>
    </row>
    <row r="449" spans="2:12" x14ac:dyDescent="0.35">
      <c r="B449" s="4" t="s">
        <v>889</v>
      </c>
      <c r="C449" s="4" t="s">
        <v>6201</v>
      </c>
      <c r="D449" s="4" t="s">
        <v>5</v>
      </c>
      <c r="E449" s="4" t="s">
        <v>12</v>
      </c>
      <c r="F449" s="4" t="s">
        <v>7</v>
      </c>
      <c r="G449" s="4" t="s">
        <v>13</v>
      </c>
      <c r="H449" s="4" t="s">
        <v>9</v>
      </c>
      <c r="I449" s="5" t="str">
        <f>IFERROR(VLOOKUP(Consulta1[[#This Row],[Pozo largo]],'Lista YPF'!$B$3:$C$358,2,FALSE),"NO")</f>
        <v>NO</v>
      </c>
      <c r="J449" s="5" t="str">
        <f>IFERROR(VLOOKUP(Consulta1[[#This Row],[Pozo]],'Lista Oportunidades'!B:C,2,FALSE),"NO")</f>
        <v>NO</v>
      </c>
      <c r="K449" s="5">
        <f>IFERROR(VLOOKUP(Consulta1[[#This Row],[Pozo largo]],Controles!B:H,7,FALSE),"NO")</f>
        <v>2.52</v>
      </c>
      <c r="L449" s="5">
        <f>IFERROR(VLOOKUP(Consulta1[[#This Row],[Pozo largo]],Controles!B:J,9,FALSE),"NO")</f>
        <v>0</v>
      </c>
    </row>
    <row r="450" spans="2:12" x14ac:dyDescent="0.35">
      <c r="B450" s="4" t="s">
        <v>891</v>
      </c>
      <c r="C450" s="4" t="s">
        <v>6202</v>
      </c>
      <c r="D450" s="4" t="s">
        <v>5</v>
      </c>
      <c r="E450" s="4" t="s">
        <v>12</v>
      </c>
      <c r="F450" s="4" t="s">
        <v>25</v>
      </c>
      <c r="G450" s="4" t="s">
        <v>13</v>
      </c>
      <c r="H450" s="4" t="s">
        <v>91</v>
      </c>
      <c r="I450" s="5" t="str">
        <f>IFERROR(VLOOKUP(Consulta1[[#This Row],[Pozo largo]],'Lista YPF'!$B$3:$C$358,2,FALSE),"NO")</f>
        <v>NO</v>
      </c>
      <c r="J450" s="5" t="str">
        <f>IFERROR(VLOOKUP(Consulta1[[#This Row],[Pozo]],'Lista Oportunidades'!B:C,2,FALSE),"NO")</f>
        <v>NO</v>
      </c>
      <c r="K450" s="5">
        <f>IFERROR(VLOOKUP(Consulta1[[#This Row],[Pozo largo]],Controles!B:H,7,FALSE),"NO")</f>
        <v>0.10400000000000001</v>
      </c>
      <c r="L450" s="5">
        <f>IFERROR(VLOOKUP(Consulta1[[#This Row],[Pozo largo]],Controles!B:J,9,FALSE),"NO")</f>
        <v>0</v>
      </c>
    </row>
    <row r="451" spans="2:12" x14ac:dyDescent="0.35">
      <c r="B451" s="4" t="s">
        <v>893</v>
      </c>
      <c r="C451" s="4" t="s">
        <v>6203</v>
      </c>
      <c r="D451" s="4" t="s">
        <v>5</v>
      </c>
      <c r="E451" s="4" t="s">
        <v>12</v>
      </c>
      <c r="F451" s="4" t="s">
        <v>28</v>
      </c>
      <c r="G451" s="4" t="s">
        <v>13</v>
      </c>
      <c r="H451" s="4" t="s">
        <v>9</v>
      </c>
      <c r="I451" s="5" t="str">
        <f>IFERROR(VLOOKUP(Consulta1[[#This Row],[Pozo largo]],'Lista YPF'!$B$3:$C$358,2,FALSE),"NO")</f>
        <v>NO</v>
      </c>
      <c r="J451" s="5" t="str">
        <f>IFERROR(VLOOKUP(Consulta1[[#This Row],[Pozo]],'Lista Oportunidades'!B:C,2,FALSE),"NO")</f>
        <v>NO</v>
      </c>
      <c r="K451" s="5">
        <f>IFERROR(VLOOKUP(Consulta1[[#This Row],[Pozo largo]],Controles!B:H,7,FALSE),"NO")</f>
        <v>0</v>
      </c>
      <c r="L451" s="5">
        <f>IFERROR(VLOOKUP(Consulta1[[#This Row],[Pozo largo]],Controles!B:J,9,FALSE),"NO")</f>
        <v>0</v>
      </c>
    </row>
    <row r="452" spans="2:12" x14ac:dyDescent="0.35">
      <c r="B452" s="4" t="s">
        <v>895</v>
      </c>
      <c r="C452" s="4" t="s">
        <v>6204</v>
      </c>
      <c r="D452" s="4" t="s">
        <v>5</v>
      </c>
      <c r="E452" s="4" t="s">
        <v>12</v>
      </c>
      <c r="F452" s="4" t="s">
        <v>7</v>
      </c>
      <c r="G452" s="4" t="s">
        <v>13</v>
      </c>
      <c r="H452" s="4" t="s">
        <v>86</v>
      </c>
      <c r="I452" s="5" t="str">
        <f>IFERROR(VLOOKUP(Consulta1[[#This Row],[Pozo largo]],'Lista YPF'!$B$3:$C$358,2,FALSE),"NO")</f>
        <v>NO</v>
      </c>
      <c r="J452" s="5" t="str">
        <f>IFERROR(VLOOKUP(Consulta1[[#This Row],[Pozo]],'Lista Oportunidades'!B:C,2,FALSE),"NO")</f>
        <v>NO</v>
      </c>
      <c r="K452" s="5">
        <f>IFERROR(VLOOKUP(Consulta1[[#This Row],[Pozo largo]],Controles!B:H,7,FALSE),"NO")</f>
        <v>1.044</v>
      </c>
      <c r="L452" s="5">
        <f>IFERROR(VLOOKUP(Consulta1[[#This Row],[Pozo largo]],Controles!B:J,9,FALSE),"NO")</f>
        <v>0</v>
      </c>
    </row>
    <row r="453" spans="2:12" x14ac:dyDescent="0.35">
      <c r="B453" s="4" t="s">
        <v>897</v>
      </c>
      <c r="C453" s="4" t="s">
        <v>6205</v>
      </c>
      <c r="D453" s="4" t="s">
        <v>5</v>
      </c>
      <c r="E453" s="4" t="s">
        <v>12</v>
      </c>
      <c r="F453" s="4" t="s">
        <v>7</v>
      </c>
      <c r="G453" s="4" t="s">
        <v>13</v>
      </c>
      <c r="H453" s="4" t="s">
        <v>74</v>
      </c>
      <c r="I453" s="5" t="str">
        <f>IFERROR(VLOOKUP(Consulta1[[#This Row],[Pozo largo]],'Lista YPF'!$B$3:$C$358,2,FALSE),"NO")</f>
        <v>NO</v>
      </c>
      <c r="J453" s="5" t="str">
        <f>IFERROR(VLOOKUP(Consulta1[[#This Row],[Pozo]],'Lista Oportunidades'!B:C,2,FALSE),"NO")</f>
        <v>NO</v>
      </c>
      <c r="K453" s="5">
        <f>IFERROR(VLOOKUP(Consulta1[[#This Row],[Pozo largo]],Controles!B:H,7,FALSE),"NO")</f>
        <v>2.7</v>
      </c>
      <c r="L453" s="5">
        <f>IFERROR(VLOOKUP(Consulta1[[#This Row],[Pozo largo]],Controles!B:J,9,FALSE),"NO")</f>
        <v>0</v>
      </c>
    </row>
    <row r="454" spans="2:12" x14ac:dyDescent="0.35">
      <c r="B454" s="4" t="s">
        <v>899</v>
      </c>
      <c r="C454" s="4" t="s">
        <v>6206</v>
      </c>
      <c r="D454" s="4" t="s">
        <v>5</v>
      </c>
      <c r="E454" s="4" t="s">
        <v>24</v>
      </c>
      <c r="F454" s="4" t="s">
        <v>7</v>
      </c>
      <c r="G454" s="4" t="s">
        <v>8</v>
      </c>
      <c r="H454" s="4" t="s">
        <v>80</v>
      </c>
      <c r="I454" s="5" t="str">
        <f>IFERROR(VLOOKUP(Consulta1[[#This Row],[Pozo largo]],'Lista YPF'!$B$3:$C$358,2,FALSE),"NO")</f>
        <v>NO</v>
      </c>
      <c r="J454" s="5" t="str">
        <f>IFERROR(VLOOKUP(Consulta1[[#This Row],[Pozo]],'Lista Oportunidades'!B:C,2,FALSE),"NO")</f>
        <v>NO</v>
      </c>
      <c r="K454" s="5">
        <f>IFERROR(VLOOKUP(Consulta1[[#This Row],[Pozo largo]],Controles!B:H,7,FALSE),"NO")</f>
        <v>0.48</v>
      </c>
      <c r="L454" s="5">
        <f>IFERROR(VLOOKUP(Consulta1[[#This Row],[Pozo largo]],Controles!B:J,9,FALSE),"NO")</f>
        <v>0</v>
      </c>
    </row>
    <row r="455" spans="2:12" x14ac:dyDescent="0.35">
      <c r="B455" s="4" t="s">
        <v>901</v>
      </c>
      <c r="C455" s="4" t="s">
        <v>6207</v>
      </c>
      <c r="D455" s="4" t="s">
        <v>5</v>
      </c>
      <c r="E455" s="4" t="s">
        <v>24</v>
      </c>
      <c r="F455" s="4" t="s">
        <v>25</v>
      </c>
      <c r="G455" s="4" t="s">
        <v>8</v>
      </c>
      <c r="H455" s="4" t="s">
        <v>91</v>
      </c>
      <c r="I455" s="5" t="str">
        <f>IFERROR(VLOOKUP(Consulta1[[#This Row],[Pozo largo]],'Lista YPF'!$B$3:$C$358,2,FALSE),"NO")</f>
        <v>NO</v>
      </c>
      <c r="J455" s="5" t="str">
        <f>IFERROR(VLOOKUP(Consulta1[[#This Row],[Pozo]],'Lista Oportunidades'!B:C,2,FALSE),"NO")</f>
        <v>NO</v>
      </c>
      <c r="K455" s="5">
        <f>IFERROR(VLOOKUP(Consulta1[[#This Row],[Pozo largo]],Controles!B:H,7,FALSE),"NO")</f>
        <v>1</v>
      </c>
      <c r="L455" s="5">
        <f>IFERROR(VLOOKUP(Consulta1[[#This Row],[Pozo largo]],Controles!B:J,9,FALSE),"NO")</f>
        <v>0</v>
      </c>
    </row>
    <row r="456" spans="2:12" x14ac:dyDescent="0.35">
      <c r="B456" s="4" t="s">
        <v>903</v>
      </c>
      <c r="C456" s="4" t="s">
        <v>6208</v>
      </c>
      <c r="D456" s="4" t="s">
        <v>5</v>
      </c>
      <c r="E456" s="4" t="s">
        <v>12</v>
      </c>
      <c r="F456" s="4" t="s">
        <v>7</v>
      </c>
      <c r="G456" s="4" t="s">
        <v>13</v>
      </c>
      <c r="H456" s="4" t="s">
        <v>9</v>
      </c>
      <c r="I456" s="5" t="str">
        <f>IFERROR(VLOOKUP(Consulta1[[#This Row],[Pozo largo]],'Lista YPF'!$B$3:$C$358,2,FALSE),"NO")</f>
        <v>NO</v>
      </c>
      <c r="J456" s="5" t="str">
        <f>IFERROR(VLOOKUP(Consulta1[[#This Row],[Pozo]],'Lista Oportunidades'!B:C,2,FALSE),"NO")</f>
        <v>NO</v>
      </c>
      <c r="K456" s="5">
        <f>IFERROR(VLOOKUP(Consulta1[[#This Row],[Pozo largo]],Controles!B:H,7,FALSE),"NO")</f>
        <v>1.19</v>
      </c>
      <c r="L456" s="5">
        <f>IFERROR(VLOOKUP(Consulta1[[#This Row],[Pozo largo]],Controles!B:J,9,FALSE),"NO")</f>
        <v>0</v>
      </c>
    </row>
    <row r="457" spans="2:12" x14ac:dyDescent="0.35">
      <c r="B457" s="4" t="s">
        <v>905</v>
      </c>
      <c r="C457" s="4" t="s">
        <v>6209</v>
      </c>
      <c r="D457" s="4" t="s">
        <v>5</v>
      </c>
      <c r="E457" s="4" t="s">
        <v>12</v>
      </c>
      <c r="F457" s="4" t="s">
        <v>7</v>
      </c>
      <c r="G457" s="4" t="s">
        <v>13</v>
      </c>
      <c r="H457" s="4" t="s">
        <v>185</v>
      </c>
      <c r="I457" s="5" t="str">
        <f>IFERROR(VLOOKUP(Consulta1[[#This Row],[Pozo largo]],'Lista YPF'!$B$3:$C$358,2,FALSE),"NO")</f>
        <v>NO</v>
      </c>
      <c r="J457" s="5" t="str">
        <f>IFERROR(VLOOKUP(Consulta1[[#This Row],[Pozo]],'Lista Oportunidades'!B:C,2,FALSE),"NO")</f>
        <v>NO</v>
      </c>
      <c r="K457" s="5">
        <f>IFERROR(VLOOKUP(Consulta1[[#This Row],[Pozo largo]],Controles!B:H,7,FALSE),"NO")</f>
        <v>1.1340000000000001</v>
      </c>
      <c r="L457" s="5">
        <f>IFERROR(VLOOKUP(Consulta1[[#This Row],[Pozo largo]],Controles!B:J,9,FALSE),"NO")</f>
        <v>0</v>
      </c>
    </row>
    <row r="458" spans="2:12" x14ac:dyDescent="0.35">
      <c r="B458" s="4" t="s">
        <v>907</v>
      </c>
      <c r="C458" s="4" t="s">
        <v>6210</v>
      </c>
      <c r="D458" s="4" t="s">
        <v>5</v>
      </c>
      <c r="E458" s="4" t="s">
        <v>12</v>
      </c>
      <c r="F458" s="4" t="s">
        <v>28</v>
      </c>
      <c r="G458" s="4" t="s">
        <v>13</v>
      </c>
      <c r="H458" s="4" t="s">
        <v>185</v>
      </c>
      <c r="I458" s="5" t="str">
        <f>IFERROR(VLOOKUP(Consulta1[[#This Row],[Pozo largo]],'Lista YPF'!$B$3:$C$358,2,FALSE),"NO")</f>
        <v>NO</v>
      </c>
      <c r="J458" s="5" t="str">
        <f>IFERROR(VLOOKUP(Consulta1[[#This Row],[Pozo]],'Lista Oportunidades'!B:C,2,FALSE),"NO")</f>
        <v>NO</v>
      </c>
      <c r="K458" s="5">
        <f>IFERROR(VLOOKUP(Consulta1[[#This Row],[Pozo largo]],Controles!B:H,7,FALSE),"NO")</f>
        <v>0</v>
      </c>
      <c r="L458" s="5">
        <f>IFERROR(VLOOKUP(Consulta1[[#This Row],[Pozo largo]],Controles!B:J,9,FALSE),"NO")</f>
        <v>0</v>
      </c>
    </row>
    <row r="459" spans="2:12" x14ac:dyDescent="0.35">
      <c r="B459" s="4" t="s">
        <v>909</v>
      </c>
      <c r="C459" s="4" t="s">
        <v>6211</v>
      </c>
      <c r="D459" s="4" t="s">
        <v>5</v>
      </c>
      <c r="E459" s="4" t="s">
        <v>12</v>
      </c>
      <c r="F459" s="4" t="s">
        <v>7</v>
      </c>
      <c r="G459" s="4" t="s">
        <v>13</v>
      </c>
      <c r="H459" s="4" t="s">
        <v>86</v>
      </c>
      <c r="I459" s="5" t="str">
        <f>IFERROR(VLOOKUP(Consulta1[[#This Row],[Pozo largo]],'Lista YPF'!$B$3:$C$358,2,FALSE),"NO")</f>
        <v>NO</v>
      </c>
      <c r="J459" s="5" t="str">
        <f>IFERROR(VLOOKUP(Consulta1[[#This Row],[Pozo]],'Lista Oportunidades'!B:C,2,FALSE),"NO")</f>
        <v>NO</v>
      </c>
      <c r="K459" s="5">
        <f>IFERROR(VLOOKUP(Consulta1[[#This Row],[Pozo largo]],Controles!B:H,7,FALSE),"NO")</f>
        <v>7.2000000000000008E-2</v>
      </c>
      <c r="L459" s="5">
        <f>IFERROR(VLOOKUP(Consulta1[[#This Row],[Pozo largo]],Controles!B:J,9,FALSE),"NO")</f>
        <v>0</v>
      </c>
    </row>
    <row r="460" spans="2:12" x14ac:dyDescent="0.35">
      <c r="B460" s="4" t="s">
        <v>911</v>
      </c>
      <c r="C460" s="4" t="s">
        <v>6212</v>
      </c>
      <c r="D460" s="4" t="s">
        <v>5</v>
      </c>
      <c r="E460" s="4" t="s">
        <v>12</v>
      </c>
      <c r="F460" s="4" t="s">
        <v>7</v>
      </c>
      <c r="G460" s="4" t="s">
        <v>13</v>
      </c>
      <c r="H460" s="4" t="s">
        <v>91</v>
      </c>
      <c r="I460" s="5" t="str">
        <f>IFERROR(VLOOKUP(Consulta1[[#This Row],[Pozo largo]],'Lista YPF'!$B$3:$C$358,2,FALSE),"NO")</f>
        <v>NO</v>
      </c>
      <c r="J460" s="5" t="str">
        <f>IFERROR(VLOOKUP(Consulta1[[#This Row],[Pozo]],'Lista Oportunidades'!B:C,2,FALSE),"NO")</f>
        <v>NO</v>
      </c>
      <c r="K460" s="5">
        <f>IFERROR(VLOOKUP(Consulta1[[#This Row],[Pozo largo]],Controles!B:H,7,FALSE),"NO")</f>
        <v>2.4</v>
      </c>
      <c r="L460" s="5">
        <f>IFERROR(VLOOKUP(Consulta1[[#This Row],[Pozo largo]],Controles!B:J,9,FALSE),"NO")</f>
        <v>0</v>
      </c>
    </row>
    <row r="461" spans="2:12" x14ac:dyDescent="0.35">
      <c r="B461" s="4" t="s">
        <v>913</v>
      </c>
      <c r="C461" s="4" t="s">
        <v>6213</v>
      </c>
      <c r="D461" s="4" t="s">
        <v>5</v>
      </c>
      <c r="E461" s="4" t="s">
        <v>12</v>
      </c>
      <c r="F461" s="4" t="s">
        <v>7</v>
      </c>
      <c r="G461" s="4" t="s">
        <v>13</v>
      </c>
      <c r="H461" s="4" t="s">
        <v>21</v>
      </c>
      <c r="I461" s="5" t="str">
        <f>IFERROR(VLOOKUP(Consulta1[[#This Row],[Pozo largo]],'Lista YPF'!$B$3:$C$358,2,FALSE),"NO")</f>
        <v>NO</v>
      </c>
      <c r="J461" s="5" t="str">
        <f>IFERROR(VLOOKUP(Consulta1[[#This Row],[Pozo]],'Lista Oportunidades'!B:C,2,FALSE),"NO")</f>
        <v>NO</v>
      </c>
      <c r="K461" s="5">
        <f>IFERROR(VLOOKUP(Consulta1[[#This Row],[Pozo largo]],Controles!B:H,7,FALSE),"NO")</f>
        <v>4.4000000000000004</v>
      </c>
      <c r="L461" s="5">
        <f>IFERROR(VLOOKUP(Consulta1[[#This Row],[Pozo largo]],Controles!B:J,9,FALSE),"NO")</f>
        <v>0</v>
      </c>
    </row>
    <row r="462" spans="2:12" x14ac:dyDescent="0.35">
      <c r="B462" s="4" t="s">
        <v>915</v>
      </c>
      <c r="C462" s="4" t="s">
        <v>6214</v>
      </c>
      <c r="D462" s="4" t="s">
        <v>5</v>
      </c>
      <c r="E462" s="4" t="s">
        <v>12</v>
      </c>
      <c r="F462" s="4" t="s">
        <v>7</v>
      </c>
      <c r="G462" s="4" t="s">
        <v>13</v>
      </c>
      <c r="H462" s="4" t="s">
        <v>86</v>
      </c>
      <c r="I462" s="5" t="str">
        <f>IFERROR(VLOOKUP(Consulta1[[#This Row],[Pozo largo]],'Lista YPF'!$B$3:$C$358,2,FALSE),"NO")</f>
        <v>NO</v>
      </c>
      <c r="J462" s="5" t="str">
        <f>IFERROR(VLOOKUP(Consulta1[[#This Row],[Pozo]],'Lista Oportunidades'!B:C,2,FALSE),"NO")</f>
        <v>NO</v>
      </c>
      <c r="K462" s="5">
        <f>IFERROR(VLOOKUP(Consulta1[[#This Row],[Pozo largo]],Controles!B:H,7,FALSE),"NO")</f>
        <v>1.6</v>
      </c>
      <c r="L462" s="5">
        <f>IFERROR(VLOOKUP(Consulta1[[#This Row],[Pozo largo]],Controles!B:J,9,FALSE),"NO")</f>
        <v>0</v>
      </c>
    </row>
    <row r="463" spans="2:12" x14ac:dyDescent="0.35">
      <c r="B463" s="4" t="s">
        <v>917</v>
      </c>
      <c r="C463" s="4" t="s">
        <v>6215</v>
      </c>
      <c r="D463" s="4" t="s">
        <v>5</v>
      </c>
      <c r="E463" s="4" t="s">
        <v>12</v>
      </c>
      <c r="F463" s="4" t="s">
        <v>7</v>
      </c>
      <c r="G463" s="4" t="s">
        <v>13</v>
      </c>
      <c r="H463" s="4" t="s">
        <v>185</v>
      </c>
      <c r="I463" s="5" t="str">
        <f>IFERROR(VLOOKUP(Consulta1[[#This Row],[Pozo largo]],'Lista YPF'!$B$3:$C$358,2,FALSE),"NO")</f>
        <v>NO</v>
      </c>
      <c r="J463" s="5" t="str">
        <f>IFERROR(VLOOKUP(Consulta1[[#This Row],[Pozo]],'Lista Oportunidades'!B:C,2,FALSE),"NO")</f>
        <v>NO</v>
      </c>
      <c r="K463" s="5">
        <f>IFERROR(VLOOKUP(Consulta1[[#This Row],[Pozo largo]],Controles!B:H,7,FALSE),"NO")</f>
        <v>0.11</v>
      </c>
      <c r="L463" s="5">
        <f>IFERROR(VLOOKUP(Consulta1[[#This Row],[Pozo largo]],Controles!B:J,9,FALSE),"NO")</f>
        <v>0</v>
      </c>
    </row>
    <row r="464" spans="2:12" x14ac:dyDescent="0.35">
      <c r="B464" s="4" t="s">
        <v>919</v>
      </c>
      <c r="C464" s="4" t="s">
        <v>6216</v>
      </c>
      <c r="D464" s="4" t="s">
        <v>5</v>
      </c>
      <c r="E464" s="4" t="s">
        <v>12</v>
      </c>
      <c r="F464" s="4" t="s">
        <v>7</v>
      </c>
      <c r="G464" s="4" t="s">
        <v>13</v>
      </c>
      <c r="H464" s="4" t="s">
        <v>33</v>
      </c>
      <c r="I464" s="5" t="str">
        <f>IFERROR(VLOOKUP(Consulta1[[#This Row],[Pozo largo]],'Lista YPF'!$B$3:$C$358,2,FALSE),"NO")</f>
        <v>NO</v>
      </c>
      <c r="J464" s="5" t="str">
        <f>IFERROR(VLOOKUP(Consulta1[[#This Row],[Pozo]],'Lista Oportunidades'!B:C,2,FALSE),"NO")</f>
        <v>NO</v>
      </c>
      <c r="K464" s="5">
        <f>IFERROR(VLOOKUP(Consulta1[[#This Row],[Pozo largo]],Controles!B:H,7,FALSE),"NO")</f>
        <v>0.20400000000000001</v>
      </c>
      <c r="L464" s="5">
        <f>IFERROR(VLOOKUP(Consulta1[[#This Row],[Pozo largo]],Controles!B:J,9,FALSE),"NO")</f>
        <v>0</v>
      </c>
    </row>
    <row r="465" spans="2:12" x14ac:dyDescent="0.35">
      <c r="B465" s="4" t="s">
        <v>921</v>
      </c>
      <c r="C465" s="4" t="s">
        <v>6217</v>
      </c>
      <c r="D465" s="4" t="s">
        <v>5</v>
      </c>
      <c r="E465" s="4" t="s">
        <v>12</v>
      </c>
      <c r="F465" s="4" t="s">
        <v>7</v>
      </c>
      <c r="G465" s="4" t="s">
        <v>13</v>
      </c>
      <c r="H465" s="4" t="s">
        <v>185</v>
      </c>
      <c r="I465" s="5" t="str">
        <f>IFERROR(VLOOKUP(Consulta1[[#This Row],[Pozo largo]],'Lista YPF'!$B$3:$C$358,2,FALSE),"NO")</f>
        <v>NO</v>
      </c>
      <c r="J465" s="5" t="str">
        <f>IFERROR(VLOOKUP(Consulta1[[#This Row],[Pozo]],'Lista Oportunidades'!B:C,2,FALSE),"NO")</f>
        <v>NO</v>
      </c>
      <c r="K465" s="5">
        <f>IFERROR(VLOOKUP(Consulta1[[#This Row],[Pozo largo]],Controles!B:H,7,FALSE),"NO")</f>
        <v>0.13800000000000001</v>
      </c>
      <c r="L465" s="5">
        <f>IFERROR(VLOOKUP(Consulta1[[#This Row],[Pozo largo]],Controles!B:J,9,FALSE),"NO")</f>
        <v>0</v>
      </c>
    </row>
    <row r="466" spans="2:12" x14ac:dyDescent="0.35">
      <c r="B466" s="4" t="s">
        <v>923</v>
      </c>
      <c r="C466" s="4" t="s">
        <v>6218</v>
      </c>
      <c r="D466" s="4" t="s">
        <v>5</v>
      </c>
      <c r="E466" s="4" t="s">
        <v>12</v>
      </c>
      <c r="F466" s="4" t="s">
        <v>7</v>
      </c>
      <c r="G466" s="4" t="s">
        <v>13</v>
      </c>
      <c r="H466" s="4" t="s">
        <v>91</v>
      </c>
      <c r="I466" s="5" t="str">
        <f>IFERROR(VLOOKUP(Consulta1[[#This Row],[Pozo largo]],'Lista YPF'!$B$3:$C$358,2,FALSE),"NO")</f>
        <v>NO</v>
      </c>
      <c r="J466" s="5" t="str">
        <f>IFERROR(VLOOKUP(Consulta1[[#This Row],[Pozo]],'Lista Oportunidades'!B:C,2,FALSE),"NO")</f>
        <v>NO</v>
      </c>
      <c r="K466" s="5">
        <f>IFERROR(VLOOKUP(Consulta1[[#This Row],[Pozo largo]],Controles!B:H,7,FALSE),"NO")</f>
        <v>1.2</v>
      </c>
      <c r="L466" s="5">
        <f>IFERROR(VLOOKUP(Consulta1[[#This Row],[Pozo largo]],Controles!B:J,9,FALSE),"NO")</f>
        <v>0</v>
      </c>
    </row>
    <row r="467" spans="2:12" x14ac:dyDescent="0.35">
      <c r="B467" s="4" t="s">
        <v>925</v>
      </c>
      <c r="C467" s="4" t="s">
        <v>6219</v>
      </c>
      <c r="D467" s="4" t="s">
        <v>5</v>
      </c>
      <c r="E467" s="4" t="s">
        <v>76</v>
      </c>
      <c r="F467" s="4" t="s">
        <v>7</v>
      </c>
      <c r="G467" s="4" t="s">
        <v>5718</v>
      </c>
      <c r="H467" s="4" t="s">
        <v>21</v>
      </c>
      <c r="I467" s="5" t="str">
        <f>IFERROR(VLOOKUP(Consulta1[[#This Row],[Pozo largo]],'Lista YPF'!$B$3:$C$358,2,FALSE),"NO")</f>
        <v>En lista de Abandono</v>
      </c>
      <c r="J467" s="5" t="str">
        <f>IFERROR(VLOOKUP(Consulta1[[#This Row],[Pozo]],'Lista Oportunidades'!B:C,2,FALSE),"NO")</f>
        <v>NO</v>
      </c>
      <c r="K467" s="5">
        <f>IFERROR(VLOOKUP(Consulta1[[#This Row],[Pozo largo]],Controles!B:H,7,FALSE),"NO")</f>
        <v>0.3</v>
      </c>
      <c r="L467" s="5">
        <f>IFERROR(VLOOKUP(Consulta1[[#This Row],[Pozo largo]],Controles!B:J,9,FALSE),"NO")</f>
        <v>0</v>
      </c>
    </row>
    <row r="468" spans="2:12" x14ac:dyDescent="0.35">
      <c r="B468" s="4" t="s">
        <v>927</v>
      </c>
      <c r="C468" s="4" t="s">
        <v>6220</v>
      </c>
      <c r="D468" s="4" t="s">
        <v>5</v>
      </c>
      <c r="E468" s="4" t="s">
        <v>12</v>
      </c>
      <c r="F468" s="4" t="s">
        <v>7</v>
      </c>
      <c r="G468" s="4" t="s">
        <v>13</v>
      </c>
      <c r="H468" s="4" t="s">
        <v>9</v>
      </c>
      <c r="I468" s="5" t="str">
        <f>IFERROR(VLOOKUP(Consulta1[[#This Row],[Pozo largo]],'Lista YPF'!$B$3:$C$358,2,FALSE),"NO")</f>
        <v>NO</v>
      </c>
      <c r="J468" s="5" t="str">
        <f>IFERROR(VLOOKUP(Consulta1[[#This Row],[Pozo]],'Lista Oportunidades'!B:C,2,FALSE),"NO")</f>
        <v>NO</v>
      </c>
      <c r="K468" s="5">
        <f>IFERROR(VLOOKUP(Consulta1[[#This Row],[Pozo largo]],Controles!B:H,7,FALSE),"NO")</f>
        <v>3.06</v>
      </c>
      <c r="L468" s="5">
        <f>IFERROR(VLOOKUP(Consulta1[[#This Row],[Pozo largo]],Controles!B:J,9,FALSE),"NO")</f>
        <v>0</v>
      </c>
    </row>
    <row r="469" spans="2:12" x14ac:dyDescent="0.35">
      <c r="B469" s="4" t="s">
        <v>929</v>
      </c>
      <c r="C469" s="4" t="s">
        <v>6221</v>
      </c>
      <c r="D469" s="4" t="s">
        <v>5</v>
      </c>
      <c r="E469" s="4" t="s">
        <v>12</v>
      </c>
      <c r="F469" s="4" t="s">
        <v>7</v>
      </c>
      <c r="G469" s="4" t="s">
        <v>13</v>
      </c>
      <c r="H469" s="4" t="s">
        <v>84</v>
      </c>
      <c r="I469" s="5" t="str">
        <f>IFERROR(VLOOKUP(Consulta1[[#This Row],[Pozo largo]],'Lista YPF'!$B$3:$C$358,2,FALSE),"NO")</f>
        <v>NO</v>
      </c>
      <c r="J469" s="5" t="str">
        <f>IFERROR(VLOOKUP(Consulta1[[#This Row],[Pozo]],'Lista Oportunidades'!B:C,2,FALSE),"NO")</f>
        <v>NO</v>
      </c>
      <c r="K469" s="5">
        <f>IFERROR(VLOOKUP(Consulta1[[#This Row],[Pozo largo]],Controles!B:H,7,FALSE),"NO")</f>
        <v>1.4000000000000001</v>
      </c>
      <c r="L469" s="5" t="str">
        <f>IFERROR(VLOOKUP(Consulta1[[#This Row],[Pozo largo]],Controles!B:J,9,FALSE),"NO")</f>
        <v>Ultimos 6 meses</v>
      </c>
    </row>
    <row r="470" spans="2:12" x14ac:dyDescent="0.35">
      <c r="B470" s="4" t="s">
        <v>931</v>
      </c>
      <c r="C470" s="4" t="s">
        <v>6222</v>
      </c>
      <c r="D470" s="4" t="s">
        <v>5</v>
      </c>
      <c r="E470" s="4" t="s">
        <v>12</v>
      </c>
      <c r="F470" s="4" t="s">
        <v>83</v>
      </c>
      <c r="G470" s="4" t="s">
        <v>13</v>
      </c>
      <c r="H470" s="4" t="s">
        <v>16</v>
      </c>
      <c r="I470" s="5" t="str">
        <f>IFERROR(VLOOKUP(Consulta1[[#This Row],[Pozo largo]],'Lista YPF'!$B$3:$C$358,2,FALSE),"NO")</f>
        <v>NO</v>
      </c>
      <c r="J470" s="5" t="str">
        <f>IFERROR(VLOOKUP(Consulta1[[#This Row],[Pozo]],'Lista Oportunidades'!B:C,2,FALSE),"NO")</f>
        <v>NO</v>
      </c>
      <c r="K470" s="5">
        <f>IFERROR(VLOOKUP(Consulta1[[#This Row],[Pozo largo]],Controles!B:H,7,FALSE),"NO")</f>
        <v>2.4450000000000003</v>
      </c>
      <c r="L470" s="5">
        <f>IFERROR(VLOOKUP(Consulta1[[#This Row],[Pozo largo]],Controles!B:J,9,FALSE),"NO")</f>
        <v>0</v>
      </c>
    </row>
    <row r="471" spans="2:12" x14ac:dyDescent="0.35">
      <c r="B471" s="4" t="s">
        <v>933</v>
      </c>
      <c r="C471" s="4" t="s">
        <v>6223</v>
      </c>
      <c r="D471" s="4" t="s">
        <v>5</v>
      </c>
      <c r="E471" s="4" t="s">
        <v>12</v>
      </c>
      <c r="F471" s="4" t="s">
        <v>7</v>
      </c>
      <c r="G471" s="4" t="s">
        <v>13</v>
      </c>
      <c r="H471" s="4" t="s">
        <v>71</v>
      </c>
      <c r="I471" s="5" t="str">
        <f>IFERROR(VLOOKUP(Consulta1[[#This Row],[Pozo largo]],'Lista YPF'!$B$3:$C$358,2,FALSE),"NO")</f>
        <v>NO</v>
      </c>
      <c r="J471" s="5" t="str">
        <f>IFERROR(VLOOKUP(Consulta1[[#This Row],[Pozo]],'Lista Oportunidades'!B:C,2,FALSE),"NO")</f>
        <v>NO</v>
      </c>
      <c r="K471" s="5">
        <f>IFERROR(VLOOKUP(Consulta1[[#This Row],[Pozo largo]],Controles!B:H,7,FALSE),"NO")</f>
        <v>2.1</v>
      </c>
      <c r="L471" s="5">
        <f>IFERROR(VLOOKUP(Consulta1[[#This Row],[Pozo largo]],Controles!B:J,9,FALSE),"NO")</f>
        <v>0</v>
      </c>
    </row>
    <row r="472" spans="2:12" x14ac:dyDescent="0.35">
      <c r="B472" s="4" t="s">
        <v>935</v>
      </c>
      <c r="C472" s="4" t="s">
        <v>6224</v>
      </c>
      <c r="D472" s="4" t="s">
        <v>5</v>
      </c>
      <c r="E472" s="4" t="s">
        <v>24</v>
      </c>
      <c r="F472" s="4" t="s">
        <v>31</v>
      </c>
      <c r="G472" s="4" t="s">
        <v>8</v>
      </c>
      <c r="H472" s="4" t="s">
        <v>80</v>
      </c>
      <c r="I472" s="5" t="str">
        <f>IFERROR(VLOOKUP(Consulta1[[#This Row],[Pozo largo]],'Lista YPF'!$B$3:$C$358,2,FALSE),"NO")</f>
        <v>NO</v>
      </c>
      <c r="J472" s="5" t="str">
        <f>IFERROR(VLOOKUP(Consulta1[[#This Row],[Pozo]],'Lista Oportunidades'!B:C,2,FALSE),"NO")</f>
        <v>NO</v>
      </c>
      <c r="K472" s="5">
        <f>IFERROR(VLOOKUP(Consulta1[[#This Row],[Pozo largo]],Controles!B:H,7,FALSE),"NO")</f>
        <v>1.05</v>
      </c>
      <c r="L472" s="5">
        <f>IFERROR(VLOOKUP(Consulta1[[#This Row],[Pozo largo]],Controles!B:J,9,FALSE),"NO")</f>
        <v>0</v>
      </c>
    </row>
    <row r="473" spans="2:12" x14ac:dyDescent="0.35">
      <c r="B473" s="4" t="s">
        <v>937</v>
      </c>
      <c r="C473" s="4" t="s">
        <v>6225</v>
      </c>
      <c r="D473" s="4" t="s">
        <v>5</v>
      </c>
      <c r="E473" s="4" t="s">
        <v>309</v>
      </c>
      <c r="F473" s="4" t="s">
        <v>28</v>
      </c>
      <c r="G473" s="4" t="s">
        <v>5718</v>
      </c>
      <c r="H473" s="4" t="s">
        <v>80</v>
      </c>
      <c r="I473" s="5" t="str">
        <f>IFERROR(VLOOKUP(Consulta1[[#This Row],[Pozo largo]],'Lista YPF'!$B$3:$C$358,2,FALSE),"NO")</f>
        <v>En lista de Abandono</v>
      </c>
      <c r="J473" s="5" t="str">
        <f>IFERROR(VLOOKUP(Consulta1[[#This Row],[Pozo]],'Lista Oportunidades'!B:C,2,FALSE),"NO")</f>
        <v>NO</v>
      </c>
      <c r="K473" s="5">
        <f>IFERROR(VLOOKUP(Consulta1[[#This Row],[Pozo largo]],Controles!B:H,7,FALSE),"NO")</f>
        <v>0</v>
      </c>
      <c r="L473" s="5">
        <f>IFERROR(VLOOKUP(Consulta1[[#This Row],[Pozo largo]],Controles!B:J,9,FALSE),"NO")</f>
        <v>0</v>
      </c>
    </row>
    <row r="474" spans="2:12" x14ac:dyDescent="0.35">
      <c r="B474" s="4" t="s">
        <v>939</v>
      </c>
      <c r="C474" s="4" t="s">
        <v>6226</v>
      </c>
      <c r="D474" s="4" t="s">
        <v>5</v>
      </c>
      <c r="E474" s="4" t="s">
        <v>12</v>
      </c>
      <c r="F474" s="4" t="s">
        <v>25</v>
      </c>
      <c r="G474" s="4" t="s">
        <v>13</v>
      </c>
      <c r="H474" s="4" t="s">
        <v>84</v>
      </c>
      <c r="I474" s="5" t="str">
        <f>IFERROR(VLOOKUP(Consulta1[[#This Row],[Pozo largo]],'Lista YPF'!$B$3:$C$358,2,FALSE),"NO")</f>
        <v>NO</v>
      </c>
      <c r="J474" s="5" t="str">
        <f>IFERROR(VLOOKUP(Consulta1[[#This Row],[Pozo]],'Lista Oportunidades'!B:C,2,FALSE),"NO")</f>
        <v>NO</v>
      </c>
      <c r="K474" s="5">
        <f>IFERROR(VLOOKUP(Consulta1[[#This Row],[Pozo largo]],Controles!B:H,7,FALSE),"NO")</f>
        <v>0.158</v>
      </c>
      <c r="L474" s="5">
        <f>IFERROR(VLOOKUP(Consulta1[[#This Row],[Pozo largo]],Controles!B:J,9,FALSE),"NO")</f>
        <v>0</v>
      </c>
    </row>
    <row r="475" spans="2:12" x14ac:dyDescent="0.35">
      <c r="B475" s="4" t="s">
        <v>941</v>
      </c>
      <c r="C475" s="4" t="s">
        <v>6227</v>
      </c>
      <c r="D475" s="4" t="s">
        <v>5</v>
      </c>
      <c r="E475" s="4" t="s">
        <v>30</v>
      </c>
      <c r="F475" s="4" t="s">
        <v>31</v>
      </c>
      <c r="G475" s="4" t="s">
        <v>32</v>
      </c>
      <c r="H475" s="4" t="s">
        <v>91</v>
      </c>
      <c r="I475" s="5" t="str">
        <f>IFERROR(VLOOKUP(Consulta1[[#This Row],[Pozo largo]],'Lista YPF'!$B$3:$C$358,2,FALSE),"NO")</f>
        <v>NO</v>
      </c>
      <c r="J475" s="5" t="str">
        <f>IFERROR(VLOOKUP(Consulta1[[#This Row],[Pozo]],'Lista Oportunidades'!B:C,2,FALSE),"NO")</f>
        <v>NO</v>
      </c>
      <c r="K475" s="5" t="str">
        <f>IFERROR(VLOOKUP(Consulta1[[#This Row],[Pozo largo]],Controles!B:H,7,FALSE),"NO")</f>
        <v>NO</v>
      </c>
      <c r="L475" s="5" t="str">
        <f>IFERROR(VLOOKUP(Consulta1[[#This Row],[Pozo largo]],Controles!B:J,9,FALSE),"NO")</f>
        <v>NO</v>
      </c>
    </row>
    <row r="476" spans="2:12" x14ac:dyDescent="0.35">
      <c r="B476" s="4" t="s">
        <v>942</v>
      </c>
      <c r="C476" s="4" t="s">
        <v>6228</v>
      </c>
      <c r="D476" s="4" t="s">
        <v>5</v>
      </c>
      <c r="E476" s="4" t="s">
        <v>12</v>
      </c>
      <c r="F476" s="4" t="s">
        <v>28</v>
      </c>
      <c r="G476" s="4" t="s">
        <v>13</v>
      </c>
      <c r="H476" s="4" t="s">
        <v>80</v>
      </c>
      <c r="I476" s="5" t="str">
        <f>IFERROR(VLOOKUP(Consulta1[[#This Row],[Pozo largo]],'Lista YPF'!$B$3:$C$358,2,FALSE),"NO")</f>
        <v>NO</v>
      </c>
      <c r="J476" s="5" t="str">
        <f>IFERROR(VLOOKUP(Consulta1[[#This Row],[Pozo]],'Lista Oportunidades'!B:C,2,FALSE),"NO")</f>
        <v>NO</v>
      </c>
      <c r="K476" s="5">
        <f>IFERROR(VLOOKUP(Consulta1[[#This Row],[Pozo largo]],Controles!B:H,7,FALSE),"NO")</f>
        <v>0</v>
      </c>
      <c r="L476" s="5">
        <f>IFERROR(VLOOKUP(Consulta1[[#This Row],[Pozo largo]],Controles!B:J,9,FALSE),"NO")</f>
        <v>0</v>
      </c>
    </row>
    <row r="477" spans="2:12" x14ac:dyDescent="0.35">
      <c r="B477" s="4" t="s">
        <v>944</v>
      </c>
      <c r="C477" s="4" t="s">
        <v>6229</v>
      </c>
      <c r="D477" s="4" t="s">
        <v>5</v>
      </c>
      <c r="E477" s="4" t="s">
        <v>12</v>
      </c>
      <c r="F477" s="4" t="s">
        <v>7</v>
      </c>
      <c r="G477" s="4" t="s">
        <v>13</v>
      </c>
      <c r="H477" s="4" t="s">
        <v>80</v>
      </c>
      <c r="I477" s="5" t="str">
        <f>IFERROR(VLOOKUP(Consulta1[[#This Row],[Pozo largo]],'Lista YPF'!$B$3:$C$358,2,FALSE),"NO")</f>
        <v>NO</v>
      </c>
      <c r="J477" s="5" t="str">
        <f>IFERROR(VLOOKUP(Consulta1[[#This Row],[Pozo]],'Lista Oportunidades'!B:C,2,FALSE),"NO")</f>
        <v>NO</v>
      </c>
      <c r="K477" s="5">
        <f>IFERROR(VLOOKUP(Consulta1[[#This Row],[Pozo largo]],Controles!B:H,7,FALSE),"NO")</f>
        <v>0.78</v>
      </c>
      <c r="L477" s="5">
        <f>IFERROR(VLOOKUP(Consulta1[[#This Row],[Pozo largo]],Controles!B:J,9,FALSE),"NO")</f>
        <v>0</v>
      </c>
    </row>
    <row r="478" spans="2:12" x14ac:dyDescent="0.35">
      <c r="B478" s="4" t="s">
        <v>946</v>
      </c>
      <c r="C478" s="4" t="s">
        <v>6230</v>
      </c>
      <c r="D478" s="4" t="s">
        <v>5</v>
      </c>
      <c r="E478" s="4" t="s">
        <v>24</v>
      </c>
      <c r="F478" s="4" t="s">
        <v>7</v>
      </c>
      <c r="G478" s="4" t="s">
        <v>8</v>
      </c>
      <c r="H478" s="4" t="s">
        <v>86</v>
      </c>
      <c r="I478" s="5" t="str">
        <f>IFERROR(VLOOKUP(Consulta1[[#This Row],[Pozo largo]],'Lista YPF'!$B$3:$C$358,2,FALSE),"NO")</f>
        <v>NO</v>
      </c>
      <c r="J478" s="5" t="str">
        <f>IFERROR(VLOOKUP(Consulta1[[#This Row],[Pozo]],'Lista Oportunidades'!B:C,2,FALSE),"NO")</f>
        <v>NO</v>
      </c>
      <c r="K478" s="5">
        <f>IFERROR(VLOOKUP(Consulta1[[#This Row],[Pozo largo]],Controles!B:H,7,FALSE),"NO")</f>
        <v>0.48</v>
      </c>
      <c r="L478" s="5">
        <f>IFERROR(VLOOKUP(Consulta1[[#This Row],[Pozo largo]],Controles!B:J,9,FALSE),"NO")</f>
        <v>0</v>
      </c>
    </row>
    <row r="479" spans="2:12" x14ac:dyDescent="0.35">
      <c r="B479" s="4" t="s">
        <v>948</v>
      </c>
      <c r="C479" s="4" t="s">
        <v>6231</v>
      </c>
      <c r="D479" s="4" t="s">
        <v>5</v>
      </c>
      <c r="E479" s="4" t="s">
        <v>57</v>
      </c>
      <c r="F479" s="4" t="s">
        <v>28</v>
      </c>
      <c r="G479" s="4" t="s">
        <v>5718</v>
      </c>
      <c r="H479" s="4" t="s">
        <v>86</v>
      </c>
      <c r="I479" s="5" t="str">
        <f>IFERROR(VLOOKUP(Consulta1[[#This Row],[Pozo largo]],'Lista YPF'!$B$3:$C$358,2,FALSE),"NO")</f>
        <v>En lista de Abandono</v>
      </c>
      <c r="J479" s="5" t="str">
        <f>IFERROR(VLOOKUP(Consulta1[[#This Row],[Pozo]],'Lista Oportunidades'!B:C,2,FALSE),"NO")</f>
        <v>NO</v>
      </c>
      <c r="K479" s="5">
        <f>IFERROR(VLOOKUP(Consulta1[[#This Row],[Pozo largo]],Controles!B:H,7,FALSE),"NO")</f>
        <v>0</v>
      </c>
      <c r="L479" s="5">
        <f>IFERROR(VLOOKUP(Consulta1[[#This Row],[Pozo largo]],Controles!B:J,9,FALSE),"NO")</f>
        <v>0</v>
      </c>
    </row>
    <row r="480" spans="2:12" x14ac:dyDescent="0.35">
      <c r="B480" s="4" t="s">
        <v>950</v>
      </c>
      <c r="C480" s="4" t="s">
        <v>6232</v>
      </c>
      <c r="D480" s="4" t="s">
        <v>5</v>
      </c>
      <c r="E480" s="4" t="s">
        <v>12</v>
      </c>
      <c r="F480" s="4" t="s">
        <v>7</v>
      </c>
      <c r="G480" s="4" t="s">
        <v>13</v>
      </c>
      <c r="H480" s="4" t="s">
        <v>86</v>
      </c>
      <c r="I480" s="5" t="str">
        <f>IFERROR(VLOOKUP(Consulta1[[#This Row],[Pozo largo]],'Lista YPF'!$B$3:$C$358,2,FALSE),"NO")</f>
        <v>NO</v>
      </c>
      <c r="J480" s="5" t="str">
        <f>IFERROR(VLOOKUP(Consulta1[[#This Row],[Pozo]],'Lista Oportunidades'!B:C,2,FALSE),"NO")</f>
        <v>NO</v>
      </c>
      <c r="K480" s="5">
        <f>IFERROR(VLOOKUP(Consulta1[[#This Row],[Pozo largo]],Controles!B:H,7,FALSE),"NO")</f>
        <v>1.2</v>
      </c>
      <c r="L480" s="5">
        <f>IFERROR(VLOOKUP(Consulta1[[#This Row],[Pozo largo]],Controles!B:J,9,FALSE),"NO")</f>
        <v>0</v>
      </c>
    </row>
    <row r="481" spans="2:12" x14ac:dyDescent="0.35">
      <c r="B481" s="4" t="s">
        <v>952</v>
      </c>
      <c r="C481" s="4" t="s">
        <v>6233</v>
      </c>
      <c r="D481" s="4" t="s">
        <v>5</v>
      </c>
      <c r="E481" s="4" t="s">
        <v>24</v>
      </c>
      <c r="F481" s="4" t="s">
        <v>31</v>
      </c>
      <c r="G481" s="4" t="s">
        <v>8</v>
      </c>
      <c r="H481" s="4" t="s">
        <v>86</v>
      </c>
      <c r="I481" s="5" t="str">
        <f>IFERROR(VLOOKUP(Consulta1[[#This Row],[Pozo largo]],'Lista YPF'!$B$3:$C$358,2,FALSE),"NO")</f>
        <v>NO</v>
      </c>
      <c r="J481" s="5" t="str">
        <f>IFERROR(VLOOKUP(Consulta1[[#This Row],[Pozo]],'Lista Oportunidades'!B:C,2,FALSE),"NO")</f>
        <v>NO</v>
      </c>
      <c r="K481" s="5" t="str">
        <f>IFERROR(VLOOKUP(Consulta1[[#This Row],[Pozo largo]],Controles!B:H,7,FALSE),"NO")</f>
        <v>NO</v>
      </c>
      <c r="L481" s="5" t="str">
        <f>IFERROR(VLOOKUP(Consulta1[[#This Row],[Pozo largo]],Controles!B:J,9,FALSE),"NO")</f>
        <v>NO</v>
      </c>
    </row>
    <row r="482" spans="2:12" x14ac:dyDescent="0.35">
      <c r="B482" s="4" t="s">
        <v>953</v>
      </c>
      <c r="C482" s="4" t="s">
        <v>6234</v>
      </c>
      <c r="D482" s="4" t="s">
        <v>5</v>
      </c>
      <c r="E482" s="4" t="s">
        <v>30</v>
      </c>
      <c r="F482" s="4" t="s">
        <v>31</v>
      </c>
      <c r="G482" s="4" t="s">
        <v>32</v>
      </c>
      <c r="H482" s="4" t="s">
        <v>80</v>
      </c>
      <c r="I482" s="5" t="str">
        <f>IFERROR(VLOOKUP(Consulta1[[#This Row],[Pozo largo]],'Lista YPF'!$B$3:$C$358,2,FALSE),"NO")</f>
        <v>NO</v>
      </c>
      <c r="J482" s="5" t="str">
        <f>IFERROR(VLOOKUP(Consulta1[[#This Row],[Pozo]],'Lista Oportunidades'!B:C,2,FALSE),"NO")</f>
        <v>NO</v>
      </c>
      <c r="K482" s="5">
        <f>IFERROR(VLOOKUP(Consulta1[[#This Row],[Pozo largo]],Controles!B:H,7,FALSE),"NO")</f>
        <v>0</v>
      </c>
      <c r="L482" s="5">
        <f>IFERROR(VLOOKUP(Consulta1[[#This Row],[Pozo largo]],Controles!B:J,9,FALSE),"NO")</f>
        <v>0</v>
      </c>
    </row>
    <row r="483" spans="2:12" x14ac:dyDescent="0.35">
      <c r="B483" s="4" t="s">
        <v>955</v>
      </c>
      <c r="C483" s="4" t="s">
        <v>6235</v>
      </c>
      <c r="D483" s="4" t="s">
        <v>5</v>
      </c>
      <c r="E483" s="4" t="s">
        <v>30</v>
      </c>
      <c r="F483" s="4" t="s">
        <v>31</v>
      </c>
      <c r="G483" s="4" t="s">
        <v>32</v>
      </c>
      <c r="H483" s="4" t="s">
        <v>86</v>
      </c>
      <c r="I483" s="5" t="str">
        <f>IFERROR(VLOOKUP(Consulta1[[#This Row],[Pozo largo]],'Lista YPF'!$B$3:$C$358,2,FALSE),"NO")</f>
        <v>NO</v>
      </c>
      <c r="J483" s="5" t="str">
        <f>IFERROR(VLOOKUP(Consulta1[[#This Row],[Pozo]],'Lista Oportunidades'!B:C,2,FALSE),"NO")</f>
        <v>NO</v>
      </c>
      <c r="K483" s="5">
        <f>IFERROR(VLOOKUP(Consulta1[[#This Row],[Pozo largo]],Controles!B:H,7,FALSE),"NO")</f>
        <v>0.95000000000000007</v>
      </c>
      <c r="L483" s="5">
        <f>IFERROR(VLOOKUP(Consulta1[[#This Row],[Pozo largo]],Controles!B:J,9,FALSE),"NO")</f>
        <v>0</v>
      </c>
    </row>
    <row r="484" spans="2:12" x14ac:dyDescent="0.35">
      <c r="B484" s="4" t="s">
        <v>957</v>
      </c>
      <c r="C484" s="4" t="s">
        <v>6236</v>
      </c>
      <c r="D484" s="4" t="s">
        <v>5</v>
      </c>
      <c r="E484" s="4" t="s">
        <v>57</v>
      </c>
      <c r="F484" s="4" t="s">
        <v>7</v>
      </c>
      <c r="G484" s="4" t="s">
        <v>5718</v>
      </c>
      <c r="H484" s="4" t="s">
        <v>86</v>
      </c>
      <c r="I484" s="5" t="str">
        <f>IFERROR(VLOOKUP(Consulta1[[#This Row],[Pozo largo]],'Lista YPF'!$B$3:$C$358,2,FALSE),"NO")</f>
        <v>En lista de Abandono</v>
      </c>
      <c r="J484" s="5" t="str">
        <f>IFERROR(VLOOKUP(Consulta1[[#This Row],[Pozo]],'Lista Oportunidades'!B:C,2,FALSE),"NO")</f>
        <v>NO</v>
      </c>
      <c r="K484" s="5">
        <f>IFERROR(VLOOKUP(Consulta1[[#This Row],[Pozo largo]],Controles!B:H,7,FALSE),"NO")</f>
        <v>0.42</v>
      </c>
      <c r="L484" s="5">
        <f>IFERROR(VLOOKUP(Consulta1[[#This Row],[Pozo largo]],Controles!B:J,9,FALSE),"NO")</f>
        <v>0</v>
      </c>
    </row>
    <row r="485" spans="2:12" x14ac:dyDescent="0.35">
      <c r="B485" s="4" t="s">
        <v>959</v>
      </c>
      <c r="C485" s="4" t="s">
        <v>6237</v>
      </c>
      <c r="D485" s="4" t="s">
        <v>5</v>
      </c>
      <c r="E485" s="4" t="s">
        <v>12</v>
      </c>
      <c r="F485" s="4" t="s">
        <v>28</v>
      </c>
      <c r="G485" s="4" t="s">
        <v>13</v>
      </c>
      <c r="H485" s="4" t="s">
        <v>86</v>
      </c>
      <c r="I485" s="5" t="str">
        <f>IFERROR(VLOOKUP(Consulta1[[#This Row],[Pozo largo]],'Lista YPF'!$B$3:$C$358,2,FALSE),"NO")</f>
        <v>NO</v>
      </c>
      <c r="J485" s="5" t="str">
        <f>IFERROR(VLOOKUP(Consulta1[[#This Row],[Pozo]],'Lista Oportunidades'!B:C,2,FALSE),"NO")</f>
        <v>NO</v>
      </c>
      <c r="K485" s="5">
        <f>IFERROR(VLOOKUP(Consulta1[[#This Row],[Pozo largo]],Controles!B:H,7,FALSE),"NO")</f>
        <v>0</v>
      </c>
      <c r="L485" s="5">
        <f>IFERROR(VLOOKUP(Consulta1[[#This Row],[Pozo largo]],Controles!B:J,9,FALSE),"NO")</f>
        <v>0</v>
      </c>
    </row>
    <row r="486" spans="2:12" x14ac:dyDescent="0.35">
      <c r="B486" s="4" t="s">
        <v>961</v>
      </c>
      <c r="C486" s="4" t="s">
        <v>6238</v>
      </c>
      <c r="D486" s="4" t="s">
        <v>5</v>
      </c>
      <c r="E486" s="4" t="s">
        <v>24</v>
      </c>
      <c r="F486" s="4" t="s">
        <v>7</v>
      </c>
      <c r="G486" s="4" t="s">
        <v>8</v>
      </c>
      <c r="H486" s="4" t="s">
        <v>86</v>
      </c>
      <c r="I486" s="5" t="str">
        <f>IFERROR(VLOOKUP(Consulta1[[#This Row],[Pozo largo]],'Lista YPF'!$B$3:$C$358,2,FALSE),"NO")</f>
        <v>NO</v>
      </c>
      <c r="J486" s="5" t="str">
        <f>IFERROR(VLOOKUP(Consulta1[[#This Row],[Pozo]],'Lista Oportunidades'!B:C,2,FALSE),"NO")</f>
        <v>NO</v>
      </c>
      <c r="K486" s="5">
        <f>IFERROR(VLOOKUP(Consulta1[[#This Row],[Pozo largo]],Controles!B:H,7,FALSE),"NO")</f>
        <v>0.56000000000000005</v>
      </c>
      <c r="L486" s="5">
        <f>IFERROR(VLOOKUP(Consulta1[[#This Row],[Pozo largo]],Controles!B:J,9,FALSE),"NO")</f>
        <v>0</v>
      </c>
    </row>
    <row r="487" spans="2:12" x14ac:dyDescent="0.35">
      <c r="B487" s="4" t="s">
        <v>963</v>
      </c>
      <c r="C487" s="4" t="s">
        <v>6239</v>
      </c>
      <c r="D487" s="4" t="s">
        <v>5</v>
      </c>
      <c r="E487" s="4" t="s">
        <v>30</v>
      </c>
      <c r="F487" s="4" t="s">
        <v>31</v>
      </c>
      <c r="G487" s="4" t="s">
        <v>32</v>
      </c>
      <c r="H487" s="4" t="s">
        <v>91</v>
      </c>
      <c r="I487" s="5" t="str">
        <f>IFERROR(VLOOKUP(Consulta1[[#This Row],[Pozo largo]],'Lista YPF'!$B$3:$C$358,2,FALSE),"NO")</f>
        <v>NO</v>
      </c>
      <c r="J487" s="5" t="str">
        <f>IFERROR(VLOOKUP(Consulta1[[#This Row],[Pozo]],'Lista Oportunidades'!B:C,2,FALSE),"NO")</f>
        <v>NO</v>
      </c>
      <c r="K487" s="5">
        <f>IFERROR(VLOOKUP(Consulta1[[#This Row],[Pozo largo]],Controles!B:H,7,FALSE),"NO")</f>
        <v>0.93500000000000005</v>
      </c>
      <c r="L487" s="5">
        <f>IFERROR(VLOOKUP(Consulta1[[#This Row],[Pozo largo]],Controles!B:J,9,FALSE),"NO")</f>
        <v>0</v>
      </c>
    </row>
    <row r="488" spans="2:12" x14ac:dyDescent="0.35">
      <c r="B488" s="4" t="s">
        <v>965</v>
      </c>
      <c r="C488" s="4" t="s">
        <v>6240</v>
      </c>
      <c r="D488" s="4" t="s">
        <v>5</v>
      </c>
      <c r="E488" s="4" t="s">
        <v>24</v>
      </c>
      <c r="F488" s="4" t="s">
        <v>7</v>
      </c>
      <c r="G488" s="4" t="s">
        <v>8</v>
      </c>
      <c r="H488" s="4" t="s">
        <v>71</v>
      </c>
      <c r="I488" s="5" t="str">
        <f>IFERROR(VLOOKUP(Consulta1[[#This Row],[Pozo largo]],'Lista YPF'!$B$3:$C$358,2,FALSE),"NO")</f>
        <v>NO</v>
      </c>
      <c r="J488" s="5" t="str">
        <f>IFERROR(VLOOKUP(Consulta1[[#This Row],[Pozo]],'Lista Oportunidades'!B:C,2,FALSE),"NO")</f>
        <v>NO</v>
      </c>
      <c r="K488" s="5">
        <f>IFERROR(VLOOKUP(Consulta1[[#This Row],[Pozo largo]],Controles!B:H,7,FALSE),"NO")</f>
        <v>0.6</v>
      </c>
      <c r="L488" s="5">
        <f>IFERROR(VLOOKUP(Consulta1[[#This Row],[Pozo largo]],Controles!B:J,9,FALSE),"NO")</f>
        <v>0</v>
      </c>
    </row>
    <row r="489" spans="2:12" x14ac:dyDescent="0.35">
      <c r="B489" s="4" t="s">
        <v>967</v>
      </c>
      <c r="C489" s="4" t="s">
        <v>6241</v>
      </c>
      <c r="D489" s="4" t="s">
        <v>5</v>
      </c>
      <c r="E489" s="4" t="s">
        <v>12</v>
      </c>
      <c r="F489" s="4" t="s">
        <v>7</v>
      </c>
      <c r="G489" s="4" t="s">
        <v>13</v>
      </c>
      <c r="H489" s="4" t="s">
        <v>185</v>
      </c>
      <c r="I489" s="5" t="str">
        <f>IFERROR(VLOOKUP(Consulta1[[#This Row],[Pozo largo]],'Lista YPF'!$B$3:$C$358,2,FALSE),"NO")</f>
        <v>NO</v>
      </c>
      <c r="J489" s="5" t="str">
        <f>IFERROR(VLOOKUP(Consulta1[[#This Row],[Pozo]],'Lista Oportunidades'!B:C,2,FALSE),"NO")</f>
        <v>NO</v>
      </c>
      <c r="K489" s="5">
        <f>IFERROR(VLOOKUP(Consulta1[[#This Row],[Pozo largo]],Controles!B:H,7,FALSE),"NO")</f>
        <v>1.075</v>
      </c>
      <c r="L489" s="5">
        <f>IFERROR(VLOOKUP(Consulta1[[#This Row],[Pozo largo]],Controles!B:J,9,FALSE),"NO")</f>
        <v>0</v>
      </c>
    </row>
    <row r="490" spans="2:12" x14ac:dyDescent="0.35">
      <c r="B490" s="4" t="s">
        <v>969</v>
      </c>
      <c r="C490" s="4" t="s">
        <v>6242</v>
      </c>
      <c r="D490" s="4" t="s">
        <v>5</v>
      </c>
      <c r="E490" s="4" t="s">
        <v>24</v>
      </c>
      <c r="F490" s="4" t="s">
        <v>31</v>
      </c>
      <c r="G490" s="4" t="s">
        <v>8</v>
      </c>
      <c r="H490" s="4" t="s">
        <v>71</v>
      </c>
      <c r="I490" s="5" t="str">
        <f>IFERROR(VLOOKUP(Consulta1[[#This Row],[Pozo largo]],'Lista YPF'!$B$3:$C$358,2,FALSE),"NO")</f>
        <v>NO</v>
      </c>
      <c r="J490" s="5" t="str">
        <f>IFERROR(VLOOKUP(Consulta1[[#This Row],[Pozo]],'Lista Oportunidades'!B:C,2,FALSE),"NO")</f>
        <v>NO</v>
      </c>
      <c r="K490" s="5" t="str">
        <f>IFERROR(VLOOKUP(Consulta1[[#This Row],[Pozo largo]],Controles!B:H,7,FALSE),"NO")</f>
        <v>NO</v>
      </c>
      <c r="L490" s="5" t="str">
        <f>IFERROR(VLOOKUP(Consulta1[[#This Row],[Pozo largo]],Controles!B:J,9,FALSE),"NO")</f>
        <v>NO</v>
      </c>
    </row>
    <row r="491" spans="2:12" x14ac:dyDescent="0.35">
      <c r="B491" s="4" t="s">
        <v>970</v>
      </c>
      <c r="C491" s="4" t="s">
        <v>6243</v>
      </c>
      <c r="D491" s="4" t="s">
        <v>5</v>
      </c>
      <c r="E491" s="4" t="s">
        <v>12</v>
      </c>
      <c r="F491" s="4" t="s">
        <v>7</v>
      </c>
      <c r="G491" s="4" t="s">
        <v>13</v>
      </c>
      <c r="H491" s="4" t="s">
        <v>185</v>
      </c>
      <c r="I491" s="5" t="str">
        <f>IFERROR(VLOOKUP(Consulta1[[#This Row],[Pozo largo]],'Lista YPF'!$B$3:$C$358,2,FALSE),"NO")</f>
        <v>NO</v>
      </c>
      <c r="J491" s="5" t="str">
        <f>IFERROR(VLOOKUP(Consulta1[[#This Row],[Pozo]],'Lista Oportunidades'!B:C,2,FALSE),"NO")</f>
        <v>NO</v>
      </c>
      <c r="K491" s="5">
        <f>IFERROR(VLOOKUP(Consulta1[[#This Row],[Pozo largo]],Controles!B:H,7,FALSE),"NO")</f>
        <v>0.8</v>
      </c>
      <c r="L491" s="5">
        <f>IFERROR(VLOOKUP(Consulta1[[#This Row],[Pozo largo]],Controles!B:J,9,FALSE),"NO")</f>
        <v>0</v>
      </c>
    </row>
    <row r="492" spans="2:12" x14ac:dyDescent="0.35">
      <c r="B492" s="4" t="s">
        <v>972</v>
      </c>
      <c r="C492" s="4" t="s">
        <v>6244</v>
      </c>
      <c r="D492" s="4" t="s">
        <v>5</v>
      </c>
      <c r="E492" s="4" t="s">
        <v>12</v>
      </c>
      <c r="F492" s="4" t="s">
        <v>7</v>
      </c>
      <c r="G492" s="4" t="s">
        <v>13</v>
      </c>
      <c r="H492" s="4" t="s">
        <v>185</v>
      </c>
      <c r="I492" s="5" t="str">
        <f>IFERROR(VLOOKUP(Consulta1[[#This Row],[Pozo largo]],'Lista YPF'!$B$3:$C$358,2,FALSE),"NO")</f>
        <v>NO</v>
      </c>
      <c r="J492" s="5" t="str">
        <f>IFERROR(VLOOKUP(Consulta1[[#This Row],[Pozo]],'Lista Oportunidades'!B:C,2,FALSE),"NO")</f>
        <v>NO</v>
      </c>
      <c r="K492" s="5">
        <f>IFERROR(VLOOKUP(Consulta1[[#This Row],[Pozo largo]],Controles!B:H,7,FALSE),"NO")</f>
        <v>1.26</v>
      </c>
      <c r="L492" s="5">
        <f>IFERROR(VLOOKUP(Consulta1[[#This Row],[Pozo largo]],Controles!B:J,9,FALSE),"NO")</f>
        <v>0</v>
      </c>
    </row>
    <row r="493" spans="2:12" x14ac:dyDescent="0.35">
      <c r="B493" s="4" t="s">
        <v>974</v>
      </c>
      <c r="C493" s="4" t="s">
        <v>6245</v>
      </c>
      <c r="D493" s="4" t="s">
        <v>5</v>
      </c>
      <c r="E493" s="4" t="s">
        <v>12</v>
      </c>
      <c r="F493" s="4" t="s">
        <v>7</v>
      </c>
      <c r="G493" s="4" t="s">
        <v>13</v>
      </c>
      <c r="H493" s="4" t="s">
        <v>185</v>
      </c>
      <c r="I493" s="5" t="str">
        <f>IFERROR(VLOOKUP(Consulta1[[#This Row],[Pozo largo]],'Lista YPF'!$B$3:$C$358,2,FALSE),"NO")</f>
        <v>NO</v>
      </c>
      <c r="J493" s="5" t="str">
        <f>IFERROR(VLOOKUP(Consulta1[[#This Row],[Pozo]],'Lista Oportunidades'!B:C,2,FALSE),"NO")</f>
        <v>NO</v>
      </c>
      <c r="K493" s="5">
        <f>IFERROR(VLOOKUP(Consulta1[[#This Row],[Pozo largo]],Controles!B:H,7,FALSE),"NO")</f>
        <v>1.2870000000000001</v>
      </c>
      <c r="L493" s="5">
        <f>IFERROR(VLOOKUP(Consulta1[[#This Row],[Pozo largo]],Controles!B:J,9,FALSE),"NO")</f>
        <v>0</v>
      </c>
    </row>
    <row r="494" spans="2:12" x14ac:dyDescent="0.35">
      <c r="B494" s="4" t="s">
        <v>976</v>
      </c>
      <c r="C494" s="4" t="s">
        <v>6246</v>
      </c>
      <c r="D494" s="4" t="s">
        <v>5</v>
      </c>
      <c r="E494" s="4" t="s">
        <v>24</v>
      </c>
      <c r="F494" s="4" t="s">
        <v>31</v>
      </c>
      <c r="G494" s="4" t="s">
        <v>8</v>
      </c>
      <c r="H494" s="4" t="s">
        <v>141</v>
      </c>
      <c r="I494" s="5" t="str">
        <f>IFERROR(VLOOKUP(Consulta1[[#This Row],[Pozo largo]],'Lista YPF'!$B$3:$C$358,2,FALSE),"NO")</f>
        <v>NO</v>
      </c>
      <c r="J494" s="5" t="str">
        <f>IFERROR(VLOOKUP(Consulta1[[#This Row],[Pozo]],'Lista Oportunidades'!B:C,2,FALSE),"NO")</f>
        <v>NO</v>
      </c>
      <c r="K494" s="5">
        <f>IFERROR(VLOOKUP(Consulta1[[#This Row],[Pozo largo]],Controles!B:H,7,FALSE),"NO")</f>
        <v>0.36100000000000004</v>
      </c>
      <c r="L494" s="5">
        <f>IFERROR(VLOOKUP(Consulta1[[#This Row],[Pozo largo]],Controles!B:J,9,FALSE),"NO")</f>
        <v>0</v>
      </c>
    </row>
    <row r="495" spans="2:12" x14ac:dyDescent="0.35">
      <c r="B495" s="4" t="s">
        <v>978</v>
      </c>
      <c r="C495" s="4" t="s">
        <v>6247</v>
      </c>
      <c r="D495" s="4" t="s">
        <v>5</v>
      </c>
      <c r="E495" s="4" t="s">
        <v>24</v>
      </c>
      <c r="F495" s="4" t="s">
        <v>31</v>
      </c>
      <c r="G495" s="4" t="s">
        <v>8</v>
      </c>
      <c r="H495" s="4" t="s">
        <v>141</v>
      </c>
      <c r="I495" s="5" t="str">
        <f>IFERROR(VLOOKUP(Consulta1[[#This Row],[Pozo largo]],'Lista YPF'!$B$3:$C$358,2,FALSE),"NO")</f>
        <v>NO</v>
      </c>
      <c r="J495" s="5" t="str">
        <f>IFERROR(VLOOKUP(Consulta1[[#This Row],[Pozo]],'Lista Oportunidades'!B:C,2,FALSE),"NO")</f>
        <v>NO</v>
      </c>
      <c r="K495" s="5">
        <f>IFERROR(VLOOKUP(Consulta1[[#This Row],[Pozo largo]],Controles!B:H,7,FALSE),"NO")</f>
        <v>0</v>
      </c>
      <c r="L495" s="5">
        <f>IFERROR(VLOOKUP(Consulta1[[#This Row],[Pozo largo]],Controles!B:J,9,FALSE),"NO")</f>
        <v>0</v>
      </c>
    </row>
    <row r="496" spans="2:12" x14ac:dyDescent="0.35">
      <c r="B496" s="4" t="s">
        <v>980</v>
      </c>
      <c r="C496" s="4" t="s">
        <v>5754</v>
      </c>
      <c r="D496" s="4" t="s">
        <v>5</v>
      </c>
      <c r="E496" s="4" t="s">
        <v>12</v>
      </c>
      <c r="F496" s="4" t="s">
        <v>7</v>
      </c>
      <c r="G496" s="4" t="s">
        <v>13</v>
      </c>
      <c r="H496" s="4" t="s">
        <v>16</v>
      </c>
      <c r="I496" s="5" t="str">
        <f>IFERROR(VLOOKUP(Consulta1[[#This Row],[Pozo largo]],'Lista YPF'!$B$3:$C$358,2,FALSE),"NO")</f>
        <v>NO</v>
      </c>
      <c r="J496" s="5" t="str">
        <f>IFERROR(VLOOKUP(Consulta1[[#This Row],[Pozo]],'Lista Oportunidades'!B:C,2,FALSE),"NO")</f>
        <v>Oportunidad</v>
      </c>
      <c r="K496" s="5">
        <f>IFERROR(VLOOKUP(Consulta1[[#This Row],[Pozo largo]],Controles!B:H,7,FALSE),"NO")</f>
        <v>2.1779999999999999</v>
      </c>
      <c r="L496" s="5">
        <f>IFERROR(VLOOKUP(Consulta1[[#This Row],[Pozo largo]],Controles!B:J,9,FALSE),"NO")</f>
        <v>0</v>
      </c>
    </row>
    <row r="497" spans="2:12" x14ac:dyDescent="0.35">
      <c r="B497" s="4" t="s">
        <v>982</v>
      </c>
      <c r="C497" s="4" t="s">
        <v>6248</v>
      </c>
      <c r="D497" s="4" t="s">
        <v>5</v>
      </c>
      <c r="E497" s="4" t="s">
        <v>6</v>
      </c>
      <c r="F497" s="4" t="s">
        <v>28</v>
      </c>
      <c r="G497" s="4" t="s">
        <v>5718</v>
      </c>
      <c r="H497" s="4" t="s">
        <v>146</v>
      </c>
      <c r="I497" s="5" t="str">
        <f>IFERROR(VLOOKUP(Consulta1[[#This Row],[Pozo largo]],'Lista YPF'!$B$3:$C$358,2,FALSE),"NO")</f>
        <v>En lista de Abandono</v>
      </c>
      <c r="J497" s="5" t="str">
        <f>IFERROR(VLOOKUP(Consulta1[[#This Row],[Pozo]],'Lista Oportunidades'!B:C,2,FALSE),"NO")</f>
        <v>NO</v>
      </c>
      <c r="K497" s="5">
        <f>IFERROR(VLOOKUP(Consulta1[[#This Row],[Pozo largo]],Controles!B:H,7,FALSE),"NO")</f>
        <v>0</v>
      </c>
      <c r="L497" s="5">
        <f>IFERROR(VLOOKUP(Consulta1[[#This Row],[Pozo largo]],Controles!B:J,9,FALSE),"NO")</f>
        <v>0</v>
      </c>
    </row>
    <row r="498" spans="2:12" x14ac:dyDescent="0.35">
      <c r="B498" s="4" t="s">
        <v>984</v>
      </c>
      <c r="C498" s="4" t="s">
        <v>6249</v>
      </c>
      <c r="D498" s="4" t="s">
        <v>5</v>
      </c>
      <c r="E498" s="4" t="s">
        <v>24</v>
      </c>
      <c r="F498" s="4" t="s">
        <v>31</v>
      </c>
      <c r="G498" s="4" t="s">
        <v>8</v>
      </c>
      <c r="H498" s="4" t="s">
        <v>290</v>
      </c>
      <c r="I498" s="5" t="str">
        <f>IFERROR(VLOOKUP(Consulta1[[#This Row],[Pozo largo]],'Lista YPF'!$B$3:$C$358,2,FALSE),"NO")</f>
        <v>NO</v>
      </c>
      <c r="J498" s="5" t="str">
        <f>IFERROR(VLOOKUP(Consulta1[[#This Row],[Pozo]],'Lista Oportunidades'!B:C,2,FALSE),"NO")</f>
        <v>NO</v>
      </c>
      <c r="K498" s="5">
        <f>IFERROR(VLOOKUP(Consulta1[[#This Row],[Pozo largo]],Controles!B:H,7,FALSE),"NO")</f>
        <v>0.9</v>
      </c>
      <c r="L498" s="5">
        <f>IFERROR(VLOOKUP(Consulta1[[#This Row],[Pozo largo]],Controles!B:J,9,FALSE),"NO")</f>
        <v>0</v>
      </c>
    </row>
    <row r="499" spans="2:12" x14ac:dyDescent="0.35">
      <c r="B499" s="4" t="s">
        <v>986</v>
      </c>
      <c r="C499" s="4" t="s">
        <v>6250</v>
      </c>
      <c r="D499" s="4" t="s">
        <v>5</v>
      </c>
      <c r="E499" s="4" t="s">
        <v>24</v>
      </c>
      <c r="F499" s="4" t="s">
        <v>31</v>
      </c>
      <c r="G499" s="4" t="s">
        <v>8</v>
      </c>
      <c r="H499" s="4" t="s">
        <v>146</v>
      </c>
      <c r="I499" s="5" t="str">
        <f>IFERROR(VLOOKUP(Consulta1[[#This Row],[Pozo largo]],'Lista YPF'!$B$3:$C$358,2,FALSE),"NO")</f>
        <v>NO</v>
      </c>
      <c r="J499" s="5" t="str">
        <f>IFERROR(VLOOKUP(Consulta1[[#This Row],[Pozo]],'Lista Oportunidades'!B:C,2,FALSE),"NO")</f>
        <v>NO</v>
      </c>
      <c r="K499" s="5" t="str">
        <f>IFERROR(VLOOKUP(Consulta1[[#This Row],[Pozo largo]],Controles!B:H,7,FALSE),"NO")</f>
        <v>NO</v>
      </c>
      <c r="L499" s="5" t="str">
        <f>IFERROR(VLOOKUP(Consulta1[[#This Row],[Pozo largo]],Controles!B:J,9,FALSE),"NO")</f>
        <v>NO</v>
      </c>
    </row>
    <row r="500" spans="2:12" x14ac:dyDescent="0.35">
      <c r="B500" s="4" t="s">
        <v>987</v>
      </c>
      <c r="C500" s="4" t="s">
        <v>6251</v>
      </c>
      <c r="D500" s="4" t="s">
        <v>5</v>
      </c>
      <c r="E500" s="4" t="s">
        <v>12</v>
      </c>
      <c r="F500" s="4" t="s">
        <v>28</v>
      </c>
      <c r="G500" s="4" t="s">
        <v>13</v>
      </c>
      <c r="H500" s="4" t="s">
        <v>71</v>
      </c>
      <c r="I500" s="5" t="str">
        <f>IFERROR(VLOOKUP(Consulta1[[#This Row],[Pozo largo]],'Lista YPF'!$B$3:$C$358,2,FALSE),"NO")</f>
        <v>NO</v>
      </c>
      <c r="J500" s="5" t="str">
        <f>IFERROR(VLOOKUP(Consulta1[[#This Row],[Pozo]],'Lista Oportunidades'!B:C,2,FALSE),"NO")</f>
        <v>Oportunidad</v>
      </c>
      <c r="K500" s="5">
        <f>IFERROR(VLOOKUP(Consulta1[[#This Row],[Pozo largo]],Controles!B:H,7,FALSE),"NO")</f>
        <v>0</v>
      </c>
      <c r="L500" s="5">
        <f>IFERROR(VLOOKUP(Consulta1[[#This Row],[Pozo largo]],Controles!B:J,9,FALSE),"NO")</f>
        <v>0</v>
      </c>
    </row>
    <row r="501" spans="2:12" x14ac:dyDescent="0.35">
      <c r="B501" s="4" t="s">
        <v>989</v>
      </c>
      <c r="C501" s="4" t="s">
        <v>6252</v>
      </c>
      <c r="D501" s="4" t="s">
        <v>5</v>
      </c>
      <c r="E501" s="4" t="s">
        <v>12</v>
      </c>
      <c r="F501" s="4" t="s">
        <v>7</v>
      </c>
      <c r="G501" s="4" t="s">
        <v>13</v>
      </c>
      <c r="H501" s="4" t="s">
        <v>71</v>
      </c>
      <c r="I501" s="5" t="str">
        <f>IFERROR(VLOOKUP(Consulta1[[#This Row],[Pozo largo]],'Lista YPF'!$B$3:$C$358,2,FALSE),"NO")</f>
        <v>NO</v>
      </c>
      <c r="J501" s="5" t="str">
        <f>IFERROR(VLOOKUP(Consulta1[[#This Row],[Pozo]],'Lista Oportunidades'!B:C,2,FALSE),"NO")</f>
        <v>NO</v>
      </c>
      <c r="K501" s="5">
        <f>IFERROR(VLOOKUP(Consulta1[[#This Row],[Pozo largo]],Controles!B:H,7,FALSE),"NO")</f>
        <v>4.5</v>
      </c>
      <c r="L501" s="5">
        <f>IFERROR(VLOOKUP(Consulta1[[#This Row],[Pozo largo]],Controles!B:J,9,FALSE),"NO")</f>
        <v>0</v>
      </c>
    </row>
    <row r="502" spans="2:12" x14ac:dyDescent="0.35">
      <c r="B502" s="4" t="s">
        <v>991</v>
      </c>
      <c r="C502" s="4" t="s">
        <v>6253</v>
      </c>
      <c r="D502" s="4" t="s">
        <v>5</v>
      </c>
      <c r="E502" s="4" t="s">
        <v>430</v>
      </c>
      <c r="F502" s="4" t="s">
        <v>7</v>
      </c>
      <c r="G502" s="4" t="s">
        <v>5718</v>
      </c>
      <c r="H502" s="4" t="s">
        <v>21</v>
      </c>
      <c r="I502" s="5" t="str">
        <f>IFERROR(VLOOKUP(Consulta1[[#This Row],[Pozo largo]],'Lista YPF'!$B$3:$C$358,2,FALSE),"NO")</f>
        <v>En lista de Abandono</v>
      </c>
      <c r="J502" s="5" t="str">
        <f>IFERROR(VLOOKUP(Consulta1[[#This Row],[Pozo]],'Lista Oportunidades'!B:C,2,FALSE),"NO")</f>
        <v>NO</v>
      </c>
      <c r="K502" s="5">
        <f>IFERROR(VLOOKUP(Consulta1[[#This Row],[Pozo largo]],Controles!B:H,7,FALSE),"NO")</f>
        <v>0.49</v>
      </c>
      <c r="L502" s="5">
        <f>IFERROR(VLOOKUP(Consulta1[[#This Row],[Pozo largo]],Controles!B:J,9,FALSE),"NO")</f>
        <v>0</v>
      </c>
    </row>
    <row r="503" spans="2:12" x14ac:dyDescent="0.35">
      <c r="B503" s="4" t="s">
        <v>993</v>
      </c>
      <c r="C503" s="4" t="s">
        <v>6254</v>
      </c>
      <c r="D503" s="4" t="s">
        <v>5</v>
      </c>
      <c r="E503" s="4" t="s">
        <v>24</v>
      </c>
      <c r="F503" s="4" t="s">
        <v>28</v>
      </c>
      <c r="G503" s="4" t="s">
        <v>8</v>
      </c>
      <c r="H503" s="4" t="s">
        <v>71</v>
      </c>
      <c r="I503" s="5" t="str">
        <f>IFERROR(VLOOKUP(Consulta1[[#This Row],[Pozo largo]],'Lista YPF'!$B$3:$C$358,2,FALSE),"NO")</f>
        <v>NO</v>
      </c>
      <c r="J503" s="5" t="str">
        <f>IFERROR(VLOOKUP(Consulta1[[#This Row],[Pozo]],'Lista Oportunidades'!B:C,2,FALSE),"NO")</f>
        <v>NO</v>
      </c>
      <c r="K503" s="5">
        <f>IFERROR(VLOOKUP(Consulta1[[#This Row],[Pozo largo]],Controles!B:H,7,FALSE),"NO")</f>
        <v>0</v>
      </c>
      <c r="L503" s="5">
        <f>IFERROR(VLOOKUP(Consulta1[[#This Row],[Pozo largo]],Controles!B:J,9,FALSE),"NO")</f>
        <v>0</v>
      </c>
    </row>
    <row r="504" spans="2:12" x14ac:dyDescent="0.35">
      <c r="B504" s="4" t="s">
        <v>995</v>
      </c>
      <c r="C504" s="4" t="s">
        <v>5727</v>
      </c>
      <c r="D504" s="4" t="s">
        <v>5</v>
      </c>
      <c r="E504" s="4" t="s">
        <v>6</v>
      </c>
      <c r="F504" s="4" t="s">
        <v>28</v>
      </c>
      <c r="G504" s="4" t="s">
        <v>8688</v>
      </c>
      <c r="H504" s="4" t="s">
        <v>149</v>
      </c>
      <c r="I504" s="5" t="str">
        <f>IFERROR(VLOOKUP(Consulta1[[#This Row],[Pozo largo]],'Lista YPF'!$B$3:$C$358,2,FALSE),"NO")</f>
        <v>En lista de Abandono</v>
      </c>
      <c r="J504" s="5" t="str">
        <f>IFERROR(VLOOKUP(Consulta1[[#This Row],[Pozo]],'Lista Oportunidades'!B:C,2,FALSE),"NO")</f>
        <v>Oportunidad</v>
      </c>
      <c r="K504" s="5">
        <f>IFERROR(VLOOKUP(Consulta1[[#This Row],[Pozo largo]],Controles!B:H,7,FALSE),"NO")</f>
        <v>0</v>
      </c>
      <c r="L504" s="5">
        <f>IFERROR(VLOOKUP(Consulta1[[#This Row],[Pozo largo]],Controles!B:J,9,FALSE),"NO")</f>
        <v>0</v>
      </c>
    </row>
    <row r="505" spans="2:12" x14ac:dyDescent="0.35">
      <c r="B505" s="4" t="s">
        <v>997</v>
      </c>
      <c r="C505" s="4" t="s">
        <v>5744</v>
      </c>
      <c r="D505" s="4" t="s">
        <v>5</v>
      </c>
      <c r="E505" s="4" t="s">
        <v>12</v>
      </c>
      <c r="F505" s="4" t="s">
        <v>28</v>
      </c>
      <c r="G505" s="4" t="s">
        <v>13</v>
      </c>
      <c r="H505" s="4" t="s">
        <v>71</v>
      </c>
      <c r="I505" s="5" t="str">
        <f>IFERROR(VLOOKUP(Consulta1[[#This Row],[Pozo largo]],'Lista YPF'!$B$3:$C$358,2,FALSE),"NO")</f>
        <v>NO</v>
      </c>
      <c r="J505" s="5" t="str">
        <f>IFERROR(VLOOKUP(Consulta1[[#This Row],[Pozo]],'Lista Oportunidades'!B:C,2,FALSE),"NO")</f>
        <v>Oportunidad</v>
      </c>
      <c r="K505" s="5">
        <f>IFERROR(VLOOKUP(Consulta1[[#This Row],[Pozo largo]],Controles!B:H,7,FALSE),"NO")</f>
        <v>0</v>
      </c>
      <c r="L505" s="5">
        <f>IFERROR(VLOOKUP(Consulta1[[#This Row],[Pozo largo]],Controles!B:J,9,FALSE),"NO")</f>
        <v>0</v>
      </c>
    </row>
    <row r="506" spans="2:12" x14ac:dyDescent="0.35">
      <c r="B506" s="4" t="s">
        <v>999</v>
      </c>
      <c r="C506" s="4" t="s">
        <v>6255</v>
      </c>
      <c r="D506" s="4" t="s">
        <v>5</v>
      </c>
      <c r="E506" s="4" t="s">
        <v>12</v>
      </c>
      <c r="F506" s="4" t="s">
        <v>7</v>
      </c>
      <c r="G506" s="4" t="s">
        <v>13</v>
      </c>
      <c r="H506" s="4" t="s">
        <v>9</v>
      </c>
      <c r="I506" s="5" t="str">
        <f>IFERROR(VLOOKUP(Consulta1[[#This Row],[Pozo largo]],'Lista YPF'!$B$3:$C$358,2,FALSE),"NO")</f>
        <v>NO</v>
      </c>
      <c r="J506" s="5" t="str">
        <f>IFERROR(VLOOKUP(Consulta1[[#This Row],[Pozo]],'Lista Oportunidades'!B:C,2,FALSE),"NO")</f>
        <v>NO</v>
      </c>
      <c r="K506" s="5">
        <f>IFERROR(VLOOKUP(Consulta1[[#This Row],[Pozo largo]],Controles!B:H,7,FALSE),"NO")</f>
        <v>2</v>
      </c>
      <c r="L506" s="5">
        <f>IFERROR(VLOOKUP(Consulta1[[#This Row],[Pozo largo]],Controles!B:J,9,FALSE),"NO")</f>
        <v>0</v>
      </c>
    </row>
    <row r="507" spans="2:12" x14ac:dyDescent="0.35">
      <c r="B507" s="4" t="s">
        <v>1001</v>
      </c>
      <c r="C507" s="4" t="s">
        <v>6256</v>
      </c>
      <c r="D507" s="4" t="s">
        <v>5</v>
      </c>
      <c r="E507" s="4" t="s">
        <v>57</v>
      </c>
      <c r="F507" s="4" t="s">
        <v>7</v>
      </c>
      <c r="G507" s="4" t="s">
        <v>5718</v>
      </c>
      <c r="H507" s="4" t="s">
        <v>9</v>
      </c>
      <c r="I507" s="5" t="str">
        <f>IFERROR(VLOOKUP(Consulta1[[#This Row],[Pozo largo]],'Lista YPF'!$B$3:$C$358,2,FALSE),"NO")</f>
        <v>En lista de Abandono</v>
      </c>
      <c r="J507" s="5" t="str">
        <f>IFERROR(VLOOKUP(Consulta1[[#This Row],[Pozo]],'Lista Oportunidades'!B:C,2,FALSE),"NO")</f>
        <v>NO</v>
      </c>
      <c r="K507" s="5">
        <f>IFERROR(VLOOKUP(Consulta1[[#This Row],[Pozo largo]],Controles!B:H,7,FALSE),"NO")</f>
        <v>0.97500000000000009</v>
      </c>
      <c r="L507" s="5">
        <f>IFERROR(VLOOKUP(Consulta1[[#This Row],[Pozo largo]],Controles!B:J,9,FALSE),"NO")</f>
        <v>0</v>
      </c>
    </row>
    <row r="508" spans="2:12" x14ac:dyDescent="0.35">
      <c r="B508" s="4" t="s">
        <v>1003</v>
      </c>
      <c r="C508" s="4" t="s">
        <v>6257</v>
      </c>
      <c r="D508" s="4" t="s">
        <v>5</v>
      </c>
      <c r="E508" s="4" t="s">
        <v>12</v>
      </c>
      <c r="F508" s="4" t="s">
        <v>7</v>
      </c>
      <c r="G508" s="4" t="s">
        <v>13</v>
      </c>
      <c r="H508" s="4" t="s">
        <v>21</v>
      </c>
      <c r="I508" s="5" t="str">
        <f>IFERROR(VLOOKUP(Consulta1[[#This Row],[Pozo largo]],'Lista YPF'!$B$3:$C$358,2,FALSE),"NO")</f>
        <v>NO</v>
      </c>
      <c r="J508" s="5" t="str">
        <f>IFERROR(VLOOKUP(Consulta1[[#This Row],[Pozo]],'Lista Oportunidades'!B:C,2,FALSE),"NO")</f>
        <v>NO</v>
      </c>
      <c r="K508" s="5">
        <f>IFERROR(VLOOKUP(Consulta1[[#This Row],[Pozo largo]],Controles!B:H,7,FALSE),"NO")</f>
        <v>0.72</v>
      </c>
      <c r="L508" s="5">
        <f>IFERROR(VLOOKUP(Consulta1[[#This Row],[Pozo largo]],Controles!B:J,9,FALSE),"NO")</f>
        <v>0</v>
      </c>
    </row>
    <row r="509" spans="2:12" x14ac:dyDescent="0.35">
      <c r="B509" s="4" t="s">
        <v>1005</v>
      </c>
      <c r="C509" s="4" t="s">
        <v>6258</v>
      </c>
      <c r="D509" s="4" t="s">
        <v>5</v>
      </c>
      <c r="E509" s="4" t="s">
        <v>24</v>
      </c>
      <c r="F509" s="4" t="s">
        <v>28</v>
      </c>
      <c r="G509" s="4" t="s">
        <v>8</v>
      </c>
      <c r="H509" s="4" t="s">
        <v>21</v>
      </c>
      <c r="I509" s="5" t="str">
        <f>IFERROR(VLOOKUP(Consulta1[[#This Row],[Pozo largo]],'Lista YPF'!$B$3:$C$358,2,FALSE),"NO")</f>
        <v>NO</v>
      </c>
      <c r="J509" s="5" t="str">
        <f>IFERROR(VLOOKUP(Consulta1[[#This Row],[Pozo]],'Lista Oportunidades'!B:C,2,FALSE),"NO")</f>
        <v>NO</v>
      </c>
      <c r="K509" s="5">
        <f>IFERROR(VLOOKUP(Consulta1[[#This Row],[Pozo largo]],Controles!B:H,7,FALSE),"NO")</f>
        <v>0</v>
      </c>
      <c r="L509" s="5">
        <f>IFERROR(VLOOKUP(Consulta1[[#This Row],[Pozo largo]],Controles!B:J,9,FALSE),"NO")</f>
        <v>0</v>
      </c>
    </row>
    <row r="510" spans="2:12" x14ac:dyDescent="0.35">
      <c r="B510" s="4" t="s">
        <v>1007</v>
      </c>
      <c r="C510" s="4" t="s">
        <v>6259</v>
      </c>
      <c r="D510" s="4" t="s">
        <v>5</v>
      </c>
      <c r="E510" s="4" t="s">
        <v>12</v>
      </c>
      <c r="F510" s="4" t="s">
        <v>28</v>
      </c>
      <c r="G510" s="4" t="s">
        <v>13</v>
      </c>
      <c r="H510" s="4" t="s">
        <v>21</v>
      </c>
      <c r="I510" s="5" t="str">
        <f>IFERROR(VLOOKUP(Consulta1[[#This Row],[Pozo largo]],'Lista YPF'!$B$3:$C$358,2,FALSE),"NO")</f>
        <v>NO</v>
      </c>
      <c r="J510" s="5" t="str">
        <f>IFERROR(VLOOKUP(Consulta1[[#This Row],[Pozo]],'Lista Oportunidades'!B:C,2,FALSE),"NO")</f>
        <v>NO</v>
      </c>
      <c r="K510" s="5">
        <f>IFERROR(VLOOKUP(Consulta1[[#This Row],[Pozo largo]],Controles!B:H,7,FALSE),"NO")</f>
        <v>0</v>
      </c>
      <c r="L510" s="5">
        <f>IFERROR(VLOOKUP(Consulta1[[#This Row],[Pozo largo]],Controles!B:J,9,FALSE),"NO")</f>
        <v>0</v>
      </c>
    </row>
    <row r="511" spans="2:12" x14ac:dyDescent="0.35">
      <c r="B511" s="4" t="s">
        <v>1009</v>
      </c>
      <c r="C511" s="4" t="s">
        <v>6260</v>
      </c>
      <c r="D511" s="4" t="s">
        <v>5</v>
      </c>
      <c r="E511" s="4" t="s">
        <v>12</v>
      </c>
      <c r="F511" s="4" t="s">
        <v>7</v>
      </c>
      <c r="G511" s="4" t="s">
        <v>13</v>
      </c>
      <c r="H511" s="4" t="s">
        <v>33</v>
      </c>
      <c r="I511" s="5" t="str">
        <f>IFERROR(VLOOKUP(Consulta1[[#This Row],[Pozo largo]],'Lista YPF'!$B$3:$C$358,2,FALSE),"NO")</f>
        <v>NO</v>
      </c>
      <c r="J511" s="5" t="str">
        <f>IFERROR(VLOOKUP(Consulta1[[#This Row],[Pozo]],'Lista Oportunidades'!B:C,2,FALSE),"NO")</f>
        <v>NO</v>
      </c>
      <c r="K511" s="5">
        <f>IFERROR(VLOOKUP(Consulta1[[#This Row],[Pozo largo]],Controles!B:H,7,FALSE),"NO")</f>
        <v>1.143</v>
      </c>
      <c r="L511" s="5">
        <f>IFERROR(VLOOKUP(Consulta1[[#This Row],[Pozo largo]],Controles!B:J,9,FALSE),"NO")</f>
        <v>0</v>
      </c>
    </row>
    <row r="512" spans="2:12" x14ac:dyDescent="0.35">
      <c r="B512" s="4" t="s">
        <v>1011</v>
      </c>
      <c r="C512" s="4" t="s">
        <v>6261</v>
      </c>
      <c r="D512" s="4" t="s">
        <v>5</v>
      </c>
      <c r="E512" s="4" t="s">
        <v>24</v>
      </c>
      <c r="F512" s="4" t="s">
        <v>25</v>
      </c>
      <c r="G512" s="4" t="s">
        <v>8</v>
      </c>
      <c r="H512" s="4" t="s">
        <v>254</v>
      </c>
      <c r="I512" s="5" t="str">
        <f>IFERROR(VLOOKUP(Consulta1[[#This Row],[Pozo largo]],'Lista YPF'!$B$3:$C$358,2,FALSE),"NO")</f>
        <v>NO</v>
      </c>
      <c r="J512" s="5" t="str">
        <f>IFERROR(VLOOKUP(Consulta1[[#This Row],[Pozo]],'Lista Oportunidades'!B:C,2,FALSE),"NO")</f>
        <v>NO</v>
      </c>
      <c r="K512" s="5">
        <f>IFERROR(VLOOKUP(Consulta1[[#This Row],[Pozo largo]],Controles!B:H,7,FALSE),"NO")</f>
        <v>2.9000000000000001E-2</v>
      </c>
      <c r="L512" s="5">
        <f>IFERROR(VLOOKUP(Consulta1[[#This Row],[Pozo largo]],Controles!B:J,9,FALSE),"NO")</f>
        <v>0</v>
      </c>
    </row>
    <row r="513" spans="2:12" x14ac:dyDescent="0.35">
      <c r="B513" s="4" t="s">
        <v>1013</v>
      </c>
      <c r="C513" s="4" t="s">
        <v>6262</v>
      </c>
      <c r="D513" s="4" t="s">
        <v>5</v>
      </c>
      <c r="E513" s="4" t="s">
        <v>24</v>
      </c>
      <c r="F513" s="4" t="s">
        <v>7</v>
      </c>
      <c r="G513" s="4" t="s">
        <v>8</v>
      </c>
      <c r="H513" s="4" t="s">
        <v>33</v>
      </c>
      <c r="I513" s="5" t="str">
        <f>IFERROR(VLOOKUP(Consulta1[[#This Row],[Pozo largo]],'Lista YPF'!$B$3:$C$358,2,FALSE),"NO")</f>
        <v>NO</v>
      </c>
      <c r="J513" s="5" t="str">
        <f>IFERROR(VLOOKUP(Consulta1[[#This Row],[Pozo]],'Lista Oportunidades'!B:C,2,FALSE),"NO")</f>
        <v>NO</v>
      </c>
      <c r="K513" s="5">
        <f>IFERROR(VLOOKUP(Consulta1[[#This Row],[Pozo largo]],Controles!B:H,7,FALSE),"NO")</f>
        <v>0.82000000000000006</v>
      </c>
      <c r="L513" s="5">
        <f>IFERROR(VLOOKUP(Consulta1[[#This Row],[Pozo largo]],Controles!B:J,9,FALSE),"NO")</f>
        <v>0</v>
      </c>
    </row>
    <row r="514" spans="2:12" x14ac:dyDescent="0.35">
      <c r="B514" s="4" t="s">
        <v>1015</v>
      </c>
      <c r="C514" s="4" t="s">
        <v>6263</v>
      </c>
      <c r="D514" s="4" t="s">
        <v>5</v>
      </c>
      <c r="E514" s="4" t="s">
        <v>24</v>
      </c>
      <c r="F514" s="4" t="s">
        <v>31</v>
      </c>
      <c r="G514" s="4" t="s">
        <v>8</v>
      </c>
      <c r="H514" s="4" t="s">
        <v>36</v>
      </c>
      <c r="I514" s="5" t="str">
        <f>IFERROR(VLOOKUP(Consulta1[[#This Row],[Pozo largo]],'Lista YPF'!$B$3:$C$358,2,FALSE),"NO")</f>
        <v>NO</v>
      </c>
      <c r="J514" s="5" t="str">
        <f>IFERROR(VLOOKUP(Consulta1[[#This Row],[Pozo]],'Lista Oportunidades'!B:C,2,FALSE),"NO")</f>
        <v>NO</v>
      </c>
      <c r="K514" s="5">
        <f>IFERROR(VLOOKUP(Consulta1[[#This Row],[Pozo largo]],Controles!B:H,7,FALSE),"NO")</f>
        <v>0.18</v>
      </c>
      <c r="L514" s="5">
        <f>IFERROR(VLOOKUP(Consulta1[[#This Row],[Pozo largo]],Controles!B:J,9,FALSE),"NO")</f>
        <v>0</v>
      </c>
    </row>
    <row r="515" spans="2:12" x14ac:dyDescent="0.35">
      <c r="B515" s="4" t="s">
        <v>1017</v>
      </c>
      <c r="C515" s="4" t="s">
        <v>6264</v>
      </c>
      <c r="D515" s="4" t="s">
        <v>5</v>
      </c>
      <c r="E515" s="4" t="s">
        <v>30</v>
      </c>
      <c r="F515" s="4" t="s">
        <v>31</v>
      </c>
      <c r="G515" s="4" t="s">
        <v>32</v>
      </c>
      <c r="H515" s="4" t="s">
        <v>149</v>
      </c>
      <c r="I515" s="5" t="str">
        <f>IFERROR(VLOOKUP(Consulta1[[#This Row],[Pozo largo]],'Lista YPF'!$B$3:$C$358,2,FALSE),"NO")</f>
        <v>NO</v>
      </c>
      <c r="J515" s="5" t="str">
        <f>IFERROR(VLOOKUP(Consulta1[[#This Row],[Pozo]],'Lista Oportunidades'!B:C,2,FALSE),"NO")</f>
        <v>NO</v>
      </c>
      <c r="K515" s="5">
        <f>IFERROR(VLOOKUP(Consulta1[[#This Row],[Pozo largo]],Controles!B:H,7,FALSE),"NO")</f>
        <v>0</v>
      </c>
      <c r="L515" s="5">
        <f>IFERROR(VLOOKUP(Consulta1[[#This Row],[Pozo largo]],Controles!B:J,9,FALSE),"NO")</f>
        <v>0</v>
      </c>
    </row>
    <row r="516" spans="2:12" x14ac:dyDescent="0.35">
      <c r="B516" s="4" t="s">
        <v>1019</v>
      </c>
      <c r="C516" s="4" t="s">
        <v>6265</v>
      </c>
      <c r="D516" s="4" t="s">
        <v>5</v>
      </c>
      <c r="E516" s="4" t="s">
        <v>57</v>
      </c>
      <c r="F516" s="4" t="s">
        <v>28</v>
      </c>
      <c r="G516" s="4" t="s">
        <v>5718</v>
      </c>
      <c r="H516" s="4" t="s">
        <v>33</v>
      </c>
      <c r="I516" s="5" t="str">
        <f>IFERROR(VLOOKUP(Consulta1[[#This Row],[Pozo largo]],'Lista YPF'!$B$3:$C$358,2,FALSE),"NO")</f>
        <v>En lista de Abandono</v>
      </c>
      <c r="J516" s="5" t="str">
        <f>IFERROR(VLOOKUP(Consulta1[[#This Row],[Pozo]],'Lista Oportunidades'!B:C,2,FALSE),"NO")</f>
        <v>NO</v>
      </c>
      <c r="K516" s="5">
        <f>IFERROR(VLOOKUP(Consulta1[[#This Row],[Pozo largo]],Controles!B:H,7,FALSE),"NO")</f>
        <v>0</v>
      </c>
      <c r="L516" s="5">
        <f>IFERROR(VLOOKUP(Consulta1[[#This Row],[Pozo largo]],Controles!B:J,9,FALSE),"NO")</f>
        <v>0</v>
      </c>
    </row>
    <row r="517" spans="2:12" x14ac:dyDescent="0.35">
      <c r="B517" s="4" t="s">
        <v>1021</v>
      </c>
      <c r="C517" s="4" t="s">
        <v>6266</v>
      </c>
      <c r="D517" s="4" t="s">
        <v>5</v>
      </c>
      <c r="E517" s="4" t="s">
        <v>12</v>
      </c>
      <c r="F517" s="4" t="s">
        <v>7</v>
      </c>
      <c r="G517" s="4" t="s">
        <v>13</v>
      </c>
      <c r="H517" s="4" t="s">
        <v>33</v>
      </c>
      <c r="I517" s="5" t="str">
        <f>IFERROR(VLOOKUP(Consulta1[[#This Row],[Pozo largo]],'Lista YPF'!$B$3:$C$358,2,FALSE),"NO")</f>
        <v>NO</v>
      </c>
      <c r="J517" s="5" t="str">
        <f>IFERROR(VLOOKUP(Consulta1[[#This Row],[Pozo]],'Lista Oportunidades'!B:C,2,FALSE),"NO")</f>
        <v>NO</v>
      </c>
      <c r="K517" s="5">
        <f>IFERROR(VLOOKUP(Consulta1[[#This Row],[Pozo largo]],Controles!B:H,7,FALSE),"NO")</f>
        <v>0.65</v>
      </c>
      <c r="L517" s="5">
        <f>IFERROR(VLOOKUP(Consulta1[[#This Row],[Pozo largo]],Controles!B:J,9,FALSE),"NO")</f>
        <v>0</v>
      </c>
    </row>
    <row r="518" spans="2:12" x14ac:dyDescent="0.35">
      <c r="B518" s="4" t="s">
        <v>1023</v>
      </c>
      <c r="C518" s="4" t="s">
        <v>6267</v>
      </c>
      <c r="D518" s="4" t="s">
        <v>5</v>
      </c>
      <c r="E518" s="4" t="s">
        <v>6</v>
      </c>
      <c r="F518" s="4" t="s">
        <v>7</v>
      </c>
      <c r="G518" s="4" t="s">
        <v>5718</v>
      </c>
      <c r="H518" s="4" t="s">
        <v>33</v>
      </c>
      <c r="I518" s="5" t="str">
        <f>IFERROR(VLOOKUP(Consulta1[[#This Row],[Pozo largo]],'Lista YPF'!$B$3:$C$358,2,FALSE),"NO")</f>
        <v>En lista de Abandono</v>
      </c>
      <c r="J518" s="5" t="str">
        <f>IFERROR(VLOOKUP(Consulta1[[#This Row],[Pozo]],'Lista Oportunidades'!B:C,2,FALSE),"NO")</f>
        <v>NO</v>
      </c>
      <c r="K518" s="5">
        <f>IFERROR(VLOOKUP(Consulta1[[#This Row],[Pozo largo]],Controles!B:H,7,FALSE),"NO")</f>
        <v>1.7</v>
      </c>
      <c r="L518" s="5">
        <f>IFERROR(VLOOKUP(Consulta1[[#This Row],[Pozo largo]],Controles!B:J,9,FALSE),"NO")</f>
        <v>0</v>
      </c>
    </row>
    <row r="519" spans="2:12" x14ac:dyDescent="0.35">
      <c r="B519" s="4" t="s">
        <v>1025</v>
      </c>
      <c r="C519" s="4" t="s">
        <v>6268</v>
      </c>
      <c r="D519" s="4" t="s">
        <v>5</v>
      </c>
      <c r="E519" s="4" t="s">
        <v>30</v>
      </c>
      <c r="F519" s="4" t="s">
        <v>31</v>
      </c>
      <c r="G519" s="4" t="s">
        <v>32</v>
      </c>
      <c r="H519" s="4" t="s">
        <v>36</v>
      </c>
      <c r="I519" s="5" t="str">
        <f>IFERROR(VLOOKUP(Consulta1[[#This Row],[Pozo largo]],'Lista YPF'!$B$3:$C$358,2,FALSE),"NO")</f>
        <v>NO</v>
      </c>
      <c r="J519" s="5" t="str">
        <f>IFERROR(VLOOKUP(Consulta1[[#This Row],[Pozo]],'Lista Oportunidades'!B:C,2,FALSE),"NO")</f>
        <v>NO</v>
      </c>
      <c r="K519" s="5" t="str">
        <f>IFERROR(VLOOKUP(Consulta1[[#This Row],[Pozo largo]],Controles!B:H,7,FALSE),"NO")</f>
        <v>NO</v>
      </c>
      <c r="L519" s="5" t="str">
        <f>IFERROR(VLOOKUP(Consulta1[[#This Row],[Pozo largo]],Controles!B:J,9,FALSE),"NO")</f>
        <v>NO</v>
      </c>
    </row>
    <row r="520" spans="2:12" x14ac:dyDescent="0.35">
      <c r="B520" s="4" t="s">
        <v>1026</v>
      </c>
      <c r="C520" s="4" t="s">
        <v>5759</v>
      </c>
      <c r="D520" s="4" t="s">
        <v>5</v>
      </c>
      <c r="E520" s="4" t="s">
        <v>6</v>
      </c>
      <c r="F520" s="4" t="s">
        <v>28</v>
      </c>
      <c r="G520" s="4" t="s">
        <v>8688</v>
      </c>
      <c r="H520" s="4" t="s">
        <v>21</v>
      </c>
      <c r="I520" s="5" t="str">
        <f>IFERROR(VLOOKUP(Consulta1[[#This Row],[Pozo largo]],'Lista YPF'!$B$3:$C$358,2,FALSE),"NO")</f>
        <v>En lista de Abandono</v>
      </c>
      <c r="J520" s="5" t="str">
        <f>IFERROR(VLOOKUP(Consulta1[[#This Row],[Pozo]],'Lista Oportunidades'!B:C,2,FALSE),"NO")</f>
        <v>Oportunidad</v>
      </c>
      <c r="K520" s="5">
        <f>IFERROR(VLOOKUP(Consulta1[[#This Row],[Pozo largo]],Controles!B:H,7,FALSE),"NO")</f>
        <v>0</v>
      </c>
      <c r="L520" s="5" t="str">
        <f>IFERROR(VLOOKUP(Consulta1[[#This Row],[Pozo largo]],Controles!B:J,9,FALSE),"NO")</f>
        <v>Ultimo Año</v>
      </c>
    </row>
    <row r="521" spans="2:12" x14ac:dyDescent="0.35">
      <c r="B521" s="4" t="s">
        <v>1028</v>
      </c>
      <c r="C521" s="4" t="s">
        <v>6269</v>
      </c>
      <c r="D521" s="4" t="s">
        <v>5</v>
      </c>
      <c r="E521" s="4" t="s">
        <v>6</v>
      </c>
      <c r="F521" s="4" t="s">
        <v>31</v>
      </c>
      <c r="G521" s="4" t="s">
        <v>5718</v>
      </c>
      <c r="H521" s="4" t="s">
        <v>21</v>
      </c>
      <c r="I521" s="5" t="str">
        <f>IFERROR(VLOOKUP(Consulta1[[#This Row],[Pozo largo]],'Lista YPF'!$B$3:$C$358,2,FALSE),"NO")</f>
        <v>En lista de Abandono</v>
      </c>
      <c r="J521" s="5" t="str">
        <f>IFERROR(VLOOKUP(Consulta1[[#This Row],[Pozo]],'Lista Oportunidades'!B:C,2,FALSE),"NO")</f>
        <v>NO</v>
      </c>
      <c r="K521" s="5">
        <f>IFERROR(VLOOKUP(Consulta1[[#This Row],[Pozo largo]],Controles!B:H,7,FALSE),"NO")</f>
        <v>0.93</v>
      </c>
      <c r="L521" s="5">
        <f>IFERROR(VLOOKUP(Consulta1[[#This Row],[Pozo largo]],Controles!B:J,9,FALSE),"NO")</f>
        <v>0</v>
      </c>
    </row>
    <row r="522" spans="2:12" x14ac:dyDescent="0.35">
      <c r="B522" s="4" t="s">
        <v>1030</v>
      </c>
      <c r="C522" s="4" t="s">
        <v>6270</v>
      </c>
      <c r="D522" s="4" t="s">
        <v>5</v>
      </c>
      <c r="E522" s="4" t="s">
        <v>12</v>
      </c>
      <c r="F522" s="4" t="s">
        <v>25</v>
      </c>
      <c r="G522" s="4" t="s">
        <v>13</v>
      </c>
      <c r="H522" s="4" t="s">
        <v>21</v>
      </c>
      <c r="I522" s="5" t="str">
        <f>IFERROR(VLOOKUP(Consulta1[[#This Row],[Pozo largo]],'Lista YPF'!$B$3:$C$358,2,FALSE),"NO")</f>
        <v>NO</v>
      </c>
      <c r="J522" s="5" t="str">
        <f>IFERROR(VLOOKUP(Consulta1[[#This Row],[Pozo]],'Lista Oportunidades'!B:C,2,FALSE),"NO")</f>
        <v>NO</v>
      </c>
      <c r="K522" s="5">
        <f>IFERROR(VLOOKUP(Consulta1[[#This Row],[Pozo largo]],Controles!B:H,7,FALSE),"NO")</f>
        <v>0.20200000000000001</v>
      </c>
      <c r="L522" s="5">
        <f>IFERROR(VLOOKUP(Consulta1[[#This Row],[Pozo largo]],Controles!B:J,9,FALSE),"NO")</f>
        <v>0</v>
      </c>
    </row>
    <row r="523" spans="2:12" x14ac:dyDescent="0.35">
      <c r="B523" s="4" t="s">
        <v>1032</v>
      </c>
      <c r="C523" s="4" t="s">
        <v>6271</v>
      </c>
      <c r="D523" s="4" t="s">
        <v>5</v>
      </c>
      <c r="E523" s="4" t="s">
        <v>30</v>
      </c>
      <c r="F523" s="4" t="s">
        <v>31</v>
      </c>
      <c r="G523" s="4" t="s">
        <v>32</v>
      </c>
      <c r="H523" s="4" t="s">
        <v>21</v>
      </c>
      <c r="I523" s="5" t="str">
        <f>IFERROR(VLOOKUP(Consulta1[[#This Row],[Pozo largo]],'Lista YPF'!$B$3:$C$358,2,FALSE),"NO")</f>
        <v>NO</v>
      </c>
      <c r="J523" s="5" t="str">
        <f>IFERROR(VLOOKUP(Consulta1[[#This Row],[Pozo]],'Lista Oportunidades'!B:C,2,FALSE),"NO")</f>
        <v>NO</v>
      </c>
      <c r="K523" s="5" t="str">
        <f>IFERROR(VLOOKUP(Consulta1[[#This Row],[Pozo largo]],Controles!B:H,7,FALSE),"NO")</f>
        <v>NO</v>
      </c>
      <c r="L523" s="5" t="str">
        <f>IFERROR(VLOOKUP(Consulta1[[#This Row],[Pozo largo]],Controles!B:J,9,FALSE),"NO")</f>
        <v>NO</v>
      </c>
    </row>
    <row r="524" spans="2:12" x14ac:dyDescent="0.35">
      <c r="B524" s="4" t="s">
        <v>1033</v>
      </c>
      <c r="C524" s="4" t="s">
        <v>6272</v>
      </c>
      <c r="D524" s="4" t="s">
        <v>5</v>
      </c>
      <c r="E524" s="4" t="s">
        <v>30</v>
      </c>
      <c r="F524" s="4" t="s">
        <v>31</v>
      </c>
      <c r="G524" s="4" t="s">
        <v>32</v>
      </c>
      <c r="H524" s="4" t="s">
        <v>91</v>
      </c>
      <c r="I524" s="5" t="str">
        <f>IFERROR(VLOOKUP(Consulta1[[#This Row],[Pozo largo]],'Lista YPF'!$B$3:$C$358,2,FALSE),"NO")</f>
        <v>NO</v>
      </c>
      <c r="J524" s="5" t="str">
        <f>IFERROR(VLOOKUP(Consulta1[[#This Row],[Pozo]],'Lista Oportunidades'!B:C,2,FALSE),"NO")</f>
        <v>NO</v>
      </c>
      <c r="K524" s="5">
        <f>IFERROR(VLOOKUP(Consulta1[[#This Row],[Pozo largo]],Controles!B:H,7,FALSE),"NO")</f>
        <v>0</v>
      </c>
      <c r="L524" s="5">
        <f>IFERROR(VLOOKUP(Consulta1[[#This Row],[Pozo largo]],Controles!B:J,9,FALSE),"NO")</f>
        <v>0</v>
      </c>
    </row>
    <row r="525" spans="2:12" x14ac:dyDescent="0.35">
      <c r="B525" s="4" t="s">
        <v>1035</v>
      </c>
      <c r="C525" s="4" t="s">
        <v>6273</v>
      </c>
      <c r="D525" s="4" t="s">
        <v>5</v>
      </c>
      <c r="E525" s="4" t="s">
        <v>12</v>
      </c>
      <c r="F525" s="4" t="s">
        <v>25</v>
      </c>
      <c r="G525" s="4" t="s">
        <v>13</v>
      </c>
      <c r="H525" s="4" t="s">
        <v>91</v>
      </c>
      <c r="I525" s="5" t="str">
        <f>IFERROR(VLOOKUP(Consulta1[[#This Row],[Pozo largo]],'Lista YPF'!$B$3:$C$358,2,FALSE),"NO")</f>
        <v>NO</v>
      </c>
      <c r="J525" s="5" t="str">
        <f>IFERROR(VLOOKUP(Consulta1[[#This Row],[Pozo]],'Lista Oportunidades'!B:C,2,FALSE),"NO")</f>
        <v>NO</v>
      </c>
      <c r="K525" s="5">
        <f>IFERROR(VLOOKUP(Consulta1[[#This Row],[Pozo largo]],Controles!B:H,7,FALSE),"NO")</f>
        <v>0.10400000000000001</v>
      </c>
      <c r="L525" s="5">
        <f>IFERROR(VLOOKUP(Consulta1[[#This Row],[Pozo largo]],Controles!B:J,9,FALSE),"NO")</f>
        <v>0</v>
      </c>
    </row>
    <row r="526" spans="2:12" x14ac:dyDescent="0.35">
      <c r="B526" s="4" t="s">
        <v>1037</v>
      </c>
      <c r="C526" s="4" t="s">
        <v>6274</v>
      </c>
      <c r="D526" s="4" t="s">
        <v>5</v>
      </c>
      <c r="E526" s="4" t="s">
        <v>12</v>
      </c>
      <c r="F526" s="4" t="s">
        <v>7</v>
      </c>
      <c r="G526" s="4" t="s">
        <v>13</v>
      </c>
      <c r="H526" s="4" t="s">
        <v>86</v>
      </c>
      <c r="I526" s="5" t="str">
        <f>IFERROR(VLOOKUP(Consulta1[[#This Row],[Pozo largo]],'Lista YPF'!$B$3:$C$358,2,FALSE),"NO")</f>
        <v>NO</v>
      </c>
      <c r="J526" s="5" t="str">
        <f>IFERROR(VLOOKUP(Consulta1[[#This Row],[Pozo]],'Lista Oportunidades'!B:C,2,FALSE),"NO")</f>
        <v>NO</v>
      </c>
      <c r="K526" s="5">
        <f>IFERROR(VLOOKUP(Consulta1[[#This Row],[Pozo largo]],Controles!B:H,7,FALSE),"NO")</f>
        <v>1.53</v>
      </c>
      <c r="L526" s="5">
        <f>IFERROR(VLOOKUP(Consulta1[[#This Row],[Pozo largo]],Controles!B:J,9,FALSE),"NO")</f>
        <v>0</v>
      </c>
    </row>
    <row r="527" spans="2:12" x14ac:dyDescent="0.35">
      <c r="B527" s="4" t="s">
        <v>1039</v>
      </c>
      <c r="C527" s="4" t="s">
        <v>6275</v>
      </c>
      <c r="D527" s="4" t="s">
        <v>5</v>
      </c>
      <c r="E527" s="4" t="s">
        <v>30</v>
      </c>
      <c r="F527" s="4" t="s">
        <v>31</v>
      </c>
      <c r="G527" s="4" t="s">
        <v>32</v>
      </c>
      <c r="H527" s="4" t="s">
        <v>86</v>
      </c>
      <c r="I527" s="5" t="str">
        <f>IFERROR(VLOOKUP(Consulta1[[#This Row],[Pozo largo]],'Lista YPF'!$B$3:$C$358,2,FALSE),"NO")</f>
        <v>NO</v>
      </c>
      <c r="J527" s="5" t="str">
        <f>IFERROR(VLOOKUP(Consulta1[[#This Row],[Pozo]],'Lista Oportunidades'!B:C,2,FALSE),"NO")</f>
        <v>NO</v>
      </c>
      <c r="K527" s="5">
        <f>IFERROR(VLOOKUP(Consulta1[[#This Row],[Pozo largo]],Controles!B:H,7,FALSE),"NO")</f>
        <v>0.375</v>
      </c>
      <c r="L527" s="5">
        <f>IFERROR(VLOOKUP(Consulta1[[#This Row],[Pozo largo]],Controles!B:J,9,FALSE),"NO")</f>
        <v>0</v>
      </c>
    </row>
    <row r="528" spans="2:12" x14ac:dyDescent="0.35">
      <c r="B528" s="4" t="s">
        <v>1041</v>
      </c>
      <c r="C528" s="4" t="s">
        <v>6276</v>
      </c>
      <c r="D528" s="4" t="s">
        <v>5</v>
      </c>
      <c r="E528" s="4" t="s">
        <v>826</v>
      </c>
      <c r="F528" s="4" t="s">
        <v>7</v>
      </c>
      <c r="G528" s="4" t="s">
        <v>5718</v>
      </c>
      <c r="H528" s="4" t="s">
        <v>86</v>
      </c>
      <c r="I528" s="5" t="str">
        <f>IFERROR(VLOOKUP(Consulta1[[#This Row],[Pozo largo]],'Lista YPF'!$B$3:$C$358,2,FALSE),"NO")</f>
        <v>En lista de Abandono</v>
      </c>
      <c r="J528" s="5" t="str">
        <f>IFERROR(VLOOKUP(Consulta1[[#This Row],[Pozo]],'Lista Oportunidades'!B:C,2,FALSE),"NO")</f>
        <v>NO</v>
      </c>
      <c r="K528" s="5">
        <f>IFERROR(VLOOKUP(Consulta1[[#This Row],[Pozo largo]],Controles!B:H,7,FALSE),"NO")</f>
        <v>0.17</v>
      </c>
      <c r="L528" s="5">
        <f>IFERROR(VLOOKUP(Consulta1[[#This Row],[Pozo largo]],Controles!B:J,9,FALSE),"NO")</f>
        <v>0</v>
      </c>
    </row>
    <row r="529" spans="2:12" x14ac:dyDescent="0.35">
      <c r="B529" s="4" t="s">
        <v>1043</v>
      </c>
      <c r="C529" s="4" t="s">
        <v>6277</v>
      </c>
      <c r="D529" s="4" t="s">
        <v>5</v>
      </c>
      <c r="E529" s="4" t="s">
        <v>24</v>
      </c>
      <c r="F529" s="4" t="s">
        <v>25</v>
      </c>
      <c r="G529" s="4" t="s">
        <v>8</v>
      </c>
      <c r="H529" s="4" t="s">
        <v>91</v>
      </c>
      <c r="I529" s="5" t="str">
        <f>IFERROR(VLOOKUP(Consulta1[[#This Row],[Pozo largo]],'Lista YPF'!$B$3:$C$358,2,FALSE),"NO")</f>
        <v>NO</v>
      </c>
      <c r="J529" s="5" t="str">
        <f>IFERROR(VLOOKUP(Consulta1[[#This Row],[Pozo]],'Lista Oportunidades'!B:C,2,FALSE),"NO")</f>
        <v>NO</v>
      </c>
      <c r="K529" s="5">
        <f>IFERROR(VLOOKUP(Consulta1[[#This Row],[Pozo largo]],Controles!B:H,7,FALSE),"NO")</f>
        <v>0.188</v>
      </c>
      <c r="L529" s="5">
        <f>IFERROR(VLOOKUP(Consulta1[[#This Row],[Pozo largo]],Controles!B:J,9,FALSE),"NO")</f>
        <v>0</v>
      </c>
    </row>
    <row r="530" spans="2:12" x14ac:dyDescent="0.35">
      <c r="B530" s="4" t="s">
        <v>1045</v>
      </c>
      <c r="C530" s="4" t="s">
        <v>6278</v>
      </c>
      <c r="D530" s="4" t="s">
        <v>5</v>
      </c>
      <c r="E530" s="4" t="s">
        <v>12</v>
      </c>
      <c r="F530" s="4" t="s">
        <v>7</v>
      </c>
      <c r="G530" s="4" t="s">
        <v>13</v>
      </c>
      <c r="H530" s="4" t="s">
        <v>86</v>
      </c>
      <c r="I530" s="5" t="str">
        <f>IFERROR(VLOOKUP(Consulta1[[#This Row],[Pozo largo]],'Lista YPF'!$B$3:$C$358,2,FALSE),"NO")</f>
        <v>NO</v>
      </c>
      <c r="J530" s="5" t="str">
        <f>IFERROR(VLOOKUP(Consulta1[[#This Row],[Pozo]],'Lista Oportunidades'!B:C,2,FALSE),"NO")</f>
        <v>NO</v>
      </c>
      <c r="K530" s="5">
        <f>IFERROR(VLOOKUP(Consulta1[[#This Row],[Pozo largo]],Controles!B:H,7,FALSE),"NO")</f>
        <v>1.25</v>
      </c>
      <c r="L530" s="5">
        <f>IFERROR(VLOOKUP(Consulta1[[#This Row],[Pozo largo]],Controles!B:J,9,FALSE),"NO")</f>
        <v>0</v>
      </c>
    </row>
    <row r="531" spans="2:12" x14ac:dyDescent="0.35">
      <c r="B531" s="4" t="s">
        <v>1047</v>
      </c>
      <c r="C531" s="4" t="s">
        <v>6279</v>
      </c>
      <c r="D531" s="4" t="s">
        <v>5</v>
      </c>
      <c r="E531" s="4" t="s">
        <v>12</v>
      </c>
      <c r="F531" s="4" t="s">
        <v>7</v>
      </c>
      <c r="G531" s="4" t="s">
        <v>13</v>
      </c>
      <c r="H531" s="4" t="s">
        <v>86</v>
      </c>
      <c r="I531" s="5" t="str">
        <f>IFERROR(VLOOKUP(Consulta1[[#This Row],[Pozo largo]],'Lista YPF'!$B$3:$C$358,2,FALSE),"NO")</f>
        <v>NO</v>
      </c>
      <c r="J531" s="5" t="str">
        <f>IFERROR(VLOOKUP(Consulta1[[#This Row],[Pozo]],'Lista Oportunidades'!B:C,2,FALSE),"NO")</f>
        <v>NO</v>
      </c>
      <c r="K531" s="5">
        <f>IFERROR(VLOOKUP(Consulta1[[#This Row],[Pozo largo]],Controles!B:H,7,FALSE),"NO")</f>
        <v>2.73</v>
      </c>
      <c r="L531" s="5">
        <f>IFERROR(VLOOKUP(Consulta1[[#This Row],[Pozo largo]],Controles!B:J,9,FALSE),"NO")</f>
        <v>0</v>
      </c>
    </row>
    <row r="532" spans="2:12" x14ac:dyDescent="0.35">
      <c r="B532" s="4" t="s">
        <v>1049</v>
      </c>
      <c r="C532" s="4" t="s">
        <v>6280</v>
      </c>
      <c r="D532" s="4" t="s">
        <v>5</v>
      </c>
      <c r="E532" s="4" t="s">
        <v>24</v>
      </c>
      <c r="F532" s="4" t="s">
        <v>7</v>
      </c>
      <c r="G532" s="4" t="s">
        <v>8</v>
      </c>
      <c r="H532" s="4" t="s">
        <v>71</v>
      </c>
      <c r="I532" s="5" t="str">
        <f>IFERROR(VLOOKUP(Consulta1[[#This Row],[Pozo largo]],'Lista YPF'!$B$3:$C$358,2,FALSE),"NO")</f>
        <v>NO</v>
      </c>
      <c r="J532" s="5" t="str">
        <f>IFERROR(VLOOKUP(Consulta1[[#This Row],[Pozo]],'Lista Oportunidades'!B:C,2,FALSE),"NO")</f>
        <v>NO</v>
      </c>
      <c r="K532" s="5">
        <f>IFERROR(VLOOKUP(Consulta1[[#This Row],[Pozo largo]],Controles!B:H,7,FALSE),"NO")</f>
        <v>0.24</v>
      </c>
      <c r="L532" s="5">
        <f>IFERROR(VLOOKUP(Consulta1[[#This Row],[Pozo largo]],Controles!B:J,9,FALSE),"NO")</f>
        <v>0</v>
      </c>
    </row>
    <row r="533" spans="2:12" x14ac:dyDescent="0.35">
      <c r="B533" s="4" t="s">
        <v>1051</v>
      </c>
      <c r="C533" s="4" t="s">
        <v>6281</v>
      </c>
      <c r="D533" s="4" t="s">
        <v>5</v>
      </c>
      <c r="E533" s="4" t="s">
        <v>24</v>
      </c>
      <c r="F533" s="4" t="s">
        <v>31</v>
      </c>
      <c r="G533" s="4" t="s">
        <v>8</v>
      </c>
      <c r="H533" s="4" t="s">
        <v>71</v>
      </c>
      <c r="I533" s="5" t="str">
        <f>IFERROR(VLOOKUP(Consulta1[[#This Row],[Pozo largo]],'Lista YPF'!$B$3:$C$358,2,FALSE),"NO")</f>
        <v>NO</v>
      </c>
      <c r="J533" s="5" t="str">
        <f>IFERROR(VLOOKUP(Consulta1[[#This Row],[Pozo]],'Lista Oportunidades'!B:C,2,FALSE),"NO")</f>
        <v>NO</v>
      </c>
      <c r="K533" s="5">
        <f>IFERROR(VLOOKUP(Consulta1[[#This Row],[Pozo largo]],Controles!B:H,7,FALSE),"NO")</f>
        <v>0.57999999999999996</v>
      </c>
      <c r="L533" s="5">
        <f>IFERROR(VLOOKUP(Consulta1[[#This Row],[Pozo largo]],Controles!B:J,9,FALSE),"NO")</f>
        <v>0</v>
      </c>
    </row>
    <row r="534" spans="2:12" x14ac:dyDescent="0.35">
      <c r="B534" s="4" t="s">
        <v>1053</v>
      </c>
      <c r="C534" s="4" t="s">
        <v>6282</v>
      </c>
      <c r="D534" s="4" t="s">
        <v>5</v>
      </c>
      <c r="E534" s="4" t="s">
        <v>12</v>
      </c>
      <c r="F534" s="4" t="s">
        <v>7</v>
      </c>
      <c r="G534" s="4" t="s">
        <v>13</v>
      </c>
      <c r="H534" s="4" t="s">
        <v>185</v>
      </c>
      <c r="I534" s="5" t="str">
        <f>IFERROR(VLOOKUP(Consulta1[[#This Row],[Pozo largo]],'Lista YPF'!$B$3:$C$358,2,FALSE),"NO")</f>
        <v>NO</v>
      </c>
      <c r="J534" s="5" t="str">
        <f>IFERROR(VLOOKUP(Consulta1[[#This Row],[Pozo]],'Lista Oportunidades'!B:C,2,FALSE),"NO")</f>
        <v>NO</v>
      </c>
      <c r="K534" s="5">
        <f>IFERROR(VLOOKUP(Consulta1[[#This Row],[Pozo largo]],Controles!B:H,7,FALSE),"NO")</f>
        <v>1.36</v>
      </c>
      <c r="L534" s="5">
        <f>IFERROR(VLOOKUP(Consulta1[[#This Row],[Pozo largo]],Controles!B:J,9,FALSE),"NO")</f>
        <v>0</v>
      </c>
    </row>
    <row r="535" spans="2:12" x14ac:dyDescent="0.35">
      <c r="B535" s="4" t="s">
        <v>1055</v>
      </c>
      <c r="C535" s="4" t="s">
        <v>6283</v>
      </c>
      <c r="D535" s="4" t="s">
        <v>5</v>
      </c>
      <c r="E535" s="4" t="s">
        <v>24</v>
      </c>
      <c r="F535" s="4" t="s">
        <v>31</v>
      </c>
      <c r="G535" s="4" t="s">
        <v>8</v>
      </c>
      <c r="H535" s="4" t="s">
        <v>141</v>
      </c>
      <c r="I535" s="5" t="str">
        <f>IFERROR(VLOOKUP(Consulta1[[#This Row],[Pozo largo]],'Lista YPF'!$B$3:$C$358,2,FALSE),"NO")</f>
        <v>NO</v>
      </c>
      <c r="J535" s="5" t="str">
        <f>IFERROR(VLOOKUP(Consulta1[[#This Row],[Pozo]],'Lista Oportunidades'!B:C,2,FALSE),"NO")</f>
        <v>NO</v>
      </c>
      <c r="K535" s="5" t="str">
        <f>IFERROR(VLOOKUP(Consulta1[[#This Row],[Pozo largo]],Controles!B:H,7,FALSE),"NO")</f>
        <v>NO</v>
      </c>
      <c r="L535" s="5" t="str">
        <f>IFERROR(VLOOKUP(Consulta1[[#This Row],[Pozo largo]],Controles!B:J,9,FALSE),"NO")</f>
        <v>NO</v>
      </c>
    </row>
    <row r="536" spans="2:12" x14ac:dyDescent="0.35">
      <c r="B536" s="4" t="s">
        <v>1056</v>
      </c>
      <c r="C536" s="4" t="s">
        <v>6284</v>
      </c>
      <c r="D536" s="4" t="s">
        <v>5</v>
      </c>
      <c r="E536" s="4" t="s">
        <v>24</v>
      </c>
      <c r="F536" s="4" t="s">
        <v>31</v>
      </c>
      <c r="G536" s="4" t="s">
        <v>8</v>
      </c>
      <c r="H536" s="4" t="s">
        <v>185</v>
      </c>
      <c r="I536" s="5" t="str">
        <f>IFERROR(VLOOKUP(Consulta1[[#This Row],[Pozo largo]],'Lista YPF'!$B$3:$C$358,2,FALSE),"NO")</f>
        <v>NO</v>
      </c>
      <c r="J536" s="5" t="str">
        <f>IFERROR(VLOOKUP(Consulta1[[#This Row],[Pozo]],'Lista Oportunidades'!B:C,2,FALSE),"NO")</f>
        <v>NO</v>
      </c>
      <c r="K536" s="5">
        <f>IFERROR(VLOOKUP(Consulta1[[#This Row],[Pozo largo]],Controles!B:H,7,FALSE),"NO")</f>
        <v>0</v>
      </c>
      <c r="L536" s="5">
        <f>IFERROR(VLOOKUP(Consulta1[[#This Row],[Pozo largo]],Controles!B:J,9,FALSE),"NO")</f>
        <v>0</v>
      </c>
    </row>
    <row r="537" spans="2:12" x14ac:dyDescent="0.35">
      <c r="B537" s="4" t="s">
        <v>1058</v>
      </c>
      <c r="C537" s="4" t="s">
        <v>6285</v>
      </c>
      <c r="D537" s="4" t="s">
        <v>5</v>
      </c>
      <c r="E537" s="4" t="s">
        <v>12</v>
      </c>
      <c r="F537" s="4" t="s">
        <v>83</v>
      </c>
      <c r="G537" s="4" t="s">
        <v>13</v>
      </c>
      <c r="H537" s="4" t="s">
        <v>16</v>
      </c>
      <c r="I537" s="5" t="str">
        <f>IFERROR(VLOOKUP(Consulta1[[#This Row],[Pozo largo]],'Lista YPF'!$B$3:$C$358,2,FALSE),"NO")</f>
        <v>NO</v>
      </c>
      <c r="J537" s="5" t="str">
        <f>IFERROR(VLOOKUP(Consulta1[[#This Row],[Pozo]],'Lista Oportunidades'!B:C,2,FALSE),"NO")</f>
        <v>NO</v>
      </c>
      <c r="K537" s="5">
        <f>IFERROR(VLOOKUP(Consulta1[[#This Row],[Pozo largo]],Controles!B:H,7,FALSE),"NO")</f>
        <v>3.7120000000000002</v>
      </c>
      <c r="L537" s="5">
        <f>IFERROR(VLOOKUP(Consulta1[[#This Row],[Pozo largo]],Controles!B:J,9,FALSE),"NO")</f>
        <v>0</v>
      </c>
    </row>
    <row r="538" spans="2:12" x14ac:dyDescent="0.35">
      <c r="B538" s="4" t="s">
        <v>1060</v>
      </c>
      <c r="C538" s="4" t="s">
        <v>6286</v>
      </c>
      <c r="D538" s="4" t="s">
        <v>5</v>
      </c>
      <c r="E538" s="4" t="s">
        <v>57</v>
      </c>
      <c r="F538" s="4" t="s">
        <v>7</v>
      </c>
      <c r="G538" s="4" t="s">
        <v>5718</v>
      </c>
      <c r="H538" s="4" t="s">
        <v>71</v>
      </c>
      <c r="I538" s="5" t="str">
        <f>IFERROR(VLOOKUP(Consulta1[[#This Row],[Pozo largo]],'Lista YPF'!$B$3:$C$358,2,FALSE),"NO")</f>
        <v>En lista de Abandono</v>
      </c>
      <c r="J538" s="5" t="str">
        <f>IFERROR(VLOOKUP(Consulta1[[#This Row],[Pozo]],'Lista Oportunidades'!B:C,2,FALSE),"NO")</f>
        <v>NO</v>
      </c>
      <c r="K538" s="5">
        <f>IFERROR(VLOOKUP(Consulta1[[#This Row],[Pozo largo]],Controles!B:H,7,FALSE),"NO")</f>
        <v>0.625</v>
      </c>
      <c r="L538" s="5">
        <f>IFERROR(VLOOKUP(Consulta1[[#This Row],[Pozo largo]],Controles!B:J,9,FALSE),"NO")</f>
        <v>0</v>
      </c>
    </row>
    <row r="539" spans="2:12" x14ac:dyDescent="0.35">
      <c r="B539" s="4" t="s">
        <v>1062</v>
      </c>
      <c r="C539" s="4" t="s">
        <v>6287</v>
      </c>
      <c r="D539" s="4" t="s">
        <v>5</v>
      </c>
      <c r="E539" s="4" t="s">
        <v>24</v>
      </c>
      <c r="F539" s="4" t="s">
        <v>31</v>
      </c>
      <c r="G539" s="4" t="s">
        <v>8</v>
      </c>
      <c r="H539" s="4" t="s">
        <v>21</v>
      </c>
      <c r="I539" s="5" t="str">
        <f>IFERROR(VLOOKUP(Consulta1[[#This Row],[Pozo largo]],'Lista YPF'!$B$3:$C$358,2,FALSE),"NO")</f>
        <v>NO</v>
      </c>
      <c r="J539" s="5" t="str">
        <f>IFERROR(VLOOKUP(Consulta1[[#This Row],[Pozo]],'Lista Oportunidades'!B:C,2,FALSE),"NO")</f>
        <v>NO</v>
      </c>
      <c r="K539" s="5" t="str">
        <f>IFERROR(VLOOKUP(Consulta1[[#This Row],[Pozo largo]],Controles!B:H,7,FALSE),"NO")</f>
        <v>NO</v>
      </c>
      <c r="L539" s="5" t="str">
        <f>IFERROR(VLOOKUP(Consulta1[[#This Row],[Pozo largo]],Controles!B:J,9,FALSE),"NO")</f>
        <v>NO</v>
      </c>
    </row>
    <row r="540" spans="2:12" x14ac:dyDescent="0.35">
      <c r="B540" s="4" t="s">
        <v>1063</v>
      </c>
      <c r="C540" s="4" t="s">
        <v>6288</v>
      </c>
      <c r="D540" s="4" t="s">
        <v>5</v>
      </c>
      <c r="E540" s="4" t="s">
        <v>12</v>
      </c>
      <c r="F540" s="4" t="s">
        <v>28</v>
      </c>
      <c r="G540" s="4" t="s">
        <v>13</v>
      </c>
      <c r="H540" s="4" t="s">
        <v>9</v>
      </c>
      <c r="I540" s="5" t="str">
        <f>IFERROR(VLOOKUP(Consulta1[[#This Row],[Pozo largo]],'Lista YPF'!$B$3:$C$358,2,FALSE),"NO")</f>
        <v>NO</v>
      </c>
      <c r="J540" s="5" t="str">
        <f>IFERROR(VLOOKUP(Consulta1[[#This Row],[Pozo]],'Lista Oportunidades'!B:C,2,FALSE),"NO")</f>
        <v>NO</v>
      </c>
      <c r="K540" s="5">
        <f>IFERROR(VLOOKUP(Consulta1[[#This Row],[Pozo largo]],Controles!B:H,7,FALSE),"NO")</f>
        <v>0</v>
      </c>
      <c r="L540" s="5">
        <f>IFERROR(VLOOKUP(Consulta1[[#This Row],[Pozo largo]],Controles!B:J,9,FALSE),"NO")</f>
        <v>0</v>
      </c>
    </row>
    <row r="541" spans="2:12" x14ac:dyDescent="0.35">
      <c r="B541" s="4" t="s">
        <v>1065</v>
      </c>
      <c r="C541" s="4" t="s">
        <v>6289</v>
      </c>
      <c r="D541" s="4" t="s">
        <v>5</v>
      </c>
      <c r="E541" s="4" t="s">
        <v>24</v>
      </c>
      <c r="F541" s="4" t="s">
        <v>7</v>
      </c>
      <c r="G541" s="4" t="s">
        <v>8</v>
      </c>
      <c r="H541" s="4" t="s">
        <v>149</v>
      </c>
      <c r="I541" s="5" t="str">
        <f>IFERROR(VLOOKUP(Consulta1[[#This Row],[Pozo largo]],'Lista YPF'!$B$3:$C$358,2,FALSE),"NO")</f>
        <v>NO</v>
      </c>
      <c r="J541" s="5" t="str">
        <f>IFERROR(VLOOKUP(Consulta1[[#This Row],[Pozo]],'Lista Oportunidades'!B:C,2,FALSE),"NO")</f>
        <v>NO</v>
      </c>
      <c r="K541" s="5">
        <f>IFERROR(VLOOKUP(Consulta1[[#This Row],[Pozo largo]],Controles!B:H,7,FALSE),"NO")</f>
        <v>0.21</v>
      </c>
      <c r="L541" s="5">
        <f>IFERROR(VLOOKUP(Consulta1[[#This Row],[Pozo largo]],Controles!B:J,9,FALSE),"NO")</f>
        <v>0</v>
      </c>
    </row>
    <row r="542" spans="2:12" x14ac:dyDescent="0.35">
      <c r="B542" s="4" t="s">
        <v>1067</v>
      </c>
      <c r="C542" s="4" t="s">
        <v>6290</v>
      </c>
      <c r="D542" s="4" t="s">
        <v>5</v>
      </c>
      <c r="E542" s="4" t="s">
        <v>57</v>
      </c>
      <c r="F542" s="4" t="s">
        <v>28</v>
      </c>
      <c r="G542" s="4" t="s">
        <v>5718</v>
      </c>
      <c r="H542" s="4" t="s">
        <v>9</v>
      </c>
      <c r="I542" s="5" t="str">
        <f>IFERROR(VLOOKUP(Consulta1[[#This Row],[Pozo largo]],'Lista YPF'!$B$3:$C$358,2,FALSE),"NO")</f>
        <v>En lista de Abandono</v>
      </c>
      <c r="J542" s="5" t="str">
        <f>IFERROR(VLOOKUP(Consulta1[[#This Row],[Pozo]],'Lista Oportunidades'!B:C,2,FALSE),"NO")</f>
        <v>NO</v>
      </c>
      <c r="K542" s="5">
        <f>IFERROR(VLOOKUP(Consulta1[[#This Row],[Pozo largo]],Controles!B:H,7,FALSE),"NO")</f>
        <v>0</v>
      </c>
      <c r="L542" s="5">
        <f>IFERROR(VLOOKUP(Consulta1[[#This Row],[Pozo largo]],Controles!B:J,9,FALSE),"NO")</f>
        <v>0</v>
      </c>
    </row>
    <row r="543" spans="2:12" x14ac:dyDescent="0.35">
      <c r="B543" s="4" t="s">
        <v>1069</v>
      </c>
      <c r="C543" s="4" t="s">
        <v>6291</v>
      </c>
      <c r="D543" s="4" t="s">
        <v>5</v>
      </c>
      <c r="E543" s="4" t="s">
        <v>57</v>
      </c>
      <c r="F543" s="4" t="s">
        <v>7</v>
      </c>
      <c r="G543" s="4" t="s">
        <v>5718</v>
      </c>
      <c r="H543" s="4" t="s">
        <v>21</v>
      </c>
      <c r="I543" s="5" t="str">
        <f>IFERROR(VLOOKUP(Consulta1[[#This Row],[Pozo largo]],'Lista YPF'!$B$3:$C$358,2,FALSE),"NO")</f>
        <v>En lista de Abandono</v>
      </c>
      <c r="J543" s="5" t="str">
        <f>IFERROR(VLOOKUP(Consulta1[[#This Row],[Pozo]],'Lista Oportunidades'!B:C,2,FALSE),"NO")</f>
        <v>NO</v>
      </c>
      <c r="K543" s="5">
        <f>IFERROR(VLOOKUP(Consulta1[[#This Row],[Pozo largo]],Controles!B:H,7,FALSE),"NO")</f>
        <v>0.32</v>
      </c>
      <c r="L543" s="5">
        <f>IFERROR(VLOOKUP(Consulta1[[#This Row],[Pozo largo]],Controles!B:J,9,FALSE),"NO")</f>
        <v>0</v>
      </c>
    </row>
    <row r="544" spans="2:12" x14ac:dyDescent="0.35">
      <c r="B544" s="4" t="s">
        <v>1071</v>
      </c>
      <c r="C544" s="4" t="s">
        <v>6292</v>
      </c>
      <c r="D544" s="4" t="s">
        <v>5</v>
      </c>
      <c r="E544" s="4" t="s">
        <v>12</v>
      </c>
      <c r="F544" s="4" t="s">
        <v>25</v>
      </c>
      <c r="G544" s="4" t="s">
        <v>13</v>
      </c>
      <c r="H544" s="4" t="s">
        <v>21</v>
      </c>
      <c r="I544" s="5" t="str">
        <f>IFERROR(VLOOKUP(Consulta1[[#This Row],[Pozo largo]],'Lista YPF'!$B$3:$C$358,2,FALSE),"NO")</f>
        <v>NO</v>
      </c>
      <c r="J544" s="5" t="str">
        <f>IFERROR(VLOOKUP(Consulta1[[#This Row],[Pozo]],'Lista Oportunidades'!B:C,2,FALSE),"NO")</f>
        <v>NO</v>
      </c>
      <c r="K544" s="5">
        <f>IFERROR(VLOOKUP(Consulta1[[#This Row],[Pozo largo]],Controles!B:H,7,FALSE),"NO")</f>
        <v>0.14400000000000002</v>
      </c>
      <c r="L544" s="5">
        <f>IFERROR(VLOOKUP(Consulta1[[#This Row],[Pozo largo]],Controles!B:J,9,FALSE),"NO")</f>
        <v>0</v>
      </c>
    </row>
    <row r="545" spans="2:12" x14ac:dyDescent="0.35">
      <c r="B545" s="4" t="s">
        <v>1073</v>
      </c>
      <c r="C545" s="4" t="s">
        <v>6293</v>
      </c>
      <c r="D545" s="4" t="s">
        <v>5</v>
      </c>
      <c r="E545" s="4" t="s">
        <v>30</v>
      </c>
      <c r="F545" s="4" t="s">
        <v>31</v>
      </c>
      <c r="G545" s="4" t="s">
        <v>32</v>
      </c>
      <c r="H545" s="4" t="s">
        <v>254</v>
      </c>
      <c r="I545" s="5" t="str">
        <f>IFERROR(VLOOKUP(Consulta1[[#This Row],[Pozo largo]],'Lista YPF'!$B$3:$C$358,2,FALSE),"NO")</f>
        <v>NO</v>
      </c>
      <c r="J545" s="5" t="str">
        <f>IFERROR(VLOOKUP(Consulta1[[#This Row],[Pozo]],'Lista Oportunidades'!B:C,2,FALSE),"NO")</f>
        <v>NO</v>
      </c>
      <c r="K545" s="5">
        <f>IFERROR(VLOOKUP(Consulta1[[#This Row],[Pozo largo]],Controles!B:H,7,FALSE),"NO")</f>
        <v>1.5880000000000001</v>
      </c>
      <c r="L545" s="5">
        <f>IFERROR(VLOOKUP(Consulta1[[#This Row],[Pozo largo]],Controles!B:J,9,FALSE),"NO")</f>
        <v>0</v>
      </c>
    </row>
    <row r="546" spans="2:12" x14ac:dyDescent="0.35">
      <c r="B546" s="4" t="s">
        <v>1075</v>
      </c>
      <c r="C546" s="4" t="s">
        <v>6294</v>
      </c>
      <c r="D546" s="4" t="s">
        <v>5</v>
      </c>
      <c r="E546" s="4" t="s">
        <v>24</v>
      </c>
      <c r="F546" s="4" t="s">
        <v>31</v>
      </c>
      <c r="G546" s="4" t="s">
        <v>8</v>
      </c>
      <c r="H546" s="4" t="s">
        <v>36</v>
      </c>
      <c r="I546" s="5" t="str">
        <f>IFERROR(VLOOKUP(Consulta1[[#This Row],[Pozo largo]],'Lista YPF'!$B$3:$C$358,2,FALSE),"NO")</f>
        <v>NO</v>
      </c>
      <c r="J546" s="5" t="str">
        <f>IFERROR(VLOOKUP(Consulta1[[#This Row],[Pozo]],'Lista Oportunidades'!B:C,2,FALSE),"NO")</f>
        <v>NO</v>
      </c>
      <c r="K546" s="5">
        <f>IFERROR(VLOOKUP(Consulta1[[#This Row],[Pozo largo]],Controles!B:H,7,FALSE),"NO")</f>
        <v>0.26100000000000001</v>
      </c>
      <c r="L546" s="5">
        <f>IFERROR(VLOOKUP(Consulta1[[#This Row],[Pozo largo]],Controles!B:J,9,FALSE),"NO")</f>
        <v>0</v>
      </c>
    </row>
    <row r="547" spans="2:12" x14ac:dyDescent="0.35">
      <c r="B547" s="4" t="s">
        <v>1077</v>
      </c>
      <c r="C547" s="4" t="s">
        <v>6295</v>
      </c>
      <c r="D547" s="4" t="s">
        <v>5</v>
      </c>
      <c r="E547" s="4" t="s">
        <v>57</v>
      </c>
      <c r="F547" s="4" t="s">
        <v>7</v>
      </c>
      <c r="G547" s="4" t="s">
        <v>5718</v>
      </c>
      <c r="H547" s="4" t="s">
        <v>36</v>
      </c>
      <c r="I547" s="5" t="str">
        <f>IFERROR(VLOOKUP(Consulta1[[#This Row],[Pozo largo]],'Lista YPF'!$B$3:$C$358,2,FALSE),"NO")</f>
        <v>En lista de Abandono</v>
      </c>
      <c r="J547" s="5" t="str">
        <f>IFERROR(VLOOKUP(Consulta1[[#This Row],[Pozo]],'Lista Oportunidades'!B:C,2,FALSE),"NO")</f>
        <v>NO</v>
      </c>
      <c r="K547" s="5">
        <f>IFERROR(VLOOKUP(Consulta1[[#This Row],[Pozo largo]],Controles!B:H,7,FALSE),"NO")</f>
        <v>0.36399999999999999</v>
      </c>
      <c r="L547" s="5">
        <f>IFERROR(VLOOKUP(Consulta1[[#This Row],[Pozo largo]],Controles!B:J,9,FALSE),"NO")</f>
        <v>0</v>
      </c>
    </row>
    <row r="548" spans="2:12" x14ac:dyDescent="0.35">
      <c r="B548" s="4" t="s">
        <v>1079</v>
      </c>
      <c r="C548" s="4" t="s">
        <v>6296</v>
      </c>
      <c r="D548" s="4" t="s">
        <v>5</v>
      </c>
      <c r="E548" s="4" t="s">
        <v>24</v>
      </c>
      <c r="F548" s="4" t="s">
        <v>25</v>
      </c>
      <c r="G548" s="4" t="s">
        <v>11387</v>
      </c>
      <c r="H548" s="4" t="s">
        <v>36</v>
      </c>
      <c r="I548" s="5" t="str">
        <f>IFERROR(VLOOKUP(Consulta1[[#This Row],[Pozo largo]],'Lista YPF'!$B$3:$C$358,2,FALSE),"NO")</f>
        <v>NO</v>
      </c>
      <c r="J548" s="5" t="str">
        <f>IFERROR(VLOOKUP(Consulta1[[#This Row],[Pozo]],'Lista Oportunidades'!B:C,2,FALSE),"NO")</f>
        <v>NO</v>
      </c>
      <c r="K548" s="5">
        <f>IFERROR(VLOOKUP(Consulta1[[#This Row],[Pozo largo]],Controles!B:H,7,FALSE),"NO")</f>
        <v>1.9E-2</v>
      </c>
      <c r="L548" s="5" t="str">
        <f>IFERROR(VLOOKUP(Consulta1[[#This Row],[Pozo largo]],Controles!B:J,9,FALSE),"NO")</f>
        <v>Ultimo Año</v>
      </c>
    </row>
    <row r="549" spans="2:12" x14ac:dyDescent="0.35">
      <c r="B549" s="4" t="s">
        <v>1081</v>
      </c>
      <c r="C549" s="4" t="s">
        <v>6297</v>
      </c>
      <c r="D549" s="4" t="s">
        <v>5</v>
      </c>
      <c r="E549" s="4" t="s">
        <v>24</v>
      </c>
      <c r="F549" s="4" t="s">
        <v>25</v>
      </c>
      <c r="G549" s="4" t="s">
        <v>11387</v>
      </c>
      <c r="H549" s="4" t="s">
        <v>36</v>
      </c>
      <c r="I549" s="5" t="str">
        <f>IFERROR(VLOOKUP(Consulta1[[#This Row],[Pozo largo]],'Lista YPF'!$B$3:$C$358,2,FALSE),"NO")</f>
        <v>NO</v>
      </c>
      <c r="J549" s="5" t="str">
        <f>IFERROR(VLOOKUP(Consulta1[[#This Row],[Pozo]],'Lista Oportunidades'!B:C,2,FALSE),"NO")</f>
        <v>NO</v>
      </c>
      <c r="K549" s="5">
        <f>IFERROR(VLOOKUP(Consulta1[[#This Row],[Pozo largo]],Controles!B:H,7,FALSE),"NO")</f>
        <v>0.01</v>
      </c>
      <c r="L549" s="5" t="str">
        <f>IFERROR(VLOOKUP(Consulta1[[#This Row],[Pozo largo]],Controles!B:J,9,FALSE),"NO")</f>
        <v>Ultimo Año</v>
      </c>
    </row>
    <row r="550" spans="2:12" x14ac:dyDescent="0.35">
      <c r="B550" s="4" t="s">
        <v>1083</v>
      </c>
      <c r="C550" s="4" t="s">
        <v>6298</v>
      </c>
      <c r="D550" s="4" t="s">
        <v>5</v>
      </c>
      <c r="E550" s="4" t="s">
        <v>30</v>
      </c>
      <c r="F550" s="4" t="s">
        <v>31</v>
      </c>
      <c r="G550" s="4" t="s">
        <v>32</v>
      </c>
      <c r="H550" s="4" t="s">
        <v>86</v>
      </c>
      <c r="I550" s="5" t="str">
        <f>IFERROR(VLOOKUP(Consulta1[[#This Row],[Pozo largo]],'Lista YPF'!$B$3:$C$358,2,FALSE),"NO")</f>
        <v>NO</v>
      </c>
      <c r="J550" s="5" t="str">
        <f>IFERROR(VLOOKUP(Consulta1[[#This Row],[Pozo]],'Lista Oportunidades'!B:C,2,FALSE),"NO")</f>
        <v>NO</v>
      </c>
      <c r="K550" s="5">
        <f>IFERROR(VLOOKUP(Consulta1[[#This Row],[Pozo largo]],Controles!B:H,7,FALSE),"NO")</f>
        <v>3.99</v>
      </c>
      <c r="L550" s="5">
        <f>IFERROR(VLOOKUP(Consulta1[[#This Row],[Pozo largo]],Controles!B:J,9,FALSE),"NO")</f>
        <v>0</v>
      </c>
    </row>
    <row r="551" spans="2:12" x14ac:dyDescent="0.35">
      <c r="B551" s="4" t="s">
        <v>1085</v>
      </c>
      <c r="C551" s="4" t="s">
        <v>6299</v>
      </c>
      <c r="D551" s="4" t="s">
        <v>5</v>
      </c>
      <c r="E551" s="4" t="s">
        <v>12</v>
      </c>
      <c r="F551" s="4" t="s">
        <v>83</v>
      </c>
      <c r="G551" s="4" t="s">
        <v>13</v>
      </c>
      <c r="H551" s="4" t="s">
        <v>290</v>
      </c>
      <c r="I551" s="5" t="str">
        <f>IFERROR(VLOOKUP(Consulta1[[#This Row],[Pozo largo]],'Lista YPF'!$B$3:$C$358,2,FALSE),"NO")</f>
        <v>NO</v>
      </c>
      <c r="J551" s="5" t="str">
        <f>IFERROR(VLOOKUP(Consulta1[[#This Row],[Pozo]],'Lista Oportunidades'!B:C,2,FALSE),"NO")</f>
        <v>NO</v>
      </c>
      <c r="K551" s="5">
        <f>IFERROR(VLOOKUP(Consulta1[[#This Row],[Pozo largo]],Controles!B:H,7,FALSE),"NO")</f>
        <v>0.21</v>
      </c>
      <c r="L551" s="5">
        <f>IFERROR(VLOOKUP(Consulta1[[#This Row],[Pozo largo]],Controles!B:J,9,FALSE),"NO")</f>
        <v>0</v>
      </c>
    </row>
    <row r="552" spans="2:12" x14ac:dyDescent="0.35">
      <c r="B552" s="4" t="s">
        <v>1087</v>
      </c>
      <c r="C552" s="4" t="s">
        <v>6300</v>
      </c>
      <c r="D552" s="4" t="s">
        <v>5</v>
      </c>
      <c r="E552" s="4" t="s">
        <v>30</v>
      </c>
      <c r="F552" s="4" t="s">
        <v>31</v>
      </c>
      <c r="G552" s="4" t="s">
        <v>32</v>
      </c>
      <c r="H552" s="4" t="s">
        <v>141</v>
      </c>
      <c r="I552" s="5" t="str">
        <f>IFERROR(VLOOKUP(Consulta1[[#This Row],[Pozo largo]],'Lista YPF'!$B$3:$C$358,2,FALSE),"NO")</f>
        <v>NO</v>
      </c>
      <c r="J552" s="5" t="str">
        <f>IFERROR(VLOOKUP(Consulta1[[#This Row],[Pozo]],'Lista Oportunidades'!B:C,2,FALSE),"NO")</f>
        <v>NO</v>
      </c>
      <c r="K552" s="5" t="str">
        <f>IFERROR(VLOOKUP(Consulta1[[#This Row],[Pozo largo]],Controles!B:H,7,FALSE),"NO")</f>
        <v>NO</v>
      </c>
      <c r="L552" s="5" t="str">
        <f>IFERROR(VLOOKUP(Consulta1[[#This Row],[Pozo largo]],Controles!B:J,9,FALSE),"NO")</f>
        <v>NO</v>
      </c>
    </row>
    <row r="553" spans="2:12" x14ac:dyDescent="0.35">
      <c r="B553" s="4" t="s">
        <v>1088</v>
      </c>
      <c r="C553" s="4" t="s">
        <v>6301</v>
      </c>
      <c r="D553" s="4" t="s">
        <v>5</v>
      </c>
      <c r="E553" s="4" t="s">
        <v>12</v>
      </c>
      <c r="F553" s="4" t="s">
        <v>7</v>
      </c>
      <c r="G553" s="4" t="s">
        <v>13</v>
      </c>
      <c r="H553" s="4" t="s">
        <v>71</v>
      </c>
      <c r="I553" s="5" t="str">
        <f>IFERROR(VLOOKUP(Consulta1[[#This Row],[Pozo largo]],'Lista YPF'!$B$3:$C$358,2,FALSE),"NO")</f>
        <v>NO</v>
      </c>
      <c r="J553" s="5" t="str">
        <f>IFERROR(VLOOKUP(Consulta1[[#This Row],[Pozo]],'Lista Oportunidades'!B:C,2,FALSE),"NO")</f>
        <v>NO</v>
      </c>
      <c r="K553" s="5">
        <f>IFERROR(VLOOKUP(Consulta1[[#This Row],[Pozo largo]],Controles!B:H,7,FALSE),"NO")</f>
        <v>2.2549999999999999</v>
      </c>
      <c r="L553" s="5">
        <f>IFERROR(VLOOKUP(Consulta1[[#This Row],[Pozo largo]],Controles!B:J,9,FALSE),"NO")</f>
        <v>0</v>
      </c>
    </row>
    <row r="554" spans="2:12" x14ac:dyDescent="0.35">
      <c r="B554" s="4" t="s">
        <v>1090</v>
      </c>
      <c r="C554" s="4" t="s">
        <v>6302</v>
      </c>
      <c r="D554" s="4" t="s">
        <v>5</v>
      </c>
      <c r="E554" s="4" t="s">
        <v>30</v>
      </c>
      <c r="F554" s="4" t="s">
        <v>31</v>
      </c>
      <c r="G554" s="4" t="s">
        <v>32</v>
      </c>
      <c r="H554" s="4" t="s">
        <v>80</v>
      </c>
      <c r="I554" s="5" t="str">
        <f>IFERROR(VLOOKUP(Consulta1[[#This Row],[Pozo largo]],'Lista YPF'!$B$3:$C$358,2,FALSE),"NO")</f>
        <v>NO</v>
      </c>
      <c r="J554" s="5" t="str">
        <f>IFERROR(VLOOKUP(Consulta1[[#This Row],[Pozo]],'Lista Oportunidades'!B:C,2,FALSE),"NO")</f>
        <v>NO</v>
      </c>
      <c r="K554" s="5" t="str">
        <f>IFERROR(VLOOKUP(Consulta1[[#This Row],[Pozo largo]],Controles!B:H,7,FALSE),"NO")</f>
        <v>NO</v>
      </c>
      <c r="L554" s="5" t="str">
        <f>IFERROR(VLOOKUP(Consulta1[[#This Row],[Pozo largo]],Controles!B:J,9,FALSE),"NO")</f>
        <v>NO</v>
      </c>
    </row>
    <row r="555" spans="2:12" x14ac:dyDescent="0.35">
      <c r="B555" s="4" t="s">
        <v>1091</v>
      </c>
      <c r="C555" s="4" t="s">
        <v>6303</v>
      </c>
      <c r="D555" s="4" t="s">
        <v>5</v>
      </c>
      <c r="E555" s="4" t="s">
        <v>12</v>
      </c>
      <c r="F555" s="4" t="s">
        <v>7</v>
      </c>
      <c r="G555" s="4" t="s">
        <v>13</v>
      </c>
      <c r="H555" s="4" t="s">
        <v>86</v>
      </c>
      <c r="I555" s="5" t="str">
        <f>IFERROR(VLOOKUP(Consulta1[[#This Row],[Pozo largo]],'Lista YPF'!$B$3:$C$358,2,FALSE),"NO")</f>
        <v>NO</v>
      </c>
      <c r="J555" s="5" t="str">
        <f>IFERROR(VLOOKUP(Consulta1[[#This Row],[Pozo]],'Lista Oportunidades'!B:C,2,FALSE),"NO")</f>
        <v>NO</v>
      </c>
      <c r="K555" s="5">
        <f>IFERROR(VLOOKUP(Consulta1[[#This Row],[Pozo largo]],Controles!B:H,7,FALSE),"NO")</f>
        <v>0.3</v>
      </c>
      <c r="L555" s="5">
        <f>IFERROR(VLOOKUP(Consulta1[[#This Row],[Pozo largo]],Controles!B:J,9,FALSE),"NO")</f>
        <v>0</v>
      </c>
    </row>
    <row r="556" spans="2:12" x14ac:dyDescent="0.35">
      <c r="B556" s="4" t="s">
        <v>1093</v>
      </c>
      <c r="C556" s="4" t="s">
        <v>6304</v>
      </c>
      <c r="D556" s="4" t="s">
        <v>5</v>
      </c>
      <c r="E556" s="4" t="s">
        <v>30</v>
      </c>
      <c r="F556" s="4" t="s">
        <v>31</v>
      </c>
      <c r="G556" s="4" t="s">
        <v>32</v>
      </c>
      <c r="H556" s="4" t="s">
        <v>86</v>
      </c>
      <c r="I556" s="5" t="str">
        <f>IFERROR(VLOOKUP(Consulta1[[#This Row],[Pozo largo]],'Lista YPF'!$B$3:$C$358,2,FALSE),"NO")</f>
        <v>NO</v>
      </c>
      <c r="J556" s="5" t="str">
        <f>IFERROR(VLOOKUP(Consulta1[[#This Row],[Pozo]],'Lista Oportunidades'!B:C,2,FALSE),"NO")</f>
        <v>NO</v>
      </c>
      <c r="K556" s="5" t="str">
        <f>IFERROR(VLOOKUP(Consulta1[[#This Row],[Pozo largo]],Controles!B:H,7,FALSE),"NO")</f>
        <v>NO</v>
      </c>
      <c r="L556" s="5" t="str">
        <f>IFERROR(VLOOKUP(Consulta1[[#This Row],[Pozo largo]],Controles!B:J,9,FALSE),"NO")</f>
        <v>NO</v>
      </c>
    </row>
    <row r="557" spans="2:12" x14ac:dyDescent="0.35">
      <c r="B557" s="4" t="s">
        <v>1094</v>
      </c>
      <c r="C557" s="4" t="s">
        <v>6305</v>
      </c>
      <c r="D557" s="4" t="s">
        <v>5</v>
      </c>
      <c r="E557" s="4" t="s">
        <v>30</v>
      </c>
      <c r="F557" s="4" t="s">
        <v>31</v>
      </c>
      <c r="G557" s="4" t="s">
        <v>32</v>
      </c>
      <c r="H557" s="4" t="s">
        <v>185</v>
      </c>
      <c r="I557" s="5" t="str">
        <f>IFERROR(VLOOKUP(Consulta1[[#This Row],[Pozo largo]],'Lista YPF'!$B$3:$C$358,2,FALSE),"NO")</f>
        <v>NO</v>
      </c>
      <c r="J557" s="5" t="str">
        <f>IFERROR(VLOOKUP(Consulta1[[#This Row],[Pozo]],'Lista Oportunidades'!B:C,2,FALSE),"NO")</f>
        <v>NO</v>
      </c>
      <c r="K557" s="5" t="str">
        <f>IFERROR(VLOOKUP(Consulta1[[#This Row],[Pozo largo]],Controles!B:H,7,FALSE),"NO")</f>
        <v>NO</v>
      </c>
      <c r="L557" s="5" t="str">
        <f>IFERROR(VLOOKUP(Consulta1[[#This Row],[Pozo largo]],Controles!B:J,9,FALSE),"NO")</f>
        <v>NO</v>
      </c>
    </row>
    <row r="558" spans="2:12" x14ac:dyDescent="0.35">
      <c r="B558" s="4" t="s">
        <v>1095</v>
      </c>
      <c r="C558" s="4" t="s">
        <v>6306</v>
      </c>
      <c r="D558" s="4" t="s">
        <v>5</v>
      </c>
      <c r="E558" s="4" t="s">
        <v>156</v>
      </c>
      <c r="F558" s="4" t="s">
        <v>31</v>
      </c>
      <c r="G558" s="4" t="s">
        <v>157</v>
      </c>
      <c r="H558" s="4" t="s">
        <v>71</v>
      </c>
      <c r="I558" s="5" t="str">
        <f>IFERROR(VLOOKUP(Consulta1[[#This Row],[Pozo largo]],'Lista YPF'!$B$3:$C$358,2,FALSE),"NO")</f>
        <v>NO</v>
      </c>
      <c r="J558" s="5" t="str">
        <f>IFERROR(VLOOKUP(Consulta1[[#This Row],[Pozo]],'Lista Oportunidades'!B:C,2,FALSE),"NO")</f>
        <v>NO</v>
      </c>
      <c r="K558" s="5" t="str">
        <f>IFERROR(VLOOKUP(Consulta1[[#This Row],[Pozo largo]],Controles!B:H,7,FALSE),"NO")</f>
        <v>NO</v>
      </c>
      <c r="L558" s="5" t="str">
        <f>IFERROR(VLOOKUP(Consulta1[[#This Row],[Pozo largo]],Controles!B:J,9,FALSE),"NO")</f>
        <v>NO</v>
      </c>
    </row>
    <row r="559" spans="2:12" x14ac:dyDescent="0.35">
      <c r="B559" s="4" t="s">
        <v>1096</v>
      </c>
      <c r="C559" s="4" t="s">
        <v>6307</v>
      </c>
      <c r="D559" s="4" t="s">
        <v>5</v>
      </c>
      <c r="E559" s="4" t="s">
        <v>12</v>
      </c>
      <c r="F559" s="4" t="s">
        <v>7</v>
      </c>
      <c r="G559" s="4" t="s">
        <v>13</v>
      </c>
      <c r="H559" s="4" t="s">
        <v>21</v>
      </c>
      <c r="I559" s="5" t="str">
        <f>IFERROR(VLOOKUP(Consulta1[[#This Row],[Pozo largo]],'Lista YPF'!$B$3:$C$358,2,FALSE),"NO")</f>
        <v>NO</v>
      </c>
      <c r="J559" s="5" t="str">
        <f>IFERROR(VLOOKUP(Consulta1[[#This Row],[Pozo]],'Lista Oportunidades'!B:C,2,FALSE),"NO")</f>
        <v>NO</v>
      </c>
      <c r="K559" s="5">
        <f>IFERROR(VLOOKUP(Consulta1[[#This Row],[Pozo largo]],Controles!B:H,7,FALSE),"NO")</f>
        <v>0.3</v>
      </c>
      <c r="L559" s="5">
        <f>IFERROR(VLOOKUP(Consulta1[[#This Row],[Pozo largo]],Controles!B:J,9,FALSE),"NO")</f>
        <v>0</v>
      </c>
    </row>
    <row r="560" spans="2:12" x14ac:dyDescent="0.35">
      <c r="B560" s="4" t="s">
        <v>1098</v>
      </c>
      <c r="C560" s="4" t="s">
        <v>6308</v>
      </c>
      <c r="D560" s="4" t="s">
        <v>5</v>
      </c>
      <c r="E560" s="4" t="s">
        <v>24</v>
      </c>
      <c r="F560" s="4" t="s">
        <v>31</v>
      </c>
      <c r="G560" s="4" t="s">
        <v>8</v>
      </c>
      <c r="H560" s="4" t="s">
        <v>21</v>
      </c>
      <c r="I560" s="5" t="str">
        <f>IFERROR(VLOOKUP(Consulta1[[#This Row],[Pozo largo]],'Lista YPF'!$B$3:$C$358,2,FALSE),"NO")</f>
        <v>NO</v>
      </c>
      <c r="J560" s="5" t="str">
        <f>IFERROR(VLOOKUP(Consulta1[[#This Row],[Pozo]],'Lista Oportunidades'!B:C,2,FALSE),"NO")</f>
        <v>NO</v>
      </c>
      <c r="K560" s="5">
        <f>IFERROR(VLOOKUP(Consulta1[[#This Row],[Pozo largo]],Controles!B:H,7,FALSE),"NO")</f>
        <v>0.46</v>
      </c>
      <c r="L560" s="5">
        <f>IFERROR(VLOOKUP(Consulta1[[#This Row],[Pozo largo]],Controles!B:J,9,FALSE),"NO")</f>
        <v>0</v>
      </c>
    </row>
    <row r="561" spans="2:12" x14ac:dyDescent="0.35">
      <c r="B561" s="4" t="s">
        <v>1100</v>
      </c>
      <c r="C561" s="4" t="s">
        <v>6309</v>
      </c>
      <c r="D561" s="4" t="s">
        <v>5</v>
      </c>
      <c r="E561" s="4" t="s">
        <v>12</v>
      </c>
      <c r="F561" s="4" t="s">
        <v>7</v>
      </c>
      <c r="G561" s="4" t="s">
        <v>13</v>
      </c>
      <c r="H561" s="4" t="s">
        <v>185</v>
      </c>
      <c r="I561" s="5" t="str">
        <f>IFERROR(VLOOKUP(Consulta1[[#This Row],[Pozo largo]],'Lista YPF'!$B$3:$C$358,2,FALSE),"NO")</f>
        <v>NO</v>
      </c>
      <c r="J561" s="5" t="str">
        <f>IFERROR(VLOOKUP(Consulta1[[#This Row],[Pozo]],'Lista Oportunidades'!B:C,2,FALSE),"NO")</f>
        <v>NO</v>
      </c>
      <c r="K561" s="5">
        <f>IFERROR(VLOOKUP(Consulta1[[#This Row],[Pozo largo]],Controles!B:H,7,FALSE),"NO")</f>
        <v>0.82500000000000007</v>
      </c>
      <c r="L561" s="5">
        <f>IFERROR(VLOOKUP(Consulta1[[#This Row],[Pozo largo]],Controles!B:J,9,FALSE),"NO")</f>
        <v>0</v>
      </c>
    </row>
    <row r="562" spans="2:12" x14ac:dyDescent="0.35">
      <c r="B562" s="4" t="s">
        <v>1102</v>
      </c>
      <c r="C562" s="4" t="s">
        <v>6310</v>
      </c>
      <c r="D562" s="4" t="s">
        <v>5</v>
      </c>
      <c r="E562" s="4" t="s">
        <v>12</v>
      </c>
      <c r="F562" s="4" t="s">
        <v>7</v>
      </c>
      <c r="G562" s="4" t="s">
        <v>13</v>
      </c>
      <c r="H562" s="4" t="s">
        <v>80</v>
      </c>
      <c r="I562" s="5" t="str">
        <f>IFERROR(VLOOKUP(Consulta1[[#This Row],[Pozo largo]],'Lista YPF'!$B$3:$C$358,2,FALSE),"NO")</f>
        <v>NO</v>
      </c>
      <c r="J562" s="5" t="str">
        <f>IFERROR(VLOOKUP(Consulta1[[#This Row],[Pozo]],'Lista Oportunidades'!B:C,2,FALSE),"NO")</f>
        <v>NO</v>
      </c>
      <c r="K562" s="5">
        <f>IFERROR(VLOOKUP(Consulta1[[#This Row],[Pozo largo]],Controles!B:H,7,FALSE),"NO")</f>
        <v>0.98</v>
      </c>
      <c r="L562" s="5">
        <f>IFERROR(VLOOKUP(Consulta1[[#This Row],[Pozo largo]],Controles!B:J,9,FALSE),"NO")</f>
        <v>0</v>
      </c>
    </row>
    <row r="563" spans="2:12" x14ac:dyDescent="0.35">
      <c r="B563" s="4" t="s">
        <v>1104</v>
      </c>
      <c r="C563" s="4" t="s">
        <v>6311</v>
      </c>
      <c r="D563" s="4" t="s">
        <v>5</v>
      </c>
      <c r="E563" s="4" t="s">
        <v>30</v>
      </c>
      <c r="F563" s="4" t="s">
        <v>31</v>
      </c>
      <c r="G563" s="4" t="s">
        <v>32</v>
      </c>
      <c r="H563" s="4" t="s">
        <v>80</v>
      </c>
      <c r="I563" s="5" t="str">
        <f>IFERROR(VLOOKUP(Consulta1[[#This Row],[Pozo largo]],'Lista YPF'!$B$3:$C$358,2,FALSE),"NO")</f>
        <v>NO</v>
      </c>
      <c r="J563" s="5" t="str">
        <f>IFERROR(VLOOKUP(Consulta1[[#This Row],[Pozo]],'Lista Oportunidades'!B:C,2,FALSE),"NO")</f>
        <v>NO</v>
      </c>
      <c r="K563" s="5">
        <f>IFERROR(VLOOKUP(Consulta1[[#This Row],[Pozo largo]],Controles!B:H,7,FALSE),"NO")</f>
        <v>0.42</v>
      </c>
      <c r="L563" s="5">
        <f>IFERROR(VLOOKUP(Consulta1[[#This Row],[Pozo largo]],Controles!B:J,9,FALSE),"NO")</f>
        <v>0</v>
      </c>
    </row>
    <row r="564" spans="2:12" x14ac:dyDescent="0.35">
      <c r="B564" s="4" t="s">
        <v>1106</v>
      </c>
      <c r="C564" s="4" t="s">
        <v>6312</v>
      </c>
      <c r="D564" s="4" t="s">
        <v>5</v>
      </c>
      <c r="E564" s="4" t="s">
        <v>12</v>
      </c>
      <c r="F564" s="4" t="s">
        <v>7</v>
      </c>
      <c r="G564" s="4" t="s">
        <v>13</v>
      </c>
      <c r="H564" s="4" t="s">
        <v>86</v>
      </c>
      <c r="I564" s="5" t="str">
        <f>IFERROR(VLOOKUP(Consulta1[[#This Row],[Pozo largo]],'Lista YPF'!$B$3:$C$358,2,FALSE),"NO")</f>
        <v>NO</v>
      </c>
      <c r="J564" s="5" t="str">
        <f>IFERROR(VLOOKUP(Consulta1[[#This Row],[Pozo]],'Lista Oportunidades'!B:C,2,FALSE),"NO")</f>
        <v>NO</v>
      </c>
      <c r="K564" s="5">
        <f>IFERROR(VLOOKUP(Consulta1[[#This Row],[Pozo largo]],Controles!B:H,7,FALSE),"NO")</f>
        <v>0.5</v>
      </c>
      <c r="L564" s="5">
        <f>IFERROR(VLOOKUP(Consulta1[[#This Row],[Pozo largo]],Controles!B:J,9,FALSE),"NO")</f>
        <v>0</v>
      </c>
    </row>
    <row r="565" spans="2:12" x14ac:dyDescent="0.35">
      <c r="B565" s="4" t="s">
        <v>1108</v>
      </c>
      <c r="C565" s="4" t="s">
        <v>6313</v>
      </c>
      <c r="D565" s="4" t="s">
        <v>5</v>
      </c>
      <c r="E565" s="4" t="s">
        <v>24</v>
      </c>
      <c r="F565" s="4" t="s">
        <v>7</v>
      </c>
      <c r="G565" s="4" t="s">
        <v>8</v>
      </c>
      <c r="H565" s="4" t="s">
        <v>74</v>
      </c>
      <c r="I565" s="5" t="str">
        <f>IFERROR(VLOOKUP(Consulta1[[#This Row],[Pozo largo]],'Lista YPF'!$B$3:$C$358,2,FALSE),"NO")</f>
        <v>NO</v>
      </c>
      <c r="J565" s="5" t="str">
        <f>IFERROR(VLOOKUP(Consulta1[[#This Row],[Pozo]],'Lista Oportunidades'!B:C,2,FALSE),"NO")</f>
        <v>NO</v>
      </c>
      <c r="K565" s="5">
        <f>IFERROR(VLOOKUP(Consulta1[[#This Row],[Pozo largo]],Controles!B:H,7,FALSE),"NO")</f>
        <v>0.21</v>
      </c>
      <c r="L565" s="5">
        <f>IFERROR(VLOOKUP(Consulta1[[#This Row],[Pozo largo]],Controles!B:J,9,FALSE),"NO")</f>
        <v>0</v>
      </c>
    </row>
    <row r="566" spans="2:12" x14ac:dyDescent="0.35">
      <c r="B566" s="4" t="s">
        <v>1110</v>
      </c>
      <c r="C566" s="4" t="s">
        <v>6314</v>
      </c>
      <c r="D566" s="4" t="s">
        <v>5</v>
      </c>
      <c r="E566" s="4" t="s">
        <v>6</v>
      </c>
      <c r="F566" s="4" t="s">
        <v>28</v>
      </c>
      <c r="G566" s="4" t="s">
        <v>5718</v>
      </c>
      <c r="H566" s="4" t="s">
        <v>185</v>
      </c>
      <c r="I566" s="5" t="str">
        <f>IFERROR(VLOOKUP(Consulta1[[#This Row],[Pozo largo]],'Lista YPF'!$B$3:$C$358,2,FALSE),"NO")</f>
        <v>En lista de Abandono</v>
      </c>
      <c r="J566" s="5" t="str">
        <f>IFERROR(VLOOKUP(Consulta1[[#This Row],[Pozo]],'Lista Oportunidades'!B:C,2,FALSE),"NO")</f>
        <v>NO</v>
      </c>
      <c r="K566" s="5">
        <f>IFERROR(VLOOKUP(Consulta1[[#This Row],[Pozo largo]],Controles!B:H,7,FALSE),"NO")</f>
        <v>0</v>
      </c>
      <c r="L566" s="5">
        <f>IFERROR(VLOOKUP(Consulta1[[#This Row],[Pozo largo]],Controles!B:J,9,FALSE),"NO")</f>
        <v>0</v>
      </c>
    </row>
    <row r="567" spans="2:12" x14ac:dyDescent="0.35">
      <c r="B567" s="4" t="s">
        <v>1112</v>
      </c>
      <c r="C567" s="4" t="s">
        <v>6315</v>
      </c>
      <c r="D567" s="4" t="s">
        <v>5</v>
      </c>
      <c r="E567" s="4" t="s">
        <v>12</v>
      </c>
      <c r="F567" s="4" t="s">
        <v>1114</v>
      </c>
      <c r="G567" s="4" t="s">
        <v>13</v>
      </c>
      <c r="H567" s="4" t="s">
        <v>86</v>
      </c>
      <c r="I567" s="5" t="str">
        <f>IFERROR(VLOOKUP(Consulta1[[#This Row],[Pozo largo]],'Lista YPF'!$B$3:$C$358,2,FALSE),"NO")</f>
        <v>NO</v>
      </c>
      <c r="J567" s="5" t="str">
        <f>IFERROR(VLOOKUP(Consulta1[[#This Row],[Pozo]],'Lista Oportunidades'!B:C,2,FALSE),"NO")</f>
        <v>NO</v>
      </c>
      <c r="K567" s="5">
        <f>IFERROR(VLOOKUP(Consulta1[[#This Row],[Pozo largo]],Controles!B:H,7,FALSE),"NO")</f>
        <v>1.1500000000000001</v>
      </c>
      <c r="L567" s="5">
        <f>IFERROR(VLOOKUP(Consulta1[[#This Row],[Pozo largo]],Controles!B:J,9,FALSE),"NO")</f>
        <v>0</v>
      </c>
    </row>
    <row r="568" spans="2:12" x14ac:dyDescent="0.35">
      <c r="B568" s="4" t="s">
        <v>1115</v>
      </c>
      <c r="C568" s="4" t="s">
        <v>6316</v>
      </c>
      <c r="D568" s="4" t="s">
        <v>5</v>
      </c>
      <c r="E568" s="4" t="s">
        <v>57</v>
      </c>
      <c r="F568" s="4" t="s">
        <v>25</v>
      </c>
      <c r="G568" s="4" t="s">
        <v>8689</v>
      </c>
      <c r="H568" s="4" t="s">
        <v>21</v>
      </c>
      <c r="I568" s="5" t="str">
        <f>IFERROR(VLOOKUP(Consulta1[[#This Row],[Pozo largo]],'Lista YPF'!$B$3:$C$358,2,FALSE),"NO")</f>
        <v>NO</v>
      </c>
      <c r="J568" s="5" t="str">
        <f>IFERROR(VLOOKUP(Consulta1[[#This Row],[Pozo]],'Lista Oportunidades'!B:C,2,FALSE),"NO")</f>
        <v>Oportunidad</v>
      </c>
      <c r="K568" s="5">
        <f>IFERROR(VLOOKUP(Consulta1[[#This Row],[Pozo largo]],Controles!B:H,7,FALSE),"NO")</f>
        <v>0.17200000000000001</v>
      </c>
      <c r="L568" s="5">
        <f>IFERROR(VLOOKUP(Consulta1[[#This Row],[Pozo largo]],Controles!B:J,9,FALSE),"NO")</f>
        <v>0</v>
      </c>
    </row>
    <row r="569" spans="2:12" x14ac:dyDescent="0.35">
      <c r="B569" s="4" t="s">
        <v>1117</v>
      </c>
      <c r="C569" s="4" t="s">
        <v>6317</v>
      </c>
      <c r="D569" s="4" t="s">
        <v>5</v>
      </c>
      <c r="E569" s="4" t="s">
        <v>12</v>
      </c>
      <c r="F569" s="4" t="s">
        <v>7</v>
      </c>
      <c r="G569" s="4" t="s">
        <v>13</v>
      </c>
      <c r="H569" s="4" t="s">
        <v>74</v>
      </c>
      <c r="I569" s="5" t="str">
        <f>IFERROR(VLOOKUP(Consulta1[[#This Row],[Pozo largo]],'Lista YPF'!$B$3:$C$358,2,FALSE),"NO")</f>
        <v>NO</v>
      </c>
      <c r="J569" s="5" t="str">
        <f>IFERROR(VLOOKUP(Consulta1[[#This Row],[Pozo]],'Lista Oportunidades'!B:C,2,FALSE),"NO")</f>
        <v>NO</v>
      </c>
      <c r="K569" s="5">
        <f>IFERROR(VLOOKUP(Consulta1[[#This Row],[Pozo largo]],Controles!B:H,7,FALSE),"NO")</f>
        <v>1.95</v>
      </c>
      <c r="L569" s="5">
        <f>IFERROR(VLOOKUP(Consulta1[[#This Row],[Pozo largo]],Controles!B:J,9,FALSE),"NO")</f>
        <v>0</v>
      </c>
    </row>
    <row r="570" spans="2:12" x14ac:dyDescent="0.35">
      <c r="B570" s="4" t="s">
        <v>1119</v>
      </c>
      <c r="C570" s="4" t="s">
        <v>6318</v>
      </c>
      <c r="D570" s="4" t="s">
        <v>5</v>
      </c>
      <c r="E570" s="4" t="s">
        <v>12</v>
      </c>
      <c r="F570" s="4" t="s">
        <v>7</v>
      </c>
      <c r="G570" s="4" t="s">
        <v>13</v>
      </c>
      <c r="H570" s="4" t="s">
        <v>91</v>
      </c>
      <c r="I570" s="5" t="str">
        <f>IFERROR(VLOOKUP(Consulta1[[#This Row],[Pozo largo]],'Lista YPF'!$B$3:$C$358,2,FALSE),"NO")</f>
        <v>NO</v>
      </c>
      <c r="J570" s="5" t="str">
        <f>IFERROR(VLOOKUP(Consulta1[[#This Row],[Pozo]],'Lista Oportunidades'!B:C,2,FALSE),"NO")</f>
        <v>NO</v>
      </c>
      <c r="K570" s="5">
        <f>IFERROR(VLOOKUP(Consulta1[[#This Row],[Pozo largo]],Controles!B:H,7,FALSE),"NO")</f>
        <v>0.8</v>
      </c>
      <c r="L570" s="5">
        <f>IFERROR(VLOOKUP(Consulta1[[#This Row],[Pozo largo]],Controles!B:J,9,FALSE),"NO")</f>
        <v>0</v>
      </c>
    </row>
    <row r="571" spans="2:12" x14ac:dyDescent="0.35">
      <c r="B571" s="4" t="s">
        <v>1121</v>
      </c>
      <c r="C571" s="4" t="s">
        <v>6319</v>
      </c>
      <c r="D571" s="4" t="s">
        <v>5</v>
      </c>
      <c r="E571" s="4" t="s">
        <v>12</v>
      </c>
      <c r="F571" s="4" t="s">
        <v>7</v>
      </c>
      <c r="G571" s="4" t="s">
        <v>13</v>
      </c>
      <c r="H571" s="4" t="s">
        <v>185</v>
      </c>
      <c r="I571" s="5" t="str">
        <f>IFERROR(VLOOKUP(Consulta1[[#This Row],[Pozo largo]],'Lista YPF'!$B$3:$C$358,2,FALSE),"NO")</f>
        <v>NO</v>
      </c>
      <c r="J571" s="5" t="str">
        <f>IFERROR(VLOOKUP(Consulta1[[#This Row],[Pozo]],'Lista Oportunidades'!B:C,2,FALSE),"NO")</f>
        <v>NO</v>
      </c>
      <c r="K571" s="5">
        <f>IFERROR(VLOOKUP(Consulta1[[#This Row],[Pozo largo]],Controles!B:H,7,FALSE),"NO")</f>
        <v>1.04</v>
      </c>
      <c r="L571" s="5">
        <f>IFERROR(VLOOKUP(Consulta1[[#This Row],[Pozo largo]],Controles!B:J,9,FALSE),"NO")</f>
        <v>0</v>
      </c>
    </row>
    <row r="572" spans="2:12" x14ac:dyDescent="0.35">
      <c r="B572" s="4" t="s">
        <v>1123</v>
      </c>
      <c r="C572" s="4" t="s">
        <v>6320</v>
      </c>
      <c r="D572" s="4" t="s">
        <v>5</v>
      </c>
      <c r="E572" s="4" t="s">
        <v>12</v>
      </c>
      <c r="F572" s="4" t="s">
        <v>7</v>
      </c>
      <c r="G572" s="4" t="s">
        <v>13</v>
      </c>
      <c r="H572" s="4" t="s">
        <v>80</v>
      </c>
      <c r="I572" s="5" t="str">
        <f>IFERROR(VLOOKUP(Consulta1[[#This Row],[Pozo largo]],'Lista YPF'!$B$3:$C$358,2,FALSE),"NO")</f>
        <v>NO</v>
      </c>
      <c r="J572" s="5" t="str">
        <f>IFERROR(VLOOKUP(Consulta1[[#This Row],[Pozo]],'Lista Oportunidades'!B:C,2,FALSE),"NO")</f>
        <v>NO</v>
      </c>
      <c r="K572" s="5">
        <f>IFERROR(VLOOKUP(Consulta1[[#This Row],[Pozo largo]],Controles!B:H,7,FALSE),"NO")</f>
        <v>0.10500000000000001</v>
      </c>
      <c r="L572" s="5">
        <f>IFERROR(VLOOKUP(Consulta1[[#This Row],[Pozo largo]],Controles!B:J,9,FALSE),"NO")</f>
        <v>0</v>
      </c>
    </row>
    <row r="573" spans="2:12" x14ac:dyDescent="0.35">
      <c r="B573" s="4" t="s">
        <v>1125</v>
      </c>
      <c r="C573" s="4" t="s">
        <v>6321</v>
      </c>
      <c r="D573" s="4" t="s">
        <v>5</v>
      </c>
      <c r="E573" s="4" t="s">
        <v>24</v>
      </c>
      <c r="F573" s="4" t="s">
        <v>7</v>
      </c>
      <c r="G573" s="4" t="s">
        <v>8</v>
      </c>
      <c r="H573" s="4" t="s">
        <v>86</v>
      </c>
      <c r="I573" s="5" t="str">
        <f>IFERROR(VLOOKUP(Consulta1[[#This Row],[Pozo largo]],'Lista YPF'!$B$3:$C$358,2,FALSE),"NO")</f>
        <v>NO</v>
      </c>
      <c r="J573" s="5" t="str">
        <f>IFERROR(VLOOKUP(Consulta1[[#This Row],[Pozo]],'Lista Oportunidades'!B:C,2,FALSE),"NO")</f>
        <v>NO</v>
      </c>
      <c r="K573" s="5">
        <f>IFERROR(VLOOKUP(Consulta1[[#This Row],[Pozo largo]],Controles!B:H,7,FALSE),"NO")</f>
        <v>0.55500000000000005</v>
      </c>
      <c r="L573" s="5">
        <f>IFERROR(VLOOKUP(Consulta1[[#This Row],[Pozo largo]],Controles!B:J,9,FALSE),"NO")</f>
        <v>0</v>
      </c>
    </row>
    <row r="574" spans="2:12" x14ac:dyDescent="0.35">
      <c r="B574" s="4" t="s">
        <v>1127</v>
      </c>
      <c r="C574" s="4" t="s">
        <v>6322</v>
      </c>
      <c r="D574" s="4" t="s">
        <v>5</v>
      </c>
      <c r="E574" s="4" t="s">
        <v>194</v>
      </c>
      <c r="F574" s="4" t="s">
        <v>7</v>
      </c>
      <c r="G574" s="4" t="s">
        <v>5718</v>
      </c>
      <c r="H574" s="4" t="s">
        <v>21</v>
      </c>
      <c r="I574" s="5" t="str">
        <f>IFERROR(VLOOKUP(Consulta1[[#This Row],[Pozo largo]],'Lista YPF'!$B$3:$C$358,2,FALSE),"NO")</f>
        <v>En lista de Abandono</v>
      </c>
      <c r="J574" s="5" t="str">
        <f>IFERROR(VLOOKUP(Consulta1[[#This Row],[Pozo]],'Lista Oportunidades'!B:C,2,FALSE),"NO")</f>
        <v>NO</v>
      </c>
      <c r="K574" s="5">
        <f>IFERROR(VLOOKUP(Consulta1[[#This Row],[Pozo largo]],Controles!B:H,7,FALSE),"NO")</f>
        <v>9.0999999999999998E-2</v>
      </c>
      <c r="L574" s="5">
        <f>IFERROR(VLOOKUP(Consulta1[[#This Row],[Pozo largo]],Controles!B:J,9,FALSE),"NO")</f>
        <v>0</v>
      </c>
    </row>
    <row r="575" spans="2:12" x14ac:dyDescent="0.35">
      <c r="B575" s="4" t="s">
        <v>1129</v>
      </c>
      <c r="C575" s="4" t="s">
        <v>6323</v>
      </c>
      <c r="D575" s="4" t="s">
        <v>5</v>
      </c>
      <c r="E575" s="4" t="s">
        <v>12</v>
      </c>
      <c r="F575" s="4" t="s">
        <v>238</v>
      </c>
      <c r="G575" s="4" t="s">
        <v>13</v>
      </c>
      <c r="H575" s="4" t="s">
        <v>21</v>
      </c>
      <c r="I575" s="5" t="str">
        <f>IFERROR(VLOOKUP(Consulta1[[#This Row],[Pozo largo]],'Lista YPF'!$B$3:$C$358,2,FALSE),"NO")</f>
        <v>NO</v>
      </c>
      <c r="J575" s="5" t="str">
        <f>IFERROR(VLOOKUP(Consulta1[[#This Row],[Pozo]],'Lista Oportunidades'!B:C,2,FALSE),"NO")</f>
        <v>NO</v>
      </c>
      <c r="K575" s="5">
        <f>IFERROR(VLOOKUP(Consulta1[[#This Row],[Pozo largo]],Controles!B:H,7,FALSE),"NO")</f>
        <v>2.6</v>
      </c>
      <c r="L575" s="5">
        <f>IFERROR(VLOOKUP(Consulta1[[#This Row],[Pozo largo]],Controles!B:J,9,FALSE),"NO")</f>
        <v>0</v>
      </c>
    </row>
    <row r="576" spans="2:12" x14ac:dyDescent="0.35">
      <c r="B576" s="4" t="s">
        <v>1131</v>
      </c>
      <c r="C576" s="4" t="s">
        <v>6324</v>
      </c>
      <c r="D576" s="4" t="s">
        <v>5</v>
      </c>
      <c r="E576" s="4" t="s">
        <v>12</v>
      </c>
      <c r="F576" s="4" t="s">
        <v>28</v>
      </c>
      <c r="G576" s="4" t="s">
        <v>13</v>
      </c>
      <c r="H576" s="4" t="s">
        <v>9</v>
      </c>
      <c r="I576" s="5" t="str">
        <f>IFERROR(VLOOKUP(Consulta1[[#This Row],[Pozo largo]],'Lista YPF'!$B$3:$C$358,2,FALSE),"NO")</f>
        <v>NO</v>
      </c>
      <c r="J576" s="5" t="str">
        <f>IFERROR(VLOOKUP(Consulta1[[#This Row],[Pozo]],'Lista Oportunidades'!B:C,2,FALSE),"NO")</f>
        <v>NO</v>
      </c>
      <c r="K576" s="5">
        <f>IFERROR(VLOOKUP(Consulta1[[#This Row],[Pozo largo]],Controles!B:H,7,FALSE),"NO")</f>
        <v>0</v>
      </c>
      <c r="L576" s="5">
        <f>IFERROR(VLOOKUP(Consulta1[[#This Row],[Pozo largo]],Controles!B:J,9,FALSE),"NO")</f>
        <v>0</v>
      </c>
    </row>
    <row r="577" spans="2:12" x14ac:dyDescent="0.35">
      <c r="B577" s="4" t="s">
        <v>1133</v>
      </c>
      <c r="C577" s="4" t="s">
        <v>6325</v>
      </c>
      <c r="D577" s="4" t="s">
        <v>5</v>
      </c>
      <c r="E577" s="4" t="s">
        <v>12</v>
      </c>
      <c r="F577" s="4" t="s">
        <v>7</v>
      </c>
      <c r="G577" s="4" t="s">
        <v>13</v>
      </c>
      <c r="H577" s="4" t="s">
        <v>86</v>
      </c>
      <c r="I577" s="5" t="str">
        <f>IFERROR(VLOOKUP(Consulta1[[#This Row],[Pozo largo]],'Lista YPF'!$B$3:$C$358,2,FALSE),"NO")</f>
        <v>NO</v>
      </c>
      <c r="J577" s="5" t="str">
        <f>IFERROR(VLOOKUP(Consulta1[[#This Row],[Pozo]],'Lista Oportunidades'!B:C,2,FALSE),"NO")</f>
        <v>NO</v>
      </c>
      <c r="K577" s="5">
        <f>IFERROR(VLOOKUP(Consulta1[[#This Row],[Pozo largo]],Controles!B:H,7,FALSE),"NO")</f>
        <v>1.22</v>
      </c>
      <c r="L577" s="5">
        <f>IFERROR(VLOOKUP(Consulta1[[#This Row],[Pozo largo]],Controles!B:J,9,FALSE),"NO")</f>
        <v>0</v>
      </c>
    </row>
    <row r="578" spans="2:12" x14ac:dyDescent="0.35">
      <c r="B578" s="4" t="s">
        <v>1135</v>
      </c>
      <c r="C578" s="4" t="s">
        <v>6326</v>
      </c>
      <c r="D578" s="4" t="s">
        <v>5</v>
      </c>
      <c r="E578" s="4" t="s">
        <v>12</v>
      </c>
      <c r="F578" s="4" t="s">
        <v>7</v>
      </c>
      <c r="G578" s="4" t="s">
        <v>13</v>
      </c>
      <c r="H578" s="4" t="s">
        <v>9</v>
      </c>
      <c r="I578" s="5" t="str">
        <f>IFERROR(VLOOKUP(Consulta1[[#This Row],[Pozo largo]],'Lista YPF'!$B$3:$C$358,2,FALSE),"NO")</f>
        <v>NO</v>
      </c>
      <c r="J578" s="5" t="str">
        <f>IFERROR(VLOOKUP(Consulta1[[#This Row],[Pozo]],'Lista Oportunidades'!B:C,2,FALSE),"NO")</f>
        <v>NO</v>
      </c>
      <c r="K578" s="5">
        <f>IFERROR(VLOOKUP(Consulta1[[#This Row],[Pozo largo]],Controles!B:H,7,FALSE),"NO")</f>
        <v>0.9</v>
      </c>
      <c r="L578" s="5">
        <f>IFERROR(VLOOKUP(Consulta1[[#This Row],[Pozo largo]],Controles!B:J,9,FALSE),"NO")</f>
        <v>0</v>
      </c>
    </row>
    <row r="579" spans="2:12" x14ac:dyDescent="0.35">
      <c r="B579" s="4" t="s">
        <v>1137</v>
      </c>
      <c r="C579" s="4" t="s">
        <v>6327</v>
      </c>
      <c r="D579" s="4" t="s">
        <v>5</v>
      </c>
      <c r="E579" s="4" t="s">
        <v>12</v>
      </c>
      <c r="F579" s="4" t="s">
        <v>7</v>
      </c>
      <c r="G579" s="4" t="s">
        <v>13</v>
      </c>
      <c r="H579" s="4" t="s">
        <v>141</v>
      </c>
      <c r="I579" s="5" t="str">
        <f>IFERROR(VLOOKUP(Consulta1[[#This Row],[Pozo largo]],'Lista YPF'!$B$3:$C$358,2,FALSE),"NO")</f>
        <v>NO</v>
      </c>
      <c r="J579" s="5" t="str">
        <f>IFERROR(VLOOKUP(Consulta1[[#This Row],[Pozo]],'Lista Oportunidades'!B:C,2,FALSE),"NO")</f>
        <v>NO</v>
      </c>
      <c r="K579" s="5">
        <f>IFERROR(VLOOKUP(Consulta1[[#This Row],[Pozo largo]],Controles!B:H,7,FALSE),"NO")</f>
        <v>1.8</v>
      </c>
      <c r="L579" s="5">
        <f>IFERROR(VLOOKUP(Consulta1[[#This Row],[Pozo largo]],Controles!B:J,9,FALSE),"NO")</f>
        <v>0</v>
      </c>
    </row>
    <row r="580" spans="2:12" x14ac:dyDescent="0.35">
      <c r="B580" s="4" t="s">
        <v>1139</v>
      </c>
      <c r="C580" s="4" t="s">
        <v>6328</v>
      </c>
      <c r="D580" s="4" t="s">
        <v>5</v>
      </c>
      <c r="E580" s="4" t="s">
        <v>57</v>
      </c>
      <c r="F580" s="4" t="s">
        <v>7</v>
      </c>
      <c r="G580" s="4" t="s">
        <v>5718</v>
      </c>
      <c r="H580" s="4" t="s">
        <v>33</v>
      </c>
      <c r="I580" s="5" t="str">
        <f>IFERROR(VLOOKUP(Consulta1[[#This Row],[Pozo largo]],'Lista YPF'!$B$3:$C$358,2,FALSE),"NO")</f>
        <v>En lista de Abandono</v>
      </c>
      <c r="J580" s="5" t="str">
        <f>IFERROR(VLOOKUP(Consulta1[[#This Row],[Pozo]],'Lista Oportunidades'!B:C,2,FALSE),"NO")</f>
        <v>NO</v>
      </c>
      <c r="K580" s="5">
        <f>IFERROR(VLOOKUP(Consulta1[[#This Row],[Pozo largo]],Controles!B:H,7,FALSE),"NO")</f>
        <v>0.48</v>
      </c>
      <c r="L580" s="5">
        <f>IFERROR(VLOOKUP(Consulta1[[#This Row],[Pozo largo]],Controles!B:J,9,FALSE),"NO")</f>
        <v>0</v>
      </c>
    </row>
    <row r="581" spans="2:12" x14ac:dyDescent="0.35">
      <c r="B581" s="4" t="s">
        <v>1141</v>
      </c>
      <c r="C581" s="4" t="s">
        <v>6329</v>
      </c>
      <c r="D581" s="4" t="s">
        <v>5</v>
      </c>
      <c r="E581" s="4" t="s">
        <v>12</v>
      </c>
      <c r="F581" s="4" t="s">
        <v>7</v>
      </c>
      <c r="G581" s="4" t="s">
        <v>13</v>
      </c>
      <c r="H581" s="4" t="s">
        <v>185</v>
      </c>
      <c r="I581" s="5" t="str">
        <f>IFERROR(VLOOKUP(Consulta1[[#This Row],[Pozo largo]],'Lista YPF'!$B$3:$C$358,2,FALSE),"NO")</f>
        <v>NO</v>
      </c>
      <c r="J581" s="5" t="str">
        <f>IFERROR(VLOOKUP(Consulta1[[#This Row],[Pozo]],'Lista Oportunidades'!B:C,2,FALSE),"NO")</f>
        <v>NO</v>
      </c>
      <c r="K581" s="5">
        <f>IFERROR(VLOOKUP(Consulta1[[#This Row],[Pozo largo]],Controles!B:H,7,FALSE),"NO")</f>
        <v>0.45</v>
      </c>
      <c r="L581" s="5">
        <f>IFERROR(VLOOKUP(Consulta1[[#This Row],[Pozo largo]],Controles!B:J,9,FALSE),"NO")</f>
        <v>0</v>
      </c>
    </row>
    <row r="582" spans="2:12" x14ac:dyDescent="0.35">
      <c r="B582" s="4" t="s">
        <v>1143</v>
      </c>
      <c r="C582" s="4" t="s">
        <v>6330</v>
      </c>
      <c r="D582" s="4" t="s">
        <v>5</v>
      </c>
      <c r="E582" s="4" t="s">
        <v>12</v>
      </c>
      <c r="F582" s="4" t="s">
        <v>83</v>
      </c>
      <c r="G582" s="4" t="s">
        <v>13</v>
      </c>
      <c r="H582" s="4" t="s">
        <v>260</v>
      </c>
      <c r="I582" s="5" t="str">
        <f>IFERROR(VLOOKUP(Consulta1[[#This Row],[Pozo largo]],'Lista YPF'!$B$3:$C$358,2,FALSE),"NO")</f>
        <v>NO</v>
      </c>
      <c r="J582" s="5" t="str">
        <f>IFERROR(VLOOKUP(Consulta1[[#This Row],[Pozo]],'Lista Oportunidades'!B:C,2,FALSE),"NO")</f>
        <v>NO</v>
      </c>
      <c r="K582" s="5">
        <f>IFERROR(VLOOKUP(Consulta1[[#This Row],[Pozo largo]],Controles!B:H,7,FALSE),"NO")</f>
        <v>0.87</v>
      </c>
      <c r="L582" s="5">
        <f>IFERROR(VLOOKUP(Consulta1[[#This Row],[Pozo largo]],Controles!B:J,9,FALSE),"NO")</f>
        <v>0</v>
      </c>
    </row>
    <row r="583" spans="2:12" x14ac:dyDescent="0.35">
      <c r="B583" s="4" t="s">
        <v>1145</v>
      </c>
      <c r="C583" s="4" t="s">
        <v>1146</v>
      </c>
      <c r="D583" s="4" t="s">
        <v>5</v>
      </c>
      <c r="E583" s="4" t="s">
        <v>12</v>
      </c>
      <c r="F583" s="4" t="s">
        <v>7</v>
      </c>
      <c r="G583" s="4" t="s">
        <v>13</v>
      </c>
      <c r="H583" s="4" t="s">
        <v>21</v>
      </c>
      <c r="I583" s="5" t="str">
        <f>IFERROR(VLOOKUP(Consulta1[[#This Row],[Pozo largo]],'Lista YPF'!$B$3:$C$358,2,FALSE),"NO")</f>
        <v>NO</v>
      </c>
      <c r="J583" s="5" t="str">
        <f>IFERROR(VLOOKUP(Consulta1[[#This Row],[Pozo]],'Lista Oportunidades'!B:C,2,FALSE),"NO")</f>
        <v>NO</v>
      </c>
      <c r="K583" s="5">
        <f>IFERROR(VLOOKUP(Consulta1[[#This Row],[Pozo largo]],Controles!B:H,7,FALSE),"NO")</f>
        <v>1.8</v>
      </c>
      <c r="L583" s="5">
        <f>IFERROR(VLOOKUP(Consulta1[[#This Row],[Pozo largo]],Controles!B:J,9,FALSE),"NO")</f>
        <v>0</v>
      </c>
    </row>
    <row r="584" spans="2:12" x14ac:dyDescent="0.35">
      <c r="B584" s="4" t="s">
        <v>1147</v>
      </c>
      <c r="C584" s="4" t="s">
        <v>6331</v>
      </c>
      <c r="D584" s="4" t="s">
        <v>5</v>
      </c>
      <c r="E584" s="4" t="s">
        <v>24</v>
      </c>
      <c r="F584" s="4" t="s">
        <v>25</v>
      </c>
      <c r="G584" s="4" t="s">
        <v>8</v>
      </c>
      <c r="H584" s="4" t="s">
        <v>80</v>
      </c>
      <c r="I584" s="5" t="str">
        <f>IFERROR(VLOOKUP(Consulta1[[#This Row],[Pozo largo]],'Lista YPF'!$B$3:$C$358,2,FALSE),"NO")</f>
        <v>NO</v>
      </c>
      <c r="J584" s="5" t="str">
        <f>IFERROR(VLOOKUP(Consulta1[[#This Row],[Pozo]],'Lista Oportunidades'!B:C,2,FALSE),"NO")</f>
        <v>NO</v>
      </c>
      <c r="K584" s="5">
        <f>IFERROR(VLOOKUP(Consulta1[[#This Row],[Pozo largo]],Controles!B:H,7,FALSE),"NO")</f>
        <v>0.218</v>
      </c>
      <c r="L584" s="5">
        <f>IFERROR(VLOOKUP(Consulta1[[#This Row],[Pozo largo]],Controles!B:J,9,FALSE),"NO")</f>
        <v>0</v>
      </c>
    </row>
    <row r="585" spans="2:12" x14ac:dyDescent="0.35">
      <c r="B585" s="4" t="s">
        <v>1149</v>
      </c>
      <c r="C585" s="4" t="s">
        <v>6332</v>
      </c>
      <c r="D585" s="4" t="s">
        <v>5</v>
      </c>
      <c r="E585" s="4" t="s">
        <v>12</v>
      </c>
      <c r="F585" s="4" t="s">
        <v>1151</v>
      </c>
      <c r="G585" s="4" t="s">
        <v>13</v>
      </c>
      <c r="H585" s="4" t="s">
        <v>84</v>
      </c>
      <c r="I585" s="5" t="str">
        <f>IFERROR(VLOOKUP(Consulta1[[#This Row],[Pozo largo]],'Lista YPF'!$B$3:$C$358,2,FALSE),"NO")</f>
        <v>NO</v>
      </c>
      <c r="J585" s="5" t="str">
        <f>IFERROR(VLOOKUP(Consulta1[[#This Row],[Pozo]],'Lista Oportunidades'!B:C,2,FALSE),"NO")</f>
        <v>NO</v>
      </c>
      <c r="K585" s="5">
        <f>IFERROR(VLOOKUP(Consulta1[[#This Row],[Pozo largo]],Controles!B:H,7,FALSE),"NO")</f>
        <v>0.96</v>
      </c>
      <c r="L585" s="5">
        <f>IFERROR(VLOOKUP(Consulta1[[#This Row],[Pozo largo]],Controles!B:J,9,FALSE),"NO")</f>
        <v>0</v>
      </c>
    </row>
    <row r="586" spans="2:12" x14ac:dyDescent="0.35">
      <c r="B586" s="4" t="s">
        <v>1152</v>
      </c>
      <c r="C586" s="4" t="s">
        <v>6333</v>
      </c>
      <c r="D586" s="4" t="s">
        <v>5</v>
      </c>
      <c r="E586" s="4" t="s">
        <v>24</v>
      </c>
      <c r="F586" s="4" t="s">
        <v>25</v>
      </c>
      <c r="G586" s="4" t="s">
        <v>8</v>
      </c>
      <c r="H586" s="4" t="s">
        <v>86</v>
      </c>
      <c r="I586" s="5" t="str">
        <f>IFERROR(VLOOKUP(Consulta1[[#This Row],[Pozo largo]],'Lista YPF'!$B$3:$C$358,2,FALSE),"NO")</f>
        <v>NO</v>
      </c>
      <c r="J586" s="5" t="str">
        <f>IFERROR(VLOOKUP(Consulta1[[#This Row],[Pozo]],'Lista Oportunidades'!B:C,2,FALSE),"NO")</f>
        <v>NO</v>
      </c>
      <c r="K586" s="5">
        <f>IFERROR(VLOOKUP(Consulta1[[#This Row],[Pozo largo]],Controles!B:H,7,FALSE),"NO")</f>
        <v>0.28900000000000003</v>
      </c>
      <c r="L586" s="5">
        <f>IFERROR(VLOOKUP(Consulta1[[#This Row],[Pozo largo]],Controles!B:J,9,FALSE),"NO")</f>
        <v>0</v>
      </c>
    </row>
    <row r="587" spans="2:12" x14ac:dyDescent="0.35">
      <c r="B587" s="4" t="s">
        <v>1154</v>
      </c>
      <c r="C587" s="4" t="s">
        <v>6334</v>
      </c>
      <c r="D587" s="4" t="s">
        <v>5</v>
      </c>
      <c r="E587" s="4" t="s">
        <v>12</v>
      </c>
      <c r="F587" s="4" t="s">
        <v>7</v>
      </c>
      <c r="G587" s="4" t="s">
        <v>13</v>
      </c>
      <c r="H587" s="4" t="s">
        <v>86</v>
      </c>
      <c r="I587" s="5" t="str">
        <f>IFERROR(VLOOKUP(Consulta1[[#This Row],[Pozo largo]],'Lista YPF'!$B$3:$C$358,2,FALSE),"NO")</f>
        <v>NO</v>
      </c>
      <c r="J587" s="5" t="str">
        <f>IFERROR(VLOOKUP(Consulta1[[#This Row],[Pozo]],'Lista Oportunidades'!B:C,2,FALSE),"NO")</f>
        <v>NO</v>
      </c>
      <c r="K587" s="5">
        <f>IFERROR(VLOOKUP(Consulta1[[#This Row],[Pozo largo]],Controles!B:H,7,FALSE),"NO")</f>
        <v>0.59</v>
      </c>
      <c r="L587" s="5">
        <f>IFERROR(VLOOKUP(Consulta1[[#This Row],[Pozo largo]],Controles!B:J,9,FALSE),"NO")</f>
        <v>0</v>
      </c>
    </row>
    <row r="588" spans="2:12" x14ac:dyDescent="0.35">
      <c r="B588" s="4" t="s">
        <v>1156</v>
      </c>
      <c r="C588" s="4" t="s">
        <v>6335</v>
      </c>
      <c r="D588" s="4" t="s">
        <v>5</v>
      </c>
      <c r="E588" s="4" t="s">
        <v>30</v>
      </c>
      <c r="F588" s="4" t="s">
        <v>31</v>
      </c>
      <c r="G588" s="4" t="s">
        <v>32</v>
      </c>
      <c r="H588" s="4" t="s">
        <v>86</v>
      </c>
      <c r="I588" s="5" t="str">
        <f>IFERROR(VLOOKUP(Consulta1[[#This Row],[Pozo largo]],'Lista YPF'!$B$3:$C$358,2,FALSE),"NO")</f>
        <v>NO</v>
      </c>
      <c r="J588" s="5" t="str">
        <f>IFERROR(VLOOKUP(Consulta1[[#This Row],[Pozo]],'Lista Oportunidades'!B:C,2,FALSE),"NO")</f>
        <v>NO</v>
      </c>
      <c r="K588" s="5">
        <f>IFERROR(VLOOKUP(Consulta1[[#This Row],[Pozo largo]],Controles!B:H,7,FALSE),"NO")</f>
        <v>0.42</v>
      </c>
      <c r="L588" s="5">
        <f>IFERROR(VLOOKUP(Consulta1[[#This Row],[Pozo largo]],Controles!B:J,9,FALSE),"NO")</f>
        <v>0</v>
      </c>
    </row>
    <row r="589" spans="2:12" x14ac:dyDescent="0.35">
      <c r="B589" s="4" t="s">
        <v>1158</v>
      </c>
      <c r="C589" s="4" t="s">
        <v>6336</v>
      </c>
      <c r="D589" s="4" t="s">
        <v>5</v>
      </c>
      <c r="E589" s="4" t="s">
        <v>30</v>
      </c>
      <c r="F589" s="4" t="s">
        <v>31</v>
      </c>
      <c r="G589" s="4" t="s">
        <v>32</v>
      </c>
      <c r="H589" s="4" t="s">
        <v>86</v>
      </c>
      <c r="I589" s="5" t="str">
        <f>IFERROR(VLOOKUP(Consulta1[[#This Row],[Pozo largo]],'Lista YPF'!$B$3:$C$358,2,FALSE),"NO")</f>
        <v>NO</v>
      </c>
      <c r="J589" s="5" t="str">
        <f>IFERROR(VLOOKUP(Consulta1[[#This Row],[Pozo]],'Lista Oportunidades'!B:C,2,FALSE),"NO")</f>
        <v>NO</v>
      </c>
      <c r="K589" s="5">
        <f>IFERROR(VLOOKUP(Consulta1[[#This Row],[Pozo largo]],Controles!B:H,7,FALSE),"NO")</f>
        <v>0.78</v>
      </c>
      <c r="L589" s="5">
        <f>IFERROR(VLOOKUP(Consulta1[[#This Row],[Pozo largo]],Controles!B:J,9,FALSE),"NO")</f>
        <v>0</v>
      </c>
    </row>
    <row r="590" spans="2:12" x14ac:dyDescent="0.35">
      <c r="B590" s="4" t="s">
        <v>1160</v>
      </c>
      <c r="C590" s="4" t="s">
        <v>6337</v>
      </c>
      <c r="D590" s="4" t="s">
        <v>5</v>
      </c>
      <c r="E590" s="4" t="s">
        <v>194</v>
      </c>
      <c r="F590" s="4" t="s">
        <v>31</v>
      </c>
      <c r="G590" s="4" t="s">
        <v>5718</v>
      </c>
      <c r="H590" s="4" t="s">
        <v>80</v>
      </c>
      <c r="I590" s="5" t="str">
        <f>IFERROR(VLOOKUP(Consulta1[[#This Row],[Pozo largo]],'Lista YPF'!$B$3:$C$358,2,FALSE),"NO")</f>
        <v>En lista de Abandono</v>
      </c>
      <c r="J590" s="5" t="str">
        <f>IFERROR(VLOOKUP(Consulta1[[#This Row],[Pozo]],'Lista Oportunidades'!B:C,2,FALSE),"NO")</f>
        <v>NO</v>
      </c>
      <c r="K590" s="5">
        <f>IFERROR(VLOOKUP(Consulta1[[#This Row],[Pozo largo]],Controles!B:H,7,FALSE),"NO")</f>
        <v>0.44</v>
      </c>
      <c r="L590" s="5">
        <f>IFERROR(VLOOKUP(Consulta1[[#This Row],[Pozo largo]],Controles!B:J,9,FALSE),"NO")</f>
        <v>0</v>
      </c>
    </row>
    <row r="591" spans="2:12" x14ac:dyDescent="0.35">
      <c r="B591" s="4" t="s">
        <v>1162</v>
      </c>
      <c r="C591" s="4" t="s">
        <v>6338</v>
      </c>
      <c r="D591" s="4" t="s">
        <v>5</v>
      </c>
      <c r="E591" s="4" t="s">
        <v>6</v>
      </c>
      <c r="F591" s="4" t="s">
        <v>28</v>
      </c>
      <c r="G591" s="4" t="s">
        <v>8</v>
      </c>
      <c r="H591" s="4" t="s">
        <v>80</v>
      </c>
      <c r="I591" s="5" t="str">
        <f>IFERROR(VLOOKUP(Consulta1[[#This Row],[Pozo largo]],'Lista YPF'!$B$3:$C$358,2,FALSE),"NO")</f>
        <v>NO</v>
      </c>
      <c r="J591" s="5" t="str">
        <f>IFERROR(VLOOKUP(Consulta1[[#This Row],[Pozo]],'Lista Oportunidades'!B:C,2,FALSE),"NO")</f>
        <v>NO</v>
      </c>
      <c r="K591" s="5">
        <f>IFERROR(VLOOKUP(Consulta1[[#This Row],[Pozo largo]],Controles!B:H,7,FALSE),"NO")</f>
        <v>0</v>
      </c>
      <c r="L591" s="5">
        <f>IFERROR(VLOOKUP(Consulta1[[#This Row],[Pozo largo]],Controles!B:J,9,FALSE),"NO")</f>
        <v>0</v>
      </c>
    </row>
    <row r="592" spans="2:12" x14ac:dyDescent="0.35">
      <c r="B592" s="4" t="s">
        <v>1164</v>
      </c>
      <c r="C592" s="4" t="s">
        <v>6339</v>
      </c>
      <c r="D592" s="4" t="s">
        <v>5</v>
      </c>
      <c r="E592" s="4" t="s">
        <v>6</v>
      </c>
      <c r="F592" s="4" t="s">
        <v>7</v>
      </c>
      <c r="G592" s="4" t="s">
        <v>11385</v>
      </c>
      <c r="H592" s="4" t="s">
        <v>71</v>
      </c>
      <c r="I592" s="5" t="str">
        <f>IFERROR(VLOOKUP(Consulta1[[#This Row],[Pozo largo]],'Lista YPF'!$B$3:$C$358,2,FALSE),"NO")</f>
        <v>NO</v>
      </c>
      <c r="J592" s="5" t="str">
        <f>IFERROR(VLOOKUP(Consulta1[[#This Row],[Pozo]],'Lista Oportunidades'!B:C,2,FALSE),"NO")</f>
        <v>NO</v>
      </c>
      <c r="K592" s="5">
        <f>IFERROR(VLOOKUP(Consulta1[[#This Row],[Pozo largo]],Controles!B:H,7,FALSE),"NO")</f>
        <v>1.5</v>
      </c>
      <c r="L592" s="5" t="str">
        <f>IFERROR(VLOOKUP(Consulta1[[#This Row],[Pozo largo]],Controles!B:J,9,FALSE),"NO")</f>
        <v>Ultimo Año</v>
      </c>
    </row>
    <row r="593" spans="2:12" x14ac:dyDescent="0.35">
      <c r="B593" s="4" t="s">
        <v>1166</v>
      </c>
      <c r="C593" s="4" t="s">
        <v>6340</v>
      </c>
      <c r="D593" s="4" t="s">
        <v>5</v>
      </c>
      <c r="E593" s="4" t="s">
        <v>12</v>
      </c>
      <c r="F593" s="4" t="s">
        <v>1114</v>
      </c>
      <c r="G593" s="4" t="s">
        <v>13</v>
      </c>
      <c r="H593" s="4" t="s">
        <v>71</v>
      </c>
      <c r="I593" s="5" t="str">
        <f>IFERROR(VLOOKUP(Consulta1[[#This Row],[Pozo largo]],'Lista YPF'!$B$3:$C$358,2,FALSE),"NO")</f>
        <v>NO</v>
      </c>
      <c r="J593" s="5" t="str">
        <f>IFERROR(VLOOKUP(Consulta1[[#This Row],[Pozo]],'Lista Oportunidades'!B:C,2,FALSE),"NO")</f>
        <v>NO</v>
      </c>
      <c r="K593" s="5">
        <f>IFERROR(VLOOKUP(Consulta1[[#This Row],[Pozo largo]],Controles!B:H,7,FALSE),"NO")</f>
        <v>0</v>
      </c>
      <c r="L593" s="5">
        <f>IFERROR(VLOOKUP(Consulta1[[#This Row],[Pozo largo]],Controles!B:J,9,FALSE),"NO")</f>
        <v>0</v>
      </c>
    </row>
    <row r="594" spans="2:12" x14ac:dyDescent="0.35">
      <c r="B594" s="4" t="s">
        <v>1168</v>
      </c>
      <c r="C594" s="4" t="s">
        <v>6341</v>
      </c>
      <c r="D594" s="4" t="s">
        <v>5</v>
      </c>
      <c r="E594" s="4" t="s">
        <v>57</v>
      </c>
      <c r="F594" s="4" t="s">
        <v>7</v>
      </c>
      <c r="G594" s="4" t="s">
        <v>5718</v>
      </c>
      <c r="H594" s="4" t="s">
        <v>71</v>
      </c>
      <c r="I594" s="5" t="str">
        <f>IFERROR(VLOOKUP(Consulta1[[#This Row],[Pozo largo]],'Lista YPF'!$B$3:$C$358,2,FALSE),"NO")</f>
        <v>En lista de Abandono</v>
      </c>
      <c r="J594" s="5" t="str">
        <f>IFERROR(VLOOKUP(Consulta1[[#This Row],[Pozo]],'Lista Oportunidades'!B:C,2,FALSE),"NO")</f>
        <v>NO</v>
      </c>
      <c r="K594" s="5">
        <f>IFERROR(VLOOKUP(Consulta1[[#This Row],[Pozo largo]],Controles!B:H,7,FALSE),"NO")</f>
        <v>0.70000000000000007</v>
      </c>
      <c r="L594" s="5">
        <f>IFERROR(VLOOKUP(Consulta1[[#This Row],[Pozo largo]],Controles!B:J,9,FALSE),"NO")</f>
        <v>0</v>
      </c>
    </row>
    <row r="595" spans="2:12" x14ac:dyDescent="0.35">
      <c r="B595" s="4" t="s">
        <v>1170</v>
      </c>
      <c r="C595" s="4" t="s">
        <v>6342</v>
      </c>
      <c r="D595" s="4" t="s">
        <v>5</v>
      </c>
      <c r="E595" s="4" t="s">
        <v>24</v>
      </c>
      <c r="F595" s="4" t="s">
        <v>31</v>
      </c>
      <c r="G595" s="4" t="s">
        <v>8</v>
      </c>
      <c r="H595" s="4" t="s">
        <v>185</v>
      </c>
      <c r="I595" s="5" t="str">
        <f>IFERROR(VLOOKUP(Consulta1[[#This Row],[Pozo largo]],'Lista YPF'!$B$3:$C$358,2,FALSE),"NO")</f>
        <v>NO</v>
      </c>
      <c r="J595" s="5" t="str">
        <f>IFERROR(VLOOKUP(Consulta1[[#This Row],[Pozo]],'Lista Oportunidades'!B:C,2,FALSE),"NO")</f>
        <v>NO</v>
      </c>
      <c r="K595" s="5">
        <f>IFERROR(VLOOKUP(Consulta1[[#This Row],[Pozo largo]],Controles!B:H,7,FALSE),"NO")</f>
        <v>1.0900000000000001</v>
      </c>
      <c r="L595" s="5">
        <f>IFERROR(VLOOKUP(Consulta1[[#This Row],[Pozo largo]],Controles!B:J,9,FALSE),"NO")</f>
        <v>0</v>
      </c>
    </row>
    <row r="596" spans="2:12" x14ac:dyDescent="0.35">
      <c r="B596" s="4" t="s">
        <v>1172</v>
      </c>
      <c r="C596" s="4" t="s">
        <v>6343</v>
      </c>
      <c r="D596" s="4" t="s">
        <v>5</v>
      </c>
      <c r="E596" s="4" t="s">
        <v>12</v>
      </c>
      <c r="F596" s="4" t="s">
        <v>28</v>
      </c>
      <c r="G596" s="4" t="s">
        <v>13</v>
      </c>
      <c r="H596" s="4" t="s">
        <v>71</v>
      </c>
      <c r="I596" s="5" t="str">
        <f>IFERROR(VLOOKUP(Consulta1[[#This Row],[Pozo largo]],'Lista YPF'!$B$3:$C$358,2,FALSE),"NO")</f>
        <v>NO</v>
      </c>
      <c r="J596" s="5" t="str">
        <f>IFERROR(VLOOKUP(Consulta1[[#This Row],[Pozo]],'Lista Oportunidades'!B:C,2,FALSE),"NO")</f>
        <v>NO</v>
      </c>
      <c r="K596" s="5">
        <f>IFERROR(VLOOKUP(Consulta1[[#This Row],[Pozo largo]],Controles!B:H,7,FALSE),"NO")</f>
        <v>0</v>
      </c>
      <c r="L596" s="5">
        <f>IFERROR(VLOOKUP(Consulta1[[#This Row],[Pozo largo]],Controles!B:J,9,FALSE),"NO")</f>
        <v>0</v>
      </c>
    </row>
    <row r="597" spans="2:12" x14ac:dyDescent="0.35">
      <c r="B597" s="4" t="s">
        <v>1174</v>
      </c>
      <c r="C597" s="4" t="s">
        <v>6344</v>
      </c>
      <c r="D597" s="4" t="s">
        <v>5</v>
      </c>
      <c r="E597" s="4" t="s">
        <v>6</v>
      </c>
      <c r="F597" s="4" t="s">
        <v>7</v>
      </c>
      <c r="G597" s="4" t="s">
        <v>5718</v>
      </c>
      <c r="H597" s="4" t="s">
        <v>146</v>
      </c>
      <c r="I597" s="5" t="str">
        <f>IFERROR(VLOOKUP(Consulta1[[#This Row],[Pozo largo]],'Lista YPF'!$B$3:$C$358,2,FALSE),"NO")</f>
        <v>En lista de Abandono</v>
      </c>
      <c r="J597" s="5" t="str">
        <f>IFERROR(VLOOKUP(Consulta1[[#This Row],[Pozo]],'Lista Oportunidades'!B:C,2,FALSE),"NO")</f>
        <v>NO</v>
      </c>
      <c r="K597" s="5">
        <f>IFERROR(VLOOKUP(Consulta1[[#This Row],[Pozo largo]],Controles!B:H,7,FALSE),"NO")</f>
        <v>1.143</v>
      </c>
      <c r="L597" s="5">
        <f>IFERROR(VLOOKUP(Consulta1[[#This Row],[Pozo largo]],Controles!B:J,9,FALSE),"NO")</f>
        <v>0</v>
      </c>
    </row>
    <row r="598" spans="2:12" x14ac:dyDescent="0.35">
      <c r="B598" s="4" t="s">
        <v>1176</v>
      </c>
      <c r="C598" s="4" t="s">
        <v>6345</v>
      </c>
      <c r="D598" s="4" t="s">
        <v>5</v>
      </c>
      <c r="E598" s="4" t="s">
        <v>12</v>
      </c>
      <c r="F598" s="4" t="s">
        <v>28</v>
      </c>
      <c r="G598" s="4" t="s">
        <v>13</v>
      </c>
      <c r="H598" s="4" t="s">
        <v>16</v>
      </c>
      <c r="I598" s="5" t="str">
        <f>IFERROR(VLOOKUP(Consulta1[[#This Row],[Pozo largo]],'Lista YPF'!$B$3:$C$358,2,FALSE),"NO")</f>
        <v>NO</v>
      </c>
      <c r="J598" s="5" t="str">
        <f>IFERROR(VLOOKUP(Consulta1[[#This Row],[Pozo]],'Lista Oportunidades'!B:C,2,FALSE),"NO")</f>
        <v>NO</v>
      </c>
      <c r="K598" s="5">
        <f>IFERROR(VLOOKUP(Consulta1[[#This Row],[Pozo largo]],Controles!B:H,7,FALSE),"NO")</f>
        <v>0</v>
      </c>
      <c r="L598" s="5">
        <f>IFERROR(VLOOKUP(Consulta1[[#This Row],[Pozo largo]],Controles!B:J,9,FALSE),"NO")</f>
        <v>0</v>
      </c>
    </row>
    <row r="599" spans="2:12" x14ac:dyDescent="0.35">
      <c r="B599" s="4" t="s">
        <v>1178</v>
      </c>
      <c r="C599" s="4" t="s">
        <v>6346</v>
      </c>
      <c r="D599" s="4" t="s">
        <v>5</v>
      </c>
      <c r="E599" s="4" t="s">
        <v>12</v>
      </c>
      <c r="F599" s="4" t="s">
        <v>25</v>
      </c>
      <c r="G599" s="4" t="s">
        <v>13</v>
      </c>
      <c r="H599" s="4" t="s">
        <v>66</v>
      </c>
      <c r="I599" s="5" t="str">
        <f>IFERROR(VLOOKUP(Consulta1[[#This Row],[Pozo largo]],'Lista YPF'!$B$3:$C$358,2,FALSE),"NO")</f>
        <v>NO</v>
      </c>
      <c r="J599" s="5" t="str">
        <f>IFERROR(VLOOKUP(Consulta1[[#This Row],[Pozo]],'Lista Oportunidades'!B:C,2,FALSE),"NO")</f>
        <v>NO</v>
      </c>
      <c r="K599" s="5">
        <f>IFERROR(VLOOKUP(Consulta1[[#This Row],[Pozo largo]],Controles!B:H,7,FALSE),"NO")</f>
        <v>0.17</v>
      </c>
      <c r="L599" s="5">
        <f>IFERROR(VLOOKUP(Consulta1[[#This Row],[Pozo largo]],Controles!B:J,9,FALSE),"NO")</f>
        <v>0</v>
      </c>
    </row>
    <row r="600" spans="2:12" x14ac:dyDescent="0.35">
      <c r="B600" s="4" t="s">
        <v>1180</v>
      </c>
      <c r="C600" s="4" t="s">
        <v>6347</v>
      </c>
      <c r="D600" s="4" t="s">
        <v>5</v>
      </c>
      <c r="E600" s="4" t="s">
        <v>12</v>
      </c>
      <c r="F600" s="4" t="s">
        <v>7</v>
      </c>
      <c r="G600" s="4" t="s">
        <v>13</v>
      </c>
      <c r="H600" s="4" t="s">
        <v>91</v>
      </c>
      <c r="I600" s="5" t="str">
        <f>IFERROR(VLOOKUP(Consulta1[[#This Row],[Pozo largo]],'Lista YPF'!$B$3:$C$358,2,FALSE),"NO")</f>
        <v>NO</v>
      </c>
      <c r="J600" s="5" t="str">
        <f>IFERROR(VLOOKUP(Consulta1[[#This Row],[Pozo]],'Lista Oportunidades'!B:C,2,FALSE),"NO")</f>
        <v>NO</v>
      </c>
      <c r="K600" s="5">
        <f>IFERROR(VLOOKUP(Consulta1[[#This Row],[Pozo largo]],Controles!B:H,7,FALSE),"NO")</f>
        <v>1.98</v>
      </c>
      <c r="L600" s="5">
        <f>IFERROR(VLOOKUP(Consulta1[[#This Row],[Pozo largo]],Controles!B:J,9,FALSE),"NO")</f>
        <v>0</v>
      </c>
    </row>
    <row r="601" spans="2:12" x14ac:dyDescent="0.35">
      <c r="B601" s="4" t="s">
        <v>1182</v>
      </c>
      <c r="C601" s="4" t="s">
        <v>6348</v>
      </c>
      <c r="D601" s="4" t="s">
        <v>5</v>
      </c>
      <c r="E601" s="4" t="s">
        <v>12</v>
      </c>
      <c r="F601" s="4" t="s">
        <v>7</v>
      </c>
      <c r="G601" s="4" t="s">
        <v>13</v>
      </c>
      <c r="H601" s="4" t="s">
        <v>80</v>
      </c>
      <c r="I601" s="5" t="str">
        <f>IFERROR(VLOOKUP(Consulta1[[#This Row],[Pozo largo]],'Lista YPF'!$B$3:$C$358,2,FALSE),"NO")</f>
        <v>NO</v>
      </c>
      <c r="J601" s="5" t="str">
        <f>IFERROR(VLOOKUP(Consulta1[[#This Row],[Pozo]],'Lista Oportunidades'!B:C,2,FALSE),"NO")</f>
        <v>NO</v>
      </c>
      <c r="K601" s="5">
        <f>IFERROR(VLOOKUP(Consulta1[[#This Row],[Pozo largo]],Controles!B:H,7,FALSE),"NO")</f>
        <v>0.50600000000000001</v>
      </c>
      <c r="L601" s="5">
        <f>IFERROR(VLOOKUP(Consulta1[[#This Row],[Pozo largo]],Controles!B:J,9,FALSE),"NO")</f>
        <v>0</v>
      </c>
    </row>
    <row r="602" spans="2:12" x14ac:dyDescent="0.35">
      <c r="B602" s="4" t="s">
        <v>1184</v>
      </c>
      <c r="C602" s="4" t="s">
        <v>6349</v>
      </c>
      <c r="D602" s="4" t="s">
        <v>5</v>
      </c>
      <c r="E602" s="4" t="s">
        <v>30</v>
      </c>
      <c r="F602" s="4" t="s">
        <v>31</v>
      </c>
      <c r="G602" s="4" t="s">
        <v>32</v>
      </c>
      <c r="H602" s="4" t="s">
        <v>91</v>
      </c>
      <c r="I602" s="5" t="str">
        <f>IFERROR(VLOOKUP(Consulta1[[#This Row],[Pozo largo]],'Lista YPF'!$B$3:$C$358,2,FALSE),"NO")</f>
        <v>NO</v>
      </c>
      <c r="J602" s="5" t="str">
        <f>IFERROR(VLOOKUP(Consulta1[[#This Row],[Pozo]],'Lista Oportunidades'!B:C,2,FALSE),"NO")</f>
        <v>NO</v>
      </c>
      <c r="K602" s="5">
        <f>IFERROR(VLOOKUP(Consulta1[[#This Row],[Pozo largo]],Controles!B:H,7,FALSE),"NO")</f>
        <v>0</v>
      </c>
      <c r="L602" s="5">
        <f>IFERROR(VLOOKUP(Consulta1[[#This Row],[Pozo largo]],Controles!B:J,9,FALSE),"NO")</f>
        <v>0</v>
      </c>
    </row>
    <row r="603" spans="2:12" x14ac:dyDescent="0.35">
      <c r="B603" s="4" t="s">
        <v>1186</v>
      </c>
      <c r="C603" s="4" t="s">
        <v>6350</v>
      </c>
      <c r="D603" s="4" t="s">
        <v>5</v>
      </c>
      <c r="E603" s="4" t="s">
        <v>6</v>
      </c>
      <c r="F603" s="4" t="s">
        <v>238</v>
      </c>
      <c r="G603" s="4" t="s">
        <v>5718</v>
      </c>
      <c r="H603" s="4" t="s">
        <v>91</v>
      </c>
      <c r="I603" s="5" t="str">
        <f>IFERROR(VLOOKUP(Consulta1[[#This Row],[Pozo largo]],'Lista YPF'!$B$3:$C$358,2,FALSE),"NO")</f>
        <v>En lista de Abandono</v>
      </c>
      <c r="J603" s="5" t="str">
        <f>IFERROR(VLOOKUP(Consulta1[[#This Row],[Pozo]],'Lista Oportunidades'!B:C,2,FALSE),"NO")</f>
        <v>NO</v>
      </c>
      <c r="K603" s="5">
        <f>IFERROR(VLOOKUP(Consulta1[[#This Row],[Pozo largo]],Controles!B:H,7,FALSE),"NO")</f>
        <v>0.96</v>
      </c>
      <c r="L603" s="5">
        <f>IFERROR(VLOOKUP(Consulta1[[#This Row],[Pozo largo]],Controles!B:J,9,FALSE),"NO")</f>
        <v>0</v>
      </c>
    </row>
    <row r="604" spans="2:12" x14ac:dyDescent="0.35">
      <c r="B604" s="4" t="s">
        <v>1188</v>
      </c>
      <c r="C604" s="4" t="s">
        <v>6351</v>
      </c>
      <c r="D604" s="4" t="s">
        <v>5</v>
      </c>
      <c r="E604" s="4" t="s">
        <v>30</v>
      </c>
      <c r="F604" s="4" t="s">
        <v>31</v>
      </c>
      <c r="G604" s="4" t="s">
        <v>32</v>
      </c>
      <c r="H604" s="4" t="s">
        <v>86</v>
      </c>
      <c r="I604" s="5" t="str">
        <f>IFERROR(VLOOKUP(Consulta1[[#This Row],[Pozo largo]],'Lista YPF'!$B$3:$C$358,2,FALSE),"NO")</f>
        <v>NO</v>
      </c>
      <c r="J604" s="5" t="str">
        <f>IFERROR(VLOOKUP(Consulta1[[#This Row],[Pozo]],'Lista Oportunidades'!B:C,2,FALSE),"NO")</f>
        <v>NO</v>
      </c>
      <c r="K604" s="5">
        <f>IFERROR(VLOOKUP(Consulta1[[#This Row],[Pozo largo]],Controles!B:H,7,FALSE),"NO")</f>
        <v>0.183</v>
      </c>
      <c r="L604" s="5">
        <f>IFERROR(VLOOKUP(Consulta1[[#This Row],[Pozo largo]],Controles!B:J,9,FALSE),"NO")</f>
        <v>0</v>
      </c>
    </row>
    <row r="605" spans="2:12" x14ac:dyDescent="0.35">
      <c r="B605" s="4" t="s">
        <v>1190</v>
      </c>
      <c r="C605" s="4" t="s">
        <v>6352</v>
      </c>
      <c r="D605" s="4" t="s">
        <v>5</v>
      </c>
      <c r="E605" s="4" t="s">
        <v>30</v>
      </c>
      <c r="F605" s="4" t="s">
        <v>31</v>
      </c>
      <c r="G605" s="4" t="s">
        <v>32</v>
      </c>
      <c r="H605" s="4" t="s">
        <v>86</v>
      </c>
      <c r="I605" s="5" t="str">
        <f>IFERROR(VLOOKUP(Consulta1[[#This Row],[Pozo largo]],'Lista YPF'!$B$3:$C$358,2,FALSE),"NO")</f>
        <v>NO</v>
      </c>
      <c r="J605" s="5" t="str">
        <f>IFERROR(VLOOKUP(Consulta1[[#This Row],[Pozo]],'Lista Oportunidades'!B:C,2,FALSE),"NO")</f>
        <v>NO</v>
      </c>
      <c r="K605" s="5">
        <f>IFERROR(VLOOKUP(Consulta1[[#This Row],[Pozo largo]],Controles!B:H,7,FALSE),"NO")</f>
        <v>0</v>
      </c>
      <c r="L605" s="5">
        <f>IFERROR(VLOOKUP(Consulta1[[#This Row],[Pozo largo]],Controles!B:J,9,FALSE),"NO")</f>
        <v>0</v>
      </c>
    </row>
    <row r="606" spans="2:12" x14ac:dyDescent="0.35">
      <c r="B606" s="4" t="s">
        <v>1192</v>
      </c>
      <c r="C606" s="4" t="s">
        <v>6353</v>
      </c>
      <c r="D606" s="4" t="s">
        <v>5</v>
      </c>
      <c r="E606" s="4" t="s">
        <v>12</v>
      </c>
      <c r="F606" s="4" t="s">
        <v>7</v>
      </c>
      <c r="G606" s="4" t="s">
        <v>13</v>
      </c>
      <c r="H606" s="4" t="s">
        <v>86</v>
      </c>
      <c r="I606" s="5" t="str">
        <f>IFERROR(VLOOKUP(Consulta1[[#This Row],[Pozo largo]],'Lista YPF'!$B$3:$C$358,2,FALSE),"NO")</f>
        <v>NO</v>
      </c>
      <c r="J606" s="5" t="str">
        <f>IFERROR(VLOOKUP(Consulta1[[#This Row],[Pozo]],'Lista Oportunidades'!B:C,2,FALSE),"NO")</f>
        <v>NO</v>
      </c>
      <c r="K606" s="5">
        <f>IFERROR(VLOOKUP(Consulta1[[#This Row],[Pozo largo]],Controles!B:H,7,FALSE),"NO")</f>
        <v>0.65500000000000003</v>
      </c>
      <c r="L606" s="5">
        <f>IFERROR(VLOOKUP(Consulta1[[#This Row],[Pozo largo]],Controles!B:J,9,FALSE),"NO")</f>
        <v>0</v>
      </c>
    </row>
    <row r="607" spans="2:12" x14ac:dyDescent="0.35">
      <c r="B607" s="4" t="s">
        <v>1194</v>
      </c>
      <c r="C607" s="4" t="s">
        <v>6354</v>
      </c>
      <c r="D607" s="4" t="s">
        <v>5</v>
      </c>
      <c r="E607" s="4" t="s">
        <v>24</v>
      </c>
      <c r="F607" s="4" t="s">
        <v>25</v>
      </c>
      <c r="G607" s="4" t="s">
        <v>8</v>
      </c>
      <c r="H607" s="4" t="s">
        <v>86</v>
      </c>
      <c r="I607" s="5" t="str">
        <f>IFERROR(VLOOKUP(Consulta1[[#This Row],[Pozo largo]],'Lista YPF'!$B$3:$C$358,2,FALSE),"NO")</f>
        <v>NO</v>
      </c>
      <c r="J607" s="5" t="str">
        <f>IFERROR(VLOOKUP(Consulta1[[#This Row],[Pozo]],'Lista Oportunidades'!B:C,2,FALSE),"NO")</f>
        <v>NO</v>
      </c>
      <c r="K607" s="5">
        <f>IFERROR(VLOOKUP(Consulta1[[#This Row],[Pozo largo]],Controles!B:H,7,FALSE),"NO")</f>
        <v>0.127</v>
      </c>
      <c r="L607" s="5">
        <f>IFERROR(VLOOKUP(Consulta1[[#This Row],[Pozo largo]],Controles!B:J,9,FALSE),"NO")</f>
        <v>0</v>
      </c>
    </row>
    <row r="608" spans="2:12" x14ac:dyDescent="0.35">
      <c r="B608" s="4" t="s">
        <v>1196</v>
      </c>
      <c r="C608" s="4" t="s">
        <v>6355</v>
      </c>
      <c r="D608" s="4" t="s">
        <v>5</v>
      </c>
      <c r="E608" s="4" t="s">
        <v>24</v>
      </c>
      <c r="F608" s="4" t="s">
        <v>31</v>
      </c>
      <c r="G608" s="4" t="s">
        <v>8</v>
      </c>
      <c r="H608" s="4" t="s">
        <v>91</v>
      </c>
      <c r="I608" s="5" t="str">
        <f>IFERROR(VLOOKUP(Consulta1[[#This Row],[Pozo largo]],'Lista YPF'!$B$3:$C$358,2,FALSE),"NO")</f>
        <v>NO</v>
      </c>
      <c r="J608" s="5" t="str">
        <f>IFERROR(VLOOKUP(Consulta1[[#This Row],[Pozo]],'Lista Oportunidades'!B:C,2,FALSE),"NO")</f>
        <v>NO</v>
      </c>
      <c r="K608" s="5">
        <f>IFERROR(VLOOKUP(Consulta1[[#This Row],[Pozo largo]],Controles!B:H,7,FALSE),"NO")</f>
        <v>1.05</v>
      </c>
      <c r="L608" s="5">
        <f>IFERROR(VLOOKUP(Consulta1[[#This Row],[Pozo largo]],Controles!B:J,9,FALSE),"NO")</f>
        <v>0</v>
      </c>
    </row>
    <row r="609" spans="2:12" x14ac:dyDescent="0.35">
      <c r="B609" s="4" t="s">
        <v>1198</v>
      </c>
      <c r="C609" s="4" t="s">
        <v>6356</v>
      </c>
      <c r="D609" s="4" t="s">
        <v>5</v>
      </c>
      <c r="E609" s="4" t="s">
        <v>12</v>
      </c>
      <c r="F609" s="4" t="s">
        <v>28</v>
      </c>
      <c r="G609" s="4" t="s">
        <v>13</v>
      </c>
      <c r="H609" s="4" t="s">
        <v>71</v>
      </c>
      <c r="I609" s="5" t="str">
        <f>IFERROR(VLOOKUP(Consulta1[[#This Row],[Pozo largo]],'Lista YPF'!$B$3:$C$358,2,FALSE),"NO")</f>
        <v>NO</v>
      </c>
      <c r="J609" s="5" t="str">
        <f>IFERROR(VLOOKUP(Consulta1[[#This Row],[Pozo]],'Lista Oportunidades'!B:C,2,FALSE),"NO")</f>
        <v>NO</v>
      </c>
      <c r="K609" s="5">
        <f>IFERROR(VLOOKUP(Consulta1[[#This Row],[Pozo largo]],Controles!B:H,7,FALSE),"NO")</f>
        <v>0</v>
      </c>
      <c r="L609" s="5">
        <f>IFERROR(VLOOKUP(Consulta1[[#This Row],[Pozo largo]],Controles!B:J,9,FALSE),"NO")</f>
        <v>0</v>
      </c>
    </row>
    <row r="610" spans="2:12" x14ac:dyDescent="0.35">
      <c r="B610" s="4" t="s">
        <v>1200</v>
      </c>
      <c r="C610" s="4" t="s">
        <v>6357</v>
      </c>
      <c r="D610" s="4" t="s">
        <v>5</v>
      </c>
      <c r="E610" s="4" t="s">
        <v>24</v>
      </c>
      <c r="F610" s="4" t="s">
        <v>31</v>
      </c>
      <c r="G610" s="4" t="s">
        <v>8</v>
      </c>
      <c r="H610" s="4" t="s">
        <v>185</v>
      </c>
      <c r="I610" s="5" t="str">
        <f>IFERROR(VLOOKUP(Consulta1[[#This Row],[Pozo largo]],'Lista YPF'!$B$3:$C$358,2,FALSE),"NO")</f>
        <v>NO</v>
      </c>
      <c r="J610" s="5" t="str">
        <f>IFERROR(VLOOKUP(Consulta1[[#This Row],[Pozo]],'Lista Oportunidades'!B:C,2,FALSE),"NO")</f>
        <v>NO</v>
      </c>
      <c r="K610" s="5">
        <f>IFERROR(VLOOKUP(Consulta1[[#This Row],[Pozo largo]],Controles!B:H,7,FALSE),"NO")</f>
        <v>0.623</v>
      </c>
      <c r="L610" s="5">
        <f>IFERROR(VLOOKUP(Consulta1[[#This Row],[Pozo largo]],Controles!B:J,9,FALSE),"NO")</f>
        <v>0</v>
      </c>
    </row>
    <row r="611" spans="2:12" x14ac:dyDescent="0.35">
      <c r="B611" s="4" t="s">
        <v>1202</v>
      </c>
      <c r="C611" s="4" t="s">
        <v>6358</v>
      </c>
      <c r="D611" s="4" t="s">
        <v>5</v>
      </c>
      <c r="E611" s="4" t="s">
        <v>12</v>
      </c>
      <c r="F611" s="4" t="s">
        <v>7</v>
      </c>
      <c r="G611" s="4" t="s">
        <v>13</v>
      </c>
      <c r="H611" s="4" t="s">
        <v>185</v>
      </c>
      <c r="I611" s="5" t="str">
        <f>IFERROR(VLOOKUP(Consulta1[[#This Row],[Pozo largo]],'Lista YPF'!$B$3:$C$358,2,FALSE),"NO")</f>
        <v>NO</v>
      </c>
      <c r="J611" s="5" t="str">
        <f>IFERROR(VLOOKUP(Consulta1[[#This Row],[Pozo]],'Lista Oportunidades'!B:C,2,FALSE),"NO")</f>
        <v>NO</v>
      </c>
      <c r="K611" s="5">
        <f>IFERROR(VLOOKUP(Consulta1[[#This Row],[Pozo largo]],Controles!B:H,7,FALSE),"NO")</f>
        <v>1.62</v>
      </c>
      <c r="L611" s="5">
        <f>IFERROR(VLOOKUP(Consulta1[[#This Row],[Pozo largo]],Controles!B:J,9,FALSE),"NO")</f>
        <v>0</v>
      </c>
    </row>
    <row r="612" spans="2:12" x14ac:dyDescent="0.35">
      <c r="B612" s="4" t="s">
        <v>1204</v>
      </c>
      <c r="C612" s="4" t="s">
        <v>6359</v>
      </c>
      <c r="D612" s="4" t="s">
        <v>5</v>
      </c>
      <c r="E612" s="4" t="s">
        <v>12</v>
      </c>
      <c r="F612" s="4" t="s">
        <v>28</v>
      </c>
      <c r="G612" s="4" t="s">
        <v>13</v>
      </c>
      <c r="H612" s="4" t="s">
        <v>185</v>
      </c>
      <c r="I612" s="5" t="str">
        <f>IFERROR(VLOOKUP(Consulta1[[#This Row],[Pozo largo]],'Lista YPF'!$B$3:$C$358,2,FALSE),"NO")</f>
        <v>NO</v>
      </c>
      <c r="J612" s="5" t="str">
        <f>IFERROR(VLOOKUP(Consulta1[[#This Row],[Pozo]],'Lista Oportunidades'!B:C,2,FALSE),"NO")</f>
        <v>NO</v>
      </c>
      <c r="K612" s="5">
        <f>IFERROR(VLOOKUP(Consulta1[[#This Row],[Pozo largo]],Controles!B:H,7,FALSE),"NO")</f>
        <v>0</v>
      </c>
      <c r="L612" s="5">
        <f>IFERROR(VLOOKUP(Consulta1[[#This Row],[Pozo largo]],Controles!B:J,9,FALSE),"NO")</f>
        <v>0</v>
      </c>
    </row>
    <row r="613" spans="2:12" x14ac:dyDescent="0.35">
      <c r="B613" s="4" t="s">
        <v>1206</v>
      </c>
      <c r="C613" s="4" t="s">
        <v>6360</v>
      </c>
      <c r="D613" s="4" t="s">
        <v>5</v>
      </c>
      <c r="E613" s="4" t="s">
        <v>24</v>
      </c>
      <c r="F613" s="4" t="s">
        <v>7</v>
      </c>
      <c r="G613" s="4" t="s">
        <v>8</v>
      </c>
      <c r="H613" s="4" t="s">
        <v>71</v>
      </c>
      <c r="I613" s="5" t="str">
        <f>IFERROR(VLOOKUP(Consulta1[[#This Row],[Pozo largo]],'Lista YPF'!$B$3:$C$358,2,FALSE),"NO")</f>
        <v>NO</v>
      </c>
      <c r="J613" s="5" t="str">
        <f>IFERROR(VLOOKUP(Consulta1[[#This Row],[Pozo]],'Lista Oportunidades'!B:C,2,FALSE),"NO")</f>
        <v>NO</v>
      </c>
      <c r="K613" s="5">
        <f>IFERROR(VLOOKUP(Consulta1[[#This Row],[Pozo largo]],Controles!B:H,7,FALSE),"NO")</f>
        <v>0.18</v>
      </c>
      <c r="L613" s="5">
        <f>IFERROR(VLOOKUP(Consulta1[[#This Row],[Pozo largo]],Controles!B:J,9,FALSE),"NO")</f>
        <v>0</v>
      </c>
    </row>
    <row r="614" spans="2:12" x14ac:dyDescent="0.35">
      <c r="B614" s="4" t="s">
        <v>1208</v>
      </c>
      <c r="C614" s="4" t="s">
        <v>6361</v>
      </c>
      <c r="D614" s="4" t="s">
        <v>5</v>
      </c>
      <c r="E614" s="4" t="s">
        <v>12</v>
      </c>
      <c r="F614" s="4" t="s">
        <v>7</v>
      </c>
      <c r="G614" s="4" t="s">
        <v>13</v>
      </c>
      <c r="H614" s="4" t="s">
        <v>185</v>
      </c>
      <c r="I614" s="5" t="str">
        <f>IFERROR(VLOOKUP(Consulta1[[#This Row],[Pozo largo]],'Lista YPF'!$B$3:$C$358,2,FALSE),"NO")</f>
        <v>NO</v>
      </c>
      <c r="J614" s="5" t="str">
        <f>IFERROR(VLOOKUP(Consulta1[[#This Row],[Pozo]],'Lista Oportunidades'!B:C,2,FALSE),"NO")</f>
        <v>NO</v>
      </c>
      <c r="K614" s="5">
        <f>IFERROR(VLOOKUP(Consulta1[[#This Row],[Pozo largo]],Controles!B:H,7,FALSE),"NO")</f>
        <v>0.86399999999999999</v>
      </c>
      <c r="L614" s="5">
        <f>IFERROR(VLOOKUP(Consulta1[[#This Row],[Pozo largo]],Controles!B:J,9,FALSE),"NO")</f>
        <v>0</v>
      </c>
    </row>
    <row r="615" spans="2:12" x14ac:dyDescent="0.35">
      <c r="B615" s="4" t="s">
        <v>1210</v>
      </c>
      <c r="C615" s="4" t="s">
        <v>6362</v>
      </c>
      <c r="D615" s="4" t="s">
        <v>5</v>
      </c>
      <c r="E615" s="4" t="s">
        <v>12</v>
      </c>
      <c r="F615" s="4" t="s">
        <v>7</v>
      </c>
      <c r="G615" s="4" t="s">
        <v>13</v>
      </c>
      <c r="H615" s="4" t="s">
        <v>74</v>
      </c>
      <c r="I615" s="5" t="str">
        <f>IFERROR(VLOOKUP(Consulta1[[#This Row],[Pozo largo]],'Lista YPF'!$B$3:$C$358,2,FALSE),"NO")</f>
        <v>NO</v>
      </c>
      <c r="J615" s="5" t="str">
        <f>IFERROR(VLOOKUP(Consulta1[[#This Row],[Pozo]],'Lista Oportunidades'!B:C,2,FALSE),"NO")</f>
        <v>NO</v>
      </c>
      <c r="K615" s="5">
        <f>IFERROR(VLOOKUP(Consulta1[[#This Row],[Pozo largo]],Controles!B:H,7,FALSE),"NO")</f>
        <v>0.57999999999999996</v>
      </c>
      <c r="L615" s="5">
        <f>IFERROR(VLOOKUP(Consulta1[[#This Row],[Pozo largo]],Controles!B:J,9,FALSE),"NO")</f>
        <v>0</v>
      </c>
    </row>
    <row r="616" spans="2:12" x14ac:dyDescent="0.35">
      <c r="B616" s="4" t="s">
        <v>1212</v>
      </c>
      <c r="C616" s="4" t="s">
        <v>6363</v>
      </c>
      <c r="D616" s="4" t="s">
        <v>5</v>
      </c>
      <c r="E616" s="4" t="s">
        <v>12</v>
      </c>
      <c r="F616" s="4" t="s">
        <v>83</v>
      </c>
      <c r="G616" s="4" t="s">
        <v>13</v>
      </c>
      <c r="H616" s="4" t="s">
        <v>16</v>
      </c>
      <c r="I616" s="5" t="str">
        <f>IFERROR(VLOOKUP(Consulta1[[#This Row],[Pozo largo]],'Lista YPF'!$B$3:$C$358,2,FALSE),"NO")</f>
        <v>NO</v>
      </c>
      <c r="J616" s="5" t="str">
        <f>IFERROR(VLOOKUP(Consulta1[[#This Row],[Pozo]],'Lista Oportunidades'!B:C,2,FALSE),"NO")</f>
        <v>NO</v>
      </c>
      <c r="K616" s="5">
        <f>IFERROR(VLOOKUP(Consulta1[[#This Row],[Pozo largo]],Controles!B:H,7,FALSE),"NO")</f>
        <v>0.88200000000000001</v>
      </c>
      <c r="L616" s="5">
        <f>IFERROR(VLOOKUP(Consulta1[[#This Row],[Pozo largo]],Controles!B:J,9,FALSE),"NO")</f>
        <v>0</v>
      </c>
    </row>
    <row r="617" spans="2:12" x14ac:dyDescent="0.35">
      <c r="B617" s="4" t="s">
        <v>1214</v>
      </c>
      <c r="C617" s="4" t="s">
        <v>6364</v>
      </c>
      <c r="D617" s="4" t="s">
        <v>5</v>
      </c>
      <c r="E617" s="4" t="s">
        <v>24</v>
      </c>
      <c r="F617" s="4" t="s">
        <v>25</v>
      </c>
      <c r="G617" s="4" t="s">
        <v>8</v>
      </c>
      <c r="H617" s="4" t="s">
        <v>146</v>
      </c>
      <c r="I617" s="5" t="str">
        <f>IFERROR(VLOOKUP(Consulta1[[#This Row],[Pozo largo]],'Lista YPF'!$B$3:$C$358,2,FALSE),"NO")</f>
        <v>NO</v>
      </c>
      <c r="J617" s="5" t="str">
        <f>IFERROR(VLOOKUP(Consulta1[[#This Row],[Pozo]],'Lista Oportunidades'!B:C,2,FALSE),"NO")</f>
        <v>NO</v>
      </c>
      <c r="K617" s="5">
        <f>IFERROR(VLOOKUP(Consulta1[[#This Row],[Pozo largo]],Controles!B:H,7,FALSE),"NO")</f>
        <v>0.108</v>
      </c>
      <c r="L617" s="5">
        <f>IFERROR(VLOOKUP(Consulta1[[#This Row],[Pozo largo]],Controles!B:J,9,FALSE),"NO")</f>
        <v>0</v>
      </c>
    </row>
    <row r="618" spans="2:12" x14ac:dyDescent="0.35">
      <c r="B618" s="4" t="s">
        <v>1216</v>
      </c>
      <c r="C618" s="4" t="s">
        <v>6365</v>
      </c>
      <c r="D618" s="4" t="s">
        <v>5</v>
      </c>
      <c r="E618" s="4" t="s">
        <v>6</v>
      </c>
      <c r="F618" s="4" t="s">
        <v>28</v>
      </c>
      <c r="G618" s="4" t="s">
        <v>5718</v>
      </c>
      <c r="H618" s="4" t="s">
        <v>71</v>
      </c>
      <c r="I618" s="5" t="str">
        <f>IFERROR(VLOOKUP(Consulta1[[#This Row],[Pozo largo]],'Lista YPF'!$B$3:$C$358,2,FALSE),"NO")</f>
        <v>En lista de Abandono</v>
      </c>
      <c r="J618" s="5" t="str">
        <f>IFERROR(VLOOKUP(Consulta1[[#This Row],[Pozo]],'Lista Oportunidades'!B:C,2,FALSE),"NO")</f>
        <v>NO</v>
      </c>
      <c r="K618" s="5">
        <f>IFERROR(VLOOKUP(Consulta1[[#This Row],[Pozo largo]],Controles!B:H,7,FALSE),"NO")</f>
        <v>0</v>
      </c>
      <c r="L618" s="5" t="str">
        <f>IFERROR(VLOOKUP(Consulta1[[#This Row],[Pozo largo]],Controles!B:J,9,FALSE),"NO")</f>
        <v>Ultimo Año</v>
      </c>
    </row>
    <row r="619" spans="2:12" x14ac:dyDescent="0.35">
      <c r="B619" s="4" t="s">
        <v>1218</v>
      </c>
      <c r="C619" s="4" t="s">
        <v>6366</v>
      </c>
      <c r="D619" s="4" t="s">
        <v>5</v>
      </c>
      <c r="E619" s="4" t="s">
        <v>57</v>
      </c>
      <c r="F619" s="4" t="s">
        <v>238</v>
      </c>
      <c r="G619" s="4" t="s">
        <v>5718</v>
      </c>
      <c r="H619" s="4" t="s">
        <v>71</v>
      </c>
      <c r="I619" s="5" t="str">
        <f>IFERROR(VLOOKUP(Consulta1[[#This Row],[Pozo largo]],'Lista YPF'!$B$3:$C$358,2,FALSE),"NO")</f>
        <v>En lista de Abandono</v>
      </c>
      <c r="J619" s="5" t="str">
        <f>IFERROR(VLOOKUP(Consulta1[[#This Row],[Pozo]],'Lista Oportunidades'!B:C,2,FALSE),"NO")</f>
        <v>NO</v>
      </c>
      <c r="K619" s="5">
        <f>IFERROR(VLOOKUP(Consulta1[[#This Row],[Pozo largo]],Controles!B:H,7,FALSE),"NO")</f>
        <v>1.03</v>
      </c>
      <c r="L619" s="5">
        <f>IFERROR(VLOOKUP(Consulta1[[#This Row],[Pozo largo]],Controles!B:J,9,FALSE),"NO")</f>
        <v>0</v>
      </c>
    </row>
    <row r="620" spans="2:12" x14ac:dyDescent="0.35">
      <c r="B620" s="4" t="s">
        <v>1220</v>
      </c>
      <c r="C620" s="4" t="s">
        <v>6367</v>
      </c>
      <c r="D620" s="4" t="s">
        <v>5</v>
      </c>
      <c r="E620" s="4" t="s">
        <v>6</v>
      </c>
      <c r="F620" s="4" t="s">
        <v>28</v>
      </c>
      <c r="G620" s="4" t="s">
        <v>5718</v>
      </c>
      <c r="H620" s="4" t="s">
        <v>71</v>
      </c>
      <c r="I620" s="5" t="str">
        <f>IFERROR(VLOOKUP(Consulta1[[#This Row],[Pozo largo]],'Lista YPF'!$B$3:$C$358,2,FALSE),"NO")</f>
        <v>En lista de Abandono</v>
      </c>
      <c r="J620" s="5" t="str">
        <f>IFERROR(VLOOKUP(Consulta1[[#This Row],[Pozo]],'Lista Oportunidades'!B:C,2,FALSE),"NO")</f>
        <v>NO</v>
      </c>
      <c r="K620" s="5">
        <f>IFERROR(VLOOKUP(Consulta1[[#This Row],[Pozo largo]],Controles!B:H,7,FALSE),"NO")</f>
        <v>0</v>
      </c>
      <c r="L620" s="5">
        <f>IFERROR(VLOOKUP(Consulta1[[#This Row],[Pozo largo]],Controles!B:J,9,FALSE),"NO")</f>
        <v>0</v>
      </c>
    </row>
    <row r="621" spans="2:12" x14ac:dyDescent="0.35">
      <c r="B621" s="4" t="s">
        <v>1222</v>
      </c>
      <c r="C621" s="4" t="s">
        <v>6368</v>
      </c>
      <c r="D621" s="4" t="s">
        <v>5</v>
      </c>
      <c r="E621" s="4" t="s">
        <v>430</v>
      </c>
      <c r="F621" s="4" t="s">
        <v>31</v>
      </c>
      <c r="G621" s="4" t="s">
        <v>5718</v>
      </c>
      <c r="H621" s="4" t="s">
        <v>21</v>
      </c>
      <c r="I621" s="5" t="str">
        <f>IFERROR(VLOOKUP(Consulta1[[#This Row],[Pozo largo]],'Lista YPF'!$B$3:$C$358,2,FALSE),"NO")</f>
        <v>En lista de Abandono</v>
      </c>
      <c r="J621" s="5" t="str">
        <f>IFERROR(VLOOKUP(Consulta1[[#This Row],[Pozo]],'Lista Oportunidades'!B:C,2,FALSE),"NO")</f>
        <v>NO</v>
      </c>
      <c r="K621" s="5">
        <f>IFERROR(VLOOKUP(Consulta1[[#This Row],[Pozo largo]],Controles!B:H,7,FALSE),"NO")</f>
        <v>0.04</v>
      </c>
      <c r="L621" s="5">
        <f>IFERROR(VLOOKUP(Consulta1[[#This Row],[Pozo largo]],Controles!B:J,9,FALSE),"NO")</f>
        <v>0</v>
      </c>
    </row>
    <row r="622" spans="2:12" x14ac:dyDescent="0.35">
      <c r="B622" s="4" t="s">
        <v>1224</v>
      </c>
      <c r="C622" s="4" t="s">
        <v>6369</v>
      </c>
      <c r="D622" s="4" t="s">
        <v>5</v>
      </c>
      <c r="E622" s="4" t="s">
        <v>12</v>
      </c>
      <c r="F622" s="4" t="s">
        <v>238</v>
      </c>
      <c r="G622" s="4" t="s">
        <v>13</v>
      </c>
      <c r="H622" s="4" t="s">
        <v>21</v>
      </c>
      <c r="I622" s="5" t="str">
        <f>IFERROR(VLOOKUP(Consulta1[[#This Row],[Pozo largo]],'Lista YPF'!$B$3:$C$358,2,FALSE),"NO")</f>
        <v>NO</v>
      </c>
      <c r="J622" s="5" t="str">
        <f>IFERROR(VLOOKUP(Consulta1[[#This Row],[Pozo]],'Lista Oportunidades'!B:C,2,FALSE),"NO")</f>
        <v>NO</v>
      </c>
      <c r="K622" s="5">
        <f>IFERROR(VLOOKUP(Consulta1[[#This Row],[Pozo largo]],Controles!B:H,7,FALSE),"NO")</f>
        <v>2.5</v>
      </c>
      <c r="L622" s="5">
        <f>IFERROR(VLOOKUP(Consulta1[[#This Row],[Pozo largo]],Controles!B:J,9,FALSE),"NO")</f>
        <v>0</v>
      </c>
    </row>
    <row r="623" spans="2:12" x14ac:dyDescent="0.35">
      <c r="B623" s="4" t="s">
        <v>1226</v>
      </c>
      <c r="C623" s="4" t="s">
        <v>6370</v>
      </c>
      <c r="D623" s="4" t="s">
        <v>5</v>
      </c>
      <c r="E623" s="4" t="s">
        <v>12</v>
      </c>
      <c r="F623" s="4" t="s">
        <v>238</v>
      </c>
      <c r="G623" s="4" t="s">
        <v>13</v>
      </c>
      <c r="H623" s="4" t="s">
        <v>21</v>
      </c>
      <c r="I623" s="5" t="str">
        <f>IFERROR(VLOOKUP(Consulta1[[#This Row],[Pozo largo]],'Lista YPF'!$B$3:$C$358,2,FALSE),"NO")</f>
        <v>NO</v>
      </c>
      <c r="J623" s="5" t="str">
        <f>IFERROR(VLOOKUP(Consulta1[[#This Row],[Pozo]],'Lista Oportunidades'!B:C,2,FALSE),"NO")</f>
        <v>NO</v>
      </c>
      <c r="K623" s="5">
        <f>IFERROR(VLOOKUP(Consulta1[[#This Row],[Pozo largo]],Controles!B:H,7,FALSE),"NO")</f>
        <v>0.73</v>
      </c>
      <c r="L623" s="5">
        <f>IFERROR(VLOOKUP(Consulta1[[#This Row],[Pozo largo]],Controles!B:J,9,FALSE),"NO")</f>
        <v>0</v>
      </c>
    </row>
    <row r="624" spans="2:12" x14ac:dyDescent="0.35">
      <c r="B624" s="4" t="s">
        <v>1228</v>
      </c>
      <c r="C624" s="4" t="s">
        <v>6371</v>
      </c>
      <c r="D624" s="4" t="s">
        <v>5</v>
      </c>
      <c r="E624" s="4" t="s">
        <v>24</v>
      </c>
      <c r="F624" s="4" t="s">
        <v>31</v>
      </c>
      <c r="G624" s="4" t="s">
        <v>8</v>
      </c>
      <c r="H624" s="4" t="s">
        <v>21</v>
      </c>
      <c r="I624" s="5" t="str">
        <f>IFERROR(VLOOKUP(Consulta1[[#This Row],[Pozo largo]],'Lista YPF'!$B$3:$C$358,2,FALSE),"NO")</f>
        <v>NO</v>
      </c>
      <c r="J624" s="5" t="str">
        <f>IFERROR(VLOOKUP(Consulta1[[#This Row],[Pozo]],'Lista Oportunidades'!B:C,2,FALSE),"NO")</f>
        <v>NO</v>
      </c>
      <c r="K624" s="5" t="str">
        <f>IFERROR(VLOOKUP(Consulta1[[#This Row],[Pozo largo]],Controles!B:H,7,FALSE),"NO")</f>
        <v>NO</v>
      </c>
      <c r="L624" s="5" t="str">
        <f>IFERROR(VLOOKUP(Consulta1[[#This Row],[Pozo largo]],Controles!B:J,9,FALSE),"NO")</f>
        <v>NO</v>
      </c>
    </row>
    <row r="625" spans="2:12" x14ac:dyDescent="0.35">
      <c r="B625" s="4" t="s">
        <v>1229</v>
      </c>
      <c r="C625" s="4" t="s">
        <v>6372</v>
      </c>
      <c r="D625" s="4" t="s">
        <v>5</v>
      </c>
      <c r="E625" s="4" t="s">
        <v>24</v>
      </c>
      <c r="F625" s="4" t="s">
        <v>31</v>
      </c>
      <c r="G625" s="4" t="s">
        <v>8</v>
      </c>
      <c r="H625" s="4" t="s">
        <v>21</v>
      </c>
      <c r="I625" s="5" t="str">
        <f>IFERROR(VLOOKUP(Consulta1[[#This Row],[Pozo largo]],'Lista YPF'!$B$3:$C$358,2,FALSE),"NO")</f>
        <v>NO</v>
      </c>
      <c r="J625" s="5" t="str">
        <f>IFERROR(VLOOKUP(Consulta1[[#This Row],[Pozo]],'Lista Oportunidades'!B:C,2,FALSE),"NO")</f>
        <v>NO</v>
      </c>
      <c r="K625" s="5">
        <f>IFERROR(VLOOKUP(Consulta1[[#This Row],[Pozo largo]],Controles!B:H,7,FALSE),"NO")</f>
        <v>0</v>
      </c>
      <c r="L625" s="5">
        <f>IFERROR(VLOOKUP(Consulta1[[#This Row],[Pozo largo]],Controles!B:J,9,FALSE),"NO")</f>
        <v>0</v>
      </c>
    </row>
    <row r="626" spans="2:12" x14ac:dyDescent="0.35">
      <c r="B626" s="4" t="s">
        <v>1231</v>
      </c>
      <c r="C626" s="4" t="s">
        <v>6373</v>
      </c>
      <c r="D626" s="4" t="s">
        <v>5</v>
      </c>
      <c r="E626" s="4" t="s">
        <v>12</v>
      </c>
      <c r="F626" s="4" t="s">
        <v>25</v>
      </c>
      <c r="G626" s="4" t="s">
        <v>13</v>
      </c>
      <c r="H626" s="4" t="s">
        <v>33</v>
      </c>
      <c r="I626" s="5" t="str">
        <f>IFERROR(VLOOKUP(Consulta1[[#This Row],[Pozo largo]],'Lista YPF'!$B$3:$C$358,2,FALSE),"NO")</f>
        <v>NO</v>
      </c>
      <c r="J626" s="5" t="str">
        <f>IFERROR(VLOOKUP(Consulta1[[#This Row],[Pozo]],'Lista Oportunidades'!B:C,2,FALSE),"NO")</f>
        <v>NO</v>
      </c>
      <c r="K626" s="5">
        <f>IFERROR(VLOOKUP(Consulta1[[#This Row],[Pozo largo]],Controles!B:H,7,FALSE),"NO")</f>
        <v>0.192</v>
      </c>
      <c r="L626" s="5">
        <f>IFERROR(VLOOKUP(Consulta1[[#This Row],[Pozo largo]],Controles!B:J,9,FALSE),"NO")</f>
        <v>0</v>
      </c>
    </row>
    <row r="627" spans="2:12" x14ac:dyDescent="0.35">
      <c r="B627" s="4" t="s">
        <v>1233</v>
      </c>
      <c r="C627" s="4" t="s">
        <v>6374</v>
      </c>
      <c r="D627" s="4" t="s">
        <v>5</v>
      </c>
      <c r="E627" s="4" t="s">
        <v>12</v>
      </c>
      <c r="F627" s="4" t="s">
        <v>25</v>
      </c>
      <c r="G627" s="4" t="s">
        <v>13</v>
      </c>
      <c r="H627" s="4" t="s">
        <v>21</v>
      </c>
      <c r="I627" s="5" t="str">
        <f>IFERROR(VLOOKUP(Consulta1[[#This Row],[Pozo largo]],'Lista YPF'!$B$3:$C$358,2,FALSE),"NO")</f>
        <v>NO</v>
      </c>
      <c r="J627" s="5" t="str">
        <f>IFERROR(VLOOKUP(Consulta1[[#This Row],[Pozo]],'Lista Oportunidades'!B:C,2,FALSE),"NO")</f>
        <v>NO</v>
      </c>
      <c r="K627" s="5">
        <f>IFERROR(VLOOKUP(Consulta1[[#This Row],[Pozo largo]],Controles!B:H,7,FALSE),"NO")</f>
        <v>0.115</v>
      </c>
      <c r="L627" s="5">
        <f>IFERROR(VLOOKUP(Consulta1[[#This Row],[Pozo largo]],Controles!B:J,9,FALSE),"NO")</f>
        <v>0</v>
      </c>
    </row>
    <row r="628" spans="2:12" x14ac:dyDescent="0.35">
      <c r="B628" s="4" t="s">
        <v>1235</v>
      </c>
      <c r="C628" s="4" t="s">
        <v>5728</v>
      </c>
      <c r="D628" s="4" t="s">
        <v>5</v>
      </c>
      <c r="E628" s="4" t="s">
        <v>6</v>
      </c>
      <c r="F628" s="4" t="s">
        <v>1114</v>
      </c>
      <c r="G628" s="4" t="s">
        <v>8689</v>
      </c>
      <c r="H628" s="4" t="s">
        <v>36</v>
      </c>
      <c r="I628" s="5" t="str">
        <f>IFERROR(VLOOKUP(Consulta1[[#This Row],[Pozo largo]],'Lista YPF'!$B$3:$C$358,2,FALSE),"NO")</f>
        <v>NO</v>
      </c>
      <c r="J628" s="5" t="str">
        <f>IFERROR(VLOOKUP(Consulta1[[#This Row],[Pozo]],'Lista Oportunidades'!B:C,2,FALSE),"NO")</f>
        <v>Oportunidad</v>
      </c>
      <c r="K628" s="5">
        <f>IFERROR(VLOOKUP(Consulta1[[#This Row],[Pozo largo]],Controles!B:H,7,FALSE),"NO")</f>
        <v>3.0000000000000001E-3</v>
      </c>
      <c r="L628" s="5">
        <f>IFERROR(VLOOKUP(Consulta1[[#This Row],[Pozo largo]],Controles!B:J,9,FALSE),"NO")</f>
        <v>0</v>
      </c>
    </row>
    <row r="629" spans="2:12" x14ac:dyDescent="0.35">
      <c r="B629" s="4" t="s">
        <v>1237</v>
      </c>
      <c r="C629" s="4" t="s">
        <v>6375</v>
      </c>
      <c r="D629" s="4" t="s">
        <v>5</v>
      </c>
      <c r="E629" s="4" t="s">
        <v>24</v>
      </c>
      <c r="F629" s="4" t="s">
        <v>25</v>
      </c>
      <c r="G629" s="4" t="s">
        <v>8</v>
      </c>
      <c r="H629" s="4" t="s">
        <v>33</v>
      </c>
      <c r="I629" s="5" t="str">
        <f>IFERROR(VLOOKUP(Consulta1[[#This Row],[Pozo largo]],'Lista YPF'!$B$3:$C$358,2,FALSE),"NO")</f>
        <v>NO</v>
      </c>
      <c r="J629" s="5" t="str">
        <f>IFERROR(VLOOKUP(Consulta1[[#This Row],[Pozo]],'Lista Oportunidades'!B:C,2,FALSE),"NO")</f>
        <v>NO</v>
      </c>
      <c r="K629" s="5">
        <f>IFERROR(VLOOKUP(Consulta1[[#This Row],[Pozo largo]],Controles!B:H,7,FALSE),"NO")</f>
        <v>9.6000000000000002E-2</v>
      </c>
      <c r="L629" s="5">
        <f>IFERROR(VLOOKUP(Consulta1[[#This Row],[Pozo largo]],Controles!B:J,9,FALSE),"NO")</f>
        <v>0</v>
      </c>
    </row>
    <row r="630" spans="2:12" x14ac:dyDescent="0.35">
      <c r="B630" s="4" t="s">
        <v>1239</v>
      </c>
      <c r="C630" s="4" t="s">
        <v>6376</v>
      </c>
      <c r="D630" s="4" t="s">
        <v>5</v>
      </c>
      <c r="E630" s="4" t="s">
        <v>12</v>
      </c>
      <c r="F630" s="4" t="s">
        <v>7</v>
      </c>
      <c r="G630" s="4" t="s">
        <v>13</v>
      </c>
      <c r="H630" s="4" t="s">
        <v>21</v>
      </c>
      <c r="I630" s="5" t="str">
        <f>IFERROR(VLOOKUP(Consulta1[[#This Row],[Pozo largo]],'Lista YPF'!$B$3:$C$358,2,FALSE),"NO")</f>
        <v>NO</v>
      </c>
      <c r="J630" s="5" t="str">
        <f>IFERROR(VLOOKUP(Consulta1[[#This Row],[Pozo]],'Lista Oportunidades'!B:C,2,FALSE),"NO")</f>
        <v>NO</v>
      </c>
      <c r="K630" s="5">
        <f>IFERROR(VLOOKUP(Consulta1[[#This Row],[Pozo largo]],Controles!B:H,7,FALSE),"NO")</f>
        <v>0.21400000000000002</v>
      </c>
      <c r="L630" s="5">
        <f>IFERROR(VLOOKUP(Consulta1[[#This Row],[Pozo largo]],Controles!B:J,9,FALSE),"NO")</f>
        <v>0</v>
      </c>
    </row>
    <row r="631" spans="2:12" x14ac:dyDescent="0.35">
      <c r="B631" s="4" t="s">
        <v>1241</v>
      </c>
      <c r="C631" s="4" t="s">
        <v>6377</v>
      </c>
      <c r="D631" s="4" t="s">
        <v>5</v>
      </c>
      <c r="E631" s="4" t="s">
        <v>24</v>
      </c>
      <c r="F631" s="4" t="s">
        <v>28</v>
      </c>
      <c r="G631" s="4" t="s">
        <v>8</v>
      </c>
      <c r="H631" s="4" t="s">
        <v>33</v>
      </c>
      <c r="I631" s="5" t="str">
        <f>IFERROR(VLOOKUP(Consulta1[[#This Row],[Pozo largo]],'Lista YPF'!$B$3:$C$358,2,FALSE),"NO")</f>
        <v>NO</v>
      </c>
      <c r="J631" s="5" t="str">
        <f>IFERROR(VLOOKUP(Consulta1[[#This Row],[Pozo]],'Lista Oportunidades'!B:C,2,FALSE),"NO")</f>
        <v>NO</v>
      </c>
      <c r="K631" s="5">
        <f>IFERROR(VLOOKUP(Consulta1[[#This Row],[Pozo largo]],Controles!B:H,7,FALSE),"NO")</f>
        <v>0</v>
      </c>
      <c r="L631" s="5">
        <f>IFERROR(VLOOKUP(Consulta1[[#This Row],[Pozo largo]],Controles!B:J,9,FALSE),"NO")</f>
        <v>0</v>
      </c>
    </row>
    <row r="632" spans="2:12" x14ac:dyDescent="0.35">
      <c r="B632" s="4" t="s">
        <v>1243</v>
      </c>
      <c r="C632" s="4" t="s">
        <v>6378</v>
      </c>
      <c r="D632" s="4" t="s">
        <v>5</v>
      </c>
      <c r="E632" s="4" t="s">
        <v>6</v>
      </c>
      <c r="F632" s="4" t="s">
        <v>28</v>
      </c>
      <c r="G632" s="4" t="s">
        <v>5718</v>
      </c>
      <c r="H632" s="4" t="s">
        <v>33</v>
      </c>
      <c r="I632" s="5" t="str">
        <f>IFERROR(VLOOKUP(Consulta1[[#This Row],[Pozo largo]],'Lista YPF'!$B$3:$C$358,2,FALSE),"NO")</f>
        <v>En lista de Abandono</v>
      </c>
      <c r="J632" s="5" t="str">
        <f>IFERROR(VLOOKUP(Consulta1[[#This Row],[Pozo]],'Lista Oportunidades'!B:C,2,FALSE),"NO")</f>
        <v>NO</v>
      </c>
      <c r="K632" s="5">
        <f>IFERROR(VLOOKUP(Consulta1[[#This Row],[Pozo largo]],Controles!B:H,7,FALSE),"NO")</f>
        <v>0</v>
      </c>
      <c r="L632" s="5">
        <f>IFERROR(VLOOKUP(Consulta1[[#This Row],[Pozo largo]],Controles!B:J,9,FALSE),"NO")</f>
        <v>0</v>
      </c>
    </row>
    <row r="633" spans="2:12" x14ac:dyDescent="0.35">
      <c r="B633" s="4" t="s">
        <v>1245</v>
      </c>
      <c r="C633" s="4" t="s">
        <v>6379</v>
      </c>
      <c r="D633" s="4" t="s">
        <v>5</v>
      </c>
      <c r="E633" s="4" t="s">
        <v>12</v>
      </c>
      <c r="F633" s="4" t="s">
        <v>25</v>
      </c>
      <c r="G633" s="4" t="s">
        <v>13</v>
      </c>
      <c r="H633" s="4" t="s">
        <v>254</v>
      </c>
      <c r="I633" s="5" t="str">
        <f>IFERROR(VLOOKUP(Consulta1[[#This Row],[Pozo largo]],'Lista YPF'!$B$3:$C$358,2,FALSE),"NO")</f>
        <v>NO</v>
      </c>
      <c r="J633" s="5" t="str">
        <f>IFERROR(VLOOKUP(Consulta1[[#This Row],[Pozo]],'Lista Oportunidades'!B:C,2,FALSE),"NO")</f>
        <v>NO</v>
      </c>
      <c r="K633" s="5">
        <f>IFERROR(VLOOKUP(Consulta1[[#This Row],[Pozo largo]],Controles!B:H,7,FALSE),"NO")</f>
        <v>9.5000000000000001E-2</v>
      </c>
      <c r="L633" s="5">
        <f>IFERROR(VLOOKUP(Consulta1[[#This Row],[Pozo largo]],Controles!B:J,9,FALSE),"NO")</f>
        <v>0</v>
      </c>
    </row>
    <row r="634" spans="2:12" x14ac:dyDescent="0.35">
      <c r="B634" s="4" t="s">
        <v>1247</v>
      </c>
      <c r="C634" s="4" t="s">
        <v>6380</v>
      </c>
      <c r="D634" s="4" t="s">
        <v>5</v>
      </c>
      <c r="E634" s="4" t="s">
        <v>12</v>
      </c>
      <c r="F634" s="4" t="s">
        <v>7</v>
      </c>
      <c r="G634" s="4" t="s">
        <v>13</v>
      </c>
      <c r="H634" s="4" t="s">
        <v>9</v>
      </c>
      <c r="I634" s="5" t="str">
        <f>IFERROR(VLOOKUP(Consulta1[[#This Row],[Pozo largo]],'Lista YPF'!$B$3:$C$358,2,FALSE),"NO")</f>
        <v>NO</v>
      </c>
      <c r="J634" s="5" t="str">
        <f>IFERROR(VLOOKUP(Consulta1[[#This Row],[Pozo]],'Lista Oportunidades'!B:C,2,FALSE),"NO")</f>
        <v>NO</v>
      </c>
      <c r="K634" s="5">
        <f>IFERROR(VLOOKUP(Consulta1[[#This Row],[Pozo largo]],Controles!B:H,7,FALSE),"NO")</f>
        <v>2.04</v>
      </c>
      <c r="L634" s="5">
        <f>IFERROR(VLOOKUP(Consulta1[[#This Row],[Pozo largo]],Controles!B:J,9,FALSE),"NO")</f>
        <v>0</v>
      </c>
    </row>
    <row r="635" spans="2:12" x14ac:dyDescent="0.35">
      <c r="B635" s="4" t="s">
        <v>1249</v>
      </c>
      <c r="C635" s="4" t="s">
        <v>6381</v>
      </c>
      <c r="D635" s="4" t="s">
        <v>5</v>
      </c>
      <c r="E635" s="4" t="s">
        <v>30</v>
      </c>
      <c r="F635" s="4" t="s">
        <v>31</v>
      </c>
      <c r="G635" s="4" t="s">
        <v>32</v>
      </c>
      <c r="H635" s="4" t="s">
        <v>21</v>
      </c>
      <c r="I635" s="5" t="str">
        <f>IFERROR(VLOOKUP(Consulta1[[#This Row],[Pozo largo]],'Lista YPF'!$B$3:$C$358,2,FALSE),"NO")</f>
        <v>NO</v>
      </c>
      <c r="J635" s="5" t="str">
        <f>IFERROR(VLOOKUP(Consulta1[[#This Row],[Pozo]],'Lista Oportunidades'!B:C,2,FALSE),"NO")</f>
        <v>NO</v>
      </c>
      <c r="K635" s="5" t="str">
        <f>IFERROR(VLOOKUP(Consulta1[[#This Row],[Pozo largo]],Controles!B:H,7,FALSE),"NO")</f>
        <v>NO</v>
      </c>
      <c r="L635" s="5" t="str">
        <f>IFERROR(VLOOKUP(Consulta1[[#This Row],[Pozo largo]],Controles!B:J,9,FALSE),"NO")</f>
        <v>NO</v>
      </c>
    </row>
    <row r="636" spans="2:12" x14ac:dyDescent="0.35">
      <c r="B636" s="4" t="s">
        <v>1250</v>
      </c>
      <c r="C636" s="4" t="s">
        <v>6382</v>
      </c>
      <c r="D636" s="4" t="s">
        <v>5</v>
      </c>
      <c r="E636" s="4" t="s">
        <v>57</v>
      </c>
      <c r="F636" s="4" t="s">
        <v>7</v>
      </c>
      <c r="G636" s="4" t="s">
        <v>5718</v>
      </c>
      <c r="H636" s="4" t="s">
        <v>36</v>
      </c>
      <c r="I636" s="5" t="str">
        <f>IFERROR(VLOOKUP(Consulta1[[#This Row],[Pozo largo]],'Lista YPF'!$B$3:$C$358,2,FALSE),"NO")</f>
        <v>En lista de Abandono</v>
      </c>
      <c r="J636" s="5" t="str">
        <f>IFERROR(VLOOKUP(Consulta1[[#This Row],[Pozo]],'Lista Oportunidades'!B:C,2,FALSE),"NO")</f>
        <v>NO</v>
      </c>
      <c r="K636" s="5">
        <f>IFERROR(VLOOKUP(Consulta1[[#This Row],[Pozo largo]],Controles!B:H,7,FALSE),"NO")</f>
        <v>0.88200000000000001</v>
      </c>
      <c r="L636" s="5">
        <f>IFERROR(VLOOKUP(Consulta1[[#This Row],[Pozo largo]],Controles!B:J,9,FALSE),"NO")</f>
        <v>0</v>
      </c>
    </row>
    <row r="637" spans="2:12" x14ac:dyDescent="0.35">
      <c r="B637" s="4" t="s">
        <v>1252</v>
      </c>
      <c r="C637" s="4" t="s">
        <v>6383</v>
      </c>
      <c r="D637" s="4" t="s">
        <v>5</v>
      </c>
      <c r="E637" s="4" t="s">
        <v>30</v>
      </c>
      <c r="F637" s="4" t="s">
        <v>31</v>
      </c>
      <c r="G637" s="4" t="s">
        <v>32</v>
      </c>
      <c r="H637" s="4" t="s">
        <v>36</v>
      </c>
      <c r="I637" s="5" t="str">
        <f>IFERROR(VLOOKUP(Consulta1[[#This Row],[Pozo largo]],'Lista YPF'!$B$3:$C$358,2,FALSE),"NO")</f>
        <v>NO</v>
      </c>
      <c r="J637" s="5" t="str">
        <f>IFERROR(VLOOKUP(Consulta1[[#This Row],[Pozo]],'Lista Oportunidades'!B:C,2,FALSE),"NO")</f>
        <v>NO</v>
      </c>
      <c r="K637" s="5">
        <f>IFERROR(VLOOKUP(Consulta1[[#This Row],[Pozo largo]],Controles!B:H,7,FALSE),"NO")</f>
        <v>0</v>
      </c>
      <c r="L637" s="5">
        <f>IFERROR(VLOOKUP(Consulta1[[#This Row],[Pozo largo]],Controles!B:J,9,FALSE),"NO")</f>
        <v>0</v>
      </c>
    </row>
    <row r="638" spans="2:12" x14ac:dyDescent="0.35">
      <c r="B638" s="4" t="s">
        <v>1254</v>
      </c>
      <c r="C638" s="4" t="s">
        <v>6384</v>
      </c>
      <c r="D638" s="4" t="s">
        <v>5</v>
      </c>
      <c r="E638" s="4" t="s">
        <v>24</v>
      </c>
      <c r="F638" s="4" t="s">
        <v>31</v>
      </c>
      <c r="G638" s="4" t="s">
        <v>8</v>
      </c>
      <c r="H638" s="4" t="s">
        <v>86</v>
      </c>
      <c r="I638" s="5" t="str">
        <f>IFERROR(VLOOKUP(Consulta1[[#This Row],[Pozo largo]],'Lista YPF'!$B$3:$C$358,2,FALSE),"NO")</f>
        <v>NO</v>
      </c>
      <c r="J638" s="5" t="str">
        <f>IFERROR(VLOOKUP(Consulta1[[#This Row],[Pozo]],'Lista Oportunidades'!B:C,2,FALSE),"NO")</f>
        <v>NO</v>
      </c>
      <c r="K638" s="5">
        <f>IFERROR(VLOOKUP(Consulta1[[#This Row],[Pozo largo]],Controles!B:H,7,FALSE),"NO")</f>
        <v>0.15</v>
      </c>
      <c r="L638" s="5">
        <f>IFERROR(VLOOKUP(Consulta1[[#This Row],[Pozo largo]],Controles!B:J,9,FALSE),"NO")</f>
        <v>0</v>
      </c>
    </row>
    <row r="639" spans="2:12" x14ac:dyDescent="0.35">
      <c r="B639" s="4" t="s">
        <v>1256</v>
      </c>
      <c r="C639" s="4" t="s">
        <v>6385</v>
      </c>
      <c r="D639" s="4" t="s">
        <v>5</v>
      </c>
      <c r="E639" s="4" t="s">
        <v>24</v>
      </c>
      <c r="F639" s="4" t="s">
        <v>31</v>
      </c>
      <c r="G639" s="4" t="s">
        <v>8</v>
      </c>
      <c r="H639" s="4" t="s">
        <v>71</v>
      </c>
      <c r="I639" s="5" t="str">
        <f>IFERROR(VLOOKUP(Consulta1[[#This Row],[Pozo largo]],'Lista YPF'!$B$3:$C$358,2,FALSE),"NO")</f>
        <v>NO</v>
      </c>
      <c r="J639" s="5" t="str">
        <f>IFERROR(VLOOKUP(Consulta1[[#This Row],[Pozo]],'Lista Oportunidades'!B:C,2,FALSE),"NO")</f>
        <v>NO</v>
      </c>
      <c r="K639" s="5">
        <f>IFERROR(VLOOKUP(Consulta1[[#This Row],[Pozo largo]],Controles!B:H,7,FALSE),"NO")</f>
        <v>0.72</v>
      </c>
      <c r="L639" s="5">
        <f>IFERROR(VLOOKUP(Consulta1[[#This Row],[Pozo largo]],Controles!B:J,9,FALSE),"NO")</f>
        <v>0</v>
      </c>
    </row>
    <row r="640" spans="2:12" x14ac:dyDescent="0.35">
      <c r="B640" s="4" t="s">
        <v>1258</v>
      </c>
      <c r="C640" s="4" t="s">
        <v>6386</v>
      </c>
      <c r="D640" s="4" t="s">
        <v>5</v>
      </c>
      <c r="E640" s="4" t="s">
        <v>6</v>
      </c>
      <c r="F640" s="4" t="s">
        <v>28</v>
      </c>
      <c r="G640" s="4" t="s">
        <v>5718</v>
      </c>
      <c r="H640" s="4" t="s">
        <v>9</v>
      </c>
      <c r="I640" s="5" t="str">
        <f>IFERROR(VLOOKUP(Consulta1[[#This Row],[Pozo largo]],'Lista YPF'!$B$3:$C$358,2,FALSE),"NO")</f>
        <v>En lista de Abandono</v>
      </c>
      <c r="J640" s="5" t="str">
        <f>IFERROR(VLOOKUP(Consulta1[[#This Row],[Pozo]],'Lista Oportunidades'!B:C,2,FALSE),"NO")</f>
        <v>NO</v>
      </c>
      <c r="K640" s="5">
        <f>IFERROR(VLOOKUP(Consulta1[[#This Row],[Pozo largo]],Controles!B:H,7,FALSE),"NO")</f>
        <v>0</v>
      </c>
      <c r="L640" s="5" t="str">
        <f>IFERROR(VLOOKUP(Consulta1[[#This Row],[Pozo largo]],Controles!B:J,9,FALSE),"NO")</f>
        <v>Ultimo Año</v>
      </c>
    </row>
    <row r="641" spans="2:12" x14ac:dyDescent="0.35">
      <c r="B641" s="4" t="s">
        <v>1260</v>
      </c>
      <c r="C641" s="4" t="s">
        <v>6387</v>
      </c>
      <c r="D641" s="4" t="s">
        <v>5</v>
      </c>
      <c r="E641" s="4" t="s">
        <v>12</v>
      </c>
      <c r="F641" s="4" t="s">
        <v>7</v>
      </c>
      <c r="G641" s="4" t="s">
        <v>13</v>
      </c>
      <c r="H641" s="4" t="s">
        <v>9</v>
      </c>
      <c r="I641" s="5" t="str">
        <f>IFERROR(VLOOKUP(Consulta1[[#This Row],[Pozo largo]],'Lista YPF'!$B$3:$C$358,2,FALSE),"NO")</f>
        <v>NO</v>
      </c>
      <c r="J641" s="5" t="str">
        <f>IFERROR(VLOOKUP(Consulta1[[#This Row],[Pozo]],'Lista Oportunidades'!B:C,2,FALSE),"NO")</f>
        <v>NO</v>
      </c>
      <c r="K641" s="5">
        <f>IFERROR(VLOOKUP(Consulta1[[#This Row],[Pozo largo]],Controles!B:H,7,FALSE),"NO")</f>
        <v>0.97600000000000009</v>
      </c>
      <c r="L641" s="5">
        <f>IFERROR(VLOOKUP(Consulta1[[#This Row],[Pozo largo]],Controles!B:J,9,FALSE),"NO")</f>
        <v>0</v>
      </c>
    </row>
    <row r="642" spans="2:12" x14ac:dyDescent="0.35">
      <c r="B642" s="4" t="s">
        <v>1262</v>
      </c>
      <c r="C642" s="4" t="s">
        <v>6388</v>
      </c>
      <c r="D642" s="4" t="s">
        <v>5</v>
      </c>
      <c r="E642" s="4" t="s">
        <v>12</v>
      </c>
      <c r="F642" s="4" t="s">
        <v>7</v>
      </c>
      <c r="G642" s="4" t="s">
        <v>13</v>
      </c>
      <c r="H642" s="4" t="s">
        <v>21</v>
      </c>
      <c r="I642" s="5" t="str">
        <f>IFERROR(VLOOKUP(Consulta1[[#This Row],[Pozo largo]],'Lista YPF'!$B$3:$C$358,2,FALSE),"NO")</f>
        <v>NO</v>
      </c>
      <c r="J642" s="5" t="str">
        <f>IFERROR(VLOOKUP(Consulta1[[#This Row],[Pozo]],'Lista Oportunidades'!B:C,2,FALSE),"NO")</f>
        <v>NO</v>
      </c>
      <c r="K642" s="5">
        <f>IFERROR(VLOOKUP(Consulta1[[#This Row],[Pozo largo]],Controles!B:H,7,FALSE),"NO")</f>
        <v>1.35</v>
      </c>
      <c r="L642" s="5">
        <f>IFERROR(VLOOKUP(Consulta1[[#This Row],[Pozo largo]],Controles!B:J,9,FALSE),"NO")</f>
        <v>0</v>
      </c>
    </row>
    <row r="643" spans="2:12" x14ac:dyDescent="0.35">
      <c r="B643" s="4" t="s">
        <v>1264</v>
      </c>
      <c r="C643" s="4" t="s">
        <v>6389</v>
      </c>
      <c r="D643" s="4" t="s">
        <v>5</v>
      </c>
      <c r="E643" s="4" t="s">
        <v>24</v>
      </c>
      <c r="F643" s="4" t="s">
        <v>31</v>
      </c>
      <c r="G643" s="4" t="s">
        <v>8</v>
      </c>
      <c r="H643" s="4" t="s">
        <v>9</v>
      </c>
      <c r="I643" s="5" t="str">
        <f>IFERROR(VLOOKUP(Consulta1[[#This Row],[Pozo largo]],'Lista YPF'!$B$3:$C$358,2,FALSE),"NO")</f>
        <v>NO</v>
      </c>
      <c r="J643" s="5" t="str">
        <f>IFERROR(VLOOKUP(Consulta1[[#This Row],[Pozo]],'Lista Oportunidades'!B:C,2,FALSE),"NO")</f>
        <v>NO</v>
      </c>
      <c r="K643" s="5">
        <f>IFERROR(VLOOKUP(Consulta1[[#This Row],[Pozo largo]],Controles!B:H,7,FALSE),"NO")</f>
        <v>0.5</v>
      </c>
      <c r="L643" s="5">
        <f>IFERROR(VLOOKUP(Consulta1[[#This Row],[Pozo largo]],Controles!B:J,9,FALSE),"NO")</f>
        <v>0</v>
      </c>
    </row>
    <row r="644" spans="2:12" x14ac:dyDescent="0.35">
      <c r="B644" s="4" t="s">
        <v>1266</v>
      </c>
      <c r="C644" s="4" t="s">
        <v>6390</v>
      </c>
      <c r="D644" s="4" t="s">
        <v>5</v>
      </c>
      <c r="E644" s="4" t="s">
        <v>6</v>
      </c>
      <c r="F644" s="4" t="s">
        <v>7</v>
      </c>
      <c r="G644" s="4" t="s">
        <v>5718</v>
      </c>
      <c r="H644" s="4" t="s">
        <v>33</v>
      </c>
      <c r="I644" s="5" t="str">
        <f>IFERROR(VLOOKUP(Consulta1[[#This Row],[Pozo largo]],'Lista YPF'!$B$3:$C$358,2,FALSE),"NO")</f>
        <v>En lista de Abandono</v>
      </c>
      <c r="J644" s="5" t="str">
        <f>IFERROR(VLOOKUP(Consulta1[[#This Row],[Pozo]],'Lista Oportunidades'!B:C,2,FALSE),"NO")</f>
        <v>NO</v>
      </c>
      <c r="K644" s="5">
        <f>IFERROR(VLOOKUP(Consulta1[[#This Row],[Pozo largo]],Controles!B:H,7,FALSE),"NO")</f>
        <v>1</v>
      </c>
      <c r="L644" s="5">
        <f>IFERROR(VLOOKUP(Consulta1[[#This Row],[Pozo largo]],Controles!B:J,9,FALSE),"NO")</f>
        <v>0</v>
      </c>
    </row>
    <row r="645" spans="2:12" x14ac:dyDescent="0.35">
      <c r="B645" s="4" t="s">
        <v>1268</v>
      </c>
      <c r="C645" s="4" t="s">
        <v>6391</v>
      </c>
      <c r="D645" s="4" t="s">
        <v>5</v>
      </c>
      <c r="E645" s="4" t="s">
        <v>12</v>
      </c>
      <c r="F645" s="4" t="s">
        <v>238</v>
      </c>
      <c r="G645" s="4" t="s">
        <v>13</v>
      </c>
      <c r="H645" s="4" t="s">
        <v>33</v>
      </c>
      <c r="I645" s="5" t="str">
        <f>IFERROR(VLOOKUP(Consulta1[[#This Row],[Pozo largo]],'Lista YPF'!$B$3:$C$358,2,FALSE),"NO")</f>
        <v>NO</v>
      </c>
      <c r="J645" s="5" t="str">
        <f>IFERROR(VLOOKUP(Consulta1[[#This Row],[Pozo]],'Lista Oportunidades'!B:C,2,FALSE),"NO")</f>
        <v>NO</v>
      </c>
      <c r="K645" s="5">
        <f>IFERROR(VLOOKUP(Consulta1[[#This Row],[Pozo largo]],Controles!B:H,7,FALSE),"NO")</f>
        <v>1.6140000000000001</v>
      </c>
      <c r="L645" s="5">
        <f>IFERROR(VLOOKUP(Consulta1[[#This Row],[Pozo largo]],Controles!B:J,9,FALSE),"NO")</f>
        <v>0</v>
      </c>
    </row>
    <row r="646" spans="2:12" x14ac:dyDescent="0.35">
      <c r="B646" s="4" t="s">
        <v>1270</v>
      </c>
      <c r="C646" s="4" t="s">
        <v>6392</v>
      </c>
      <c r="D646" s="4" t="s">
        <v>5</v>
      </c>
      <c r="E646" s="4" t="s">
        <v>12</v>
      </c>
      <c r="F646" s="4" t="s">
        <v>28</v>
      </c>
      <c r="G646" s="4" t="s">
        <v>13</v>
      </c>
      <c r="H646" s="4" t="s">
        <v>33</v>
      </c>
      <c r="I646" s="5" t="str">
        <f>IFERROR(VLOOKUP(Consulta1[[#This Row],[Pozo largo]],'Lista YPF'!$B$3:$C$358,2,FALSE),"NO")</f>
        <v>NO</v>
      </c>
      <c r="J646" s="5" t="str">
        <f>IFERROR(VLOOKUP(Consulta1[[#This Row],[Pozo]],'Lista Oportunidades'!B:C,2,FALSE),"NO")</f>
        <v>NO</v>
      </c>
      <c r="K646" s="5">
        <f>IFERROR(VLOOKUP(Consulta1[[#This Row],[Pozo largo]],Controles!B:H,7,FALSE),"NO")</f>
        <v>0</v>
      </c>
      <c r="L646" s="5">
        <f>IFERROR(VLOOKUP(Consulta1[[#This Row],[Pozo largo]],Controles!B:J,9,FALSE),"NO")</f>
        <v>0</v>
      </c>
    </row>
    <row r="647" spans="2:12" x14ac:dyDescent="0.35">
      <c r="B647" s="4" t="s">
        <v>1272</v>
      </c>
      <c r="C647" s="4" t="s">
        <v>6393</v>
      </c>
      <c r="D647" s="4" t="s">
        <v>5</v>
      </c>
      <c r="E647" s="4" t="s">
        <v>12</v>
      </c>
      <c r="F647" s="4" t="s">
        <v>238</v>
      </c>
      <c r="G647" s="4" t="s">
        <v>13</v>
      </c>
      <c r="H647" s="4" t="s">
        <v>21</v>
      </c>
      <c r="I647" s="5" t="str">
        <f>IFERROR(VLOOKUP(Consulta1[[#This Row],[Pozo largo]],'Lista YPF'!$B$3:$C$358,2,FALSE),"NO")</f>
        <v>NO</v>
      </c>
      <c r="J647" s="5" t="str">
        <f>IFERROR(VLOOKUP(Consulta1[[#This Row],[Pozo]],'Lista Oportunidades'!B:C,2,FALSE),"NO")</f>
        <v>NO</v>
      </c>
      <c r="K647" s="5">
        <f>IFERROR(VLOOKUP(Consulta1[[#This Row],[Pozo largo]],Controles!B:H,7,FALSE),"NO")</f>
        <v>1.5</v>
      </c>
      <c r="L647" s="5">
        <f>IFERROR(VLOOKUP(Consulta1[[#This Row],[Pozo largo]],Controles!B:J,9,FALSE),"NO")</f>
        <v>0</v>
      </c>
    </row>
    <row r="648" spans="2:12" x14ac:dyDescent="0.35">
      <c r="B648" s="4" t="s">
        <v>1274</v>
      </c>
      <c r="C648" s="4" t="s">
        <v>6394</v>
      </c>
      <c r="D648" s="4" t="s">
        <v>5</v>
      </c>
      <c r="E648" s="4" t="s">
        <v>12</v>
      </c>
      <c r="F648" s="4" t="s">
        <v>25</v>
      </c>
      <c r="G648" s="4" t="s">
        <v>13</v>
      </c>
      <c r="H648" s="4" t="s">
        <v>21</v>
      </c>
      <c r="I648" s="5" t="str">
        <f>IFERROR(VLOOKUP(Consulta1[[#This Row],[Pozo largo]],'Lista YPF'!$B$3:$C$358,2,FALSE),"NO")</f>
        <v>NO</v>
      </c>
      <c r="J648" s="5" t="str">
        <f>IFERROR(VLOOKUP(Consulta1[[#This Row],[Pozo]],'Lista Oportunidades'!B:C,2,FALSE),"NO")</f>
        <v>NO</v>
      </c>
      <c r="K648" s="5">
        <f>IFERROR(VLOOKUP(Consulta1[[#This Row],[Pozo largo]],Controles!B:H,7,FALSE),"NO")</f>
        <v>9.6000000000000002E-2</v>
      </c>
      <c r="L648" s="5">
        <f>IFERROR(VLOOKUP(Consulta1[[#This Row],[Pozo largo]],Controles!B:J,9,FALSE),"NO")</f>
        <v>0</v>
      </c>
    </row>
    <row r="649" spans="2:12" x14ac:dyDescent="0.35">
      <c r="B649" s="4" t="s">
        <v>1276</v>
      </c>
      <c r="C649" s="4" t="s">
        <v>6395</v>
      </c>
      <c r="D649" s="4" t="s">
        <v>5</v>
      </c>
      <c r="E649" s="4" t="s">
        <v>30</v>
      </c>
      <c r="F649" s="4" t="s">
        <v>31</v>
      </c>
      <c r="G649" s="4" t="s">
        <v>32</v>
      </c>
      <c r="H649" s="4" t="s">
        <v>21</v>
      </c>
      <c r="I649" s="5" t="str">
        <f>IFERROR(VLOOKUP(Consulta1[[#This Row],[Pozo largo]],'Lista YPF'!$B$3:$C$358,2,FALSE),"NO")</f>
        <v>NO</v>
      </c>
      <c r="J649" s="5" t="str">
        <f>IFERROR(VLOOKUP(Consulta1[[#This Row],[Pozo]],'Lista Oportunidades'!B:C,2,FALSE),"NO")</f>
        <v>NO</v>
      </c>
      <c r="K649" s="5" t="str">
        <f>IFERROR(VLOOKUP(Consulta1[[#This Row],[Pozo largo]],Controles!B:H,7,FALSE),"NO")</f>
        <v>NO</v>
      </c>
      <c r="L649" s="5" t="str">
        <f>IFERROR(VLOOKUP(Consulta1[[#This Row],[Pozo largo]],Controles!B:J,9,FALSE),"NO")</f>
        <v>NO</v>
      </c>
    </row>
    <row r="650" spans="2:12" x14ac:dyDescent="0.35">
      <c r="B650" s="4" t="s">
        <v>1277</v>
      </c>
      <c r="C650" s="4" t="s">
        <v>6396</v>
      </c>
      <c r="D650" s="4" t="s">
        <v>5</v>
      </c>
      <c r="E650" s="4" t="s">
        <v>12</v>
      </c>
      <c r="F650" s="4" t="s">
        <v>25</v>
      </c>
      <c r="G650" s="4" t="s">
        <v>13</v>
      </c>
      <c r="H650" s="4" t="s">
        <v>149</v>
      </c>
      <c r="I650" s="5" t="str">
        <f>IFERROR(VLOOKUP(Consulta1[[#This Row],[Pozo largo]],'Lista YPF'!$B$3:$C$358,2,FALSE),"NO")</f>
        <v>NO</v>
      </c>
      <c r="J650" s="5" t="str">
        <f>IFERROR(VLOOKUP(Consulta1[[#This Row],[Pozo]],'Lista Oportunidades'!B:C,2,FALSE),"NO")</f>
        <v>NO</v>
      </c>
      <c r="K650" s="5">
        <f>IFERROR(VLOOKUP(Consulta1[[#This Row],[Pozo largo]],Controles!B:H,7,FALSE),"NO")</f>
        <v>0.115</v>
      </c>
      <c r="L650" s="5">
        <f>IFERROR(VLOOKUP(Consulta1[[#This Row],[Pozo largo]],Controles!B:J,9,FALSE),"NO")</f>
        <v>0</v>
      </c>
    </row>
    <row r="651" spans="2:12" x14ac:dyDescent="0.35">
      <c r="B651" s="4" t="s">
        <v>1279</v>
      </c>
      <c r="C651" s="4" t="s">
        <v>6397</v>
      </c>
      <c r="D651" s="4" t="s">
        <v>5</v>
      </c>
      <c r="E651" s="4" t="s">
        <v>309</v>
      </c>
      <c r="F651" s="4" t="s">
        <v>31</v>
      </c>
      <c r="G651" s="4" t="s">
        <v>5718</v>
      </c>
      <c r="H651" s="4" t="s">
        <v>9</v>
      </c>
      <c r="I651" s="5" t="str">
        <f>IFERROR(VLOOKUP(Consulta1[[#This Row],[Pozo largo]],'Lista YPF'!$B$3:$C$358,2,FALSE),"NO")</f>
        <v>En lista de Abandono</v>
      </c>
      <c r="J651" s="5" t="str">
        <f>IFERROR(VLOOKUP(Consulta1[[#This Row],[Pozo]],'Lista Oportunidades'!B:C,2,FALSE),"NO")</f>
        <v>NO</v>
      </c>
      <c r="K651" s="5" t="str">
        <f>IFERROR(VLOOKUP(Consulta1[[#This Row],[Pozo largo]],Controles!B:H,7,FALSE),"NO")</f>
        <v>NO</v>
      </c>
      <c r="L651" s="5" t="str">
        <f>IFERROR(VLOOKUP(Consulta1[[#This Row],[Pozo largo]],Controles!B:J,9,FALSE),"NO")</f>
        <v>NO</v>
      </c>
    </row>
    <row r="652" spans="2:12" x14ac:dyDescent="0.35">
      <c r="B652" s="4" t="s">
        <v>1280</v>
      </c>
      <c r="C652" s="4" t="s">
        <v>6398</v>
      </c>
      <c r="D652" s="4" t="s">
        <v>5</v>
      </c>
      <c r="E652" s="4" t="s">
        <v>30</v>
      </c>
      <c r="F652" s="4" t="s">
        <v>31</v>
      </c>
      <c r="G652" s="4" t="s">
        <v>32</v>
      </c>
      <c r="H652" s="4" t="s">
        <v>86</v>
      </c>
      <c r="I652" s="5" t="str">
        <f>IFERROR(VLOOKUP(Consulta1[[#This Row],[Pozo largo]],'Lista YPF'!$B$3:$C$358,2,FALSE),"NO")</f>
        <v>NO</v>
      </c>
      <c r="J652" s="5" t="str">
        <f>IFERROR(VLOOKUP(Consulta1[[#This Row],[Pozo]],'Lista Oportunidades'!B:C,2,FALSE),"NO")</f>
        <v>NO</v>
      </c>
      <c r="K652" s="5" t="str">
        <f>IFERROR(VLOOKUP(Consulta1[[#This Row],[Pozo largo]],Controles!B:H,7,FALSE),"NO")</f>
        <v>NO</v>
      </c>
      <c r="L652" s="5" t="str">
        <f>IFERROR(VLOOKUP(Consulta1[[#This Row],[Pozo largo]],Controles!B:J,9,FALSE),"NO")</f>
        <v>NO</v>
      </c>
    </row>
    <row r="653" spans="2:12" x14ac:dyDescent="0.35">
      <c r="B653" s="4" t="s">
        <v>1281</v>
      </c>
      <c r="C653" s="4" t="s">
        <v>6399</v>
      </c>
      <c r="D653" s="4" t="s">
        <v>5</v>
      </c>
      <c r="E653" s="4" t="s">
        <v>30</v>
      </c>
      <c r="F653" s="4" t="s">
        <v>31</v>
      </c>
      <c r="G653" s="4" t="s">
        <v>32</v>
      </c>
      <c r="H653" s="4" t="s">
        <v>80</v>
      </c>
      <c r="I653" s="5" t="str">
        <f>IFERROR(VLOOKUP(Consulta1[[#This Row],[Pozo largo]],'Lista YPF'!$B$3:$C$358,2,FALSE),"NO")</f>
        <v>NO</v>
      </c>
      <c r="J653" s="5" t="str">
        <f>IFERROR(VLOOKUP(Consulta1[[#This Row],[Pozo]],'Lista Oportunidades'!B:C,2,FALSE),"NO")</f>
        <v>NO</v>
      </c>
      <c r="K653" s="5">
        <f>IFERROR(VLOOKUP(Consulta1[[#This Row],[Pozo largo]],Controles!B:H,7,FALSE),"NO")</f>
        <v>0.54</v>
      </c>
      <c r="L653" s="5">
        <f>IFERROR(VLOOKUP(Consulta1[[#This Row],[Pozo largo]],Controles!B:J,9,FALSE),"NO")</f>
        <v>0</v>
      </c>
    </row>
    <row r="654" spans="2:12" x14ac:dyDescent="0.35">
      <c r="B654" s="4" t="s">
        <v>1283</v>
      </c>
      <c r="C654" s="4" t="s">
        <v>6400</v>
      </c>
      <c r="D654" s="4" t="s">
        <v>5</v>
      </c>
      <c r="E654" s="4" t="s">
        <v>24</v>
      </c>
      <c r="F654" s="4" t="s">
        <v>31</v>
      </c>
      <c r="G654" s="4" t="s">
        <v>8</v>
      </c>
      <c r="H654" s="4" t="s">
        <v>86</v>
      </c>
      <c r="I654" s="5" t="str">
        <f>IFERROR(VLOOKUP(Consulta1[[#This Row],[Pozo largo]],'Lista YPF'!$B$3:$C$358,2,FALSE),"NO")</f>
        <v>NO</v>
      </c>
      <c r="J654" s="5" t="str">
        <f>IFERROR(VLOOKUP(Consulta1[[#This Row],[Pozo]],'Lista Oportunidades'!B:C,2,FALSE),"NO")</f>
        <v>NO</v>
      </c>
      <c r="K654" s="5" t="str">
        <f>IFERROR(VLOOKUP(Consulta1[[#This Row],[Pozo largo]],Controles!B:H,7,FALSE),"NO")</f>
        <v>NO</v>
      </c>
      <c r="L654" s="5" t="str">
        <f>IFERROR(VLOOKUP(Consulta1[[#This Row],[Pozo largo]],Controles!B:J,9,FALSE),"NO")</f>
        <v>NO</v>
      </c>
    </row>
    <row r="655" spans="2:12" x14ac:dyDescent="0.35">
      <c r="B655" s="4" t="s">
        <v>1284</v>
      </c>
      <c r="C655" s="4" t="s">
        <v>6401</v>
      </c>
      <c r="D655" s="4" t="s">
        <v>5</v>
      </c>
      <c r="E655" s="4" t="s">
        <v>24</v>
      </c>
      <c r="F655" s="4" t="s">
        <v>31</v>
      </c>
      <c r="G655" s="4" t="s">
        <v>8</v>
      </c>
      <c r="H655" s="4" t="s">
        <v>185</v>
      </c>
      <c r="I655" s="5" t="str">
        <f>IFERROR(VLOOKUP(Consulta1[[#This Row],[Pozo largo]],'Lista YPF'!$B$3:$C$358,2,FALSE),"NO")</f>
        <v>NO</v>
      </c>
      <c r="J655" s="5" t="str">
        <f>IFERROR(VLOOKUP(Consulta1[[#This Row],[Pozo]],'Lista Oportunidades'!B:C,2,FALSE),"NO")</f>
        <v>NO</v>
      </c>
      <c r="K655" s="5" t="str">
        <f>IFERROR(VLOOKUP(Consulta1[[#This Row],[Pozo largo]],Controles!B:H,7,FALSE),"NO")</f>
        <v>NO</v>
      </c>
      <c r="L655" s="5" t="str">
        <f>IFERROR(VLOOKUP(Consulta1[[#This Row],[Pozo largo]],Controles!B:J,9,FALSE),"NO")</f>
        <v>NO</v>
      </c>
    </row>
    <row r="656" spans="2:12" x14ac:dyDescent="0.35">
      <c r="B656" s="4" t="s">
        <v>1285</v>
      </c>
      <c r="C656" s="4" t="s">
        <v>6402</v>
      </c>
      <c r="D656" s="4" t="s">
        <v>5</v>
      </c>
      <c r="E656" s="4" t="s">
        <v>12</v>
      </c>
      <c r="F656" s="4" t="s">
        <v>7</v>
      </c>
      <c r="G656" s="4" t="s">
        <v>13</v>
      </c>
      <c r="H656" s="4" t="s">
        <v>185</v>
      </c>
      <c r="I656" s="5" t="str">
        <f>IFERROR(VLOOKUP(Consulta1[[#This Row],[Pozo largo]],'Lista YPF'!$B$3:$C$358,2,FALSE),"NO")</f>
        <v>NO</v>
      </c>
      <c r="J656" s="5" t="str">
        <f>IFERROR(VLOOKUP(Consulta1[[#This Row],[Pozo]],'Lista Oportunidades'!B:C,2,FALSE),"NO")</f>
        <v>NO</v>
      </c>
      <c r="K656" s="5">
        <f>IFERROR(VLOOKUP(Consulta1[[#This Row],[Pozo largo]],Controles!B:H,7,FALSE),"NO")</f>
        <v>1.1140000000000001</v>
      </c>
      <c r="L656" s="5">
        <f>IFERROR(VLOOKUP(Consulta1[[#This Row],[Pozo largo]],Controles!B:J,9,FALSE),"NO")</f>
        <v>0</v>
      </c>
    </row>
    <row r="657" spans="2:12" x14ac:dyDescent="0.35">
      <c r="B657" s="4" t="s">
        <v>1287</v>
      </c>
      <c r="C657" s="4" t="s">
        <v>6403</v>
      </c>
      <c r="D657" s="4" t="s">
        <v>5</v>
      </c>
      <c r="E657" s="4" t="s">
        <v>24</v>
      </c>
      <c r="F657" s="4" t="s">
        <v>31</v>
      </c>
      <c r="G657" s="4" t="s">
        <v>8</v>
      </c>
      <c r="H657" s="4" t="s">
        <v>86</v>
      </c>
      <c r="I657" s="5" t="str">
        <f>IFERROR(VLOOKUP(Consulta1[[#This Row],[Pozo largo]],'Lista YPF'!$B$3:$C$358,2,FALSE),"NO")</f>
        <v>NO</v>
      </c>
      <c r="J657" s="5" t="str">
        <f>IFERROR(VLOOKUP(Consulta1[[#This Row],[Pozo]],'Lista Oportunidades'!B:C,2,FALSE),"NO")</f>
        <v>NO</v>
      </c>
      <c r="K657" s="5">
        <f>IFERROR(VLOOKUP(Consulta1[[#This Row],[Pozo largo]],Controles!B:H,7,FALSE),"NO")</f>
        <v>0.76800000000000002</v>
      </c>
      <c r="L657" s="5">
        <f>IFERROR(VLOOKUP(Consulta1[[#This Row],[Pozo largo]],Controles!B:J,9,FALSE),"NO")</f>
        <v>0</v>
      </c>
    </row>
    <row r="658" spans="2:12" x14ac:dyDescent="0.35">
      <c r="B658" s="4" t="s">
        <v>1289</v>
      </c>
      <c r="C658" s="4" t="s">
        <v>6404</v>
      </c>
      <c r="D658" s="4" t="s">
        <v>5</v>
      </c>
      <c r="E658" s="4" t="s">
        <v>430</v>
      </c>
      <c r="F658" s="4" t="s">
        <v>7</v>
      </c>
      <c r="G658" s="4" t="s">
        <v>5718</v>
      </c>
      <c r="H658" s="4" t="s">
        <v>86</v>
      </c>
      <c r="I658" s="5" t="str">
        <f>IFERROR(VLOOKUP(Consulta1[[#This Row],[Pozo largo]],'Lista YPF'!$B$3:$C$358,2,FALSE),"NO")</f>
        <v>En lista de Abandono</v>
      </c>
      <c r="J658" s="5" t="str">
        <f>IFERROR(VLOOKUP(Consulta1[[#This Row],[Pozo]],'Lista Oportunidades'!B:C,2,FALSE),"NO")</f>
        <v>NO</v>
      </c>
      <c r="K658" s="5">
        <f>IFERROR(VLOOKUP(Consulta1[[#This Row],[Pozo largo]],Controles!B:H,7,FALSE),"NO")</f>
        <v>0.31</v>
      </c>
      <c r="L658" s="5">
        <f>IFERROR(VLOOKUP(Consulta1[[#This Row],[Pozo largo]],Controles!B:J,9,FALSE),"NO")</f>
        <v>0</v>
      </c>
    </row>
    <row r="659" spans="2:12" x14ac:dyDescent="0.35">
      <c r="B659" s="4" t="s">
        <v>1291</v>
      </c>
      <c r="C659" s="4" t="s">
        <v>6405</v>
      </c>
      <c r="D659" s="4" t="s">
        <v>5</v>
      </c>
      <c r="E659" s="4" t="s">
        <v>30</v>
      </c>
      <c r="F659" s="4" t="s">
        <v>31</v>
      </c>
      <c r="G659" s="4" t="s">
        <v>32</v>
      </c>
      <c r="H659" s="4" t="s">
        <v>86</v>
      </c>
      <c r="I659" s="5" t="str">
        <f>IFERROR(VLOOKUP(Consulta1[[#This Row],[Pozo largo]],'Lista YPF'!$B$3:$C$358,2,FALSE),"NO")</f>
        <v>NO</v>
      </c>
      <c r="J659" s="5" t="str">
        <f>IFERROR(VLOOKUP(Consulta1[[#This Row],[Pozo]],'Lista Oportunidades'!B:C,2,FALSE),"NO")</f>
        <v>NO</v>
      </c>
      <c r="K659" s="5">
        <f>IFERROR(VLOOKUP(Consulta1[[#This Row],[Pozo largo]],Controles!B:H,7,FALSE),"NO")</f>
        <v>0.20300000000000001</v>
      </c>
      <c r="L659" s="5">
        <f>IFERROR(VLOOKUP(Consulta1[[#This Row],[Pozo largo]],Controles!B:J,9,FALSE),"NO")</f>
        <v>0</v>
      </c>
    </row>
    <row r="660" spans="2:12" x14ac:dyDescent="0.35">
      <c r="B660" s="4" t="s">
        <v>1293</v>
      </c>
      <c r="C660" s="4" t="s">
        <v>6406</v>
      </c>
      <c r="D660" s="4" t="s">
        <v>5</v>
      </c>
      <c r="E660" s="4" t="s">
        <v>12</v>
      </c>
      <c r="F660" s="4" t="s">
        <v>7</v>
      </c>
      <c r="G660" s="4" t="s">
        <v>13</v>
      </c>
      <c r="H660" s="4" t="s">
        <v>91</v>
      </c>
      <c r="I660" s="5" t="str">
        <f>IFERROR(VLOOKUP(Consulta1[[#This Row],[Pozo largo]],'Lista YPF'!$B$3:$C$358,2,FALSE),"NO")</f>
        <v>NO</v>
      </c>
      <c r="J660" s="5" t="str">
        <f>IFERROR(VLOOKUP(Consulta1[[#This Row],[Pozo]],'Lista Oportunidades'!B:C,2,FALSE),"NO")</f>
        <v>NO</v>
      </c>
      <c r="K660" s="5">
        <f>IFERROR(VLOOKUP(Consulta1[[#This Row],[Pozo largo]],Controles!B:H,7,FALSE),"NO")</f>
        <v>0.60799999999999998</v>
      </c>
      <c r="L660" s="5">
        <f>IFERROR(VLOOKUP(Consulta1[[#This Row],[Pozo largo]],Controles!B:J,9,FALSE),"NO")</f>
        <v>0</v>
      </c>
    </row>
    <row r="661" spans="2:12" x14ac:dyDescent="0.35">
      <c r="B661" s="4" t="s">
        <v>1295</v>
      </c>
      <c r="C661" s="4" t="s">
        <v>6407</v>
      </c>
      <c r="D661" s="4" t="s">
        <v>5</v>
      </c>
      <c r="E661" s="4" t="s">
        <v>12</v>
      </c>
      <c r="F661" s="4" t="s">
        <v>28</v>
      </c>
      <c r="G661" s="4" t="s">
        <v>13</v>
      </c>
      <c r="H661" s="4" t="s">
        <v>80</v>
      </c>
      <c r="I661" s="5" t="str">
        <f>IFERROR(VLOOKUP(Consulta1[[#This Row],[Pozo largo]],'Lista YPF'!$B$3:$C$358,2,FALSE),"NO")</f>
        <v>NO</v>
      </c>
      <c r="J661" s="5" t="str">
        <f>IFERROR(VLOOKUP(Consulta1[[#This Row],[Pozo]],'Lista Oportunidades'!B:C,2,FALSE),"NO")</f>
        <v>NO</v>
      </c>
      <c r="K661" s="5">
        <f>IFERROR(VLOOKUP(Consulta1[[#This Row],[Pozo largo]],Controles!B:H,7,FALSE),"NO")</f>
        <v>0</v>
      </c>
      <c r="L661" s="5">
        <f>IFERROR(VLOOKUP(Consulta1[[#This Row],[Pozo largo]],Controles!B:J,9,FALSE),"NO")</f>
        <v>0</v>
      </c>
    </row>
    <row r="662" spans="2:12" x14ac:dyDescent="0.35">
      <c r="B662" s="4" t="s">
        <v>1297</v>
      </c>
      <c r="C662" s="4" t="s">
        <v>6408</v>
      </c>
      <c r="D662" s="4" t="s">
        <v>5</v>
      </c>
      <c r="E662" s="4" t="s">
        <v>12</v>
      </c>
      <c r="F662" s="4" t="s">
        <v>7</v>
      </c>
      <c r="G662" s="4" t="s">
        <v>13</v>
      </c>
      <c r="H662" s="4" t="s">
        <v>86</v>
      </c>
      <c r="I662" s="5" t="str">
        <f>IFERROR(VLOOKUP(Consulta1[[#This Row],[Pozo largo]],'Lista YPF'!$B$3:$C$358,2,FALSE),"NO")</f>
        <v>NO</v>
      </c>
      <c r="J662" s="5" t="str">
        <f>IFERROR(VLOOKUP(Consulta1[[#This Row],[Pozo]],'Lista Oportunidades'!B:C,2,FALSE),"NO")</f>
        <v>NO</v>
      </c>
      <c r="K662" s="5">
        <f>IFERROR(VLOOKUP(Consulta1[[#This Row],[Pozo largo]],Controles!B:H,7,FALSE),"NO")</f>
        <v>0.9</v>
      </c>
      <c r="L662" s="5">
        <f>IFERROR(VLOOKUP(Consulta1[[#This Row],[Pozo largo]],Controles!B:J,9,FALSE),"NO")</f>
        <v>0</v>
      </c>
    </row>
    <row r="663" spans="2:12" x14ac:dyDescent="0.35">
      <c r="B663" s="4" t="s">
        <v>1299</v>
      </c>
      <c r="C663" s="4" t="s">
        <v>6409</v>
      </c>
      <c r="D663" s="4" t="s">
        <v>5</v>
      </c>
      <c r="E663" s="4" t="s">
        <v>12</v>
      </c>
      <c r="F663" s="4" t="s">
        <v>28</v>
      </c>
      <c r="G663" s="4" t="s">
        <v>13</v>
      </c>
      <c r="H663" s="4" t="s">
        <v>21</v>
      </c>
      <c r="I663" s="5" t="str">
        <f>IFERROR(VLOOKUP(Consulta1[[#This Row],[Pozo largo]],'Lista YPF'!$B$3:$C$358,2,FALSE),"NO")</f>
        <v>NO</v>
      </c>
      <c r="J663" s="5" t="str">
        <f>IFERROR(VLOOKUP(Consulta1[[#This Row],[Pozo]],'Lista Oportunidades'!B:C,2,FALSE),"NO")</f>
        <v>NO</v>
      </c>
      <c r="K663" s="5">
        <f>IFERROR(VLOOKUP(Consulta1[[#This Row],[Pozo largo]],Controles!B:H,7,FALSE),"NO")</f>
        <v>0</v>
      </c>
      <c r="L663" s="5">
        <f>IFERROR(VLOOKUP(Consulta1[[#This Row],[Pozo largo]],Controles!B:J,9,FALSE),"NO")</f>
        <v>0</v>
      </c>
    </row>
    <row r="664" spans="2:12" x14ac:dyDescent="0.35">
      <c r="B664" s="4" t="s">
        <v>1301</v>
      </c>
      <c r="C664" s="4" t="s">
        <v>6410</v>
      </c>
      <c r="D664" s="4" t="s">
        <v>5</v>
      </c>
      <c r="E664" s="4" t="s">
        <v>12</v>
      </c>
      <c r="F664" s="4" t="s">
        <v>7</v>
      </c>
      <c r="G664" s="4" t="s">
        <v>13</v>
      </c>
      <c r="H664" s="4" t="s">
        <v>185</v>
      </c>
      <c r="I664" s="5" t="str">
        <f>IFERROR(VLOOKUP(Consulta1[[#This Row],[Pozo largo]],'Lista YPF'!$B$3:$C$358,2,FALSE),"NO")</f>
        <v>NO</v>
      </c>
      <c r="J664" s="5" t="str">
        <f>IFERROR(VLOOKUP(Consulta1[[#This Row],[Pozo]],'Lista Oportunidades'!B:C,2,FALSE),"NO")</f>
        <v>NO</v>
      </c>
      <c r="K664" s="5">
        <f>IFERROR(VLOOKUP(Consulta1[[#This Row],[Pozo largo]],Controles!B:H,7,FALSE),"NO")</f>
        <v>0.92</v>
      </c>
      <c r="L664" s="5">
        <f>IFERROR(VLOOKUP(Consulta1[[#This Row],[Pozo largo]],Controles!B:J,9,FALSE),"NO")</f>
        <v>0</v>
      </c>
    </row>
    <row r="665" spans="2:12" x14ac:dyDescent="0.35">
      <c r="B665" s="4" t="s">
        <v>1303</v>
      </c>
      <c r="C665" s="4" t="s">
        <v>6411</v>
      </c>
      <c r="D665" s="4" t="s">
        <v>5</v>
      </c>
      <c r="E665" s="4" t="s">
        <v>12</v>
      </c>
      <c r="F665" s="4" t="s">
        <v>7</v>
      </c>
      <c r="G665" s="4" t="s">
        <v>13</v>
      </c>
      <c r="H665" s="4" t="s">
        <v>185</v>
      </c>
      <c r="I665" s="5" t="str">
        <f>IFERROR(VLOOKUP(Consulta1[[#This Row],[Pozo largo]],'Lista YPF'!$B$3:$C$358,2,FALSE),"NO")</f>
        <v>NO</v>
      </c>
      <c r="J665" s="5" t="str">
        <f>IFERROR(VLOOKUP(Consulta1[[#This Row],[Pozo]],'Lista Oportunidades'!B:C,2,FALSE),"NO")</f>
        <v>NO</v>
      </c>
      <c r="K665" s="5">
        <f>IFERROR(VLOOKUP(Consulta1[[#This Row],[Pozo largo]],Controles!B:H,7,FALSE),"NO")</f>
        <v>1.2</v>
      </c>
      <c r="L665" s="5">
        <f>IFERROR(VLOOKUP(Consulta1[[#This Row],[Pozo largo]],Controles!B:J,9,FALSE),"NO")</f>
        <v>0</v>
      </c>
    </row>
    <row r="666" spans="2:12" x14ac:dyDescent="0.35">
      <c r="B666" s="4" t="s">
        <v>1305</v>
      </c>
      <c r="C666" s="4" t="s">
        <v>6412</v>
      </c>
      <c r="D666" s="4" t="s">
        <v>5</v>
      </c>
      <c r="E666" s="4" t="s">
        <v>57</v>
      </c>
      <c r="F666" s="4" t="s">
        <v>25</v>
      </c>
      <c r="G666" s="4" t="s">
        <v>11386</v>
      </c>
      <c r="H666" s="4" t="s">
        <v>21</v>
      </c>
      <c r="I666" s="5" t="str">
        <f>IFERROR(VLOOKUP(Consulta1[[#This Row],[Pozo largo]],'Lista YPF'!$B$3:$C$358,2,FALSE),"NO")</f>
        <v>NO</v>
      </c>
      <c r="J666" s="5" t="str">
        <f>IFERROR(VLOOKUP(Consulta1[[#This Row],[Pozo]],'Lista Oportunidades'!B:C,2,FALSE),"NO")</f>
        <v>NO</v>
      </c>
      <c r="K666" s="5">
        <f>IFERROR(VLOOKUP(Consulta1[[#This Row],[Pozo largo]],Controles!B:H,7,FALSE),"NO")</f>
        <v>0.1</v>
      </c>
      <c r="L666" s="5" t="str">
        <f>IFERROR(VLOOKUP(Consulta1[[#This Row],[Pozo largo]],Controles!B:J,9,FALSE),"NO")</f>
        <v>Ultimos 6 meses</v>
      </c>
    </row>
    <row r="667" spans="2:12" x14ac:dyDescent="0.35">
      <c r="B667" s="4" t="s">
        <v>1307</v>
      </c>
      <c r="C667" s="4" t="s">
        <v>6413</v>
      </c>
      <c r="D667" s="4" t="s">
        <v>5</v>
      </c>
      <c r="E667" s="4" t="s">
        <v>24</v>
      </c>
      <c r="F667" s="4" t="s">
        <v>25</v>
      </c>
      <c r="G667" s="4" t="s">
        <v>8</v>
      </c>
      <c r="H667" s="4" t="s">
        <v>185</v>
      </c>
      <c r="I667" s="5" t="str">
        <f>IFERROR(VLOOKUP(Consulta1[[#This Row],[Pozo largo]],'Lista YPF'!$B$3:$C$358,2,FALSE),"NO")</f>
        <v>NO</v>
      </c>
      <c r="J667" s="5" t="str">
        <f>IFERROR(VLOOKUP(Consulta1[[#This Row],[Pozo]],'Lista Oportunidades'!B:C,2,FALSE),"NO")</f>
        <v>NO</v>
      </c>
      <c r="K667" s="5">
        <f>IFERROR(VLOOKUP(Consulta1[[#This Row],[Pozo largo]],Controles!B:H,7,FALSE),"NO")</f>
        <v>0.01</v>
      </c>
      <c r="L667" s="5">
        <f>IFERROR(VLOOKUP(Consulta1[[#This Row],[Pozo largo]],Controles!B:J,9,FALSE),"NO")</f>
        <v>0</v>
      </c>
    </row>
    <row r="668" spans="2:12" x14ac:dyDescent="0.35">
      <c r="B668" s="4" t="s">
        <v>1309</v>
      </c>
      <c r="C668" s="4" t="s">
        <v>6414</v>
      </c>
      <c r="D668" s="4" t="s">
        <v>5</v>
      </c>
      <c r="E668" s="4" t="s">
        <v>12</v>
      </c>
      <c r="F668" s="4" t="s">
        <v>7</v>
      </c>
      <c r="G668" s="4" t="s">
        <v>13</v>
      </c>
      <c r="H668" s="4" t="s">
        <v>185</v>
      </c>
      <c r="I668" s="5" t="str">
        <f>IFERROR(VLOOKUP(Consulta1[[#This Row],[Pozo largo]],'Lista YPF'!$B$3:$C$358,2,FALSE),"NO")</f>
        <v>NO</v>
      </c>
      <c r="J668" s="5" t="str">
        <f>IFERROR(VLOOKUP(Consulta1[[#This Row],[Pozo]],'Lista Oportunidades'!B:C,2,FALSE),"NO")</f>
        <v>NO</v>
      </c>
      <c r="K668" s="5">
        <f>IFERROR(VLOOKUP(Consulta1[[#This Row],[Pozo largo]],Controles!B:H,7,FALSE),"NO")</f>
        <v>0.99399999999999999</v>
      </c>
      <c r="L668" s="5">
        <f>IFERROR(VLOOKUP(Consulta1[[#This Row],[Pozo largo]],Controles!B:J,9,FALSE),"NO")</f>
        <v>0</v>
      </c>
    </row>
    <row r="669" spans="2:12" x14ac:dyDescent="0.35">
      <c r="B669" s="4" t="s">
        <v>1311</v>
      </c>
      <c r="C669" s="4" t="s">
        <v>6415</v>
      </c>
      <c r="D669" s="4" t="s">
        <v>5</v>
      </c>
      <c r="E669" s="4" t="s">
        <v>12</v>
      </c>
      <c r="F669" s="4" t="s">
        <v>7</v>
      </c>
      <c r="G669" s="4" t="s">
        <v>13</v>
      </c>
      <c r="H669" s="4" t="s">
        <v>185</v>
      </c>
      <c r="I669" s="5" t="str">
        <f>IFERROR(VLOOKUP(Consulta1[[#This Row],[Pozo largo]],'Lista YPF'!$B$3:$C$358,2,FALSE),"NO")</f>
        <v>NO</v>
      </c>
      <c r="J669" s="5" t="str">
        <f>IFERROR(VLOOKUP(Consulta1[[#This Row],[Pozo]],'Lista Oportunidades'!B:C,2,FALSE),"NO")</f>
        <v>NO</v>
      </c>
      <c r="K669" s="5">
        <f>IFERROR(VLOOKUP(Consulta1[[#This Row],[Pozo largo]],Controles!B:H,7,FALSE),"NO")</f>
        <v>2.3000000000000003</v>
      </c>
      <c r="L669" s="5">
        <f>IFERROR(VLOOKUP(Consulta1[[#This Row],[Pozo largo]],Controles!B:J,9,FALSE),"NO")</f>
        <v>0</v>
      </c>
    </row>
    <row r="670" spans="2:12" x14ac:dyDescent="0.35">
      <c r="B670" s="4" t="s">
        <v>1313</v>
      </c>
      <c r="C670" s="4" t="s">
        <v>6416</v>
      </c>
      <c r="D670" s="4" t="s">
        <v>5</v>
      </c>
      <c r="E670" s="4" t="s">
        <v>12</v>
      </c>
      <c r="F670" s="4" t="s">
        <v>7</v>
      </c>
      <c r="G670" s="4" t="s">
        <v>13</v>
      </c>
      <c r="H670" s="4" t="s">
        <v>84</v>
      </c>
      <c r="I670" s="5" t="str">
        <f>IFERROR(VLOOKUP(Consulta1[[#This Row],[Pozo largo]],'Lista YPF'!$B$3:$C$358,2,FALSE),"NO")</f>
        <v>NO</v>
      </c>
      <c r="J670" s="5" t="str">
        <f>IFERROR(VLOOKUP(Consulta1[[#This Row],[Pozo]],'Lista Oportunidades'!B:C,2,FALSE),"NO")</f>
        <v>NO</v>
      </c>
      <c r="K670" s="5">
        <f>IFERROR(VLOOKUP(Consulta1[[#This Row],[Pozo largo]],Controles!B:H,7,FALSE),"NO")</f>
        <v>3.2</v>
      </c>
      <c r="L670" s="5">
        <f>IFERROR(VLOOKUP(Consulta1[[#This Row],[Pozo largo]],Controles!B:J,9,FALSE),"NO")</f>
        <v>0</v>
      </c>
    </row>
    <row r="671" spans="2:12" x14ac:dyDescent="0.35">
      <c r="B671" s="4" t="s">
        <v>1315</v>
      </c>
      <c r="C671" s="4" t="s">
        <v>6417</v>
      </c>
      <c r="D671" s="4" t="s">
        <v>5</v>
      </c>
      <c r="E671" s="4" t="s">
        <v>12</v>
      </c>
      <c r="F671" s="4" t="s">
        <v>7</v>
      </c>
      <c r="G671" s="4" t="s">
        <v>13</v>
      </c>
      <c r="H671" s="4" t="s">
        <v>71</v>
      </c>
      <c r="I671" s="5" t="str">
        <f>IFERROR(VLOOKUP(Consulta1[[#This Row],[Pozo largo]],'Lista YPF'!$B$3:$C$358,2,FALSE),"NO")</f>
        <v>NO</v>
      </c>
      <c r="J671" s="5" t="str">
        <f>IFERROR(VLOOKUP(Consulta1[[#This Row],[Pozo]],'Lista Oportunidades'!B:C,2,FALSE),"NO")</f>
        <v>NO</v>
      </c>
      <c r="K671" s="5">
        <f>IFERROR(VLOOKUP(Consulta1[[#This Row],[Pozo largo]],Controles!B:H,7,FALSE),"NO")</f>
        <v>1.4850000000000001</v>
      </c>
      <c r="L671" s="5">
        <f>IFERROR(VLOOKUP(Consulta1[[#This Row],[Pozo largo]],Controles!B:J,9,FALSE),"NO")</f>
        <v>0</v>
      </c>
    </row>
    <row r="672" spans="2:12" x14ac:dyDescent="0.35">
      <c r="B672" s="4" t="s">
        <v>1317</v>
      </c>
      <c r="C672" s="4" t="s">
        <v>6418</v>
      </c>
      <c r="D672" s="4" t="s">
        <v>5</v>
      </c>
      <c r="E672" s="4" t="s">
        <v>57</v>
      </c>
      <c r="F672" s="4" t="s">
        <v>7</v>
      </c>
      <c r="G672" s="4" t="s">
        <v>5718</v>
      </c>
      <c r="H672" s="4" t="s">
        <v>21</v>
      </c>
      <c r="I672" s="5" t="str">
        <f>IFERROR(VLOOKUP(Consulta1[[#This Row],[Pozo largo]],'Lista YPF'!$B$3:$C$358,2,FALSE),"NO")</f>
        <v>En lista de Abandono</v>
      </c>
      <c r="J672" s="5" t="str">
        <f>IFERROR(VLOOKUP(Consulta1[[#This Row],[Pozo]],'Lista Oportunidades'!B:C,2,FALSE),"NO")</f>
        <v>NO</v>
      </c>
      <c r="K672" s="5">
        <f>IFERROR(VLOOKUP(Consulta1[[#This Row],[Pozo largo]],Controles!B:H,7,FALSE),"NO")</f>
        <v>0.8</v>
      </c>
      <c r="L672" s="5">
        <f>IFERROR(VLOOKUP(Consulta1[[#This Row],[Pozo largo]],Controles!B:J,9,FALSE),"NO")</f>
        <v>0</v>
      </c>
    </row>
    <row r="673" spans="2:12" x14ac:dyDescent="0.35">
      <c r="B673" s="4" t="s">
        <v>1319</v>
      </c>
      <c r="C673" s="4" t="s">
        <v>6419</v>
      </c>
      <c r="D673" s="4" t="s">
        <v>5</v>
      </c>
      <c r="E673" s="4" t="s">
        <v>12</v>
      </c>
      <c r="F673" s="4" t="s">
        <v>7</v>
      </c>
      <c r="G673" s="4" t="s">
        <v>13</v>
      </c>
      <c r="H673" s="4" t="s">
        <v>91</v>
      </c>
      <c r="I673" s="5" t="str">
        <f>IFERROR(VLOOKUP(Consulta1[[#This Row],[Pozo largo]],'Lista YPF'!$B$3:$C$358,2,FALSE),"NO")</f>
        <v>NO</v>
      </c>
      <c r="J673" s="5" t="str">
        <f>IFERROR(VLOOKUP(Consulta1[[#This Row],[Pozo]],'Lista Oportunidades'!B:C,2,FALSE),"NO")</f>
        <v>NO</v>
      </c>
      <c r="K673" s="5">
        <f>IFERROR(VLOOKUP(Consulta1[[#This Row],[Pozo largo]],Controles!B:H,7,FALSE),"NO")</f>
        <v>1.155</v>
      </c>
      <c r="L673" s="5">
        <f>IFERROR(VLOOKUP(Consulta1[[#This Row],[Pozo largo]],Controles!B:J,9,FALSE),"NO")</f>
        <v>0</v>
      </c>
    </row>
    <row r="674" spans="2:12" x14ac:dyDescent="0.35">
      <c r="B674" s="4" t="s">
        <v>1321</v>
      </c>
      <c r="C674" s="4" t="s">
        <v>6420</v>
      </c>
      <c r="D674" s="4" t="s">
        <v>5</v>
      </c>
      <c r="E674" s="4" t="s">
        <v>6</v>
      </c>
      <c r="F674" s="4" t="s">
        <v>7</v>
      </c>
      <c r="G674" s="4" t="s">
        <v>5718</v>
      </c>
      <c r="H674" s="4" t="s">
        <v>36</v>
      </c>
      <c r="I674" s="5" t="str">
        <f>IFERROR(VLOOKUP(Consulta1[[#This Row],[Pozo largo]],'Lista YPF'!$B$3:$C$358,2,FALSE),"NO")</f>
        <v>En lista de Abandono</v>
      </c>
      <c r="J674" s="5" t="str">
        <f>IFERROR(VLOOKUP(Consulta1[[#This Row],[Pozo]],'Lista Oportunidades'!B:C,2,FALSE),"NO")</f>
        <v>NO</v>
      </c>
      <c r="K674" s="5">
        <f>IFERROR(VLOOKUP(Consulta1[[#This Row],[Pozo largo]],Controles!B:H,7,FALSE),"NO")</f>
        <v>0.33</v>
      </c>
      <c r="L674" s="5">
        <f>IFERROR(VLOOKUP(Consulta1[[#This Row],[Pozo largo]],Controles!B:J,9,FALSE),"NO")</f>
        <v>0</v>
      </c>
    </row>
    <row r="675" spans="2:12" x14ac:dyDescent="0.35">
      <c r="B675" s="4" t="s">
        <v>1323</v>
      </c>
      <c r="C675" s="4" t="s">
        <v>6421</v>
      </c>
      <c r="D675" s="4" t="s">
        <v>5</v>
      </c>
      <c r="E675" s="4" t="s">
        <v>12</v>
      </c>
      <c r="F675" s="4" t="s">
        <v>7</v>
      </c>
      <c r="G675" s="4" t="s">
        <v>13</v>
      </c>
      <c r="H675" s="4" t="s">
        <v>86</v>
      </c>
      <c r="I675" s="5" t="str">
        <f>IFERROR(VLOOKUP(Consulta1[[#This Row],[Pozo largo]],'Lista YPF'!$B$3:$C$358,2,FALSE),"NO")</f>
        <v>NO</v>
      </c>
      <c r="J675" s="5" t="str">
        <f>IFERROR(VLOOKUP(Consulta1[[#This Row],[Pozo]],'Lista Oportunidades'!B:C,2,FALSE),"NO")</f>
        <v>NO</v>
      </c>
      <c r="K675" s="5">
        <f>IFERROR(VLOOKUP(Consulta1[[#This Row],[Pozo largo]],Controles!B:H,7,FALSE),"NO")</f>
        <v>0.85</v>
      </c>
      <c r="L675" s="5">
        <f>IFERROR(VLOOKUP(Consulta1[[#This Row],[Pozo largo]],Controles!B:J,9,FALSE),"NO")</f>
        <v>0</v>
      </c>
    </row>
    <row r="676" spans="2:12" x14ac:dyDescent="0.35">
      <c r="B676" s="4" t="s">
        <v>1325</v>
      </c>
      <c r="C676" s="4" t="s">
        <v>6422</v>
      </c>
      <c r="D676" s="4" t="s">
        <v>5</v>
      </c>
      <c r="E676" s="4" t="s">
        <v>57</v>
      </c>
      <c r="F676" s="4" t="s">
        <v>7</v>
      </c>
      <c r="G676" s="4" t="s">
        <v>5718</v>
      </c>
      <c r="H676" s="4" t="s">
        <v>71</v>
      </c>
      <c r="I676" s="5" t="str">
        <f>IFERROR(VLOOKUP(Consulta1[[#This Row],[Pozo largo]],'Lista YPF'!$B$3:$C$358,2,FALSE),"NO")</f>
        <v>En lista de Abandono</v>
      </c>
      <c r="J676" s="5" t="str">
        <f>IFERROR(VLOOKUP(Consulta1[[#This Row],[Pozo]],'Lista Oportunidades'!B:C,2,FALSE),"NO")</f>
        <v>NO</v>
      </c>
      <c r="K676" s="5">
        <f>IFERROR(VLOOKUP(Consulta1[[#This Row],[Pozo largo]],Controles!B:H,7,FALSE),"NO")</f>
        <v>0.18</v>
      </c>
      <c r="L676" s="5">
        <f>IFERROR(VLOOKUP(Consulta1[[#This Row],[Pozo largo]],Controles!B:J,9,FALSE),"NO")</f>
        <v>0</v>
      </c>
    </row>
    <row r="677" spans="2:12" x14ac:dyDescent="0.35">
      <c r="B677" s="4" t="s">
        <v>1327</v>
      </c>
      <c r="C677" s="4" t="s">
        <v>6423</v>
      </c>
      <c r="D677" s="4" t="s">
        <v>5</v>
      </c>
      <c r="E677" s="4" t="s">
        <v>30</v>
      </c>
      <c r="F677" s="4" t="s">
        <v>31</v>
      </c>
      <c r="G677" s="4" t="s">
        <v>32</v>
      </c>
      <c r="H677" s="4" t="s">
        <v>9</v>
      </c>
      <c r="I677" s="5" t="str">
        <f>IFERROR(VLOOKUP(Consulta1[[#This Row],[Pozo largo]],'Lista YPF'!$B$3:$C$358,2,FALSE),"NO")</f>
        <v>NO</v>
      </c>
      <c r="J677" s="5" t="str">
        <f>IFERROR(VLOOKUP(Consulta1[[#This Row],[Pozo]],'Lista Oportunidades'!B:C,2,FALSE),"NO")</f>
        <v>NO</v>
      </c>
      <c r="K677" s="5">
        <f>IFERROR(VLOOKUP(Consulta1[[#This Row],[Pozo largo]],Controles!B:H,7,FALSE),"NO")</f>
        <v>0.68</v>
      </c>
      <c r="L677" s="5">
        <f>IFERROR(VLOOKUP(Consulta1[[#This Row],[Pozo largo]],Controles!B:J,9,FALSE),"NO")</f>
        <v>0</v>
      </c>
    </row>
    <row r="678" spans="2:12" x14ac:dyDescent="0.35">
      <c r="B678" s="4" t="s">
        <v>1329</v>
      </c>
      <c r="C678" s="4" t="s">
        <v>1330</v>
      </c>
      <c r="D678" s="4" t="s">
        <v>5</v>
      </c>
      <c r="E678" s="4" t="s">
        <v>12</v>
      </c>
      <c r="F678" s="4" t="s">
        <v>7</v>
      </c>
      <c r="G678" s="4" t="s">
        <v>13</v>
      </c>
      <c r="H678" s="4" t="s">
        <v>21</v>
      </c>
      <c r="I678" s="5" t="str">
        <f>IFERROR(VLOOKUP(Consulta1[[#This Row],[Pozo largo]],'Lista YPF'!$B$3:$C$358,2,FALSE),"NO")</f>
        <v>NO</v>
      </c>
      <c r="J678" s="5" t="str">
        <f>IFERROR(VLOOKUP(Consulta1[[#This Row],[Pozo]],'Lista Oportunidades'!B:C,2,FALSE),"NO")</f>
        <v>NO</v>
      </c>
      <c r="K678" s="5">
        <f>IFERROR(VLOOKUP(Consulta1[[#This Row],[Pozo largo]],Controles!B:H,7,FALSE),"NO")</f>
        <v>0.42500000000000004</v>
      </c>
      <c r="L678" s="5">
        <f>IFERROR(VLOOKUP(Consulta1[[#This Row],[Pozo largo]],Controles!B:J,9,FALSE),"NO")</f>
        <v>0</v>
      </c>
    </row>
    <row r="679" spans="2:12" x14ac:dyDescent="0.35">
      <c r="B679" s="4" t="s">
        <v>1331</v>
      </c>
      <c r="C679" s="4" t="s">
        <v>6424</v>
      </c>
      <c r="D679" s="4" t="s">
        <v>5</v>
      </c>
      <c r="E679" s="4" t="s">
        <v>30</v>
      </c>
      <c r="F679" s="4" t="s">
        <v>31</v>
      </c>
      <c r="G679" s="4" t="s">
        <v>32</v>
      </c>
      <c r="H679" s="4" t="s">
        <v>86</v>
      </c>
      <c r="I679" s="5" t="str">
        <f>IFERROR(VLOOKUP(Consulta1[[#This Row],[Pozo largo]],'Lista YPF'!$B$3:$C$358,2,FALSE),"NO")</f>
        <v>NO</v>
      </c>
      <c r="J679" s="5" t="str">
        <f>IFERROR(VLOOKUP(Consulta1[[#This Row],[Pozo]],'Lista Oportunidades'!B:C,2,FALSE),"NO")</f>
        <v>NO</v>
      </c>
      <c r="K679" s="5" t="str">
        <f>IFERROR(VLOOKUP(Consulta1[[#This Row],[Pozo largo]],Controles!B:H,7,FALSE),"NO")</f>
        <v>NO</v>
      </c>
      <c r="L679" s="5" t="str">
        <f>IFERROR(VLOOKUP(Consulta1[[#This Row],[Pozo largo]],Controles!B:J,9,FALSE),"NO")</f>
        <v>NO</v>
      </c>
    </row>
    <row r="680" spans="2:12" x14ac:dyDescent="0.35">
      <c r="B680" s="4" t="s">
        <v>1332</v>
      </c>
      <c r="C680" s="4" t="s">
        <v>6425</v>
      </c>
      <c r="D680" s="4" t="s">
        <v>5</v>
      </c>
      <c r="E680" s="4" t="s">
        <v>24</v>
      </c>
      <c r="F680" s="4" t="s">
        <v>25</v>
      </c>
      <c r="G680" s="4" t="s">
        <v>8</v>
      </c>
      <c r="H680" s="4" t="s">
        <v>86</v>
      </c>
      <c r="I680" s="5" t="str">
        <f>IFERROR(VLOOKUP(Consulta1[[#This Row],[Pozo largo]],'Lista YPF'!$B$3:$C$358,2,FALSE),"NO")</f>
        <v>NO</v>
      </c>
      <c r="J680" s="5" t="str">
        <f>IFERROR(VLOOKUP(Consulta1[[#This Row],[Pozo]],'Lista Oportunidades'!B:C,2,FALSE),"NO")</f>
        <v>NO</v>
      </c>
      <c r="K680" s="5">
        <f>IFERROR(VLOOKUP(Consulta1[[#This Row],[Pozo largo]],Controles!B:H,7,FALSE),"NO")</f>
        <v>0.14100000000000001</v>
      </c>
      <c r="L680" s="5">
        <f>IFERROR(VLOOKUP(Consulta1[[#This Row],[Pozo largo]],Controles!B:J,9,FALSE),"NO")</f>
        <v>0</v>
      </c>
    </row>
    <row r="681" spans="2:12" x14ac:dyDescent="0.35">
      <c r="B681" s="4" t="s">
        <v>1334</v>
      </c>
      <c r="C681" s="4" t="s">
        <v>6426</v>
      </c>
      <c r="D681" s="4" t="s">
        <v>5</v>
      </c>
      <c r="E681" s="4" t="s">
        <v>24</v>
      </c>
      <c r="F681" s="4" t="s">
        <v>7</v>
      </c>
      <c r="G681" s="4" t="s">
        <v>8</v>
      </c>
      <c r="H681" s="4" t="s">
        <v>86</v>
      </c>
      <c r="I681" s="5" t="str">
        <f>IFERROR(VLOOKUP(Consulta1[[#This Row],[Pozo largo]],'Lista YPF'!$B$3:$C$358,2,FALSE),"NO")</f>
        <v>NO</v>
      </c>
      <c r="J681" s="5" t="str">
        <f>IFERROR(VLOOKUP(Consulta1[[#This Row],[Pozo]],'Lista Oportunidades'!B:C,2,FALSE),"NO")</f>
        <v>NO</v>
      </c>
      <c r="K681" s="5">
        <f>IFERROR(VLOOKUP(Consulta1[[#This Row],[Pozo largo]],Controles!B:H,7,FALSE),"NO")</f>
        <v>0.13800000000000001</v>
      </c>
      <c r="L681" s="5">
        <f>IFERROR(VLOOKUP(Consulta1[[#This Row],[Pozo largo]],Controles!B:J,9,FALSE),"NO")</f>
        <v>0</v>
      </c>
    </row>
    <row r="682" spans="2:12" x14ac:dyDescent="0.35">
      <c r="B682" s="4" t="s">
        <v>1336</v>
      </c>
      <c r="C682" s="4" t="s">
        <v>6427</v>
      </c>
      <c r="D682" s="4" t="s">
        <v>5</v>
      </c>
      <c r="E682" s="4" t="s">
        <v>12</v>
      </c>
      <c r="F682" s="4" t="s">
        <v>7</v>
      </c>
      <c r="G682" s="4" t="s">
        <v>13</v>
      </c>
      <c r="H682" s="4" t="s">
        <v>86</v>
      </c>
      <c r="I682" s="5" t="str">
        <f>IFERROR(VLOOKUP(Consulta1[[#This Row],[Pozo largo]],'Lista YPF'!$B$3:$C$358,2,FALSE),"NO")</f>
        <v>NO</v>
      </c>
      <c r="J682" s="5" t="str">
        <f>IFERROR(VLOOKUP(Consulta1[[#This Row],[Pozo]],'Lista Oportunidades'!B:C,2,FALSE),"NO")</f>
        <v>NO</v>
      </c>
      <c r="K682" s="5">
        <f>IFERROR(VLOOKUP(Consulta1[[#This Row],[Pozo largo]],Controles!B:H,7,FALSE),"NO")</f>
        <v>0.96</v>
      </c>
      <c r="L682" s="5">
        <f>IFERROR(VLOOKUP(Consulta1[[#This Row],[Pozo largo]],Controles!B:J,9,FALSE),"NO")</f>
        <v>0</v>
      </c>
    </row>
    <row r="683" spans="2:12" x14ac:dyDescent="0.35">
      <c r="B683" s="4" t="s">
        <v>1338</v>
      </c>
      <c r="C683" s="4" t="s">
        <v>6428</v>
      </c>
      <c r="D683" s="4" t="s">
        <v>5</v>
      </c>
      <c r="E683" s="4" t="s">
        <v>24</v>
      </c>
      <c r="F683" s="4" t="s">
        <v>25</v>
      </c>
      <c r="G683" s="4" t="s">
        <v>8</v>
      </c>
      <c r="H683" s="4" t="s">
        <v>86</v>
      </c>
      <c r="I683" s="5" t="str">
        <f>IFERROR(VLOOKUP(Consulta1[[#This Row],[Pozo largo]],'Lista YPF'!$B$3:$C$358,2,FALSE),"NO")</f>
        <v>NO</v>
      </c>
      <c r="J683" s="5" t="str">
        <f>IFERROR(VLOOKUP(Consulta1[[#This Row],[Pozo]],'Lista Oportunidades'!B:C,2,FALSE),"NO")</f>
        <v>NO</v>
      </c>
      <c r="K683" s="5">
        <f>IFERROR(VLOOKUP(Consulta1[[#This Row],[Pozo largo]],Controles!B:H,7,FALSE),"NO")</f>
        <v>9.7000000000000003E-2</v>
      </c>
      <c r="L683" s="5">
        <f>IFERROR(VLOOKUP(Consulta1[[#This Row],[Pozo largo]],Controles!B:J,9,FALSE),"NO")</f>
        <v>0</v>
      </c>
    </row>
    <row r="684" spans="2:12" x14ac:dyDescent="0.35">
      <c r="B684" s="4" t="s">
        <v>1340</v>
      </c>
      <c r="C684" s="4" t="s">
        <v>6429</v>
      </c>
      <c r="D684" s="4" t="s">
        <v>5</v>
      </c>
      <c r="E684" s="4" t="s">
        <v>30</v>
      </c>
      <c r="F684" s="4" t="s">
        <v>31</v>
      </c>
      <c r="G684" s="4" t="s">
        <v>32</v>
      </c>
      <c r="H684" s="4" t="s">
        <v>80</v>
      </c>
      <c r="I684" s="5" t="str">
        <f>IFERROR(VLOOKUP(Consulta1[[#This Row],[Pozo largo]],'Lista YPF'!$B$3:$C$358,2,FALSE),"NO")</f>
        <v>NO</v>
      </c>
      <c r="J684" s="5" t="str">
        <f>IFERROR(VLOOKUP(Consulta1[[#This Row],[Pozo]],'Lista Oportunidades'!B:C,2,FALSE),"NO")</f>
        <v>NO</v>
      </c>
      <c r="K684" s="5">
        <f>IFERROR(VLOOKUP(Consulta1[[#This Row],[Pozo largo]],Controles!B:H,7,FALSE),"NO")</f>
        <v>0</v>
      </c>
      <c r="L684" s="5">
        <f>IFERROR(VLOOKUP(Consulta1[[#This Row],[Pozo largo]],Controles!B:J,9,FALSE),"NO")</f>
        <v>0</v>
      </c>
    </row>
    <row r="685" spans="2:12" x14ac:dyDescent="0.35">
      <c r="B685" s="4" t="s">
        <v>1342</v>
      </c>
      <c r="C685" s="4" t="s">
        <v>6430</v>
      </c>
      <c r="D685" s="4" t="s">
        <v>5</v>
      </c>
      <c r="E685" s="4" t="s">
        <v>30</v>
      </c>
      <c r="F685" s="4" t="s">
        <v>31</v>
      </c>
      <c r="G685" s="4" t="s">
        <v>32</v>
      </c>
      <c r="H685" s="4" t="s">
        <v>86</v>
      </c>
      <c r="I685" s="5" t="str">
        <f>IFERROR(VLOOKUP(Consulta1[[#This Row],[Pozo largo]],'Lista YPF'!$B$3:$C$358,2,FALSE),"NO")</f>
        <v>NO</v>
      </c>
      <c r="J685" s="5" t="str">
        <f>IFERROR(VLOOKUP(Consulta1[[#This Row],[Pozo]],'Lista Oportunidades'!B:C,2,FALSE),"NO")</f>
        <v>NO</v>
      </c>
      <c r="K685" s="5">
        <f>IFERROR(VLOOKUP(Consulta1[[#This Row],[Pozo largo]],Controles!B:H,7,FALSE),"NO")</f>
        <v>0</v>
      </c>
      <c r="L685" s="5">
        <f>IFERROR(VLOOKUP(Consulta1[[#This Row],[Pozo largo]],Controles!B:J,9,FALSE),"NO")</f>
        <v>0</v>
      </c>
    </row>
    <row r="686" spans="2:12" x14ac:dyDescent="0.35">
      <c r="B686" s="4" t="s">
        <v>1344</v>
      </c>
      <c r="C686" s="4" t="s">
        <v>6431</v>
      </c>
      <c r="D686" s="4" t="s">
        <v>5</v>
      </c>
      <c r="E686" s="4" t="s">
        <v>30</v>
      </c>
      <c r="F686" s="4" t="s">
        <v>31</v>
      </c>
      <c r="G686" s="4" t="s">
        <v>32</v>
      </c>
      <c r="H686" s="4" t="s">
        <v>80</v>
      </c>
      <c r="I686" s="5" t="str">
        <f>IFERROR(VLOOKUP(Consulta1[[#This Row],[Pozo largo]],'Lista YPF'!$B$3:$C$358,2,FALSE),"NO")</f>
        <v>NO</v>
      </c>
      <c r="J686" s="5" t="str">
        <f>IFERROR(VLOOKUP(Consulta1[[#This Row],[Pozo]],'Lista Oportunidades'!B:C,2,FALSE),"NO")</f>
        <v>NO</v>
      </c>
      <c r="K686" s="5">
        <f>IFERROR(VLOOKUP(Consulta1[[#This Row],[Pozo largo]],Controles!B:H,7,FALSE),"NO")</f>
        <v>0</v>
      </c>
      <c r="L686" s="5">
        <f>IFERROR(VLOOKUP(Consulta1[[#This Row],[Pozo largo]],Controles!B:J,9,FALSE),"NO")</f>
        <v>0</v>
      </c>
    </row>
    <row r="687" spans="2:12" x14ac:dyDescent="0.35">
      <c r="B687" s="4" t="s">
        <v>1346</v>
      </c>
      <c r="C687" s="4" t="s">
        <v>6432</v>
      </c>
      <c r="D687" s="4" t="s">
        <v>5</v>
      </c>
      <c r="E687" s="4" t="s">
        <v>12</v>
      </c>
      <c r="F687" s="4" t="s">
        <v>83</v>
      </c>
      <c r="G687" s="4" t="s">
        <v>13</v>
      </c>
      <c r="H687" s="4" t="s">
        <v>80</v>
      </c>
      <c r="I687" s="5" t="str">
        <f>IFERROR(VLOOKUP(Consulta1[[#This Row],[Pozo largo]],'Lista YPF'!$B$3:$C$358,2,FALSE),"NO")</f>
        <v>NO</v>
      </c>
      <c r="J687" s="5" t="str">
        <f>IFERROR(VLOOKUP(Consulta1[[#This Row],[Pozo]],'Lista Oportunidades'!B:C,2,FALSE),"NO")</f>
        <v>NO</v>
      </c>
      <c r="K687" s="5">
        <f>IFERROR(VLOOKUP(Consulta1[[#This Row],[Pozo largo]],Controles!B:H,7,FALSE),"NO")</f>
        <v>0.28000000000000003</v>
      </c>
      <c r="L687" s="5">
        <f>IFERROR(VLOOKUP(Consulta1[[#This Row],[Pozo largo]],Controles!B:J,9,FALSE),"NO")</f>
        <v>0</v>
      </c>
    </row>
    <row r="688" spans="2:12" x14ac:dyDescent="0.35">
      <c r="B688" s="4" t="s">
        <v>1348</v>
      </c>
      <c r="C688" s="4" t="s">
        <v>6433</v>
      </c>
      <c r="D688" s="4" t="s">
        <v>5</v>
      </c>
      <c r="E688" s="4" t="s">
        <v>57</v>
      </c>
      <c r="F688" s="4" t="s">
        <v>7</v>
      </c>
      <c r="G688" s="4" t="s">
        <v>5718</v>
      </c>
      <c r="H688" s="4" t="s">
        <v>71</v>
      </c>
      <c r="I688" s="5" t="str">
        <f>IFERROR(VLOOKUP(Consulta1[[#This Row],[Pozo largo]],'Lista YPF'!$B$3:$C$358,2,FALSE),"NO")</f>
        <v>En lista de Abandono</v>
      </c>
      <c r="J688" s="5" t="str">
        <f>IFERROR(VLOOKUP(Consulta1[[#This Row],[Pozo]],'Lista Oportunidades'!B:C,2,FALSE),"NO")</f>
        <v>NO</v>
      </c>
      <c r="K688" s="5">
        <f>IFERROR(VLOOKUP(Consulta1[[#This Row],[Pozo largo]],Controles!B:H,7,FALSE),"NO")</f>
        <v>0.05</v>
      </c>
      <c r="L688" s="5">
        <f>IFERROR(VLOOKUP(Consulta1[[#This Row],[Pozo largo]],Controles!B:J,9,FALSE),"NO")</f>
        <v>0</v>
      </c>
    </row>
    <row r="689" spans="2:12" x14ac:dyDescent="0.35">
      <c r="B689" s="4" t="s">
        <v>1350</v>
      </c>
      <c r="C689" s="4" t="s">
        <v>6434</v>
      </c>
      <c r="D689" s="4" t="s">
        <v>5</v>
      </c>
      <c r="E689" s="4" t="s">
        <v>30</v>
      </c>
      <c r="F689" s="4" t="s">
        <v>31</v>
      </c>
      <c r="G689" s="4" t="s">
        <v>32</v>
      </c>
      <c r="H689" s="4" t="s">
        <v>9</v>
      </c>
      <c r="I689" s="5" t="str">
        <f>IFERROR(VLOOKUP(Consulta1[[#This Row],[Pozo largo]],'Lista YPF'!$B$3:$C$358,2,FALSE),"NO")</f>
        <v>NO</v>
      </c>
      <c r="J689" s="5" t="str">
        <f>IFERROR(VLOOKUP(Consulta1[[#This Row],[Pozo]],'Lista Oportunidades'!B:C,2,FALSE),"NO")</f>
        <v>NO</v>
      </c>
      <c r="K689" s="5" t="str">
        <f>IFERROR(VLOOKUP(Consulta1[[#This Row],[Pozo largo]],Controles!B:H,7,FALSE),"NO")</f>
        <v>NO</v>
      </c>
      <c r="L689" s="5" t="str">
        <f>IFERROR(VLOOKUP(Consulta1[[#This Row],[Pozo largo]],Controles!B:J,9,FALSE),"NO")</f>
        <v>NO</v>
      </c>
    </row>
    <row r="690" spans="2:12" x14ac:dyDescent="0.35">
      <c r="B690" s="4" t="s">
        <v>1351</v>
      </c>
      <c r="C690" s="4" t="s">
        <v>6435</v>
      </c>
      <c r="D690" s="4" t="s">
        <v>5</v>
      </c>
      <c r="E690" s="4" t="s">
        <v>12</v>
      </c>
      <c r="F690" s="4" t="s">
        <v>7</v>
      </c>
      <c r="G690" s="4" t="s">
        <v>13</v>
      </c>
      <c r="H690" s="4" t="s">
        <v>149</v>
      </c>
      <c r="I690" s="5" t="str">
        <f>IFERROR(VLOOKUP(Consulta1[[#This Row],[Pozo largo]],'Lista YPF'!$B$3:$C$358,2,FALSE),"NO")</f>
        <v>NO</v>
      </c>
      <c r="J690" s="5" t="str">
        <f>IFERROR(VLOOKUP(Consulta1[[#This Row],[Pozo]],'Lista Oportunidades'!B:C,2,FALSE),"NO")</f>
        <v>NO</v>
      </c>
      <c r="K690" s="5">
        <f>IFERROR(VLOOKUP(Consulta1[[#This Row],[Pozo largo]],Controles!B:H,7,FALSE),"NO")</f>
        <v>0.6</v>
      </c>
      <c r="L690" s="5">
        <f>IFERROR(VLOOKUP(Consulta1[[#This Row],[Pozo largo]],Controles!B:J,9,FALSE),"NO")</f>
        <v>0</v>
      </c>
    </row>
    <row r="691" spans="2:12" x14ac:dyDescent="0.35">
      <c r="B691" s="4" t="s">
        <v>1353</v>
      </c>
      <c r="C691" s="4" t="s">
        <v>6436</v>
      </c>
      <c r="D691" s="4" t="s">
        <v>5</v>
      </c>
      <c r="E691" s="4" t="s">
        <v>12</v>
      </c>
      <c r="F691" s="4" t="s">
        <v>25</v>
      </c>
      <c r="G691" s="4" t="s">
        <v>13</v>
      </c>
      <c r="H691" s="4" t="s">
        <v>33</v>
      </c>
      <c r="I691" s="5" t="str">
        <f>IFERROR(VLOOKUP(Consulta1[[#This Row],[Pozo largo]],'Lista YPF'!$B$3:$C$358,2,FALSE),"NO")</f>
        <v>NO</v>
      </c>
      <c r="J691" s="5" t="str">
        <f>IFERROR(VLOOKUP(Consulta1[[#This Row],[Pozo]],'Lista Oportunidades'!B:C,2,FALSE),"NO")</f>
        <v>NO</v>
      </c>
      <c r="K691" s="5">
        <f>IFERROR(VLOOKUP(Consulta1[[#This Row],[Pozo largo]],Controles!B:H,7,FALSE),"NO")</f>
        <v>9.6000000000000002E-2</v>
      </c>
      <c r="L691" s="5">
        <f>IFERROR(VLOOKUP(Consulta1[[#This Row],[Pozo largo]],Controles!B:J,9,FALSE),"NO")</f>
        <v>0</v>
      </c>
    </row>
    <row r="692" spans="2:12" x14ac:dyDescent="0.35">
      <c r="B692" s="4" t="s">
        <v>1355</v>
      </c>
      <c r="C692" s="4" t="s">
        <v>6437</v>
      </c>
      <c r="D692" s="4" t="s">
        <v>5</v>
      </c>
      <c r="E692" s="4" t="s">
        <v>12</v>
      </c>
      <c r="F692" s="4" t="s">
        <v>7</v>
      </c>
      <c r="G692" s="4" t="s">
        <v>13</v>
      </c>
      <c r="H692" s="4" t="s">
        <v>9</v>
      </c>
      <c r="I692" s="5" t="str">
        <f>IFERROR(VLOOKUP(Consulta1[[#This Row],[Pozo largo]],'Lista YPF'!$B$3:$C$358,2,FALSE),"NO")</f>
        <v>NO</v>
      </c>
      <c r="J692" s="5" t="str">
        <f>IFERROR(VLOOKUP(Consulta1[[#This Row],[Pozo]],'Lista Oportunidades'!B:C,2,FALSE),"NO")</f>
        <v>NO</v>
      </c>
      <c r="K692" s="5">
        <f>IFERROR(VLOOKUP(Consulta1[[#This Row],[Pozo largo]],Controles!B:H,7,FALSE),"NO")</f>
        <v>0.95000000000000007</v>
      </c>
      <c r="L692" s="5">
        <f>IFERROR(VLOOKUP(Consulta1[[#This Row],[Pozo largo]],Controles!B:J,9,FALSE),"NO")</f>
        <v>0</v>
      </c>
    </row>
    <row r="693" spans="2:12" x14ac:dyDescent="0.35">
      <c r="B693" s="4" t="s">
        <v>1357</v>
      </c>
      <c r="C693" s="4" t="s">
        <v>6438</v>
      </c>
      <c r="D693" s="4" t="s">
        <v>5</v>
      </c>
      <c r="E693" s="4" t="s">
        <v>12</v>
      </c>
      <c r="F693" s="4" t="s">
        <v>28</v>
      </c>
      <c r="G693" s="4" t="s">
        <v>13</v>
      </c>
      <c r="H693" s="4" t="s">
        <v>21</v>
      </c>
      <c r="I693" s="5" t="str">
        <f>IFERROR(VLOOKUP(Consulta1[[#This Row],[Pozo largo]],'Lista YPF'!$B$3:$C$358,2,FALSE),"NO")</f>
        <v>NO</v>
      </c>
      <c r="J693" s="5" t="str">
        <f>IFERROR(VLOOKUP(Consulta1[[#This Row],[Pozo]],'Lista Oportunidades'!B:C,2,FALSE),"NO")</f>
        <v>NO</v>
      </c>
      <c r="K693" s="5">
        <f>IFERROR(VLOOKUP(Consulta1[[#This Row],[Pozo largo]],Controles!B:H,7,FALSE),"NO")</f>
        <v>0</v>
      </c>
      <c r="L693" s="5">
        <f>IFERROR(VLOOKUP(Consulta1[[#This Row],[Pozo largo]],Controles!B:J,9,FALSE),"NO")</f>
        <v>0</v>
      </c>
    </row>
    <row r="694" spans="2:12" x14ac:dyDescent="0.35">
      <c r="B694" s="4" t="s">
        <v>1359</v>
      </c>
      <c r="C694" s="4" t="s">
        <v>6439</v>
      </c>
      <c r="D694" s="4" t="s">
        <v>5</v>
      </c>
      <c r="E694" s="4" t="s">
        <v>6</v>
      </c>
      <c r="F694" s="4" t="s">
        <v>7</v>
      </c>
      <c r="G694" s="4" t="s">
        <v>5718</v>
      </c>
      <c r="H694" s="4" t="s">
        <v>21</v>
      </c>
      <c r="I694" s="5" t="str">
        <f>IFERROR(VLOOKUP(Consulta1[[#This Row],[Pozo largo]],'Lista YPF'!$B$3:$C$358,2,FALSE),"NO")</f>
        <v>En lista de Abandono</v>
      </c>
      <c r="J694" s="5" t="str">
        <f>IFERROR(VLOOKUP(Consulta1[[#This Row],[Pozo]],'Lista Oportunidades'!B:C,2,FALSE),"NO")</f>
        <v>NO</v>
      </c>
      <c r="K694" s="5">
        <f>IFERROR(VLOOKUP(Consulta1[[#This Row],[Pozo largo]],Controles!B:H,7,FALSE),"NO")</f>
        <v>0.3</v>
      </c>
      <c r="L694" s="5">
        <f>IFERROR(VLOOKUP(Consulta1[[#This Row],[Pozo largo]],Controles!B:J,9,FALSE),"NO")</f>
        <v>0</v>
      </c>
    </row>
    <row r="695" spans="2:12" x14ac:dyDescent="0.35">
      <c r="B695" s="4" t="s">
        <v>1361</v>
      </c>
      <c r="C695" s="4" t="s">
        <v>6440</v>
      </c>
      <c r="D695" s="4" t="s">
        <v>5</v>
      </c>
      <c r="E695" s="4" t="s">
        <v>12</v>
      </c>
      <c r="F695" s="4" t="s">
        <v>7</v>
      </c>
      <c r="G695" s="4" t="s">
        <v>13</v>
      </c>
      <c r="H695" s="4" t="s">
        <v>9</v>
      </c>
      <c r="I695" s="5" t="str">
        <f>IFERROR(VLOOKUP(Consulta1[[#This Row],[Pozo largo]],'Lista YPF'!$B$3:$C$358,2,FALSE),"NO")</f>
        <v>NO</v>
      </c>
      <c r="J695" s="5" t="str">
        <f>IFERROR(VLOOKUP(Consulta1[[#This Row],[Pozo]],'Lista Oportunidades'!B:C,2,FALSE),"NO")</f>
        <v>NO</v>
      </c>
      <c r="K695" s="5">
        <f>IFERROR(VLOOKUP(Consulta1[[#This Row],[Pozo largo]],Controles!B:H,7,FALSE),"NO")</f>
        <v>1.47</v>
      </c>
      <c r="L695" s="5">
        <f>IFERROR(VLOOKUP(Consulta1[[#This Row],[Pozo largo]],Controles!B:J,9,FALSE),"NO")</f>
        <v>0</v>
      </c>
    </row>
    <row r="696" spans="2:12" x14ac:dyDescent="0.35">
      <c r="B696" s="4" t="s">
        <v>1363</v>
      </c>
      <c r="C696" s="4" t="s">
        <v>6441</v>
      </c>
      <c r="D696" s="4" t="s">
        <v>5</v>
      </c>
      <c r="E696" s="4" t="s">
        <v>12</v>
      </c>
      <c r="F696" s="4" t="s">
        <v>7</v>
      </c>
      <c r="G696" s="4" t="s">
        <v>13</v>
      </c>
      <c r="H696" s="4" t="s">
        <v>33</v>
      </c>
      <c r="I696" s="5" t="str">
        <f>IFERROR(VLOOKUP(Consulta1[[#This Row],[Pozo largo]],'Lista YPF'!$B$3:$C$358,2,FALSE),"NO")</f>
        <v>NO</v>
      </c>
      <c r="J696" s="5" t="str">
        <f>IFERROR(VLOOKUP(Consulta1[[#This Row],[Pozo]],'Lista Oportunidades'!B:C,2,FALSE),"NO")</f>
        <v>NO</v>
      </c>
      <c r="K696" s="5">
        <f>IFERROR(VLOOKUP(Consulta1[[#This Row],[Pozo largo]],Controles!B:H,7,FALSE),"NO")</f>
        <v>0.80300000000000005</v>
      </c>
      <c r="L696" s="5">
        <f>IFERROR(VLOOKUP(Consulta1[[#This Row],[Pozo largo]],Controles!B:J,9,FALSE),"NO")</f>
        <v>0</v>
      </c>
    </row>
    <row r="697" spans="2:12" x14ac:dyDescent="0.35">
      <c r="B697" s="4" t="s">
        <v>1365</v>
      </c>
      <c r="C697" s="4" t="s">
        <v>6442</v>
      </c>
      <c r="D697" s="4" t="s">
        <v>5</v>
      </c>
      <c r="E697" s="4" t="s">
        <v>12</v>
      </c>
      <c r="F697" s="4" t="s">
        <v>25</v>
      </c>
      <c r="G697" s="4" t="s">
        <v>13</v>
      </c>
      <c r="H697" s="4" t="s">
        <v>36</v>
      </c>
      <c r="I697" s="5" t="str">
        <f>IFERROR(VLOOKUP(Consulta1[[#This Row],[Pozo largo]],'Lista YPF'!$B$3:$C$358,2,FALSE),"NO")</f>
        <v>NO</v>
      </c>
      <c r="J697" s="5" t="str">
        <f>IFERROR(VLOOKUP(Consulta1[[#This Row],[Pozo]],'Lista Oportunidades'!B:C,2,FALSE),"NO")</f>
        <v>NO</v>
      </c>
      <c r="K697" s="5">
        <f>IFERROR(VLOOKUP(Consulta1[[#This Row],[Pozo largo]],Controles!B:H,7,FALSE),"NO")</f>
        <v>0.248</v>
      </c>
      <c r="L697" s="5">
        <f>IFERROR(VLOOKUP(Consulta1[[#This Row],[Pozo largo]],Controles!B:J,9,FALSE),"NO")</f>
        <v>0</v>
      </c>
    </row>
    <row r="698" spans="2:12" x14ac:dyDescent="0.35">
      <c r="B698" s="4" t="s">
        <v>1367</v>
      </c>
      <c r="C698" s="4" t="s">
        <v>6443</v>
      </c>
      <c r="D698" s="4" t="s">
        <v>5</v>
      </c>
      <c r="E698" s="4" t="s">
        <v>30</v>
      </c>
      <c r="F698" s="4" t="s">
        <v>31</v>
      </c>
      <c r="G698" s="4" t="s">
        <v>32</v>
      </c>
      <c r="H698" s="4" t="s">
        <v>33</v>
      </c>
      <c r="I698" s="5" t="str">
        <f>IFERROR(VLOOKUP(Consulta1[[#This Row],[Pozo largo]],'Lista YPF'!$B$3:$C$358,2,FALSE),"NO")</f>
        <v>NO</v>
      </c>
      <c r="J698" s="5" t="str">
        <f>IFERROR(VLOOKUP(Consulta1[[#This Row],[Pozo]],'Lista Oportunidades'!B:C,2,FALSE),"NO")</f>
        <v>NO</v>
      </c>
      <c r="K698" s="5" t="str">
        <f>IFERROR(VLOOKUP(Consulta1[[#This Row],[Pozo largo]],Controles!B:H,7,FALSE),"NO")</f>
        <v>NO</v>
      </c>
      <c r="L698" s="5" t="str">
        <f>IFERROR(VLOOKUP(Consulta1[[#This Row],[Pozo largo]],Controles!B:J,9,FALSE),"NO")</f>
        <v>NO</v>
      </c>
    </row>
    <row r="699" spans="2:12" x14ac:dyDescent="0.35">
      <c r="B699" s="4" t="s">
        <v>1368</v>
      </c>
      <c r="C699" s="4" t="s">
        <v>6444</v>
      </c>
      <c r="D699" s="4" t="s">
        <v>5</v>
      </c>
      <c r="E699" s="4" t="s">
        <v>12</v>
      </c>
      <c r="F699" s="4" t="s">
        <v>238</v>
      </c>
      <c r="G699" s="4" t="s">
        <v>13</v>
      </c>
      <c r="H699" s="4" t="s">
        <v>21</v>
      </c>
      <c r="I699" s="5" t="str">
        <f>IFERROR(VLOOKUP(Consulta1[[#This Row],[Pozo largo]],'Lista YPF'!$B$3:$C$358,2,FALSE),"NO")</f>
        <v>NO</v>
      </c>
      <c r="J699" s="5" t="str">
        <f>IFERROR(VLOOKUP(Consulta1[[#This Row],[Pozo]],'Lista Oportunidades'!B:C,2,FALSE),"NO")</f>
        <v>NO</v>
      </c>
      <c r="K699" s="5">
        <f>IFERROR(VLOOKUP(Consulta1[[#This Row],[Pozo largo]],Controles!B:H,7,FALSE),"NO")</f>
        <v>2.4</v>
      </c>
      <c r="L699" s="5">
        <f>IFERROR(VLOOKUP(Consulta1[[#This Row],[Pozo largo]],Controles!B:J,9,FALSE),"NO")</f>
        <v>0</v>
      </c>
    </row>
    <row r="700" spans="2:12" x14ac:dyDescent="0.35">
      <c r="B700" s="4" t="s">
        <v>1370</v>
      </c>
      <c r="C700" s="4" t="s">
        <v>6445</v>
      </c>
      <c r="D700" s="4" t="s">
        <v>5</v>
      </c>
      <c r="E700" s="4" t="s">
        <v>12</v>
      </c>
      <c r="F700" s="4" t="s">
        <v>28</v>
      </c>
      <c r="G700" s="4" t="s">
        <v>13</v>
      </c>
      <c r="H700" s="4" t="s">
        <v>254</v>
      </c>
      <c r="I700" s="5" t="str">
        <f>IFERROR(VLOOKUP(Consulta1[[#This Row],[Pozo largo]],'Lista YPF'!$B$3:$C$358,2,FALSE),"NO")</f>
        <v>NO</v>
      </c>
      <c r="J700" s="5" t="str">
        <f>IFERROR(VLOOKUP(Consulta1[[#This Row],[Pozo]],'Lista Oportunidades'!B:C,2,FALSE),"NO")</f>
        <v>NO</v>
      </c>
      <c r="K700" s="5">
        <f>IFERROR(VLOOKUP(Consulta1[[#This Row],[Pozo largo]],Controles!B:H,7,FALSE),"NO")</f>
        <v>0</v>
      </c>
      <c r="L700" s="5">
        <f>IFERROR(VLOOKUP(Consulta1[[#This Row],[Pozo largo]],Controles!B:J,9,FALSE),"NO")</f>
        <v>0</v>
      </c>
    </row>
    <row r="701" spans="2:12" x14ac:dyDescent="0.35">
      <c r="B701" s="4" t="s">
        <v>1372</v>
      </c>
      <c r="C701" s="4" t="s">
        <v>6446</v>
      </c>
      <c r="D701" s="4" t="s">
        <v>5</v>
      </c>
      <c r="E701" s="4" t="s">
        <v>12</v>
      </c>
      <c r="F701" s="4" t="s">
        <v>7</v>
      </c>
      <c r="G701" s="4" t="s">
        <v>13</v>
      </c>
      <c r="H701" s="4" t="s">
        <v>21</v>
      </c>
      <c r="I701" s="5" t="str">
        <f>IFERROR(VLOOKUP(Consulta1[[#This Row],[Pozo largo]],'Lista YPF'!$B$3:$C$358,2,FALSE),"NO")</f>
        <v>NO</v>
      </c>
      <c r="J701" s="5" t="str">
        <f>IFERROR(VLOOKUP(Consulta1[[#This Row],[Pozo]],'Lista Oportunidades'!B:C,2,FALSE),"NO")</f>
        <v>NO</v>
      </c>
      <c r="K701" s="5">
        <f>IFERROR(VLOOKUP(Consulta1[[#This Row],[Pozo largo]],Controles!B:H,7,FALSE),"NO")</f>
        <v>2.64</v>
      </c>
      <c r="L701" s="5">
        <f>IFERROR(VLOOKUP(Consulta1[[#This Row],[Pozo largo]],Controles!B:J,9,FALSE),"NO")</f>
        <v>0</v>
      </c>
    </row>
    <row r="702" spans="2:12" x14ac:dyDescent="0.35">
      <c r="B702" s="4" t="s">
        <v>1374</v>
      </c>
      <c r="C702" s="4" t="s">
        <v>6447</v>
      </c>
      <c r="D702" s="4" t="s">
        <v>5</v>
      </c>
      <c r="E702" s="4" t="s">
        <v>24</v>
      </c>
      <c r="F702" s="4" t="s">
        <v>7</v>
      </c>
      <c r="G702" s="4" t="s">
        <v>8</v>
      </c>
      <c r="H702" s="4" t="s">
        <v>86</v>
      </c>
      <c r="I702" s="5" t="str">
        <f>IFERROR(VLOOKUP(Consulta1[[#This Row],[Pozo largo]],'Lista YPF'!$B$3:$C$358,2,FALSE),"NO")</f>
        <v>NO</v>
      </c>
      <c r="J702" s="5" t="str">
        <f>IFERROR(VLOOKUP(Consulta1[[#This Row],[Pozo]],'Lista Oportunidades'!B:C,2,FALSE),"NO")</f>
        <v>NO</v>
      </c>
      <c r="K702" s="5">
        <f>IFERROR(VLOOKUP(Consulta1[[#This Row],[Pozo largo]],Controles!B:H,7,FALSE),"NO")</f>
        <v>1.2E-2</v>
      </c>
      <c r="L702" s="5">
        <f>IFERROR(VLOOKUP(Consulta1[[#This Row],[Pozo largo]],Controles!B:J,9,FALSE),"NO")</f>
        <v>0</v>
      </c>
    </row>
    <row r="703" spans="2:12" x14ac:dyDescent="0.35">
      <c r="B703" s="4" t="s">
        <v>1376</v>
      </c>
      <c r="C703" s="4" t="s">
        <v>6448</v>
      </c>
      <c r="D703" s="4" t="s">
        <v>5</v>
      </c>
      <c r="E703" s="4" t="s">
        <v>30</v>
      </c>
      <c r="F703" s="4" t="s">
        <v>31</v>
      </c>
      <c r="G703" s="4" t="s">
        <v>32</v>
      </c>
      <c r="H703" s="4" t="s">
        <v>149</v>
      </c>
      <c r="I703" s="5" t="str">
        <f>IFERROR(VLOOKUP(Consulta1[[#This Row],[Pozo largo]],'Lista YPF'!$B$3:$C$358,2,FALSE),"NO")</f>
        <v>NO</v>
      </c>
      <c r="J703" s="5" t="str">
        <f>IFERROR(VLOOKUP(Consulta1[[#This Row],[Pozo]],'Lista Oportunidades'!B:C,2,FALSE),"NO")</f>
        <v>NO</v>
      </c>
      <c r="K703" s="5" t="str">
        <f>IFERROR(VLOOKUP(Consulta1[[#This Row],[Pozo largo]],Controles!B:H,7,FALSE),"NO")</f>
        <v>NO</v>
      </c>
      <c r="L703" s="5" t="str">
        <f>IFERROR(VLOOKUP(Consulta1[[#This Row],[Pozo largo]],Controles!B:J,9,FALSE),"NO")</f>
        <v>NO</v>
      </c>
    </row>
    <row r="704" spans="2:12" x14ac:dyDescent="0.35">
      <c r="B704" s="4" t="s">
        <v>1377</v>
      </c>
      <c r="C704" s="4" t="s">
        <v>6449</v>
      </c>
      <c r="D704" s="4" t="s">
        <v>5</v>
      </c>
      <c r="E704" s="4" t="s">
        <v>24</v>
      </c>
      <c r="F704" s="4" t="s">
        <v>7</v>
      </c>
      <c r="G704" s="4" t="s">
        <v>8</v>
      </c>
      <c r="H704" s="4" t="s">
        <v>9</v>
      </c>
      <c r="I704" s="5" t="str">
        <f>IFERROR(VLOOKUP(Consulta1[[#This Row],[Pozo largo]],'Lista YPF'!$B$3:$C$358,2,FALSE),"NO")</f>
        <v>NO</v>
      </c>
      <c r="J704" s="5" t="str">
        <f>IFERROR(VLOOKUP(Consulta1[[#This Row],[Pozo]],'Lista Oportunidades'!B:C,2,FALSE),"NO")</f>
        <v>NO</v>
      </c>
      <c r="K704" s="5">
        <f>IFERROR(VLOOKUP(Consulta1[[#This Row],[Pozo largo]],Controles!B:H,7,FALSE),"NO")</f>
        <v>0.36</v>
      </c>
      <c r="L704" s="5">
        <f>IFERROR(VLOOKUP(Consulta1[[#This Row],[Pozo largo]],Controles!B:J,9,FALSE),"NO")</f>
        <v>0</v>
      </c>
    </row>
    <row r="705" spans="2:12" x14ac:dyDescent="0.35">
      <c r="B705" s="4" t="s">
        <v>1379</v>
      </c>
      <c r="C705" s="4" t="s">
        <v>6450</v>
      </c>
      <c r="D705" s="4" t="s">
        <v>5</v>
      </c>
      <c r="E705" s="4" t="s">
        <v>12</v>
      </c>
      <c r="F705" s="4" t="s">
        <v>7</v>
      </c>
      <c r="G705" s="4" t="s">
        <v>13</v>
      </c>
      <c r="H705" s="4" t="s">
        <v>71</v>
      </c>
      <c r="I705" s="5" t="str">
        <f>IFERROR(VLOOKUP(Consulta1[[#This Row],[Pozo largo]],'Lista YPF'!$B$3:$C$358,2,FALSE),"NO")</f>
        <v>NO</v>
      </c>
      <c r="J705" s="5" t="str">
        <f>IFERROR(VLOOKUP(Consulta1[[#This Row],[Pozo]],'Lista Oportunidades'!B:C,2,FALSE),"NO")</f>
        <v>NO</v>
      </c>
      <c r="K705" s="5">
        <f>IFERROR(VLOOKUP(Consulta1[[#This Row],[Pozo largo]],Controles!B:H,7,FALSE),"NO")</f>
        <v>2.5</v>
      </c>
      <c r="L705" s="5">
        <f>IFERROR(VLOOKUP(Consulta1[[#This Row],[Pozo largo]],Controles!B:J,9,FALSE),"NO")</f>
        <v>0</v>
      </c>
    </row>
    <row r="706" spans="2:12" x14ac:dyDescent="0.35">
      <c r="B706" s="4" t="s">
        <v>1381</v>
      </c>
      <c r="C706" s="4" t="s">
        <v>6451</v>
      </c>
      <c r="D706" s="4" t="s">
        <v>5</v>
      </c>
      <c r="E706" s="4" t="s">
        <v>30</v>
      </c>
      <c r="F706" s="4" t="s">
        <v>31</v>
      </c>
      <c r="G706" s="4" t="s">
        <v>32</v>
      </c>
      <c r="H706" s="4" t="s">
        <v>9</v>
      </c>
      <c r="I706" s="5" t="str">
        <f>IFERROR(VLOOKUP(Consulta1[[#This Row],[Pozo largo]],'Lista YPF'!$B$3:$C$358,2,FALSE),"NO")</f>
        <v>NO</v>
      </c>
      <c r="J706" s="5" t="str">
        <f>IFERROR(VLOOKUP(Consulta1[[#This Row],[Pozo]],'Lista Oportunidades'!B:C,2,FALSE),"NO")</f>
        <v>NO</v>
      </c>
      <c r="K706" s="5" t="str">
        <f>IFERROR(VLOOKUP(Consulta1[[#This Row],[Pozo largo]],Controles!B:H,7,FALSE),"NO")</f>
        <v>NO</v>
      </c>
      <c r="L706" s="5" t="str">
        <f>IFERROR(VLOOKUP(Consulta1[[#This Row],[Pozo largo]],Controles!B:J,9,FALSE),"NO")</f>
        <v>NO</v>
      </c>
    </row>
    <row r="707" spans="2:12" x14ac:dyDescent="0.35">
      <c r="B707" s="4" t="s">
        <v>1382</v>
      </c>
      <c r="C707" s="4" t="s">
        <v>6452</v>
      </c>
      <c r="D707" s="4" t="s">
        <v>5</v>
      </c>
      <c r="E707" s="4" t="s">
        <v>24</v>
      </c>
      <c r="F707" s="4" t="s">
        <v>31</v>
      </c>
      <c r="G707" s="4" t="s">
        <v>8</v>
      </c>
      <c r="H707" s="4" t="s">
        <v>9</v>
      </c>
      <c r="I707" s="5" t="str">
        <f>IFERROR(VLOOKUP(Consulta1[[#This Row],[Pozo largo]],'Lista YPF'!$B$3:$C$358,2,FALSE),"NO")</f>
        <v>NO</v>
      </c>
      <c r="J707" s="5" t="str">
        <f>IFERROR(VLOOKUP(Consulta1[[#This Row],[Pozo]],'Lista Oportunidades'!B:C,2,FALSE),"NO")</f>
        <v>NO</v>
      </c>
      <c r="K707" s="5" t="str">
        <f>IFERROR(VLOOKUP(Consulta1[[#This Row],[Pozo largo]],Controles!B:H,7,FALSE),"NO")</f>
        <v>NO</v>
      </c>
      <c r="L707" s="5" t="str">
        <f>IFERROR(VLOOKUP(Consulta1[[#This Row],[Pozo largo]],Controles!B:J,9,FALSE),"NO")</f>
        <v>NO</v>
      </c>
    </row>
    <row r="708" spans="2:12" x14ac:dyDescent="0.35">
      <c r="B708" s="4" t="s">
        <v>1383</v>
      </c>
      <c r="C708" s="4" t="s">
        <v>6453</v>
      </c>
      <c r="D708" s="4" t="s">
        <v>5</v>
      </c>
      <c r="E708" s="4" t="s">
        <v>30</v>
      </c>
      <c r="F708" s="4" t="s">
        <v>31</v>
      </c>
      <c r="G708" s="4" t="s">
        <v>32</v>
      </c>
      <c r="H708" s="4" t="s">
        <v>86</v>
      </c>
      <c r="I708" s="5" t="str">
        <f>IFERROR(VLOOKUP(Consulta1[[#This Row],[Pozo largo]],'Lista YPF'!$B$3:$C$358,2,FALSE),"NO")</f>
        <v>NO</v>
      </c>
      <c r="J708" s="5" t="str">
        <f>IFERROR(VLOOKUP(Consulta1[[#This Row],[Pozo]],'Lista Oportunidades'!B:C,2,FALSE),"NO")</f>
        <v>NO</v>
      </c>
      <c r="K708" s="5" t="str">
        <f>IFERROR(VLOOKUP(Consulta1[[#This Row],[Pozo largo]],Controles!B:H,7,FALSE),"NO")</f>
        <v>NO</v>
      </c>
      <c r="L708" s="5" t="str">
        <f>IFERROR(VLOOKUP(Consulta1[[#This Row],[Pozo largo]],Controles!B:J,9,FALSE),"NO")</f>
        <v>NO</v>
      </c>
    </row>
    <row r="709" spans="2:12" x14ac:dyDescent="0.35">
      <c r="B709" s="4" t="s">
        <v>1384</v>
      </c>
      <c r="C709" s="4" t="s">
        <v>6454</v>
      </c>
      <c r="D709" s="4" t="s">
        <v>5</v>
      </c>
      <c r="E709" s="4" t="s">
        <v>24</v>
      </c>
      <c r="F709" s="4" t="s">
        <v>25</v>
      </c>
      <c r="G709" s="4" t="s">
        <v>8</v>
      </c>
      <c r="H709" s="4" t="s">
        <v>86</v>
      </c>
      <c r="I709" s="5" t="str">
        <f>IFERROR(VLOOKUP(Consulta1[[#This Row],[Pozo largo]],'Lista YPF'!$B$3:$C$358,2,FALSE),"NO")</f>
        <v>NO</v>
      </c>
      <c r="J709" s="5" t="str">
        <f>IFERROR(VLOOKUP(Consulta1[[#This Row],[Pozo]],'Lista Oportunidades'!B:C,2,FALSE),"NO")</f>
        <v>NO</v>
      </c>
      <c r="K709" s="5">
        <f>IFERROR(VLOOKUP(Consulta1[[#This Row],[Pozo largo]],Controles!B:H,7,FALSE),"NO")</f>
        <v>0.85</v>
      </c>
      <c r="L709" s="5">
        <f>IFERROR(VLOOKUP(Consulta1[[#This Row],[Pozo largo]],Controles!B:J,9,FALSE),"NO")</f>
        <v>0</v>
      </c>
    </row>
    <row r="710" spans="2:12" x14ac:dyDescent="0.35">
      <c r="B710" s="4" t="s">
        <v>1386</v>
      </c>
      <c r="C710" s="4" t="s">
        <v>6455</v>
      </c>
      <c r="D710" s="4" t="s">
        <v>5</v>
      </c>
      <c r="E710" s="4" t="s">
        <v>12</v>
      </c>
      <c r="F710" s="4" t="s">
        <v>25</v>
      </c>
      <c r="G710" s="4" t="s">
        <v>13</v>
      </c>
      <c r="H710" s="4" t="s">
        <v>86</v>
      </c>
      <c r="I710" s="5" t="str">
        <f>IFERROR(VLOOKUP(Consulta1[[#This Row],[Pozo largo]],'Lista YPF'!$B$3:$C$358,2,FALSE),"NO")</f>
        <v>NO</v>
      </c>
      <c r="J710" s="5" t="str">
        <f>IFERROR(VLOOKUP(Consulta1[[#This Row],[Pozo]],'Lista Oportunidades'!B:C,2,FALSE),"NO")</f>
        <v>NO</v>
      </c>
      <c r="K710" s="5">
        <f>IFERROR(VLOOKUP(Consulta1[[#This Row],[Pozo largo]],Controles!B:H,7,FALSE),"NO")</f>
        <v>0.10400000000000001</v>
      </c>
      <c r="L710" s="5">
        <f>IFERROR(VLOOKUP(Consulta1[[#This Row],[Pozo largo]],Controles!B:J,9,FALSE),"NO")</f>
        <v>0</v>
      </c>
    </row>
    <row r="711" spans="2:12" x14ac:dyDescent="0.35">
      <c r="B711" s="4" t="s">
        <v>1388</v>
      </c>
      <c r="C711" s="4" t="s">
        <v>6456</v>
      </c>
      <c r="D711" s="4" t="s">
        <v>5</v>
      </c>
      <c r="E711" s="4" t="s">
        <v>12</v>
      </c>
      <c r="F711" s="4" t="s">
        <v>7</v>
      </c>
      <c r="G711" s="4" t="s">
        <v>13</v>
      </c>
      <c r="H711" s="4" t="s">
        <v>74</v>
      </c>
      <c r="I711" s="5" t="str">
        <f>IFERROR(VLOOKUP(Consulta1[[#This Row],[Pozo largo]],'Lista YPF'!$B$3:$C$358,2,FALSE),"NO")</f>
        <v>NO</v>
      </c>
      <c r="J711" s="5" t="str">
        <f>IFERROR(VLOOKUP(Consulta1[[#This Row],[Pozo]],'Lista Oportunidades'!B:C,2,FALSE),"NO")</f>
        <v>NO</v>
      </c>
      <c r="K711" s="5">
        <f>IFERROR(VLOOKUP(Consulta1[[#This Row],[Pozo largo]],Controles!B:H,7,FALSE),"NO")</f>
        <v>2.4</v>
      </c>
      <c r="L711" s="5">
        <f>IFERROR(VLOOKUP(Consulta1[[#This Row],[Pozo largo]],Controles!B:J,9,FALSE),"NO")</f>
        <v>0</v>
      </c>
    </row>
    <row r="712" spans="2:12" x14ac:dyDescent="0.35">
      <c r="B712" s="4" t="s">
        <v>1390</v>
      </c>
      <c r="C712" s="4" t="s">
        <v>6457</v>
      </c>
      <c r="D712" s="4" t="s">
        <v>5</v>
      </c>
      <c r="E712" s="4" t="s">
        <v>12</v>
      </c>
      <c r="F712" s="4" t="s">
        <v>7</v>
      </c>
      <c r="G712" s="4" t="s">
        <v>13</v>
      </c>
      <c r="H712" s="4" t="s">
        <v>74</v>
      </c>
      <c r="I712" s="5" t="str">
        <f>IFERROR(VLOOKUP(Consulta1[[#This Row],[Pozo largo]],'Lista YPF'!$B$3:$C$358,2,FALSE),"NO")</f>
        <v>NO</v>
      </c>
      <c r="J712" s="5" t="str">
        <f>IFERROR(VLOOKUP(Consulta1[[#This Row],[Pozo]],'Lista Oportunidades'!B:C,2,FALSE),"NO")</f>
        <v>NO</v>
      </c>
      <c r="K712" s="5">
        <f>IFERROR(VLOOKUP(Consulta1[[#This Row],[Pozo largo]],Controles!B:H,7,FALSE),"NO")</f>
        <v>0.72</v>
      </c>
      <c r="L712" s="5">
        <f>IFERROR(VLOOKUP(Consulta1[[#This Row],[Pozo largo]],Controles!B:J,9,FALSE),"NO")</f>
        <v>0</v>
      </c>
    </row>
    <row r="713" spans="2:12" x14ac:dyDescent="0.35">
      <c r="B713" s="4" t="s">
        <v>1392</v>
      </c>
      <c r="C713" s="4" t="s">
        <v>6458</v>
      </c>
      <c r="D713" s="4" t="s">
        <v>5</v>
      </c>
      <c r="E713" s="4" t="s">
        <v>12</v>
      </c>
      <c r="F713" s="4" t="s">
        <v>7</v>
      </c>
      <c r="G713" s="4" t="s">
        <v>13</v>
      </c>
      <c r="H713" s="4" t="s">
        <v>185</v>
      </c>
      <c r="I713" s="5" t="str">
        <f>IFERROR(VLOOKUP(Consulta1[[#This Row],[Pozo largo]],'Lista YPF'!$B$3:$C$358,2,FALSE),"NO")</f>
        <v>NO</v>
      </c>
      <c r="J713" s="5" t="str">
        <f>IFERROR(VLOOKUP(Consulta1[[#This Row],[Pozo]],'Lista Oportunidades'!B:C,2,FALSE),"NO")</f>
        <v>NO</v>
      </c>
      <c r="K713" s="5">
        <f>IFERROR(VLOOKUP(Consulta1[[#This Row],[Pozo largo]],Controles!B:H,7,FALSE),"NO")</f>
        <v>1.5</v>
      </c>
      <c r="L713" s="5">
        <f>IFERROR(VLOOKUP(Consulta1[[#This Row],[Pozo largo]],Controles!B:J,9,FALSE),"NO")</f>
        <v>0</v>
      </c>
    </row>
    <row r="714" spans="2:12" x14ac:dyDescent="0.35">
      <c r="B714" s="4" t="s">
        <v>1394</v>
      </c>
      <c r="C714" s="4" t="s">
        <v>6459</v>
      </c>
      <c r="D714" s="4" t="s">
        <v>5</v>
      </c>
      <c r="E714" s="4" t="s">
        <v>12</v>
      </c>
      <c r="F714" s="4" t="s">
        <v>28</v>
      </c>
      <c r="G714" s="4" t="s">
        <v>13</v>
      </c>
      <c r="H714" s="4" t="s">
        <v>74</v>
      </c>
      <c r="I714" s="5" t="str">
        <f>IFERROR(VLOOKUP(Consulta1[[#This Row],[Pozo largo]],'Lista YPF'!$B$3:$C$358,2,FALSE),"NO")</f>
        <v>NO</v>
      </c>
      <c r="J714" s="5" t="str">
        <f>IFERROR(VLOOKUP(Consulta1[[#This Row],[Pozo]],'Lista Oportunidades'!B:C,2,FALSE),"NO")</f>
        <v>NO</v>
      </c>
      <c r="K714" s="5">
        <f>IFERROR(VLOOKUP(Consulta1[[#This Row],[Pozo largo]],Controles!B:H,7,FALSE),"NO")</f>
        <v>0</v>
      </c>
      <c r="L714" s="5">
        <f>IFERROR(VLOOKUP(Consulta1[[#This Row],[Pozo largo]],Controles!B:J,9,FALSE),"NO")</f>
        <v>0</v>
      </c>
    </row>
    <row r="715" spans="2:12" x14ac:dyDescent="0.35">
      <c r="B715" s="4" t="s">
        <v>1396</v>
      </c>
      <c r="C715" s="4" t="s">
        <v>6460</v>
      </c>
      <c r="D715" s="4" t="s">
        <v>5</v>
      </c>
      <c r="E715" s="4" t="s">
        <v>156</v>
      </c>
      <c r="F715" s="4" t="s">
        <v>31</v>
      </c>
      <c r="G715" s="4" t="s">
        <v>157</v>
      </c>
      <c r="H715" s="4" t="s">
        <v>71</v>
      </c>
      <c r="I715" s="5" t="str">
        <f>IFERROR(VLOOKUP(Consulta1[[#This Row],[Pozo largo]],'Lista YPF'!$B$3:$C$358,2,FALSE),"NO")</f>
        <v>NO</v>
      </c>
      <c r="J715" s="5" t="str">
        <f>IFERROR(VLOOKUP(Consulta1[[#This Row],[Pozo]],'Lista Oportunidades'!B:C,2,FALSE),"NO")</f>
        <v>NO</v>
      </c>
      <c r="K715" s="5" t="str">
        <f>IFERROR(VLOOKUP(Consulta1[[#This Row],[Pozo largo]],Controles!B:H,7,FALSE),"NO")</f>
        <v>NO</v>
      </c>
      <c r="L715" s="5" t="str">
        <f>IFERROR(VLOOKUP(Consulta1[[#This Row],[Pozo largo]],Controles!B:J,9,FALSE),"NO")</f>
        <v>NO</v>
      </c>
    </row>
    <row r="716" spans="2:12" x14ac:dyDescent="0.35">
      <c r="B716" s="4" t="s">
        <v>1397</v>
      </c>
      <c r="C716" s="4" t="s">
        <v>6461</v>
      </c>
      <c r="D716" s="4" t="s">
        <v>5</v>
      </c>
      <c r="E716" s="4" t="s">
        <v>24</v>
      </c>
      <c r="F716" s="4" t="s">
        <v>31</v>
      </c>
      <c r="G716" s="4" t="s">
        <v>8</v>
      </c>
      <c r="H716" s="4" t="s">
        <v>21</v>
      </c>
      <c r="I716" s="5" t="str">
        <f>IFERROR(VLOOKUP(Consulta1[[#This Row],[Pozo largo]],'Lista YPF'!$B$3:$C$358,2,FALSE),"NO")</f>
        <v>NO</v>
      </c>
      <c r="J716" s="5" t="str">
        <f>IFERROR(VLOOKUP(Consulta1[[#This Row],[Pozo]],'Lista Oportunidades'!B:C,2,FALSE),"NO")</f>
        <v>NO</v>
      </c>
      <c r="K716" s="5">
        <f>IFERROR(VLOOKUP(Consulta1[[#This Row],[Pozo largo]],Controles!B:H,7,FALSE),"NO")</f>
        <v>0.98</v>
      </c>
      <c r="L716" s="5">
        <f>IFERROR(VLOOKUP(Consulta1[[#This Row],[Pozo largo]],Controles!B:J,9,FALSE),"NO")</f>
        <v>0</v>
      </c>
    </row>
    <row r="717" spans="2:12" x14ac:dyDescent="0.35">
      <c r="B717" s="4" t="s">
        <v>1399</v>
      </c>
      <c r="C717" s="4" t="s">
        <v>6462</v>
      </c>
      <c r="D717" s="4" t="s">
        <v>5</v>
      </c>
      <c r="E717" s="4" t="s">
        <v>6</v>
      </c>
      <c r="F717" s="4" t="s">
        <v>25</v>
      </c>
      <c r="G717" s="4" t="s">
        <v>11386</v>
      </c>
      <c r="H717" s="4" t="s">
        <v>9</v>
      </c>
      <c r="I717" s="5" t="str">
        <f>IFERROR(VLOOKUP(Consulta1[[#This Row],[Pozo largo]],'Lista YPF'!$B$3:$C$358,2,FALSE),"NO")</f>
        <v>NO</v>
      </c>
      <c r="J717" s="5" t="str">
        <f>IFERROR(VLOOKUP(Consulta1[[#This Row],[Pozo]],'Lista Oportunidades'!B:C,2,FALSE),"NO")</f>
        <v>NO</v>
      </c>
      <c r="K717" s="5">
        <f>IFERROR(VLOOKUP(Consulta1[[#This Row],[Pozo largo]],Controles!B:H,7,FALSE),"NO")</f>
        <v>0.01</v>
      </c>
      <c r="L717" s="5" t="str">
        <f>IFERROR(VLOOKUP(Consulta1[[#This Row],[Pozo largo]],Controles!B:J,9,FALSE),"NO")</f>
        <v>Ultimos 6 meses</v>
      </c>
    </row>
    <row r="718" spans="2:12" x14ac:dyDescent="0.35">
      <c r="B718" s="4" t="s">
        <v>1401</v>
      </c>
      <c r="C718" s="4" t="s">
        <v>6463</v>
      </c>
      <c r="D718" s="4" t="s">
        <v>5</v>
      </c>
      <c r="E718" s="4" t="s">
        <v>24</v>
      </c>
      <c r="F718" s="4" t="s">
        <v>31</v>
      </c>
      <c r="G718" s="4" t="s">
        <v>8</v>
      </c>
      <c r="H718" s="4" t="s">
        <v>21</v>
      </c>
      <c r="I718" s="5" t="str">
        <f>IFERROR(VLOOKUP(Consulta1[[#This Row],[Pozo largo]],'Lista YPF'!$B$3:$C$358,2,FALSE),"NO")</f>
        <v>NO</v>
      </c>
      <c r="J718" s="5" t="str">
        <f>IFERROR(VLOOKUP(Consulta1[[#This Row],[Pozo]],'Lista Oportunidades'!B:C,2,FALSE),"NO")</f>
        <v>NO</v>
      </c>
      <c r="K718" s="5">
        <f>IFERROR(VLOOKUP(Consulta1[[#This Row],[Pozo largo]],Controles!B:H,7,FALSE),"NO")</f>
        <v>0.65100000000000002</v>
      </c>
      <c r="L718" s="5">
        <f>IFERROR(VLOOKUP(Consulta1[[#This Row],[Pozo largo]],Controles!B:J,9,FALSE),"NO")</f>
        <v>0</v>
      </c>
    </row>
    <row r="719" spans="2:12" x14ac:dyDescent="0.35">
      <c r="B719" s="4" t="s">
        <v>1403</v>
      </c>
      <c r="C719" s="4" t="s">
        <v>6464</v>
      </c>
      <c r="D719" s="4" t="s">
        <v>5</v>
      </c>
      <c r="E719" s="4" t="s">
        <v>12</v>
      </c>
      <c r="F719" s="4" t="s">
        <v>7</v>
      </c>
      <c r="G719" s="4" t="s">
        <v>13</v>
      </c>
      <c r="H719" s="4" t="s">
        <v>185</v>
      </c>
      <c r="I719" s="5" t="str">
        <f>IFERROR(VLOOKUP(Consulta1[[#This Row],[Pozo largo]],'Lista YPF'!$B$3:$C$358,2,FALSE),"NO")</f>
        <v>NO</v>
      </c>
      <c r="J719" s="5" t="str">
        <f>IFERROR(VLOOKUP(Consulta1[[#This Row],[Pozo]],'Lista Oportunidades'!B:C,2,FALSE),"NO")</f>
        <v>NO</v>
      </c>
      <c r="K719" s="5">
        <f>IFERROR(VLOOKUP(Consulta1[[#This Row],[Pozo largo]],Controles!B:H,7,FALSE),"NO")</f>
        <v>1.6400000000000001</v>
      </c>
      <c r="L719" s="5">
        <f>IFERROR(VLOOKUP(Consulta1[[#This Row],[Pozo largo]],Controles!B:J,9,FALSE),"NO")</f>
        <v>0</v>
      </c>
    </row>
    <row r="720" spans="2:12" x14ac:dyDescent="0.35">
      <c r="B720" s="4" t="s">
        <v>1405</v>
      </c>
      <c r="C720" s="4" t="s">
        <v>6465</v>
      </c>
      <c r="D720" s="4" t="s">
        <v>5</v>
      </c>
      <c r="E720" s="4" t="s">
        <v>30</v>
      </c>
      <c r="F720" s="4" t="s">
        <v>31</v>
      </c>
      <c r="G720" s="4" t="s">
        <v>32</v>
      </c>
      <c r="H720" s="4" t="s">
        <v>86</v>
      </c>
      <c r="I720" s="5" t="str">
        <f>IFERROR(VLOOKUP(Consulta1[[#This Row],[Pozo largo]],'Lista YPF'!$B$3:$C$358,2,FALSE),"NO")</f>
        <v>NO</v>
      </c>
      <c r="J720" s="5" t="str">
        <f>IFERROR(VLOOKUP(Consulta1[[#This Row],[Pozo]],'Lista Oportunidades'!B:C,2,FALSE),"NO")</f>
        <v>NO</v>
      </c>
      <c r="K720" s="5">
        <f>IFERROR(VLOOKUP(Consulta1[[#This Row],[Pozo largo]],Controles!B:H,7,FALSE),"NO")</f>
        <v>4.4000000000000004E-2</v>
      </c>
      <c r="L720" s="5">
        <f>IFERROR(VLOOKUP(Consulta1[[#This Row],[Pozo largo]],Controles!B:J,9,FALSE),"NO")</f>
        <v>0</v>
      </c>
    </row>
    <row r="721" spans="2:12" x14ac:dyDescent="0.35">
      <c r="B721" s="4" t="s">
        <v>1407</v>
      </c>
      <c r="C721" s="4" t="s">
        <v>6466</v>
      </c>
      <c r="D721" s="4" t="s">
        <v>5</v>
      </c>
      <c r="E721" s="4" t="s">
        <v>57</v>
      </c>
      <c r="F721" s="4" t="s">
        <v>7</v>
      </c>
      <c r="G721" s="4" t="s">
        <v>5718</v>
      </c>
      <c r="H721" s="4" t="s">
        <v>74</v>
      </c>
      <c r="I721" s="5" t="str">
        <f>IFERROR(VLOOKUP(Consulta1[[#This Row],[Pozo largo]],'Lista YPF'!$B$3:$C$358,2,FALSE),"NO")</f>
        <v>En lista de Abandono</v>
      </c>
      <c r="J721" s="5" t="str">
        <f>IFERROR(VLOOKUP(Consulta1[[#This Row],[Pozo]],'Lista Oportunidades'!B:C,2,FALSE),"NO")</f>
        <v>NO</v>
      </c>
      <c r="K721" s="5">
        <f>IFERROR(VLOOKUP(Consulta1[[#This Row],[Pozo largo]],Controles!B:H,7,FALSE),"NO")</f>
        <v>0.45</v>
      </c>
      <c r="L721" s="5">
        <f>IFERROR(VLOOKUP(Consulta1[[#This Row],[Pozo largo]],Controles!B:J,9,FALSE),"NO")</f>
        <v>0</v>
      </c>
    </row>
    <row r="722" spans="2:12" x14ac:dyDescent="0.35">
      <c r="B722" s="4" t="s">
        <v>1409</v>
      </c>
      <c r="C722" s="4" t="s">
        <v>6467</v>
      </c>
      <c r="D722" s="4" t="s">
        <v>5</v>
      </c>
      <c r="E722" s="4" t="s">
        <v>6</v>
      </c>
      <c r="F722" s="4" t="s">
        <v>7</v>
      </c>
      <c r="G722" s="4" t="s">
        <v>11386</v>
      </c>
      <c r="H722" s="4" t="s">
        <v>185</v>
      </c>
      <c r="I722" s="5" t="str">
        <f>IFERROR(VLOOKUP(Consulta1[[#This Row],[Pozo largo]],'Lista YPF'!$B$3:$C$358,2,FALSE),"NO")</f>
        <v>NO</v>
      </c>
      <c r="J722" s="5" t="str">
        <f>IFERROR(VLOOKUP(Consulta1[[#This Row],[Pozo]],'Lista Oportunidades'!B:C,2,FALSE),"NO")</f>
        <v>NO</v>
      </c>
      <c r="K722" s="5">
        <f>IFERROR(VLOOKUP(Consulta1[[#This Row],[Pozo largo]],Controles!B:H,7,FALSE),"NO")</f>
        <v>0.66</v>
      </c>
      <c r="L722" s="5" t="str">
        <f>IFERROR(VLOOKUP(Consulta1[[#This Row],[Pozo largo]],Controles!B:J,9,FALSE),"NO")</f>
        <v>Ultimos 6 meses</v>
      </c>
    </row>
    <row r="723" spans="2:12" x14ac:dyDescent="0.35">
      <c r="B723" s="4" t="s">
        <v>1411</v>
      </c>
      <c r="C723" s="4" t="s">
        <v>6468</v>
      </c>
      <c r="D723" s="4" t="s">
        <v>5</v>
      </c>
      <c r="E723" s="4" t="s">
        <v>12</v>
      </c>
      <c r="F723" s="4" t="s">
        <v>7</v>
      </c>
      <c r="G723" s="4" t="s">
        <v>13</v>
      </c>
      <c r="H723" s="4" t="s">
        <v>9</v>
      </c>
      <c r="I723" s="5" t="str">
        <f>IFERROR(VLOOKUP(Consulta1[[#This Row],[Pozo largo]],'Lista YPF'!$B$3:$C$358,2,FALSE),"NO")</f>
        <v>NO</v>
      </c>
      <c r="J723" s="5" t="str">
        <f>IFERROR(VLOOKUP(Consulta1[[#This Row],[Pozo]],'Lista Oportunidades'!B:C,2,FALSE),"NO")</f>
        <v>NO</v>
      </c>
      <c r="K723" s="5">
        <f>IFERROR(VLOOKUP(Consulta1[[#This Row],[Pozo largo]],Controles!B:H,7,FALSE),"NO")</f>
        <v>1.36</v>
      </c>
      <c r="L723" s="5">
        <f>IFERROR(VLOOKUP(Consulta1[[#This Row],[Pozo largo]],Controles!B:J,9,FALSE),"NO")</f>
        <v>0</v>
      </c>
    </row>
    <row r="724" spans="2:12" x14ac:dyDescent="0.35">
      <c r="B724" s="4" t="s">
        <v>1413</v>
      </c>
      <c r="C724" s="4" t="s">
        <v>6469</v>
      </c>
      <c r="D724" s="4" t="s">
        <v>5</v>
      </c>
      <c r="E724" s="4" t="s">
        <v>12</v>
      </c>
      <c r="F724" s="4" t="s">
        <v>7</v>
      </c>
      <c r="G724" s="4" t="s">
        <v>13</v>
      </c>
      <c r="H724" s="4" t="s">
        <v>16</v>
      </c>
      <c r="I724" s="5" t="str">
        <f>IFERROR(VLOOKUP(Consulta1[[#This Row],[Pozo largo]],'Lista YPF'!$B$3:$C$358,2,FALSE),"NO")</f>
        <v>NO</v>
      </c>
      <c r="J724" s="5" t="str">
        <f>IFERROR(VLOOKUP(Consulta1[[#This Row],[Pozo]],'Lista Oportunidades'!B:C,2,FALSE),"NO")</f>
        <v>NO</v>
      </c>
      <c r="K724" s="5">
        <f>IFERROR(VLOOKUP(Consulta1[[#This Row],[Pozo largo]],Controles!B:H,7,FALSE),"NO")</f>
        <v>0.45</v>
      </c>
      <c r="L724" s="5">
        <f>IFERROR(VLOOKUP(Consulta1[[#This Row],[Pozo largo]],Controles!B:J,9,FALSE),"NO")</f>
        <v>0</v>
      </c>
    </row>
    <row r="725" spans="2:12" x14ac:dyDescent="0.35">
      <c r="B725" s="4" t="s">
        <v>1415</v>
      </c>
      <c r="C725" s="4" t="s">
        <v>5720</v>
      </c>
      <c r="D725" s="4" t="s">
        <v>5</v>
      </c>
      <c r="E725" s="4" t="s">
        <v>12</v>
      </c>
      <c r="F725" s="4" t="s">
        <v>7</v>
      </c>
      <c r="G725" s="4" t="s">
        <v>13</v>
      </c>
      <c r="H725" s="4" t="s">
        <v>9</v>
      </c>
      <c r="I725" s="5" t="str">
        <f>IFERROR(VLOOKUP(Consulta1[[#This Row],[Pozo largo]],'Lista YPF'!$B$3:$C$358,2,FALSE),"NO")</f>
        <v>NO</v>
      </c>
      <c r="J725" s="5" t="str">
        <f>IFERROR(VLOOKUP(Consulta1[[#This Row],[Pozo]],'Lista Oportunidades'!B:C,2,FALSE),"NO")</f>
        <v>Oportunidad</v>
      </c>
      <c r="K725" s="5">
        <f>IFERROR(VLOOKUP(Consulta1[[#This Row],[Pozo largo]],Controles!B:H,7,FALSE),"NO")</f>
        <v>0.72</v>
      </c>
      <c r="L725" s="5">
        <f>IFERROR(VLOOKUP(Consulta1[[#This Row],[Pozo largo]],Controles!B:J,9,FALSE),"NO")</f>
        <v>0</v>
      </c>
    </row>
    <row r="726" spans="2:12" x14ac:dyDescent="0.35">
      <c r="B726" s="4" t="s">
        <v>1417</v>
      </c>
      <c r="C726" s="4" t="s">
        <v>6470</v>
      </c>
      <c r="D726" s="4" t="s">
        <v>5</v>
      </c>
      <c r="E726" s="4" t="s">
        <v>12</v>
      </c>
      <c r="F726" s="4" t="s">
        <v>7</v>
      </c>
      <c r="G726" s="4" t="s">
        <v>13</v>
      </c>
      <c r="H726" s="4" t="s">
        <v>149</v>
      </c>
      <c r="I726" s="5" t="str">
        <f>IFERROR(VLOOKUP(Consulta1[[#This Row],[Pozo largo]],'Lista YPF'!$B$3:$C$358,2,FALSE),"NO")</f>
        <v>NO</v>
      </c>
      <c r="J726" s="5" t="str">
        <f>IFERROR(VLOOKUP(Consulta1[[#This Row],[Pozo]],'Lista Oportunidades'!B:C,2,FALSE),"NO")</f>
        <v>NO</v>
      </c>
      <c r="K726" s="5">
        <f>IFERROR(VLOOKUP(Consulta1[[#This Row],[Pozo largo]],Controles!B:H,7,FALSE),"NO")</f>
        <v>2.0150000000000001</v>
      </c>
      <c r="L726" s="5">
        <f>IFERROR(VLOOKUP(Consulta1[[#This Row],[Pozo largo]],Controles!B:J,9,FALSE),"NO")</f>
        <v>0</v>
      </c>
    </row>
    <row r="727" spans="2:12" x14ac:dyDescent="0.35">
      <c r="B727" s="4" t="s">
        <v>1419</v>
      </c>
      <c r="C727" s="4" t="s">
        <v>6471</v>
      </c>
      <c r="D727" s="4" t="s">
        <v>5</v>
      </c>
      <c r="E727" s="4" t="s">
        <v>12</v>
      </c>
      <c r="F727" s="4" t="s">
        <v>238</v>
      </c>
      <c r="G727" s="4" t="s">
        <v>13</v>
      </c>
      <c r="H727" s="4" t="s">
        <v>80</v>
      </c>
      <c r="I727" s="5" t="str">
        <f>IFERROR(VLOOKUP(Consulta1[[#This Row],[Pozo largo]],'Lista YPF'!$B$3:$C$358,2,FALSE),"NO")</f>
        <v>NO</v>
      </c>
      <c r="J727" s="5" t="str">
        <f>IFERROR(VLOOKUP(Consulta1[[#This Row],[Pozo]],'Lista Oportunidades'!B:C,2,FALSE),"NO")</f>
        <v>NO</v>
      </c>
      <c r="K727" s="5">
        <f>IFERROR(VLOOKUP(Consulta1[[#This Row],[Pozo largo]],Controles!B:H,7,FALSE),"NO")</f>
        <v>1.1000000000000001</v>
      </c>
      <c r="L727" s="5">
        <f>IFERROR(VLOOKUP(Consulta1[[#This Row],[Pozo largo]],Controles!B:J,9,FALSE),"NO")</f>
        <v>0</v>
      </c>
    </row>
    <row r="728" spans="2:12" x14ac:dyDescent="0.35">
      <c r="B728" s="4" t="s">
        <v>1421</v>
      </c>
      <c r="C728" s="4" t="s">
        <v>6472</v>
      </c>
      <c r="D728" s="4" t="s">
        <v>5</v>
      </c>
      <c r="E728" s="4" t="s">
        <v>12</v>
      </c>
      <c r="F728" s="4" t="s">
        <v>7</v>
      </c>
      <c r="G728" s="4" t="s">
        <v>13</v>
      </c>
      <c r="H728" s="4" t="s">
        <v>74</v>
      </c>
      <c r="I728" s="5" t="str">
        <f>IFERROR(VLOOKUP(Consulta1[[#This Row],[Pozo largo]],'Lista YPF'!$B$3:$C$358,2,FALSE),"NO")</f>
        <v>NO</v>
      </c>
      <c r="J728" s="5" t="str">
        <f>IFERROR(VLOOKUP(Consulta1[[#This Row],[Pozo]],'Lista Oportunidades'!B:C,2,FALSE),"NO")</f>
        <v>NO</v>
      </c>
      <c r="K728" s="5">
        <f>IFERROR(VLOOKUP(Consulta1[[#This Row],[Pozo largo]],Controles!B:H,7,FALSE),"NO")</f>
        <v>2.7</v>
      </c>
      <c r="L728" s="5">
        <f>IFERROR(VLOOKUP(Consulta1[[#This Row],[Pozo largo]],Controles!B:J,9,FALSE),"NO")</f>
        <v>0</v>
      </c>
    </row>
    <row r="729" spans="2:12" x14ac:dyDescent="0.35">
      <c r="B729" s="4" t="s">
        <v>1423</v>
      </c>
      <c r="C729" s="4" t="s">
        <v>6473</v>
      </c>
      <c r="D729" s="4" t="s">
        <v>5</v>
      </c>
      <c r="E729" s="4" t="s">
        <v>12</v>
      </c>
      <c r="F729" s="4" t="s">
        <v>7</v>
      </c>
      <c r="G729" s="4" t="s">
        <v>13</v>
      </c>
      <c r="H729" s="4" t="s">
        <v>9</v>
      </c>
      <c r="I729" s="5" t="str">
        <f>IFERROR(VLOOKUP(Consulta1[[#This Row],[Pozo largo]],'Lista YPF'!$B$3:$C$358,2,FALSE),"NO")</f>
        <v>NO</v>
      </c>
      <c r="J729" s="5" t="str">
        <f>IFERROR(VLOOKUP(Consulta1[[#This Row],[Pozo]],'Lista Oportunidades'!B:C,2,FALSE),"NO")</f>
        <v>Oportunidad</v>
      </c>
      <c r="K729" s="5">
        <f>IFERROR(VLOOKUP(Consulta1[[#This Row],[Pozo largo]],Controles!B:H,7,FALSE),"NO")</f>
        <v>2.16</v>
      </c>
      <c r="L729" s="5">
        <f>IFERROR(VLOOKUP(Consulta1[[#This Row],[Pozo largo]],Controles!B:J,9,FALSE),"NO")</f>
        <v>0</v>
      </c>
    </row>
    <row r="730" spans="2:12" x14ac:dyDescent="0.35">
      <c r="B730" s="4" t="s">
        <v>1425</v>
      </c>
      <c r="C730" s="4" t="s">
        <v>6474</v>
      </c>
      <c r="D730" s="4" t="s">
        <v>5</v>
      </c>
      <c r="E730" s="4" t="s">
        <v>12</v>
      </c>
      <c r="F730" s="4" t="s">
        <v>7</v>
      </c>
      <c r="G730" s="4" t="s">
        <v>13</v>
      </c>
      <c r="H730" s="4" t="s">
        <v>80</v>
      </c>
      <c r="I730" s="5" t="str">
        <f>IFERROR(VLOOKUP(Consulta1[[#This Row],[Pozo largo]],'Lista YPF'!$B$3:$C$358,2,FALSE),"NO")</f>
        <v>NO</v>
      </c>
      <c r="J730" s="5" t="str">
        <f>IFERROR(VLOOKUP(Consulta1[[#This Row],[Pozo]],'Lista Oportunidades'!B:C,2,FALSE),"NO")</f>
        <v>NO</v>
      </c>
      <c r="K730" s="5">
        <f>IFERROR(VLOOKUP(Consulta1[[#This Row],[Pozo largo]],Controles!B:H,7,FALSE),"NO")</f>
        <v>0.52</v>
      </c>
      <c r="L730" s="5">
        <f>IFERROR(VLOOKUP(Consulta1[[#This Row],[Pozo largo]],Controles!B:J,9,FALSE),"NO")</f>
        <v>0</v>
      </c>
    </row>
    <row r="731" spans="2:12" x14ac:dyDescent="0.35">
      <c r="B731" s="4" t="s">
        <v>1427</v>
      </c>
      <c r="C731" s="4" t="s">
        <v>6475</v>
      </c>
      <c r="D731" s="4" t="s">
        <v>5</v>
      </c>
      <c r="E731" s="4" t="s">
        <v>24</v>
      </c>
      <c r="F731" s="4" t="s">
        <v>25</v>
      </c>
      <c r="G731" s="4" t="s">
        <v>8</v>
      </c>
      <c r="H731" s="4" t="s">
        <v>91</v>
      </c>
      <c r="I731" s="5" t="str">
        <f>IFERROR(VLOOKUP(Consulta1[[#This Row],[Pozo largo]],'Lista YPF'!$B$3:$C$358,2,FALSE),"NO")</f>
        <v>NO</v>
      </c>
      <c r="J731" s="5" t="str">
        <f>IFERROR(VLOOKUP(Consulta1[[#This Row],[Pozo]],'Lista Oportunidades'!B:C,2,FALSE),"NO")</f>
        <v>NO</v>
      </c>
      <c r="K731" s="5">
        <f>IFERROR(VLOOKUP(Consulta1[[#This Row],[Pozo largo]],Controles!B:H,7,FALSE),"NO")</f>
        <v>0.28900000000000003</v>
      </c>
      <c r="L731" s="5">
        <f>IFERROR(VLOOKUP(Consulta1[[#This Row],[Pozo largo]],Controles!B:J,9,FALSE),"NO")</f>
        <v>0</v>
      </c>
    </row>
    <row r="732" spans="2:12" x14ac:dyDescent="0.35">
      <c r="B732" s="4" t="s">
        <v>1429</v>
      </c>
      <c r="C732" s="4" t="s">
        <v>6476</v>
      </c>
      <c r="D732" s="4" t="s">
        <v>5</v>
      </c>
      <c r="E732" s="4" t="s">
        <v>30</v>
      </c>
      <c r="F732" s="4" t="s">
        <v>31</v>
      </c>
      <c r="G732" s="4" t="s">
        <v>32</v>
      </c>
      <c r="H732" s="4" t="s">
        <v>86</v>
      </c>
      <c r="I732" s="5" t="str">
        <f>IFERROR(VLOOKUP(Consulta1[[#This Row],[Pozo largo]],'Lista YPF'!$B$3:$C$358,2,FALSE),"NO")</f>
        <v>NO</v>
      </c>
      <c r="J732" s="5" t="str">
        <f>IFERROR(VLOOKUP(Consulta1[[#This Row],[Pozo]],'Lista Oportunidades'!B:C,2,FALSE),"NO")</f>
        <v>NO</v>
      </c>
      <c r="K732" s="5">
        <f>IFERROR(VLOOKUP(Consulta1[[#This Row],[Pozo largo]],Controles!B:H,7,FALSE),"NO")</f>
        <v>5.2000000000000005E-2</v>
      </c>
      <c r="L732" s="5">
        <f>IFERROR(VLOOKUP(Consulta1[[#This Row],[Pozo largo]],Controles!B:J,9,FALSE),"NO")</f>
        <v>0</v>
      </c>
    </row>
    <row r="733" spans="2:12" x14ac:dyDescent="0.35">
      <c r="B733" s="4" t="s">
        <v>1431</v>
      </c>
      <c r="C733" s="4" t="s">
        <v>6477</v>
      </c>
      <c r="D733" s="4" t="s">
        <v>5</v>
      </c>
      <c r="E733" s="4" t="s">
        <v>12</v>
      </c>
      <c r="F733" s="4" t="s">
        <v>238</v>
      </c>
      <c r="G733" s="4" t="s">
        <v>13</v>
      </c>
      <c r="H733" s="4" t="s">
        <v>86</v>
      </c>
      <c r="I733" s="5" t="str">
        <f>IFERROR(VLOOKUP(Consulta1[[#This Row],[Pozo largo]],'Lista YPF'!$B$3:$C$358,2,FALSE),"NO")</f>
        <v>NO</v>
      </c>
      <c r="J733" s="5" t="str">
        <f>IFERROR(VLOOKUP(Consulta1[[#This Row],[Pozo]],'Lista Oportunidades'!B:C,2,FALSE),"NO")</f>
        <v>NO</v>
      </c>
      <c r="K733" s="5">
        <f>IFERROR(VLOOKUP(Consulta1[[#This Row],[Pozo largo]],Controles!B:H,7,FALSE),"NO")</f>
        <v>2.19</v>
      </c>
      <c r="L733" s="5">
        <f>IFERROR(VLOOKUP(Consulta1[[#This Row],[Pozo largo]],Controles!B:J,9,FALSE),"NO")</f>
        <v>0</v>
      </c>
    </row>
    <row r="734" spans="2:12" x14ac:dyDescent="0.35">
      <c r="B734" s="4" t="s">
        <v>1433</v>
      </c>
      <c r="C734" s="4" t="s">
        <v>6478</v>
      </c>
      <c r="D734" s="4" t="s">
        <v>5</v>
      </c>
      <c r="E734" s="4" t="s">
        <v>24</v>
      </c>
      <c r="F734" s="4" t="s">
        <v>25</v>
      </c>
      <c r="G734" s="4" t="s">
        <v>8</v>
      </c>
      <c r="H734" s="4" t="s">
        <v>91</v>
      </c>
      <c r="I734" s="5" t="str">
        <f>IFERROR(VLOOKUP(Consulta1[[#This Row],[Pozo largo]],'Lista YPF'!$B$3:$C$358,2,FALSE),"NO")</f>
        <v>NO</v>
      </c>
      <c r="J734" s="5" t="str">
        <f>IFERROR(VLOOKUP(Consulta1[[#This Row],[Pozo]],'Lista Oportunidades'!B:C,2,FALSE),"NO")</f>
        <v>NO</v>
      </c>
      <c r="K734" s="5">
        <f>IFERROR(VLOOKUP(Consulta1[[#This Row],[Pozo largo]],Controles!B:H,7,FALSE),"NO")</f>
        <v>0.13</v>
      </c>
      <c r="L734" s="5">
        <f>IFERROR(VLOOKUP(Consulta1[[#This Row],[Pozo largo]],Controles!B:J,9,FALSE),"NO")</f>
        <v>0</v>
      </c>
    </row>
    <row r="735" spans="2:12" x14ac:dyDescent="0.35">
      <c r="B735" s="4" t="s">
        <v>1435</v>
      </c>
      <c r="C735" s="4" t="s">
        <v>6479</v>
      </c>
      <c r="D735" s="4" t="s">
        <v>5</v>
      </c>
      <c r="E735" s="4" t="s">
        <v>30</v>
      </c>
      <c r="F735" s="4" t="s">
        <v>31</v>
      </c>
      <c r="G735" s="4" t="s">
        <v>32</v>
      </c>
      <c r="H735" s="4" t="s">
        <v>80</v>
      </c>
      <c r="I735" s="5" t="str">
        <f>IFERROR(VLOOKUP(Consulta1[[#This Row],[Pozo largo]],'Lista YPF'!$B$3:$C$358,2,FALSE),"NO")</f>
        <v>NO</v>
      </c>
      <c r="J735" s="5" t="str">
        <f>IFERROR(VLOOKUP(Consulta1[[#This Row],[Pozo]],'Lista Oportunidades'!B:C,2,FALSE),"NO")</f>
        <v>NO</v>
      </c>
      <c r="K735" s="5">
        <f>IFERROR(VLOOKUP(Consulta1[[#This Row],[Pozo largo]],Controles!B:H,7,FALSE),"NO")</f>
        <v>0</v>
      </c>
      <c r="L735" s="5">
        <f>IFERROR(VLOOKUP(Consulta1[[#This Row],[Pozo largo]],Controles!B:J,9,FALSE),"NO")</f>
        <v>0</v>
      </c>
    </row>
    <row r="736" spans="2:12" x14ac:dyDescent="0.35">
      <c r="B736" s="4" t="s">
        <v>1437</v>
      </c>
      <c r="C736" s="4" t="s">
        <v>6480</v>
      </c>
      <c r="D736" s="4" t="s">
        <v>5</v>
      </c>
      <c r="E736" s="4" t="s">
        <v>6</v>
      </c>
      <c r="F736" s="4" t="s">
        <v>7</v>
      </c>
      <c r="G736" s="4" t="s">
        <v>5718</v>
      </c>
      <c r="H736" s="4" t="s">
        <v>71</v>
      </c>
      <c r="I736" s="5" t="str">
        <f>IFERROR(VLOOKUP(Consulta1[[#This Row],[Pozo largo]],'Lista YPF'!$B$3:$C$358,2,FALSE),"NO")</f>
        <v>En lista de Abandono</v>
      </c>
      <c r="J736" s="5" t="str">
        <f>IFERROR(VLOOKUP(Consulta1[[#This Row],[Pozo]],'Lista Oportunidades'!B:C,2,FALSE),"NO")</f>
        <v>NO</v>
      </c>
      <c r="K736" s="5">
        <f>IFERROR(VLOOKUP(Consulta1[[#This Row],[Pozo largo]],Controles!B:H,7,FALSE),"NO")</f>
        <v>0.9</v>
      </c>
      <c r="L736" s="5">
        <f>IFERROR(VLOOKUP(Consulta1[[#This Row],[Pozo largo]],Controles!B:J,9,FALSE),"NO")</f>
        <v>0</v>
      </c>
    </row>
    <row r="737" spans="2:12" x14ac:dyDescent="0.35">
      <c r="B737" s="4" t="s">
        <v>1439</v>
      </c>
      <c r="C737" s="4" t="s">
        <v>6481</v>
      </c>
      <c r="D737" s="4" t="s">
        <v>5</v>
      </c>
      <c r="E737" s="4" t="s">
        <v>12</v>
      </c>
      <c r="F737" s="4" t="s">
        <v>7</v>
      </c>
      <c r="G737" s="4" t="s">
        <v>13</v>
      </c>
      <c r="H737" s="4" t="s">
        <v>185</v>
      </c>
      <c r="I737" s="5" t="str">
        <f>IFERROR(VLOOKUP(Consulta1[[#This Row],[Pozo largo]],'Lista YPF'!$B$3:$C$358,2,FALSE),"NO")</f>
        <v>NO</v>
      </c>
      <c r="J737" s="5" t="str">
        <f>IFERROR(VLOOKUP(Consulta1[[#This Row],[Pozo]],'Lista Oportunidades'!B:C,2,FALSE),"NO")</f>
        <v>NO</v>
      </c>
      <c r="K737" s="5">
        <f>IFERROR(VLOOKUP(Consulta1[[#This Row],[Pozo largo]],Controles!B:H,7,FALSE),"NO")</f>
        <v>2.0590000000000002</v>
      </c>
      <c r="L737" s="5">
        <f>IFERROR(VLOOKUP(Consulta1[[#This Row],[Pozo largo]],Controles!B:J,9,FALSE),"NO")</f>
        <v>0</v>
      </c>
    </row>
    <row r="738" spans="2:12" x14ac:dyDescent="0.35">
      <c r="B738" s="4" t="s">
        <v>1441</v>
      </c>
      <c r="C738" s="4" t="s">
        <v>6482</v>
      </c>
      <c r="D738" s="4" t="s">
        <v>5</v>
      </c>
      <c r="E738" s="4" t="s">
        <v>24</v>
      </c>
      <c r="F738" s="4" t="s">
        <v>31</v>
      </c>
      <c r="G738" s="4" t="s">
        <v>8</v>
      </c>
      <c r="H738" s="4" t="s">
        <v>141</v>
      </c>
      <c r="I738" s="5" t="str">
        <f>IFERROR(VLOOKUP(Consulta1[[#This Row],[Pozo largo]],'Lista YPF'!$B$3:$C$358,2,FALSE),"NO")</f>
        <v>NO</v>
      </c>
      <c r="J738" s="5" t="str">
        <f>IFERROR(VLOOKUP(Consulta1[[#This Row],[Pozo]],'Lista Oportunidades'!B:C,2,FALSE),"NO")</f>
        <v>NO</v>
      </c>
      <c r="K738" s="5">
        <f>IFERROR(VLOOKUP(Consulta1[[#This Row],[Pozo largo]],Controles!B:H,7,FALSE),"NO")</f>
        <v>0</v>
      </c>
      <c r="L738" s="5">
        <f>IFERROR(VLOOKUP(Consulta1[[#This Row],[Pozo largo]],Controles!B:J,9,FALSE),"NO")</f>
        <v>0</v>
      </c>
    </row>
    <row r="739" spans="2:12" x14ac:dyDescent="0.35">
      <c r="B739" s="4" t="s">
        <v>1443</v>
      </c>
      <c r="C739" s="4" t="s">
        <v>6483</v>
      </c>
      <c r="D739" s="4" t="s">
        <v>5</v>
      </c>
      <c r="E739" s="4" t="s">
        <v>24</v>
      </c>
      <c r="F739" s="4" t="s">
        <v>28</v>
      </c>
      <c r="G739" s="4" t="s">
        <v>8</v>
      </c>
      <c r="H739" s="4" t="s">
        <v>71</v>
      </c>
      <c r="I739" s="5" t="str">
        <f>IFERROR(VLOOKUP(Consulta1[[#This Row],[Pozo largo]],'Lista YPF'!$B$3:$C$358,2,FALSE),"NO")</f>
        <v>NO</v>
      </c>
      <c r="J739" s="5" t="str">
        <f>IFERROR(VLOOKUP(Consulta1[[#This Row],[Pozo]],'Lista Oportunidades'!B:C,2,FALSE),"NO")</f>
        <v>NO</v>
      </c>
      <c r="K739" s="5">
        <f>IFERROR(VLOOKUP(Consulta1[[#This Row],[Pozo largo]],Controles!B:H,7,FALSE),"NO")</f>
        <v>0</v>
      </c>
      <c r="L739" s="5">
        <f>IFERROR(VLOOKUP(Consulta1[[#This Row],[Pozo largo]],Controles!B:J,9,FALSE),"NO")</f>
        <v>0</v>
      </c>
    </row>
    <row r="740" spans="2:12" x14ac:dyDescent="0.35">
      <c r="B740" s="4" t="s">
        <v>1445</v>
      </c>
      <c r="C740" s="4" t="s">
        <v>6484</v>
      </c>
      <c r="D740" s="4" t="s">
        <v>5</v>
      </c>
      <c r="E740" s="4" t="s">
        <v>6</v>
      </c>
      <c r="F740" s="4" t="s">
        <v>28</v>
      </c>
      <c r="G740" s="4" t="s">
        <v>5718</v>
      </c>
      <c r="H740" s="4" t="s">
        <v>141</v>
      </c>
      <c r="I740" s="5" t="str">
        <f>IFERROR(VLOOKUP(Consulta1[[#This Row],[Pozo largo]],'Lista YPF'!$B$3:$C$358,2,FALSE),"NO")</f>
        <v>En lista de Abandono</v>
      </c>
      <c r="J740" s="5" t="str">
        <f>IFERROR(VLOOKUP(Consulta1[[#This Row],[Pozo]],'Lista Oportunidades'!B:C,2,FALSE),"NO")</f>
        <v>NO</v>
      </c>
      <c r="K740" s="5">
        <f>IFERROR(VLOOKUP(Consulta1[[#This Row],[Pozo largo]],Controles!B:H,7,FALSE),"NO")</f>
        <v>0</v>
      </c>
      <c r="L740" s="5">
        <f>IFERROR(VLOOKUP(Consulta1[[#This Row],[Pozo largo]],Controles!B:J,9,FALSE),"NO")</f>
        <v>0</v>
      </c>
    </row>
    <row r="741" spans="2:12" x14ac:dyDescent="0.35">
      <c r="B741" s="4" t="s">
        <v>1447</v>
      </c>
      <c r="C741" s="4" t="s">
        <v>6485</v>
      </c>
      <c r="D741" s="4" t="s">
        <v>5</v>
      </c>
      <c r="E741" s="4" t="s">
        <v>12</v>
      </c>
      <c r="F741" s="4" t="s">
        <v>25</v>
      </c>
      <c r="G741" s="4" t="s">
        <v>13</v>
      </c>
      <c r="H741" s="4" t="s">
        <v>185</v>
      </c>
      <c r="I741" s="5" t="str">
        <f>IFERROR(VLOOKUP(Consulta1[[#This Row],[Pozo largo]],'Lista YPF'!$B$3:$C$358,2,FALSE),"NO")</f>
        <v>NO</v>
      </c>
      <c r="J741" s="5" t="str">
        <f>IFERROR(VLOOKUP(Consulta1[[#This Row],[Pozo]],'Lista Oportunidades'!B:C,2,FALSE),"NO")</f>
        <v>NO</v>
      </c>
      <c r="K741" s="5">
        <f>IFERROR(VLOOKUP(Consulta1[[#This Row],[Pozo largo]],Controles!B:H,7,FALSE),"NO")</f>
        <v>0.10400000000000001</v>
      </c>
      <c r="L741" s="5">
        <f>IFERROR(VLOOKUP(Consulta1[[#This Row],[Pozo largo]],Controles!B:J,9,FALSE),"NO")</f>
        <v>0</v>
      </c>
    </row>
    <row r="742" spans="2:12" x14ac:dyDescent="0.35">
      <c r="B742" s="4" t="s">
        <v>1449</v>
      </c>
      <c r="C742" s="4" t="s">
        <v>6486</v>
      </c>
      <c r="D742" s="4" t="s">
        <v>5</v>
      </c>
      <c r="E742" s="4" t="s">
        <v>12</v>
      </c>
      <c r="F742" s="4" t="s">
        <v>238</v>
      </c>
      <c r="G742" s="4" t="s">
        <v>13</v>
      </c>
      <c r="H742" s="4" t="s">
        <v>71</v>
      </c>
      <c r="I742" s="5" t="str">
        <f>IFERROR(VLOOKUP(Consulta1[[#This Row],[Pozo largo]],'Lista YPF'!$B$3:$C$358,2,FALSE),"NO")</f>
        <v>NO</v>
      </c>
      <c r="J742" s="5" t="str">
        <f>IFERROR(VLOOKUP(Consulta1[[#This Row],[Pozo]],'Lista Oportunidades'!B:C,2,FALSE),"NO")</f>
        <v>NO</v>
      </c>
      <c r="K742" s="5">
        <f>IFERROR(VLOOKUP(Consulta1[[#This Row],[Pozo largo]],Controles!B:H,7,FALSE),"NO")</f>
        <v>0.625</v>
      </c>
      <c r="L742" s="5">
        <f>IFERROR(VLOOKUP(Consulta1[[#This Row],[Pozo largo]],Controles!B:J,9,FALSE),"NO")</f>
        <v>0</v>
      </c>
    </row>
    <row r="743" spans="2:12" x14ac:dyDescent="0.35">
      <c r="B743" s="4" t="s">
        <v>1451</v>
      </c>
      <c r="C743" s="4" t="s">
        <v>6487</v>
      </c>
      <c r="D743" s="4" t="s">
        <v>5</v>
      </c>
      <c r="E743" s="4" t="s">
        <v>12</v>
      </c>
      <c r="F743" s="4" t="s">
        <v>7</v>
      </c>
      <c r="G743" s="4" t="s">
        <v>13</v>
      </c>
      <c r="H743" s="4" t="s">
        <v>149</v>
      </c>
      <c r="I743" s="5" t="str">
        <f>IFERROR(VLOOKUP(Consulta1[[#This Row],[Pozo largo]],'Lista YPF'!$B$3:$C$358,2,FALSE),"NO")</f>
        <v>NO</v>
      </c>
      <c r="J743" s="5" t="str">
        <f>IFERROR(VLOOKUP(Consulta1[[#This Row],[Pozo]],'Lista Oportunidades'!B:C,2,FALSE),"NO")</f>
        <v>NO</v>
      </c>
      <c r="K743" s="5">
        <f>IFERROR(VLOOKUP(Consulta1[[#This Row],[Pozo largo]],Controles!B:H,7,FALSE),"NO")</f>
        <v>0.6</v>
      </c>
      <c r="L743" s="5">
        <f>IFERROR(VLOOKUP(Consulta1[[#This Row],[Pozo largo]],Controles!B:J,9,FALSE),"NO")</f>
        <v>0</v>
      </c>
    </row>
    <row r="744" spans="2:12" x14ac:dyDescent="0.35">
      <c r="B744" s="4" t="s">
        <v>1453</v>
      </c>
      <c r="C744" s="4" t="s">
        <v>6488</v>
      </c>
      <c r="D744" s="4" t="s">
        <v>5</v>
      </c>
      <c r="E744" s="4" t="s">
        <v>12</v>
      </c>
      <c r="F744" s="4" t="s">
        <v>28</v>
      </c>
      <c r="G744" s="4" t="s">
        <v>13</v>
      </c>
      <c r="H744" s="4" t="s">
        <v>9</v>
      </c>
      <c r="I744" s="5" t="str">
        <f>IFERROR(VLOOKUP(Consulta1[[#This Row],[Pozo largo]],'Lista YPF'!$B$3:$C$358,2,FALSE),"NO")</f>
        <v>NO</v>
      </c>
      <c r="J744" s="5" t="str">
        <f>IFERROR(VLOOKUP(Consulta1[[#This Row],[Pozo]],'Lista Oportunidades'!B:C,2,FALSE),"NO")</f>
        <v>NO</v>
      </c>
      <c r="K744" s="5">
        <f>IFERROR(VLOOKUP(Consulta1[[#This Row],[Pozo largo]],Controles!B:H,7,FALSE),"NO")</f>
        <v>0</v>
      </c>
      <c r="L744" s="5">
        <f>IFERROR(VLOOKUP(Consulta1[[#This Row],[Pozo largo]],Controles!B:J,9,FALSE),"NO")</f>
        <v>0</v>
      </c>
    </row>
    <row r="745" spans="2:12" x14ac:dyDescent="0.35">
      <c r="B745" s="4" t="s">
        <v>1455</v>
      </c>
      <c r="C745" s="4" t="s">
        <v>6489</v>
      </c>
      <c r="D745" s="4" t="s">
        <v>5</v>
      </c>
      <c r="E745" s="4" t="s">
        <v>6</v>
      </c>
      <c r="F745" s="4" t="s">
        <v>28</v>
      </c>
      <c r="G745" s="4" t="s">
        <v>5718</v>
      </c>
      <c r="H745" s="4" t="s">
        <v>9</v>
      </c>
      <c r="I745" s="5" t="str">
        <f>IFERROR(VLOOKUP(Consulta1[[#This Row],[Pozo largo]],'Lista YPF'!$B$3:$C$358,2,FALSE),"NO")</f>
        <v>En lista de Abandono</v>
      </c>
      <c r="J745" s="5" t="str">
        <f>IFERROR(VLOOKUP(Consulta1[[#This Row],[Pozo]],'Lista Oportunidades'!B:C,2,FALSE),"NO")</f>
        <v>NO</v>
      </c>
      <c r="K745" s="5">
        <f>IFERROR(VLOOKUP(Consulta1[[#This Row],[Pozo largo]],Controles!B:H,7,FALSE),"NO")</f>
        <v>0</v>
      </c>
      <c r="L745" s="5" t="str">
        <f>IFERROR(VLOOKUP(Consulta1[[#This Row],[Pozo largo]],Controles!B:J,9,FALSE),"NO")</f>
        <v>Ultimo Año</v>
      </c>
    </row>
    <row r="746" spans="2:12" x14ac:dyDescent="0.35">
      <c r="B746" s="4" t="s">
        <v>1457</v>
      </c>
      <c r="C746" s="4" t="s">
        <v>6490</v>
      </c>
      <c r="D746" s="4" t="s">
        <v>5</v>
      </c>
      <c r="E746" s="4" t="s">
        <v>6</v>
      </c>
      <c r="F746" s="4" t="s">
        <v>7</v>
      </c>
      <c r="G746" s="4" t="s">
        <v>11386</v>
      </c>
      <c r="H746" s="4" t="s">
        <v>149</v>
      </c>
      <c r="I746" s="5" t="str">
        <f>IFERROR(VLOOKUP(Consulta1[[#This Row],[Pozo largo]],'Lista YPF'!$B$3:$C$358,2,FALSE),"NO")</f>
        <v>NO</v>
      </c>
      <c r="J746" s="5" t="str">
        <f>IFERROR(VLOOKUP(Consulta1[[#This Row],[Pozo]],'Lista Oportunidades'!B:C,2,FALSE),"NO")</f>
        <v>NO</v>
      </c>
      <c r="K746" s="5">
        <f>IFERROR(VLOOKUP(Consulta1[[#This Row],[Pozo largo]],Controles!B:H,7,FALSE),"NO")</f>
        <v>0.47500000000000003</v>
      </c>
      <c r="L746" s="5" t="str">
        <f>IFERROR(VLOOKUP(Consulta1[[#This Row],[Pozo largo]],Controles!B:J,9,FALSE),"NO")</f>
        <v>Ultimos 6 meses</v>
      </c>
    </row>
    <row r="747" spans="2:12" x14ac:dyDescent="0.35">
      <c r="B747" s="4" t="s">
        <v>1459</v>
      </c>
      <c r="C747" s="4" t="s">
        <v>6491</v>
      </c>
      <c r="D747" s="4" t="s">
        <v>5</v>
      </c>
      <c r="E747" s="4" t="s">
        <v>12</v>
      </c>
      <c r="F747" s="4" t="s">
        <v>7</v>
      </c>
      <c r="G747" s="4" t="s">
        <v>13</v>
      </c>
      <c r="H747" s="4" t="s">
        <v>9</v>
      </c>
      <c r="I747" s="5" t="str">
        <f>IFERROR(VLOOKUP(Consulta1[[#This Row],[Pozo largo]],'Lista YPF'!$B$3:$C$358,2,FALSE),"NO")</f>
        <v>NO</v>
      </c>
      <c r="J747" s="5" t="str">
        <f>IFERROR(VLOOKUP(Consulta1[[#This Row],[Pozo]],'Lista Oportunidades'!B:C,2,FALSE),"NO")</f>
        <v>NO</v>
      </c>
      <c r="K747" s="5">
        <f>IFERROR(VLOOKUP(Consulta1[[#This Row],[Pozo largo]],Controles!B:H,7,FALSE),"NO")</f>
        <v>1.4000000000000001</v>
      </c>
      <c r="L747" s="5">
        <f>IFERROR(VLOOKUP(Consulta1[[#This Row],[Pozo largo]],Controles!B:J,9,FALSE),"NO")</f>
        <v>0</v>
      </c>
    </row>
    <row r="748" spans="2:12" x14ac:dyDescent="0.35">
      <c r="B748" s="4" t="s">
        <v>1461</v>
      </c>
      <c r="C748" s="4" t="s">
        <v>6492</v>
      </c>
      <c r="D748" s="4" t="s">
        <v>5</v>
      </c>
      <c r="E748" s="4" t="s">
        <v>6</v>
      </c>
      <c r="F748" s="4" t="s">
        <v>28</v>
      </c>
      <c r="G748" s="4" t="s">
        <v>5718</v>
      </c>
      <c r="H748" s="4" t="s">
        <v>33</v>
      </c>
      <c r="I748" s="5" t="str">
        <f>IFERROR(VLOOKUP(Consulta1[[#This Row],[Pozo largo]],'Lista YPF'!$B$3:$C$358,2,FALSE),"NO")</f>
        <v>En lista de Abandono</v>
      </c>
      <c r="J748" s="5" t="str">
        <f>IFERROR(VLOOKUP(Consulta1[[#This Row],[Pozo]],'Lista Oportunidades'!B:C,2,FALSE),"NO")</f>
        <v>NO</v>
      </c>
      <c r="K748" s="5">
        <f>IFERROR(VLOOKUP(Consulta1[[#This Row],[Pozo largo]],Controles!B:H,7,FALSE),"NO")</f>
        <v>0</v>
      </c>
      <c r="L748" s="5">
        <f>IFERROR(VLOOKUP(Consulta1[[#This Row],[Pozo largo]],Controles!B:J,9,FALSE),"NO")</f>
        <v>0</v>
      </c>
    </row>
    <row r="749" spans="2:12" x14ac:dyDescent="0.35">
      <c r="B749" s="4" t="s">
        <v>1463</v>
      </c>
      <c r="C749" s="4" t="s">
        <v>6493</v>
      </c>
      <c r="D749" s="4" t="s">
        <v>5</v>
      </c>
      <c r="E749" s="4" t="s">
        <v>12</v>
      </c>
      <c r="F749" s="4" t="s">
        <v>238</v>
      </c>
      <c r="G749" s="4" t="s">
        <v>13</v>
      </c>
      <c r="H749" s="4" t="s">
        <v>21</v>
      </c>
      <c r="I749" s="5" t="str">
        <f>IFERROR(VLOOKUP(Consulta1[[#This Row],[Pozo largo]],'Lista YPF'!$B$3:$C$358,2,FALSE),"NO")</f>
        <v>NO</v>
      </c>
      <c r="J749" s="5" t="str">
        <f>IFERROR(VLOOKUP(Consulta1[[#This Row],[Pozo]],'Lista Oportunidades'!B:C,2,FALSE),"NO")</f>
        <v>NO</v>
      </c>
      <c r="K749" s="5">
        <f>IFERROR(VLOOKUP(Consulta1[[#This Row],[Pozo largo]],Controles!B:H,7,FALSE),"NO")</f>
        <v>2.04</v>
      </c>
      <c r="L749" s="5">
        <f>IFERROR(VLOOKUP(Consulta1[[#This Row],[Pozo largo]],Controles!B:J,9,FALSE),"NO")</f>
        <v>0</v>
      </c>
    </row>
    <row r="750" spans="2:12" x14ac:dyDescent="0.35">
      <c r="B750" s="4" t="s">
        <v>1465</v>
      </c>
      <c r="C750" s="4" t="s">
        <v>6494</v>
      </c>
      <c r="D750" s="4" t="s">
        <v>5</v>
      </c>
      <c r="E750" s="4" t="s">
        <v>12</v>
      </c>
      <c r="F750" s="4" t="s">
        <v>7</v>
      </c>
      <c r="G750" s="4" t="s">
        <v>13</v>
      </c>
      <c r="H750" s="4" t="s">
        <v>21</v>
      </c>
      <c r="I750" s="5" t="str">
        <f>IFERROR(VLOOKUP(Consulta1[[#This Row],[Pozo largo]],'Lista YPF'!$B$3:$C$358,2,FALSE),"NO")</f>
        <v>NO</v>
      </c>
      <c r="J750" s="5" t="str">
        <f>IFERROR(VLOOKUP(Consulta1[[#This Row],[Pozo]],'Lista Oportunidades'!B:C,2,FALSE),"NO")</f>
        <v>NO</v>
      </c>
      <c r="K750" s="5">
        <f>IFERROR(VLOOKUP(Consulta1[[#This Row],[Pozo largo]],Controles!B:H,7,FALSE),"NO")</f>
        <v>3.3000000000000003</v>
      </c>
      <c r="L750" s="5">
        <f>IFERROR(VLOOKUP(Consulta1[[#This Row],[Pozo largo]],Controles!B:J,9,FALSE),"NO")</f>
        <v>0</v>
      </c>
    </row>
    <row r="751" spans="2:12" x14ac:dyDescent="0.35">
      <c r="B751" s="4" t="s">
        <v>1467</v>
      </c>
      <c r="C751" s="4" t="s">
        <v>6495</v>
      </c>
      <c r="D751" s="4" t="s">
        <v>5</v>
      </c>
      <c r="E751" s="4" t="s">
        <v>24</v>
      </c>
      <c r="F751" s="4" t="s">
        <v>28</v>
      </c>
      <c r="G751" s="4" t="s">
        <v>8</v>
      </c>
      <c r="H751" s="4" t="s">
        <v>254</v>
      </c>
      <c r="I751" s="5" t="str">
        <f>IFERROR(VLOOKUP(Consulta1[[#This Row],[Pozo largo]],'Lista YPF'!$B$3:$C$358,2,FALSE),"NO")</f>
        <v>NO</v>
      </c>
      <c r="J751" s="5" t="str">
        <f>IFERROR(VLOOKUP(Consulta1[[#This Row],[Pozo]],'Lista Oportunidades'!B:C,2,FALSE),"NO")</f>
        <v>NO</v>
      </c>
      <c r="K751" s="5">
        <f>IFERROR(VLOOKUP(Consulta1[[#This Row],[Pozo largo]],Controles!B:H,7,FALSE),"NO")</f>
        <v>0</v>
      </c>
      <c r="L751" s="5">
        <f>IFERROR(VLOOKUP(Consulta1[[#This Row],[Pozo largo]],Controles!B:J,9,FALSE),"NO")</f>
        <v>0</v>
      </c>
    </row>
    <row r="752" spans="2:12" x14ac:dyDescent="0.35">
      <c r="B752" s="4" t="s">
        <v>1469</v>
      </c>
      <c r="C752" s="4" t="s">
        <v>6496</v>
      </c>
      <c r="D752" s="4" t="s">
        <v>5</v>
      </c>
      <c r="E752" s="4" t="s">
        <v>12</v>
      </c>
      <c r="F752" s="4" t="s">
        <v>7</v>
      </c>
      <c r="G752" s="4" t="s">
        <v>13</v>
      </c>
      <c r="H752" s="4" t="s">
        <v>149</v>
      </c>
      <c r="I752" s="5" t="str">
        <f>IFERROR(VLOOKUP(Consulta1[[#This Row],[Pozo largo]],'Lista YPF'!$B$3:$C$358,2,FALSE),"NO")</f>
        <v>NO</v>
      </c>
      <c r="J752" s="5" t="str">
        <f>IFERROR(VLOOKUP(Consulta1[[#This Row],[Pozo]],'Lista Oportunidades'!B:C,2,FALSE),"NO")</f>
        <v>NO</v>
      </c>
      <c r="K752" s="5">
        <f>IFERROR(VLOOKUP(Consulta1[[#This Row],[Pozo largo]],Controles!B:H,7,FALSE),"NO")</f>
        <v>0.45</v>
      </c>
      <c r="L752" s="5">
        <f>IFERROR(VLOOKUP(Consulta1[[#This Row],[Pozo largo]],Controles!B:J,9,FALSE),"NO")</f>
        <v>0</v>
      </c>
    </row>
    <row r="753" spans="2:12" x14ac:dyDescent="0.35">
      <c r="B753" s="4" t="s">
        <v>1471</v>
      </c>
      <c r="C753" s="4" t="s">
        <v>6497</v>
      </c>
      <c r="D753" s="4" t="s">
        <v>5</v>
      </c>
      <c r="E753" s="4" t="s">
        <v>12</v>
      </c>
      <c r="F753" s="4" t="s">
        <v>28</v>
      </c>
      <c r="G753" s="4" t="s">
        <v>13</v>
      </c>
      <c r="H753" s="4" t="s">
        <v>21</v>
      </c>
      <c r="I753" s="5" t="str">
        <f>IFERROR(VLOOKUP(Consulta1[[#This Row],[Pozo largo]],'Lista YPF'!$B$3:$C$358,2,FALSE),"NO")</f>
        <v>NO</v>
      </c>
      <c r="J753" s="5" t="str">
        <f>IFERROR(VLOOKUP(Consulta1[[#This Row],[Pozo]],'Lista Oportunidades'!B:C,2,FALSE),"NO")</f>
        <v>NO</v>
      </c>
      <c r="K753" s="5">
        <f>IFERROR(VLOOKUP(Consulta1[[#This Row],[Pozo largo]],Controles!B:H,7,FALSE),"NO")</f>
        <v>0</v>
      </c>
      <c r="L753" s="5">
        <f>IFERROR(VLOOKUP(Consulta1[[#This Row],[Pozo largo]],Controles!B:J,9,FALSE),"NO")</f>
        <v>0</v>
      </c>
    </row>
    <row r="754" spans="2:12" x14ac:dyDescent="0.35">
      <c r="B754" s="4" t="s">
        <v>1473</v>
      </c>
      <c r="C754" s="4" t="s">
        <v>6498</v>
      </c>
      <c r="D754" s="4" t="s">
        <v>5</v>
      </c>
      <c r="E754" s="4" t="s">
        <v>12</v>
      </c>
      <c r="F754" s="4" t="s">
        <v>238</v>
      </c>
      <c r="G754" s="4" t="s">
        <v>13</v>
      </c>
      <c r="H754" s="4" t="s">
        <v>36</v>
      </c>
      <c r="I754" s="5" t="str">
        <f>IFERROR(VLOOKUP(Consulta1[[#This Row],[Pozo largo]],'Lista YPF'!$B$3:$C$358,2,FALSE),"NO")</f>
        <v>NO</v>
      </c>
      <c r="J754" s="5" t="str">
        <f>IFERROR(VLOOKUP(Consulta1[[#This Row],[Pozo]],'Lista Oportunidades'!B:C,2,FALSE),"NO")</f>
        <v>NO</v>
      </c>
      <c r="K754" s="5">
        <f>IFERROR(VLOOKUP(Consulta1[[#This Row],[Pozo largo]],Controles!B:H,7,FALSE),"NO")</f>
        <v>3.2250000000000001</v>
      </c>
      <c r="L754" s="5">
        <f>IFERROR(VLOOKUP(Consulta1[[#This Row],[Pozo largo]],Controles!B:J,9,FALSE),"NO")</f>
        <v>0</v>
      </c>
    </row>
    <row r="755" spans="2:12" x14ac:dyDescent="0.35">
      <c r="B755" s="4" t="s">
        <v>1475</v>
      </c>
      <c r="C755" s="4" t="s">
        <v>6499</v>
      </c>
      <c r="D755" s="4" t="s">
        <v>5</v>
      </c>
      <c r="E755" s="4" t="s">
        <v>24</v>
      </c>
      <c r="F755" s="4" t="s">
        <v>25</v>
      </c>
      <c r="G755" s="4" t="s">
        <v>8</v>
      </c>
      <c r="H755" s="4" t="s">
        <v>254</v>
      </c>
      <c r="I755" s="5" t="str">
        <f>IFERROR(VLOOKUP(Consulta1[[#This Row],[Pozo largo]],'Lista YPF'!$B$3:$C$358,2,FALSE),"NO")</f>
        <v>NO</v>
      </c>
      <c r="J755" s="5" t="str">
        <f>IFERROR(VLOOKUP(Consulta1[[#This Row],[Pozo]],'Lista Oportunidades'!B:C,2,FALSE),"NO")</f>
        <v>NO</v>
      </c>
      <c r="K755" s="5">
        <f>IFERROR(VLOOKUP(Consulta1[[#This Row],[Pozo largo]],Controles!B:H,7,FALSE),"NO")</f>
        <v>0.115</v>
      </c>
      <c r="L755" s="5">
        <f>IFERROR(VLOOKUP(Consulta1[[#This Row],[Pozo largo]],Controles!B:J,9,FALSE),"NO")</f>
        <v>0</v>
      </c>
    </row>
    <row r="756" spans="2:12" x14ac:dyDescent="0.35">
      <c r="B756" s="4" t="s">
        <v>1477</v>
      </c>
      <c r="C756" s="4" t="s">
        <v>6500</v>
      </c>
      <c r="D756" s="4" t="s">
        <v>5</v>
      </c>
      <c r="E756" s="4" t="s">
        <v>12</v>
      </c>
      <c r="F756" s="4" t="s">
        <v>7</v>
      </c>
      <c r="G756" s="4" t="s">
        <v>13</v>
      </c>
      <c r="H756" s="4" t="s">
        <v>9</v>
      </c>
      <c r="I756" s="5" t="str">
        <f>IFERROR(VLOOKUP(Consulta1[[#This Row],[Pozo largo]],'Lista YPF'!$B$3:$C$358,2,FALSE),"NO")</f>
        <v>NO</v>
      </c>
      <c r="J756" s="5" t="str">
        <f>IFERROR(VLOOKUP(Consulta1[[#This Row],[Pozo]],'Lista Oportunidades'!B:C,2,FALSE),"NO")</f>
        <v>NO</v>
      </c>
      <c r="K756" s="5">
        <f>IFERROR(VLOOKUP(Consulta1[[#This Row],[Pozo largo]],Controles!B:H,7,FALSE),"NO")</f>
        <v>0.93</v>
      </c>
      <c r="L756" s="5">
        <f>IFERROR(VLOOKUP(Consulta1[[#This Row],[Pozo largo]],Controles!B:J,9,FALSE),"NO")</f>
        <v>0</v>
      </c>
    </row>
    <row r="757" spans="2:12" x14ac:dyDescent="0.35">
      <c r="B757" s="4" t="s">
        <v>1479</v>
      </c>
      <c r="C757" s="4" t="s">
        <v>6501</v>
      </c>
      <c r="D757" s="4" t="s">
        <v>5</v>
      </c>
      <c r="E757" s="4" t="s">
        <v>12</v>
      </c>
      <c r="F757" s="4" t="s">
        <v>28</v>
      </c>
      <c r="G757" s="4" t="s">
        <v>13</v>
      </c>
      <c r="H757" s="4" t="s">
        <v>36</v>
      </c>
      <c r="I757" s="5" t="str">
        <f>IFERROR(VLOOKUP(Consulta1[[#This Row],[Pozo largo]],'Lista YPF'!$B$3:$C$358,2,FALSE),"NO")</f>
        <v>NO</v>
      </c>
      <c r="J757" s="5" t="str">
        <f>IFERROR(VLOOKUP(Consulta1[[#This Row],[Pozo]],'Lista Oportunidades'!B:C,2,FALSE),"NO")</f>
        <v>NO</v>
      </c>
      <c r="K757" s="5">
        <f>IFERROR(VLOOKUP(Consulta1[[#This Row],[Pozo largo]],Controles!B:H,7,FALSE),"NO")</f>
        <v>0</v>
      </c>
      <c r="L757" s="5">
        <f>IFERROR(VLOOKUP(Consulta1[[#This Row],[Pozo largo]],Controles!B:J,9,FALSE),"NO")</f>
        <v>0</v>
      </c>
    </row>
    <row r="758" spans="2:12" x14ac:dyDescent="0.35">
      <c r="B758" s="4" t="s">
        <v>1481</v>
      </c>
      <c r="C758" s="4" t="s">
        <v>6502</v>
      </c>
      <c r="D758" s="4" t="s">
        <v>5</v>
      </c>
      <c r="E758" s="4" t="s">
        <v>24</v>
      </c>
      <c r="F758" s="4" t="s">
        <v>7</v>
      </c>
      <c r="G758" s="4" t="s">
        <v>8</v>
      </c>
      <c r="H758" s="4" t="s">
        <v>36</v>
      </c>
      <c r="I758" s="5" t="str">
        <f>IFERROR(VLOOKUP(Consulta1[[#This Row],[Pozo largo]],'Lista YPF'!$B$3:$C$358,2,FALSE),"NO")</f>
        <v>NO</v>
      </c>
      <c r="J758" s="5" t="str">
        <f>IFERROR(VLOOKUP(Consulta1[[#This Row],[Pozo]],'Lista Oportunidades'!B:C,2,FALSE),"NO")</f>
        <v>NO</v>
      </c>
      <c r="K758" s="5">
        <f>IFERROR(VLOOKUP(Consulta1[[#This Row],[Pozo largo]],Controles!B:H,7,FALSE),"NO")</f>
        <v>0.5</v>
      </c>
      <c r="L758" s="5">
        <f>IFERROR(VLOOKUP(Consulta1[[#This Row],[Pozo largo]],Controles!B:J,9,FALSE),"NO")</f>
        <v>0</v>
      </c>
    </row>
    <row r="759" spans="2:12" x14ac:dyDescent="0.35">
      <c r="B759" s="4" t="s">
        <v>1483</v>
      </c>
      <c r="C759" s="4" t="s">
        <v>6503</v>
      </c>
      <c r="D759" s="4" t="s">
        <v>5</v>
      </c>
      <c r="E759" s="4" t="s">
        <v>12</v>
      </c>
      <c r="F759" s="4" t="s">
        <v>7</v>
      </c>
      <c r="G759" s="4" t="s">
        <v>13</v>
      </c>
      <c r="H759" s="4" t="s">
        <v>84</v>
      </c>
      <c r="I759" s="5" t="str">
        <f>IFERROR(VLOOKUP(Consulta1[[#This Row],[Pozo largo]],'Lista YPF'!$B$3:$C$358,2,FALSE),"NO")</f>
        <v>NO</v>
      </c>
      <c r="J759" s="5" t="str">
        <f>IFERROR(VLOOKUP(Consulta1[[#This Row],[Pozo]],'Lista Oportunidades'!B:C,2,FALSE),"NO")</f>
        <v>NO</v>
      </c>
      <c r="K759" s="5">
        <f>IFERROR(VLOOKUP(Consulta1[[#This Row],[Pozo largo]],Controles!B:H,7,FALSE),"NO")</f>
        <v>1.1000000000000001</v>
      </c>
      <c r="L759" s="5" t="str">
        <f>IFERROR(VLOOKUP(Consulta1[[#This Row],[Pozo largo]],Controles!B:J,9,FALSE),"NO")</f>
        <v>Ultimos 6 meses</v>
      </c>
    </row>
    <row r="760" spans="2:12" x14ac:dyDescent="0.35">
      <c r="B760" s="4" t="s">
        <v>1485</v>
      </c>
      <c r="C760" s="4" t="s">
        <v>6504</v>
      </c>
      <c r="D760" s="4" t="s">
        <v>5</v>
      </c>
      <c r="E760" s="4" t="s">
        <v>30</v>
      </c>
      <c r="F760" s="4" t="s">
        <v>31</v>
      </c>
      <c r="G760" s="4" t="s">
        <v>32</v>
      </c>
      <c r="H760" s="4" t="s">
        <v>33</v>
      </c>
      <c r="I760" s="5" t="str">
        <f>IFERROR(VLOOKUP(Consulta1[[#This Row],[Pozo largo]],'Lista YPF'!$B$3:$C$358,2,FALSE),"NO")</f>
        <v>NO</v>
      </c>
      <c r="J760" s="5" t="str">
        <f>IFERROR(VLOOKUP(Consulta1[[#This Row],[Pozo]],'Lista Oportunidades'!B:C,2,FALSE),"NO")</f>
        <v>NO</v>
      </c>
      <c r="K760" s="5" t="str">
        <f>IFERROR(VLOOKUP(Consulta1[[#This Row],[Pozo largo]],Controles!B:H,7,FALSE),"NO")</f>
        <v>NO</v>
      </c>
      <c r="L760" s="5" t="str">
        <f>IFERROR(VLOOKUP(Consulta1[[#This Row],[Pozo largo]],Controles!B:J,9,FALSE),"NO")</f>
        <v>NO</v>
      </c>
    </row>
    <row r="761" spans="2:12" x14ac:dyDescent="0.35">
      <c r="B761" s="4" t="s">
        <v>1486</v>
      </c>
      <c r="C761" s="4" t="s">
        <v>6505</v>
      </c>
      <c r="D761" s="4" t="s">
        <v>5</v>
      </c>
      <c r="E761" s="4" t="s">
        <v>12</v>
      </c>
      <c r="F761" s="4" t="s">
        <v>7</v>
      </c>
      <c r="G761" s="4" t="s">
        <v>13</v>
      </c>
      <c r="H761" s="4" t="s">
        <v>71</v>
      </c>
      <c r="I761" s="5" t="str">
        <f>IFERROR(VLOOKUP(Consulta1[[#This Row],[Pozo largo]],'Lista YPF'!$B$3:$C$358,2,FALSE),"NO")</f>
        <v>NO</v>
      </c>
      <c r="J761" s="5" t="str">
        <f>IFERROR(VLOOKUP(Consulta1[[#This Row],[Pozo]],'Lista Oportunidades'!B:C,2,FALSE),"NO")</f>
        <v>NO</v>
      </c>
      <c r="K761" s="5">
        <f>IFERROR(VLOOKUP(Consulta1[[#This Row],[Pozo largo]],Controles!B:H,7,FALSE),"NO")</f>
        <v>0.78</v>
      </c>
      <c r="L761" s="5">
        <f>IFERROR(VLOOKUP(Consulta1[[#This Row],[Pozo largo]],Controles!B:J,9,FALSE),"NO")</f>
        <v>0</v>
      </c>
    </row>
    <row r="762" spans="2:12" x14ac:dyDescent="0.35">
      <c r="B762" s="4" t="s">
        <v>1488</v>
      </c>
      <c r="C762" s="4" t="s">
        <v>6506</v>
      </c>
      <c r="D762" s="4" t="s">
        <v>5</v>
      </c>
      <c r="E762" s="4" t="s">
        <v>57</v>
      </c>
      <c r="F762" s="4" t="s">
        <v>7</v>
      </c>
      <c r="G762" s="4" t="s">
        <v>5718</v>
      </c>
      <c r="H762" s="4" t="s">
        <v>33</v>
      </c>
      <c r="I762" s="5" t="str">
        <f>IFERROR(VLOOKUP(Consulta1[[#This Row],[Pozo largo]],'Lista YPF'!$B$3:$C$358,2,FALSE),"NO")</f>
        <v>En lista de Abandono</v>
      </c>
      <c r="J762" s="5" t="str">
        <f>IFERROR(VLOOKUP(Consulta1[[#This Row],[Pozo]],'Lista Oportunidades'!B:C,2,FALSE),"NO")</f>
        <v>NO</v>
      </c>
      <c r="K762" s="5">
        <f>IFERROR(VLOOKUP(Consulta1[[#This Row],[Pozo largo]],Controles!B:H,7,FALSE),"NO")</f>
        <v>1.6</v>
      </c>
      <c r="L762" s="5">
        <f>IFERROR(VLOOKUP(Consulta1[[#This Row],[Pozo largo]],Controles!B:J,9,FALSE),"NO")</f>
        <v>0</v>
      </c>
    </row>
    <row r="763" spans="2:12" x14ac:dyDescent="0.35">
      <c r="B763" s="4" t="s">
        <v>1490</v>
      </c>
      <c r="C763" s="4" t="s">
        <v>6507</v>
      </c>
      <c r="D763" s="4" t="s">
        <v>5</v>
      </c>
      <c r="E763" s="4" t="s">
        <v>12</v>
      </c>
      <c r="F763" s="4" t="s">
        <v>7</v>
      </c>
      <c r="G763" s="4" t="s">
        <v>13</v>
      </c>
      <c r="H763" s="4" t="s">
        <v>254</v>
      </c>
      <c r="I763" s="5" t="str">
        <f>IFERROR(VLOOKUP(Consulta1[[#This Row],[Pozo largo]],'Lista YPF'!$B$3:$C$358,2,FALSE),"NO")</f>
        <v>NO</v>
      </c>
      <c r="J763" s="5" t="str">
        <f>IFERROR(VLOOKUP(Consulta1[[#This Row],[Pozo]],'Lista Oportunidades'!B:C,2,FALSE),"NO")</f>
        <v>NO</v>
      </c>
      <c r="K763" s="5">
        <f>IFERROR(VLOOKUP(Consulta1[[#This Row],[Pozo largo]],Controles!B:H,7,FALSE),"NO")</f>
        <v>1.454</v>
      </c>
      <c r="L763" s="5">
        <f>IFERROR(VLOOKUP(Consulta1[[#This Row],[Pozo largo]],Controles!B:J,9,FALSE),"NO")</f>
        <v>0</v>
      </c>
    </row>
    <row r="764" spans="2:12" x14ac:dyDescent="0.35">
      <c r="B764" s="4" t="s">
        <v>1492</v>
      </c>
      <c r="C764" s="4" t="s">
        <v>6508</v>
      </c>
      <c r="D764" s="4" t="s">
        <v>5</v>
      </c>
      <c r="E764" s="4" t="s">
        <v>12</v>
      </c>
      <c r="F764" s="4" t="s">
        <v>7</v>
      </c>
      <c r="G764" s="4" t="s">
        <v>13</v>
      </c>
      <c r="H764" s="4" t="s">
        <v>9</v>
      </c>
      <c r="I764" s="5" t="str">
        <f>IFERROR(VLOOKUP(Consulta1[[#This Row],[Pozo largo]],'Lista YPF'!$B$3:$C$358,2,FALSE),"NO")</f>
        <v>NO</v>
      </c>
      <c r="J764" s="5" t="str">
        <f>IFERROR(VLOOKUP(Consulta1[[#This Row],[Pozo]],'Lista Oportunidades'!B:C,2,FALSE),"NO")</f>
        <v>NO</v>
      </c>
      <c r="K764" s="5">
        <f>IFERROR(VLOOKUP(Consulta1[[#This Row],[Pozo largo]],Controles!B:H,7,FALSE),"NO")</f>
        <v>3.36</v>
      </c>
      <c r="L764" s="5">
        <f>IFERROR(VLOOKUP(Consulta1[[#This Row],[Pozo largo]],Controles!B:J,9,FALSE),"NO")</f>
        <v>0</v>
      </c>
    </row>
    <row r="765" spans="2:12" x14ac:dyDescent="0.35">
      <c r="B765" s="4" t="s">
        <v>1494</v>
      </c>
      <c r="C765" s="4" t="s">
        <v>6509</v>
      </c>
      <c r="D765" s="4" t="s">
        <v>5</v>
      </c>
      <c r="E765" s="4" t="s">
        <v>12</v>
      </c>
      <c r="F765" s="4" t="s">
        <v>7</v>
      </c>
      <c r="G765" s="4" t="s">
        <v>13</v>
      </c>
      <c r="H765" s="4" t="s">
        <v>86</v>
      </c>
      <c r="I765" s="5" t="str">
        <f>IFERROR(VLOOKUP(Consulta1[[#This Row],[Pozo largo]],'Lista YPF'!$B$3:$C$358,2,FALSE),"NO")</f>
        <v>NO</v>
      </c>
      <c r="J765" s="5" t="str">
        <f>IFERROR(VLOOKUP(Consulta1[[#This Row],[Pozo]],'Lista Oportunidades'!B:C,2,FALSE),"NO")</f>
        <v>NO</v>
      </c>
      <c r="K765" s="5">
        <f>IFERROR(VLOOKUP(Consulta1[[#This Row],[Pozo largo]],Controles!B:H,7,FALSE),"NO")</f>
        <v>1.68</v>
      </c>
      <c r="L765" s="5">
        <f>IFERROR(VLOOKUP(Consulta1[[#This Row],[Pozo largo]],Controles!B:J,9,FALSE),"NO")</f>
        <v>0</v>
      </c>
    </row>
    <row r="766" spans="2:12" x14ac:dyDescent="0.35">
      <c r="B766" s="4" t="s">
        <v>1496</v>
      </c>
      <c r="C766" s="4" t="s">
        <v>6510</v>
      </c>
      <c r="D766" s="4" t="s">
        <v>5</v>
      </c>
      <c r="E766" s="4" t="s">
        <v>12</v>
      </c>
      <c r="F766" s="4" t="s">
        <v>238</v>
      </c>
      <c r="G766" s="4" t="s">
        <v>13</v>
      </c>
      <c r="H766" s="4" t="s">
        <v>185</v>
      </c>
      <c r="I766" s="5" t="str">
        <f>IFERROR(VLOOKUP(Consulta1[[#This Row],[Pozo largo]],'Lista YPF'!$B$3:$C$358,2,FALSE),"NO")</f>
        <v>NO</v>
      </c>
      <c r="J766" s="5" t="str">
        <f>IFERROR(VLOOKUP(Consulta1[[#This Row],[Pozo]],'Lista Oportunidades'!B:C,2,FALSE),"NO")</f>
        <v>NO</v>
      </c>
      <c r="K766" s="5">
        <f>IFERROR(VLOOKUP(Consulta1[[#This Row],[Pozo largo]],Controles!B:H,7,FALSE),"NO")</f>
        <v>2.65</v>
      </c>
      <c r="L766" s="5">
        <f>IFERROR(VLOOKUP(Consulta1[[#This Row],[Pozo largo]],Controles!B:J,9,FALSE),"NO")</f>
        <v>0</v>
      </c>
    </row>
    <row r="767" spans="2:12" x14ac:dyDescent="0.35">
      <c r="B767" s="4" t="s">
        <v>1498</v>
      </c>
      <c r="C767" s="4" t="s">
        <v>6511</v>
      </c>
      <c r="D767" s="4" t="s">
        <v>5</v>
      </c>
      <c r="E767" s="4" t="s">
        <v>12</v>
      </c>
      <c r="F767" s="4" t="s">
        <v>7</v>
      </c>
      <c r="G767" s="4" t="s">
        <v>13</v>
      </c>
      <c r="H767" s="4" t="s">
        <v>185</v>
      </c>
      <c r="I767" s="5" t="str">
        <f>IFERROR(VLOOKUP(Consulta1[[#This Row],[Pozo largo]],'Lista YPF'!$B$3:$C$358,2,FALSE),"NO")</f>
        <v>NO</v>
      </c>
      <c r="J767" s="5" t="str">
        <f>IFERROR(VLOOKUP(Consulta1[[#This Row],[Pozo]],'Lista Oportunidades'!B:C,2,FALSE),"NO")</f>
        <v>NO</v>
      </c>
      <c r="K767" s="5">
        <f>IFERROR(VLOOKUP(Consulta1[[#This Row],[Pozo largo]],Controles!B:H,7,FALSE),"NO")</f>
        <v>1.3860000000000001</v>
      </c>
      <c r="L767" s="5">
        <f>IFERROR(VLOOKUP(Consulta1[[#This Row],[Pozo largo]],Controles!B:J,9,FALSE),"NO")</f>
        <v>0</v>
      </c>
    </row>
    <row r="768" spans="2:12" x14ac:dyDescent="0.35">
      <c r="B768" s="4" t="s">
        <v>1500</v>
      </c>
      <c r="C768" s="4" t="s">
        <v>6512</v>
      </c>
      <c r="D768" s="4" t="s">
        <v>5</v>
      </c>
      <c r="E768" s="4" t="s">
        <v>12</v>
      </c>
      <c r="F768" s="4" t="s">
        <v>7</v>
      </c>
      <c r="G768" s="4" t="s">
        <v>13</v>
      </c>
      <c r="H768" s="4" t="s">
        <v>91</v>
      </c>
      <c r="I768" s="5" t="str">
        <f>IFERROR(VLOOKUP(Consulta1[[#This Row],[Pozo largo]],'Lista YPF'!$B$3:$C$358,2,FALSE),"NO")</f>
        <v>NO</v>
      </c>
      <c r="J768" s="5" t="str">
        <f>IFERROR(VLOOKUP(Consulta1[[#This Row],[Pozo]],'Lista Oportunidades'!B:C,2,FALSE),"NO")</f>
        <v>NO</v>
      </c>
      <c r="K768" s="5">
        <f>IFERROR(VLOOKUP(Consulta1[[#This Row],[Pozo largo]],Controles!B:H,7,FALSE),"NO")</f>
        <v>0.99</v>
      </c>
      <c r="L768" s="5">
        <f>IFERROR(VLOOKUP(Consulta1[[#This Row],[Pozo largo]],Controles!B:J,9,FALSE),"NO")</f>
        <v>0</v>
      </c>
    </row>
    <row r="769" spans="2:12" x14ac:dyDescent="0.35">
      <c r="B769" s="4" t="s">
        <v>1502</v>
      </c>
      <c r="C769" s="4" t="s">
        <v>6513</v>
      </c>
      <c r="D769" s="4" t="s">
        <v>5</v>
      </c>
      <c r="E769" s="4" t="s">
        <v>12</v>
      </c>
      <c r="F769" s="4" t="s">
        <v>7</v>
      </c>
      <c r="G769" s="4" t="s">
        <v>13</v>
      </c>
      <c r="H769" s="4" t="s">
        <v>9</v>
      </c>
      <c r="I769" s="5" t="str">
        <f>IFERROR(VLOOKUP(Consulta1[[#This Row],[Pozo largo]],'Lista YPF'!$B$3:$C$358,2,FALSE),"NO")</f>
        <v>NO</v>
      </c>
      <c r="J769" s="5" t="str">
        <f>IFERROR(VLOOKUP(Consulta1[[#This Row],[Pozo]],'Lista Oportunidades'!B:C,2,FALSE),"NO")</f>
        <v>NO</v>
      </c>
      <c r="K769" s="5">
        <f>IFERROR(VLOOKUP(Consulta1[[#This Row],[Pozo largo]],Controles!B:H,7,FALSE),"NO")</f>
        <v>1.6</v>
      </c>
      <c r="L769" s="5">
        <f>IFERROR(VLOOKUP(Consulta1[[#This Row],[Pozo largo]],Controles!B:J,9,FALSE),"NO")</f>
        <v>0</v>
      </c>
    </row>
    <row r="770" spans="2:12" x14ac:dyDescent="0.35">
      <c r="B770" s="4" t="s">
        <v>1504</v>
      </c>
      <c r="C770" s="4" t="s">
        <v>6514</v>
      </c>
      <c r="D770" s="4" t="s">
        <v>5</v>
      </c>
      <c r="E770" s="4" t="s">
        <v>12</v>
      </c>
      <c r="F770" s="4" t="s">
        <v>7</v>
      </c>
      <c r="G770" s="4" t="s">
        <v>13</v>
      </c>
      <c r="H770" s="4" t="s">
        <v>33</v>
      </c>
      <c r="I770" s="5" t="str">
        <f>IFERROR(VLOOKUP(Consulta1[[#This Row],[Pozo largo]],'Lista YPF'!$B$3:$C$358,2,FALSE),"NO")</f>
        <v>NO</v>
      </c>
      <c r="J770" s="5" t="str">
        <f>IFERROR(VLOOKUP(Consulta1[[#This Row],[Pozo]],'Lista Oportunidades'!B:C,2,FALSE),"NO")</f>
        <v>NO</v>
      </c>
      <c r="K770" s="5">
        <f>IFERROR(VLOOKUP(Consulta1[[#This Row],[Pozo largo]],Controles!B:H,7,FALSE),"NO")</f>
        <v>7.8E-2</v>
      </c>
      <c r="L770" s="5">
        <f>IFERROR(VLOOKUP(Consulta1[[#This Row],[Pozo largo]],Controles!B:J,9,FALSE),"NO")</f>
        <v>0</v>
      </c>
    </row>
    <row r="771" spans="2:12" x14ac:dyDescent="0.35">
      <c r="B771" s="4" t="s">
        <v>1506</v>
      </c>
      <c r="C771" s="4" t="s">
        <v>6515</v>
      </c>
      <c r="D771" s="4" t="s">
        <v>5</v>
      </c>
      <c r="E771" s="4" t="s">
        <v>12</v>
      </c>
      <c r="F771" s="4" t="s">
        <v>7</v>
      </c>
      <c r="G771" s="4" t="s">
        <v>13</v>
      </c>
      <c r="H771" s="4" t="s">
        <v>33</v>
      </c>
      <c r="I771" s="5" t="str">
        <f>IFERROR(VLOOKUP(Consulta1[[#This Row],[Pozo largo]],'Lista YPF'!$B$3:$C$358,2,FALSE),"NO")</f>
        <v>NO</v>
      </c>
      <c r="J771" s="5" t="str">
        <f>IFERROR(VLOOKUP(Consulta1[[#This Row],[Pozo]],'Lista Oportunidades'!B:C,2,FALSE),"NO")</f>
        <v>NO</v>
      </c>
      <c r="K771" s="5">
        <f>IFERROR(VLOOKUP(Consulta1[[#This Row],[Pozo largo]],Controles!B:H,7,FALSE),"NO")</f>
        <v>0.56700000000000006</v>
      </c>
      <c r="L771" s="5">
        <f>IFERROR(VLOOKUP(Consulta1[[#This Row],[Pozo largo]],Controles!B:J,9,FALSE),"NO")</f>
        <v>0</v>
      </c>
    </row>
    <row r="772" spans="2:12" x14ac:dyDescent="0.35">
      <c r="B772" s="4" t="s">
        <v>1508</v>
      </c>
      <c r="C772" s="4" t="s">
        <v>6516</v>
      </c>
      <c r="D772" s="4" t="s">
        <v>5</v>
      </c>
      <c r="E772" s="4" t="s">
        <v>12</v>
      </c>
      <c r="F772" s="4" t="s">
        <v>28</v>
      </c>
      <c r="G772" s="4" t="s">
        <v>13</v>
      </c>
      <c r="H772" s="4" t="s">
        <v>9</v>
      </c>
      <c r="I772" s="5" t="str">
        <f>IFERROR(VLOOKUP(Consulta1[[#This Row],[Pozo largo]],'Lista YPF'!$B$3:$C$358,2,FALSE),"NO")</f>
        <v>NO</v>
      </c>
      <c r="J772" s="5" t="str">
        <f>IFERROR(VLOOKUP(Consulta1[[#This Row],[Pozo]],'Lista Oportunidades'!B:C,2,FALSE),"NO")</f>
        <v>NO</v>
      </c>
      <c r="K772" s="5">
        <f>IFERROR(VLOOKUP(Consulta1[[#This Row],[Pozo largo]],Controles!B:H,7,FALSE),"NO")</f>
        <v>0</v>
      </c>
      <c r="L772" s="5">
        <f>IFERROR(VLOOKUP(Consulta1[[#This Row],[Pozo largo]],Controles!B:J,9,FALSE),"NO")</f>
        <v>0</v>
      </c>
    </row>
    <row r="773" spans="2:12" x14ac:dyDescent="0.35">
      <c r="B773" s="4" t="s">
        <v>1510</v>
      </c>
      <c r="C773" s="4" t="s">
        <v>6517</v>
      </c>
      <c r="D773" s="4" t="s">
        <v>5</v>
      </c>
      <c r="E773" s="4" t="s">
        <v>12</v>
      </c>
      <c r="F773" s="4" t="s">
        <v>7</v>
      </c>
      <c r="G773" s="4" t="s">
        <v>13</v>
      </c>
      <c r="H773" s="4" t="s">
        <v>9</v>
      </c>
      <c r="I773" s="5" t="str">
        <f>IFERROR(VLOOKUP(Consulta1[[#This Row],[Pozo largo]],'Lista YPF'!$B$3:$C$358,2,FALSE),"NO")</f>
        <v>NO</v>
      </c>
      <c r="J773" s="5" t="str">
        <f>IFERROR(VLOOKUP(Consulta1[[#This Row],[Pozo]],'Lista Oportunidades'!B:C,2,FALSE),"NO")</f>
        <v>NO</v>
      </c>
      <c r="K773" s="5">
        <f>IFERROR(VLOOKUP(Consulta1[[#This Row],[Pozo largo]],Controles!B:H,7,FALSE),"NO")</f>
        <v>1.96</v>
      </c>
      <c r="L773" s="5">
        <f>IFERROR(VLOOKUP(Consulta1[[#This Row],[Pozo largo]],Controles!B:J,9,FALSE),"NO")</f>
        <v>0</v>
      </c>
    </row>
    <row r="774" spans="2:12" x14ac:dyDescent="0.35">
      <c r="B774" s="4" t="s">
        <v>1512</v>
      </c>
      <c r="C774" s="4" t="s">
        <v>6518</v>
      </c>
      <c r="D774" s="4" t="s">
        <v>5</v>
      </c>
      <c r="E774" s="4" t="s">
        <v>12</v>
      </c>
      <c r="F774" s="4" t="s">
        <v>7</v>
      </c>
      <c r="G774" s="4" t="s">
        <v>13</v>
      </c>
      <c r="H774" s="4" t="s">
        <v>9</v>
      </c>
      <c r="I774" s="5" t="str">
        <f>IFERROR(VLOOKUP(Consulta1[[#This Row],[Pozo largo]],'Lista YPF'!$B$3:$C$358,2,FALSE),"NO")</f>
        <v>NO</v>
      </c>
      <c r="J774" s="5" t="str">
        <f>IFERROR(VLOOKUP(Consulta1[[#This Row],[Pozo]],'Lista Oportunidades'!B:C,2,FALSE),"NO")</f>
        <v>NO</v>
      </c>
      <c r="K774" s="5">
        <f>IFERROR(VLOOKUP(Consulta1[[#This Row],[Pozo largo]],Controles!B:H,7,FALSE),"NO")</f>
        <v>1.1760000000000002</v>
      </c>
      <c r="L774" s="5">
        <f>IFERROR(VLOOKUP(Consulta1[[#This Row],[Pozo largo]],Controles!B:J,9,FALSE),"NO")</f>
        <v>0</v>
      </c>
    </row>
    <row r="775" spans="2:12" x14ac:dyDescent="0.35">
      <c r="B775" s="4" t="s">
        <v>1514</v>
      </c>
      <c r="C775" s="4" t="s">
        <v>6519</v>
      </c>
      <c r="D775" s="4" t="s">
        <v>5</v>
      </c>
      <c r="E775" s="4" t="s">
        <v>12</v>
      </c>
      <c r="F775" s="4" t="s">
        <v>7</v>
      </c>
      <c r="G775" s="4" t="s">
        <v>13</v>
      </c>
      <c r="H775" s="4" t="s">
        <v>36</v>
      </c>
      <c r="I775" s="5" t="str">
        <f>IFERROR(VLOOKUP(Consulta1[[#This Row],[Pozo largo]],'Lista YPF'!$B$3:$C$358,2,FALSE),"NO")</f>
        <v>NO</v>
      </c>
      <c r="J775" s="5" t="str">
        <f>IFERROR(VLOOKUP(Consulta1[[#This Row],[Pozo]],'Lista Oportunidades'!B:C,2,FALSE),"NO")</f>
        <v>NO</v>
      </c>
      <c r="K775" s="5">
        <f>IFERROR(VLOOKUP(Consulta1[[#This Row],[Pozo largo]],Controles!B:H,7,FALSE),"NO")</f>
        <v>1.8900000000000001</v>
      </c>
      <c r="L775" s="5">
        <f>IFERROR(VLOOKUP(Consulta1[[#This Row],[Pozo largo]],Controles!B:J,9,FALSE),"NO")</f>
        <v>0</v>
      </c>
    </row>
    <row r="776" spans="2:12" x14ac:dyDescent="0.35">
      <c r="B776" s="4" t="s">
        <v>1516</v>
      </c>
      <c r="C776" s="4" t="s">
        <v>6520</v>
      </c>
      <c r="D776" s="4" t="s">
        <v>5</v>
      </c>
      <c r="E776" s="4" t="s">
        <v>12</v>
      </c>
      <c r="F776" s="4" t="s">
        <v>7</v>
      </c>
      <c r="G776" s="4" t="s">
        <v>13</v>
      </c>
      <c r="H776" s="4" t="s">
        <v>86</v>
      </c>
      <c r="I776" s="5" t="str">
        <f>IFERROR(VLOOKUP(Consulta1[[#This Row],[Pozo largo]],'Lista YPF'!$B$3:$C$358,2,FALSE),"NO")</f>
        <v>NO</v>
      </c>
      <c r="J776" s="5" t="str">
        <f>IFERROR(VLOOKUP(Consulta1[[#This Row],[Pozo]],'Lista Oportunidades'!B:C,2,FALSE),"NO")</f>
        <v>NO</v>
      </c>
      <c r="K776" s="5">
        <f>IFERROR(VLOOKUP(Consulta1[[#This Row],[Pozo largo]],Controles!B:H,7,FALSE),"NO")</f>
        <v>0.46</v>
      </c>
      <c r="L776" s="5">
        <f>IFERROR(VLOOKUP(Consulta1[[#This Row],[Pozo largo]],Controles!B:J,9,FALSE),"NO")</f>
        <v>0</v>
      </c>
    </row>
    <row r="777" spans="2:12" x14ac:dyDescent="0.35">
      <c r="B777" s="4" t="s">
        <v>1518</v>
      </c>
      <c r="C777" s="4" t="s">
        <v>6521</v>
      </c>
      <c r="D777" s="4" t="s">
        <v>5</v>
      </c>
      <c r="E777" s="4" t="s">
        <v>12</v>
      </c>
      <c r="F777" s="4" t="s">
        <v>28</v>
      </c>
      <c r="G777" s="4" t="s">
        <v>13</v>
      </c>
      <c r="H777" s="4" t="s">
        <v>185</v>
      </c>
      <c r="I777" s="5" t="str">
        <f>IFERROR(VLOOKUP(Consulta1[[#This Row],[Pozo largo]],'Lista YPF'!$B$3:$C$358,2,FALSE),"NO")</f>
        <v>NO</v>
      </c>
      <c r="J777" s="5" t="str">
        <f>IFERROR(VLOOKUP(Consulta1[[#This Row],[Pozo]],'Lista Oportunidades'!B:C,2,FALSE),"NO")</f>
        <v>NO</v>
      </c>
      <c r="K777" s="5">
        <f>IFERROR(VLOOKUP(Consulta1[[#This Row],[Pozo largo]],Controles!B:H,7,FALSE),"NO")</f>
        <v>0</v>
      </c>
      <c r="L777" s="5">
        <f>IFERROR(VLOOKUP(Consulta1[[#This Row],[Pozo largo]],Controles!B:J,9,FALSE),"NO")</f>
        <v>0</v>
      </c>
    </row>
    <row r="778" spans="2:12" x14ac:dyDescent="0.35">
      <c r="B778" s="4" t="s">
        <v>1520</v>
      </c>
      <c r="C778" s="4" t="s">
        <v>6522</v>
      </c>
      <c r="D778" s="4" t="s">
        <v>5</v>
      </c>
      <c r="E778" s="4" t="s">
        <v>12</v>
      </c>
      <c r="F778" s="4" t="s">
        <v>238</v>
      </c>
      <c r="G778" s="4" t="s">
        <v>13</v>
      </c>
      <c r="H778" s="4" t="s">
        <v>185</v>
      </c>
      <c r="I778" s="5" t="str">
        <f>IFERROR(VLOOKUP(Consulta1[[#This Row],[Pozo largo]],'Lista YPF'!$B$3:$C$358,2,FALSE),"NO")</f>
        <v>NO</v>
      </c>
      <c r="J778" s="5" t="str">
        <f>IFERROR(VLOOKUP(Consulta1[[#This Row],[Pozo]],'Lista Oportunidades'!B:C,2,FALSE),"NO")</f>
        <v>NO</v>
      </c>
      <c r="K778" s="5">
        <f>IFERROR(VLOOKUP(Consulta1[[#This Row],[Pozo largo]],Controles!B:H,7,FALSE),"NO")</f>
        <v>4.899</v>
      </c>
      <c r="L778" s="5">
        <f>IFERROR(VLOOKUP(Consulta1[[#This Row],[Pozo largo]],Controles!B:J,9,FALSE),"NO")</f>
        <v>0</v>
      </c>
    </row>
    <row r="779" spans="2:12" x14ac:dyDescent="0.35">
      <c r="B779" s="4" t="s">
        <v>1522</v>
      </c>
      <c r="C779" s="4" t="s">
        <v>6523</v>
      </c>
      <c r="D779" s="4" t="s">
        <v>5</v>
      </c>
      <c r="E779" s="4" t="s">
        <v>12</v>
      </c>
      <c r="F779" s="4" t="s">
        <v>7</v>
      </c>
      <c r="G779" s="4" t="s">
        <v>13</v>
      </c>
      <c r="H779" s="4" t="s">
        <v>86</v>
      </c>
      <c r="I779" s="5" t="str">
        <f>IFERROR(VLOOKUP(Consulta1[[#This Row],[Pozo largo]],'Lista YPF'!$B$3:$C$358,2,FALSE),"NO")</f>
        <v>NO</v>
      </c>
      <c r="J779" s="5" t="str">
        <f>IFERROR(VLOOKUP(Consulta1[[#This Row],[Pozo]],'Lista Oportunidades'!B:C,2,FALSE),"NO")</f>
        <v>NO</v>
      </c>
      <c r="K779" s="5">
        <f>IFERROR(VLOOKUP(Consulta1[[#This Row],[Pozo largo]],Controles!B:H,7,FALSE),"NO")</f>
        <v>0.99199999999999999</v>
      </c>
      <c r="L779" s="5">
        <f>IFERROR(VLOOKUP(Consulta1[[#This Row],[Pozo largo]],Controles!B:J,9,FALSE),"NO")</f>
        <v>0</v>
      </c>
    </row>
    <row r="780" spans="2:12" x14ac:dyDescent="0.35">
      <c r="B780" s="4" t="s">
        <v>1524</v>
      </c>
      <c r="C780" s="4" t="s">
        <v>6524</v>
      </c>
      <c r="D780" s="4" t="s">
        <v>5</v>
      </c>
      <c r="E780" s="4" t="s">
        <v>6</v>
      </c>
      <c r="F780" s="4" t="s">
        <v>7</v>
      </c>
      <c r="G780" s="4" t="s">
        <v>11386</v>
      </c>
      <c r="H780" s="4" t="s">
        <v>185</v>
      </c>
      <c r="I780" s="5" t="str">
        <f>IFERROR(VLOOKUP(Consulta1[[#This Row],[Pozo largo]],'Lista YPF'!$B$3:$C$358,2,FALSE),"NO")</f>
        <v>NO</v>
      </c>
      <c r="J780" s="5" t="str">
        <f>IFERROR(VLOOKUP(Consulta1[[#This Row],[Pozo]],'Lista Oportunidades'!B:C,2,FALSE),"NO")</f>
        <v>NO</v>
      </c>
      <c r="K780" s="5">
        <f>IFERROR(VLOOKUP(Consulta1[[#This Row],[Pozo largo]],Controles!B:H,7,FALSE),"NO")</f>
        <v>1.1400000000000001</v>
      </c>
      <c r="L780" s="5" t="str">
        <f>IFERROR(VLOOKUP(Consulta1[[#This Row],[Pozo largo]],Controles!B:J,9,FALSE),"NO")</f>
        <v>Ultimos 6 meses</v>
      </c>
    </row>
    <row r="781" spans="2:12" x14ac:dyDescent="0.35">
      <c r="B781" s="4" t="s">
        <v>1526</v>
      </c>
      <c r="C781" s="4" t="s">
        <v>6525</v>
      </c>
      <c r="D781" s="4" t="s">
        <v>5</v>
      </c>
      <c r="E781" s="4" t="s">
        <v>30</v>
      </c>
      <c r="F781" s="4" t="s">
        <v>31</v>
      </c>
      <c r="G781" s="4" t="s">
        <v>32</v>
      </c>
      <c r="H781" s="4" t="s">
        <v>36</v>
      </c>
      <c r="I781" s="5" t="str">
        <f>IFERROR(VLOOKUP(Consulta1[[#This Row],[Pozo largo]],'Lista YPF'!$B$3:$C$358,2,FALSE),"NO")</f>
        <v>NO</v>
      </c>
      <c r="J781" s="5" t="str">
        <f>IFERROR(VLOOKUP(Consulta1[[#This Row],[Pozo]],'Lista Oportunidades'!B:C,2,FALSE),"NO")</f>
        <v>NO</v>
      </c>
      <c r="K781" s="5">
        <f>IFERROR(VLOOKUP(Consulta1[[#This Row],[Pozo largo]],Controles!B:H,7,FALSE),"NO")</f>
        <v>0.68</v>
      </c>
      <c r="L781" s="5">
        <f>IFERROR(VLOOKUP(Consulta1[[#This Row],[Pozo largo]],Controles!B:J,9,FALSE),"NO")</f>
        <v>0</v>
      </c>
    </row>
    <row r="782" spans="2:12" x14ac:dyDescent="0.35">
      <c r="B782" s="4" t="s">
        <v>1528</v>
      </c>
      <c r="C782" s="4" t="s">
        <v>6526</v>
      </c>
      <c r="D782" s="4" t="s">
        <v>5</v>
      </c>
      <c r="E782" s="4" t="s">
        <v>24</v>
      </c>
      <c r="F782" s="4" t="s">
        <v>25</v>
      </c>
      <c r="G782" s="4" t="s">
        <v>8</v>
      </c>
      <c r="H782" s="4" t="s">
        <v>36</v>
      </c>
      <c r="I782" s="5" t="str">
        <f>IFERROR(VLOOKUP(Consulta1[[#This Row],[Pozo largo]],'Lista YPF'!$B$3:$C$358,2,FALSE),"NO")</f>
        <v>NO</v>
      </c>
      <c r="J782" s="5" t="str">
        <f>IFERROR(VLOOKUP(Consulta1[[#This Row],[Pozo]],'Lista Oportunidades'!B:C,2,FALSE),"NO")</f>
        <v>NO</v>
      </c>
      <c r="K782" s="5">
        <f>IFERROR(VLOOKUP(Consulta1[[#This Row],[Pozo largo]],Controles!B:H,7,FALSE),"NO")</f>
        <v>0.19</v>
      </c>
      <c r="L782" s="5">
        <f>IFERROR(VLOOKUP(Consulta1[[#This Row],[Pozo largo]],Controles!B:J,9,FALSE),"NO")</f>
        <v>0</v>
      </c>
    </row>
    <row r="783" spans="2:12" x14ac:dyDescent="0.35">
      <c r="B783" s="4" t="s">
        <v>1530</v>
      </c>
      <c r="C783" s="4" t="s">
        <v>6527</v>
      </c>
      <c r="D783" s="4" t="s">
        <v>5</v>
      </c>
      <c r="E783" s="4" t="s">
        <v>12</v>
      </c>
      <c r="F783" s="4" t="s">
        <v>7</v>
      </c>
      <c r="G783" s="4" t="s">
        <v>13</v>
      </c>
      <c r="H783" s="4" t="s">
        <v>9</v>
      </c>
      <c r="I783" s="5" t="str">
        <f>IFERROR(VLOOKUP(Consulta1[[#This Row],[Pozo largo]],'Lista YPF'!$B$3:$C$358,2,FALSE),"NO")</f>
        <v>NO</v>
      </c>
      <c r="J783" s="5" t="str">
        <f>IFERROR(VLOOKUP(Consulta1[[#This Row],[Pozo]],'Lista Oportunidades'!B:C,2,FALSE),"NO")</f>
        <v>NO</v>
      </c>
      <c r="K783" s="5">
        <f>IFERROR(VLOOKUP(Consulta1[[#This Row],[Pozo largo]],Controles!B:H,7,FALSE),"NO")</f>
        <v>1.71</v>
      </c>
      <c r="L783" s="5">
        <f>IFERROR(VLOOKUP(Consulta1[[#This Row],[Pozo largo]],Controles!B:J,9,FALSE),"NO")</f>
        <v>0</v>
      </c>
    </row>
    <row r="784" spans="2:12" x14ac:dyDescent="0.35">
      <c r="B784" s="4" t="s">
        <v>1532</v>
      </c>
      <c r="C784" s="4" t="s">
        <v>6528</v>
      </c>
      <c r="D784" s="4" t="s">
        <v>5</v>
      </c>
      <c r="E784" s="4" t="s">
        <v>12</v>
      </c>
      <c r="F784" s="4" t="s">
        <v>7</v>
      </c>
      <c r="G784" s="4" t="s">
        <v>13</v>
      </c>
      <c r="H784" s="4" t="s">
        <v>185</v>
      </c>
      <c r="I784" s="5" t="str">
        <f>IFERROR(VLOOKUP(Consulta1[[#This Row],[Pozo largo]],'Lista YPF'!$B$3:$C$358,2,FALSE),"NO")</f>
        <v>NO</v>
      </c>
      <c r="J784" s="5" t="str">
        <f>IFERROR(VLOOKUP(Consulta1[[#This Row],[Pozo]],'Lista Oportunidades'!B:C,2,FALSE),"NO")</f>
        <v>NO</v>
      </c>
      <c r="K784" s="5">
        <f>IFERROR(VLOOKUP(Consulta1[[#This Row],[Pozo largo]],Controles!B:H,7,FALSE),"NO")</f>
        <v>1.804</v>
      </c>
      <c r="L784" s="5">
        <f>IFERROR(VLOOKUP(Consulta1[[#This Row],[Pozo largo]],Controles!B:J,9,FALSE),"NO")</f>
        <v>0</v>
      </c>
    </row>
    <row r="785" spans="2:12" x14ac:dyDescent="0.35">
      <c r="B785" s="4" t="s">
        <v>1534</v>
      </c>
      <c r="C785" s="4" t="s">
        <v>6529</v>
      </c>
      <c r="D785" s="4" t="s">
        <v>5</v>
      </c>
      <c r="E785" s="4" t="s">
        <v>24</v>
      </c>
      <c r="F785" s="4" t="s">
        <v>7</v>
      </c>
      <c r="G785" s="4" t="s">
        <v>8</v>
      </c>
      <c r="H785" s="4" t="s">
        <v>9</v>
      </c>
      <c r="I785" s="5" t="str">
        <f>IFERROR(VLOOKUP(Consulta1[[#This Row],[Pozo largo]],'Lista YPF'!$B$3:$C$358,2,FALSE),"NO")</f>
        <v>NO</v>
      </c>
      <c r="J785" s="5" t="str">
        <f>IFERROR(VLOOKUP(Consulta1[[#This Row],[Pozo]],'Lista Oportunidades'!B:C,2,FALSE),"NO")</f>
        <v>NO</v>
      </c>
      <c r="K785" s="5">
        <f>IFERROR(VLOOKUP(Consulta1[[#This Row],[Pozo largo]],Controles!B:H,7,FALSE),"NO")</f>
        <v>0.96600000000000008</v>
      </c>
      <c r="L785" s="5">
        <f>IFERROR(VLOOKUP(Consulta1[[#This Row],[Pozo largo]],Controles!B:J,9,FALSE),"NO")</f>
        <v>0</v>
      </c>
    </row>
    <row r="786" spans="2:12" x14ac:dyDescent="0.35">
      <c r="B786" s="4" t="s">
        <v>1536</v>
      </c>
      <c r="C786" s="4" t="s">
        <v>6530</v>
      </c>
      <c r="D786" s="4" t="s">
        <v>5</v>
      </c>
      <c r="E786" s="4" t="s">
        <v>12</v>
      </c>
      <c r="F786" s="4" t="s">
        <v>25</v>
      </c>
      <c r="G786" s="4" t="s">
        <v>13</v>
      </c>
      <c r="H786" s="4" t="s">
        <v>36</v>
      </c>
      <c r="I786" s="5" t="str">
        <f>IFERROR(VLOOKUP(Consulta1[[#This Row],[Pozo largo]],'Lista YPF'!$B$3:$C$358,2,FALSE),"NO")</f>
        <v>NO</v>
      </c>
      <c r="J786" s="5" t="str">
        <f>IFERROR(VLOOKUP(Consulta1[[#This Row],[Pozo]],'Lista Oportunidades'!B:C,2,FALSE),"NO")</f>
        <v>NO</v>
      </c>
      <c r="K786" s="5">
        <f>IFERROR(VLOOKUP(Consulta1[[#This Row],[Pozo largo]],Controles!B:H,7,FALSE),"NO")</f>
        <v>7.6999999999999999E-2</v>
      </c>
      <c r="L786" s="5">
        <f>IFERROR(VLOOKUP(Consulta1[[#This Row],[Pozo largo]],Controles!B:J,9,FALSE),"NO")</f>
        <v>0</v>
      </c>
    </row>
    <row r="787" spans="2:12" x14ac:dyDescent="0.35">
      <c r="B787" s="4" t="s">
        <v>1538</v>
      </c>
      <c r="C787" s="4" t="s">
        <v>6531</v>
      </c>
      <c r="D787" s="4" t="s">
        <v>5</v>
      </c>
      <c r="E787" s="4" t="s">
        <v>57</v>
      </c>
      <c r="F787" s="4" t="s">
        <v>7</v>
      </c>
      <c r="G787" s="4" t="s">
        <v>11386</v>
      </c>
      <c r="H787" s="4" t="s">
        <v>185</v>
      </c>
      <c r="I787" s="5" t="str">
        <f>IFERROR(VLOOKUP(Consulta1[[#This Row],[Pozo largo]],'Lista YPF'!$B$3:$C$358,2,FALSE),"NO")</f>
        <v>NO</v>
      </c>
      <c r="J787" s="5" t="str">
        <f>IFERROR(VLOOKUP(Consulta1[[#This Row],[Pozo]],'Lista Oportunidades'!B:C,2,FALSE),"NO")</f>
        <v>NO</v>
      </c>
      <c r="K787" s="5">
        <f>IFERROR(VLOOKUP(Consulta1[[#This Row],[Pozo largo]],Controles!B:H,7,FALSE),"NO")</f>
        <v>0.1</v>
      </c>
      <c r="L787" s="5" t="str">
        <f>IFERROR(VLOOKUP(Consulta1[[#This Row],[Pozo largo]],Controles!B:J,9,FALSE),"NO")</f>
        <v>Ultimos 6 meses</v>
      </c>
    </row>
    <row r="788" spans="2:12" x14ac:dyDescent="0.35">
      <c r="B788" s="4" t="s">
        <v>1540</v>
      </c>
      <c r="C788" s="4" t="s">
        <v>6532</v>
      </c>
      <c r="D788" s="4" t="s">
        <v>5</v>
      </c>
      <c r="E788" s="4" t="s">
        <v>12</v>
      </c>
      <c r="F788" s="4" t="s">
        <v>7</v>
      </c>
      <c r="G788" s="4" t="s">
        <v>13</v>
      </c>
      <c r="H788" s="4" t="s">
        <v>21</v>
      </c>
      <c r="I788" s="5" t="str">
        <f>IFERROR(VLOOKUP(Consulta1[[#This Row],[Pozo largo]],'Lista YPF'!$B$3:$C$358,2,FALSE),"NO")</f>
        <v>NO</v>
      </c>
      <c r="J788" s="5" t="str">
        <f>IFERROR(VLOOKUP(Consulta1[[#This Row],[Pozo]],'Lista Oportunidades'!B:C,2,FALSE),"NO")</f>
        <v>NO</v>
      </c>
      <c r="K788" s="5">
        <f>IFERROR(VLOOKUP(Consulta1[[#This Row],[Pozo largo]],Controles!B:H,7,FALSE),"NO")</f>
        <v>1.2</v>
      </c>
      <c r="L788" s="5">
        <f>IFERROR(VLOOKUP(Consulta1[[#This Row],[Pozo largo]],Controles!B:J,9,FALSE),"NO")</f>
        <v>0</v>
      </c>
    </row>
    <row r="789" spans="2:12" x14ac:dyDescent="0.35">
      <c r="B789" s="4" t="s">
        <v>1542</v>
      </c>
      <c r="C789" s="4" t="s">
        <v>6533</v>
      </c>
      <c r="D789" s="4" t="s">
        <v>5</v>
      </c>
      <c r="E789" s="4" t="s">
        <v>12</v>
      </c>
      <c r="F789" s="4" t="s">
        <v>7</v>
      </c>
      <c r="G789" s="4" t="s">
        <v>13</v>
      </c>
      <c r="H789" s="4" t="s">
        <v>185</v>
      </c>
      <c r="I789" s="5" t="str">
        <f>IFERROR(VLOOKUP(Consulta1[[#This Row],[Pozo largo]],'Lista YPF'!$B$3:$C$358,2,FALSE),"NO")</f>
        <v>NO</v>
      </c>
      <c r="J789" s="5" t="str">
        <f>IFERROR(VLOOKUP(Consulta1[[#This Row],[Pozo]],'Lista Oportunidades'!B:C,2,FALSE),"NO")</f>
        <v>NO</v>
      </c>
      <c r="K789" s="5">
        <f>IFERROR(VLOOKUP(Consulta1[[#This Row],[Pozo largo]],Controles!B:H,7,FALSE),"NO")</f>
        <v>1.08</v>
      </c>
      <c r="L789" s="5">
        <f>IFERROR(VLOOKUP(Consulta1[[#This Row],[Pozo largo]],Controles!B:J,9,FALSE),"NO")</f>
        <v>0</v>
      </c>
    </row>
    <row r="790" spans="2:12" x14ac:dyDescent="0.35">
      <c r="B790" s="4" t="s">
        <v>1544</v>
      </c>
      <c r="C790" s="4" t="s">
        <v>6534</v>
      </c>
      <c r="D790" s="4" t="s">
        <v>5</v>
      </c>
      <c r="E790" s="4" t="s">
        <v>12</v>
      </c>
      <c r="F790" s="4" t="s">
        <v>7</v>
      </c>
      <c r="G790" s="4" t="s">
        <v>13</v>
      </c>
      <c r="H790" s="4" t="s">
        <v>86</v>
      </c>
      <c r="I790" s="5" t="str">
        <f>IFERROR(VLOOKUP(Consulta1[[#This Row],[Pozo largo]],'Lista YPF'!$B$3:$C$358,2,FALSE),"NO")</f>
        <v>NO</v>
      </c>
      <c r="J790" s="5" t="str">
        <f>IFERROR(VLOOKUP(Consulta1[[#This Row],[Pozo]],'Lista Oportunidades'!B:C,2,FALSE),"NO")</f>
        <v>NO</v>
      </c>
      <c r="K790" s="5">
        <f>IFERROR(VLOOKUP(Consulta1[[#This Row],[Pozo largo]],Controles!B:H,7,FALSE),"NO")</f>
        <v>1.625</v>
      </c>
      <c r="L790" s="5">
        <f>IFERROR(VLOOKUP(Consulta1[[#This Row],[Pozo largo]],Controles!B:J,9,FALSE),"NO")</f>
        <v>0</v>
      </c>
    </row>
    <row r="791" spans="2:12" x14ac:dyDescent="0.35">
      <c r="B791" s="4" t="s">
        <v>1546</v>
      </c>
      <c r="C791" s="4" t="s">
        <v>6535</v>
      </c>
      <c r="D791" s="4" t="s">
        <v>5</v>
      </c>
      <c r="E791" s="4" t="s">
        <v>12</v>
      </c>
      <c r="F791" s="4" t="s">
        <v>7</v>
      </c>
      <c r="G791" s="4" t="s">
        <v>13</v>
      </c>
      <c r="H791" s="4" t="s">
        <v>185</v>
      </c>
      <c r="I791" s="5" t="str">
        <f>IFERROR(VLOOKUP(Consulta1[[#This Row],[Pozo largo]],'Lista YPF'!$B$3:$C$358,2,FALSE),"NO")</f>
        <v>NO</v>
      </c>
      <c r="J791" s="5" t="str">
        <f>IFERROR(VLOOKUP(Consulta1[[#This Row],[Pozo]],'Lista Oportunidades'!B:C,2,FALSE),"NO")</f>
        <v>NO</v>
      </c>
      <c r="K791" s="5">
        <f>IFERROR(VLOOKUP(Consulta1[[#This Row],[Pozo largo]],Controles!B:H,7,FALSE),"NO")</f>
        <v>1.925</v>
      </c>
      <c r="L791" s="5">
        <f>IFERROR(VLOOKUP(Consulta1[[#This Row],[Pozo largo]],Controles!B:J,9,FALSE),"NO")</f>
        <v>0</v>
      </c>
    </row>
    <row r="792" spans="2:12" x14ac:dyDescent="0.35">
      <c r="B792" s="4" t="s">
        <v>1548</v>
      </c>
      <c r="C792" s="4" t="s">
        <v>6536</v>
      </c>
      <c r="D792" s="4" t="s">
        <v>5</v>
      </c>
      <c r="E792" s="4" t="s">
        <v>12</v>
      </c>
      <c r="F792" s="4" t="s">
        <v>7</v>
      </c>
      <c r="G792" s="4" t="s">
        <v>13</v>
      </c>
      <c r="H792" s="4" t="s">
        <v>185</v>
      </c>
      <c r="I792" s="5" t="str">
        <f>IFERROR(VLOOKUP(Consulta1[[#This Row],[Pozo largo]],'Lista YPF'!$B$3:$C$358,2,FALSE),"NO")</f>
        <v>NO</v>
      </c>
      <c r="J792" s="5" t="str">
        <f>IFERROR(VLOOKUP(Consulta1[[#This Row],[Pozo]],'Lista Oportunidades'!B:C,2,FALSE),"NO")</f>
        <v>NO</v>
      </c>
      <c r="K792" s="5">
        <f>IFERROR(VLOOKUP(Consulta1[[#This Row],[Pozo largo]],Controles!B:H,7,FALSE),"NO")</f>
        <v>0.14700000000000002</v>
      </c>
      <c r="L792" s="5">
        <f>IFERROR(VLOOKUP(Consulta1[[#This Row],[Pozo largo]],Controles!B:J,9,FALSE),"NO")</f>
        <v>0</v>
      </c>
    </row>
    <row r="793" spans="2:12" x14ac:dyDescent="0.35">
      <c r="B793" s="4" t="s">
        <v>1550</v>
      </c>
      <c r="C793" s="4" t="s">
        <v>6537</v>
      </c>
      <c r="D793" s="4" t="s">
        <v>5</v>
      </c>
      <c r="E793" s="4" t="s">
        <v>12</v>
      </c>
      <c r="F793" s="4" t="s">
        <v>7</v>
      </c>
      <c r="G793" s="4" t="s">
        <v>13</v>
      </c>
      <c r="H793" s="4" t="s">
        <v>71</v>
      </c>
      <c r="I793" s="5" t="str">
        <f>IFERROR(VLOOKUP(Consulta1[[#This Row],[Pozo largo]],'Lista YPF'!$B$3:$C$358,2,FALSE),"NO")</f>
        <v>NO</v>
      </c>
      <c r="J793" s="5" t="str">
        <f>IFERROR(VLOOKUP(Consulta1[[#This Row],[Pozo]],'Lista Oportunidades'!B:C,2,FALSE),"NO")</f>
        <v>NO</v>
      </c>
      <c r="K793" s="5">
        <f>IFERROR(VLOOKUP(Consulta1[[#This Row],[Pozo largo]],Controles!B:H,7,FALSE),"NO")</f>
        <v>2.34</v>
      </c>
      <c r="L793" s="5">
        <f>IFERROR(VLOOKUP(Consulta1[[#This Row],[Pozo largo]],Controles!B:J,9,FALSE),"NO")</f>
        <v>0</v>
      </c>
    </row>
    <row r="794" spans="2:12" x14ac:dyDescent="0.35">
      <c r="B794" s="4" t="s">
        <v>1552</v>
      </c>
      <c r="C794" s="4" t="s">
        <v>6538</v>
      </c>
      <c r="D794" s="4" t="s">
        <v>5</v>
      </c>
      <c r="E794" s="4" t="s">
        <v>12</v>
      </c>
      <c r="F794" s="4" t="s">
        <v>7</v>
      </c>
      <c r="G794" s="4" t="s">
        <v>13</v>
      </c>
      <c r="H794" s="4" t="s">
        <v>84</v>
      </c>
      <c r="I794" s="5" t="str">
        <f>IFERROR(VLOOKUP(Consulta1[[#This Row],[Pozo largo]],'Lista YPF'!$B$3:$C$358,2,FALSE),"NO")</f>
        <v>NO</v>
      </c>
      <c r="J794" s="5" t="str">
        <f>IFERROR(VLOOKUP(Consulta1[[#This Row],[Pozo]],'Lista Oportunidades'!B:C,2,FALSE),"NO")</f>
        <v>NO</v>
      </c>
      <c r="K794" s="5">
        <f>IFERROR(VLOOKUP(Consulta1[[#This Row],[Pozo largo]],Controles!B:H,7,FALSE),"NO")</f>
        <v>0.48</v>
      </c>
      <c r="L794" s="5">
        <f>IFERROR(VLOOKUP(Consulta1[[#This Row],[Pozo largo]],Controles!B:J,9,FALSE),"NO")</f>
        <v>0</v>
      </c>
    </row>
    <row r="795" spans="2:12" x14ac:dyDescent="0.35">
      <c r="B795" s="4" t="s">
        <v>1554</v>
      </c>
      <c r="C795" s="4" t="s">
        <v>6539</v>
      </c>
      <c r="D795" s="4" t="s">
        <v>5</v>
      </c>
      <c r="E795" s="4" t="s">
        <v>12</v>
      </c>
      <c r="F795" s="4" t="s">
        <v>7</v>
      </c>
      <c r="G795" s="4" t="s">
        <v>13</v>
      </c>
      <c r="H795" s="4" t="s">
        <v>9</v>
      </c>
      <c r="I795" s="5" t="str">
        <f>IFERROR(VLOOKUP(Consulta1[[#This Row],[Pozo largo]],'Lista YPF'!$B$3:$C$358,2,FALSE),"NO")</f>
        <v>NO</v>
      </c>
      <c r="J795" s="5" t="str">
        <f>IFERROR(VLOOKUP(Consulta1[[#This Row],[Pozo]],'Lista Oportunidades'!B:C,2,FALSE),"NO")</f>
        <v>NO</v>
      </c>
      <c r="K795" s="5">
        <f>IFERROR(VLOOKUP(Consulta1[[#This Row],[Pozo largo]],Controles!B:H,7,FALSE),"NO")</f>
        <v>0.81</v>
      </c>
      <c r="L795" s="5">
        <f>IFERROR(VLOOKUP(Consulta1[[#This Row],[Pozo largo]],Controles!B:J,9,FALSE),"NO")</f>
        <v>0</v>
      </c>
    </row>
    <row r="796" spans="2:12" x14ac:dyDescent="0.35">
      <c r="B796" s="4" t="s">
        <v>1556</v>
      </c>
      <c r="C796" s="4" t="s">
        <v>6540</v>
      </c>
      <c r="D796" s="4" t="s">
        <v>5</v>
      </c>
      <c r="E796" s="4" t="s">
        <v>6</v>
      </c>
      <c r="F796" s="4" t="s">
        <v>7</v>
      </c>
      <c r="G796" s="4" t="s">
        <v>11385</v>
      </c>
      <c r="H796" s="4" t="s">
        <v>74</v>
      </c>
      <c r="I796" s="5" t="str">
        <f>IFERROR(VLOOKUP(Consulta1[[#This Row],[Pozo largo]],'Lista YPF'!$B$3:$C$358,2,FALSE),"NO")</f>
        <v>NO</v>
      </c>
      <c r="J796" s="5" t="str">
        <f>IFERROR(VLOOKUP(Consulta1[[#This Row],[Pozo]],'Lista Oportunidades'!B:C,2,FALSE),"NO")</f>
        <v>NO</v>
      </c>
      <c r="K796" s="5">
        <f>IFERROR(VLOOKUP(Consulta1[[#This Row],[Pozo largo]],Controles!B:H,7,FALSE),"NO")</f>
        <v>1.54</v>
      </c>
      <c r="L796" s="5" t="str">
        <f>IFERROR(VLOOKUP(Consulta1[[#This Row],[Pozo largo]],Controles!B:J,9,FALSE),"NO")</f>
        <v>Ultimos 6 meses</v>
      </c>
    </row>
    <row r="797" spans="2:12" x14ac:dyDescent="0.35">
      <c r="B797" s="4" t="s">
        <v>1558</v>
      </c>
      <c r="C797" s="4" t="s">
        <v>6541</v>
      </c>
      <c r="D797" s="4" t="s">
        <v>5</v>
      </c>
      <c r="E797" s="4" t="s">
        <v>12</v>
      </c>
      <c r="F797" s="4" t="s">
        <v>7</v>
      </c>
      <c r="G797" s="4" t="s">
        <v>13</v>
      </c>
      <c r="H797" s="4" t="s">
        <v>33</v>
      </c>
      <c r="I797" s="5" t="str">
        <f>IFERROR(VLOOKUP(Consulta1[[#This Row],[Pozo largo]],'Lista YPF'!$B$3:$C$358,2,FALSE),"NO")</f>
        <v>NO</v>
      </c>
      <c r="J797" s="5" t="str">
        <f>IFERROR(VLOOKUP(Consulta1[[#This Row],[Pozo]],'Lista Oportunidades'!B:C,2,FALSE),"NO")</f>
        <v>NO</v>
      </c>
      <c r="K797" s="5">
        <f>IFERROR(VLOOKUP(Consulta1[[#This Row],[Pozo largo]],Controles!B:H,7,FALSE),"NO")</f>
        <v>1.0940000000000001</v>
      </c>
      <c r="L797" s="5">
        <f>IFERROR(VLOOKUP(Consulta1[[#This Row],[Pozo largo]],Controles!B:J,9,FALSE),"NO")</f>
        <v>0</v>
      </c>
    </row>
    <row r="798" spans="2:12" x14ac:dyDescent="0.35">
      <c r="B798" s="4" t="s">
        <v>1560</v>
      </c>
      <c r="C798" s="4" t="s">
        <v>6542</v>
      </c>
      <c r="D798" s="4" t="s">
        <v>5</v>
      </c>
      <c r="E798" s="4" t="s">
        <v>6</v>
      </c>
      <c r="F798" s="4" t="s">
        <v>7</v>
      </c>
      <c r="G798" s="4" t="s">
        <v>5718</v>
      </c>
      <c r="H798" s="4" t="s">
        <v>74</v>
      </c>
      <c r="I798" s="5" t="str">
        <f>IFERROR(VLOOKUP(Consulta1[[#This Row],[Pozo largo]],'Lista YPF'!$B$3:$C$358,2,FALSE),"NO")</f>
        <v>En lista de Abandono</v>
      </c>
      <c r="J798" s="5" t="str">
        <f>IFERROR(VLOOKUP(Consulta1[[#This Row],[Pozo]],'Lista Oportunidades'!B:C,2,FALSE),"NO")</f>
        <v>NO</v>
      </c>
      <c r="K798" s="5">
        <f>IFERROR(VLOOKUP(Consulta1[[#This Row],[Pozo largo]],Controles!B:H,7,FALSE),"NO")</f>
        <v>0.5</v>
      </c>
      <c r="L798" s="5">
        <f>IFERROR(VLOOKUP(Consulta1[[#This Row],[Pozo largo]],Controles!B:J,9,FALSE),"NO")</f>
        <v>0</v>
      </c>
    </row>
    <row r="799" spans="2:12" x14ac:dyDescent="0.35">
      <c r="B799" s="4" t="s">
        <v>1562</v>
      </c>
      <c r="C799" s="4" t="s">
        <v>6543</v>
      </c>
      <c r="D799" s="4" t="s">
        <v>5</v>
      </c>
      <c r="E799" s="4" t="s">
        <v>57</v>
      </c>
      <c r="F799" s="4" t="s">
        <v>7</v>
      </c>
      <c r="G799" s="4" t="s">
        <v>5718</v>
      </c>
      <c r="H799" s="4" t="s">
        <v>21</v>
      </c>
      <c r="I799" s="5" t="str">
        <f>IFERROR(VLOOKUP(Consulta1[[#This Row],[Pozo largo]],'Lista YPF'!$B$3:$C$358,2,FALSE),"NO")</f>
        <v>En lista de Abandono</v>
      </c>
      <c r="J799" s="5" t="str">
        <f>IFERROR(VLOOKUP(Consulta1[[#This Row],[Pozo]],'Lista Oportunidades'!B:C,2,FALSE),"NO")</f>
        <v>NO</v>
      </c>
      <c r="K799" s="5">
        <f>IFERROR(VLOOKUP(Consulta1[[#This Row],[Pozo largo]],Controles!B:H,7,FALSE),"NO")</f>
        <v>0.8</v>
      </c>
      <c r="L799" s="5">
        <f>IFERROR(VLOOKUP(Consulta1[[#This Row],[Pozo largo]],Controles!B:J,9,FALSE),"NO")</f>
        <v>0</v>
      </c>
    </row>
    <row r="800" spans="2:12" x14ac:dyDescent="0.35">
      <c r="B800" s="4" t="s">
        <v>1564</v>
      </c>
      <c r="C800" s="4" t="s">
        <v>6544</v>
      </c>
      <c r="D800" s="4" t="s">
        <v>5</v>
      </c>
      <c r="E800" s="4" t="s">
        <v>12</v>
      </c>
      <c r="F800" s="4" t="s">
        <v>7</v>
      </c>
      <c r="G800" s="4" t="s">
        <v>13</v>
      </c>
      <c r="H800" s="4" t="s">
        <v>185</v>
      </c>
      <c r="I800" s="5" t="str">
        <f>IFERROR(VLOOKUP(Consulta1[[#This Row],[Pozo largo]],'Lista YPF'!$B$3:$C$358,2,FALSE),"NO")</f>
        <v>NO</v>
      </c>
      <c r="J800" s="5" t="str">
        <f>IFERROR(VLOOKUP(Consulta1[[#This Row],[Pozo]],'Lista Oportunidades'!B:C,2,FALSE),"NO")</f>
        <v>NO</v>
      </c>
      <c r="K800" s="5">
        <f>IFERROR(VLOOKUP(Consulta1[[#This Row],[Pozo largo]],Controles!B:H,7,FALSE),"NO")</f>
        <v>1.75</v>
      </c>
      <c r="L800" s="5">
        <f>IFERROR(VLOOKUP(Consulta1[[#This Row],[Pozo largo]],Controles!B:J,9,FALSE),"NO")</f>
        <v>0</v>
      </c>
    </row>
    <row r="801" spans="2:12" x14ac:dyDescent="0.35">
      <c r="B801" s="4" t="s">
        <v>1566</v>
      </c>
      <c r="C801" s="4" t="s">
        <v>6545</v>
      </c>
      <c r="D801" s="4" t="s">
        <v>5</v>
      </c>
      <c r="E801" s="4" t="s">
        <v>12</v>
      </c>
      <c r="F801" s="4" t="s">
        <v>7</v>
      </c>
      <c r="G801" s="4" t="s">
        <v>13</v>
      </c>
      <c r="H801" s="4" t="s">
        <v>254</v>
      </c>
      <c r="I801" s="5" t="str">
        <f>IFERROR(VLOOKUP(Consulta1[[#This Row],[Pozo largo]],'Lista YPF'!$B$3:$C$358,2,FALSE),"NO")</f>
        <v>NO</v>
      </c>
      <c r="J801" s="5" t="str">
        <f>IFERROR(VLOOKUP(Consulta1[[#This Row],[Pozo]],'Lista Oportunidades'!B:C,2,FALSE),"NO")</f>
        <v>NO</v>
      </c>
      <c r="K801" s="5">
        <f>IFERROR(VLOOKUP(Consulta1[[#This Row],[Pozo largo]],Controles!B:H,7,FALSE),"NO")</f>
        <v>0.18</v>
      </c>
      <c r="L801" s="5">
        <f>IFERROR(VLOOKUP(Consulta1[[#This Row],[Pozo largo]],Controles!B:J,9,FALSE),"NO")</f>
        <v>0</v>
      </c>
    </row>
    <row r="802" spans="2:12" x14ac:dyDescent="0.35">
      <c r="B802" s="4" t="s">
        <v>1568</v>
      </c>
      <c r="C802" s="4" t="s">
        <v>6546</v>
      </c>
      <c r="D802" s="4" t="s">
        <v>5</v>
      </c>
      <c r="E802" s="4" t="s">
        <v>24</v>
      </c>
      <c r="F802" s="4" t="s">
        <v>28</v>
      </c>
      <c r="G802" s="4" t="s">
        <v>8</v>
      </c>
      <c r="H802" s="4" t="s">
        <v>185</v>
      </c>
      <c r="I802" s="5" t="str">
        <f>IFERROR(VLOOKUP(Consulta1[[#This Row],[Pozo largo]],'Lista YPF'!$B$3:$C$358,2,FALSE),"NO")</f>
        <v>NO</v>
      </c>
      <c r="J802" s="5" t="str">
        <f>IFERROR(VLOOKUP(Consulta1[[#This Row],[Pozo]],'Lista Oportunidades'!B:C,2,FALSE),"NO")</f>
        <v>NO</v>
      </c>
      <c r="K802" s="5">
        <f>IFERROR(VLOOKUP(Consulta1[[#This Row],[Pozo largo]],Controles!B:H,7,FALSE),"NO")</f>
        <v>0</v>
      </c>
      <c r="L802" s="5">
        <f>IFERROR(VLOOKUP(Consulta1[[#This Row],[Pozo largo]],Controles!B:J,9,FALSE),"NO")</f>
        <v>0</v>
      </c>
    </row>
    <row r="803" spans="2:12" x14ac:dyDescent="0.35">
      <c r="B803" s="4" t="s">
        <v>1570</v>
      </c>
      <c r="C803" s="4" t="s">
        <v>6547</v>
      </c>
      <c r="D803" s="4" t="s">
        <v>5</v>
      </c>
      <c r="E803" s="4" t="s">
        <v>6</v>
      </c>
      <c r="F803" s="4" t="s">
        <v>7</v>
      </c>
      <c r="G803" s="4" t="s">
        <v>5718</v>
      </c>
      <c r="H803" s="4" t="s">
        <v>21</v>
      </c>
      <c r="I803" s="5" t="str">
        <f>IFERROR(VLOOKUP(Consulta1[[#This Row],[Pozo largo]],'Lista YPF'!$B$3:$C$358,2,FALSE),"NO")</f>
        <v>En lista de Abandono</v>
      </c>
      <c r="J803" s="5" t="str">
        <f>IFERROR(VLOOKUP(Consulta1[[#This Row],[Pozo]],'Lista Oportunidades'!B:C,2,FALSE),"NO")</f>
        <v>NO</v>
      </c>
      <c r="K803" s="5">
        <f>IFERROR(VLOOKUP(Consulta1[[#This Row],[Pozo largo]],Controles!B:H,7,FALSE),"NO")</f>
        <v>0.57999999999999996</v>
      </c>
      <c r="L803" s="5">
        <f>IFERROR(VLOOKUP(Consulta1[[#This Row],[Pozo largo]],Controles!B:J,9,FALSE),"NO")</f>
        <v>0</v>
      </c>
    </row>
    <row r="804" spans="2:12" x14ac:dyDescent="0.35">
      <c r="B804" s="4" t="s">
        <v>1572</v>
      </c>
      <c r="C804" s="4" t="s">
        <v>6548</v>
      </c>
      <c r="D804" s="4" t="s">
        <v>5</v>
      </c>
      <c r="E804" s="4" t="s">
        <v>12</v>
      </c>
      <c r="F804" s="4" t="s">
        <v>7</v>
      </c>
      <c r="G804" s="4" t="s">
        <v>13</v>
      </c>
      <c r="H804" s="4" t="s">
        <v>185</v>
      </c>
      <c r="I804" s="5" t="str">
        <f>IFERROR(VLOOKUP(Consulta1[[#This Row],[Pozo largo]],'Lista YPF'!$B$3:$C$358,2,FALSE),"NO")</f>
        <v>NO</v>
      </c>
      <c r="J804" s="5" t="str">
        <f>IFERROR(VLOOKUP(Consulta1[[#This Row],[Pozo]],'Lista Oportunidades'!B:C,2,FALSE),"NO")</f>
        <v>NO</v>
      </c>
      <c r="K804" s="5">
        <f>IFERROR(VLOOKUP(Consulta1[[#This Row],[Pozo largo]],Controles!B:H,7,FALSE),"NO")</f>
        <v>0.60299999999999998</v>
      </c>
      <c r="L804" s="5">
        <f>IFERROR(VLOOKUP(Consulta1[[#This Row],[Pozo largo]],Controles!B:J,9,FALSE),"NO")</f>
        <v>0</v>
      </c>
    </row>
    <row r="805" spans="2:12" x14ac:dyDescent="0.35">
      <c r="B805" s="4" t="s">
        <v>1574</v>
      </c>
      <c r="C805" s="4" t="s">
        <v>6549</v>
      </c>
      <c r="D805" s="4" t="s">
        <v>5</v>
      </c>
      <c r="E805" s="4" t="s">
        <v>12</v>
      </c>
      <c r="F805" s="4" t="s">
        <v>7</v>
      </c>
      <c r="G805" s="4" t="s">
        <v>13</v>
      </c>
      <c r="H805" s="4" t="s">
        <v>74</v>
      </c>
      <c r="I805" s="5" t="str">
        <f>IFERROR(VLOOKUP(Consulta1[[#This Row],[Pozo largo]],'Lista YPF'!$B$3:$C$358,2,FALSE),"NO")</f>
        <v>NO</v>
      </c>
      <c r="J805" s="5" t="str">
        <f>IFERROR(VLOOKUP(Consulta1[[#This Row],[Pozo]],'Lista Oportunidades'!B:C,2,FALSE),"NO")</f>
        <v>NO</v>
      </c>
      <c r="K805" s="5">
        <f>IFERROR(VLOOKUP(Consulta1[[#This Row],[Pozo largo]],Controles!B:H,7,FALSE),"NO")</f>
        <v>4.32</v>
      </c>
      <c r="L805" s="5">
        <f>IFERROR(VLOOKUP(Consulta1[[#This Row],[Pozo largo]],Controles!B:J,9,FALSE),"NO")</f>
        <v>0</v>
      </c>
    </row>
    <row r="806" spans="2:12" x14ac:dyDescent="0.35">
      <c r="B806" s="4" t="s">
        <v>1576</v>
      </c>
      <c r="C806" s="4" t="s">
        <v>6550</v>
      </c>
      <c r="D806" s="4" t="s">
        <v>5</v>
      </c>
      <c r="E806" s="4" t="s">
        <v>12</v>
      </c>
      <c r="F806" s="4" t="s">
        <v>83</v>
      </c>
      <c r="G806" s="4" t="s">
        <v>13</v>
      </c>
      <c r="H806" s="4" t="s">
        <v>9</v>
      </c>
      <c r="I806" s="5" t="str">
        <f>IFERROR(VLOOKUP(Consulta1[[#This Row],[Pozo largo]],'Lista YPF'!$B$3:$C$358,2,FALSE),"NO")</f>
        <v>NO</v>
      </c>
      <c r="J806" s="5" t="str">
        <f>IFERROR(VLOOKUP(Consulta1[[#This Row],[Pozo]],'Lista Oportunidades'!B:C,2,FALSE),"NO")</f>
        <v>NO</v>
      </c>
      <c r="K806" s="5">
        <f>IFERROR(VLOOKUP(Consulta1[[#This Row],[Pozo largo]],Controles!B:H,7,FALSE),"NO")</f>
        <v>1.05</v>
      </c>
      <c r="L806" s="5">
        <f>IFERROR(VLOOKUP(Consulta1[[#This Row],[Pozo largo]],Controles!B:J,9,FALSE),"NO")</f>
        <v>0</v>
      </c>
    </row>
    <row r="807" spans="2:12" x14ac:dyDescent="0.35">
      <c r="B807" s="4" t="s">
        <v>1578</v>
      </c>
      <c r="C807" s="4" t="s">
        <v>1579</v>
      </c>
      <c r="D807" s="4" t="s">
        <v>5</v>
      </c>
      <c r="E807" s="4" t="s">
        <v>12</v>
      </c>
      <c r="F807" s="4" t="s">
        <v>7</v>
      </c>
      <c r="G807" s="4" t="s">
        <v>13</v>
      </c>
      <c r="H807" s="4" t="s">
        <v>149</v>
      </c>
      <c r="I807" s="5" t="str">
        <f>IFERROR(VLOOKUP(Consulta1[[#This Row],[Pozo largo]],'Lista YPF'!$B$3:$C$358,2,FALSE),"NO")</f>
        <v>NO</v>
      </c>
      <c r="J807" s="5" t="str">
        <f>IFERROR(VLOOKUP(Consulta1[[#This Row],[Pozo]],'Lista Oportunidades'!B:C,2,FALSE),"NO")</f>
        <v>NO</v>
      </c>
      <c r="K807" s="5">
        <f>IFERROR(VLOOKUP(Consulta1[[#This Row],[Pozo largo]],Controles!B:H,7,FALSE),"NO")</f>
        <v>2.1</v>
      </c>
      <c r="L807" s="5">
        <f>IFERROR(VLOOKUP(Consulta1[[#This Row],[Pozo largo]],Controles!B:J,9,FALSE),"NO")</f>
        <v>0</v>
      </c>
    </row>
    <row r="808" spans="2:12" x14ac:dyDescent="0.35">
      <c r="B808" s="4" t="s">
        <v>1580</v>
      </c>
      <c r="C808" s="4" t="s">
        <v>6551</v>
      </c>
      <c r="D808" s="4" t="s">
        <v>5</v>
      </c>
      <c r="E808" s="4" t="s">
        <v>12</v>
      </c>
      <c r="F808" s="4" t="s">
        <v>7</v>
      </c>
      <c r="G808" s="4" t="s">
        <v>13</v>
      </c>
      <c r="H808" s="4" t="s">
        <v>36</v>
      </c>
      <c r="I808" s="5" t="str">
        <f>IFERROR(VLOOKUP(Consulta1[[#This Row],[Pozo largo]],'Lista YPF'!$B$3:$C$358,2,FALSE),"NO")</f>
        <v>NO</v>
      </c>
      <c r="J808" s="5" t="str">
        <f>IFERROR(VLOOKUP(Consulta1[[#This Row],[Pozo]],'Lista Oportunidades'!B:C,2,FALSE),"NO")</f>
        <v>NO</v>
      </c>
      <c r="K808" s="5">
        <f>IFERROR(VLOOKUP(Consulta1[[#This Row],[Pozo largo]],Controles!B:H,7,FALSE),"NO")</f>
        <v>3.45</v>
      </c>
      <c r="L808" s="5">
        <f>IFERROR(VLOOKUP(Consulta1[[#This Row],[Pozo largo]],Controles!B:J,9,FALSE),"NO")</f>
        <v>0</v>
      </c>
    </row>
    <row r="809" spans="2:12" x14ac:dyDescent="0.35">
      <c r="B809" s="4" t="s">
        <v>1582</v>
      </c>
      <c r="C809" s="4" t="s">
        <v>6552</v>
      </c>
      <c r="D809" s="4" t="s">
        <v>5</v>
      </c>
      <c r="E809" s="4" t="s">
        <v>12</v>
      </c>
      <c r="F809" s="4" t="s">
        <v>7</v>
      </c>
      <c r="G809" s="4" t="s">
        <v>13</v>
      </c>
      <c r="H809" s="4" t="s">
        <v>149</v>
      </c>
      <c r="I809" s="5" t="str">
        <f>IFERROR(VLOOKUP(Consulta1[[#This Row],[Pozo largo]],'Lista YPF'!$B$3:$C$358,2,FALSE),"NO")</f>
        <v>NO</v>
      </c>
      <c r="J809" s="5" t="str">
        <f>IFERROR(VLOOKUP(Consulta1[[#This Row],[Pozo]],'Lista Oportunidades'!B:C,2,FALSE),"NO")</f>
        <v>NO</v>
      </c>
      <c r="K809" s="5">
        <f>IFERROR(VLOOKUP(Consulta1[[#This Row],[Pozo largo]],Controles!B:H,7,FALSE),"NO")</f>
        <v>0.66</v>
      </c>
      <c r="L809" s="5">
        <f>IFERROR(VLOOKUP(Consulta1[[#This Row],[Pozo largo]],Controles!B:J,9,FALSE),"NO")</f>
        <v>0</v>
      </c>
    </row>
    <row r="810" spans="2:12" x14ac:dyDescent="0.35">
      <c r="B810" s="4" t="s">
        <v>1584</v>
      </c>
      <c r="C810" s="4" t="s">
        <v>6553</v>
      </c>
      <c r="D810" s="4" t="s">
        <v>5</v>
      </c>
      <c r="E810" s="4" t="s">
        <v>12</v>
      </c>
      <c r="F810" s="4" t="s">
        <v>7</v>
      </c>
      <c r="G810" s="4" t="s">
        <v>13</v>
      </c>
      <c r="H810" s="4" t="s">
        <v>149</v>
      </c>
      <c r="I810" s="5" t="str">
        <f>IFERROR(VLOOKUP(Consulta1[[#This Row],[Pozo largo]],'Lista YPF'!$B$3:$C$358,2,FALSE),"NO")</f>
        <v>NO</v>
      </c>
      <c r="J810" s="5" t="str">
        <f>IFERROR(VLOOKUP(Consulta1[[#This Row],[Pozo]],'Lista Oportunidades'!B:C,2,FALSE),"NO")</f>
        <v>NO</v>
      </c>
      <c r="K810" s="5">
        <f>IFERROR(VLOOKUP(Consulta1[[#This Row],[Pozo largo]],Controles!B:H,7,FALSE),"NO")</f>
        <v>1.5410000000000001</v>
      </c>
      <c r="L810" s="5">
        <f>IFERROR(VLOOKUP(Consulta1[[#This Row],[Pozo largo]],Controles!B:J,9,FALSE),"NO")</f>
        <v>0</v>
      </c>
    </row>
    <row r="811" spans="2:12" x14ac:dyDescent="0.35">
      <c r="B811" s="4" t="s">
        <v>1586</v>
      </c>
      <c r="C811" s="4" t="s">
        <v>6554</v>
      </c>
      <c r="D811" s="4" t="s">
        <v>5</v>
      </c>
      <c r="E811" s="4" t="s">
        <v>12</v>
      </c>
      <c r="F811" s="4" t="s">
        <v>7</v>
      </c>
      <c r="G811" s="4" t="s">
        <v>13</v>
      </c>
      <c r="H811" s="4" t="s">
        <v>86</v>
      </c>
      <c r="I811" s="5" t="str">
        <f>IFERROR(VLOOKUP(Consulta1[[#This Row],[Pozo largo]],'Lista YPF'!$B$3:$C$358,2,FALSE),"NO")</f>
        <v>NO</v>
      </c>
      <c r="J811" s="5" t="str">
        <f>IFERROR(VLOOKUP(Consulta1[[#This Row],[Pozo]],'Lista Oportunidades'!B:C,2,FALSE),"NO")</f>
        <v>NO</v>
      </c>
      <c r="K811" s="5">
        <f>IFERROR(VLOOKUP(Consulta1[[#This Row],[Pozo largo]],Controles!B:H,7,FALSE),"NO")</f>
        <v>0.95000000000000007</v>
      </c>
      <c r="L811" s="5">
        <f>IFERROR(VLOOKUP(Consulta1[[#This Row],[Pozo largo]],Controles!B:J,9,FALSE),"NO")</f>
        <v>0</v>
      </c>
    </row>
    <row r="812" spans="2:12" x14ac:dyDescent="0.35">
      <c r="B812" s="4" t="s">
        <v>1588</v>
      </c>
      <c r="C812" s="4" t="s">
        <v>6555</v>
      </c>
      <c r="D812" s="4" t="s">
        <v>5</v>
      </c>
      <c r="E812" s="4" t="s">
        <v>12</v>
      </c>
      <c r="F812" s="4" t="s">
        <v>7</v>
      </c>
      <c r="G812" s="4" t="s">
        <v>13</v>
      </c>
      <c r="H812" s="4" t="s">
        <v>149</v>
      </c>
      <c r="I812" s="5" t="str">
        <f>IFERROR(VLOOKUP(Consulta1[[#This Row],[Pozo largo]],'Lista YPF'!$B$3:$C$358,2,FALSE),"NO")</f>
        <v>NO</v>
      </c>
      <c r="J812" s="5" t="str">
        <f>IFERROR(VLOOKUP(Consulta1[[#This Row],[Pozo]],'Lista Oportunidades'!B:C,2,FALSE),"NO")</f>
        <v>Oportunidad</v>
      </c>
      <c r="K812" s="5">
        <f>IFERROR(VLOOKUP(Consulta1[[#This Row],[Pozo largo]],Controles!B:H,7,FALSE),"NO")</f>
        <v>4.2</v>
      </c>
      <c r="L812" s="5">
        <f>IFERROR(VLOOKUP(Consulta1[[#This Row],[Pozo largo]],Controles!B:J,9,FALSE),"NO")</f>
        <v>0</v>
      </c>
    </row>
    <row r="813" spans="2:12" x14ac:dyDescent="0.35">
      <c r="B813" s="4" t="s">
        <v>1590</v>
      </c>
      <c r="C813" s="4" t="s">
        <v>6556</v>
      </c>
      <c r="D813" s="4" t="s">
        <v>5</v>
      </c>
      <c r="E813" s="4" t="s">
        <v>30</v>
      </c>
      <c r="F813" s="4" t="s">
        <v>31</v>
      </c>
      <c r="G813" s="4" t="s">
        <v>32</v>
      </c>
      <c r="H813" s="4" t="s">
        <v>80</v>
      </c>
      <c r="I813" s="5" t="str">
        <f>IFERROR(VLOOKUP(Consulta1[[#This Row],[Pozo largo]],'Lista YPF'!$B$3:$C$358,2,FALSE),"NO")</f>
        <v>NO</v>
      </c>
      <c r="J813" s="5" t="str">
        <f>IFERROR(VLOOKUP(Consulta1[[#This Row],[Pozo]],'Lista Oportunidades'!B:C,2,FALSE),"NO")</f>
        <v>NO</v>
      </c>
      <c r="K813" s="5">
        <f>IFERROR(VLOOKUP(Consulta1[[#This Row],[Pozo largo]],Controles!B:H,7,FALSE),"NO")</f>
        <v>0.26100000000000001</v>
      </c>
      <c r="L813" s="5">
        <f>IFERROR(VLOOKUP(Consulta1[[#This Row],[Pozo largo]],Controles!B:J,9,FALSE),"NO")</f>
        <v>0</v>
      </c>
    </row>
    <row r="814" spans="2:12" x14ac:dyDescent="0.35">
      <c r="B814" s="4" t="s">
        <v>1592</v>
      </c>
      <c r="C814" s="4" t="s">
        <v>6557</v>
      </c>
      <c r="D814" s="4" t="s">
        <v>5</v>
      </c>
      <c r="E814" s="4" t="s">
        <v>24</v>
      </c>
      <c r="F814" s="4" t="s">
        <v>25</v>
      </c>
      <c r="G814" s="4" t="s">
        <v>8</v>
      </c>
      <c r="H814" s="4" t="s">
        <v>84</v>
      </c>
      <c r="I814" s="5" t="str">
        <f>IFERROR(VLOOKUP(Consulta1[[#This Row],[Pozo largo]],'Lista YPF'!$B$3:$C$358,2,FALSE),"NO")</f>
        <v>NO</v>
      </c>
      <c r="J814" s="5" t="str">
        <f>IFERROR(VLOOKUP(Consulta1[[#This Row],[Pozo]],'Lista Oportunidades'!B:C,2,FALSE),"NO")</f>
        <v>NO</v>
      </c>
      <c r="K814" s="5">
        <f>IFERROR(VLOOKUP(Consulta1[[#This Row],[Pozo largo]],Controles!B:H,7,FALSE),"NO")</f>
        <v>0.11600000000000001</v>
      </c>
      <c r="L814" s="5">
        <f>IFERROR(VLOOKUP(Consulta1[[#This Row],[Pozo largo]],Controles!B:J,9,FALSE),"NO")</f>
        <v>0</v>
      </c>
    </row>
    <row r="815" spans="2:12" x14ac:dyDescent="0.35">
      <c r="B815" s="4" t="s">
        <v>1594</v>
      </c>
      <c r="C815" s="4" t="s">
        <v>6558</v>
      </c>
      <c r="D815" s="4" t="s">
        <v>5</v>
      </c>
      <c r="E815" s="4" t="s">
        <v>882</v>
      </c>
      <c r="F815" s="4" t="s">
        <v>31</v>
      </c>
      <c r="G815" s="4" t="s">
        <v>13</v>
      </c>
      <c r="H815" s="4" t="s">
        <v>80</v>
      </c>
      <c r="I815" s="5" t="str">
        <f>IFERROR(VLOOKUP(Consulta1[[#This Row],[Pozo largo]],'Lista YPF'!$B$3:$C$358,2,FALSE),"NO")</f>
        <v>NO</v>
      </c>
      <c r="J815" s="5" t="str">
        <f>IFERROR(VLOOKUP(Consulta1[[#This Row],[Pozo]],'Lista Oportunidades'!B:C,2,FALSE),"NO")</f>
        <v>NO</v>
      </c>
      <c r="K815" s="5">
        <f>IFERROR(VLOOKUP(Consulta1[[#This Row],[Pozo largo]],Controles!B:H,7,FALSE),"NO")</f>
        <v>0</v>
      </c>
      <c r="L815" s="5">
        <f>IFERROR(VLOOKUP(Consulta1[[#This Row],[Pozo largo]],Controles!B:J,9,FALSE),"NO")</f>
        <v>0</v>
      </c>
    </row>
    <row r="816" spans="2:12" x14ac:dyDescent="0.35">
      <c r="B816" s="4" t="s">
        <v>1596</v>
      </c>
      <c r="C816" s="4" t="s">
        <v>6559</v>
      </c>
      <c r="D816" s="4" t="s">
        <v>5</v>
      </c>
      <c r="E816" s="4" t="s">
        <v>12</v>
      </c>
      <c r="F816" s="4" t="s">
        <v>7</v>
      </c>
      <c r="G816" s="4" t="s">
        <v>13</v>
      </c>
      <c r="H816" s="4" t="s">
        <v>80</v>
      </c>
      <c r="I816" s="5" t="str">
        <f>IFERROR(VLOOKUP(Consulta1[[#This Row],[Pozo largo]],'Lista YPF'!$B$3:$C$358,2,FALSE),"NO")</f>
        <v>NO</v>
      </c>
      <c r="J816" s="5" t="str">
        <f>IFERROR(VLOOKUP(Consulta1[[#This Row],[Pozo]],'Lista Oportunidades'!B:C,2,FALSE),"NO")</f>
        <v>NO</v>
      </c>
      <c r="K816" s="5">
        <f>IFERROR(VLOOKUP(Consulta1[[#This Row],[Pozo largo]],Controles!B:H,7,FALSE),"NO")</f>
        <v>0.44</v>
      </c>
      <c r="L816" s="5">
        <f>IFERROR(VLOOKUP(Consulta1[[#This Row],[Pozo largo]],Controles!B:J,9,FALSE),"NO")</f>
        <v>0</v>
      </c>
    </row>
    <row r="817" spans="2:12" x14ac:dyDescent="0.35">
      <c r="B817" s="4" t="s">
        <v>1598</v>
      </c>
      <c r="C817" s="4" t="s">
        <v>6560</v>
      </c>
      <c r="D817" s="4" t="s">
        <v>5</v>
      </c>
      <c r="E817" s="4" t="s">
        <v>6</v>
      </c>
      <c r="F817" s="4" t="s">
        <v>28</v>
      </c>
      <c r="G817" s="4" t="s">
        <v>11387</v>
      </c>
      <c r="H817" s="4" t="s">
        <v>86</v>
      </c>
      <c r="I817" s="5" t="str">
        <f>IFERROR(VLOOKUP(Consulta1[[#This Row],[Pozo largo]],'Lista YPF'!$B$3:$C$358,2,FALSE),"NO")</f>
        <v>NO</v>
      </c>
      <c r="J817" s="5" t="str">
        <f>IFERROR(VLOOKUP(Consulta1[[#This Row],[Pozo]],'Lista Oportunidades'!B:C,2,FALSE),"NO")</f>
        <v>NO</v>
      </c>
      <c r="K817" s="5">
        <f>IFERROR(VLOOKUP(Consulta1[[#This Row],[Pozo largo]],Controles!B:H,7,FALSE),"NO")</f>
        <v>0</v>
      </c>
      <c r="L817" s="5" t="str">
        <f>IFERROR(VLOOKUP(Consulta1[[#This Row],[Pozo largo]],Controles!B:J,9,FALSE),"NO")</f>
        <v>Ultimo Año</v>
      </c>
    </row>
    <row r="818" spans="2:12" x14ac:dyDescent="0.35">
      <c r="B818" s="4" t="s">
        <v>1600</v>
      </c>
      <c r="C818" s="4" t="s">
        <v>6561</v>
      </c>
      <c r="D818" s="4" t="s">
        <v>5</v>
      </c>
      <c r="E818" s="4" t="s">
        <v>30</v>
      </c>
      <c r="F818" s="4" t="s">
        <v>31</v>
      </c>
      <c r="G818" s="4" t="s">
        <v>32</v>
      </c>
      <c r="H818" s="4" t="s">
        <v>86</v>
      </c>
      <c r="I818" s="5" t="str">
        <f>IFERROR(VLOOKUP(Consulta1[[#This Row],[Pozo largo]],'Lista YPF'!$B$3:$C$358,2,FALSE),"NO")</f>
        <v>NO</v>
      </c>
      <c r="J818" s="5" t="str">
        <f>IFERROR(VLOOKUP(Consulta1[[#This Row],[Pozo]],'Lista Oportunidades'!B:C,2,FALSE),"NO")</f>
        <v>NO</v>
      </c>
      <c r="K818" s="5">
        <f>IFERROR(VLOOKUP(Consulta1[[#This Row],[Pozo largo]],Controles!B:H,7,FALSE),"NO")</f>
        <v>0</v>
      </c>
      <c r="L818" s="5">
        <f>IFERROR(VLOOKUP(Consulta1[[#This Row],[Pozo largo]],Controles!B:J,9,FALSE),"NO")</f>
        <v>0</v>
      </c>
    </row>
    <row r="819" spans="2:12" x14ac:dyDescent="0.35">
      <c r="B819" s="4" t="s">
        <v>1602</v>
      </c>
      <c r="C819" s="4" t="s">
        <v>6562</v>
      </c>
      <c r="D819" s="4" t="s">
        <v>5</v>
      </c>
      <c r="E819" s="4" t="s">
        <v>24</v>
      </c>
      <c r="F819" s="4" t="s">
        <v>28</v>
      </c>
      <c r="G819" s="4" t="s">
        <v>8</v>
      </c>
      <c r="H819" s="4" t="s">
        <v>86</v>
      </c>
      <c r="I819" s="5" t="str">
        <f>IFERROR(VLOOKUP(Consulta1[[#This Row],[Pozo largo]],'Lista YPF'!$B$3:$C$358,2,FALSE),"NO")</f>
        <v>NO</v>
      </c>
      <c r="J819" s="5" t="str">
        <f>IFERROR(VLOOKUP(Consulta1[[#This Row],[Pozo]],'Lista Oportunidades'!B:C,2,FALSE),"NO")</f>
        <v>NO</v>
      </c>
      <c r="K819" s="5">
        <f>IFERROR(VLOOKUP(Consulta1[[#This Row],[Pozo largo]],Controles!B:H,7,FALSE),"NO")</f>
        <v>0</v>
      </c>
      <c r="L819" s="5">
        <f>IFERROR(VLOOKUP(Consulta1[[#This Row],[Pozo largo]],Controles!B:J,9,FALSE),"NO")</f>
        <v>0</v>
      </c>
    </row>
    <row r="820" spans="2:12" x14ac:dyDescent="0.35">
      <c r="B820" s="4" t="s">
        <v>1604</v>
      </c>
      <c r="C820" s="4" t="s">
        <v>6563</v>
      </c>
      <c r="D820" s="4" t="s">
        <v>5</v>
      </c>
      <c r="E820" s="4" t="s">
        <v>30</v>
      </c>
      <c r="F820" s="4" t="s">
        <v>31</v>
      </c>
      <c r="G820" s="4" t="s">
        <v>32</v>
      </c>
      <c r="H820" s="4" t="s">
        <v>86</v>
      </c>
      <c r="I820" s="5" t="str">
        <f>IFERROR(VLOOKUP(Consulta1[[#This Row],[Pozo largo]],'Lista YPF'!$B$3:$C$358,2,FALSE),"NO")</f>
        <v>NO</v>
      </c>
      <c r="J820" s="5" t="str">
        <f>IFERROR(VLOOKUP(Consulta1[[#This Row],[Pozo]],'Lista Oportunidades'!B:C,2,FALSE),"NO")</f>
        <v>NO</v>
      </c>
      <c r="K820" s="5">
        <f>IFERROR(VLOOKUP(Consulta1[[#This Row],[Pozo largo]],Controles!B:H,7,FALSE),"NO")</f>
        <v>0.9</v>
      </c>
      <c r="L820" s="5">
        <f>IFERROR(VLOOKUP(Consulta1[[#This Row],[Pozo largo]],Controles!B:J,9,FALSE),"NO")</f>
        <v>0</v>
      </c>
    </row>
    <row r="821" spans="2:12" x14ac:dyDescent="0.35">
      <c r="B821" s="4" t="s">
        <v>1606</v>
      </c>
      <c r="C821" s="4" t="s">
        <v>6564</v>
      </c>
      <c r="D821" s="4" t="s">
        <v>5</v>
      </c>
      <c r="E821" s="4" t="s">
        <v>30</v>
      </c>
      <c r="F821" s="4" t="s">
        <v>31</v>
      </c>
      <c r="G821" s="4" t="s">
        <v>32</v>
      </c>
      <c r="H821" s="4" t="s">
        <v>91</v>
      </c>
      <c r="I821" s="5" t="str">
        <f>IFERROR(VLOOKUP(Consulta1[[#This Row],[Pozo largo]],'Lista YPF'!$B$3:$C$358,2,FALSE),"NO")</f>
        <v>NO</v>
      </c>
      <c r="J821" s="5" t="str">
        <f>IFERROR(VLOOKUP(Consulta1[[#This Row],[Pozo]],'Lista Oportunidades'!B:C,2,FALSE),"NO")</f>
        <v>NO</v>
      </c>
      <c r="K821" s="5" t="str">
        <f>IFERROR(VLOOKUP(Consulta1[[#This Row],[Pozo largo]],Controles!B:H,7,FALSE),"NO")</f>
        <v>NO</v>
      </c>
      <c r="L821" s="5" t="str">
        <f>IFERROR(VLOOKUP(Consulta1[[#This Row],[Pozo largo]],Controles!B:J,9,FALSE),"NO")</f>
        <v>NO</v>
      </c>
    </row>
    <row r="822" spans="2:12" x14ac:dyDescent="0.35">
      <c r="B822" s="4" t="s">
        <v>1607</v>
      </c>
      <c r="C822" s="4" t="s">
        <v>6565</v>
      </c>
      <c r="D822" s="4" t="s">
        <v>5</v>
      </c>
      <c r="E822" s="4" t="s">
        <v>30</v>
      </c>
      <c r="F822" s="4" t="s">
        <v>31</v>
      </c>
      <c r="G822" s="4" t="s">
        <v>32</v>
      </c>
      <c r="H822" s="4" t="s">
        <v>86</v>
      </c>
      <c r="I822" s="5" t="str">
        <f>IFERROR(VLOOKUP(Consulta1[[#This Row],[Pozo largo]],'Lista YPF'!$B$3:$C$358,2,FALSE),"NO")</f>
        <v>NO</v>
      </c>
      <c r="J822" s="5" t="str">
        <f>IFERROR(VLOOKUP(Consulta1[[#This Row],[Pozo]],'Lista Oportunidades'!B:C,2,FALSE),"NO")</f>
        <v>NO</v>
      </c>
      <c r="K822" s="5">
        <f>IFERROR(VLOOKUP(Consulta1[[#This Row],[Pozo largo]],Controles!B:H,7,FALSE),"NO")</f>
        <v>0</v>
      </c>
      <c r="L822" s="5">
        <f>IFERROR(VLOOKUP(Consulta1[[#This Row],[Pozo largo]],Controles!B:J,9,FALSE),"NO")</f>
        <v>0</v>
      </c>
    </row>
    <row r="823" spans="2:12" x14ac:dyDescent="0.35">
      <c r="B823" s="4" t="s">
        <v>1609</v>
      </c>
      <c r="C823" s="4" t="s">
        <v>6566</v>
      </c>
      <c r="D823" s="4" t="s">
        <v>5</v>
      </c>
      <c r="E823" s="4" t="s">
        <v>6</v>
      </c>
      <c r="F823" s="4" t="s">
        <v>28</v>
      </c>
      <c r="G823" s="4" t="s">
        <v>8</v>
      </c>
      <c r="H823" s="4" t="s">
        <v>91</v>
      </c>
      <c r="I823" s="5" t="str">
        <f>IFERROR(VLOOKUP(Consulta1[[#This Row],[Pozo largo]],'Lista YPF'!$B$3:$C$358,2,FALSE),"NO")</f>
        <v>NO</v>
      </c>
      <c r="J823" s="5" t="str">
        <f>IFERROR(VLOOKUP(Consulta1[[#This Row],[Pozo]],'Lista Oportunidades'!B:C,2,FALSE),"NO")</f>
        <v>NO</v>
      </c>
      <c r="K823" s="5">
        <f>IFERROR(VLOOKUP(Consulta1[[#This Row],[Pozo largo]],Controles!B:H,7,FALSE),"NO")</f>
        <v>0</v>
      </c>
      <c r="L823" s="5">
        <f>IFERROR(VLOOKUP(Consulta1[[#This Row],[Pozo largo]],Controles!B:J,9,FALSE),"NO")</f>
        <v>0</v>
      </c>
    </row>
    <row r="824" spans="2:12" x14ac:dyDescent="0.35">
      <c r="B824" s="4" t="s">
        <v>1611</v>
      </c>
      <c r="C824" s="4" t="s">
        <v>6567</v>
      </c>
      <c r="D824" s="4" t="s">
        <v>5</v>
      </c>
      <c r="E824" s="4" t="s">
        <v>24</v>
      </c>
      <c r="F824" s="4" t="s">
        <v>31</v>
      </c>
      <c r="G824" s="4" t="s">
        <v>8</v>
      </c>
      <c r="H824" s="4" t="s">
        <v>185</v>
      </c>
      <c r="I824" s="5" t="str">
        <f>IFERROR(VLOOKUP(Consulta1[[#This Row],[Pozo largo]],'Lista YPF'!$B$3:$C$358,2,FALSE),"NO")</f>
        <v>NO</v>
      </c>
      <c r="J824" s="5" t="str">
        <f>IFERROR(VLOOKUP(Consulta1[[#This Row],[Pozo]],'Lista Oportunidades'!B:C,2,FALSE),"NO")</f>
        <v>NO</v>
      </c>
      <c r="K824" s="5">
        <f>IFERROR(VLOOKUP(Consulta1[[#This Row],[Pozo largo]],Controles!B:H,7,FALSE),"NO")</f>
        <v>0</v>
      </c>
      <c r="L824" s="5">
        <f>IFERROR(VLOOKUP(Consulta1[[#This Row],[Pozo largo]],Controles!B:J,9,FALSE),"NO")</f>
        <v>0</v>
      </c>
    </row>
    <row r="825" spans="2:12" x14ac:dyDescent="0.35">
      <c r="B825" s="4" t="s">
        <v>1613</v>
      </c>
      <c r="C825" s="4" t="s">
        <v>6568</v>
      </c>
      <c r="D825" s="4" t="s">
        <v>5</v>
      </c>
      <c r="E825" s="4" t="s">
        <v>12</v>
      </c>
      <c r="F825" s="4" t="s">
        <v>238</v>
      </c>
      <c r="G825" s="4" t="s">
        <v>13</v>
      </c>
      <c r="H825" s="4" t="s">
        <v>71</v>
      </c>
      <c r="I825" s="5" t="str">
        <f>IFERROR(VLOOKUP(Consulta1[[#This Row],[Pozo largo]],'Lista YPF'!$B$3:$C$358,2,FALSE),"NO")</f>
        <v>NO</v>
      </c>
      <c r="J825" s="5" t="str">
        <f>IFERROR(VLOOKUP(Consulta1[[#This Row],[Pozo]],'Lista Oportunidades'!B:C,2,FALSE),"NO")</f>
        <v>NO</v>
      </c>
      <c r="K825" s="5">
        <f>IFERROR(VLOOKUP(Consulta1[[#This Row],[Pozo largo]],Controles!B:H,7,FALSE),"NO")</f>
        <v>0.625</v>
      </c>
      <c r="L825" s="5">
        <f>IFERROR(VLOOKUP(Consulta1[[#This Row],[Pozo largo]],Controles!B:J,9,FALSE),"NO")</f>
        <v>0</v>
      </c>
    </row>
    <row r="826" spans="2:12" x14ac:dyDescent="0.35">
      <c r="B826" s="4" t="s">
        <v>1615</v>
      </c>
      <c r="C826" s="4" t="s">
        <v>6569</v>
      </c>
      <c r="D826" s="4" t="s">
        <v>5</v>
      </c>
      <c r="E826" s="4" t="s">
        <v>12</v>
      </c>
      <c r="F826" s="4" t="s">
        <v>7</v>
      </c>
      <c r="G826" s="4" t="s">
        <v>13</v>
      </c>
      <c r="H826" s="4" t="s">
        <v>141</v>
      </c>
      <c r="I826" s="5" t="str">
        <f>IFERROR(VLOOKUP(Consulta1[[#This Row],[Pozo largo]],'Lista YPF'!$B$3:$C$358,2,FALSE),"NO")</f>
        <v>NO</v>
      </c>
      <c r="J826" s="5" t="str">
        <f>IFERROR(VLOOKUP(Consulta1[[#This Row],[Pozo]],'Lista Oportunidades'!B:C,2,FALSE),"NO")</f>
        <v>NO</v>
      </c>
      <c r="K826" s="5">
        <f>IFERROR(VLOOKUP(Consulta1[[#This Row],[Pozo largo]],Controles!B:H,7,FALSE),"NO")</f>
        <v>0.92</v>
      </c>
      <c r="L826" s="5">
        <f>IFERROR(VLOOKUP(Consulta1[[#This Row],[Pozo largo]],Controles!B:J,9,FALSE),"NO")</f>
        <v>0</v>
      </c>
    </row>
    <row r="827" spans="2:12" x14ac:dyDescent="0.35">
      <c r="B827" s="4" t="s">
        <v>1617</v>
      </c>
      <c r="C827" s="4" t="s">
        <v>6570</v>
      </c>
      <c r="D827" s="4" t="s">
        <v>5</v>
      </c>
      <c r="E827" s="4" t="s">
        <v>12</v>
      </c>
      <c r="F827" s="4" t="s">
        <v>238</v>
      </c>
      <c r="G827" s="4" t="s">
        <v>13</v>
      </c>
      <c r="H827" s="4" t="s">
        <v>141</v>
      </c>
      <c r="I827" s="5" t="str">
        <f>IFERROR(VLOOKUP(Consulta1[[#This Row],[Pozo largo]],'Lista YPF'!$B$3:$C$358,2,FALSE),"NO")</f>
        <v>NO</v>
      </c>
      <c r="J827" s="5" t="str">
        <f>IFERROR(VLOOKUP(Consulta1[[#This Row],[Pozo]],'Lista Oportunidades'!B:C,2,FALSE),"NO")</f>
        <v>NO</v>
      </c>
      <c r="K827" s="5">
        <f>IFERROR(VLOOKUP(Consulta1[[#This Row],[Pozo largo]],Controles!B:H,7,FALSE),"NO")</f>
        <v>3.12</v>
      </c>
      <c r="L827" s="5">
        <f>IFERROR(VLOOKUP(Consulta1[[#This Row],[Pozo largo]],Controles!B:J,9,FALSE),"NO")</f>
        <v>0</v>
      </c>
    </row>
    <row r="828" spans="2:12" x14ac:dyDescent="0.35">
      <c r="B828" s="4" t="s">
        <v>1619</v>
      </c>
      <c r="C828" s="4" t="s">
        <v>6571</v>
      </c>
      <c r="D828" s="4" t="s">
        <v>5</v>
      </c>
      <c r="E828" s="4" t="s">
        <v>12</v>
      </c>
      <c r="F828" s="4" t="s">
        <v>7</v>
      </c>
      <c r="G828" s="4" t="s">
        <v>13</v>
      </c>
      <c r="H828" s="4" t="s">
        <v>141</v>
      </c>
      <c r="I828" s="5" t="str">
        <f>IFERROR(VLOOKUP(Consulta1[[#This Row],[Pozo largo]],'Lista YPF'!$B$3:$C$358,2,FALSE),"NO")</f>
        <v>NO</v>
      </c>
      <c r="J828" s="5" t="str">
        <f>IFERROR(VLOOKUP(Consulta1[[#This Row],[Pozo]],'Lista Oportunidades'!B:C,2,FALSE),"NO")</f>
        <v>NO</v>
      </c>
      <c r="K828" s="5">
        <f>IFERROR(VLOOKUP(Consulta1[[#This Row],[Pozo largo]],Controles!B:H,7,FALSE),"NO")</f>
        <v>1.8900000000000001</v>
      </c>
      <c r="L828" s="5">
        <f>IFERROR(VLOOKUP(Consulta1[[#This Row],[Pozo largo]],Controles!B:J,9,FALSE),"NO")</f>
        <v>0</v>
      </c>
    </row>
    <row r="829" spans="2:12" x14ac:dyDescent="0.35">
      <c r="B829" s="4" t="s">
        <v>1621</v>
      </c>
      <c r="C829" s="4" t="s">
        <v>6572</v>
      </c>
      <c r="D829" s="4" t="s">
        <v>5</v>
      </c>
      <c r="E829" s="4" t="s">
        <v>24</v>
      </c>
      <c r="F829" s="4" t="s">
        <v>31</v>
      </c>
      <c r="G829" s="4" t="s">
        <v>8</v>
      </c>
      <c r="H829" s="4" t="s">
        <v>141</v>
      </c>
      <c r="I829" s="5" t="str">
        <f>IFERROR(VLOOKUP(Consulta1[[#This Row],[Pozo largo]],'Lista YPF'!$B$3:$C$358,2,FALSE),"NO")</f>
        <v>NO</v>
      </c>
      <c r="J829" s="5" t="str">
        <f>IFERROR(VLOOKUP(Consulta1[[#This Row],[Pozo]],'Lista Oportunidades'!B:C,2,FALSE),"NO")</f>
        <v>NO</v>
      </c>
      <c r="K829" s="5" t="str">
        <f>IFERROR(VLOOKUP(Consulta1[[#This Row],[Pozo largo]],Controles!B:H,7,FALSE),"NO")</f>
        <v>NO</v>
      </c>
      <c r="L829" s="5" t="str">
        <f>IFERROR(VLOOKUP(Consulta1[[#This Row],[Pozo largo]],Controles!B:J,9,FALSE),"NO")</f>
        <v>NO</v>
      </c>
    </row>
    <row r="830" spans="2:12" x14ac:dyDescent="0.35">
      <c r="B830" s="4" t="s">
        <v>1622</v>
      </c>
      <c r="C830" s="4" t="s">
        <v>6573</v>
      </c>
      <c r="D830" s="4" t="s">
        <v>5</v>
      </c>
      <c r="E830" s="4" t="s">
        <v>12</v>
      </c>
      <c r="F830" s="4" t="s">
        <v>7</v>
      </c>
      <c r="G830" s="4" t="s">
        <v>13</v>
      </c>
      <c r="H830" s="4" t="s">
        <v>185</v>
      </c>
      <c r="I830" s="5" t="str">
        <f>IFERROR(VLOOKUP(Consulta1[[#This Row],[Pozo largo]],'Lista YPF'!$B$3:$C$358,2,FALSE),"NO")</f>
        <v>NO</v>
      </c>
      <c r="J830" s="5" t="str">
        <f>IFERROR(VLOOKUP(Consulta1[[#This Row],[Pozo]],'Lista Oportunidades'!B:C,2,FALSE),"NO")</f>
        <v>NO</v>
      </c>
      <c r="K830" s="5">
        <f>IFERROR(VLOOKUP(Consulta1[[#This Row],[Pozo largo]],Controles!B:H,7,FALSE),"NO")</f>
        <v>0.378</v>
      </c>
      <c r="L830" s="5">
        <f>IFERROR(VLOOKUP(Consulta1[[#This Row],[Pozo largo]],Controles!B:J,9,FALSE),"NO")</f>
        <v>0</v>
      </c>
    </row>
    <row r="831" spans="2:12" x14ac:dyDescent="0.35">
      <c r="B831" s="4" t="s">
        <v>1624</v>
      </c>
      <c r="C831" s="4" t="s">
        <v>6574</v>
      </c>
      <c r="D831" s="4" t="s">
        <v>5</v>
      </c>
      <c r="E831" s="4" t="s">
        <v>12</v>
      </c>
      <c r="F831" s="4" t="s">
        <v>25</v>
      </c>
      <c r="G831" s="4" t="s">
        <v>13</v>
      </c>
      <c r="H831" s="4" t="s">
        <v>185</v>
      </c>
      <c r="I831" s="5" t="str">
        <f>IFERROR(VLOOKUP(Consulta1[[#This Row],[Pozo largo]],'Lista YPF'!$B$3:$C$358,2,FALSE),"NO")</f>
        <v>NO</v>
      </c>
      <c r="J831" s="5" t="str">
        <f>IFERROR(VLOOKUP(Consulta1[[#This Row],[Pozo]],'Lista Oportunidades'!B:C,2,FALSE),"NO")</f>
        <v>NO</v>
      </c>
      <c r="K831" s="5">
        <f>IFERROR(VLOOKUP(Consulta1[[#This Row],[Pozo largo]],Controles!B:H,7,FALSE),"NO")</f>
        <v>0.10400000000000001</v>
      </c>
      <c r="L831" s="5">
        <f>IFERROR(VLOOKUP(Consulta1[[#This Row],[Pozo largo]],Controles!B:J,9,FALSE),"NO")</f>
        <v>0</v>
      </c>
    </row>
    <row r="832" spans="2:12" x14ac:dyDescent="0.35">
      <c r="B832" s="4" t="s">
        <v>1626</v>
      </c>
      <c r="C832" s="4" t="s">
        <v>6575</v>
      </c>
      <c r="D832" s="4" t="s">
        <v>5</v>
      </c>
      <c r="E832" s="4" t="s">
        <v>12</v>
      </c>
      <c r="F832" s="4" t="s">
        <v>7</v>
      </c>
      <c r="G832" s="4" t="s">
        <v>13</v>
      </c>
      <c r="H832" s="4" t="s">
        <v>71</v>
      </c>
      <c r="I832" s="5" t="str">
        <f>IFERROR(VLOOKUP(Consulta1[[#This Row],[Pozo largo]],'Lista YPF'!$B$3:$C$358,2,FALSE),"NO")</f>
        <v>NO</v>
      </c>
      <c r="J832" s="5" t="str">
        <f>IFERROR(VLOOKUP(Consulta1[[#This Row],[Pozo]],'Lista Oportunidades'!B:C,2,FALSE),"NO")</f>
        <v>NO</v>
      </c>
      <c r="K832" s="5">
        <f>IFERROR(VLOOKUP(Consulta1[[#This Row],[Pozo largo]],Controles!B:H,7,FALSE),"NO")</f>
        <v>2.2000000000000002</v>
      </c>
      <c r="L832" s="5">
        <f>IFERROR(VLOOKUP(Consulta1[[#This Row],[Pozo largo]],Controles!B:J,9,FALSE),"NO")</f>
        <v>0</v>
      </c>
    </row>
    <row r="833" spans="2:12" x14ac:dyDescent="0.35">
      <c r="B833" s="4" t="s">
        <v>1628</v>
      </c>
      <c r="C833" s="4" t="s">
        <v>6576</v>
      </c>
      <c r="D833" s="4" t="s">
        <v>5</v>
      </c>
      <c r="E833" s="4" t="s">
        <v>12</v>
      </c>
      <c r="F833" s="4" t="s">
        <v>28</v>
      </c>
      <c r="G833" s="4" t="s">
        <v>13</v>
      </c>
      <c r="H833" s="4" t="s">
        <v>16</v>
      </c>
      <c r="I833" s="5" t="str">
        <f>IFERROR(VLOOKUP(Consulta1[[#This Row],[Pozo largo]],'Lista YPF'!$B$3:$C$358,2,FALSE),"NO")</f>
        <v>NO</v>
      </c>
      <c r="J833" s="5" t="str">
        <f>IFERROR(VLOOKUP(Consulta1[[#This Row],[Pozo]],'Lista Oportunidades'!B:C,2,FALSE),"NO")</f>
        <v>NO</v>
      </c>
      <c r="K833" s="5">
        <f>IFERROR(VLOOKUP(Consulta1[[#This Row],[Pozo largo]],Controles!B:H,7,FALSE),"NO")</f>
        <v>0</v>
      </c>
      <c r="L833" s="5">
        <f>IFERROR(VLOOKUP(Consulta1[[#This Row],[Pozo largo]],Controles!B:J,9,FALSE),"NO")</f>
        <v>0</v>
      </c>
    </row>
    <row r="834" spans="2:12" x14ac:dyDescent="0.35">
      <c r="B834" s="4" t="s">
        <v>1630</v>
      </c>
      <c r="C834" s="4" t="s">
        <v>6577</v>
      </c>
      <c r="D834" s="4" t="s">
        <v>5</v>
      </c>
      <c r="E834" s="4" t="s">
        <v>12</v>
      </c>
      <c r="F834" s="4" t="s">
        <v>28</v>
      </c>
      <c r="G834" s="4" t="s">
        <v>13</v>
      </c>
      <c r="H834" s="4" t="s">
        <v>290</v>
      </c>
      <c r="I834" s="5" t="str">
        <f>IFERROR(VLOOKUP(Consulta1[[#This Row],[Pozo largo]],'Lista YPF'!$B$3:$C$358,2,FALSE),"NO")</f>
        <v>NO</v>
      </c>
      <c r="J834" s="5" t="str">
        <f>IFERROR(VLOOKUP(Consulta1[[#This Row],[Pozo]],'Lista Oportunidades'!B:C,2,FALSE),"NO")</f>
        <v>NO</v>
      </c>
      <c r="K834" s="5">
        <f>IFERROR(VLOOKUP(Consulta1[[#This Row],[Pozo largo]],Controles!B:H,7,FALSE),"NO")</f>
        <v>0</v>
      </c>
      <c r="L834" s="5">
        <f>IFERROR(VLOOKUP(Consulta1[[#This Row],[Pozo largo]],Controles!B:J,9,FALSE),"NO")</f>
        <v>0</v>
      </c>
    </row>
    <row r="835" spans="2:12" x14ac:dyDescent="0.35">
      <c r="B835" s="4" t="s">
        <v>1632</v>
      </c>
      <c r="C835" s="4" t="s">
        <v>6578</v>
      </c>
      <c r="D835" s="4" t="s">
        <v>5</v>
      </c>
      <c r="E835" s="4" t="s">
        <v>30</v>
      </c>
      <c r="F835" s="4" t="s">
        <v>31</v>
      </c>
      <c r="G835" s="4" t="s">
        <v>32</v>
      </c>
      <c r="H835" s="4" t="s">
        <v>66</v>
      </c>
      <c r="I835" s="5" t="str">
        <f>IFERROR(VLOOKUP(Consulta1[[#This Row],[Pozo largo]],'Lista YPF'!$B$3:$C$358,2,FALSE),"NO")</f>
        <v>NO</v>
      </c>
      <c r="J835" s="5" t="str">
        <f>IFERROR(VLOOKUP(Consulta1[[#This Row],[Pozo]],'Lista Oportunidades'!B:C,2,FALSE),"NO")</f>
        <v>NO</v>
      </c>
      <c r="K835" s="5" t="str">
        <f>IFERROR(VLOOKUP(Consulta1[[#This Row],[Pozo largo]],Controles!B:H,7,FALSE),"NO")</f>
        <v>NO</v>
      </c>
      <c r="L835" s="5" t="str">
        <f>IFERROR(VLOOKUP(Consulta1[[#This Row],[Pozo largo]],Controles!B:J,9,FALSE),"NO")</f>
        <v>NO</v>
      </c>
    </row>
    <row r="836" spans="2:12" x14ac:dyDescent="0.35">
      <c r="B836" s="4" t="s">
        <v>1633</v>
      </c>
      <c r="C836" s="4" t="s">
        <v>6579</v>
      </c>
      <c r="D836" s="4" t="s">
        <v>5</v>
      </c>
      <c r="E836" s="4" t="s">
        <v>6</v>
      </c>
      <c r="F836" s="4" t="s">
        <v>7</v>
      </c>
      <c r="G836" s="4" t="s">
        <v>5718</v>
      </c>
      <c r="H836" s="4" t="s">
        <v>71</v>
      </c>
      <c r="I836" s="5" t="str">
        <f>IFERROR(VLOOKUP(Consulta1[[#This Row],[Pozo largo]],'Lista YPF'!$B$3:$C$358,2,FALSE),"NO")</f>
        <v>En lista de Abandono</v>
      </c>
      <c r="J836" s="5" t="str">
        <f>IFERROR(VLOOKUP(Consulta1[[#This Row],[Pozo]],'Lista Oportunidades'!B:C,2,FALSE),"NO")</f>
        <v>NO</v>
      </c>
      <c r="K836" s="5">
        <f>IFERROR(VLOOKUP(Consulta1[[#This Row],[Pozo largo]],Controles!B:H,7,FALSE),"NO")</f>
        <v>0.5</v>
      </c>
      <c r="L836" s="5">
        <f>IFERROR(VLOOKUP(Consulta1[[#This Row],[Pozo largo]],Controles!B:J,9,FALSE),"NO")</f>
        <v>0</v>
      </c>
    </row>
    <row r="837" spans="2:12" x14ac:dyDescent="0.35">
      <c r="B837" s="4" t="s">
        <v>1635</v>
      </c>
      <c r="C837" s="4" t="s">
        <v>6580</v>
      </c>
      <c r="D837" s="4" t="s">
        <v>5</v>
      </c>
      <c r="E837" s="4" t="s">
        <v>12</v>
      </c>
      <c r="F837" s="4" t="s">
        <v>7</v>
      </c>
      <c r="G837" s="4" t="s">
        <v>13</v>
      </c>
      <c r="H837" s="4" t="s">
        <v>71</v>
      </c>
      <c r="I837" s="5" t="str">
        <f>IFERROR(VLOOKUP(Consulta1[[#This Row],[Pozo largo]],'Lista YPF'!$B$3:$C$358,2,FALSE),"NO")</f>
        <v>NO</v>
      </c>
      <c r="J837" s="5" t="str">
        <f>IFERROR(VLOOKUP(Consulta1[[#This Row],[Pozo]],'Lista Oportunidades'!B:C,2,FALSE),"NO")</f>
        <v>NO</v>
      </c>
      <c r="K837" s="5">
        <f>IFERROR(VLOOKUP(Consulta1[[#This Row],[Pozo largo]],Controles!B:H,7,FALSE),"NO")</f>
        <v>1.4000000000000001</v>
      </c>
      <c r="L837" s="5">
        <f>IFERROR(VLOOKUP(Consulta1[[#This Row],[Pozo largo]],Controles!B:J,9,FALSE),"NO")</f>
        <v>0</v>
      </c>
    </row>
    <row r="838" spans="2:12" x14ac:dyDescent="0.35">
      <c r="B838" s="4" t="s">
        <v>1637</v>
      </c>
      <c r="C838" s="4" t="s">
        <v>6581</v>
      </c>
      <c r="D838" s="4" t="s">
        <v>5</v>
      </c>
      <c r="E838" s="4" t="s">
        <v>24</v>
      </c>
      <c r="F838" s="4" t="s">
        <v>31</v>
      </c>
      <c r="G838" s="4" t="s">
        <v>11385</v>
      </c>
      <c r="H838" s="4" t="s">
        <v>71</v>
      </c>
      <c r="I838" s="5" t="str">
        <f>IFERROR(VLOOKUP(Consulta1[[#This Row],[Pozo largo]],'Lista YPF'!$B$3:$C$358,2,FALSE),"NO")</f>
        <v>NO</v>
      </c>
      <c r="J838" s="5" t="str">
        <f>IFERROR(VLOOKUP(Consulta1[[#This Row],[Pozo]],'Lista Oportunidades'!B:C,2,FALSE),"NO")</f>
        <v>NO</v>
      </c>
      <c r="K838" s="5">
        <f>IFERROR(VLOOKUP(Consulta1[[#This Row],[Pozo largo]],Controles!B:H,7,FALSE),"NO")</f>
        <v>1.7</v>
      </c>
      <c r="L838" s="5">
        <f>IFERROR(VLOOKUP(Consulta1[[#This Row],[Pozo largo]],Controles!B:J,9,FALSE),"NO")</f>
        <v>0</v>
      </c>
    </row>
    <row r="839" spans="2:12" x14ac:dyDescent="0.35">
      <c r="B839" s="4" t="s">
        <v>1639</v>
      </c>
      <c r="C839" s="4" t="s">
        <v>6582</v>
      </c>
      <c r="D839" s="4" t="s">
        <v>5</v>
      </c>
      <c r="E839" s="4" t="s">
        <v>6</v>
      </c>
      <c r="F839" s="4" t="s">
        <v>28</v>
      </c>
      <c r="G839" s="4" t="s">
        <v>5718</v>
      </c>
      <c r="H839" s="4" t="s">
        <v>9</v>
      </c>
      <c r="I839" s="5" t="str">
        <f>IFERROR(VLOOKUP(Consulta1[[#This Row],[Pozo largo]],'Lista YPF'!$B$3:$C$358,2,FALSE),"NO")</f>
        <v>En lista de Abandono</v>
      </c>
      <c r="J839" s="5" t="str">
        <f>IFERROR(VLOOKUP(Consulta1[[#This Row],[Pozo]],'Lista Oportunidades'!B:C,2,FALSE),"NO")</f>
        <v>NO</v>
      </c>
      <c r="K839" s="5">
        <f>IFERROR(VLOOKUP(Consulta1[[#This Row],[Pozo largo]],Controles!B:H,7,FALSE),"NO")</f>
        <v>0</v>
      </c>
      <c r="L839" s="5">
        <f>IFERROR(VLOOKUP(Consulta1[[#This Row],[Pozo largo]],Controles!B:J,9,FALSE),"NO")</f>
        <v>0</v>
      </c>
    </row>
    <row r="840" spans="2:12" x14ac:dyDescent="0.35">
      <c r="B840" s="4" t="s">
        <v>1641</v>
      </c>
      <c r="C840" s="4" t="s">
        <v>6583</v>
      </c>
      <c r="D840" s="4" t="s">
        <v>5</v>
      </c>
      <c r="E840" s="4" t="s">
        <v>24</v>
      </c>
      <c r="F840" s="4" t="s">
        <v>7</v>
      </c>
      <c r="G840" s="4" t="s">
        <v>8</v>
      </c>
      <c r="H840" s="4" t="s">
        <v>9</v>
      </c>
      <c r="I840" s="5" t="str">
        <f>IFERROR(VLOOKUP(Consulta1[[#This Row],[Pozo largo]],'Lista YPF'!$B$3:$C$358,2,FALSE),"NO")</f>
        <v>NO</v>
      </c>
      <c r="J840" s="5" t="str">
        <f>IFERROR(VLOOKUP(Consulta1[[#This Row],[Pozo]],'Lista Oportunidades'!B:C,2,FALSE),"NO")</f>
        <v>NO</v>
      </c>
      <c r="K840" s="5">
        <f>IFERROR(VLOOKUP(Consulta1[[#This Row],[Pozo largo]],Controles!B:H,7,FALSE),"NO")</f>
        <v>0.49400000000000005</v>
      </c>
      <c r="L840" s="5">
        <f>IFERROR(VLOOKUP(Consulta1[[#This Row],[Pozo largo]],Controles!B:J,9,FALSE),"NO")</f>
        <v>0</v>
      </c>
    </row>
    <row r="841" spans="2:12" x14ac:dyDescent="0.35">
      <c r="B841" s="4" t="s">
        <v>1643</v>
      </c>
      <c r="C841" s="4" t="s">
        <v>6584</v>
      </c>
      <c r="D841" s="4" t="s">
        <v>5</v>
      </c>
      <c r="E841" s="4" t="s">
        <v>30</v>
      </c>
      <c r="F841" s="4" t="s">
        <v>31</v>
      </c>
      <c r="G841" s="4" t="s">
        <v>32</v>
      </c>
      <c r="H841" s="4" t="s">
        <v>21</v>
      </c>
      <c r="I841" s="5" t="str">
        <f>IFERROR(VLOOKUP(Consulta1[[#This Row],[Pozo largo]],'Lista YPF'!$B$3:$C$358,2,FALSE),"NO")</f>
        <v>NO</v>
      </c>
      <c r="J841" s="5" t="str">
        <f>IFERROR(VLOOKUP(Consulta1[[#This Row],[Pozo]],'Lista Oportunidades'!B:C,2,FALSE),"NO")</f>
        <v>NO</v>
      </c>
      <c r="K841" s="5">
        <f>IFERROR(VLOOKUP(Consulta1[[#This Row],[Pozo largo]],Controles!B:H,7,FALSE),"NO")</f>
        <v>7.5999999999999998E-2</v>
      </c>
      <c r="L841" s="5">
        <f>IFERROR(VLOOKUP(Consulta1[[#This Row],[Pozo largo]],Controles!B:J,9,FALSE),"NO")</f>
        <v>0</v>
      </c>
    </row>
    <row r="842" spans="2:12" x14ac:dyDescent="0.35">
      <c r="B842" s="4" t="s">
        <v>1645</v>
      </c>
      <c r="C842" s="4" t="s">
        <v>6585</v>
      </c>
      <c r="D842" s="4" t="s">
        <v>5</v>
      </c>
      <c r="E842" s="4" t="s">
        <v>12</v>
      </c>
      <c r="F842" s="4" t="s">
        <v>7</v>
      </c>
      <c r="G842" s="4" t="s">
        <v>13</v>
      </c>
      <c r="H842" s="4" t="s">
        <v>21</v>
      </c>
      <c r="I842" s="5" t="str">
        <f>IFERROR(VLOOKUP(Consulta1[[#This Row],[Pozo largo]],'Lista YPF'!$B$3:$C$358,2,FALSE),"NO")</f>
        <v>NO</v>
      </c>
      <c r="J842" s="5" t="str">
        <f>IFERROR(VLOOKUP(Consulta1[[#This Row],[Pozo]],'Lista Oportunidades'!B:C,2,FALSE),"NO")</f>
        <v>NO</v>
      </c>
      <c r="K842" s="5">
        <f>IFERROR(VLOOKUP(Consulta1[[#This Row],[Pozo largo]],Controles!B:H,7,FALSE),"NO")</f>
        <v>1.3820000000000001</v>
      </c>
      <c r="L842" s="5">
        <f>IFERROR(VLOOKUP(Consulta1[[#This Row],[Pozo largo]],Controles!B:J,9,FALSE),"NO")</f>
        <v>0</v>
      </c>
    </row>
    <row r="843" spans="2:12" x14ac:dyDescent="0.35">
      <c r="B843" s="4" t="s">
        <v>1647</v>
      </c>
      <c r="C843" s="4" t="s">
        <v>6586</v>
      </c>
      <c r="D843" s="4" t="s">
        <v>5</v>
      </c>
      <c r="E843" s="4" t="s">
        <v>6</v>
      </c>
      <c r="F843" s="4" t="s">
        <v>31</v>
      </c>
      <c r="G843" s="4" t="s">
        <v>5718</v>
      </c>
      <c r="H843" s="4" t="s">
        <v>21</v>
      </c>
      <c r="I843" s="5" t="str">
        <f>IFERROR(VLOOKUP(Consulta1[[#This Row],[Pozo largo]],'Lista YPF'!$B$3:$C$358,2,FALSE),"NO")</f>
        <v>En lista de Abandono</v>
      </c>
      <c r="J843" s="5" t="str">
        <f>IFERROR(VLOOKUP(Consulta1[[#This Row],[Pozo]],'Lista Oportunidades'!B:C,2,FALSE),"NO")</f>
        <v>NO</v>
      </c>
      <c r="K843" s="5">
        <f>IFERROR(VLOOKUP(Consulta1[[#This Row],[Pozo largo]],Controles!B:H,7,FALSE),"NO")</f>
        <v>0.47000000000000003</v>
      </c>
      <c r="L843" s="5">
        <f>IFERROR(VLOOKUP(Consulta1[[#This Row],[Pozo largo]],Controles!B:J,9,FALSE),"NO")</f>
        <v>0</v>
      </c>
    </row>
    <row r="844" spans="2:12" x14ac:dyDescent="0.35">
      <c r="B844" s="4" t="s">
        <v>1649</v>
      </c>
      <c r="C844" s="4" t="s">
        <v>6587</v>
      </c>
      <c r="D844" s="4" t="s">
        <v>5</v>
      </c>
      <c r="E844" s="4" t="s">
        <v>12</v>
      </c>
      <c r="F844" s="4" t="s">
        <v>7</v>
      </c>
      <c r="G844" s="4" t="s">
        <v>13</v>
      </c>
      <c r="H844" s="4" t="s">
        <v>21</v>
      </c>
      <c r="I844" s="5" t="str">
        <f>IFERROR(VLOOKUP(Consulta1[[#This Row],[Pozo largo]],'Lista YPF'!$B$3:$C$358,2,FALSE),"NO")</f>
        <v>NO</v>
      </c>
      <c r="J844" s="5" t="str">
        <f>IFERROR(VLOOKUP(Consulta1[[#This Row],[Pozo]],'Lista Oportunidades'!B:C,2,FALSE),"NO")</f>
        <v>NO</v>
      </c>
      <c r="K844" s="5">
        <f>IFERROR(VLOOKUP(Consulta1[[#This Row],[Pozo largo]],Controles!B:H,7,FALSE),"NO")</f>
        <v>0.995</v>
      </c>
      <c r="L844" s="5">
        <f>IFERROR(VLOOKUP(Consulta1[[#This Row],[Pozo largo]],Controles!B:J,9,FALSE),"NO")</f>
        <v>0</v>
      </c>
    </row>
    <row r="845" spans="2:12" x14ac:dyDescent="0.35">
      <c r="B845" s="4" t="s">
        <v>1651</v>
      </c>
      <c r="C845" s="4" t="s">
        <v>6588</v>
      </c>
      <c r="D845" s="4" t="s">
        <v>5</v>
      </c>
      <c r="E845" s="4" t="s">
        <v>24</v>
      </c>
      <c r="F845" s="4" t="s">
        <v>7</v>
      </c>
      <c r="G845" s="4" t="s">
        <v>8</v>
      </c>
      <c r="H845" s="4" t="s">
        <v>21</v>
      </c>
      <c r="I845" s="5" t="str">
        <f>IFERROR(VLOOKUP(Consulta1[[#This Row],[Pozo largo]],'Lista YPF'!$B$3:$C$358,2,FALSE),"NO")</f>
        <v>NO</v>
      </c>
      <c r="J845" s="5" t="str">
        <f>IFERROR(VLOOKUP(Consulta1[[#This Row],[Pozo]],'Lista Oportunidades'!B:C,2,FALSE),"NO")</f>
        <v>NO</v>
      </c>
      <c r="K845" s="5">
        <f>IFERROR(VLOOKUP(Consulta1[[#This Row],[Pozo largo]],Controles!B:H,7,FALSE),"NO")</f>
        <v>0.216</v>
      </c>
      <c r="L845" s="5">
        <f>IFERROR(VLOOKUP(Consulta1[[#This Row],[Pozo largo]],Controles!B:J,9,FALSE),"NO")</f>
        <v>0</v>
      </c>
    </row>
    <row r="846" spans="2:12" x14ac:dyDescent="0.35">
      <c r="B846" s="4" t="s">
        <v>1653</v>
      </c>
      <c r="C846" s="4" t="s">
        <v>6589</v>
      </c>
      <c r="D846" s="4" t="s">
        <v>5</v>
      </c>
      <c r="E846" s="4" t="s">
        <v>430</v>
      </c>
      <c r="F846" s="4" t="s">
        <v>7</v>
      </c>
      <c r="G846" s="4" t="s">
        <v>5718</v>
      </c>
      <c r="H846" s="4" t="s">
        <v>21</v>
      </c>
      <c r="I846" s="5" t="str">
        <f>IFERROR(VLOOKUP(Consulta1[[#This Row],[Pozo largo]],'Lista YPF'!$B$3:$C$358,2,FALSE),"NO")</f>
        <v>En lista de Abandono</v>
      </c>
      <c r="J846" s="5" t="str">
        <f>IFERROR(VLOOKUP(Consulta1[[#This Row],[Pozo]],'Lista Oportunidades'!B:C,2,FALSE),"NO")</f>
        <v>NO</v>
      </c>
      <c r="K846" s="5">
        <f>IFERROR(VLOOKUP(Consulta1[[#This Row],[Pozo largo]],Controles!B:H,7,FALSE),"NO")</f>
        <v>0.9</v>
      </c>
      <c r="L846" s="5">
        <f>IFERROR(VLOOKUP(Consulta1[[#This Row],[Pozo largo]],Controles!B:J,9,FALSE),"NO")</f>
        <v>0</v>
      </c>
    </row>
    <row r="847" spans="2:12" x14ac:dyDescent="0.35">
      <c r="B847" s="4" t="s">
        <v>1655</v>
      </c>
      <c r="C847" s="4" t="s">
        <v>6590</v>
      </c>
      <c r="D847" s="4" t="s">
        <v>5</v>
      </c>
      <c r="E847" s="4" t="s">
        <v>12</v>
      </c>
      <c r="F847" s="4" t="s">
        <v>7</v>
      </c>
      <c r="G847" s="4" t="s">
        <v>13</v>
      </c>
      <c r="H847" s="4" t="s">
        <v>21</v>
      </c>
      <c r="I847" s="5" t="str">
        <f>IFERROR(VLOOKUP(Consulta1[[#This Row],[Pozo largo]],'Lista YPF'!$B$3:$C$358,2,FALSE),"NO")</f>
        <v>NO</v>
      </c>
      <c r="J847" s="5" t="str">
        <f>IFERROR(VLOOKUP(Consulta1[[#This Row],[Pozo]],'Lista Oportunidades'!B:C,2,FALSE),"NO")</f>
        <v>NO</v>
      </c>
      <c r="K847" s="5">
        <f>IFERROR(VLOOKUP(Consulta1[[#This Row],[Pozo largo]],Controles!B:H,7,FALSE),"NO")</f>
        <v>1.2690000000000001</v>
      </c>
      <c r="L847" s="5">
        <f>IFERROR(VLOOKUP(Consulta1[[#This Row],[Pozo largo]],Controles!B:J,9,FALSE),"NO")</f>
        <v>0</v>
      </c>
    </row>
    <row r="848" spans="2:12" x14ac:dyDescent="0.35">
      <c r="B848" s="4" t="s">
        <v>1657</v>
      </c>
      <c r="C848" s="4" t="s">
        <v>6591</v>
      </c>
      <c r="D848" s="4" t="s">
        <v>5</v>
      </c>
      <c r="E848" s="4" t="s">
        <v>12</v>
      </c>
      <c r="F848" s="4" t="s">
        <v>28</v>
      </c>
      <c r="G848" s="4" t="s">
        <v>13</v>
      </c>
      <c r="H848" s="4" t="s">
        <v>21</v>
      </c>
      <c r="I848" s="5" t="str">
        <f>IFERROR(VLOOKUP(Consulta1[[#This Row],[Pozo largo]],'Lista YPF'!$B$3:$C$358,2,FALSE),"NO")</f>
        <v>NO</v>
      </c>
      <c r="J848" s="5" t="str">
        <f>IFERROR(VLOOKUP(Consulta1[[#This Row],[Pozo]],'Lista Oportunidades'!B:C,2,FALSE),"NO")</f>
        <v>NO</v>
      </c>
      <c r="K848" s="5">
        <f>IFERROR(VLOOKUP(Consulta1[[#This Row],[Pozo largo]],Controles!B:H,7,FALSE),"NO")</f>
        <v>0</v>
      </c>
      <c r="L848" s="5">
        <f>IFERROR(VLOOKUP(Consulta1[[#This Row],[Pozo largo]],Controles!B:J,9,FALSE),"NO")</f>
        <v>0</v>
      </c>
    </row>
    <row r="849" spans="2:12" x14ac:dyDescent="0.35">
      <c r="B849" s="4" t="s">
        <v>1659</v>
      </c>
      <c r="C849" s="4" t="s">
        <v>6592</v>
      </c>
      <c r="D849" s="4" t="s">
        <v>5</v>
      </c>
      <c r="E849" s="4" t="s">
        <v>12</v>
      </c>
      <c r="F849" s="4" t="s">
        <v>238</v>
      </c>
      <c r="G849" s="4" t="s">
        <v>13</v>
      </c>
      <c r="H849" s="4" t="s">
        <v>21</v>
      </c>
      <c r="I849" s="5" t="str">
        <f>IFERROR(VLOOKUP(Consulta1[[#This Row],[Pozo largo]],'Lista YPF'!$B$3:$C$358,2,FALSE),"NO")</f>
        <v>NO</v>
      </c>
      <c r="J849" s="5" t="str">
        <f>IFERROR(VLOOKUP(Consulta1[[#This Row],[Pozo]],'Lista Oportunidades'!B:C,2,FALSE),"NO")</f>
        <v>NO</v>
      </c>
      <c r="K849" s="5">
        <f>IFERROR(VLOOKUP(Consulta1[[#This Row],[Pozo largo]],Controles!B:H,7,FALSE),"NO")</f>
        <v>1.7</v>
      </c>
      <c r="L849" s="5">
        <f>IFERROR(VLOOKUP(Consulta1[[#This Row],[Pozo largo]],Controles!B:J,9,FALSE),"NO")</f>
        <v>0</v>
      </c>
    </row>
    <row r="850" spans="2:12" x14ac:dyDescent="0.35">
      <c r="B850" s="4" t="s">
        <v>1661</v>
      </c>
      <c r="C850" s="4" t="s">
        <v>6593</v>
      </c>
      <c r="D850" s="4" t="s">
        <v>5</v>
      </c>
      <c r="E850" s="4" t="s">
        <v>57</v>
      </c>
      <c r="F850" s="4" t="s">
        <v>25</v>
      </c>
      <c r="G850" s="4" t="s">
        <v>5718</v>
      </c>
      <c r="H850" s="4" t="s">
        <v>36</v>
      </c>
      <c r="I850" s="5" t="str">
        <f>IFERROR(VLOOKUP(Consulta1[[#This Row],[Pozo largo]],'Lista YPF'!$B$3:$C$358,2,FALSE),"NO")</f>
        <v>En lista de Abandono</v>
      </c>
      <c r="J850" s="5" t="str">
        <f>IFERROR(VLOOKUP(Consulta1[[#This Row],[Pozo]],'Lista Oportunidades'!B:C,2,FALSE),"NO")</f>
        <v>NO</v>
      </c>
      <c r="K850" s="5">
        <f>IFERROR(VLOOKUP(Consulta1[[#This Row],[Pozo largo]],Controles!B:H,7,FALSE),"NO")</f>
        <v>0.14300000000000002</v>
      </c>
      <c r="L850" s="5">
        <f>IFERROR(VLOOKUP(Consulta1[[#This Row],[Pozo largo]],Controles!B:J,9,FALSE),"NO")</f>
        <v>0</v>
      </c>
    </row>
    <row r="851" spans="2:12" x14ac:dyDescent="0.35">
      <c r="B851" s="4" t="s">
        <v>1663</v>
      </c>
      <c r="C851" s="4" t="s">
        <v>5724</v>
      </c>
      <c r="D851" s="4" t="s">
        <v>5</v>
      </c>
      <c r="E851" s="4" t="s">
        <v>6</v>
      </c>
      <c r="F851" s="4" t="s">
        <v>1114</v>
      </c>
      <c r="G851" s="4" t="s">
        <v>8689</v>
      </c>
      <c r="H851" s="4" t="s">
        <v>36</v>
      </c>
      <c r="I851" s="5" t="str">
        <f>IFERROR(VLOOKUP(Consulta1[[#This Row],[Pozo largo]],'Lista YPF'!$B$3:$C$358,2,FALSE),"NO")</f>
        <v>NO</v>
      </c>
      <c r="J851" s="5" t="str">
        <f>IFERROR(VLOOKUP(Consulta1[[#This Row],[Pozo]],'Lista Oportunidades'!B:C,2,FALSE),"NO")</f>
        <v>Oportunidad</v>
      </c>
      <c r="K851" s="5">
        <f>IFERROR(VLOOKUP(Consulta1[[#This Row],[Pozo largo]],Controles!B:H,7,FALSE),"NO")</f>
        <v>3.0000000000000001E-3</v>
      </c>
      <c r="L851" s="5">
        <f>IFERROR(VLOOKUP(Consulta1[[#This Row],[Pozo largo]],Controles!B:J,9,FALSE),"NO")</f>
        <v>0</v>
      </c>
    </row>
    <row r="852" spans="2:12" x14ac:dyDescent="0.35">
      <c r="B852" s="4" t="s">
        <v>1665</v>
      </c>
      <c r="C852" s="4" t="s">
        <v>6594</v>
      </c>
      <c r="D852" s="4" t="s">
        <v>5</v>
      </c>
      <c r="E852" s="4" t="s">
        <v>12</v>
      </c>
      <c r="F852" s="4" t="s">
        <v>7</v>
      </c>
      <c r="G852" s="4" t="s">
        <v>13</v>
      </c>
      <c r="H852" s="4" t="s">
        <v>254</v>
      </c>
      <c r="I852" s="5" t="str">
        <f>IFERROR(VLOOKUP(Consulta1[[#This Row],[Pozo largo]],'Lista YPF'!$B$3:$C$358,2,FALSE),"NO")</f>
        <v>NO</v>
      </c>
      <c r="J852" s="5" t="str">
        <f>IFERROR(VLOOKUP(Consulta1[[#This Row],[Pozo]],'Lista Oportunidades'!B:C,2,FALSE),"NO")</f>
        <v>NO</v>
      </c>
      <c r="K852" s="5">
        <f>IFERROR(VLOOKUP(Consulta1[[#This Row],[Pozo largo]],Controles!B:H,7,FALSE),"NO")</f>
        <v>0.56400000000000006</v>
      </c>
      <c r="L852" s="5">
        <f>IFERROR(VLOOKUP(Consulta1[[#This Row],[Pozo largo]],Controles!B:J,9,FALSE),"NO")</f>
        <v>0</v>
      </c>
    </row>
    <row r="853" spans="2:12" x14ac:dyDescent="0.35">
      <c r="B853" s="4" t="s">
        <v>1667</v>
      </c>
      <c r="C853" s="4" t="s">
        <v>6595</v>
      </c>
      <c r="D853" s="4" t="s">
        <v>5</v>
      </c>
      <c r="E853" s="4" t="s">
        <v>12</v>
      </c>
      <c r="F853" s="4" t="s">
        <v>7</v>
      </c>
      <c r="G853" s="4" t="s">
        <v>13</v>
      </c>
      <c r="H853" s="4" t="s">
        <v>33</v>
      </c>
      <c r="I853" s="5" t="str">
        <f>IFERROR(VLOOKUP(Consulta1[[#This Row],[Pozo largo]],'Lista YPF'!$B$3:$C$358,2,FALSE),"NO")</f>
        <v>NO</v>
      </c>
      <c r="J853" s="5" t="str">
        <f>IFERROR(VLOOKUP(Consulta1[[#This Row],[Pozo]],'Lista Oportunidades'!B:C,2,FALSE),"NO")</f>
        <v>NO</v>
      </c>
      <c r="K853" s="5">
        <f>IFERROR(VLOOKUP(Consulta1[[#This Row],[Pozo largo]],Controles!B:H,7,FALSE),"NO")</f>
        <v>3.484</v>
      </c>
      <c r="L853" s="5">
        <f>IFERROR(VLOOKUP(Consulta1[[#This Row],[Pozo largo]],Controles!B:J,9,FALSE),"NO")</f>
        <v>0</v>
      </c>
    </row>
    <row r="854" spans="2:12" x14ac:dyDescent="0.35">
      <c r="B854" s="4" t="s">
        <v>1669</v>
      </c>
      <c r="C854" s="4" t="s">
        <v>6596</v>
      </c>
      <c r="D854" s="4" t="s">
        <v>5</v>
      </c>
      <c r="E854" s="4" t="s">
        <v>12</v>
      </c>
      <c r="F854" s="4" t="s">
        <v>25</v>
      </c>
      <c r="G854" s="4" t="s">
        <v>13</v>
      </c>
      <c r="H854" s="4" t="s">
        <v>21</v>
      </c>
      <c r="I854" s="5" t="str">
        <f>IFERROR(VLOOKUP(Consulta1[[#This Row],[Pozo largo]],'Lista YPF'!$B$3:$C$358,2,FALSE),"NO")</f>
        <v>NO</v>
      </c>
      <c r="J854" s="5" t="str">
        <f>IFERROR(VLOOKUP(Consulta1[[#This Row],[Pozo]],'Lista Oportunidades'!B:C,2,FALSE),"NO")</f>
        <v>NO</v>
      </c>
      <c r="K854" s="5">
        <f>IFERROR(VLOOKUP(Consulta1[[#This Row],[Pozo largo]],Controles!B:H,7,FALSE),"NO")</f>
        <v>0.13400000000000001</v>
      </c>
      <c r="L854" s="5">
        <f>IFERROR(VLOOKUP(Consulta1[[#This Row],[Pozo largo]],Controles!B:J,9,FALSE),"NO")</f>
        <v>0</v>
      </c>
    </row>
    <row r="855" spans="2:12" x14ac:dyDescent="0.35">
      <c r="B855" s="4" t="s">
        <v>1671</v>
      </c>
      <c r="C855" s="4" t="s">
        <v>6597</v>
      </c>
      <c r="D855" s="4" t="s">
        <v>5</v>
      </c>
      <c r="E855" s="4" t="s">
        <v>24</v>
      </c>
      <c r="F855" s="4" t="s">
        <v>31</v>
      </c>
      <c r="G855" s="4" t="s">
        <v>8</v>
      </c>
      <c r="H855" s="4" t="s">
        <v>36</v>
      </c>
      <c r="I855" s="5" t="str">
        <f>IFERROR(VLOOKUP(Consulta1[[#This Row],[Pozo largo]],'Lista YPF'!$B$3:$C$358,2,FALSE),"NO")</f>
        <v>NO</v>
      </c>
      <c r="J855" s="5" t="str">
        <f>IFERROR(VLOOKUP(Consulta1[[#This Row],[Pozo]],'Lista Oportunidades'!B:C,2,FALSE),"NO")</f>
        <v>NO</v>
      </c>
      <c r="K855" s="5">
        <f>IFERROR(VLOOKUP(Consulta1[[#This Row],[Pozo largo]],Controles!B:H,7,FALSE),"NO")</f>
        <v>0.44400000000000001</v>
      </c>
      <c r="L855" s="5">
        <f>IFERROR(VLOOKUP(Consulta1[[#This Row],[Pozo largo]],Controles!B:J,9,FALSE),"NO")</f>
        <v>0</v>
      </c>
    </row>
    <row r="856" spans="2:12" x14ac:dyDescent="0.35">
      <c r="B856" s="4" t="s">
        <v>1673</v>
      </c>
      <c r="C856" s="4" t="s">
        <v>6598</v>
      </c>
      <c r="D856" s="4" t="s">
        <v>5</v>
      </c>
      <c r="E856" s="4" t="s">
        <v>57</v>
      </c>
      <c r="F856" s="4" t="s">
        <v>25</v>
      </c>
      <c r="G856" s="4" t="s">
        <v>5718</v>
      </c>
      <c r="H856" s="4" t="s">
        <v>36</v>
      </c>
      <c r="I856" s="5" t="str">
        <f>IFERROR(VLOOKUP(Consulta1[[#This Row],[Pozo largo]],'Lista YPF'!$B$3:$C$358,2,FALSE),"NO")</f>
        <v>En lista de Abandono</v>
      </c>
      <c r="J856" s="5" t="str">
        <f>IFERROR(VLOOKUP(Consulta1[[#This Row],[Pozo]],'Lista Oportunidades'!B:C,2,FALSE),"NO")</f>
        <v>NO</v>
      </c>
      <c r="K856" s="5">
        <f>IFERROR(VLOOKUP(Consulta1[[#This Row],[Pozo largo]],Controles!B:H,7,FALSE),"NO")</f>
        <v>0.25</v>
      </c>
      <c r="L856" s="5">
        <f>IFERROR(VLOOKUP(Consulta1[[#This Row],[Pozo largo]],Controles!B:J,9,FALSE),"NO")</f>
        <v>0</v>
      </c>
    </row>
    <row r="857" spans="2:12" x14ac:dyDescent="0.35">
      <c r="B857" s="4" t="s">
        <v>1675</v>
      </c>
      <c r="C857" s="4" t="s">
        <v>6599</v>
      </c>
      <c r="D857" s="4" t="s">
        <v>5</v>
      </c>
      <c r="E857" s="4" t="s">
        <v>30</v>
      </c>
      <c r="F857" s="4" t="s">
        <v>31</v>
      </c>
      <c r="G857" s="4" t="s">
        <v>32</v>
      </c>
      <c r="H857" s="4" t="s">
        <v>36</v>
      </c>
      <c r="I857" s="5" t="str">
        <f>IFERROR(VLOOKUP(Consulta1[[#This Row],[Pozo largo]],'Lista YPF'!$B$3:$C$358,2,FALSE),"NO")</f>
        <v>NO</v>
      </c>
      <c r="J857" s="5" t="str">
        <f>IFERROR(VLOOKUP(Consulta1[[#This Row],[Pozo]],'Lista Oportunidades'!B:C,2,FALSE),"NO")</f>
        <v>NO</v>
      </c>
      <c r="K857" s="5">
        <f>IFERROR(VLOOKUP(Consulta1[[#This Row],[Pozo largo]],Controles!B:H,7,FALSE),"NO")</f>
        <v>0.42500000000000004</v>
      </c>
      <c r="L857" s="5">
        <f>IFERROR(VLOOKUP(Consulta1[[#This Row],[Pozo largo]],Controles!B:J,9,FALSE),"NO")</f>
        <v>0</v>
      </c>
    </row>
    <row r="858" spans="2:12" x14ac:dyDescent="0.35">
      <c r="B858" s="4" t="s">
        <v>1677</v>
      </c>
      <c r="C858" s="4" t="s">
        <v>6600</v>
      </c>
      <c r="D858" s="4" t="s">
        <v>5</v>
      </c>
      <c r="E858" s="4" t="s">
        <v>12</v>
      </c>
      <c r="F858" s="4" t="s">
        <v>25</v>
      </c>
      <c r="G858" s="4" t="s">
        <v>13</v>
      </c>
      <c r="H858" s="4" t="s">
        <v>86</v>
      </c>
      <c r="I858" s="5" t="str">
        <f>IFERROR(VLOOKUP(Consulta1[[#This Row],[Pozo largo]],'Lista YPF'!$B$3:$C$358,2,FALSE),"NO")</f>
        <v>NO</v>
      </c>
      <c r="J858" s="5" t="str">
        <f>IFERROR(VLOOKUP(Consulta1[[#This Row],[Pozo]],'Lista Oportunidades'!B:C,2,FALSE),"NO")</f>
        <v>NO</v>
      </c>
      <c r="K858" s="5">
        <f>IFERROR(VLOOKUP(Consulta1[[#This Row],[Pozo largo]],Controles!B:H,7,FALSE),"NO")</f>
        <v>0.192</v>
      </c>
      <c r="L858" s="5">
        <f>IFERROR(VLOOKUP(Consulta1[[#This Row],[Pozo largo]],Controles!B:J,9,FALSE),"NO")</f>
        <v>0</v>
      </c>
    </row>
    <row r="859" spans="2:12" x14ac:dyDescent="0.35">
      <c r="B859" s="4" t="s">
        <v>1679</v>
      </c>
      <c r="C859" s="4" t="s">
        <v>6601</v>
      </c>
      <c r="D859" s="4" t="s">
        <v>5</v>
      </c>
      <c r="E859" s="4" t="s">
        <v>30</v>
      </c>
      <c r="F859" s="4" t="s">
        <v>31</v>
      </c>
      <c r="G859" s="4" t="s">
        <v>32</v>
      </c>
      <c r="H859" s="4" t="s">
        <v>86</v>
      </c>
      <c r="I859" s="5" t="str">
        <f>IFERROR(VLOOKUP(Consulta1[[#This Row],[Pozo largo]],'Lista YPF'!$B$3:$C$358,2,FALSE),"NO")</f>
        <v>NO</v>
      </c>
      <c r="J859" s="5" t="str">
        <f>IFERROR(VLOOKUP(Consulta1[[#This Row],[Pozo]],'Lista Oportunidades'!B:C,2,FALSE),"NO")</f>
        <v>NO</v>
      </c>
      <c r="K859" s="5">
        <f>IFERROR(VLOOKUP(Consulta1[[#This Row],[Pozo largo]],Controles!B:H,7,FALSE),"NO")</f>
        <v>9.5000000000000001E-2</v>
      </c>
      <c r="L859" s="5">
        <f>IFERROR(VLOOKUP(Consulta1[[#This Row],[Pozo largo]],Controles!B:J,9,FALSE),"NO")</f>
        <v>0</v>
      </c>
    </row>
    <row r="860" spans="2:12" x14ac:dyDescent="0.35">
      <c r="B860" s="4" t="s">
        <v>1681</v>
      </c>
      <c r="C860" s="4" t="s">
        <v>6602</v>
      </c>
      <c r="D860" s="4" t="s">
        <v>5</v>
      </c>
      <c r="E860" s="4" t="s">
        <v>24</v>
      </c>
      <c r="F860" s="4" t="s">
        <v>1151</v>
      </c>
      <c r="G860" s="4" t="s">
        <v>8</v>
      </c>
      <c r="H860" s="4" t="s">
        <v>36</v>
      </c>
      <c r="I860" s="5" t="str">
        <f>IFERROR(VLOOKUP(Consulta1[[#This Row],[Pozo largo]],'Lista YPF'!$B$3:$C$358,2,FALSE),"NO")</f>
        <v>NO</v>
      </c>
      <c r="J860" s="5" t="str">
        <f>IFERROR(VLOOKUP(Consulta1[[#This Row],[Pozo]],'Lista Oportunidades'!B:C,2,FALSE),"NO")</f>
        <v>NO</v>
      </c>
      <c r="K860" s="5">
        <f>IFERROR(VLOOKUP(Consulta1[[#This Row],[Pozo largo]],Controles!B:H,7,FALSE),"NO")</f>
        <v>0</v>
      </c>
      <c r="L860" s="5">
        <f>IFERROR(VLOOKUP(Consulta1[[#This Row],[Pozo largo]],Controles!B:J,9,FALSE),"NO")</f>
        <v>0</v>
      </c>
    </row>
    <row r="861" spans="2:12" x14ac:dyDescent="0.35">
      <c r="B861" s="4" t="s">
        <v>1683</v>
      </c>
      <c r="C861" s="4" t="s">
        <v>6603</v>
      </c>
      <c r="D861" s="4" t="s">
        <v>5</v>
      </c>
      <c r="E861" s="4" t="s">
        <v>24</v>
      </c>
      <c r="F861" s="4" t="s">
        <v>25</v>
      </c>
      <c r="G861" s="4" t="s">
        <v>8</v>
      </c>
      <c r="H861" s="4" t="s">
        <v>80</v>
      </c>
      <c r="I861" s="5" t="str">
        <f>IFERROR(VLOOKUP(Consulta1[[#This Row],[Pozo largo]],'Lista YPF'!$B$3:$C$358,2,FALSE),"NO")</f>
        <v>NO</v>
      </c>
      <c r="J861" s="5" t="str">
        <f>IFERROR(VLOOKUP(Consulta1[[#This Row],[Pozo]],'Lista Oportunidades'!B:C,2,FALSE),"NO")</f>
        <v>NO</v>
      </c>
      <c r="K861" s="5">
        <f>IFERROR(VLOOKUP(Consulta1[[#This Row],[Pozo largo]],Controles!B:H,7,FALSE),"NO")</f>
        <v>5.8000000000000003E-2</v>
      </c>
      <c r="L861" s="5">
        <f>IFERROR(VLOOKUP(Consulta1[[#This Row],[Pozo largo]],Controles!B:J,9,FALSE),"NO")</f>
        <v>0</v>
      </c>
    </row>
    <row r="862" spans="2:12" x14ac:dyDescent="0.35">
      <c r="B862" s="4" t="s">
        <v>1685</v>
      </c>
      <c r="C862" s="4" t="s">
        <v>6604</v>
      </c>
      <c r="D862" s="4" t="s">
        <v>5</v>
      </c>
      <c r="E862" s="4" t="s">
        <v>12</v>
      </c>
      <c r="F862" s="4" t="s">
        <v>7</v>
      </c>
      <c r="G862" s="4" t="s">
        <v>13</v>
      </c>
      <c r="H862" s="4" t="s">
        <v>74</v>
      </c>
      <c r="I862" s="5" t="str">
        <f>IFERROR(VLOOKUP(Consulta1[[#This Row],[Pozo largo]],'Lista YPF'!$B$3:$C$358,2,FALSE),"NO")</f>
        <v>NO</v>
      </c>
      <c r="J862" s="5" t="str">
        <f>IFERROR(VLOOKUP(Consulta1[[#This Row],[Pozo]],'Lista Oportunidades'!B:C,2,FALSE),"NO")</f>
        <v>NO</v>
      </c>
      <c r="K862" s="5">
        <f>IFERROR(VLOOKUP(Consulta1[[#This Row],[Pozo largo]],Controles!B:H,7,FALSE),"NO")</f>
        <v>1.68</v>
      </c>
      <c r="L862" s="5">
        <f>IFERROR(VLOOKUP(Consulta1[[#This Row],[Pozo largo]],Controles!B:J,9,FALSE),"NO")</f>
        <v>0</v>
      </c>
    </row>
    <row r="863" spans="2:12" x14ac:dyDescent="0.35">
      <c r="B863" s="4" t="s">
        <v>1687</v>
      </c>
      <c r="C863" s="4" t="s">
        <v>6605</v>
      </c>
      <c r="D863" s="4" t="s">
        <v>5</v>
      </c>
      <c r="E863" s="4" t="s">
        <v>57</v>
      </c>
      <c r="F863" s="4" t="s">
        <v>7</v>
      </c>
      <c r="G863" s="4" t="s">
        <v>5718</v>
      </c>
      <c r="H863" s="4" t="s">
        <v>86</v>
      </c>
      <c r="I863" s="5" t="str">
        <f>IFERROR(VLOOKUP(Consulta1[[#This Row],[Pozo largo]],'Lista YPF'!$B$3:$C$358,2,FALSE),"NO")</f>
        <v>En lista de Abandono</v>
      </c>
      <c r="J863" s="5" t="str">
        <f>IFERROR(VLOOKUP(Consulta1[[#This Row],[Pozo]],'Lista Oportunidades'!B:C,2,FALSE),"NO")</f>
        <v>NO</v>
      </c>
      <c r="K863" s="5">
        <f>IFERROR(VLOOKUP(Consulta1[[#This Row],[Pozo largo]],Controles!B:H,7,FALSE),"NO")</f>
        <v>0.36399999999999999</v>
      </c>
      <c r="L863" s="5">
        <f>IFERROR(VLOOKUP(Consulta1[[#This Row],[Pozo largo]],Controles!B:J,9,FALSE),"NO")</f>
        <v>0</v>
      </c>
    </row>
    <row r="864" spans="2:12" x14ac:dyDescent="0.35">
      <c r="B864" s="4" t="s">
        <v>1689</v>
      </c>
      <c r="C864" s="4" t="s">
        <v>6606</v>
      </c>
      <c r="D864" s="4" t="s">
        <v>5</v>
      </c>
      <c r="E864" s="4" t="s">
        <v>12</v>
      </c>
      <c r="F864" s="4" t="s">
        <v>28</v>
      </c>
      <c r="G864" s="4" t="s">
        <v>13</v>
      </c>
      <c r="H864" s="4" t="s">
        <v>84</v>
      </c>
      <c r="I864" s="5" t="str">
        <f>IFERROR(VLOOKUP(Consulta1[[#This Row],[Pozo largo]],'Lista YPF'!$B$3:$C$358,2,FALSE),"NO")</f>
        <v>NO</v>
      </c>
      <c r="J864" s="5" t="str">
        <f>IFERROR(VLOOKUP(Consulta1[[#This Row],[Pozo]],'Lista Oportunidades'!B:C,2,FALSE),"NO")</f>
        <v>NO</v>
      </c>
      <c r="K864" s="5">
        <f>IFERROR(VLOOKUP(Consulta1[[#This Row],[Pozo largo]],Controles!B:H,7,FALSE),"NO")</f>
        <v>0</v>
      </c>
      <c r="L864" s="5">
        <f>IFERROR(VLOOKUP(Consulta1[[#This Row],[Pozo largo]],Controles!B:J,9,FALSE),"NO")</f>
        <v>0</v>
      </c>
    </row>
    <row r="865" spans="2:12" x14ac:dyDescent="0.35">
      <c r="B865" s="4" t="s">
        <v>1691</v>
      </c>
      <c r="C865" s="4" t="s">
        <v>6607</v>
      </c>
      <c r="D865" s="4" t="s">
        <v>5</v>
      </c>
      <c r="E865" s="4" t="s">
        <v>30</v>
      </c>
      <c r="F865" s="4" t="s">
        <v>31</v>
      </c>
      <c r="G865" s="4" t="s">
        <v>32</v>
      </c>
      <c r="H865" s="4" t="s">
        <v>80</v>
      </c>
      <c r="I865" s="5" t="str">
        <f>IFERROR(VLOOKUP(Consulta1[[#This Row],[Pozo largo]],'Lista YPF'!$B$3:$C$358,2,FALSE),"NO")</f>
        <v>NO</v>
      </c>
      <c r="J865" s="5" t="str">
        <f>IFERROR(VLOOKUP(Consulta1[[#This Row],[Pozo]],'Lista Oportunidades'!B:C,2,FALSE),"NO")</f>
        <v>NO</v>
      </c>
      <c r="K865" s="5">
        <f>IFERROR(VLOOKUP(Consulta1[[#This Row],[Pozo largo]],Controles!B:H,7,FALSE),"NO")</f>
        <v>0.437</v>
      </c>
      <c r="L865" s="5">
        <f>IFERROR(VLOOKUP(Consulta1[[#This Row],[Pozo largo]],Controles!B:J,9,FALSE),"NO")</f>
        <v>0</v>
      </c>
    </row>
    <row r="866" spans="2:12" x14ac:dyDescent="0.35">
      <c r="B866" s="4" t="s">
        <v>1693</v>
      </c>
      <c r="C866" s="4" t="s">
        <v>6608</v>
      </c>
      <c r="D866" s="4" t="s">
        <v>5</v>
      </c>
      <c r="E866" s="4" t="s">
        <v>12</v>
      </c>
      <c r="F866" s="4" t="s">
        <v>7</v>
      </c>
      <c r="G866" s="4" t="s">
        <v>13</v>
      </c>
      <c r="H866" s="4" t="s">
        <v>185</v>
      </c>
      <c r="I866" s="5" t="str">
        <f>IFERROR(VLOOKUP(Consulta1[[#This Row],[Pozo largo]],'Lista YPF'!$B$3:$C$358,2,FALSE),"NO")</f>
        <v>NO</v>
      </c>
      <c r="J866" s="5" t="str">
        <f>IFERROR(VLOOKUP(Consulta1[[#This Row],[Pozo]],'Lista Oportunidades'!B:C,2,FALSE),"NO")</f>
        <v>NO</v>
      </c>
      <c r="K866" s="5">
        <f>IFERROR(VLOOKUP(Consulta1[[#This Row],[Pozo largo]],Controles!B:H,7,FALSE),"NO")</f>
        <v>0.84</v>
      </c>
      <c r="L866" s="5">
        <f>IFERROR(VLOOKUP(Consulta1[[#This Row],[Pozo largo]],Controles!B:J,9,FALSE),"NO")</f>
        <v>0</v>
      </c>
    </row>
    <row r="867" spans="2:12" x14ac:dyDescent="0.35">
      <c r="B867" s="4" t="s">
        <v>1695</v>
      </c>
      <c r="C867" s="4" t="s">
        <v>6609</v>
      </c>
      <c r="D867" s="4" t="s">
        <v>5</v>
      </c>
      <c r="E867" s="4" t="s">
        <v>24</v>
      </c>
      <c r="F867" s="4" t="s">
        <v>31</v>
      </c>
      <c r="G867" s="4" t="s">
        <v>8</v>
      </c>
      <c r="H867" s="4" t="s">
        <v>141</v>
      </c>
      <c r="I867" s="5" t="str">
        <f>IFERROR(VLOOKUP(Consulta1[[#This Row],[Pozo largo]],'Lista YPF'!$B$3:$C$358,2,FALSE),"NO")</f>
        <v>NO</v>
      </c>
      <c r="J867" s="5" t="str">
        <f>IFERROR(VLOOKUP(Consulta1[[#This Row],[Pozo]],'Lista Oportunidades'!B:C,2,FALSE),"NO")</f>
        <v>NO</v>
      </c>
      <c r="K867" s="5" t="str">
        <f>IFERROR(VLOOKUP(Consulta1[[#This Row],[Pozo largo]],Controles!B:H,7,FALSE),"NO")</f>
        <v>NO</v>
      </c>
      <c r="L867" s="5" t="str">
        <f>IFERROR(VLOOKUP(Consulta1[[#This Row],[Pozo largo]],Controles!B:J,9,FALSE),"NO")</f>
        <v>NO</v>
      </c>
    </row>
    <row r="868" spans="2:12" x14ac:dyDescent="0.35">
      <c r="B868" s="4" t="s">
        <v>1696</v>
      </c>
      <c r="C868" s="4" t="s">
        <v>6610</v>
      </c>
      <c r="D868" s="4" t="s">
        <v>5</v>
      </c>
      <c r="E868" s="4" t="s">
        <v>30</v>
      </c>
      <c r="F868" s="4" t="s">
        <v>31</v>
      </c>
      <c r="G868" s="4" t="s">
        <v>32</v>
      </c>
      <c r="H868" s="4" t="s">
        <v>21</v>
      </c>
      <c r="I868" s="5" t="str">
        <f>IFERROR(VLOOKUP(Consulta1[[#This Row],[Pozo largo]],'Lista YPF'!$B$3:$C$358,2,FALSE),"NO")</f>
        <v>NO</v>
      </c>
      <c r="J868" s="5" t="str">
        <f>IFERROR(VLOOKUP(Consulta1[[#This Row],[Pozo]],'Lista Oportunidades'!B:C,2,FALSE),"NO")</f>
        <v>NO</v>
      </c>
      <c r="K868" s="5">
        <f>IFERROR(VLOOKUP(Consulta1[[#This Row],[Pozo largo]],Controles!B:H,7,FALSE),"NO")</f>
        <v>0.44800000000000001</v>
      </c>
      <c r="L868" s="5">
        <f>IFERROR(VLOOKUP(Consulta1[[#This Row],[Pozo largo]],Controles!B:J,9,FALSE),"NO")</f>
        <v>0</v>
      </c>
    </row>
    <row r="869" spans="2:12" x14ac:dyDescent="0.35">
      <c r="B869" s="4" t="s">
        <v>1698</v>
      </c>
      <c r="C869" s="4" t="s">
        <v>6611</v>
      </c>
      <c r="D869" s="4" t="s">
        <v>5</v>
      </c>
      <c r="E869" s="4" t="s">
        <v>12</v>
      </c>
      <c r="F869" s="4" t="s">
        <v>7</v>
      </c>
      <c r="G869" s="4" t="s">
        <v>13</v>
      </c>
      <c r="H869" s="4" t="s">
        <v>9</v>
      </c>
      <c r="I869" s="5" t="str">
        <f>IFERROR(VLOOKUP(Consulta1[[#This Row],[Pozo largo]],'Lista YPF'!$B$3:$C$358,2,FALSE),"NO")</f>
        <v>NO</v>
      </c>
      <c r="J869" s="5" t="str">
        <f>IFERROR(VLOOKUP(Consulta1[[#This Row],[Pozo]],'Lista Oportunidades'!B:C,2,FALSE),"NO")</f>
        <v>NO</v>
      </c>
      <c r="K869" s="5">
        <f>IFERROR(VLOOKUP(Consulta1[[#This Row],[Pozo largo]],Controles!B:H,7,FALSE),"NO")</f>
        <v>3</v>
      </c>
      <c r="L869" s="5">
        <f>IFERROR(VLOOKUP(Consulta1[[#This Row],[Pozo largo]],Controles!B:J,9,FALSE),"NO")</f>
        <v>0</v>
      </c>
    </row>
    <row r="870" spans="2:12" x14ac:dyDescent="0.35">
      <c r="B870" s="4" t="s">
        <v>1700</v>
      </c>
      <c r="C870" s="4" t="s">
        <v>6612</v>
      </c>
      <c r="D870" s="4" t="s">
        <v>5</v>
      </c>
      <c r="E870" s="4" t="s">
        <v>12</v>
      </c>
      <c r="F870" s="4" t="s">
        <v>7</v>
      </c>
      <c r="G870" s="4" t="s">
        <v>13</v>
      </c>
      <c r="H870" s="4" t="s">
        <v>86</v>
      </c>
      <c r="I870" s="5" t="str">
        <f>IFERROR(VLOOKUP(Consulta1[[#This Row],[Pozo largo]],'Lista YPF'!$B$3:$C$358,2,FALSE),"NO")</f>
        <v>NO</v>
      </c>
      <c r="J870" s="5" t="str">
        <f>IFERROR(VLOOKUP(Consulta1[[#This Row],[Pozo]],'Lista Oportunidades'!B:C,2,FALSE),"NO")</f>
        <v>NO</v>
      </c>
      <c r="K870" s="5">
        <f>IFERROR(VLOOKUP(Consulta1[[#This Row],[Pozo largo]],Controles!B:H,7,FALSE),"NO")</f>
        <v>0.11</v>
      </c>
      <c r="L870" s="5">
        <f>IFERROR(VLOOKUP(Consulta1[[#This Row],[Pozo largo]],Controles!B:J,9,FALSE),"NO")</f>
        <v>0</v>
      </c>
    </row>
    <row r="871" spans="2:12" x14ac:dyDescent="0.35">
      <c r="B871" s="4" t="s">
        <v>1702</v>
      </c>
      <c r="C871" s="4" t="s">
        <v>6613</v>
      </c>
      <c r="D871" s="4" t="s">
        <v>5</v>
      </c>
      <c r="E871" s="4" t="s">
        <v>6</v>
      </c>
      <c r="F871" s="4" t="s">
        <v>28</v>
      </c>
      <c r="G871" s="4" t="s">
        <v>5718</v>
      </c>
      <c r="H871" s="4" t="s">
        <v>86</v>
      </c>
      <c r="I871" s="5" t="str">
        <f>IFERROR(VLOOKUP(Consulta1[[#This Row],[Pozo largo]],'Lista YPF'!$B$3:$C$358,2,FALSE),"NO")</f>
        <v>En lista de Abandono</v>
      </c>
      <c r="J871" s="5" t="str">
        <f>IFERROR(VLOOKUP(Consulta1[[#This Row],[Pozo]],'Lista Oportunidades'!B:C,2,FALSE),"NO")</f>
        <v>NO</v>
      </c>
      <c r="K871" s="5">
        <f>IFERROR(VLOOKUP(Consulta1[[#This Row],[Pozo largo]],Controles!B:H,7,FALSE),"NO")</f>
        <v>0</v>
      </c>
      <c r="L871" s="5">
        <f>IFERROR(VLOOKUP(Consulta1[[#This Row],[Pozo largo]],Controles!B:J,9,FALSE),"NO")</f>
        <v>0</v>
      </c>
    </row>
    <row r="872" spans="2:12" x14ac:dyDescent="0.35">
      <c r="B872" s="4" t="s">
        <v>1704</v>
      </c>
      <c r="C872" s="4" t="s">
        <v>6614</v>
      </c>
      <c r="D872" s="4" t="s">
        <v>5</v>
      </c>
      <c r="E872" s="4" t="s">
        <v>57</v>
      </c>
      <c r="F872" s="4" t="s">
        <v>25</v>
      </c>
      <c r="G872" s="4" t="s">
        <v>5718</v>
      </c>
      <c r="H872" s="4" t="s">
        <v>86</v>
      </c>
      <c r="I872" s="5" t="str">
        <f>IFERROR(VLOOKUP(Consulta1[[#This Row],[Pozo largo]],'Lista YPF'!$B$3:$C$358,2,FALSE),"NO")</f>
        <v>En lista de Abandono</v>
      </c>
      <c r="J872" s="5" t="str">
        <f>IFERROR(VLOOKUP(Consulta1[[#This Row],[Pozo]],'Lista Oportunidades'!B:C,2,FALSE),"NO")</f>
        <v>NO</v>
      </c>
      <c r="K872" s="5">
        <f>IFERROR(VLOOKUP(Consulta1[[#This Row],[Pozo largo]],Controles!B:H,7,FALSE),"NO")</f>
        <v>1.05</v>
      </c>
      <c r="L872" s="5">
        <f>IFERROR(VLOOKUP(Consulta1[[#This Row],[Pozo largo]],Controles!B:J,9,FALSE),"NO")</f>
        <v>0</v>
      </c>
    </row>
    <row r="873" spans="2:12" x14ac:dyDescent="0.35">
      <c r="B873" s="4" t="s">
        <v>1706</v>
      </c>
      <c r="C873" s="4" t="s">
        <v>6615</v>
      </c>
      <c r="D873" s="4" t="s">
        <v>5</v>
      </c>
      <c r="E873" s="4" t="s">
        <v>12</v>
      </c>
      <c r="F873" s="4" t="s">
        <v>7</v>
      </c>
      <c r="G873" s="4" t="s">
        <v>13</v>
      </c>
      <c r="H873" s="4" t="s">
        <v>9</v>
      </c>
      <c r="I873" s="5" t="str">
        <f>IFERROR(VLOOKUP(Consulta1[[#This Row],[Pozo largo]],'Lista YPF'!$B$3:$C$358,2,FALSE),"NO")</f>
        <v>NO</v>
      </c>
      <c r="J873" s="5" t="str">
        <f>IFERROR(VLOOKUP(Consulta1[[#This Row],[Pozo]],'Lista Oportunidades'!B:C,2,FALSE),"NO")</f>
        <v>NO</v>
      </c>
      <c r="K873" s="5">
        <f>IFERROR(VLOOKUP(Consulta1[[#This Row],[Pozo largo]],Controles!B:H,7,FALSE),"NO")</f>
        <v>1.3</v>
      </c>
      <c r="L873" s="5">
        <f>IFERROR(VLOOKUP(Consulta1[[#This Row],[Pozo largo]],Controles!B:J,9,FALSE),"NO")</f>
        <v>0</v>
      </c>
    </row>
    <row r="874" spans="2:12" x14ac:dyDescent="0.35">
      <c r="B874" s="4" t="s">
        <v>1708</v>
      </c>
      <c r="C874" s="4" t="s">
        <v>6616</v>
      </c>
      <c r="D874" s="4" t="s">
        <v>5</v>
      </c>
      <c r="E874" s="4" t="s">
        <v>12</v>
      </c>
      <c r="F874" s="4" t="s">
        <v>7</v>
      </c>
      <c r="G874" s="4" t="s">
        <v>13</v>
      </c>
      <c r="H874" s="4" t="s">
        <v>9</v>
      </c>
      <c r="I874" s="5" t="str">
        <f>IFERROR(VLOOKUP(Consulta1[[#This Row],[Pozo largo]],'Lista YPF'!$B$3:$C$358,2,FALSE),"NO")</f>
        <v>NO</v>
      </c>
      <c r="J874" s="5" t="str">
        <f>IFERROR(VLOOKUP(Consulta1[[#This Row],[Pozo]],'Lista Oportunidades'!B:C,2,FALSE),"NO")</f>
        <v>NO</v>
      </c>
      <c r="K874" s="5">
        <f>IFERROR(VLOOKUP(Consulta1[[#This Row],[Pozo largo]],Controles!B:H,7,FALSE),"NO")</f>
        <v>1.95</v>
      </c>
      <c r="L874" s="5">
        <f>IFERROR(VLOOKUP(Consulta1[[#This Row],[Pozo largo]],Controles!B:J,9,FALSE),"NO")</f>
        <v>0</v>
      </c>
    </row>
    <row r="875" spans="2:12" x14ac:dyDescent="0.35">
      <c r="B875" s="4" t="s">
        <v>1710</v>
      </c>
      <c r="C875" s="4" t="s">
        <v>6617</v>
      </c>
      <c r="D875" s="4" t="s">
        <v>5</v>
      </c>
      <c r="E875" s="4" t="s">
        <v>57</v>
      </c>
      <c r="F875" s="4" t="s">
        <v>31</v>
      </c>
      <c r="G875" s="4" t="s">
        <v>11387</v>
      </c>
      <c r="H875" s="4" t="s">
        <v>91</v>
      </c>
      <c r="I875" s="5" t="str">
        <f>IFERROR(VLOOKUP(Consulta1[[#This Row],[Pozo largo]],'Lista YPF'!$B$3:$C$358,2,FALSE),"NO")</f>
        <v>NO</v>
      </c>
      <c r="J875" s="5" t="str">
        <f>IFERROR(VLOOKUP(Consulta1[[#This Row],[Pozo]],'Lista Oportunidades'!B:C,2,FALSE),"NO")</f>
        <v>NO</v>
      </c>
      <c r="K875" s="5">
        <f>IFERROR(VLOOKUP(Consulta1[[#This Row],[Pozo largo]],Controles!B:H,7,FALSE),"NO")</f>
        <v>1.26</v>
      </c>
      <c r="L875" s="5" t="str">
        <f>IFERROR(VLOOKUP(Consulta1[[#This Row],[Pozo largo]],Controles!B:J,9,FALSE),"NO")</f>
        <v>Ultimo Año</v>
      </c>
    </row>
    <row r="876" spans="2:12" x14ac:dyDescent="0.35">
      <c r="B876" s="4" t="s">
        <v>1712</v>
      </c>
      <c r="C876" s="4" t="s">
        <v>6618</v>
      </c>
      <c r="D876" s="4" t="s">
        <v>5</v>
      </c>
      <c r="E876" s="4" t="s">
        <v>12</v>
      </c>
      <c r="F876" s="4" t="s">
        <v>25</v>
      </c>
      <c r="G876" s="4" t="s">
        <v>13</v>
      </c>
      <c r="H876" s="4" t="s">
        <v>91</v>
      </c>
      <c r="I876" s="5" t="str">
        <f>IFERROR(VLOOKUP(Consulta1[[#This Row],[Pozo largo]],'Lista YPF'!$B$3:$C$358,2,FALSE),"NO")</f>
        <v>NO</v>
      </c>
      <c r="J876" s="5" t="str">
        <f>IFERROR(VLOOKUP(Consulta1[[#This Row],[Pozo]],'Lista Oportunidades'!B:C,2,FALSE),"NO")</f>
        <v>NO</v>
      </c>
      <c r="K876" s="5">
        <f>IFERROR(VLOOKUP(Consulta1[[#This Row],[Pozo largo]],Controles!B:H,7,FALSE),"NO")</f>
        <v>0.10400000000000001</v>
      </c>
      <c r="L876" s="5">
        <f>IFERROR(VLOOKUP(Consulta1[[#This Row],[Pozo largo]],Controles!B:J,9,FALSE),"NO")</f>
        <v>0</v>
      </c>
    </row>
    <row r="877" spans="2:12" x14ac:dyDescent="0.35">
      <c r="B877" s="4" t="s">
        <v>1714</v>
      </c>
      <c r="C877" s="4" t="s">
        <v>6619</v>
      </c>
      <c r="D877" s="4" t="s">
        <v>5</v>
      </c>
      <c r="E877" s="4" t="s">
        <v>30</v>
      </c>
      <c r="F877" s="4" t="s">
        <v>31</v>
      </c>
      <c r="G877" s="4" t="s">
        <v>32</v>
      </c>
      <c r="H877" s="4" t="s">
        <v>91</v>
      </c>
      <c r="I877" s="5" t="str">
        <f>IFERROR(VLOOKUP(Consulta1[[#This Row],[Pozo largo]],'Lista YPF'!$B$3:$C$358,2,FALSE),"NO")</f>
        <v>NO</v>
      </c>
      <c r="J877" s="5" t="str">
        <f>IFERROR(VLOOKUP(Consulta1[[#This Row],[Pozo]],'Lista Oportunidades'!B:C,2,FALSE),"NO")</f>
        <v>NO</v>
      </c>
      <c r="K877" s="5">
        <f>IFERROR(VLOOKUP(Consulta1[[#This Row],[Pozo largo]],Controles!B:H,7,FALSE),"NO")</f>
        <v>0.77</v>
      </c>
      <c r="L877" s="5">
        <f>IFERROR(VLOOKUP(Consulta1[[#This Row],[Pozo largo]],Controles!B:J,9,FALSE),"NO")</f>
        <v>0</v>
      </c>
    </row>
    <row r="878" spans="2:12" x14ac:dyDescent="0.35">
      <c r="B878" s="4" t="s">
        <v>1716</v>
      </c>
      <c r="C878" s="4" t="s">
        <v>6620</v>
      </c>
      <c r="D878" s="4" t="s">
        <v>5</v>
      </c>
      <c r="E878" s="4" t="s">
        <v>12</v>
      </c>
      <c r="F878" s="4" t="s">
        <v>28</v>
      </c>
      <c r="G878" s="4" t="s">
        <v>13</v>
      </c>
      <c r="H878" s="4" t="s">
        <v>86</v>
      </c>
      <c r="I878" s="5" t="str">
        <f>IFERROR(VLOOKUP(Consulta1[[#This Row],[Pozo largo]],'Lista YPF'!$B$3:$C$358,2,FALSE),"NO")</f>
        <v>NO</v>
      </c>
      <c r="J878" s="5" t="str">
        <f>IFERROR(VLOOKUP(Consulta1[[#This Row],[Pozo]],'Lista Oportunidades'!B:C,2,FALSE),"NO")</f>
        <v>NO</v>
      </c>
      <c r="K878" s="5">
        <f>IFERROR(VLOOKUP(Consulta1[[#This Row],[Pozo largo]],Controles!B:H,7,FALSE),"NO")</f>
        <v>0</v>
      </c>
      <c r="L878" s="5">
        <f>IFERROR(VLOOKUP(Consulta1[[#This Row],[Pozo largo]],Controles!B:J,9,FALSE),"NO")</f>
        <v>0</v>
      </c>
    </row>
    <row r="879" spans="2:12" x14ac:dyDescent="0.35">
      <c r="B879" s="4" t="s">
        <v>1718</v>
      </c>
      <c r="C879" s="4" t="s">
        <v>6621</v>
      </c>
      <c r="D879" s="4" t="s">
        <v>5</v>
      </c>
      <c r="E879" s="4" t="s">
        <v>12</v>
      </c>
      <c r="F879" s="4" t="s">
        <v>28</v>
      </c>
      <c r="G879" s="4" t="s">
        <v>13</v>
      </c>
      <c r="H879" s="4" t="s">
        <v>86</v>
      </c>
      <c r="I879" s="5" t="str">
        <f>IFERROR(VLOOKUP(Consulta1[[#This Row],[Pozo largo]],'Lista YPF'!$B$3:$C$358,2,FALSE),"NO")</f>
        <v>NO</v>
      </c>
      <c r="J879" s="5" t="str">
        <f>IFERROR(VLOOKUP(Consulta1[[#This Row],[Pozo]],'Lista Oportunidades'!B:C,2,FALSE),"NO")</f>
        <v>NO</v>
      </c>
      <c r="K879" s="5">
        <f>IFERROR(VLOOKUP(Consulta1[[#This Row],[Pozo largo]],Controles!B:H,7,FALSE),"NO")</f>
        <v>0</v>
      </c>
      <c r="L879" s="5">
        <f>IFERROR(VLOOKUP(Consulta1[[#This Row],[Pozo largo]],Controles!B:J,9,FALSE),"NO")</f>
        <v>0</v>
      </c>
    </row>
    <row r="880" spans="2:12" x14ac:dyDescent="0.35">
      <c r="B880" s="4" t="s">
        <v>1720</v>
      </c>
      <c r="C880" s="4" t="s">
        <v>6622</v>
      </c>
      <c r="D880" s="4" t="s">
        <v>5</v>
      </c>
      <c r="E880" s="4" t="s">
        <v>12</v>
      </c>
      <c r="F880" s="4" t="s">
        <v>7</v>
      </c>
      <c r="G880" s="4" t="s">
        <v>13</v>
      </c>
      <c r="H880" s="4" t="s">
        <v>86</v>
      </c>
      <c r="I880" s="5" t="str">
        <f>IFERROR(VLOOKUP(Consulta1[[#This Row],[Pozo largo]],'Lista YPF'!$B$3:$C$358,2,FALSE),"NO")</f>
        <v>NO</v>
      </c>
      <c r="J880" s="5" t="str">
        <f>IFERROR(VLOOKUP(Consulta1[[#This Row],[Pozo]],'Lista Oportunidades'!B:C,2,FALSE),"NO")</f>
        <v>NO</v>
      </c>
      <c r="K880" s="5">
        <f>IFERROR(VLOOKUP(Consulta1[[#This Row],[Pozo largo]],Controles!B:H,7,FALSE),"NO")</f>
        <v>1.55</v>
      </c>
      <c r="L880" s="5">
        <f>IFERROR(VLOOKUP(Consulta1[[#This Row],[Pozo largo]],Controles!B:J,9,FALSE),"NO")</f>
        <v>0</v>
      </c>
    </row>
    <row r="881" spans="2:12" x14ac:dyDescent="0.35">
      <c r="B881" s="4" t="s">
        <v>1722</v>
      </c>
      <c r="C881" s="4" t="s">
        <v>6623</v>
      </c>
      <c r="D881" s="4" t="s">
        <v>5</v>
      </c>
      <c r="E881" s="4" t="s">
        <v>12</v>
      </c>
      <c r="F881" s="4" t="s">
        <v>7</v>
      </c>
      <c r="G881" s="4" t="s">
        <v>13</v>
      </c>
      <c r="H881" s="4" t="s">
        <v>86</v>
      </c>
      <c r="I881" s="5" t="str">
        <f>IFERROR(VLOOKUP(Consulta1[[#This Row],[Pozo largo]],'Lista YPF'!$B$3:$C$358,2,FALSE),"NO")</f>
        <v>NO</v>
      </c>
      <c r="J881" s="5" t="str">
        <f>IFERROR(VLOOKUP(Consulta1[[#This Row],[Pozo]],'Lista Oportunidades'!B:C,2,FALSE),"NO")</f>
        <v>NO</v>
      </c>
      <c r="K881" s="5">
        <f>IFERROR(VLOOKUP(Consulta1[[#This Row],[Pozo largo]],Controles!B:H,7,FALSE),"NO")</f>
        <v>1.3</v>
      </c>
      <c r="L881" s="5">
        <f>IFERROR(VLOOKUP(Consulta1[[#This Row],[Pozo largo]],Controles!B:J,9,FALSE),"NO")</f>
        <v>0</v>
      </c>
    </row>
    <row r="882" spans="2:12" x14ac:dyDescent="0.35">
      <c r="B882" s="4" t="s">
        <v>1724</v>
      </c>
      <c r="C882" s="4" t="s">
        <v>6624</v>
      </c>
      <c r="D882" s="4" t="s">
        <v>5</v>
      </c>
      <c r="E882" s="4" t="s">
        <v>24</v>
      </c>
      <c r="F882" s="4" t="s">
        <v>7</v>
      </c>
      <c r="G882" s="4" t="s">
        <v>8</v>
      </c>
      <c r="H882" s="4" t="s">
        <v>86</v>
      </c>
      <c r="I882" s="5" t="str">
        <f>IFERROR(VLOOKUP(Consulta1[[#This Row],[Pozo largo]],'Lista YPF'!$B$3:$C$358,2,FALSE),"NO")</f>
        <v>NO</v>
      </c>
      <c r="J882" s="5" t="str">
        <f>IFERROR(VLOOKUP(Consulta1[[#This Row],[Pozo]],'Lista Oportunidades'!B:C,2,FALSE),"NO")</f>
        <v>NO</v>
      </c>
      <c r="K882" s="5">
        <f>IFERROR(VLOOKUP(Consulta1[[#This Row],[Pozo largo]],Controles!B:H,7,FALSE),"NO")</f>
        <v>0.61899999999999999</v>
      </c>
      <c r="L882" s="5">
        <f>IFERROR(VLOOKUP(Consulta1[[#This Row],[Pozo largo]],Controles!B:J,9,FALSE),"NO")</f>
        <v>0</v>
      </c>
    </row>
    <row r="883" spans="2:12" x14ac:dyDescent="0.35">
      <c r="B883" s="4" t="s">
        <v>1726</v>
      </c>
      <c r="C883" s="4" t="s">
        <v>6625</v>
      </c>
      <c r="D883" s="4" t="s">
        <v>5</v>
      </c>
      <c r="E883" s="4" t="s">
        <v>12</v>
      </c>
      <c r="F883" s="4" t="s">
        <v>1114</v>
      </c>
      <c r="G883" s="4" t="s">
        <v>13</v>
      </c>
      <c r="H883" s="4" t="s">
        <v>290</v>
      </c>
      <c r="I883" s="5" t="str">
        <f>IFERROR(VLOOKUP(Consulta1[[#This Row],[Pozo largo]],'Lista YPF'!$B$3:$C$358,2,FALSE),"NO")</f>
        <v>NO</v>
      </c>
      <c r="J883" s="5" t="str">
        <f>IFERROR(VLOOKUP(Consulta1[[#This Row],[Pozo]],'Lista Oportunidades'!B:C,2,FALSE),"NO")</f>
        <v>NO</v>
      </c>
      <c r="K883" s="5">
        <f>IFERROR(VLOOKUP(Consulta1[[#This Row],[Pozo largo]],Controles!B:H,7,FALSE),"NO")</f>
        <v>1.44</v>
      </c>
      <c r="L883" s="5">
        <f>IFERROR(VLOOKUP(Consulta1[[#This Row],[Pozo largo]],Controles!B:J,9,FALSE),"NO")</f>
        <v>0</v>
      </c>
    </row>
    <row r="884" spans="2:12" x14ac:dyDescent="0.35">
      <c r="B884" s="4" t="s">
        <v>1728</v>
      </c>
      <c r="C884" s="4" t="s">
        <v>6626</v>
      </c>
      <c r="D884" s="4" t="s">
        <v>5</v>
      </c>
      <c r="E884" s="4" t="s">
        <v>12</v>
      </c>
      <c r="F884" s="4" t="s">
        <v>7</v>
      </c>
      <c r="G884" s="4" t="s">
        <v>13</v>
      </c>
      <c r="H884" s="4" t="s">
        <v>141</v>
      </c>
      <c r="I884" s="5" t="str">
        <f>IFERROR(VLOOKUP(Consulta1[[#This Row],[Pozo largo]],'Lista YPF'!$B$3:$C$358,2,FALSE),"NO")</f>
        <v>NO</v>
      </c>
      <c r="J884" s="5" t="str">
        <f>IFERROR(VLOOKUP(Consulta1[[#This Row],[Pozo]],'Lista Oportunidades'!B:C,2,FALSE),"NO")</f>
        <v>NO</v>
      </c>
      <c r="K884" s="5">
        <f>IFERROR(VLOOKUP(Consulta1[[#This Row],[Pozo largo]],Controles!B:H,7,FALSE),"NO")</f>
        <v>1.92</v>
      </c>
      <c r="L884" s="5">
        <f>IFERROR(VLOOKUP(Consulta1[[#This Row],[Pozo largo]],Controles!B:J,9,FALSE),"NO")</f>
        <v>0</v>
      </c>
    </row>
    <row r="885" spans="2:12" x14ac:dyDescent="0.35">
      <c r="B885" s="4" t="s">
        <v>1730</v>
      </c>
      <c r="C885" s="4" t="s">
        <v>6627</v>
      </c>
      <c r="D885" s="4" t="s">
        <v>5</v>
      </c>
      <c r="E885" s="4" t="s">
        <v>12</v>
      </c>
      <c r="F885" s="4" t="s">
        <v>7</v>
      </c>
      <c r="G885" s="4" t="s">
        <v>13</v>
      </c>
      <c r="H885" s="4" t="s">
        <v>185</v>
      </c>
      <c r="I885" s="5" t="str">
        <f>IFERROR(VLOOKUP(Consulta1[[#This Row],[Pozo largo]],'Lista YPF'!$B$3:$C$358,2,FALSE),"NO")</f>
        <v>NO</v>
      </c>
      <c r="J885" s="5" t="str">
        <f>IFERROR(VLOOKUP(Consulta1[[#This Row],[Pozo]],'Lista Oportunidades'!B:C,2,FALSE),"NO")</f>
        <v>NO</v>
      </c>
      <c r="K885" s="5">
        <f>IFERROR(VLOOKUP(Consulta1[[#This Row],[Pozo largo]],Controles!B:H,7,FALSE),"NO")</f>
        <v>0.68700000000000006</v>
      </c>
      <c r="L885" s="5">
        <f>IFERROR(VLOOKUP(Consulta1[[#This Row],[Pozo largo]],Controles!B:J,9,FALSE),"NO")</f>
        <v>0</v>
      </c>
    </row>
    <row r="886" spans="2:12" x14ac:dyDescent="0.35">
      <c r="B886" s="4" t="s">
        <v>1732</v>
      </c>
      <c r="C886" s="4" t="s">
        <v>6628</v>
      </c>
      <c r="D886" s="4" t="s">
        <v>5</v>
      </c>
      <c r="E886" s="4" t="s">
        <v>24</v>
      </c>
      <c r="F886" s="4" t="s">
        <v>7</v>
      </c>
      <c r="G886" s="4" t="s">
        <v>8</v>
      </c>
      <c r="H886" s="4" t="s">
        <v>185</v>
      </c>
      <c r="I886" s="5" t="str">
        <f>IFERROR(VLOOKUP(Consulta1[[#This Row],[Pozo largo]],'Lista YPF'!$B$3:$C$358,2,FALSE),"NO")</f>
        <v>NO</v>
      </c>
      <c r="J886" s="5" t="str">
        <f>IFERROR(VLOOKUP(Consulta1[[#This Row],[Pozo]],'Lista Oportunidades'!B:C,2,FALSE),"NO")</f>
        <v>NO</v>
      </c>
      <c r="K886" s="5">
        <f>IFERROR(VLOOKUP(Consulta1[[#This Row],[Pozo largo]],Controles!B:H,7,FALSE),"NO")</f>
        <v>0.875</v>
      </c>
      <c r="L886" s="5">
        <f>IFERROR(VLOOKUP(Consulta1[[#This Row],[Pozo largo]],Controles!B:J,9,FALSE),"NO")</f>
        <v>0</v>
      </c>
    </row>
    <row r="887" spans="2:12" x14ac:dyDescent="0.35">
      <c r="B887" s="4" t="s">
        <v>1734</v>
      </c>
      <c r="C887" s="4" t="s">
        <v>6629</v>
      </c>
      <c r="D887" s="4" t="s">
        <v>5</v>
      </c>
      <c r="E887" s="4" t="s">
        <v>309</v>
      </c>
      <c r="F887" s="4" t="s">
        <v>238</v>
      </c>
      <c r="G887" s="4" t="s">
        <v>5718</v>
      </c>
      <c r="H887" s="4" t="s">
        <v>71</v>
      </c>
      <c r="I887" s="5" t="str">
        <f>IFERROR(VLOOKUP(Consulta1[[#This Row],[Pozo largo]],'Lista YPF'!$B$3:$C$358,2,FALSE),"NO")</f>
        <v>En lista de Abandono</v>
      </c>
      <c r="J887" s="5" t="str">
        <f>IFERROR(VLOOKUP(Consulta1[[#This Row],[Pozo]],'Lista Oportunidades'!B:C,2,FALSE),"NO")</f>
        <v>NO</v>
      </c>
      <c r="K887" s="5">
        <f>IFERROR(VLOOKUP(Consulta1[[#This Row],[Pozo largo]],Controles!B:H,7,FALSE),"NO")</f>
        <v>0.78</v>
      </c>
      <c r="L887" s="5">
        <f>IFERROR(VLOOKUP(Consulta1[[#This Row],[Pozo largo]],Controles!B:J,9,FALSE),"NO")</f>
        <v>0</v>
      </c>
    </row>
    <row r="888" spans="2:12" x14ac:dyDescent="0.35">
      <c r="B888" s="4" t="s">
        <v>1736</v>
      </c>
      <c r="C888" s="4" t="s">
        <v>6630</v>
      </c>
      <c r="D888" s="4" t="s">
        <v>5</v>
      </c>
      <c r="E888" s="4" t="s">
        <v>24</v>
      </c>
      <c r="F888" s="4" t="s">
        <v>31</v>
      </c>
      <c r="G888" s="4" t="s">
        <v>8</v>
      </c>
      <c r="H888" s="4" t="s">
        <v>9</v>
      </c>
      <c r="I888" s="5" t="str">
        <f>IFERROR(VLOOKUP(Consulta1[[#This Row],[Pozo largo]],'Lista YPF'!$B$3:$C$358,2,FALSE),"NO")</f>
        <v>NO</v>
      </c>
      <c r="J888" s="5" t="str">
        <f>IFERROR(VLOOKUP(Consulta1[[#This Row],[Pozo]],'Lista Oportunidades'!B:C,2,FALSE),"NO")</f>
        <v>NO</v>
      </c>
      <c r="K888" s="5">
        <f>IFERROR(VLOOKUP(Consulta1[[#This Row],[Pozo largo]],Controles!B:H,7,FALSE),"NO")</f>
        <v>0.161</v>
      </c>
      <c r="L888" s="5">
        <f>IFERROR(VLOOKUP(Consulta1[[#This Row],[Pozo largo]],Controles!B:J,9,FALSE),"NO")</f>
        <v>0</v>
      </c>
    </row>
    <row r="889" spans="2:12" x14ac:dyDescent="0.35">
      <c r="B889" s="4" t="s">
        <v>1738</v>
      </c>
      <c r="C889" s="4" t="s">
        <v>6631</v>
      </c>
      <c r="D889" s="4" t="s">
        <v>5</v>
      </c>
      <c r="E889" s="4" t="s">
        <v>12</v>
      </c>
      <c r="F889" s="4" t="s">
        <v>7</v>
      </c>
      <c r="G889" s="4" t="s">
        <v>13</v>
      </c>
      <c r="H889" s="4" t="s">
        <v>71</v>
      </c>
      <c r="I889" s="5" t="str">
        <f>IFERROR(VLOOKUP(Consulta1[[#This Row],[Pozo largo]],'Lista YPF'!$B$3:$C$358,2,FALSE),"NO")</f>
        <v>NO</v>
      </c>
      <c r="J889" s="5" t="str">
        <f>IFERROR(VLOOKUP(Consulta1[[#This Row],[Pozo]],'Lista Oportunidades'!B:C,2,FALSE),"NO")</f>
        <v>NO</v>
      </c>
      <c r="K889" s="5">
        <f>IFERROR(VLOOKUP(Consulta1[[#This Row],[Pozo largo]],Controles!B:H,7,FALSE),"NO")</f>
        <v>2.4300000000000002</v>
      </c>
      <c r="L889" s="5">
        <f>IFERROR(VLOOKUP(Consulta1[[#This Row],[Pozo largo]],Controles!B:J,9,FALSE),"NO")</f>
        <v>0</v>
      </c>
    </row>
    <row r="890" spans="2:12" x14ac:dyDescent="0.35">
      <c r="B890" s="4" t="s">
        <v>1740</v>
      </c>
      <c r="C890" s="4" t="s">
        <v>6632</v>
      </c>
      <c r="D890" s="4" t="s">
        <v>5</v>
      </c>
      <c r="E890" s="4" t="s">
        <v>24</v>
      </c>
      <c r="F890" s="4" t="s">
        <v>28</v>
      </c>
      <c r="G890" s="4" t="s">
        <v>8</v>
      </c>
      <c r="H890" s="4" t="s">
        <v>21</v>
      </c>
      <c r="I890" s="5" t="str">
        <f>IFERROR(VLOOKUP(Consulta1[[#This Row],[Pozo largo]],'Lista YPF'!$B$3:$C$358,2,FALSE),"NO")</f>
        <v>NO</v>
      </c>
      <c r="J890" s="5" t="str">
        <f>IFERROR(VLOOKUP(Consulta1[[#This Row],[Pozo]],'Lista Oportunidades'!B:C,2,FALSE),"NO")</f>
        <v>NO</v>
      </c>
      <c r="K890" s="5">
        <f>IFERROR(VLOOKUP(Consulta1[[#This Row],[Pozo largo]],Controles!B:H,7,FALSE),"NO")</f>
        <v>0</v>
      </c>
      <c r="L890" s="5">
        <f>IFERROR(VLOOKUP(Consulta1[[#This Row],[Pozo largo]],Controles!B:J,9,FALSE),"NO")</f>
        <v>0</v>
      </c>
    </row>
    <row r="891" spans="2:12" x14ac:dyDescent="0.35">
      <c r="B891" s="4" t="s">
        <v>1742</v>
      </c>
      <c r="C891" s="4" t="s">
        <v>6633</v>
      </c>
      <c r="D891" s="4" t="s">
        <v>5</v>
      </c>
      <c r="E891" s="4" t="s">
        <v>12</v>
      </c>
      <c r="F891" s="4" t="s">
        <v>28</v>
      </c>
      <c r="G891" s="4" t="s">
        <v>13</v>
      </c>
      <c r="H891" s="4" t="s">
        <v>21</v>
      </c>
      <c r="I891" s="5" t="str">
        <f>IFERROR(VLOOKUP(Consulta1[[#This Row],[Pozo largo]],'Lista YPF'!$B$3:$C$358,2,FALSE),"NO")</f>
        <v>NO</v>
      </c>
      <c r="J891" s="5" t="str">
        <f>IFERROR(VLOOKUP(Consulta1[[#This Row],[Pozo]],'Lista Oportunidades'!B:C,2,FALSE),"NO")</f>
        <v>NO</v>
      </c>
      <c r="K891" s="5">
        <f>IFERROR(VLOOKUP(Consulta1[[#This Row],[Pozo largo]],Controles!B:H,7,FALSE),"NO")</f>
        <v>0</v>
      </c>
      <c r="L891" s="5">
        <f>IFERROR(VLOOKUP(Consulta1[[#This Row],[Pozo largo]],Controles!B:J,9,FALSE),"NO")</f>
        <v>0</v>
      </c>
    </row>
    <row r="892" spans="2:12" x14ac:dyDescent="0.35">
      <c r="B892" s="4" t="s">
        <v>1744</v>
      </c>
      <c r="C892" s="4" t="s">
        <v>6634</v>
      </c>
      <c r="D892" s="4" t="s">
        <v>5</v>
      </c>
      <c r="E892" s="4" t="s">
        <v>12</v>
      </c>
      <c r="F892" s="4" t="s">
        <v>28</v>
      </c>
      <c r="G892" s="4" t="s">
        <v>13</v>
      </c>
      <c r="H892" s="4" t="s">
        <v>21</v>
      </c>
      <c r="I892" s="5" t="str">
        <f>IFERROR(VLOOKUP(Consulta1[[#This Row],[Pozo largo]],'Lista YPF'!$B$3:$C$358,2,FALSE),"NO")</f>
        <v>NO</v>
      </c>
      <c r="J892" s="5" t="str">
        <f>IFERROR(VLOOKUP(Consulta1[[#This Row],[Pozo]],'Lista Oportunidades'!B:C,2,FALSE),"NO")</f>
        <v>NO</v>
      </c>
      <c r="K892" s="5">
        <f>IFERROR(VLOOKUP(Consulta1[[#This Row],[Pozo largo]],Controles!B:H,7,FALSE),"NO")</f>
        <v>0</v>
      </c>
      <c r="L892" s="5">
        <f>IFERROR(VLOOKUP(Consulta1[[#This Row],[Pozo largo]],Controles!B:J,9,FALSE),"NO")</f>
        <v>0</v>
      </c>
    </row>
    <row r="893" spans="2:12" x14ac:dyDescent="0.35">
      <c r="B893" s="4" t="s">
        <v>1746</v>
      </c>
      <c r="C893" s="4" t="s">
        <v>6635</v>
      </c>
      <c r="D893" s="4" t="s">
        <v>5</v>
      </c>
      <c r="E893" s="4" t="s">
        <v>57</v>
      </c>
      <c r="F893" s="4" t="s">
        <v>31</v>
      </c>
      <c r="G893" s="4" t="s">
        <v>5718</v>
      </c>
      <c r="H893" s="4" t="s">
        <v>33</v>
      </c>
      <c r="I893" s="5" t="str">
        <f>IFERROR(VLOOKUP(Consulta1[[#This Row],[Pozo largo]],'Lista YPF'!$B$3:$C$358,2,FALSE),"NO")</f>
        <v>En lista de Abandono</v>
      </c>
      <c r="J893" s="5" t="str">
        <f>IFERROR(VLOOKUP(Consulta1[[#This Row],[Pozo]],'Lista Oportunidades'!B:C,2,FALSE),"NO")</f>
        <v>NO</v>
      </c>
      <c r="K893" s="5">
        <f>IFERROR(VLOOKUP(Consulta1[[#This Row],[Pozo largo]],Controles!B:H,7,FALSE),"NO")</f>
        <v>0.32</v>
      </c>
      <c r="L893" s="5">
        <f>IFERROR(VLOOKUP(Consulta1[[#This Row],[Pozo largo]],Controles!B:J,9,FALSE),"NO")</f>
        <v>0</v>
      </c>
    </row>
    <row r="894" spans="2:12" x14ac:dyDescent="0.35">
      <c r="B894" s="4" t="s">
        <v>1748</v>
      </c>
      <c r="C894" s="4" t="s">
        <v>6636</v>
      </c>
      <c r="D894" s="4" t="s">
        <v>5</v>
      </c>
      <c r="E894" s="4" t="s">
        <v>12</v>
      </c>
      <c r="F894" s="4" t="s">
        <v>25</v>
      </c>
      <c r="G894" s="4" t="s">
        <v>13</v>
      </c>
      <c r="H894" s="4" t="s">
        <v>254</v>
      </c>
      <c r="I894" s="5" t="str">
        <f>IFERROR(VLOOKUP(Consulta1[[#This Row],[Pozo largo]],'Lista YPF'!$B$3:$C$358,2,FALSE),"NO")</f>
        <v>NO</v>
      </c>
      <c r="J894" s="5" t="str">
        <f>IFERROR(VLOOKUP(Consulta1[[#This Row],[Pozo]],'Lista Oportunidades'!B:C,2,FALSE),"NO")</f>
        <v>NO</v>
      </c>
      <c r="K894" s="5">
        <f>IFERROR(VLOOKUP(Consulta1[[#This Row],[Pozo largo]],Controles!B:H,7,FALSE),"NO")</f>
        <v>6.7000000000000004E-2</v>
      </c>
      <c r="L894" s="5">
        <f>IFERROR(VLOOKUP(Consulta1[[#This Row],[Pozo largo]],Controles!B:J,9,FALSE),"NO")</f>
        <v>0</v>
      </c>
    </row>
    <row r="895" spans="2:12" x14ac:dyDescent="0.35">
      <c r="B895" s="4" t="s">
        <v>1750</v>
      </c>
      <c r="C895" s="4" t="s">
        <v>6637</v>
      </c>
      <c r="D895" s="4" t="s">
        <v>5</v>
      </c>
      <c r="E895" s="4" t="s">
        <v>12</v>
      </c>
      <c r="F895" s="4" t="s">
        <v>25</v>
      </c>
      <c r="G895" s="4" t="s">
        <v>13</v>
      </c>
      <c r="H895" s="4" t="s">
        <v>36</v>
      </c>
      <c r="I895" s="5" t="str">
        <f>IFERROR(VLOOKUP(Consulta1[[#This Row],[Pozo largo]],'Lista YPF'!$B$3:$C$358,2,FALSE),"NO")</f>
        <v>NO</v>
      </c>
      <c r="J895" s="5" t="str">
        <f>IFERROR(VLOOKUP(Consulta1[[#This Row],[Pozo]],'Lista Oportunidades'!B:C,2,FALSE),"NO")</f>
        <v>NO</v>
      </c>
      <c r="K895" s="5">
        <f>IFERROR(VLOOKUP(Consulta1[[#This Row],[Pozo largo]],Controles!B:H,7,FALSE),"NO")</f>
        <v>9.6000000000000002E-2</v>
      </c>
      <c r="L895" s="5">
        <f>IFERROR(VLOOKUP(Consulta1[[#This Row],[Pozo largo]],Controles!B:J,9,FALSE),"NO")</f>
        <v>0</v>
      </c>
    </row>
    <row r="896" spans="2:12" x14ac:dyDescent="0.35">
      <c r="B896" s="4" t="s">
        <v>1752</v>
      </c>
      <c r="C896" s="4" t="s">
        <v>6638</v>
      </c>
      <c r="D896" s="4" t="s">
        <v>5</v>
      </c>
      <c r="E896" s="4" t="s">
        <v>12</v>
      </c>
      <c r="F896" s="4" t="s">
        <v>7</v>
      </c>
      <c r="G896" s="4" t="s">
        <v>13</v>
      </c>
      <c r="H896" s="4" t="s">
        <v>149</v>
      </c>
      <c r="I896" s="5" t="str">
        <f>IFERROR(VLOOKUP(Consulta1[[#This Row],[Pozo largo]],'Lista YPF'!$B$3:$C$358,2,FALSE),"NO")</f>
        <v>NO</v>
      </c>
      <c r="J896" s="5" t="str">
        <f>IFERROR(VLOOKUP(Consulta1[[#This Row],[Pozo]],'Lista Oportunidades'!B:C,2,FALSE),"NO")</f>
        <v>NO</v>
      </c>
      <c r="K896" s="5">
        <f>IFERROR(VLOOKUP(Consulta1[[#This Row],[Pozo largo]],Controles!B:H,7,FALSE),"NO")</f>
        <v>1.1599999999999999</v>
      </c>
      <c r="L896" s="5">
        <f>IFERROR(VLOOKUP(Consulta1[[#This Row],[Pozo largo]],Controles!B:J,9,FALSE),"NO")</f>
        <v>0</v>
      </c>
    </row>
    <row r="897" spans="2:12" x14ac:dyDescent="0.35">
      <c r="B897" s="4" t="s">
        <v>1754</v>
      </c>
      <c r="C897" s="4" t="s">
        <v>6639</v>
      </c>
      <c r="D897" s="4" t="s">
        <v>5</v>
      </c>
      <c r="E897" s="4" t="s">
        <v>12</v>
      </c>
      <c r="F897" s="4" t="s">
        <v>7</v>
      </c>
      <c r="G897" s="4" t="s">
        <v>13</v>
      </c>
      <c r="H897" s="4" t="s">
        <v>36</v>
      </c>
      <c r="I897" s="5" t="str">
        <f>IFERROR(VLOOKUP(Consulta1[[#This Row],[Pozo largo]],'Lista YPF'!$B$3:$C$358,2,FALSE),"NO")</f>
        <v>NO</v>
      </c>
      <c r="J897" s="5" t="str">
        <f>IFERROR(VLOOKUP(Consulta1[[#This Row],[Pozo]],'Lista Oportunidades'!B:C,2,FALSE),"NO")</f>
        <v>NO</v>
      </c>
      <c r="K897" s="5">
        <f>IFERROR(VLOOKUP(Consulta1[[#This Row],[Pozo largo]],Controles!B:H,7,FALSE),"NO")</f>
        <v>1.089</v>
      </c>
      <c r="L897" s="5">
        <f>IFERROR(VLOOKUP(Consulta1[[#This Row],[Pozo largo]],Controles!B:J,9,FALSE),"NO")</f>
        <v>0</v>
      </c>
    </row>
    <row r="898" spans="2:12" x14ac:dyDescent="0.35">
      <c r="B898" s="4" t="s">
        <v>1756</v>
      </c>
      <c r="C898" s="4" t="s">
        <v>6640</v>
      </c>
      <c r="D898" s="4" t="s">
        <v>5</v>
      </c>
      <c r="E898" s="4" t="s">
        <v>30</v>
      </c>
      <c r="F898" s="4" t="s">
        <v>31</v>
      </c>
      <c r="G898" s="4" t="s">
        <v>32</v>
      </c>
      <c r="H898" s="4" t="s">
        <v>36</v>
      </c>
      <c r="I898" s="5" t="str">
        <f>IFERROR(VLOOKUP(Consulta1[[#This Row],[Pozo largo]],'Lista YPF'!$B$3:$C$358,2,FALSE),"NO")</f>
        <v>NO</v>
      </c>
      <c r="J898" s="5" t="str">
        <f>IFERROR(VLOOKUP(Consulta1[[#This Row],[Pozo]],'Lista Oportunidades'!B:C,2,FALSE),"NO")</f>
        <v>NO</v>
      </c>
      <c r="K898" s="5" t="str">
        <f>IFERROR(VLOOKUP(Consulta1[[#This Row],[Pozo largo]],Controles!B:H,7,FALSE),"NO")</f>
        <v>NO</v>
      </c>
      <c r="L898" s="5" t="str">
        <f>IFERROR(VLOOKUP(Consulta1[[#This Row],[Pozo largo]],Controles!B:J,9,FALSE),"NO")</f>
        <v>NO</v>
      </c>
    </row>
    <row r="899" spans="2:12" x14ac:dyDescent="0.35">
      <c r="B899" s="4" t="s">
        <v>1757</v>
      </c>
      <c r="C899" s="4" t="s">
        <v>6641</v>
      </c>
      <c r="D899" s="4" t="s">
        <v>5</v>
      </c>
      <c r="E899" s="4" t="s">
        <v>30</v>
      </c>
      <c r="F899" s="4" t="s">
        <v>31</v>
      </c>
      <c r="G899" s="4" t="s">
        <v>32</v>
      </c>
      <c r="H899" s="4" t="s">
        <v>36</v>
      </c>
      <c r="I899" s="5" t="str">
        <f>IFERROR(VLOOKUP(Consulta1[[#This Row],[Pozo largo]],'Lista YPF'!$B$3:$C$358,2,FALSE),"NO")</f>
        <v>NO</v>
      </c>
      <c r="J899" s="5" t="str">
        <f>IFERROR(VLOOKUP(Consulta1[[#This Row],[Pozo]],'Lista Oportunidades'!B:C,2,FALSE),"NO")</f>
        <v>NO</v>
      </c>
      <c r="K899" s="5" t="str">
        <f>IFERROR(VLOOKUP(Consulta1[[#This Row],[Pozo largo]],Controles!B:H,7,FALSE),"NO")</f>
        <v>NO</v>
      </c>
      <c r="L899" s="5" t="str">
        <f>IFERROR(VLOOKUP(Consulta1[[#This Row],[Pozo largo]],Controles!B:J,9,FALSE),"NO")</f>
        <v>NO</v>
      </c>
    </row>
    <row r="900" spans="2:12" x14ac:dyDescent="0.35">
      <c r="B900" s="4" t="s">
        <v>1758</v>
      </c>
      <c r="C900" s="4" t="s">
        <v>6642</v>
      </c>
      <c r="D900" s="4" t="s">
        <v>5</v>
      </c>
      <c r="E900" s="4" t="s">
        <v>30</v>
      </c>
      <c r="F900" s="4" t="s">
        <v>31</v>
      </c>
      <c r="G900" s="4" t="s">
        <v>32</v>
      </c>
      <c r="H900" s="4" t="s">
        <v>80</v>
      </c>
      <c r="I900" s="5" t="str">
        <f>IFERROR(VLOOKUP(Consulta1[[#This Row],[Pozo largo]],'Lista YPF'!$B$3:$C$358,2,FALSE),"NO")</f>
        <v>NO</v>
      </c>
      <c r="J900" s="5" t="str">
        <f>IFERROR(VLOOKUP(Consulta1[[#This Row],[Pozo]],'Lista Oportunidades'!B:C,2,FALSE),"NO")</f>
        <v>NO</v>
      </c>
      <c r="K900" s="5">
        <f>IFERROR(VLOOKUP(Consulta1[[#This Row],[Pozo largo]],Controles!B:H,7,FALSE),"NO")</f>
        <v>0.26900000000000002</v>
      </c>
      <c r="L900" s="5">
        <f>IFERROR(VLOOKUP(Consulta1[[#This Row],[Pozo largo]],Controles!B:J,9,FALSE),"NO")</f>
        <v>0</v>
      </c>
    </row>
    <row r="901" spans="2:12" x14ac:dyDescent="0.35">
      <c r="B901" s="4" t="s">
        <v>1760</v>
      </c>
      <c r="C901" s="4" t="s">
        <v>6643</v>
      </c>
      <c r="D901" s="4" t="s">
        <v>5</v>
      </c>
      <c r="E901" s="4" t="s">
        <v>30</v>
      </c>
      <c r="F901" s="4" t="s">
        <v>31</v>
      </c>
      <c r="G901" s="4" t="s">
        <v>32</v>
      </c>
      <c r="H901" s="4" t="s">
        <v>91</v>
      </c>
      <c r="I901" s="5" t="str">
        <f>IFERROR(VLOOKUP(Consulta1[[#This Row],[Pozo largo]],'Lista YPF'!$B$3:$C$358,2,FALSE),"NO")</f>
        <v>NO</v>
      </c>
      <c r="J901" s="5" t="str">
        <f>IFERROR(VLOOKUP(Consulta1[[#This Row],[Pozo]],'Lista Oportunidades'!B:C,2,FALSE),"NO")</f>
        <v>NO</v>
      </c>
      <c r="K901" s="5" t="str">
        <f>IFERROR(VLOOKUP(Consulta1[[#This Row],[Pozo largo]],Controles!B:H,7,FALSE),"NO")</f>
        <v>NO</v>
      </c>
      <c r="L901" s="5" t="str">
        <f>IFERROR(VLOOKUP(Consulta1[[#This Row],[Pozo largo]],Controles!B:J,9,FALSE),"NO")</f>
        <v>NO</v>
      </c>
    </row>
    <row r="902" spans="2:12" x14ac:dyDescent="0.35">
      <c r="B902" s="4" t="s">
        <v>1761</v>
      </c>
      <c r="C902" s="4" t="s">
        <v>6644</v>
      </c>
      <c r="D902" s="4" t="s">
        <v>5</v>
      </c>
      <c r="E902" s="4" t="s">
        <v>30</v>
      </c>
      <c r="F902" s="4" t="s">
        <v>31</v>
      </c>
      <c r="G902" s="4" t="s">
        <v>32</v>
      </c>
      <c r="H902" s="4" t="s">
        <v>86</v>
      </c>
      <c r="I902" s="5" t="str">
        <f>IFERROR(VLOOKUP(Consulta1[[#This Row],[Pozo largo]],'Lista YPF'!$B$3:$C$358,2,FALSE),"NO")</f>
        <v>NO</v>
      </c>
      <c r="J902" s="5" t="str">
        <f>IFERROR(VLOOKUP(Consulta1[[#This Row],[Pozo]],'Lista Oportunidades'!B:C,2,FALSE),"NO")</f>
        <v>NO</v>
      </c>
      <c r="K902" s="5">
        <f>IFERROR(VLOOKUP(Consulta1[[#This Row],[Pozo largo]],Controles!B:H,7,FALSE),"NO")</f>
        <v>0</v>
      </c>
      <c r="L902" s="5">
        <f>IFERROR(VLOOKUP(Consulta1[[#This Row],[Pozo largo]],Controles!B:J,9,FALSE),"NO")</f>
        <v>0</v>
      </c>
    </row>
    <row r="903" spans="2:12" x14ac:dyDescent="0.35">
      <c r="B903" s="4" t="s">
        <v>1763</v>
      </c>
      <c r="C903" s="4" t="s">
        <v>6645</v>
      </c>
      <c r="D903" s="4" t="s">
        <v>5</v>
      </c>
      <c r="E903" s="4" t="s">
        <v>12</v>
      </c>
      <c r="F903" s="4" t="s">
        <v>7</v>
      </c>
      <c r="G903" s="4" t="s">
        <v>13</v>
      </c>
      <c r="H903" s="4" t="s">
        <v>86</v>
      </c>
      <c r="I903" s="5" t="str">
        <f>IFERROR(VLOOKUP(Consulta1[[#This Row],[Pozo largo]],'Lista YPF'!$B$3:$C$358,2,FALSE),"NO")</f>
        <v>NO</v>
      </c>
      <c r="J903" s="5" t="str">
        <f>IFERROR(VLOOKUP(Consulta1[[#This Row],[Pozo]],'Lista Oportunidades'!B:C,2,FALSE),"NO")</f>
        <v>NO</v>
      </c>
      <c r="K903" s="5">
        <f>IFERROR(VLOOKUP(Consulta1[[#This Row],[Pozo largo]],Controles!B:H,7,FALSE),"NO")</f>
        <v>1.68</v>
      </c>
      <c r="L903" s="5">
        <f>IFERROR(VLOOKUP(Consulta1[[#This Row],[Pozo largo]],Controles!B:J,9,FALSE),"NO")</f>
        <v>0</v>
      </c>
    </row>
    <row r="904" spans="2:12" x14ac:dyDescent="0.35">
      <c r="B904" s="4" t="s">
        <v>1765</v>
      </c>
      <c r="C904" s="4" t="s">
        <v>6646</v>
      </c>
      <c r="D904" s="4" t="s">
        <v>5</v>
      </c>
      <c r="E904" s="4" t="s">
        <v>12</v>
      </c>
      <c r="F904" s="4" t="s">
        <v>25</v>
      </c>
      <c r="G904" s="4" t="s">
        <v>13</v>
      </c>
      <c r="H904" s="4" t="s">
        <v>86</v>
      </c>
      <c r="I904" s="5" t="str">
        <f>IFERROR(VLOOKUP(Consulta1[[#This Row],[Pozo largo]],'Lista YPF'!$B$3:$C$358,2,FALSE),"NO")</f>
        <v>NO</v>
      </c>
      <c r="J904" s="5" t="str">
        <f>IFERROR(VLOOKUP(Consulta1[[#This Row],[Pozo]],'Lista Oportunidades'!B:C,2,FALSE),"NO")</f>
        <v>NO</v>
      </c>
      <c r="K904" s="5">
        <f>IFERROR(VLOOKUP(Consulta1[[#This Row],[Pozo largo]],Controles!B:H,7,FALSE),"NO")</f>
        <v>2.9000000000000001E-2</v>
      </c>
      <c r="L904" s="5">
        <f>IFERROR(VLOOKUP(Consulta1[[#This Row],[Pozo largo]],Controles!B:J,9,FALSE),"NO")</f>
        <v>0</v>
      </c>
    </row>
    <row r="905" spans="2:12" x14ac:dyDescent="0.35">
      <c r="B905" s="4" t="s">
        <v>1767</v>
      </c>
      <c r="C905" s="4" t="s">
        <v>6647</v>
      </c>
      <c r="D905" s="4" t="s">
        <v>5</v>
      </c>
      <c r="E905" s="4" t="s">
        <v>12</v>
      </c>
      <c r="F905" s="4" t="s">
        <v>7</v>
      </c>
      <c r="G905" s="4" t="s">
        <v>13</v>
      </c>
      <c r="H905" s="4" t="s">
        <v>86</v>
      </c>
      <c r="I905" s="5" t="str">
        <f>IFERROR(VLOOKUP(Consulta1[[#This Row],[Pozo largo]],'Lista YPF'!$B$3:$C$358,2,FALSE),"NO")</f>
        <v>NO</v>
      </c>
      <c r="J905" s="5" t="str">
        <f>IFERROR(VLOOKUP(Consulta1[[#This Row],[Pozo]],'Lista Oportunidades'!B:C,2,FALSE),"NO")</f>
        <v>NO</v>
      </c>
      <c r="K905" s="5">
        <f>IFERROR(VLOOKUP(Consulta1[[#This Row],[Pozo largo]],Controles!B:H,7,FALSE),"NO")</f>
        <v>1.1000000000000001</v>
      </c>
      <c r="L905" s="5">
        <f>IFERROR(VLOOKUP(Consulta1[[#This Row],[Pozo largo]],Controles!B:J,9,FALSE),"NO")</f>
        <v>0</v>
      </c>
    </row>
    <row r="906" spans="2:12" x14ac:dyDescent="0.35">
      <c r="B906" s="4" t="s">
        <v>1769</v>
      </c>
      <c r="C906" s="4" t="s">
        <v>6648</v>
      </c>
      <c r="D906" s="4" t="s">
        <v>5</v>
      </c>
      <c r="E906" s="4" t="s">
        <v>6</v>
      </c>
      <c r="F906" s="4" t="s">
        <v>7</v>
      </c>
      <c r="G906" s="4" t="s">
        <v>5718</v>
      </c>
      <c r="H906" s="4" t="s">
        <v>86</v>
      </c>
      <c r="I906" s="5" t="str">
        <f>IFERROR(VLOOKUP(Consulta1[[#This Row],[Pozo largo]],'Lista YPF'!$B$3:$C$358,2,FALSE),"NO")</f>
        <v>En lista de Abandono</v>
      </c>
      <c r="J906" s="5" t="str">
        <f>IFERROR(VLOOKUP(Consulta1[[#This Row],[Pozo]],'Lista Oportunidades'!B:C,2,FALSE),"NO")</f>
        <v>NO</v>
      </c>
      <c r="K906" s="5">
        <f>IFERROR(VLOOKUP(Consulta1[[#This Row],[Pozo largo]],Controles!B:H,7,FALSE),"NO")</f>
        <v>0.44800000000000001</v>
      </c>
      <c r="L906" s="5">
        <f>IFERROR(VLOOKUP(Consulta1[[#This Row],[Pozo largo]],Controles!B:J,9,FALSE),"NO")</f>
        <v>0</v>
      </c>
    </row>
    <row r="907" spans="2:12" x14ac:dyDescent="0.35">
      <c r="B907" s="4" t="s">
        <v>1771</v>
      </c>
      <c r="C907" s="4" t="s">
        <v>6649</v>
      </c>
      <c r="D907" s="4" t="s">
        <v>5</v>
      </c>
      <c r="E907" s="4" t="s">
        <v>12</v>
      </c>
      <c r="F907" s="4" t="s">
        <v>28</v>
      </c>
      <c r="G907" s="4" t="s">
        <v>13</v>
      </c>
      <c r="H907" s="4" t="s">
        <v>86</v>
      </c>
      <c r="I907" s="5" t="str">
        <f>IFERROR(VLOOKUP(Consulta1[[#This Row],[Pozo largo]],'Lista YPF'!$B$3:$C$358,2,FALSE),"NO")</f>
        <v>NO</v>
      </c>
      <c r="J907" s="5" t="str">
        <f>IFERROR(VLOOKUP(Consulta1[[#This Row],[Pozo]],'Lista Oportunidades'!B:C,2,FALSE),"NO")</f>
        <v>NO</v>
      </c>
      <c r="K907" s="5">
        <f>IFERROR(VLOOKUP(Consulta1[[#This Row],[Pozo largo]],Controles!B:H,7,FALSE),"NO")</f>
        <v>0</v>
      </c>
      <c r="L907" s="5">
        <f>IFERROR(VLOOKUP(Consulta1[[#This Row],[Pozo largo]],Controles!B:J,9,FALSE),"NO")</f>
        <v>0</v>
      </c>
    </row>
    <row r="908" spans="2:12" x14ac:dyDescent="0.35">
      <c r="B908" s="4" t="s">
        <v>1773</v>
      </c>
      <c r="C908" s="4" t="s">
        <v>6650</v>
      </c>
      <c r="D908" s="4" t="s">
        <v>5</v>
      </c>
      <c r="E908" s="4" t="s">
        <v>12</v>
      </c>
      <c r="F908" s="4" t="s">
        <v>7</v>
      </c>
      <c r="G908" s="4" t="s">
        <v>13</v>
      </c>
      <c r="H908" s="4" t="s">
        <v>86</v>
      </c>
      <c r="I908" s="5" t="str">
        <f>IFERROR(VLOOKUP(Consulta1[[#This Row],[Pozo largo]],'Lista YPF'!$B$3:$C$358,2,FALSE),"NO")</f>
        <v>NO</v>
      </c>
      <c r="J908" s="5" t="str">
        <f>IFERROR(VLOOKUP(Consulta1[[#This Row],[Pozo]],'Lista Oportunidades'!B:C,2,FALSE),"NO")</f>
        <v>NO</v>
      </c>
      <c r="K908" s="5">
        <f>IFERROR(VLOOKUP(Consulta1[[#This Row],[Pozo largo]],Controles!B:H,7,FALSE),"NO")</f>
        <v>1.2</v>
      </c>
      <c r="L908" s="5">
        <f>IFERROR(VLOOKUP(Consulta1[[#This Row],[Pozo largo]],Controles!B:J,9,FALSE),"NO")</f>
        <v>0</v>
      </c>
    </row>
    <row r="909" spans="2:12" x14ac:dyDescent="0.35">
      <c r="B909" s="4" t="s">
        <v>1775</v>
      </c>
      <c r="C909" s="4" t="s">
        <v>6651</v>
      </c>
      <c r="D909" s="4" t="s">
        <v>5</v>
      </c>
      <c r="E909" s="4" t="s">
        <v>24</v>
      </c>
      <c r="F909" s="4" t="s">
        <v>31</v>
      </c>
      <c r="G909" s="4" t="s">
        <v>8</v>
      </c>
      <c r="H909" s="4" t="s">
        <v>185</v>
      </c>
      <c r="I909" s="5" t="str">
        <f>IFERROR(VLOOKUP(Consulta1[[#This Row],[Pozo largo]],'Lista YPF'!$B$3:$C$358,2,FALSE),"NO")</f>
        <v>NO</v>
      </c>
      <c r="J909" s="5" t="str">
        <f>IFERROR(VLOOKUP(Consulta1[[#This Row],[Pozo]],'Lista Oportunidades'!B:C,2,FALSE),"NO")</f>
        <v>NO</v>
      </c>
      <c r="K909" s="5">
        <f>IFERROR(VLOOKUP(Consulta1[[#This Row],[Pozo largo]],Controles!B:H,7,FALSE),"NO")</f>
        <v>0.18</v>
      </c>
      <c r="L909" s="5">
        <f>IFERROR(VLOOKUP(Consulta1[[#This Row],[Pozo largo]],Controles!B:J,9,FALSE),"NO")</f>
        <v>0</v>
      </c>
    </row>
    <row r="910" spans="2:12" x14ac:dyDescent="0.35">
      <c r="B910" s="4" t="s">
        <v>1777</v>
      </c>
      <c r="C910" s="4" t="s">
        <v>6652</v>
      </c>
      <c r="D910" s="4" t="s">
        <v>5</v>
      </c>
      <c r="E910" s="4" t="s">
        <v>12</v>
      </c>
      <c r="F910" s="4" t="s">
        <v>28</v>
      </c>
      <c r="G910" s="4" t="s">
        <v>13</v>
      </c>
      <c r="H910" s="4" t="s">
        <v>185</v>
      </c>
      <c r="I910" s="5" t="str">
        <f>IFERROR(VLOOKUP(Consulta1[[#This Row],[Pozo largo]],'Lista YPF'!$B$3:$C$358,2,FALSE),"NO")</f>
        <v>NO</v>
      </c>
      <c r="J910" s="5" t="str">
        <f>IFERROR(VLOOKUP(Consulta1[[#This Row],[Pozo]],'Lista Oportunidades'!B:C,2,FALSE),"NO")</f>
        <v>NO</v>
      </c>
      <c r="K910" s="5">
        <f>IFERROR(VLOOKUP(Consulta1[[#This Row],[Pozo largo]],Controles!B:H,7,FALSE),"NO")</f>
        <v>0</v>
      </c>
      <c r="L910" s="5">
        <f>IFERROR(VLOOKUP(Consulta1[[#This Row],[Pozo largo]],Controles!B:J,9,FALSE),"NO")</f>
        <v>0</v>
      </c>
    </row>
    <row r="911" spans="2:12" x14ac:dyDescent="0.35">
      <c r="B911" s="4" t="s">
        <v>1779</v>
      </c>
      <c r="C911" s="4" t="s">
        <v>6653</v>
      </c>
      <c r="D911" s="4" t="s">
        <v>5</v>
      </c>
      <c r="E911" s="4" t="s">
        <v>12</v>
      </c>
      <c r="F911" s="4" t="s">
        <v>28</v>
      </c>
      <c r="G911" s="4" t="s">
        <v>13</v>
      </c>
      <c r="H911" s="4" t="s">
        <v>141</v>
      </c>
      <c r="I911" s="5" t="str">
        <f>IFERROR(VLOOKUP(Consulta1[[#This Row],[Pozo largo]],'Lista YPF'!$B$3:$C$358,2,FALSE),"NO")</f>
        <v>NO</v>
      </c>
      <c r="J911" s="5" t="str">
        <f>IFERROR(VLOOKUP(Consulta1[[#This Row],[Pozo]],'Lista Oportunidades'!B:C,2,FALSE),"NO")</f>
        <v>NO</v>
      </c>
      <c r="K911" s="5">
        <f>IFERROR(VLOOKUP(Consulta1[[#This Row],[Pozo largo]],Controles!B:H,7,FALSE),"NO")</f>
        <v>0</v>
      </c>
      <c r="L911" s="5">
        <f>IFERROR(VLOOKUP(Consulta1[[#This Row],[Pozo largo]],Controles!B:J,9,FALSE),"NO")</f>
        <v>0</v>
      </c>
    </row>
    <row r="912" spans="2:12" x14ac:dyDescent="0.35">
      <c r="B912" s="4" t="s">
        <v>1781</v>
      </c>
      <c r="C912" s="4" t="s">
        <v>6654</v>
      </c>
      <c r="D912" s="4" t="s">
        <v>5</v>
      </c>
      <c r="E912" s="4" t="s">
        <v>24</v>
      </c>
      <c r="F912" s="4" t="s">
        <v>25</v>
      </c>
      <c r="G912" s="4" t="s">
        <v>8</v>
      </c>
      <c r="H912" s="4" t="s">
        <v>185</v>
      </c>
      <c r="I912" s="5" t="str">
        <f>IFERROR(VLOOKUP(Consulta1[[#This Row],[Pozo largo]],'Lista YPF'!$B$3:$C$358,2,FALSE),"NO")</f>
        <v>NO</v>
      </c>
      <c r="J912" s="5" t="str">
        <f>IFERROR(VLOOKUP(Consulta1[[#This Row],[Pozo]],'Lista Oportunidades'!B:C,2,FALSE),"NO")</f>
        <v>NO</v>
      </c>
      <c r="K912" s="5">
        <f>IFERROR(VLOOKUP(Consulta1[[#This Row],[Pozo largo]],Controles!B:H,7,FALSE),"NO")</f>
        <v>5.9000000000000004E-2</v>
      </c>
      <c r="L912" s="5">
        <f>IFERROR(VLOOKUP(Consulta1[[#This Row],[Pozo largo]],Controles!B:J,9,FALSE),"NO")</f>
        <v>0</v>
      </c>
    </row>
    <row r="913" spans="2:12" x14ac:dyDescent="0.35">
      <c r="B913" s="4" t="s">
        <v>1783</v>
      </c>
      <c r="C913" s="4" t="s">
        <v>6655</v>
      </c>
      <c r="D913" s="4" t="s">
        <v>5</v>
      </c>
      <c r="E913" s="4" t="s">
        <v>30</v>
      </c>
      <c r="F913" s="4" t="s">
        <v>31</v>
      </c>
      <c r="G913" s="4" t="s">
        <v>32</v>
      </c>
      <c r="H913" s="4" t="s">
        <v>185</v>
      </c>
      <c r="I913" s="5" t="str">
        <f>IFERROR(VLOOKUP(Consulta1[[#This Row],[Pozo largo]],'Lista YPF'!$B$3:$C$358,2,FALSE),"NO")</f>
        <v>NO</v>
      </c>
      <c r="J913" s="5" t="str">
        <f>IFERROR(VLOOKUP(Consulta1[[#This Row],[Pozo]],'Lista Oportunidades'!B:C,2,FALSE),"NO")</f>
        <v>NO</v>
      </c>
      <c r="K913" s="5" t="str">
        <f>IFERROR(VLOOKUP(Consulta1[[#This Row],[Pozo largo]],Controles!B:H,7,FALSE),"NO")</f>
        <v>NO</v>
      </c>
      <c r="L913" s="5" t="str">
        <f>IFERROR(VLOOKUP(Consulta1[[#This Row],[Pozo largo]],Controles!B:J,9,FALSE),"NO")</f>
        <v>NO</v>
      </c>
    </row>
    <row r="914" spans="2:12" x14ac:dyDescent="0.35">
      <c r="B914" s="4" t="s">
        <v>1784</v>
      </c>
      <c r="C914" s="4" t="s">
        <v>6656</v>
      </c>
      <c r="D914" s="4" t="s">
        <v>5</v>
      </c>
      <c r="E914" s="4" t="s">
        <v>12</v>
      </c>
      <c r="F914" s="4" t="s">
        <v>7</v>
      </c>
      <c r="G914" s="4" t="s">
        <v>13</v>
      </c>
      <c r="H914" s="4" t="s">
        <v>290</v>
      </c>
      <c r="I914" s="5" t="str">
        <f>IFERROR(VLOOKUP(Consulta1[[#This Row],[Pozo largo]],'Lista YPF'!$B$3:$C$358,2,FALSE),"NO")</f>
        <v>NO</v>
      </c>
      <c r="J914" s="5" t="str">
        <f>IFERROR(VLOOKUP(Consulta1[[#This Row],[Pozo]],'Lista Oportunidades'!B:C,2,FALSE),"NO")</f>
        <v>NO</v>
      </c>
      <c r="K914" s="5">
        <f>IFERROR(VLOOKUP(Consulta1[[#This Row],[Pozo largo]],Controles!B:H,7,FALSE),"NO")</f>
        <v>0.6</v>
      </c>
      <c r="L914" s="5">
        <f>IFERROR(VLOOKUP(Consulta1[[#This Row],[Pozo largo]],Controles!B:J,9,FALSE),"NO")</f>
        <v>0</v>
      </c>
    </row>
    <row r="915" spans="2:12" x14ac:dyDescent="0.35">
      <c r="B915" s="4" t="s">
        <v>1786</v>
      </c>
      <c r="C915" s="4" t="s">
        <v>6657</v>
      </c>
      <c r="D915" s="4" t="s">
        <v>5</v>
      </c>
      <c r="E915" s="4" t="s">
        <v>57</v>
      </c>
      <c r="F915" s="4" t="s">
        <v>31</v>
      </c>
      <c r="G915" s="4" t="s">
        <v>5718</v>
      </c>
      <c r="H915" s="4" t="s">
        <v>149</v>
      </c>
      <c r="I915" s="5" t="str">
        <f>IFERROR(VLOOKUP(Consulta1[[#This Row],[Pozo largo]],'Lista YPF'!$B$3:$C$358,2,FALSE),"NO")</f>
        <v>En lista de Abandono</v>
      </c>
      <c r="J915" s="5" t="str">
        <f>IFERROR(VLOOKUP(Consulta1[[#This Row],[Pozo]],'Lista Oportunidades'!B:C,2,FALSE),"NO")</f>
        <v>NO</v>
      </c>
      <c r="K915" s="5">
        <f>IFERROR(VLOOKUP(Consulta1[[#This Row],[Pozo largo]],Controles!B:H,7,FALSE),"NO")</f>
        <v>0.70000000000000007</v>
      </c>
      <c r="L915" s="5">
        <f>IFERROR(VLOOKUP(Consulta1[[#This Row],[Pozo largo]],Controles!B:J,9,FALSE),"NO")</f>
        <v>0</v>
      </c>
    </row>
    <row r="916" spans="2:12" x14ac:dyDescent="0.35">
      <c r="B916" s="4" t="s">
        <v>1788</v>
      </c>
      <c r="C916" s="4" t="s">
        <v>6658</v>
      </c>
      <c r="D916" s="4" t="s">
        <v>5</v>
      </c>
      <c r="E916" s="4" t="s">
        <v>12</v>
      </c>
      <c r="F916" s="4" t="s">
        <v>25</v>
      </c>
      <c r="G916" s="4" t="s">
        <v>13</v>
      </c>
      <c r="H916" s="4" t="s">
        <v>21</v>
      </c>
      <c r="I916" s="5" t="str">
        <f>IFERROR(VLOOKUP(Consulta1[[#This Row],[Pozo largo]],'Lista YPF'!$B$3:$C$358,2,FALSE),"NO")</f>
        <v>NO</v>
      </c>
      <c r="J916" s="5" t="str">
        <f>IFERROR(VLOOKUP(Consulta1[[#This Row],[Pozo]],'Lista Oportunidades'!B:C,2,FALSE),"NO")</f>
        <v>NO</v>
      </c>
      <c r="K916" s="5">
        <f>IFERROR(VLOOKUP(Consulta1[[#This Row],[Pozo largo]],Controles!B:H,7,FALSE),"NO")</f>
        <v>9.6000000000000002E-2</v>
      </c>
      <c r="L916" s="5">
        <f>IFERROR(VLOOKUP(Consulta1[[#This Row],[Pozo largo]],Controles!B:J,9,FALSE),"NO")</f>
        <v>0</v>
      </c>
    </row>
    <row r="917" spans="2:12" x14ac:dyDescent="0.35">
      <c r="B917" s="4" t="s">
        <v>1790</v>
      </c>
      <c r="C917" s="4" t="s">
        <v>6659</v>
      </c>
      <c r="D917" s="4" t="s">
        <v>5</v>
      </c>
      <c r="E917" s="4" t="s">
        <v>12</v>
      </c>
      <c r="F917" s="4" t="s">
        <v>238</v>
      </c>
      <c r="G917" s="4" t="s">
        <v>13</v>
      </c>
      <c r="H917" s="4" t="s">
        <v>33</v>
      </c>
      <c r="I917" s="5" t="str">
        <f>IFERROR(VLOOKUP(Consulta1[[#This Row],[Pozo largo]],'Lista YPF'!$B$3:$C$358,2,FALSE),"NO")</f>
        <v>NO</v>
      </c>
      <c r="J917" s="5" t="str">
        <f>IFERROR(VLOOKUP(Consulta1[[#This Row],[Pozo]],'Lista Oportunidades'!B:C,2,FALSE),"NO")</f>
        <v>NO</v>
      </c>
      <c r="K917" s="5">
        <f>IFERROR(VLOOKUP(Consulta1[[#This Row],[Pozo largo]],Controles!B:H,7,FALSE),"NO")</f>
        <v>1.54</v>
      </c>
      <c r="L917" s="5">
        <f>IFERROR(VLOOKUP(Consulta1[[#This Row],[Pozo largo]],Controles!B:J,9,FALSE),"NO")</f>
        <v>0</v>
      </c>
    </row>
    <row r="918" spans="2:12" x14ac:dyDescent="0.35">
      <c r="B918" s="4" t="s">
        <v>1792</v>
      </c>
      <c r="C918" s="4" t="s">
        <v>6660</v>
      </c>
      <c r="D918" s="4" t="s">
        <v>5</v>
      </c>
      <c r="E918" s="4" t="s">
        <v>12</v>
      </c>
      <c r="F918" s="4" t="s">
        <v>7</v>
      </c>
      <c r="G918" s="4" t="s">
        <v>13</v>
      </c>
      <c r="H918" s="4" t="s">
        <v>33</v>
      </c>
      <c r="I918" s="5" t="str">
        <f>IFERROR(VLOOKUP(Consulta1[[#This Row],[Pozo largo]],'Lista YPF'!$B$3:$C$358,2,FALSE),"NO")</f>
        <v>NO</v>
      </c>
      <c r="J918" s="5" t="str">
        <f>IFERROR(VLOOKUP(Consulta1[[#This Row],[Pozo]],'Lista Oportunidades'!B:C,2,FALSE),"NO")</f>
        <v>NO</v>
      </c>
      <c r="K918" s="5">
        <f>IFERROR(VLOOKUP(Consulta1[[#This Row],[Pozo largo]],Controles!B:H,7,FALSE),"NO")</f>
        <v>0.10200000000000001</v>
      </c>
      <c r="L918" s="5">
        <f>IFERROR(VLOOKUP(Consulta1[[#This Row],[Pozo largo]],Controles!B:J,9,FALSE),"NO")</f>
        <v>0</v>
      </c>
    </row>
    <row r="919" spans="2:12" x14ac:dyDescent="0.35">
      <c r="B919" s="4" t="s">
        <v>1794</v>
      </c>
      <c r="C919" s="4" t="s">
        <v>6661</v>
      </c>
      <c r="D919" s="4" t="s">
        <v>5</v>
      </c>
      <c r="E919" s="4" t="s">
        <v>30</v>
      </c>
      <c r="F919" s="4" t="s">
        <v>31</v>
      </c>
      <c r="G919" s="4" t="s">
        <v>32</v>
      </c>
      <c r="H919" s="4" t="s">
        <v>33</v>
      </c>
      <c r="I919" s="5" t="str">
        <f>IFERROR(VLOOKUP(Consulta1[[#This Row],[Pozo largo]],'Lista YPF'!$B$3:$C$358,2,FALSE),"NO")</f>
        <v>NO</v>
      </c>
      <c r="J919" s="5" t="str">
        <f>IFERROR(VLOOKUP(Consulta1[[#This Row],[Pozo]],'Lista Oportunidades'!B:C,2,FALSE),"NO")</f>
        <v>NO</v>
      </c>
      <c r="K919" s="5" t="str">
        <f>IFERROR(VLOOKUP(Consulta1[[#This Row],[Pozo largo]],Controles!B:H,7,FALSE),"NO")</f>
        <v>NO</v>
      </c>
      <c r="L919" s="5" t="str">
        <f>IFERROR(VLOOKUP(Consulta1[[#This Row],[Pozo largo]],Controles!B:J,9,FALSE),"NO")</f>
        <v>NO</v>
      </c>
    </row>
    <row r="920" spans="2:12" x14ac:dyDescent="0.35">
      <c r="B920" s="4" t="s">
        <v>1795</v>
      </c>
      <c r="C920" s="4" t="s">
        <v>6662</v>
      </c>
      <c r="D920" s="4" t="s">
        <v>5</v>
      </c>
      <c r="E920" s="4" t="s">
        <v>12</v>
      </c>
      <c r="F920" s="4" t="s">
        <v>7</v>
      </c>
      <c r="G920" s="4" t="s">
        <v>13</v>
      </c>
      <c r="H920" s="4" t="s">
        <v>33</v>
      </c>
      <c r="I920" s="5" t="str">
        <f>IFERROR(VLOOKUP(Consulta1[[#This Row],[Pozo largo]],'Lista YPF'!$B$3:$C$358,2,FALSE),"NO")</f>
        <v>NO</v>
      </c>
      <c r="J920" s="5" t="str">
        <f>IFERROR(VLOOKUP(Consulta1[[#This Row],[Pozo]],'Lista Oportunidades'!B:C,2,FALSE),"NO")</f>
        <v>NO</v>
      </c>
      <c r="K920" s="5">
        <f>IFERROR(VLOOKUP(Consulta1[[#This Row],[Pozo largo]],Controles!B:H,7,FALSE),"NO")</f>
        <v>2.21</v>
      </c>
      <c r="L920" s="5">
        <f>IFERROR(VLOOKUP(Consulta1[[#This Row],[Pozo largo]],Controles!B:J,9,FALSE),"NO")</f>
        <v>0</v>
      </c>
    </row>
    <row r="921" spans="2:12" x14ac:dyDescent="0.35">
      <c r="B921" s="4" t="s">
        <v>1797</v>
      </c>
      <c r="C921" s="4" t="s">
        <v>6663</v>
      </c>
      <c r="D921" s="4" t="s">
        <v>5</v>
      </c>
      <c r="E921" s="4" t="s">
        <v>30</v>
      </c>
      <c r="F921" s="4" t="s">
        <v>31</v>
      </c>
      <c r="G921" s="4" t="s">
        <v>32</v>
      </c>
      <c r="H921" s="4" t="s">
        <v>21</v>
      </c>
      <c r="I921" s="5" t="str">
        <f>IFERROR(VLOOKUP(Consulta1[[#This Row],[Pozo largo]],'Lista YPF'!$B$3:$C$358,2,FALSE),"NO")</f>
        <v>NO</v>
      </c>
      <c r="J921" s="5" t="str">
        <f>IFERROR(VLOOKUP(Consulta1[[#This Row],[Pozo]],'Lista Oportunidades'!B:C,2,FALSE),"NO")</f>
        <v>NO</v>
      </c>
      <c r="K921" s="5" t="str">
        <f>IFERROR(VLOOKUP(Consulta1[[#This Row],[Pozo largo]],Controles!B:H,7,FALSE),"NO")</f>
        <v>NO</v>
      </c>
      <c r="L921" s="5" t="str">
        <f>IFERROR(VLOOKUP(Consulta1[[#This Row],[Pozo largo]],Controles!B:J,9,FALSE),"NO")</f>
        <v>NO</v>
      </c>
    </row>
    <row r="922" spans="2:12" x14ac:dyDescent="0.35">
      <c r="B922" s="4" t="s">
        <v>1798</v>
      </c>
      <c r="C922" s="4" t="s">
        <v>6664</v>
      </c>
      <c r="D922" s="4" t="s">
        <v>5</v>
      </c>
      <c r="E922" s="4" t="s">
        <v>30</v>
      </c>
      <c r="F922" s="4" t="s">
        <v>31</v>
      </c>
      <c r="G922" s="4" t="s">
        <v>32</v>
      </c>
      <c r="H922" s="4" t="s">
        <v>185</v>
      </c>
      <c r="I922" s="5" t="str">
        <f>IFERROR(VLOOKUP(Consulta1[[#This Row],[Pozo largo]],'Lista YPF'!$B$3:$C$358,2,FALSE),"NO")</f>
        <v>NO</v>
      </c>
      <c r="J922" s="5" t="str">
        <f>IFERROR(VLOOKUP(Consulta1[[#This Row],[Pozo]],'Lista Oportunidades'!B:C,2,FALSE),"NO")</f>
        <v>NO</v>
      </c>
      <c r="K922" s="5" t="str">
        <f>IFERROR(VLOOKUP(Consulta1[[#This Row],[Pozo largo]],Controles!B:H,7,FALSE),"NO")</f>
        <v>NO</v>
      </c>
      <c r="L922" s="5" t="str">
        <f>IFERROR(VLOOKUP(Consulta1[[#This Row],[Pozo largo]],Controles!B:J,9,FALSE),"NO")</f>
        <v>NO</v>
      </c>
    </row>
    <row r="923" spans="2:12" x14ac:dyDescent="0.35">
      <c r="B923" s="4" t="s">
        <v>1799</v>
      </c>
      <c r="C923" s="4" t="s">
        <v>6665</v>
      </c>
      <c r="D923" s="4" t="s">
        <v>5</v>
      </c>
      <c r="E923" s="4" t="s">
        <v>30</v>
      </c>
      <c r="F923" s="4" t="s">
        <v>31</v>
      </c>
      <c r="G923" s="4" t="s">
        <v>32</v>
      </c>
      <c r="H923" s="4" t="s">
        <v>86</v>
      </c>
      <c r="I923" s="5" t="str">
        <f>IFERROR(VLOOKUP(Consulta1[[#This Row],[Pozo largo]],'Lista YPF'!$B$3:$C$358,2,FALSE),"NO")</f>
        <v>NO</v>
      </c>
      <c r="J923" s="5" t="str">
        <f>IFERROR(VLOOKUP(Consulta1[[#This Row],[Pozo]],'Lista Oportunidades'!B:C,2,FALSE),"NO")</f>
        <v>NO</v>
      </c>
      <c r="K923" s="5" t="str">
        <f>IFERROR(VLOOKUP(Consulta1[[#This Row],[Pozo largo]],Controles!B:H,7,FALSE),"NO")</f>
        <v>NO</v>
      </c>
      <c r="L923" s="5" t="str">
        <f>IFERROR(VLOOKUP(Consulta1[[#This Row],[Pozo largo]],Controles!B:J,9,FALSE),"NO")</f>
        <v>NO</v>
      </c>
    </row>
    <row r="924" spans="2:12" x14ac:dyDescent="0.35">
      <c r="B924" s="4" t="s">
        <v>1800</v>
      </c>
      <c r="C924" s="4" t="s">
        <v>6666</v>
      </c>
      <c r="D924" s="4" t="s">
        <v>5</v>
      </c>
      <c r="E924" s="4" t="s">
        <v>30</v>
      </c>
      <c r="F924" s="4" t="s">
        <v>31</v>
      </c>
      <c r="G924" s="4" t="s">
        <v>32</v>
      </c>
      <c r="H924" s="4" t="s">
        <v>86</v>
      </c>
      <c r="I924" s="5" t="str">
        <f>IFERROR(VLOOKUP(Consulta1[[#This Row],[Pozo largo]],'Lista YPF'!$B$3:$C$358,2,FALSE),"NO")</f>
        <v>NO</v>
      </c>
      <c r="J924" s="5" t="str">
        <f>IFERROR(VLOOKUP(Consulta1[[#This Row],[Pozo]],'Lista Oportunidades'!B:C,2,FALSE),"NO")</f>
        <v>NO</v>
      </c>
      <c r="K924" s="5">
        <f>IFERROR(VLOOKUP(Consulta1[[#This Row],[Pozo largo]],Controles!B:H,7,FALSE),"NO")</f>
        <v>7.03</v>
      </c>
      <c r="L924" s="5">
        <f>IFERROR(VLOOKUP(Consulta1[[#This Row],[Pozo largo]],Controles!B:J,9,FALSE),"NO")</f>
        <v>0</v>
      </c>
    </row>
    <row r="925" spans="2:12" x14ac:dyDescent="0.35">
      <c r="B925" s="4" t="s">
        <v>1802</v>
      </c>
      <c r="C925" s="4" t="s">
        <v>6667</v>
      </c>
      <c r="D925" s="4" t="s">
        <v>5</v>
      </c>
      <c r="E925" s="4" t="s">
        <v>30</v>
      </c>
      <c r="F925" s="4" t="s">
        <v>31</v>
      </c>
      <c r="G925" s="4" t="s">
        <v>32</v>
      </c>
      <c r="H925" s="4" t="s">
        <v>80</v>
      </c>
      <c r="I925" s="5" t="str">
        <f>IFERROR(VLOOKUP(Consulta1[[#This Row],[Pozo largo]],'Lista YPF'!$B$3:$C$358,2,FALSE),"NO")</f>
        <v>NO</v>
      </c>
      <c r="J925" s="5" t="str">
        <f>IFERROR(VLOOKUP(Consulta1[[#This Row],[Pozo]],'Lista Oportunidades'!B:C,2,FALSE),"NO")</f>
        <v>NO</v>
      </c>
      <c r="K925" s="5" t="str">
        <f>IFERROR(VLOOKUP(Consulta1[[#This Row],[Pozo largo]],Controles!B:H,7,FALSE),"NO")</f>
        <v>NO</v>
      </c>
      <c r="L925" s="5" t="str">
        <f>IFERROR(VLOOKUP(Consulta1[[#This Row],[Pozo largo]],Controles!B:J,9,FALSE),"NO")</f>
        <v>NO</v>
      </c>
    </row>
    <row r="926" spans="2:12" x14ac:dyDescent="0.35">
      <c r="B926" s="4" t="s">
        <v>1803</v>
      </c>
      <c r="C926" s="4" t="s">
        <v>6668</v>
      </c>
      <c r="D926" s="4" t="s">
        <v>5</v>
      </c>
      <c r="E926" s="4" t="s">
        <v>12</v>
      </c>
      <c r="F926" s="4" t="s">
        <v>7</v>
      </c>
      <c r="G926" s="4" t="s">
        <v>13</v>
      </c>
      <c r="H926" s="4" t="s">
        <v>141</v>
      </c>
      <c r="I926" s="5" t="str">
        <f>IFERROR(VLOOKUP(Consulta1[[#This Row],[Pozo largo]],'Lista YPF'!$B$3:$C$358,2,FALSE),"NO")</f>
        <v>NO</v>
      </c>
      <c r="J926" s="5" t="str">
        <f>IFERROR(VLOOKUP(Consulta1[[#This Row],[Pozo]],'Lista Oportunidades'!B:C,2,FALSE),"NO")</f>
        <v>NO</v>
      </c>
      <c r="K926" s="5">
        <f>IFERROR(VLOOKUP(Consulta1[[#This Row],[Pozo largo]],Controles!B:H,7,FALSE),"NO")</f>
        <v>2.4650000000000003</v>
      </c>
      <c r="L926" s="5">
        <f>IFERROR(VLOOKUP(Consulta1[[#This Row],[Pozo largo]],Controles!B:J,9,FALSE),"NO")</f>
        <v>0</v>
      </c>
    </row>
    <row r="927" spans="2:12" x14ac:dyDescent="0.35">
      <c r="B927" s="4" t="s">
        <v>1805</v>
      </c>
      <c r="C927" s="4" t="s">
        <v>6669</v>
      </c>
      <c r="D927" s="4" t="s">
        <v>5</v>
      </c>
      <c r="E927" s="4" t="s">
        <v>12</v>
      </c>
      <c r="F927" s="4" t="s">
        <v>28</v>
      </c>
      <c r="G927" s="4" t="s">
        <v>13</v>
      </c>
      <c r="H927" s="4" t="s">
        <v>71</v>
      </c>
      <c r="I927" s="5" t="str">
        <f>IFERROR(VLOOKUP(Consulta1[[#This Row],[Pozo largo]],'Lista YPF'!$B$3:$C$358,2,FALSE),"NO")</f>
        <v>NO</v>
      </c>
      <c r="J927" s="5" t="str">
        <f>IFERROR(VLOOKUP(Consulta1[[#This Row],[Pozo]],'Lista Oportunidades'!B:C,2,FALSE),"NO")</f>
        <v>NO</v>
      </c>
      <c r="K927" s="5">
        <f>IFERROR(VLOOKUP(Consulta1[[#This Row],[Pozo largo]],Controles!B:H,7,FALSE),"NO")</f>
        <v>0</v>
      </c>
      <c r="L927" s="5">
        <f>IFERROR(VLOOKUP(Consulta1[[#This Row],[Pozo largo]],Controles!B:J,9,FALSE),"NO")</f>
        <v>0</v>
      </c>
    </row>
    <row r="928" spans="2:12" x14ac:dyDescent="0.35">
      <c r="B928" s="4" t="s">
        <v>1807</v>
      </c>
      <c r="C928" s="4" t="s">
        <v>6670</v>
      </c>
      <c r="D928" s="4" t="s">
        <v>5</v>
      </c>
      <c r="E928" s="4" t="s">
        <v>12</v>
      </c>
      <c r="F928" s="4" t="s">
        <v>7</v>
      </c>
      <c r="G928" s="4" t="s">
        <v>13</v>
      </c>
      <c r="H928" s="4" t="s">
        <v>86</v>
      </c>
      <c r="I928" s="5" t="str">
        <f>IFERROR(VLOOKUP(Consulta1[[#This Row],[Pozo largo]],'Lista YPF'!$B$3:$C$358,2,FALSE),"NO")</f>
        <v>NO</v>
      </c>
      <c r="J928" s="5" t="str">
        <f>IFERROR(VLOOKUP(Consulta1[[#This Row],[Pozo]],'Lista Oportunidades'!B:C,2,FALSE),"NO")</f>
        <v>NO</v>
      </c>
      <c r="K928" s="5">
        <f>IFERROR(VLOOKUP(Consulta1[[#This Row],[Pozo largo]],Controles!B:H,7,FALSE),"NO")</f>
        <v>2.597</v>
      </c>
      <c r="L928" s="5">
        <f>IFERROR(VLOOKUP(Consulta1[[#This Row],[Pozo largo]],Controles!B:J,9,FALSE),"NO")</f>
        <v>0</v>
      </c>
    </row>
    <row r="929" spans="2:12" x14ac:dyDescent="0.35">
      <c r="B929" s="4" t="s">
        <v>1809</v>
      </c>
      <c r="C929" s="4" t="s">
        <v>6671</v>
      </c>
      <c r="D929" s="4" t="s">
        <v>5</v>
      </c>
      <c r="E929" s="4" t="s">
        <v>24</v>
      </c>
      <c r="F929" s="4" t="s">
        <v>7</v>
      </c>
      <c r="G929" s="4" t="s">
        <v>8689</v>
      </c>
      <c r="H929" s="4" t="s">
        <v>9</v>
      </c>
      <c r="I929" s="5" t="str">
        <f>IFERROR(VLOOKUP(Consulta1[[#This Row],[Pozo largo]],'Lista YPF'!$B$3:$C$358,2,FALSE),"NO")</f>
        <v>NO</v>
      </c>
      <c r="J929" s="5" t="str">
        <f>IFERROR(VLOOKUP(Consulta1[[#This Row],[Pozo]],'Lista Oportunidades'!B:C,2,FALSE),"NO")</f>
        <v>Oportunidad</v>
      </c>
      <c r="K929" s="5">
        <f>IFERROR(VLOOKUP(Consulta1[[#This Row],[Pozo largo]],Controles!B:H,7,FALSE),"NO")</f>
        <v>1.96</v>
      </c>
      <c r="L929" s="5">
        <f>IFERROR(VLOOKUP(Consulta1[[#This Row],[Pozo largo]],Controles!B:J,9,FALSE),"NO")</f>
        <v>0</v>
      </c>
    </row>
    <row r="930" spans="2:12" x14ac:dyDescent="0.35">
      <c r="B930" s="4" t="s">
        <v>1811</v>
      </c>
      <c r="C930" s="4" t="s">
        <v>6672</v>
      </c>
      <c r="D930" s="4" t="s">
        <v>5</v>
      </c>
      <c r="E930" s="4" t="s">
        <v>30</v>
      </c>
      <c r="F930" s="4" t="s">
        <v>31</v>
      </c>
      <c r="G930" s="4" t="s">
        <v>32</v>
      </c>
      <c r="H930" s="4" t="s">
        <v>66</v>
      </c>
      <c r="I930" s="5" t="str">
        <f>IFERROR(VLOOKUP(Consulta1[[#This Row],[Pozo largo]],'Lista YPF'!$B$3:$C$358,2,FALSE),"NO")</f>
        <v>NO</v>
      </c>
      <c r="J930" s="5" t="str">
        <f>IFERROR(VLOOKUP(Consulta1[[#This Row],[Pozo]],'Lista Oportunidades'!B:C,2,FALSE),"NO")</f>
        <v>NO</v>
      </c>
      <c r="K930" s="5" t="str">
        <f>IFERROR(VLOOKUP(Consulta1[[#This Row],[Pozo largo]],Controles!B:H,7,FALSE),"NO")</f>
        <v>NO</v>
      </c>
      <c r="L930" s="5" t="str">
        <f>IFERROR(VLOOKUP(Consulta1[[#This Row],[Pozo largo]],Controles!B:J,9,FALSE),"NO")</f>
        <v>NO</v>
      </c>
    </row>
    <row r="931" spans="2:12" x14ac:dyDescent="0.35">
      <c r="B931" s="4" t="s">
        <v>1812</v>
      </c>
      <c r="C931" s="4" t="s">
        <v>6673</v>
      </c>
      <c r="D931" s="4" t="s">
        <v>5</v>
      </c>
      <c r="E931" s="4" t="s">
        <v>24</v>
      </c>
      <c r="F931" s="4" t="s">
        <v>31</v>
      </c>
      <c r="G931" s="4" t="s">
        <v>8</v>
      </c>
      <c r="H931" s="4" t="s">
        <v>86</v>
      </c>
      <c r="I931" s="5" t="str">
        <f>IFERROR(VLOOKUP(Consulta1[[#This Row],[Pozo largo]],'Lista YPF'!$B$3:$C$358,2,FALSE),"NO")</f>
        <v>NO</v>
      </c>
      <c r="J931" s="5" t="str">
        <f>IFERROR(VLOOKUP(Consulta1[[#This Row],[Pozo]],'Lista Oportunidades'!B:C,2,FALSE),"NO")</f>
        <v>NO</v>
      </c>
      <c r="K931" s="5" t="str">
        <f>IFERROR(VLOOKUP(Consulta1[[#This Row],[Pozo largo]],Controles!B:H,7,FALSE),"NO")</f>
        <v>NO</v>
      </c>
      <c r="L931" s="5" t="str">
        <f>IFERROR(VLOOKUP(Consulta1[[#This Row],[Pozo largo]],Controles!B:J,9,FALSE),"NO")</f>
        <v>NO</v>
      </c>
    </row>
    <row r="932" spans="2:12" x14ac:dyDescent="0.35">
      <c r="B932" s="4" t="s">
        <v>1813</v>
      </c>
      <c r="C932" s="4" t="s">
        <v>6674</v>
      </c>
      <c r="D932" s="4" t="s">
        <v>5</v>
      </c>
      <c r="E932" s="4" t="s">
        <v>30</v>
      </c>
      <c r="F932" s="4" t="s">
        <v>31</v>
      </c>
      <c r="G932" s="4" t="s">
        <v>32</v>
      </c>
      <c r="H932" s="4" t="s">
        <v>185</v>
      </c>
      <c r="I932" s="5" t="str">
        <f>IFERROR(VLOOKUP(Consulta1[[#This Row],[Pozo largo]],'Lista YPF'!$B$3:$C$358,2,FALSE),"NO")</f>
        <v>NO</v>
      </c>
      <c r="J932" s="5" t="str">
        <f>IFERROR(VLOOKUP(Consulta1[[#This Row],[Pozo]],'Lista Oportunidades'!B:C,2,FALSE),"NO")</f>
        <v>NO</v>
      </c>
      <c r="K932" s="5" t="str">
        <f>IFERROR(VLOOKUP(Consulta1[[#This Row],[Pozo largo]],Controles!B:H,7,FALSE),"NO")</f>
        <v>NO</v>
      </c>
      <c r="L932" s="5" t="str">
        <f>IFERROR(VLOOKUP(Consulta1[[#This Row],[Pozo largo]],Controles!B:J,9,FALSE),"NO")</f>
        <v>NO</v>
      </c>
    </row>
    <row r="933" spans="2:12" x14ac:dyDescent="0.35">
      <c r="B933" s="4" t="s">
        <v>1814</v>
      </c>
      <c r="C933" s="4" t="s">
        <v>6675</v>
      </c>
      <c r="D933" s="4" t="s">
        <v>5</v>
      </c>
      <c r="E933" s="4" t="s">
        <v>30</v>
      </c>
      <c r="F933" s="4" t="s">
        <v>31</v>
      </c>
      <c r="G933" s="4" t="s">
        <v>32</v>
      </c>
      <c r="H933" s="4" t="s">
        <v>74</v>
      </c>
      <c r="I933" s="5" t="str">
        <f>IFERROR(VLOOKUP(Consulta1[[#This Row],[Pozo largo]],'Lista YPF'!$B$3:$C$358,2,FALSE),"NO")</f>
        <v>NO</v>
      </c>
      <c r="J933" s="5" t="str">
        <f>IFERROR(VLOOKUP(Consulta1[[#This Row],[Pozo]],'Lista Oportunidades'!B:C,2,FALSE),"NO")</f>
        <v>NO</v>
      </c>
      <c r="K933" s="5" t="str">
        <f>IFERROR(VLOOKUP(Consulta1[[#This Row],[Pozo largo]],Controles!B:H,7,FALSE),"NO")</f>
        <v>NO</v>
      </c>
      <c r="L933" s="5" t="str">
        <f>IFERROR(VLOOKUP(Consulta1[[#This Row],[Pozo largo]],Controles!B:J,9,FALSE),"NO")</f>
        <v>NO</v>
      </c>
    </row>
    <row r="934" spans="2:12" x14ac:dyDescent="0.35">
      <c r="B934" s="4" t="s">
        <v>1815</v>
      </c>
      <c r="C934" s="4" t="s">
        <v>6676</v>
      </c>
      <c r="D934" s="4" t="s">
        <v>5</v>
      </c>
      <c r="E934" s="4" t="s">
        <v>12</v>
      </c>
      <c r="F934" s="4" t="s">
        <v>25</v>
      </c>
      <c r="G934" s="4" t="s">
        <v>13</v>
      </c>
      <c r="H934" s="4" t="s">
        <v>260</v>
      </c>
      <c r="I934" s="5" t="str">
        <f>IFERROR(VLOOKUP(Consulta1[[#This Row],[Pozo largo]],'Lista YPF'!$B$3:$C$358,2,FALSE),"NO")</f>
        <v>NO</v>
      </c>
      <c r="J934" s="5" t="str">
        <f>IFERROR(VLOOKUP(Consulta1[[#This Row],[Pozo]],'Lista Oportunidades'!B:C,2,FALSE),"NO")</f>
        <v>NO</v>
      </c>
      <c r="K934" s="5">
        <f>IFERROR(VLOOKUP(Consulta1[[#This Row],[Pozo largo]],Controles!B:H,7,FALSE),"NO")</f>
        <v>0.75</v>
      </c>
      <c r="L934" s="5">
        <f>IFERROR(VLOOKUP(Consulta1[[#This Row],[Pozo largo]],Controles!B:J,9,FALSE),"NO")</f>
        <v>0</v>
      </c>
    </row>
    <row r="935" spans="2:12" x14ac:dyDescent="0.35">
      <c r="B935" s="4" t="s">
        <v>1817</v>
      </c>
      <c r="C935" s="4" t="s">
        <v>6677</v>
      </c>
      <c r="D935" s="4" t="s">
        <v>5</v>
      </c>
      <c r="E935" s="4" t="s">
        <v>12</v>
      </c>
      <c r="F935" s="4" t="s">
        <v>28</v>
      </c>
      <c r="G935" s="4" t="s">
        <v>13</v>
      </c>
      <c r="H935" s="4" t="s">
        <v>74</v>
      </c>
      <c r="I935" s="5" t="str">
        <f>IFERROR(VLOOKUP(Consulta1[[#This Row],[Pozo largo]],'Lista YPF'!$B$3:$C$358,2,FALSE),"NO")</f>
        <v>NO</v>
      </c>
      <c r="J935" s="5" t="str">
        <f>IFERROR(VLOOKUP(Consulta1[[#This Row],[Pozo]],'Lista Oportunidades'!B:C,2,FALSE),"NO")</f>
        <v>NO</v>
      </c>
      <c r="K935" s="5">
        <f>IFERROR(VLOOKUP(Consulta1[[#This Row],[Pozo largo]],Controles!B:H,7,FALSE),"NO")</f>
        <v>0</v>
      </c>
      <c r="L935" s="5">
        <f>IFERROR(VLOOKUP(Consulta1[[#This Row],[Pozo largo]],Controles!B:J,9,FALSE),"NO")</f>
        <v>0</v>
      </c>
    </row>
    <row r="936" spans="2:12" x14ac:dyDescent="0.35">
      <c r="B936" s="4" t="s">
        <v>1819</v>
      </c>
      <c r="C936" s="4" t="s">
        <v>6678</v>
      </c>
      <c r="D936" s="4" t="s">
        <v>5</v>
      </c>
      <c r="E936" s="4" t="s">
        <v>12</v>
      </c>
      <c r="F936" s="4" t="s">
        <v>7</v>
      </c>
      <c r="G936" s="4" t="s">
        <v>13</v>
      </c>
      <c r="H936" s="4" t="s">
        <v>185</v>
      </c>
      <c r="I936" s="5" t="str">
        <f>IFERROR(VLOOKUP(Consulta1[[#This Row],[Pozo largo]],'Lista YPF'!$B$3:$C$358,2,FALSE),"NO")</f>
        <v>NO</v>
      </c>
      <c r="J936" s="5" t="str">
        <f>IFERROR(VLOOKUP(Consulta1[[#This Row],[Pozo]],'Lista Oportunidades'!B:C,2,FALSE),"NO")</f>
        <v>NO</v>
      </c>
      <c r="K936" s="5">
        <f>IFERROR(VLOOKUP(Consulta1[[#This Row],[Pozo largo]],Controles!B:H,7,FALSE),"NO")</f>
        <v>1.32</v>
      </c>
      <c r="L936" s="5">
        <f>IFERROR(VLOOKUP(Consulta1[[#This Row],[Pozo largo]],Controles!B:J,9,FALSE),"NO")</f>
        <v>0</v>
      </c>
    </row>
    <row r="937" spans="2:12" x14ac:dyDescent="0.35">
      <c r="B937" s="4" t="s">
        <v>1821</v>
      </c>
      <c r="C937" s="4" t="s">
        <v>6679</v>
      </c>
      <c r="D937" s="4" t="s">
        <v>5</v>
      </c>
      <c r="E937" s="4" t="s">
        <v>12</v>
      </c>
      <c r="F937" s="4" t="s">
        <v>28</v>
      </c>
      <c r="G937" s="4" t="s">
        <v>13</v>
      </c>
      <c r="H937" s="4" t="s">
        <v>86</v>
      </c>
      <c r="I937" s="5" t="str">
        <f>IFERROR(VLOOKUP(Consulta1[[#This Row],[Pozo largo]],'Lista YPF'!$B$3:$C$358,2,FALSE),"NO")</f>
        <v>NO</v>
      </c>
      <c r="J937" s="5" t="str">
        <f>IFERROR(VLOOKUP(Consulta1[[#This Row],[Pozo]],'Lista Oportunidades'!B:C,2,FALSE),"NO")</f>
        <v>NO</v>
      </c>
      <c r="K937" s="5">
        <f>IFERROR(VLOOKUP(Consulta1[[#This Row],[Pozo largo]],Controles!B:H,7,FALSE),"NO")</f>
        <v>0</v>
      </c>
      <c r="L937" s="5">
        <f>IFERROR(VLOOKUP(Consulta1[[#This Row],[Pozo largo]],Controles!B:J,9,FALSE),"NO")</f>
        <v>0</v>
      </c>
    </row>
    <row r="938" spans="2:12" x14ac:dyDescent="0.35">
      <c r="B938" s="4" t="s">
        <v>1823</v>
      </c>
      <c r="C938" s="4" t="s">
        <v>6680</v>
      </c>
      <c r="D938" s="4" t="s">
        <v>5</v>
      </c>
      <c r="E938" s="4" t="s">
        <v>12</v>
      </c>
      <c r="F938" s="4" t="s">
        <v>28</v>
      </c>
      <c r="G938" s="4" t="s">
        <v>13</v>
      </c>
      <c r="H938" s="4" t="s">
        <v>86</v>
      </c>
      <c r="I938" s="5" t="str">
        <f>IFERROR(VLOOKUP(Consulta1[[#This Row],[Pozo largo]],'Lista YPF'!$B$3:$C$358,2,FALSE),"NO")</f>
        <v>NO</v>
      </c>
      <c r="J938" s="5" t="str">
        <f>IFERROR(VLOOKUP(Consulta1[[#This Row],[Pozo]],'Lista Oportunidades'!B:C,2,FALSE),"NO")</f>
        <v>NO</v>
      </c>
      <c r="K938" s="5">
        <f>IFERROR(VLOOKUP(Consulta1[[#This Row],[Pozo largo]],Controles!B:H,7,FALSE),"NO")</f>
        <v>0</v>
      </c>
      <c r="L938" s="5">
        <f>IFERROR(VLOOKUP(Consulta1[[#This Row],[Pozo largo]],Controles!B:J,9,FALSE),"NO")</f>
        <v>0</v>
      </c>
    </row>
    <row r="939" spans="2:12" x14ac:dyDescent="0.35">
      <c r="B939" s="4" t="s">
        <v>1825</v>
      </c>
      <c r="C939" s="4" t="s">
        <v>6681</v>
      </c>
      <c r="D939" s="4" t="s">
        <v>5</v>
      </c>
      <c r="E939" s="4" t="s">
        <v>12</v>
      </c>
      <c r="F939" s="4" t="s">
        <v>7</v>
      </c>
      <c r="G939" s="4" t="s">
        <v>13</v>
      </c>
      <c r="H939" s="4" t="s">
        <v>185</v>
      </c>
      <c r="I939" s="5" t="str">
        <f>IFERROR(VLOOKUP(Consulta1[[#This Row],[Pozo largo]],'Lista YPF'!$B$3:$C$358,2,FALSE),"NO")</f>
        <v>NO</v>
      </c>
      <c r="J939" s="5" t="str">
        <f>IFERROR(VLOOKUP(Consulta1[[#This Row],[Pozo]],'Lista Oportunidades'!B:C,2,FALSE),"NO")</f>
        <v>NO</v>
      </c>
      <c r="K939" s="5">
        <f>IFERROR(VLOOKUP(Consulta1[[#This Row],[Pozo largo]],Controles!B:H,7,FALSE),"NO")</f>
        <v>3.5500000000000003</v>
      </c>
      <c r="L939" s="5">
        <f>IFERROR(VLOOKUP(Consulta1[[#This Row],[Pozo largo]],Controles!B:J,9,FALSE),"NO")</f>
        <v>0</v>
      </c>
    </row>
    <row r="940" spans="2:12" x14ac:dyDescent="0.35">
      <c r="B940" s="4" t="s">
        <v>1827</v>
      </c>
      <c r="C940" s="4" t="s">
        <v>6682</v>
      </c>
      <c r="D940" s="4" t="s">
        <v>5</v>
      </c>
      <c r="E940" s="4" t="s">
        <v>12</v>
      </c>
      <c r="F940" s="4" t="s">
        <v>28</v>
      </c>
      <c r="G940" s="4" t="s">
        <v>13</v>
      </c>
      <c r="H940" s="4" t="s">
        <v>185</v>
      </c>
      <c r="I940" s="5" t="str">
        <f>IFERROR(VLOOKUP(Consulta1[[#This Row],[Pozo largo]],'Lista YPF'!$B$3:$C$358,2,FALSE),"NO")</f>
        <v>NO</v>
      </c>
      <c r="J940" s="5" t="str">
        <f>IFERROR(VLOOKUP(Consulta1[[#This Row],[Pozo]],'Lista Oportunidades'!B:C,2,FALSE),"NO")</f>
        <v>NO</v>
      </c>
      <c r="K940" s="5">
        <f>IFERROR(VLOOKUP(Consulta1[[#This Row],[Pozo largo]],Controles!B:H,7,FALSE),"NO")</f>
        <v>0</v>
      </c>
      <c r="L940" s="5">
        <f>IFERROR(VLOOKUP(Consulta1[[#This Row],[Pozo largo]],Controles!B:J,9,FALSE),"NO")</f>
        <v>0</v>
      </c>
    </row>
    <row r="941" spans="2:12" x14ac:dyDescent="0.35">
      <c r="B941" s="4" t="s">
        <v>1829</v>
      </c>
      <c r="C941" s="4" t="s">
        <v>6683</v>
      </c>
      <c r="D941" s="4" t="s">
        <v>5</v>
      </c>
      <c r="E941" s="4" t="s">
        <v>24</v>
      </c>
      <c r="F941" s="4" t="s">
        <v>7</v>
      </c>
      <c r="G941" s="4" t="s">
        <v>11386</v>
      </c>
      <c r="H941" s="4" t="s">
        <v>80</v>
      </c>
      <c r="I941" s="5" t="str">
        <f>IFERROR(VLOOKUP(Consulta1[[#This Row],[Pozo largo]],'Lista YPF'!$B$3:$C$358,2,FALSE),"NO")</f>
        <v>NO</v>
      </c>
      <c r="J941" s="5" t="str">
        <f>IFERROR(VLOOKUP(Consulta1[[#This Row],[Pozo]],'Lista Oportunidades'!B:C,2,FALSE),"NO")</f>
        <v>NO</v>
      </c>
      <c r="K941" s="5">
        <f>IFERROR(VLOOKUP(Consulta1[[#This Row],[Pozo largo]],Controles!B:H,7,FALSE),"NO")</f>
        <v>0.22</v>
      </c>
      <c r="L941" s="5" t="str">
        <f>IFERROR(VLOOKUP(Consulta1[[#This Row],[Pozo largo]],Controles!B:J,9,FALSE),"NO")</f>
        <v>Ultimos 6 meses</v>
      </c>
    </row>
    <row r="942" spans="2:12" x14ac:dyDescent="0.35">
      <c r="B942" s="4" t="s">
        <v>1831</v>
      </c>
      <c r="C942" s="4" t="s">
        <v>6684</v>
      </c>
      <c r="D942" s="4" t="s">
        <v>5</v>
      </c>
      <c r="E942" s="4" t="s">
        <v>12</v>
      </c>
      <c r="F942" s="4" t="s">
        <v>7</v>
      </c>
      <c r="G942" s="4" t="s">
        <v>13</v>
      </c>
      <c r="H942" s="4" t="s">
        <v>86</v>
      </c>
      <c r="I942" s="5" t="str">
        <f>IFERROR(VLOOKUP(Consulta1[[#This Row],[Pozo largo]],'Lista YPF'!$B$3:$C$358,2,FALSE),"NO")</f>
        <v>NO</v>
      </c>
      <c r="J942" s="5" t="str">
        <f>IFERROR(VLOOKUP(Consulta1[[#This Row],[Pozo]],'Lista Oportunidades'!B:C,2,FALSE),"NO")</f>
        <v>NO</v>
      </c>
      <c r="K942" s="5">
        <f>IFERROR(VLOOKUP(Consulta1[[#This Row],[Pozo largo]],Controles!B:H,7,FALSE),"NO")</f>
        <v>0.11</v>
      </c>
      <c r="L942" s="5">
        <f>IFERROR(VLOOKUP(Consulta1[[#This Row],[Pozo largo]],Controles!B:J,9,FALSE),"NO")</f>
        <v>0</v>
      </c>
    </row>
    <row r="943" spans="2:12" x14ac:dyDescent="0.35">
      <c r="B943" s="4" t="s">
        <v>1833</v>
      </c>
      <c r="C943" s="4" t="s">
        <v>6685</v>
      </c>
      <c r="D943" s="4" t="s">
        <v>5</v>
      </c>
      <c r="E943" s="4" t="s">
        <v>12</v>
      </c>
      <c r="F943" s="4" t="s">
        <v>7</v>
      </c>
      <c r="G943" s="4" t="s">
        <v>13</v>
      </c>
      <c r="H943" s="4" t="s">
        <v>185</v>
      </c>
      <c r="I943" s="5" t="str">
        <f>IFERROR(VLOOKUP(Consulta1[[#This Row],[Pozo largo]],'Lista YPF'!$B$3:$C$358,2,FALSE),"NO")</f>
        <v>NO</v>
      </c>
      <c r="J943" s="5" t="str">
        <f>IFERROR(VLOOKUP(Consulta1[[#This Row],[Pozo]],'Lista Oportunidades'!B:C,2,FALSE),"NO")</f>
        <v>NO</v>
      </c>
      <c r="K943" s="5">
        <f>IFERROR(VLOOKUP(Consulta1[[#This Row],[Pozo largo]],Controles!B:H,7,FALSE),"NO")</f>
        <v>1.36</v>
      </c>
      <c r="L943" s="5">
        <f>IFERROR(VLOOKUP(Consulta1[[#This Row],[Pozo largo]],Controles!B:J,9,FALSE),"NO")</f>
        <v>0</v>
      </c>
    </row>
    <row r="944" spans="2:12" x14ac:dyDescent="0.35">
      <c r="B944" s="4" t="s">
        <v>1835</v>
      </c>
      <c r="C944" s="4" t="s">
        <v>6686</v>
      </c>
      <c r="D944" s="4" t="s">
        <v>5</v>
      </c>
      <c r="E944" s="4" t="s">
        <v>30</v>
      </c>
      <c r="F944" s="4" t="s">
        <v>31</v>
      </c>
      <c r="G944" s="4" t="s">
        <v>32</v>
      </c>
      <c r="H944" s="4" t="s">
        <v>9</v>
      </c>
      <c r="I944" s="5" t="str">
        <f>IFERROR(VLOOKUP(Consulta1[[#This Row],[Pozo largo]],'Lista YPF'!$B$3:$C$358,2,FALSE),"NO")</f>
        <v>NO</v>
      </c>
      <c r="J944" s="5" t="str">
        <f>IFERROR(VLOOKUP(Consulta1[[#This Row],[Pozo]],'Lista Oportunidades'!B:C,2,FALSE),"NO")</f>
        <v>NO</v>
      </c>
      <c r="K944" s="5">
        <f>IFERROR(VLOOKUP(Consulta1[[#This Row],[Pozo largo]],Controles!B:H,7,FALSE),"NO")</f>
        <v>2.88</v>
      </c>
      <c r="L944" s="5">
        <f>IFERROR(VLOOKUP(Consulta1[[#This Row],[Pozo largo]],Controles!B:J,9,FALSE),"NO")</f>
        <v>0</v>
      </c>
    </row>
    <row r="945" spans="2:12" x14ac:dyDescent="0.35">
      <c r="B945" s="4" t="s">
        <v>1837</v>
      </c>
      <c r="C945" s="4" t="s">
        <v>6687</v>
      </c>
      <c r="D945" s="4" t="s">
        <v>5</v>
      </c>
      <c r="E945" s="4" t="s">
        <v>12</v>
      </c>
      <c r="F945" s="4" t="s">
        <v>7</v>
      </c>
      <c r="G945" s="4" t="s">
        <v>13</v>
      </c>
      <c r="H945" s="4" t="s">
        <v>185</v>
      </c>
      <c r="I945" s="5" t="str">
        <f>IFERROR(VLOOKUP(Consulta1[[#This Row],[Pozo largo]],'Lista YPF'!$B$3:$C$358,2,FALSE),"NO")</f>
        <v>NO</v>
      </c>
      <c r="J945" s="5" t="str">
        <f>IFERROR(VLOOKUP(Consulta1[[#This Row],[Pozo]],'Lista Oportunidades'!B:C,2,FALSE),"NO")</f>
        <v>NO</v>
      </c>
      <c r="K945" s="5">
        <f>IFERROR(VLOOKUP(Consulta1[[#This Row],[Pozo largo]],Controles!B:H,7,FALSE),"NO")</f>
        <v>4.03</v>
      </c>
      <c r="L945" s="5">
        <f>IFERROR(VLOOKUP(Consulta1[[#This Row],[Pozo largo]],Controles!B:J,9,FALSE),"NO")</f>
        <v>0</v>
      </c>
    </row>
    <row r="946" spans="2:12" x14ac:dyDescent="0.35">
      <c r="B946" s="4" t="s">
        <v>1839</v>
      </c>
      <c r="C946" s="4" t="s">
        <v>6688</v>
      </c>
      <c r="D946" s="4" t="s">
        <v>5</v>
      </c>
      <c r="E946" s="4" t="s">
        <v>6</v>
      </c>
      <c r="F946" s="4" t="s">
        <v>7</v>
      </c>
      <c r="G946" s="4" t="s">
        <v>5718</v>
      </c>
      <c r="H946" s="4" t="s">
        <v>9</v>
      </c>
      <c r="I946" s="5" t="str">
        <f>IFERROR(VLOOKUP(Consulta1[[#This Row],[Pozo largo]],'Lista YPF'!$B$3:$C$358,2,FALSE),"NO")</f>
        <v>En lista de Abandono</v>
      </c>
      <c r="J946" s="5" t="str">
        <f>IFERROR(VLOOKUP(Consulta1[[#This Row],[Pozo]],'Lista Oportunidades'!B:C,2,FALSE),"NO")</f>
        <v>NO</v>
      </c>
      <c r="K946" s="5">
        <f>IFERROR(VLOOKUP(Consulta1[[#This Row],[Pozo largo]],Controles!B:H,7,FALSE),"NO")</f>
        <v>0.29200000000000004</v>
      </c>
      <c r="L946" s="5" t="str">
        <f>IFERROR(VLOOKUP(Consulta1[[#This Row],[Pozo largo]],Controles!B:J,9,FALSE),"NO")</f>
        <v>Ultimo Año</v>
      </c>
    </row>
    <row r="947" spans="2:12" x14ac:dyDescent="0.35">
      <c r="B947" s="4" t="s">
        <v>1841</v>
      </c>
      <c r="C947" s="4" t="s">
        <v>6689</v>
      </c>
      <c r="D947" s="4" t="s">
        <v>5</v>
      </c>
      <c r="E947" s="4" t="s">
        <v>12</v>
      </c>
      <c r="F947" s="4" t="s">
        <v>7</v>
      </c>
      <c r="G947" s="4" t="s">
        <v>13</v>
      </c>
      <c r="H947" s="4" t="s">
        <v>86</v>
      </c>
      <c r="I947" s="5" t="str">
        <f>IFERROR(VLOOKUP(Consulta1[[#This Row],[Pozo largo]],'Lista YPF'!$B$3:$C$358,2,FALSE),"NO")</f>
        <v>NO</v>
      </c>
      <c r="J947" s="5" t="str">
        <f>IFERROR(VLOOKUP(Consulta1[[#This Row],[Pozo]],'Lista Oportunidades'!B:C,2,FALSE),"NO")</f>
        <v>NO</v>
      </c>
      <c r="K947" s="5">
        <f>IFERROR(VLOOKUP(Consulta1[[#This Row],[Pozo largo]],Controles!B:H,7,FALSE),"NO")</f>
        <v>0.35500000000000004</v>
      </c>
      <c r="L947" s="5">
        <f>IFERROR(VLOOKUP(Consulta1[[#This Row],[Pozo largo]],Controles!B:J,9,FALSE),"NO")</f>
        <v>0</v>
      </c>
    </row>
    <row r="948" spans="2:12" x14ac:dyDescent="0.35">
      <c r="B948" s="4" t="s">
        <v>1843</v>
      </c>
      <c r="C948" s="4" t="s">
        <v>6690</v>
      </c>
      <c r="D948" s="4" t="s">
        <v>5</v>
      </c>
      <c r="E948" s="4" t="s">
        <v>12</v>
      </c>
      <c r="F948" s="4" t="s">
        <v>83</v>
      </c>
      <c r="G948" s="4" t="s">
        <v>13</v>
      </c>
      <c r="H948" s="4" t="s">
        <v>16</v>
      </c>
      <c r="I948" s="5" t="str">
        <f>IFERROR(VLOOKUP(Consulta1[[#This Row],[Pozo largo]],'Lista YPF'!$B$3:$C$358,2,FALSE),"NO")</f>
        <v>NO</v>
      </c>
      <c r="J948" s="5" t="str">
        <f>IFERROR(VLOOKUP(Consulta1[[#This Row],[Pozo]],'Lista Oportunidades'!B:C,2,FALSE),"NO")</f>
        <v>NO</v>
      </c>
      <c r="K948" s="5">
        <f>IFERROR(VLOOKUP(Consulta1[[#This Row],[Pozo largo]],Controles!B:H,7,FALSE),"NO")</f>
        <v>1.05</v>
      </c>
      <c r="L948" s="5">
        <f>IFERROR(VLOOKUP(Consulta1[[#This Row],[Pozo largo]],Controles!B:J,9,FALSE),"NO")</f>
        <v>0</v>
      </c>
    </row>
    <row r="949" spans="2:12" x14ac:dyDescent="0.35">
      <c r="B949" s="4" t="s">
        <v>1845</v>
      </c>
      <c r="C949" s="4" t="s">
        <v>1846</v>
      </c>
      <c r="D949" s="4" t="s">
        <v>5</v>
      </c>
      <c r="E949" s="4" t="s">
        <v>12</v>
      </c>
      <c r="F949" s="4" t="s">
        <v>7</v>
      </c>
      <c r="G949" s="4" t="s">
        <v>13</v>
      </c>
      <c r="H949" s="4" t="s">
        <v>185</v>
      </c>
      <c r="I949" s="5" t="str">
        <f>IFERROR(VLOOKUP(Consulta1[[#This Row],[Pozo largo]],'Lista YPF'!$B$3:$C$358,2,FALSE),"NO")</f>
        <v>NO</v>
      </c>
      <c r="J949" s="5" t="str">
        <f>IFERROR(VLOOKUP(Consulta1[[#This Row],[Pozo]],'Lista Oportunidades'!B:C,2,FALSE),"NO")</f>
        <v>NO</v>
      </c>
      <c r="K949" s="5">
        <f>IFERROR(VLOOKUP(Consulta1[[#This Row],[Pozo largo]],Controles!B:H,7,FALSE),"NO")</f>
        <v>0.6</v>
      </c>
      <c r="L949" s="5">
        <f>IFERROR(VLOOKUP(Consulta1[[#This Row],[Pozo largo]],Controles!B:J,9,FALSE),"NO")</f>
        <v>0</v>
      </c>
    </row>
    <row r="950" spans="2:12" x14ac:dyDescent="0.35">
      <c r="B950" s="4" t="s">
        <v>1847</v>
      </c>
      <c r="C950" s="4" t="s">
        <v>6691</v>
      </c>
      <c r="D950" s="4" t="s">
        <v>5</v>
      </c>
      <c r="E950" s="4" t="s">
        <v>6</v>
      </c>
      <c r="F950" s="4" t="s">
        <v>7</v>
      </c>
      <c r="G950" s="4" t="s">
        <v>5718</v>
      </c>
      <c r="H950" s="4" t="s">
        <v>9</v>
      </c>
      <c r="I950" s="5" t="str">
        <f>IFERROR(VLOOKUP(Consulta1[[#This Row],[Pozo largo]],'Lista YPF'!$B$3:$C$358,2,FALSE),"NO")</f>
        <v>En lista de Abandono</v>
      </c>
      <c r="J950" s="5" t="str">
        <f>IFERROR(VLOOKUP(Consulta1[[#This Row],[Pozo]],'Lista Oportunidades'!B:C,2,FALSE),"NO")</f>
        <v>NO</v>
      </c>
      <c r="K950" s="5">
        <f>IFERROR(VLOOKUP(Consulta1[[#This Row],[Pozo largo]],Controles!B:H,7,FALSE),"NO")</f>
        <v>1.36</v>
      </c>
      <c r="L950" s="5">
        <f>IFERROR(VLOOKUP(Consulta1[[#This Row],[Pozo largo]],Controles!B:J,9,FALSE),"NO")</f>
        <v>0</v>
      </c>
    </row>
    <row r="951" spans="2:12" x14ac:dyDescent="0.35">
      <c r="B951" s="4" t="s">
        <v>1849</v>
      </c>
      <c r="C951" s="4" t="s">
        <v>6692</v>
      </c>
      <c r="D951" s="4" t="s">
        <v>5</v>
      </c>
      <c r="E951" s="4" t="s">
        <v>12</v>
      </c>
      <c r="F951" s="4" t="s">
        <v>7</v>
      </c>
      <c r="G951" s="4" t="s">
        <v>13</v>
      </c>
      <c r="H951" s="4" t="s">
        <v>86</v>
      </c>
      <c r="I951" s="5" t="str">
        <f>IFERROR(VLOOKUP(Consulta1[[#This Row],[Pozo largo]],'Lista YPF'!$B$3:$C$358,2,FALSE),"NO")</f>
        <v>NO</v>
      </c>
      <c r="J951" s="5" t="str">
        <f>IFERROR(VLOOKUP(Consulta1[[#This Row],[Pozo]],'Lista Oportunidades'!B:C,2,FALSE),"NO")</f>
        <v>NO</v>
      </c>
      <c r="K951" s="5">
        <f>IFERROR(VLOOKUP(Consulta1[[#This Row],[Pozo largo]],Controles!B:H,7,FALSE),"NO")</f>
        <v>3.63</v>
      </c>
      <c r="L951" s="5">
        <f>IFERROR(VLOOKUP(Consulta1[[#This Row],[Pozo largo]],Controles!B:J,9,FALSE),"NO")</f>
        <v>0</v>
      </c>
    </row>
    <row r="952" spans="2:12" x14ac:dyDescent="0.35">
      <c r="B952" s="4" t="s">
        <v>1851</v>
      </c>
      <c r="C952" s="4" t="s">
        <v>6693</v>
      </c>
      <c r="D952" s="4" t="s">
        <v>5</v>
      </c>
      <c r="E952" s="4" t="s">
        <v>12</v>
      </c>
      <c r="F952" s="4" t="s">
        <v>7</v>
      </c>
      <c r="G952" s="4" t="s">
        <v>13</v>
      </c>
      <c r="H952" s="4" t="s">
        <v>9</v>
      </c>
      <c r="I952" s="5" t="str">
        <f>IFERROR(VLOOKUP(Consulta1[[#This Row],[Pozo largo]],'Lista YPF'!$B$3:$C$358,2,FALSE),"NO")</f>
        <v>NO</v>
      </c>
      <c r="J952" s="5" t="str">
        <f>IFERROR(VLOOKUP(Consulta1[[#This Row],[Pozo]],'Lista Oportunidades'!B:C,2,FALSE),"NO")</f>
        <v>NO</v>
      </c>
      <c r="K952" s="5">
        <f>IFERROR(VLOOKUP(Consulta1[[#This Row],[Pozo largo]],Controles!B:H,7,FALSE),"NO")</f>
        <v>1.32</v>
      </c>
      <c r="L952" s="5">
        <f>IFERROR(VLOOKUP(Consulta1[[#This Row],[Pozo largo]],Controles!B:J,9,FALSE),"NO")</f>
        <v>0</v>
      </c>
    </row>
    <row r="953" spans="2:12" x14ac:dyDescent="0.35">
      <c r="B953" s="4" t="s">
        <v>1853</v>
      </c>
      <c r="C953" s="4" t="s">
        <v>6694</v>
      </c>
      <c r="D953" s="4" t="s">
        <v>5</v>
      </c>
      <c r="E953" s="4" t="s">
        <v>24</v>
      </c>
      <c r="F953" s="4" t="s">
        <v>25</v>
      </c>
      <c r="G953" s="4" t="s">
        <v>8</v>
      </c>
      <c r="H953" s="4" t="s">
        <v>36</v>
      </c>
      <c r="I953" s="5" t="str">
        <f>IFERROR(VLOOKUP(Consulta1[[#This Row],[Pozo largo]],'Lista YPF'!$B$3:$C$358,2,FALSE),"NO")</f>
        <v>NO</v>
      </c>
      <c r="J953" s="5" t="str">
        <f>IFERROR(VLOOKUP(Consulta1[[#This Row],[Pozo]],'Lista Oportunidades'!B:C,2,FALSE),"NO")</f>
        <v>NO</v>
      </c>
      <c r="K953" s="5">
        <f>IFERROR(VLOOKUP(Consulta1[[#This Row],[Pozo largo]],Controles!B:H,7,FALSE),"NO")</f>
        <v>0.124</v>
      </c>
      <c r="L953" s="5">
        <f>IFERROR(VLOOKUP(Consulta1[[#This Row],[Pozo largo]],Controles!B:J,9,FALSE),"NO")</f>
        <v>0</v>
      </c>
    </row>
    <row r="954" spans="2:12" x14ac:dyDescent="0.35">
      <c r="B954" s="4" t="s">
        <v>1855</v>
      </c>
      <c r="C954" s="4" t="s">
        <v>6695</v>
      </c>
      <c r="D954" s="4" t="s">
        <v>5</v>
      </c>
      <c r="E954" s="4" t="s">
        <v>12</v>
      </c>
      <c r="F954" s="4" t="s">
        <v>238</v>
      </c>
      <c r="G954" s="4" t="s">
        <v>13</v>
      </c>
      <c r="H954" s="4" t="s">
        <v>36</v>
      </c>
      <c r="I954" s="5" t="str">
        <f>IFERROR(VLOOKUP(Consulta1[[#This Row],[Pozo largo]],'Lista YPF'!$B$3:$C$358,2,FALSE),"NO")</f>
        <v>NO</v>
      </c>
      <c r="J954" s="5" t="str">
        <f>IFERROR(VLOOKUP(Consulta1[[#This Row],[Pozo]],'Lista Oportunidades'!B:C,2,FALSE),"NO")</f>
        <v>NO</v>
      </c>
      <c r="K954" s="5">
        <f>IFERROR(VLOOKUP(Consulta1[[#This Row],[Pozo largo]],Controles!B:H,7,FALSE),"NO")</f>
        <v>4.4400000000000004</v>
      </c>
      <c r="L954" s="5">
        <f>IFERROR(VLOOKUP(Consulta1[[#This Row],[Pozo largo]],Controles!B:J,9,FALSE),"NO")</f>
        <v>0</v>
      </c>
    </row>
    <row r="955" spans="2:12" x14ac:dyDescent="0.35">
      <c r="B955" s="4" t="s">
        <v>1857</v>
      </c>
      <c r="C955" s="4" t="s">
        <v>6696</v>
      </c>
      <c r="D955" s="4" t="s">
        <v>5</v>
      </c>
      <c r="E955" s="4" t="s">
        <v>6</v>
      </c>
      <c r="F955" s="4" t="s">
        <v>28</v>
      </c>
      <c r="G955" s="4" t="s">
        <v>8</v>
      </c>
      <c r="H955" s="4" t="s">
        <v>71</v>
      </c>
      <c r="I955" s="5" t="str">
        <f>IFERROR(VLOOKUP(Consulta1[[#This Row],[Pozo largo]],'Lista YPF'!$B$3:$C$358,2,FALSE),"NO")</f>
        <v>NO</v>
      </c>
      <c r="J955" s="5" t="str">
        <f>IFERROR(VLOOKUP(Consulta1[[#This Row],[Pozo]],'Lista Oportunidades'!B:C,2,FALSE),"NO")</f>
        <v>NO</v>
      </c>
      <c r="K955" s="5">
        <f>IFERROR(VLOOKUP(Consulta1[[#This Row],[Pozo largo]],Controles!B:H,7,FALSE),"NO")</f>
        <v>0</v>
      </c>
      <c r="L955" s="5">
        <f>IFERROR(VLOOKUP(Consulta1[[#This Row],[Pozo largo]],Controles!B:J,9,FALSE),"NO")</f>
        <v>0</v>
      </c>
    </row>
    <row r="956" spans="2:12" x14ac:dyDescent="0.35">
      <c r="B956" s="4" t="s">
        <v>1859</v>
      </c>
      <c r="C956" s="4" t="s">
        <v>6697</v>
      </c>
      <c r="D956" s="4" t="s">
        <v>5</v>
      </c>
      <c r="E956" s="4" t="s">
        <v>24</v>
      </c>
      <c r="F956" s="4" t="s">
        <v>31</v>
      </c>
      <c r="G956" s="4" t="s">
        <v>8</v>
      </c>
      <c r="H956" s="4" t="s">
        <v>9</v>
      </c>
      <c r="I956" s="5" t="str">
        <f>IFERROR(VLOOKUP(Consulta1[[#This Row],[Pozo largo]],'Lista YPF'!$B$3:$C$358,2,FALSE),"NO")</f>
        <v>NO</v>
      </c>
      <c r="J956" s="5" t="str">
        <f>IFERROR(VLOOKUP(Consulta1[[#This Row],[Pozo]],'Lista Oportunidades'!B:C,2,FALSE),"NO")</f>
        <v>NO</v>
      </c>
      <c r="K956" s="5" t="str">
        <f>IFERROR(VLOOKUP(Consulta1[[#This Row],[Pozo largo]],Controles!B:H,7,FALSE),"NO")</f>
        <v>NO</v>
      </c>
      <c r="L956" s="5" t="str">
        <f>IFERROR(VLOOKUP(Consulta1[[#This Row],[Pozo largo]],Controles!B:J,9,FALSE),"NO")</f>
        <v>NO</v>
      </c>
    </row>
    <row r="957" spans="2:12" x14ac:dyDescent="0.35">
      <c r="B957" s="4" t="s">
        <v>1860</v>
      </c>
      <c r="C957" s="4" t="s">
        <v>6698</v>
      </c>
      <c r="D957" s="4" t="s">
        <v>5</v>
      </c>
      <c r="E957" s="4" t="s">
        <v>30</v>
      </c>
      <c r="F957" s="4" t="s">
        <v>31</v>
      </c>
      <c r="G957" s="4" t="s">
        <v>32</v>
      </c>
      <c r="H957" s="4" t="s">
        <v>9</v>
      </c>
      <c r="I957" s="5" t="str">
        <f>IFERROR(VLOOKUP(Consulta1[[#This Row],[Pozo largo]],'Lista YPF'!$B$3:$C$358,2,FALSE),"NO")</f>
        <v>NO</v>
      </c>
      <c r="J957" s="5" t="str">
        <f>IFERROR(VLOOKUP(Consulta1[[#This Row],[Pozo]],'Lista Oportunidades'!B:C,2,FALSE),"NO")</f>
        <v>NO</v>
      </c>
      <c r="K957" s="5" t="str">
        <f>IFERROR(VLOOKUP(Consulta1[[#This Row],[Pozo largo]],Controles!B:H,7,FALSE),"NO")</f>
        <v>NO</v>
      </c>
      <c r="L957" s="5" t="str">
        <f>IFERROR(VLOOKUP(Consulta1[[#This Row],[Pozo largo]],Controles!B:J,9,FALSE),"NO")</f>
        <v>NO</v>
      </c>
    </row>
    <row r="958" spans="2:12" x14ac:dyDescent="0.35">
      <c r="B958" s="4" t="s">
        <v>1861</v>
      </c>
      <c r="C958" s="4" t="s">
        <v>6699</v>
      </c>
      <c r="D958" s="4" t="s">
        <v>5</v>
      </c>
      <c r="E958" s="4" t="s">
        <v>30</v>
      </c>
      <c r="F958" s="4" t="s">
        <v>31</v>
      </c>
      <c r="G958" s="4" t="s">
        <v>32</v>
      </c>
      <c r="H958" s="4" t="s">
        <v>66</v>
      </c>
      <c r="I958" s="5" t="str">
        <f>IFERROR(VLOOKUP(Consulta1[[#This Row],[Pozo largo]],'Lista YPF'!$B$3:$C$358,2,FALSE),"NO")</f>
        <v>NO</v>
      </c>
      <c r="J958" s="5" t="str">
        <f>IFERROR(VLOOKUP(Consulta1[[#This Row],[Pozo]],'Lista Oportunidades'!B:C,2,FALSE),"NO")</f>
        <v>NO</v>
      </c>
      <c r="K958" s="5" t="str">
        <f>IFERROR(VLOOKUP(Consulta1[[#This Row],[Pozo largo]],Controles!B:H,7,FALSE),"NO")</f>
        <v>NO</v>
      </c>
      <c r="L958" s="5" t="str">
        <f>IFERROR(VLOOKUP(Consulta1[[#This Row],[Pozo largo]],Controles!B:J,9,FALSE),"NO")</f>
        <v>NO</v>
      </c>
    </row>
    <row r="959" spans="2:12" x14ac:dyDescent="0.35">
      <c r="B959" s="4" t="s">
        <v>1862</v>
      </c>
      <c r="C959" s="4" t="s">
        <v>6700</v>
      </c>
      <c r="D959" s="4" t="s">
        <v>5</v>
      </c>
      <c r="E959" s="4" t="s">
        <v>30</v>
      </c>
      <c r="F959" s="4" t="s">
        <v>31</v>
      </c>
      <c r="G959" s="4" t="s">
        <v>32</v>
      </c>
      <c r="H959" s="4" t="s">
        <v>91</v>
      </c>
      <c r="I959" s="5" t="str">
        <f>IFERROR(VLOOKUP(Consulta1[[#This Row],[Pozo largo]],'Lista YPF'!$B$3:$C$358,2,FALSE),"NO")</f>
        <v>NO</v>
      </c>
      <c r="J959" s="5" t="str">
        <f>IFERROR(VLOOKUP(Consulta1[[#This Row],[Pozo]],'Lista Oportunidades'!B:C,2,FALSE),"NO")</f>
        <v>NO</v>
      </c>
      <c r="K959" s="5">
        <f>IFERROR(VLOOKUP(Consulta1[[#This Row],[Pozo largo]],Controles!B:H,7,FALSE),"NO")</f>
        <v>0.129</v>
      </c>
      <c r="L959" s="5">
        <f>IFERROR(VLOOKUP(Consulta1[[#This Row],[Pozo largo]],Controles!B:J,9,FALSE),"NO")</f>
        <v>0</v>
      </c>
    </row>
    <row r="960" spans="2:12" x14ac:dyDescent="0.35">
      <c r="B960" s="4" t="s">
        <v>1864</v>
      </c>
      <c r="C960" s="4" t="s">
        <v>6701</v>
      </c>
      <c r="D960" s="4" t="s">
        <v>5</v>
      </c>
      <c r="E960" s="4" t="s">
        <v>12</v>
      </c>
      <c r="F960" s="4" t="s">
        <v>7</v>
      </c>
      <c r="G960" s="4" t="s">
        <v>13</v>
      </c>
      <c r="H960" s="4" t="s">
        <v>21</v>
      </c>
      <c r="I960" s="5" t="str">
        <f>IFERROR(VLOOKUP(Consulta1[[#This Row],[Pozo largo]],'Lista YPF'!$B$3:$C$358,2,FALSE),"NO")</f>
        <v>NO</v>
      </c>
      <c r="J960" s="5" t="str">
        <f>IFERROR(VLOOKUP(Consulta1[[#This Row],[Pozo]],'Lista Oportunidades'!B:C,2,FALSE),"NO")</f>
        <v>NO</v>
      </c>
      <c r="K960" s="5">
        <f>IFERROR(VLOOKUP(Consulta1[[#This Row],[Pozo largo]],Controles!B:H,7,FALSE),"NO")</f>
        <v>0.92</v>
      </c>
      <c r="L960" s="5">
        <f>IFERROR(VLOOKUP(Consulta1[[#This Row],[Pozo largo]],Controles!B:J,9,FALSE),"NO")</f>
        <v>0</v>
      </c>
    </row>
    <row r="961" spans="2:12" x14ac:dyDescent="0.35">
      <c r="B961" s="4" t="s">
        <v>1866</v>
      </c>
      <c r="C961" s="4" t="s">
        <v>6702</v>
      </c>
      <c r="D961" s="4" t="s">
        <v>5</v>
      </c>
      <c r="E961" s="4" t="s">
        <v>12</v>
      </c>
      <c r="F961" s="4" t="s">
        <v>25</v>
      </c>
      <c r="G961" s="4" t="s">
        <v>13</v>
      </c>
      <c r="H961" s="4" t="s">
        <v>185</v>
      </c>
      <c r="I961" s="5" t="str">
        <f>IFERROR(VLOOKUP(Consulta1[[#This Row],[Pozo largo]],'Lista YPF'!$B$3:$C$358,2,FALSE),"NO")</f>
        <v>NO</v>
      </c>
      <c r="J961" s="5" t="str">
        <f>IFERROR(VLOOKUP(Consulta1[[#This Row],[Pozo]],'Lista Oportunidades'!B:C,2,FALSE),"NO")</f>
        <v>NO</v>
      </c>
      <c r="K961" s="5">
        <f>IFERROR(VLOOKUP(Consulta1[[#This Row],[Pozo largo]],Controles!B:H,7,FALSE),"NO")</f>
        <v>9.5000000000000001E-2</v>
      </c>
      <c r="L961" s="5">
        <f>IFERROR(VLOOKUP(Consulta1[[#This Row],[Pozo largo]],Controles!B:J,9,FALSE),"NO")</f>
        <v>0</v>
      </c>
    </row>
    <row r="962" spans="2:12" x14ac:dyDescent="0.35">
      <c r="B962" s="4" t="s">
        <v>1868</v>
      </c>
      <c r="C962" s="4" t="s">
        <v>6703</v>
      </c>
      <c r="D962" s="4" t="s">
        <v>5</v>
      </c>
      <c r="E962" s="4" t="s">
        <v>57</v>
      </c>
      <c r="F962" s="4" t="s">
        <v>7</v>
      </c>
      <c r="G962" s="4" t="s">
        <v>5718</v>
      </c>
      <c r="H962" s="4" t="s">
        <v>86</v>
      </c>
      <c r="I962" s="5" t="str">
        <f>IFERROR(VLOOKUP(Consulta1[[#This Row],[Pozo largo]],'Lista YPF'!$B$3:$C$358,2,FALSE),"NO")</f>
        <v>En lista de Abandono</v>
      </c>
      <c r="J962" s="5" t="str">
        <f>IFERROR(VLOOKUP(Consulta1[[#This Row],[Pozo]],'Lista Oportunidades'!B:C,2,FALSE),"NO")</f>
        <v>NO</v>
      </c>
      <c r="K962" s="5">
        <f>IFERROR(VLOOKUP(Consulta1[[#This Row],[Pozo largo]],Controles!B:H,7,FALSE),"NO")</f>
        <v>0.16</v>
      </c>
      <c r="L962" s="5">
        <f>IFERROR(VLOOKUP(Consulta1[[#This Row],[Pozo largo]],Controles!B:J,9,FALSE),"NO")</f>
        <v>0</v>
      </c>
    </row>
    <row r="963" spans="2:12" x14ac:dyDescent="0.35">
      <c r="B963" s="4" t="s">
        <v>1870</v>
      </c>
      <c r="C963" s="4" t="s">
        <v>6704</v>
      </c>
      <c r="D963" s="4" t="s">
        <v>5</v>
      </c>
      <c r="E963" s="4" t="s">
        <v>12</v>
      </c>
      <c r="F963" s="4" t="s">
        <v>7</v>
      </c>
      <c r="G963" s="4" t="s">
        <v>13</v>
      </c>
      <c r="H963" s="4" t="s">
        <v>74</v>
      </c>
      <c r="I963" s="5" t="str">
        <f>IFERROR(VLOOKUP(Consulta1[[#This Row],[Pozo largo]],'Lista YPF'!$B$3:$C$358,2,FALSE),"NO")</f>
        <v>NO</v>
      </c>
      <c r="J963" s="5" t="str">
        <f>IFERROR(VLOOKUP(Consulta1[[#This Row],[Pozo]],'Lista Oportunidades'!B:C,2,FALSE),"NO")</f>
        <v>NO</v>
      </c>
      <c r="K963" s="5">
        <f>IFERROR(VLOOKUP(Consulta1[[#This Row],[Pozo largo]],Controles!B:H,7,FALSE),"NO")</f>
        <v>3.64</v>
      </c>
      <c r="L963" s="5">
        <f>IFERROR(VLOOKUP(Consulta1[[#This Row],[Pozo largo]],Controles!B:J,9,FALSE),"NO")</f>
        <v>0</v>
      </c>
    </row>
    <row r="964" spans="2:12" x14ac:dyDescent="0.35">
      <c r="B964" s="4" t="s">
        <v>1872</v>
      </c>
      <c r="C964" s="4" t="s">
        <v>6705</v>
      </c>
      <c r="D964" s="4" t="s">
        <v>5</v>
      </c>
      <c r="E964" s="4" t="s">
        <v>57</v>
      </c>
      <c r="F964" s="4" t="s">
        <v>7</v>
      </c>
      <c r="G964" s="4" t="s">
        <v>5718</v>
      </c>
      <c r="H964" s="4" t="s">
        <v>86</v>
      </c>
      <c r="I964" s="5" t="str">
        <f>IFERROR(VLOOKUP(Consulta1[[#This Row],[Pozo largo]],'Lista YPF'!$B$3:$C$358,2,FALSE),"NO")</f>
        <v>En lista de Abandono</v>
      </c>
      <c r="J964" s="5" t="str">
        <f>IFERROR(VLOOKUP(Consulta1[[#This Row],[Pozo]],'Lista Oportunidades'!B:C,2,FALSE),"NO")</f>
        <v>NO</v>
      </c>
      <c r="K964" s="5">
        <f>IFERROR(VLOOKUP(Consulta1[[#This Row],[Pozo largo]],Controles!B:H,7,FALSE),"NO")</f>
        <v>0.54</v>
      </c>
      <c r="L964" s="5">
        <f>IFERROR(VLOOKUP(Consulta1[[#This Row],[Pozo largo]],Controles!B:J,9,FALSE),"NO")</f>
        <v>0</v>
      </c>
    </row>
    <row r="965" spans="2:12" x14ac:dyDescent="0.35">
      <c r="B965" s="4" t="s">
        <v>1874</v>
      </c>
      <c r="C965" s="4" t="s">
        <v>6706</v>
      </c>
      <c r="D965" s="4" t="s">
        <v>5</v>
      </c>
      <c r="E965" s="4" t="s">
        <v>30</v>
      </c>
      <c r="F965" s="4" t="s">
        <v>31</v>
      </c>
      <c r="G965" s="4" t="s">
        <v>32</v>
      </c>
      <c r="H965" s="4" t="s">
        <v>80</v>
      </c>
      <c r="I965" s="5" t="str">
        <f>IFERROR(VLOOKUP(Consulta1[[#This Row],[Pozo largo]],'Lista YPF'!$B$3:$C$358,2,FALSE),"NO")</f>
        <v>NO</v>
      </c>
      <c r="J965" s="5" t="str">
        <f>IFERROR(VLOOKUP(Consulta1[[#This Row],[Pozo]],'Lista Oportunidades'!B:C,2,FALSE),"NO")</f>
        <v>NO</v>
      </c>
      <c r="K965" s="5">
        <f>IFERROR(VLOOKUP(Consulta1[[#This Row],[Pozo largo]],Controles!B:H,7,FALSE),"NO")</f>
        <v>0.98</v>
      </c>
      <c r="L965" s="5">
        <f>IFERROR(VLOOKUP(Consulta1[[#This Row],[Pozo largo]],Controles!B:J,9,FALSE),"NO")</f>
        <v>0</v>
      </c>
    </row>
    <row r="966" spans="2:12" x14ac:dyDescent="0.35">
      <c r="B966" s="4" t="s">
        <v>1876</v>
      </c>
      <c r="C966" s="4" t="s">
        <v>6707</v>
      </c>
      <c r="D966" s="4" t="s">
        <v>5</v>
      </c>
      <c r="E966" s="4" t="s">
        <v>12</v>
      </c>
      <c r="F966" s="4" t="s">
        <v>7</v>
      </c>
      <c r="G966" s="4" t="s">
        <v>13</v>
      </c>
      <c r="H966" s="4" t="s">
        <v>185</v>
      </c>
      <c r="I966" s="5" t="str">
        <f>IFERROR(VLOOKUP(Consulta1[[#This Row],[Pozo largo]],'Lista YPF'!$B$3:$C$358,2,FALSE),"NO")</f>
        <v>NO</v>
      </c>
      <c r="J966" s="5" t="str">
        <f>IFERROR(VLOOKUP(Consulta1[[#This Row],[Pozo]],'Lista Oportunidades'!B:C,2,FALSE),"NO")</f>
        <v>NO</v>
      </c>
      <c r="K966" s="5">
        <f>IFERROR(VLOOKUP(Consulta1[[#This Row],[Pozo largo]],Controles!B:H,7,FALSE),"NO")</f>
        <v>1.28</v>
      </c>
      <c r="L966" s="5" t="str">
        <f>IFERROR(VLOOKUP(Consulta1[[#This Row],[Pozo largo]],Controles!B:J,9,FALSE),"NO")</f>
        <v>Ultimos 6 meses</v>
      </c>
    </row>
    <row r="967" spans="2:12" x14ac:dyDescent="0.35">
      <c r="B967" s="4" t="s">
        <v>1878</v>
      </c>
      <c r="C967" s="4" t="s">
        <v>6708</v>
      </c>
      <c r="D967" s="4" t="s">
        <v>5</v>
      </c>
      <c r="E967" s="4" t="s">
        <v>12</v>
      </c>
      <c r="F967" s="4" t="s">
        <v>7</v>
      </c>
      <c r="G967" s="4" t="s">
        <v>13</v>
      </c>
      <c r="H967" s="4" t="s">
        <v>185</v>
      </c>
      <c r="I967" s="5" t="str">
        <f>IFERROR(VLOOKUP(Consulta1[[#This Row],[Pozo largo]],'Lista YPF'!$B$3:$C$358,2,FALSE),"NO")</f>
        <v>NO</v>
      </c>
      <c r="J967" s="5" t="str">
        <f>IFERROR(VLOOKUP(Consulta1[[#This Row],[Pozo]],'Lista Oportunidades'!B:C,2,FALSE),"NO")</f>
        <v>NO</v>
      </c>
      <c r="K967" s="5">
        <f>IFERROR(VLOOKUP(Consulta1[[#This Row],[Pozo largo]],Controles!B:H,7,FALSE),"NO")</f>
        <v>0.16800000000000001</v>
      </c>
      <c r="L967" s="5">
        <f>IFERROR(VLOOKUP(Consulta1[[#This Row],[Pozo largo]],Controles!B:J,9,FALSE),"NO")</f>
        <v>0</v>
      </c>
    </row>
    <row r="968" spans="2:12" x14ac:dyDescent="0.35">
      <c r="B968" s="4" t="s">
        <v>1880</v>
      </c>
      <c r="C968" s="4" t="s">
        <v>6709</v>
      </c>
      <c r="D968" s="4" t="s">
        <v>5</v>
      </c>
      <c r="E968" s="4" t="s">
        <v>12</v>
      </c>
      <c r="F968" s="4" t="s">
        <v>7</v>
      </c>
      <c r="G968" s="4" t="s">
        <v>13</v>
      </c>
      <c r="H968" s="4" t="s">
        <v>80</v>
      </c>
      <c r="I968" s="5" t="str">
        <f>IFERROR(VLOOKUP(Consulta1[[#This Row],[Pozo largo]],'Lista YPF'!$B$3:$C$358,2,FALSE),"NO")</f>
        <v>NO</v>
      </c>
      <c r="J968" s="5" t="str">
        <f>IFERROR(VLOOKUP(Consulta1[[#This Row],[Pozo]],'Lista Oportunidades'!B:C,2,FALSE),"NO")</f>
        <v>NO</v>
      </c>
      <c r="K968" s="5">
        <f>IFERROR(VLOOKUP(Consulta1[[#This Row],[Pozo largo]],Controles!B:H,7,FALSE),"NO")</f>
        <v>0.8</v>
      </c>
      <c r="L968" s="5">
        <f>IFERROR(VLOOKUP(Consulta1[[#This Row],[Pozo largo]],Controles!B:J,9,FALSE),"NO")</f>
        <v>0</v>
      </c>
    </row>
    <row r="969" spans="2:12" x14ac:dyDescent="0.35">
      <c r="B969" s="4" t="s">
        <v>1882</v>
      </c>
      <c r="C969" s="4" t="s">
        <v>6710</v>
      </c>
      <c r="D969" s="4" t="s">
        <v>5</v>
      </c>
      <c r="E969" s="4" t="s">
        <v>24</v>
      </c>
      <c r="F969" s="4" t="s">
        <v>7</v>
      </c>
      <c r="G969" s="4" t="s">
        <v>8</v>
      </c>
      <c r="H969" s="4" t="s">
        <v>86</v>
      </c>
      <c r="I969" s="5" t="str">
        <f>IFERROR(VLOOKUP(Consulta1[[#This Row],[Pozo largo]],'Lista YPF'!$B$3:$C$358,2,FALSE),"NO")</f>
        <v>NO</v>
      </c>
      <c r="J969" s="5" t="str">
        <f>IFERROR(VLOOKUP(Consulta1[[#This Row],[Pozo]],'Lista Oportunidades'!B:C,2,FALSE),"NO")</f>
        <v>NO</v>
      </c>
      <c r="K969" s="5">
        <f>IFERROR(VLOOKUP(Consulta1[[#This Row],[Pozo largo]],Controles!B:H,7,FALSE),"NO")</f>
        <v>0.09</v>
      </c>
      <c r="L969" s="5">
        <f>IFERROR(VLOOKUP(Consulta1[[#This Row],[Pozo largo]],Controles!B:J,9,FALSE),"NO")</f>
        <v>0</v>
      </c>
    </row>
    <row r="970" spans="2:12" x14ac:dyDescent="0.35">
      <c r="B970" s="4" t="s">
        <v>1884</v>
      </c>
      <c r="C970" s="4" t="s">
        <v>6711</v>
      </c>
      <c r="D970" s="4" t="s">
        <v>5</v>
      </c>
      <c r="E970" s="4" t="s">
        <v>57</v>
      </c>
      <c r="F970" s="4" t="s">
        <v>7</v>
      </c>
      <c r="G970" s="4" t="s">
        <v>5718</v>
      </c>
      <c r="H970" s="4" t="s">
        <v>21</v>
      </c>
      <c r="I970" s="5" t="str">
        <f>IFERROR(VLOOKUP(Consulta1[[#This Row],[Pozo largo]],'Lista YPF'!$B$3:$C$358,2,FALSE),"NO")</f>
        <v>En lista de Abandono</v>
      </c>
      <c r="J970" s="5" t="str">
        <f>IFERROR(VLOOKUP(Consulta1[[#This Row],[Pozo]],'Lista Oportunidades'!B:C,2,FALSE),"NO")</f>
        <v>NO</v>
      </c>
      <c r="K970" s="5">
        <f>IFERROR(VLOOKUP(Consulta1[[#This Row],[Pozo largo]],Controles!B:H,7,FALSE),"NO")</f>
        <v>0.04</v>
      </c>
      <c r="L970" s="5">
        <f>IFERROR(VLOOKUP(Consulta1[[#This Row],[Pozo largo]],Controles!B:J,9,FALSE),"NO")</f>
        <v>0</v>
      </c>
    </row>
    <row r="971" spans="2:12" x14ac:dyDescent="0.35">
      <c r="B971" s="4" t="s">
        <v>1886</v>
      </c>
      <c r="C971" s="4" t="s">
        <v>6712</v>
      </c>
      <c r="D971" s="4" t="s">
        <v>5</v>
      </c>
      <c r="E971" s="4" t="s">
        <v>12</v>
      </c>
      <c r="F971" s="4" t="s">
        <v>28</v>
      </c>
      <c r="G971" s="4" t="s">
        <v>13</v>
      </c>
      <c r="H971" s="4" t="s">
        <v>185</v>
      </c>
      <c r="I971" s="5" t="str">
        <f>IFERROR(VLOOKUP(Consulta1[[#This Row],[Pozo largo]],'Lista YPF'!$B$3:$C$358,2,FALSE),"NO")</f>
        <v>NO</v>
      </c>
      <c r="J971" s="5" t="str">
        <f>IFERROR(VLOOKUP(Consulta1[[#This Row],[Pozo]],'Lista Oportunidades'!B:C,2,FALSE),"NO")</f>
        <v>NO</v>
      </c>
      <c r="K971" s="5">
        <f>IFERROR(VLOOKUP(Consulta1[[#This Row],[Pozo largo]],Controles!B:H,7,FALSE),"NO")</f>
        <v>0</v>
      </c>
      <c r="L971" s="5">
        <f>IFERROR(VLOOKUP(Consulta1[[#This Row],[Pozo largo]],Controles!B:J,9,FALSE),"NO")</f>
        <v>0</v>
      </c>
    </row>
    <row r="972" spans="2:12" x14ac:dyDescent="0.35">
      <c r="B972" s="4" t="s">
        <v>1888</v>
      </c>
      <c r="C972" s="4" t="s">
        <v>5745</v>
      </c>
      <c r="D972" s="4" t="s">
        <v>5</v>
      </c>
      <c r="E972" s="4" t="s">
        <v>24</v>
      </c>
      <c r="F972" s="4" t="s">
        <v>7</v>
      </c>
      <c r="G972" s="4" t="s">
        <v>8689</v>
      </c>
      <c r="H972" s="4" t="s">
        <v>9</v>
      </c>
      <c r="I972" s="5" t="str">
        <f>IFERROR(VLOOKUP(Consulta1[[#This Row],[Pozo largo]],'Lista YPF'!$B$3:$C$358,2,FALSE),"NO")</f>
        <v>NO</v>
      </c>
      <c r="J972" s="5" t="str">
        <f>IFERROR(VLOOKUP(Consulta1[[#This Row],[Pozo]],'Lista Oportunidades'!B:C,2,FALSE),"NO")</f>
        <v>Oportunidad</v>
      </c>
      <c r="K972" s="5">
        <f>IFERROR(VLOOKUP(Consulta1[[#This Row],[Pozo largo]],Controles!B:H,7,FALSE),"NO")</f>
        <v>0.20400000000000001</v>
      </c>
      <c r="L972" s="5">
        <f>IFERROR(VLOOKUP(Consulta1[[#This Row],[Pozo largo]],Controles!B:J,9,FALSE),"NO")</f>
        <v>0</v>
      </c>
    </row>
    <row r="973" spans="2:12" x14ac:dyDescent="0.35">
      <c r="B973" s="4" t="s">
        <v>1890</v>
      </c>
      <c r="C973" s="4" t="s">
        <v>6713</v>
      </c>
      <c r="D973" s="4" t="s">
        <v>5</v>
      </c>
      <c r="E973" s="4" t="s">
        <v>12</v>
      </c>
      <c r="F973" s="4" t="s">
        <v>7</v>
      </c>
      <c r="G973" s="4" t="s">
        <v>13</v>
      </c>
      <c r="H973" s="4" t="s">
        <v>9</v>
      </c>
      <c r="I973" s="5" t="str">
        <f>IFERROR(VLOOKUP(Consulta1[[#This Row],[Pozo largo]],'Lista YPF'!$B$3:$C$358,2,FALSE),"NO")</f>
        <v>NO</v>
      </c>
      <c r="J973" s="5" t="str">
        <f>IFERROR(VLOOKUP(Consulta1[[#This Row],[Pozo]],'Lista Oportunidades'!B:C,2,FALSE),"NO")</f>
        <v>NO</v>
      </c>
      <c r="K973" s="5">
        <f>IFERROR(VLOOKUP(Consulta1[[#This Row],[Pozo largo]],Controles!B:H,7,FALSE),"NO")</f>
        <v>1.19</v>
      </c>
      <c r="L973" s="5">
        <f>IFERROR(VLOOKUP(Consulta1[[#This Row],[Pozo largo]],Controles!B:J,9,FALSE),"NO")</f>
        <v>0</v>
      </c>
    </row>
    <row r="974" spans="2:12" x14ac:dyDescent="0.35">
      <c r="B974" s="4" t="s">
        <v>1892</v>
      </c>
      <c r="C974" s="4" t="s">
        <v>6714</v>
      </c>
      <c r="D974" s="4" t="s">
        <v>5</v>
      </c>
      <c r="E974" s="4" t="s">
        <v>12</v>
      </c>
      <c r="F974" s="4" t="s">
        <v>25</v>
      </c>
      <c r="G974" s="4" t="s">
        <v>13</v>
      </c>
      <c r="H974" s="4" t="s">
        <v>91</v>
      </c>
      <c r="I974" s="5" t="str">
        <f>IFERROR(VLOOKUP(Consulta1[[#This Row],[Pozo largo]],'Lista YPF'!$B$3:$C$358,2,FALSE),"NO")</f>
        <v>NO</v>
      </c>
      <c r="J974" s="5" t="str">
        <f>IFERROR(VLOOKUP(Consulta1[[#This Row],[Pozo]],'Lista Oportunidades'!B:C,2,FALSE),"NO")</f>
        <v>NO</v>
      </c>
      <c r="K974" s="5">
        <f>IFERROR(VLOOKUP(Consulta1[[#This Row],[Pozo largo]],Controles!B:H,7,FALSE),"NO")</f>
        <v>0.65500000000000003</v>
      </c>
      <c r="L974" s="5">
        <f>IFERROR(VLOOKUP(Consulta1[[#This Row],[Pozo largo]],Controles!B:J,9,FALSE),"NO")</f>
        <v>0</v>
      </c>
    </row>
    <row r="975" spans="2:12" x14ac:dyDescent="0.35">
      <c r="B975" s="4" t="s">
        <v>1894</v>
      </c>
      <c r="C975" s="4" t="s">
        <v>6715</v>
      </c>
      <c r="D975" s="4" t="s">
        <v>5</v>
      </c>
      <c r="E975" s="4" t="s">
        <v>12</v>
      </c>
      <c r="F975" s="4" t="s">
        <v>7</v>
      </c>
      <c r="G975" s="4" t="s">
        <v>13</v>
      </c>
      <c r="H975" s="4" t="s">
        <v>185</v>
      </c>
      <c r="I975" s="5" t="str">
        <f>IFERROR(VLOOKUP(Consulta1[[#This Row],[Pozo largo]],'Lista YPF'!$B$3:$C$358,2,FALSE),"NO")</f>
        <v>NO</v>
      </c>
      <c r="J975" s="5" t="str">
        <f>IFERROR(VLOOKUP(Consulta1[[#This Row],[Pozo]],'Lista Oportunidades'!B:C,2,FALSE),"NO")</f>
        <v>NO</v>
      </c>
      <c r="K975" s="5">
        <f>IFERROR(VLOOKUP(Consulta1[[#This Row],[Pozo largo]],Controles!B:H,7,FALSE),"NO")</f>
        <v>2.38</v>
      </c>
      <c r="L975" s="5">
        <f>IFERROR(VLOOKUP(Consulta1[[#This Row],[Pozo largo]],Controles!B:J,9,FALSE),"NO")</f>
        <v>0</v>
      </c>
    </row>
    <row r="976" spans="2:12" x14ac:dyDescent="0.35">
      <c r="B976" s="4" t="s">
        <v>1896</v>
      </c>
      <c r="C976" s="4" t="s">
        <v>6716</v>
      </c>
      <c r="D976" s="4" t="s">
        <v>5</v>
      </c>
      <c r="E976" s="4" t="s">
        <v>12</v>
      </c>
      <c r="F976" s="4" t="s">
        <v>7</v>
      </c>
      <c r="G976" s="4" t="s">
        <v>13</v>
      </c>
      <c r="H976" s="4" t="s">
        <v>21</v>
      </c>
      <c r="I976" s="5" t="str">
        <f>IFERROR(VLOOKUP(Consulta1[[#This Row],[Pozo largo]],'Lista YPF'!$B$3:$C$358,2,FALSE),"NO")</f>
        <v>NO</v>
      </c>
      <c r="J976" s="5" t="str">
        <f>IFERROR(VLOOKUP(Consulta1[[#This Row],[Pozo]],'Lista Oportunidades'!B:C,2,FALSE),"NO")</f>
        <v>NO</v>
      </c>
      <c r="K976" s="5">
        <f>IFERROR(VLOOKUP(Consulta1[[#This Row],[Pozo largo]],Controles!B:H,7,FALSE),"NO")</f>
        <v>1.125</v>
      </c>
      <c r="L976" s="5">
        <f>IFERROR(VLOOKUP(Consulta1[[#This Row],[Pozo largo]],Controles!B:J,9,FALSE),"NO")</f>
        <v>0</v>
      </c>
    </row>
    <row r="977" spans="2:12" x14ac:dyDescent="0.35">
      <c r="B977" s="4" t="s">
        <v>1898</v>
      </c>
      <c r="C977" s="4" t="s">
        <v>6717</v>
      </c>
      <c r="D977" s="4" t="s">
        <v>5</v>
      </c>
      <c r="E977" s="4" t="s">
        <v>12</v>
      </c>
      <c r="F977" s="4" t="s">
        <v>7</v>
      </c>
      <c r="G977" s="4" t="s">
        <v>13</v>
      </c>
      <c r="H977" s="4" t="s">
        <v>149</v>
      </c>
      <c r="I977" s="5" t="str">
        <f>IFERROR(VLOOKUP(Consulta1[[#This Row],[Pozo largo]],'Lista YPF'!$B$3:$C$358,2,FALSE),"NO")</f>
        <v>NO</v>
      </c>
      <c r="J977" s="5" t="str">
        <f>IFERROR(VLOOKUP(Consulta1[[#This Row],[Pozo]],'Lista Oportunidades'!B:C,2,FALSE),"NO")</f>
        <v>NO</v>
      </c>
      <c r="K977" s="5">
        <f>IFERROR(VLOOKUP(Consulta1[[#This Row],[Pozo largo]],Controles!B:H,7,FALSE),"NO")</f>
        <v>1.05</v>
      </c>
      <c r="L977" s="5">
        <f>IFERROR(VLOOKUP(Consulta1[[#This Row],[Pozo largo]],Controles!B:J,9,FALSE),"NO")</f>
        <v>0</v>
      </c>
    </row>
    <row r="978" spans="2:12" x14ac:dyDescent="0.35">
      <c r="B978" s="4" t="s">
        <v>1900</v>
      </c>
      <c r="C978" s="4" t="s">
        <v>6718</v>
      </c>
      <c r="D978" s="4" t="s">
        <v>5</v>
      </c>
      <c r="E978" s="4" t="s">
        <v>12</v>
      </c>
      <c r="F978" s="4" t="s">
        <v>7</v>
      </c>
      <c r="G978" s="4" t="s">
        <v>13</v>
      </c>
      <c r="H978" s="4" t="s">
        <v>33</v>
      </c>
      <c r="I978" s="5" t="str">
        <f>IFERROR(VLOOKUP(Consulta1[[#This Row],[Pozo largo]],'Lista YPF'!$B$3:$C$358,2,FALSE),"NO")</f>
        <v>NO</v>
      </c>
      <c r="J978" s="5" t="str">
        <f>IFERROR(VLOOKUP(Consulta1[[#This Row],[Pozo]],'Lista Oportunidades'!B:C,2,FALSE),"NO")</f>
        <v>NO</v>
      </c>
      <c r="K978" s="5">
        <f>IFERROR(VLOOKUP(Consulta1[[#This Row],[Pozo largo]],Controles!B:H,7,FALSE),"NO")</f>
        <v>0.45600000000000002</v>
      </c>
      <c r="L978" s="5">
        <f>IFERROR(VLOOKUP(Consulta1[[#This Row],[Pozo largo]],Controles!B:J,9,FALSE),"NO")</f>
        <v>0</v>
      </c>
    </row>
    <row r="979" spans="2:12" x14ac:dyDescent="0.35">
      <c r="B979" s="4" t="s">
        <v>1902</v>
      </c>
      <c r="C979" s="4" t="s">
        <v>6719</v>
      </c>
      <c r="D979" s="4" t="s">
        <v>5</v>
      </c>
      <c r="E979" s="4" t="s">
        <v>12</v>
      </c>
      <c r="F979" s="4" t="s">
        <v>7</v>
      </c>
      <c r="G979" s="4" t="s">
        <v>13</v>
      </c>
      <c r="H979" s="4" t="s">
        <v>86</v>
      </c>
      <c r="I979" s="5" t="str">
        <f>IFERROR(VLOOKUP(Consulta1[[#This Row],[Pozo largo]],'Lista YPF'!$B$3:$C$358,2,FALSE),"NO")</f>
        <v>NO</v>
      </c>
      <c r="J979" s="5" t="str">
        <f>IFERROR(VLOOKUP(Consulta1[[#This Row],[Pozo]],'Lista Oportunidades'!B:C,2,FALSE),"NO")</f>
        <v>NO</v>
      </c>
      <c r="K979" s="5">
        <f>IFERROR(VLOOKUP(Consulta1[[#This Row],[Pozo largo]],Controles!B:H,7,FALSE),"NO")</f>
        <v>2.226</v>
      </c>
      <c r="L979" s="5">
        <f>IFERROR(VLOOKUP(Consulta1[[#This Row],[Pozo largo]],Controles!B:J,9,FALSE),"NO")</f>
        <v>0</v>
      </c>
    </row>
    <row r="980" spans="2:12" x14ac:dyDescent="0.35">
      <c r="B980" s="4" t="s">
        <v>1904</v>
      </c>
      <c r="C980" s="4" t="s">
        <v>6720</v>
      </c>
      <c r="D980" s="4" t="s">
        <v>5</v>
      </c>
      <c r="E980" s="4" t="s">
        <v>12</v>
      </c>
      <c r="F980" s="4" t="s">
        <v>7</v>
      </c>
      <c r="G980" s="4" t="s">
        <v>13</v>
      </c>
      <c r="H980" s="4" t="s">
        <v>91</v>
      </c>
      <c r="I980" s="5" t="str">
        <f>IFERROR(VLOOKUP(Consulta1[[#This Row],[Pozo largo]],'Lista YPF'!$B$3:$C$358,2,FALSE),"NO")</f>
        <v>NO</v>
      </c>
      <c r="J980" s="5" t="str">
        <f>IFERROR(VLOOKUP(Consulta1[[#This Row],[Pozo]],'Lista Oportunidades'!B:C,2,FALSE),"NO")</f>
        <v>NO</v>
      </c>
      <c r="K980" s="5">
        <f>IFERROR(VLOOKUP(Consulta1[[#This Row],[Pozo largo]],Controles!B:H,7,FALSE),"NO")</f>
        <v>0.99</v>
      </c>
      <c r="L980" s="5">
        <f>IFERROR(VLOOKUP(Consulta1[[#This Row],[Pozo largo]],Controles!B:J,9,FALSE),"NO")</f>
        <v>0</v>
      </c>
    </row>
    <row r="981" spans="2:12" x14ac:dyDescent="0.35">
      <c r="B981" s="4" t="s">
        <v>1906</v>
      </c>
      <c r="C981" s="4" t="s">
        <v>6721</v>
      </c>
      <c r="D981" s="4" t="s">
        <v>5</v>
      </c>
      <c r="E981" s="4" t="s">
        <v>12</v>
      </c>
      <c r="F981" s="4" t="s">
        <v>28</v>
      </c>
      <c r="G981" s="4" t="s">
        <v>13</v>
      </c>
      <c r="H981" s="4" t="s">
        <v>9</v>
      </c>
      <c r="I981" s="5" t="str">
        <f>IFERROR(VLOOKUP(Consulta1[[#This Row],[Pozo largo]],'Lista YPF'!$B$3:$C$358,2,FALSE),"NO")</f>
        <v>NO</v>
      </c>
      <c r="J981" s="5" t="str">
        <f>IFERROR(VLOOKUP(Consulta1[[#This Row],[Pozo]],'Lista Oportunidades'!B:C,2,FALSE),"NO")</f>
        <v>Oportunidad</v>
      </c>
      <c r="K981" s="5">
        <f>IFERROR(VLOOKUP(Consulta1[[#This Row],[Pozo largo]],Controles!B:H,7,FALSE),"NO")</f>
        <v>0</v>
      </c>
      <c r="L981" s="5">
        <f>IFERROR(VLOOKUP(Consulta1[[#This Row],[Pozo largo]],Controles!B:J,9,FALSE),"NO")</f>
        <v>0</v>
      </c>
    </row>
    <row r="982" spans="2:12" x14ac:dyDescent="0.35">
      <c r="B982" s="4" t="s">
        <v>1908</v>
      </c>
      <c r="C982" s="4" t="s">
        <v>6722</v>
      </c>
      <c r="D982" s="4" t="s">
        <v>5</v>
      </c>
      <c r="E982" s="4" t="s">
        <v>30</v>
      </c>
      <c r="F982" s="4" t="s">
        <v>31</v>
      </c>
      <c r="G982" s="4" t="s">
        <v>32</v>
      </c>
      <c r="H982" s="4" t="s">
        <v>185</v>
      </c>
      <c r="I982" s="5" t="str">
        <f>IFERROR(VLOOKUP(Consulta1[[#This Row],[Pozo largo]],'Lista YPF'!$B$3:$C$358,2,FALSE),"NO")</f>
        <v>NO</v>
      </c>
      <c r="J982" s="5" t="str">
        <f>IFERROR(VLOOKUP(Consulta1[[#This Row],[Pozo]],'Lista Oportunidades'!B:C,2,FALSE),"NO")</f>
        <v>NO</v>
      </c>
      <c r="K982" s="5">
        <f>IFERROR(VLOOKUP(Consulta1[[#This Row],[Pozo largo]],Controles!B:H,7,FALSE),"NO")</f>
        <v>0.64300000000000002</v>
      </c>
      <c r="L982" s="5">
        <f>IFERROR(VLOOKUP(Consulta1[[#This Row],[Pozo largo]],Controles!B:J,9,FALSE),"NO")</f>
        <v>0</v>
      </c>
    </row>
    <row r="983" spans="2:12" x14ac:dyDescent="0.35">
      <c r="B983" s="4" t="s">
        <v>1910</v>
      </c>
      <c r="C983" s="4" t="s">
        <v>6723</v>
      </c>
      <c r="D983" s="4" t="s">
        <v>5</v>
      </c>
      <c r="E983" s="4" t="s">
        <v>30</v>
      </c>
      <c r="F983" s="4" t="s">
        <v>31</v>
      </c>
      <c r="G983" s="4" t="s">
        <v>32</v>
      </c>
      <c r="H983" s="4" t="s">
        <v>80</v>
      </c>
      <c r="I983" s="5" t="str">
        <f>IFERROR(VLOOKUP(Consulta1[[#This Row],[Pozo largo]],'Lista YPF'!$B$3:$C$358,2,FALSE),"NO")</f>
        <v>NO</v>
      </c>
      <c r="J983" s="5" t="str">
        <f>IFERROR(VLOOKUP(Consulta1[[#This Row],[Pozo]],'Lista Oportunidades'!B:C,2,FALSE),"NO")</f>
        <v>NO</v>
      </c>
      <c r="K983" s="5">
        <f>IFERROR(VLOOKUP(Consulta1[[#This Row],[Pozo largo]],Controles!B:H,7,FALSE),"NO")</f>
        <v>3.7760000000000002</v>
      </c>
      <c r="L983" s="5">
        <f>IFERROR(VLOOKUP(Consulta1[[#This Row],[Pozo largo]],Controles!B:J,9,FALSE),"NO")</f>
        <v>0</v>
      </c>
    </row>
    <row r="984" spans="2:12" x14ac:dyDescent="0.35">
      <c r="B984" s="4" t="s">
        <v>1912</v>
      </c>
      <c r="C984" s="4" t="s">
        <v>6724</v>
      </c>
      <c r="D984" s="4" t="s">
        <v>5</v>
      </c>
      <c r="E984" s="4" t="s">
        <v>24</v>
      </c>
      <c r="F984" s="4" t="s">
        <v>7</v>
      </c>
      <c r="G984" s="4" t="s">
        <v>8</v>
      </c>
      <c r="H984" s="4" t="s">
        <v>91</v>
      </c>
      <c r="I984" s="5" t="str">
        <f>IFERROR(VLOOKUP(Consulta1[[#This Row],[Pozo largo]],'Lista YPF'!$B$3:$C$358,2,FALSE),"NO")</f>
        <v>NO</v>
      </c>
      <c r="J984" s="5" t="str">
        <f>IFERROR(VLOOKUP(Consulta1[[#This Row],[Pozo]],'Lista Oportunidades'!B:C,2,FALSE),"NO")</f>
        <v>NO</v>
      </c>
      <c r="K984" s="5">
        <f>IFERROR(VLOOKUP(Consulta1[[#This Row],[Pozo largo]],Controles!B:H,7,FALSE),"NO")</f>
        <v>1E-3</v>
      </c>
      <c r="L984" s="5">
        <f>IFERROR(VLOOKUP(Consulta1[[#This Row],[Pozo largo]],Controles!B:J,9,FALSE),"NO")</f>
        <v>0</v>
      </c>
    </row>
    <row r="985" spans="2:12" x14ac:dyDescent="0.35">
      <c r="B985" s="4" t="s">
        <v>1914</v>
      </c>
      <c r="C985" s="4" t="s">
        <v>6725</v>
      </c>
      <c r="D985" s="4" t="s">
        <v>5</v>
      </c>
      <c r="E985" s="4" t="s">
        <v>12</v>
      </c>
      <c r="F985" s="4" t="s">
        <v>7</v>
      </c>
      <c r="G985" s="4" t="s">
        <v>13</v>
      </c>
      <c r="H985" s="4" t="s">
        <v>185</v>
      </c>
      <c r="I985" s="5" t="str">
        <f>IFERROR(VLOOKUP(Consulta1[[#This Row],[Pozo largo]],'Lista YPF'!$B$3:$C$358,2,FALSE),"NO")</f>
        <v>NO</v>
      </c>
      <c r="J985" s="5" t="str">
        <f>IFERROR(VLOOKUP(Consulta1[[#This Row],[Pozo]],'Lista Oportunidades'!B:C,2,FALSE),"NO")</f>
        <v>NO</v>
      </c>
      <c r="K985" s="5">
        <f>IFERROR(VLOOKUP(Consulta1[[#This Row],[Pozo largo]],Controles!B:H,7,FALSE),"NO")</f>
        <v>2.97</v>
      </c>
      <c r="L985" s="5">
        <f>IFERROR(VLOOKUP(Consulta1[[#This Row],[Pozo largo]],Controles!B:J,9,FALSE),"NO")</f>
        <v>0</v>
      </c>
    </row>
    <row r="986" spans="2:12" x14ac:dyDescent="0.35">
      <c r="B986" s="4" t="s">
        <v>1916</v>
      </c>
      <c r="C986" s="4" t="s">
        <v>6726</v>
      </c>
      <c r="D986" s="4" t="s">
        <v>5</v>
      </c>
      <c r="E986" s="4" t="s">
        <v>12</v>
      </c>
      <c r="F986" s="4" t="s">
        <v>7</v>
      </c>
      <c r="G986" s="4" t="s">
        <v>13</v>
      </c>
      <c r="H986" s="4" t="s">
        <v>185</v>
      </c>
      <c r="I986" s="5" t="str">
        <f>IFERROR(VLOOKUP(Consulta1[[#This Row],[Pozo largo]],'Lista YPF'!$B$3:$C$358,2,FALSE),"NO")</f>
        <v>NO</v>
      </c>
      <c r="J986" s="5" t="str">
        <f>IFERROR(VLOOKUP(Consulta1[[#This Row],[Pozo]],'Lista Oportunidades'!B:C,2,FALSE),"NO")</f>
        <v>NO</v>
      </c>
      <c r="K986" s="5">
        <f>IFERROR(VLOOKUP(Consulta1[[#This Row],[Pozo largo]],Controles!B:H,7,FALSE),"NO")</f>
        <v>0.63</v>
      </c>
      <c r="L986" s="5">
        <f>IFERROR(VLOOKUP(Consulta1[[#This Row],[Pozo largo]],Controles!B:J,9,FALSE),"NO")</f>
        <v>0</v>
      </c>
    </row>
    <row r="987" spans="2:12" x14ac:dyDescent="0.35">
      <c r="B987" s="4" t="s">
        <v>1918</v>
      </c>
      <c r="C987" s="4" t="s">
        <v>6727</v>
      </c>
      <c r="D987" s="4" t="s">
        <v>5</v>
      </c>
      <c r="E987" s="4" t="s">
        <v>12</v>
      </c>
      <c r="F987" s="4" t="s">
        <v>7</v>
      </c>
      <c r="G987" s="4" t="s">
        <v>13</v>
      </c>
      <c r="H987" s="4" t="s">
        <v>185</v>
      </c>
      <c r="I987" s="5" t="str">
        <f>IFERROR(VLOOKUP(Consulta1[[#This Row],[Pozo largo]],'Lista YPF'!$B$3:$C$358,2,FALSE),"NO")</f>
        <v>NO</v>
      </c>
      <c r="J987" s="5" t="str">
        <f>IFERROR(VLOOKUP(Consulta1[[#This Row],[Pozo]],'Lista Oportunidades'!B:C,2,FALSE),"NO")</f>
        <v>NO</v>
      </c>
      <c r="K987" s="5">
        <f>IFERROR(VLOOKUP(Consulta1[[#This Row],[Pozo largo]],Controles!B:H,7,FALSE),"NO")</f>
        <v>0.56100000000000005</v>
      </c>
      <c r="L987" s="5">
        <f>IFERROR(VLOOKUP(Consulta1[[#This Row],[Pozo largo]],Controles!B:J,9,FALSE),"NO")</f>
        <v>0</v>
      </c>
    </row>
    <row r="988" spans="2:12" x14ac:dyDescent="0.35">
      <c r="B988" s="4" t="s">
        <v>1920</v>
      </c>
      <c r="C988" s="4" t="s">
        <v>6728</v>
      </c>
      <c r="D988" s="4" t="s">
        <v>5</v>
      </c>
      <c r="E988" s="4" t="s">
        <v>12</v>
      </c>
      <c r="F988" s="4" t="s">
        <v>7</v>
      </c>
      <c r="G988" s="4" t="s">
        <v>13</v>
      </c>
      <c r="H988" s="4" t="s">
        <v>185</v>
      </c>
      <c r="I988" s="5" t="str">
        <f>IFERROR(VLOOKUP(Consulta1[[#This Row],[Pozo largo]],'Lista YPF'!$B$3:$C$358,2,FALSE),"NO")</f>
        <v>NO</v>
      </c>
      <c r="J988" s="5" t="str">
        <f>IFERROR(VLOOKUP(Consulta1[[#This Row],[Pozo]],'Lista Oportunidades'!B:C,2,FALSE),"NO")</f>
        <v>NO</v>
      </c>
      <c r="K988" s="5">
        <f>IFERROR(VLOOKUP(Consulta1[[#This Row],[Pozo largo]],Controles!B:H,7,FALSE),"NO")</f>
        <v>0.93500000000000005</v>
      </c>
      <c r="L988" s="5">
        <f>IFERROR(VLOOKUP(Consulta1[[#This Row],[Pozo largo]],Controles!B:J,9,FALSE),"NO")</f>
        <v>0</v>
      </c>
    </row>
    <row r="989" spans="2:12" x14ac:dyDescent="0.35">
      <c r="B989" s="4" t="s">
        <v>1922</v>
      </c>
      <c r="C989" s="4" t="s">
        <v>6729</v>
      </c>
      <c r="D989" s="4" t="s">
        <v>5</v>
      </c>
      <c r="E989" s="4" t="s">
        <v>12</v>
      </c>
      <c r="F989" s="4" t="s">
        <v>28</v>
      </c>
      <c r="G989" s="4" t="s">
        <v>13</v>
      </c>
      <c r="H989" s="4" t="s">
        <v>185</v>
      </c>
      <c r="I989" s="5" t="str">
        <f>IFERROR(VLOOKUP(Consulta1[[#This Row],[Pozo largo]],'Lista YPF'!$B$3:$C$358,2,FALSE),"NO")</f>
        <v>NO</v>
      </c>
      <c r="J989" s="5" t="str">
        <f>IFERROR(VLOOKUP(Consulta1[[#This Row],[Pozo]],'Lista Oportunidades'!B:C,2,FALSE),"NO")</f>
        <v>NO</v>
      </c>
      <c r="K989" s="5">
        <f>IFERROR(VLOOKUP(Consulta1[[#This Row],[Pozo largo]],Controles!B:H,7,FALSE),"NO")</f>
        <v>0</v>
      </c>
      <c r="L989" s="5">
        <f>IFERROR(VLOOKUP(Consulta1[[#This Row],[Pozo largo]],Controles!B:J,9,FALSE),"NO")</f>
        <v>0</v>
      </c>
    </row>
    <row r="990" spans="2:12" x14ac:dyDescent="0.35">
      <c r="B990" s="4" t="s">
        <v>1924</v>
      </c>
      <c r="C990" s="4" t="s">
        <v>6730</v>
      </c>
      <c r="D990" s="4" t="s">
        <v>5</v>
      </c>
      <c r="E990" s="4" t="s">
        <v>12</v>
      </c>
      <c r="F990" s="4" t="s">
        <v>28</v>
      </c>
      <c r="G990" s="4" t="s">
        <v>13</v>
      </c>
      <c r="H990" s="4" t="s">
        <v>185</v>
      </c>
      <c r="I990" s="5" t="str">
        <f>IFERROR(VLOOKUP(Consulta1[[#This Row],[Pozo largo]],'Lista YPF'!$B$3:$C$358,2,FALSE),"NO")</f>
        <v>NO</v>
      </c>
      <c r="J990" s="5" t="str">
        <f>IFERROR(VLOOKUP(Consulta1[[#This Row],[Pozo]],'Lista Oportunidades'!B:C,2,FALSE),"NO")</f>
        <v>NO</v>
      </c>
      <c r="K990" s="5">
        <f>IFERROR(VLOOKUP(Consulta1[[#This Row],[Pozo largo]],Controles!B:H,7,FALSE),"NO")</f>
        <v>0</v>
      </c>
      <c r="L990" s="5">
        <f>IFERROR(VLOOKUP(Consulta1[[#This Row],[Pozo largo]],Controles!B:J,9,FALSE),"NO")</f>
        <v>0</v>
      </c>
    </row>
    <row r="991" spans="2:12" x14ac:dyDescent="0.35">
      <c r="B991" s="4" t="s">
        <v>1926</v>
      </c>
      <c r="C991" s="4" t="s">
        <v>6731</v>
      </c>
      <c r="D991" s="4" t="s">
        <v>5</v>
      </c>
      <c r="E991" s="4" t="s">
        <v>57</v>
      </c>
      <c r="F991" s="4" t="s">
        <v>7</v>
      </c>
      <c r="G991" s="4" t="s">
        <v>5718</v>
      </c>
      <c r="H991" s="4" t="s">
        <v>9</v>
      </c>
      <c r="I991" s="5" t="str">
        <f>IFERROR(VLOOKUP(Consulta1[[#This Row],[Pozo largo]],'Lista YPF'!$B$3:$C$358,2,FALSE),"NO")</f>
        <v>En lista de Abandono</v>
      </c>
      <c r="J991" s="5" t="str">
        <f>IFERROR(VLOOKUP(Consulta1[[#This Row],[Pozo]],'Lista Oportunidades'!B:C,2,FALSE),"NO")</f>
        <v>NO</v>
      </c>
      <c r="K991" s="5">
        <f>IFERROR(VLOOKUP(Consulta1[[#This Row],[Pozo largo]],Controles!B:H,7,FALSE),"NO")</f>
        <v>1.2</v>
      </c>
      <c r="L991" s="5">
        <f>IFERROR(VLOOKUP(Consulta1[[#This Row],[Pozo largo]],Controles!B:J,9,FALSE),"NO")</f>
        <v>0</v>
      </c>
    </row>
    <row r="992" spans="2:12" x14ac:dyDescent="0.35">
      <c r="B992" s="4" t="s">
        <v>1928</v>
      </c>
      <c r="C992" s="4" t="s">
        <v>6732</v>
      </c>
      <c r="D992" s="4" t="s">
        <v>5</v>
      </c>
      <c r="E992" s="4" t="s">
        <v>12</v>
      </c>
      <c r="F992" s="4" t="s">
        <v>7</v>
      </c>
      <c r="G992" s="4" t="s">
        <v>13</v>
      </c>
      <c r="H992" s="4" t="s">
        <v>71</v>
      </c>
      <c r="I992" s="5" t="str">
        <f>IFERROR(VLOOKUP(Consulta1[[#This Row],[Pozo largo]],'Lista YPF'!$B$3:$C$358,2,FALSE),"NO")</f>
        <v>NO</v>
      </c>
      <c r="J992" s="5" t="str">
        <f>IFERROR(VLOOKUP(Consulta1[[#This Row],[Pozo]],'Lista Oportunidades'!B:C,2,FALSE),"NO")</f>
        <v>NO</v>
      </c>
      <c r="K992" s="5">
        <f>IFERROR(VLOOKUP(Consulta1[[#This Row],[Pozo largo]],Controles!B:H,7,FALSE),"NO")</f>
        <v>1.2</v>
      </c>
      <c r="L992" s="5">
        <f>IFERROR(VLOOKUP(Consulta1[[#This Row],[Pozo largo]],Controles!B:J,9,FALSE),"NO")</f>
        <v>0</v>
      </c>
    </row>
    <row r="993" spans="2:12" x14ac:dyDescent="0.35">
      <c r="B993" s="4" t="s">
        <v>1930</v>
      </c>
      <c r="C993" s="4" t="s">
        <v>6733</v>
      </c>
      <c r="D993" s="4" t="s">
        <v>5</v>
      </c>
      <c r="E993" s="4" t="s">
        <v>12</v>
      </c>
      <c r="F993" s="4" t="s">
        <v>7</v>
      </c>
      <c r="G993" s="4" t="s">
        <v>13</v>
      </c>
      <c r="H993" s="4" t="s">
        <v>86</v>
      </c>
      <c r="I993" s="5" t="str">
        <f>IFERROR(VLOOKUP(Consulta1[[#This Row],[Pozo largo]],'Lista YPF'!$B$3:$C$358,2,FALSE),"NO")</f>
        <v>NO</v>
      </c>
      <c r="J993" s="5" t="str">
        <f>IFERROR(VLOOKUP(Consulta1[[#This Row],[Pozo]],'Lista Oportunidades'!B:C,2,FALSE),"NO")</f>
        <v>NO</v>
      </c>
      <c r="K993" s="5">
        <f>IFERROR(VLOOKUP(Consulta1[[#This Row],[Pozo largo]],Controles!B:H,7,FALSE),"NO")</f>
        <v>0.9820000000000001</v>
      </c>
      <c r="L993" s="5">
        <f>IFERROR(VLOOKUP(Consulta1[[#This Row],[Pozo largo]],Controles!B:J,9,FALSE),"NO")</f>
        <v>0</v>
      </c>
    </row>
    <row r="994" spans="2:12" x14ac:dyDescent="0.35">
      <c r="B994" s="4" t="s">
        <v>1932</v>
      </c>
      <c r="C994" s="4" t="s">
        <v>6734</v>
      </c>
      <c r="D994" s="4" t="s">
        <v>5</v>
      </c>
      <c r="E994" s="4" t="s">
        <v>6</v>
      </c>
      <c r="F994" s="4" t="s">
        <v>7</v>
      </c>
      <c r="G994" s="4" t="s">
        <v>11386</v>
      </c>
      <c r="H994" s="4" t="s">
        <v>185</v>
      </c>
      <c r="I994" s="5" t="str">
        <f>IFERROR(VLOOKUP(Consulta1[[#This Row],[Pozo largo]],'Lista YPF'!$B$3:$C$358,2,FALSE),"NO")</f>
        <v>NO</v>
      </c>
      <c r="J994" s="5" t="str">
        <f>IFERROR(VLOOKUP(Consulta1[[#This Row],[Pozo]],'Lista Oportunidades'!B:C,2,FALSE),"NO")</f>
        <v>NO</v>
      </c>
      <c r="K994" s="5">
        <f>IFERROR(VLOOKUP(Consulta1[[#This Row],[Pozo largo]],Controles!B:H,7,FALSE),"NO")</f>
        <v>1.3260000000000001</v>
      </c>
      <c r="L994" s="5" t="str">
        <f>IFERROR(VLOOKUP(Consulta1[[#This Row],[Pozo largo]],Controles!B:J,9,FALSE),"NO")</f>
        <v>Ultimos 6 meses</v>
      </c>
    </row>
    <row r="995" spans="2:12" x14ac:dyDescent="0.35">
      <c r="B995" s="4" t="s">
        <v>1934</v>
      </c>
      <c r="C995" s="4" t="s">
        <v>1935</v>
      </c>
      <c r="D995" s="4" t="s">
        <v>5</v>
      </c>
      <c r="E995" s="4" t="s">
        <v>12</v>
      </c>
      <c r="F995" s="4" t="s">
        <v>28</v>
      </c>
      <c r="G995" s="4" t="s">
        <v>13</v>
      </c>
      <c r="H995" s="4" t="s">
        <v>260</v>
      </c>
      <c r="I995" s="5" t="str">
        <f>IFERROR(VLOOKUP(Consulta1[[#This Row],[Pozo largo]],'Lista YPF'!$B$3:$C$358,2,FALSE),"NO")</f>
        <v>NO</v>
      </c>
      <c r="J995" s="5" t="str">
        <f>IFERROR(VLOOKUP(Consulta1[[#This Row],[Pozo]],'Lista Oportunidades'!B:C,2,FALSE),"NO")</f>
        <v>NO</v>
      </c>
      <c r="K995" s="5">
        <f>IFERROR(VLOOKUP(Consulta1[[#This Row],[Pozo largo]],Controles!B:H,7,FALSE),"NO")</f>
        <v>0</v>
      </c>
      <c r="L995" s="5">
        <f>IFERROR(VLOOKUP(Consulta1[[#This Row],[Pozo largo]],Controles!B:J,9,FALSE),"NO")</f>
        <v>0</v>
      </c>
    </row>
    <row r="996" spans="2:12" x14ac:dyDescent="0.35">
      <c r="B996" s="4" t="s">
        <v>1936</v>
      </c>
      <c r="C996" s="4" t="s">
        <v>6735</v>
      </c>
      <c r="D996" s="4" t="s">
        <v>5</v>
      </c>
      <c r="E996" s="4" t="s">
        <v>12</v>
      </c>
      <c r="F996" s="4" t="s">
        <v>25</v>
      </c>
      <c r="G996" s="4" t="s">
        <v>13</v>
      </c>
      <c r="H996" s="4" t="s">
        <v>80</v>
      </c>
      <c r="I996" s="5" t="str">
        <f>IFERROR(VLOOKUP(Consulta1[[#This Row],[Pozo largo]],'Lista YPF'!$B$3:$C$358,2,FALSE),"NO")</f>
        <v>NO</v>
      </c>
      <c r="J996" s="5" t="str">
        <f>IFERROR(VLOOKUP(Consulta1[[#This Row],[Pozo]],'Lista Oportunidades'!B:C,2,FALSE),"NO")</f>
        <v>NO</v>
      </c>
      <c r="K996" s="5">
        <f>IFERROR(VLOOKUP(Consulta1[[#This Row],[Pozo largo]],Controles!B:H,7,FALSE),"NO")</f>
        <v>0.10400000000000001</v>
      </c>
      <c r="L996" s="5">
        <f>IFERROR(VLOOKUP(Consulta1[[#This Row],[Pozo largo]],Controles!B:J,9,FALSE),"NO")</f>
        <v>0</v>
      </c>
    </row>
    <row r="997" spans="2:12" x14ac:dyDescent="0.35">
      <c r="B997" s="4" t="s">
        <v>1938</v>
      </c>
      <c r="C997" s="4" t="s">
        <v>6736</v>
      </c>
      <c r="D997" s="4" t="s">
        <v>5</v>
      </c>
      <c r="E997" s="4" t="s">
        <v>6</v>
      </c>
      <c r="F997" s="4" t="s">
        <v>31</v>
      </c>
      <c r="G997" s="4" t="s">
        <v>8</v>
      </c>
      <c r="H997" s="4" t="s">
        <v>80</v>
      </c>
      <c r="I997" s="5" t="str">
        <f>IFERROR(VLOOKUP(Consulta1[[#This Row],[Pozo largo]],'Lista YPF'!$B$3:$C$358,2,FALSE),"NO")</f>
        <v>NO</v>
      </c>
      <c r="J997" s="5" t="str">
        <f>IFERROR(VLOOKUP(Consulta1[[#This Row],[Pozo]],'Lista Oportunidades'!B:C,2,FALSE),"NO")</f>
        <v>NO</v>
      </c>
      <c r="K997" s="5">
        <f>IFERROR(VLOOKUP(Consulta1[[#This Row],[Pozo largo]],Controles!B:H,7,FALSE),"NO")</f>
        <v>0</v>
      </c>
      <c r="L997" s="5">
        <f>IFERROR(VLOOKUP(Consulta1[[#This Row],[Pozo largo]],Controles!B:J,9,FALSE),"NO")</f>
        <v>0</v>
      </c>
    </row>
    <row r="998" spans="2:12" x14ac:dyDescent="0.35">
      <c r="B998" s="4" t="s">
        <v>1940</v>
      </c>
      <c r="C998" s="4" t="s">
        <v>6737</v>
      </c>
      <c r="D998" s="4" t="s">
        <v>5</v>
      </c>
      <c r="E998" s="4" t="s">
        <v>30</v>
      </c>
      <c r="F998" s="4" t="s">
        <v>31</v>
      </c>
      <c r="G998" s="4" t="s">
        <v>32</v>
      </c>
      <c r="H998" s="4" t="s">
        <v>91</v>
      </c>
      <c r="I998" s="5" t="str">
        <f>IFERROR(VLOOKUP(Consulta1[[#This Row],[Pozo largo]],'Lista YPF'!$B$3:$C$358,2,FALSE),"NO")</f>
        <v>NO</v>
      </c>
      <c r="J998" s="5" t="str">
        <f>IFERROR(VLOOKUP(Consulta1[[#This Row],[Pozo]],'Lista Oportunidades'!B:C,2,FALSE),"NO")</f>
        <v>NO</v>
      </c>
      <c r="K998" s="5" t="str">
        <f>IFERROR(VLOOKUP(Consulta1[[#This Row],[Pozo largo]],Controles!B:H,7,FALSE),"NO")</f>
        <v>NO</v>
      </c>
      <c r="L998" s="5" t="str">
        <f>IFERROR(VLOOKUP(Consulta1[[#This Row],[Pozo largo]],Controles!B:J,9,FALSE),"NO")</f>
        <v>NO</v>
      </c>
    </row>
    <row r="999" spans="2:12" x14ac:dyDescent="0.35">
      <c r="B999" s="4" t="s">
        <v>1941</v>
      </c>
      <c r="C999" s="4" t="s">
        <v>6738</v>
      </c>
      <c r="D999" s="4" t="s">
        <v>5</v>
      </c>
      <c r="E999" s="4" t="s">
        <v>30</v>
      </c>
      <c r="F999" s="4" t="s">
        <v>31</v>
      </c>
      <c r="G999" s="4" t="s">
        <v>32</v>
      </c>
      <c r="H999" s="4" t="s">
        <v>86</v>
      </c>
      <c r="I999" s="5" t="str">
        <f>IFERROR(VLOOKUP(Consulta1[[#This Row],[Pozo largo]],'Lista YPF'!$B$3:$C$358,2,FALSE),"NO")</f>
        <v>NO</v>
      </c>
      <c r="J999" s="5" t="str">
        <f>IFERROR(VLOOKUP(Consulta1[[#This Row],[Pozo]],'Lista Oportunidades'!B:C,2,FALSE),"NO")</f>
        <v>NO</v>
      </c>
      <c r="K999" s="5">
        <f>IFERROR(VLOOKUP(Consulta1[[#This Row],[Pozo largo]],Controles!B:H,7,FALSE),"NO")</f>
        <v>0</v>
      </c>
      <c r="L999" s="5">
        <f>IFERROR(VLOOKUP(Consulta1[[#This Row],[Pozo largo]],Controles!B:J,9,FALSE),"NO")</f>
        <v>0</v>
      </c>
    </row>
    <row r="1000" spans="2:12" x14ac:dyDescent="0.35">
      <c r="B1000" s="4" t="s">
        <v>1943</v>
      </c>
      <c r="C1000" s="4" t="s">
        <v>6739</v>
      </c>
      <c r="D1000" s="4" t="s">
        <v>5</v>
      </c>
      <c r="E1000" s="4" t="s">
        <v>57</v>
      </c>
      <c r="F1000" s="4" t="s">
        <v>7</v>
      </c>
      <c r="G1000" s="4" t="s">
        <v>5718</v>
      </c>
      <c r="H1000" s="4" t="s">
        <v>86</v>
      </c>
      <c r="I1000" s="5" t="str">
        <f>IFERROR(VLOOKUP(Consulta1[[#This Row],[Pozo largo]],'Lista YPF'!$B$3:$C$358,2,FALSE),"NO")</f>
        <v>En lista de Abandono</v>
      </c>
      <c r="J1000" s="5" t="str">
        <f>IFERROR(VLOOKUP(Consulta1[[#This Row],[Pozo]],'Lista Oportunidades'!B:C,2,FALSE),"NO")</f>
        <v>NO</v>
      </c>
      <c r="K1000" s="5">
        <f>IFERROR(VLOOKUP(Consulta1[[#This Row],[Pozo largo]],Controles!B:H,7,FALSE),"NO")</f>
        <v>0.71800000000000008</v>
      </c>
      <c r="L1000" s="5">
        <f>IFERROR(VLOOKUP(Consulta1[[#This Row],[Pozo largo]],Controles!B:J,9,FALSE),"NO")</f>
        <v>0</v>
      </c>
    </row>
    <row r="1001" spans="2:12" x14ac:dyDescent="0.35">
      <c r="B1001" s="4" t="s">
        <v>1945</v>
      </c>
      <c r="C1001" s="4" t="s">
        <v>6740</v>
      </c>
      <c r="D1001" s="4" t="s">
        <v>5</v>
      </c>
      <c r="E1001" s="4" t="s">
        <v>430</v>
      </c>
      <c r="F1001" s="4" t="s">
        <v>7</v>
      </c>
      <c r="G1001" s="4" t="s">
        <v>5718</v>
      </c>
      <c r="H1001" s="4" t="s">
        <v>86</v>
      </c>
      <c r="I1001" s="5" t="str">
        <f>IFERROR(VLOOKUP(Consulta1[[#This Row],[Pozo largo]],'Lista YPF'!$B$3:$C$358,2,FALSE),"NO")</f>
        <v>En lista de Abandono</v>
      </c>
      <c r="J1001" s="5" t="str">
        <f>IFERROR(VLOOKUP(Consulta1[[#This Row],[Pozo]],'Lista Oportunidades'!B:C,2,FALSE),"NO")</f>
        <v>NO</v>
      </c>
      <c r="K1001" s="5">
        <f>IFERROR(VLOOKUP(Consulta1[[#This Row],[Pozo largo]],Controles!B:H,7,FALSE),"NO")</f>
        <v>0.15</v>
      </c>
      <c r="L1001" s="5">
        <f>IFERROR(VLOOKUP(Consulta1[[#This Row],[Pozo largo]],Controles!B:J,9,FALSE),"NO")</f>
        <v>0</v>
      </c>
    </row>
    <row r="1002" spans="2:12" x14ac:dyDescent="0.35">
      <c r="B1002" s="4" t="s">
        <v>1947</v>
      </c>
      <c r="C1002" s="4" t="s">
        <v>6741</v>
      </c>
      <c r="D1002" s="4" t="s">
        <v>5</v>
      </c>
      <c r="E1002" s="4" t="s">
        <v>30</v>
      </c>
      <c r="F1002" s="4" t="s">
        <v>31</v>
      </c>
      <c r="G1002" s="4" t="s">
        <v>32</v>
      </c>
      <c r="H1002" s="4" t="s">
        <v>86</v>
      </c>
      <c r="I1002" s="5" t="str">
        <f>IFERROR(VLOOKUP(Consulta1[[#This Row],[Pozo largo]],'Lista YPF'!$B$3:$C$358,2,FALSE),"NO")</f>
        <v>NO</v>
      </c>
      <c r="J1002" s="5" t="str">
        <f>IFERROR(VLOOKUP(Consulta1[[#This Row],[Pozo]],'Lista Oportunidades'!B:C,2,FALSE),"NO")</f>
        <v>NO</v>
      </c>
      <c r="K1002" s="5" t="str">
        <f>IFERROR(VLOOKUP(Consulta1[[#This Row],[Pozo largo]],Controles!B:H,7,FALSE),"NO")</f>
        <v>NO</v>
      </c>
      <c r="L1002" s="5" t="str">
        <f>IFERROR(VLOOKUP(Consulta1[[#This Row],[Pozo largo]],Controles!B:J,9,FALSE),"NO")</f>
        <v>NO</v>
      </c>
    </row>
    <row r="1003" spans="2:12" x14ac:dyDescent="0.35">
      <c r="B1003" s="4" t="s">
        <v>1948</v>
      </c>
      <c r="C1003" s="4" t="s">
        <v>6742</v>
      </c>
      <c r="D1003" s="4" t="s">
        <v>5</v>
      </c>
      <c r="E1003" s="4" t="s">
        <v>12</v>
      </c>
      <c r="F1003" s="4" t="s">
        <v>7</v>
      </c>
      <c r="G1003" s="4" t="s">
        <v>13</v>
      </c>
      <c r="H1003" s="4" t="s">
        <v>86</v>
      </c>
      <c r="I1003" s="5" t="str">
        <f>IFERROR(VLOOKUP(Consulta1[[#This Row],[Pozo largo]],'Lista YPF'!$B$3:$C$358,2,FALSE),"NO")</f>
        <v>NO</v>
      </c>
      <c r="J1003" s="5" t="str">
        <f>IFERROR(VLOOKUP(Consulta1[[#This Row],[Pozo]],'Lista Oportunidades'!B:C,2,FALSE),"NO")</f>
        <v>NO</v>
      </c>
      <c r="K1003" s="5">
        <f>IFERROR(VLOOKUP(Consulta1[[#This Row],[Pozo largo]],Controles!B:H,7,FALSE),"NO")</f>
        <v>0.98</v>
      </c>
      <c r="L1003" s="5">
        <f>IFERROR(VLOOKUP(Consulta1[[#This Row],[Pozo largo]],Controles!B:J,9,FALSE),"NO")</f>
        <v>0</v>
      </c>
    </row>
    <row r="1004" spans="2:12" x14ac:dyDescent="0.35">
      <c r="B1004" s="4" t="s">
        <v>1950</v>
      </c>
      <c r="C1004" s="4" t="s">
        <v>6743</v>
      </c>
      <c r="D1004" s="4" t="s">
        <v>5</v>
      </c>
      <c r="E1004" s="4" t="s">
        <v>24</v>
      </c>
      <c r="F1004" s="4" t="s">
        <v>25</v>
      </c>
      <c r="G1004" s="4" t="s">
        <v>8</v>
      </c>
      <c r="H1004" s="4" t="s">
        <v>86</v>
      </c>
      <c r="I1004" s="5" t="str">
        <f>IFERROR(VLOOKUP(Consulta1[[#This Row],[Pozo largo]],'Lista YPF'!$B$3:$C$358,2,FALSE),"NO")</f>
        <v>NO</v>
      </c>
      <c r="J1004" s="5" t="str">
        <f>IFERROR(VLOOKUP(Consulta1[[#This Row],[Pozo]],'Lista Oportunidades'!B:C,2,FALSE),"NO")</f>
        <v>NO</v>
      </c>
      <c r="K1004" s="5">
        <f>IFERROR(VLOOKUP(Consulta1[[#This Row],[Pozo largo]],Controles!B:H,7,FALSE),"NO")</f>
        <v>0.216</v>
      </c>
      <c r="L1004" s="5">
        <f>IFERROR(VLOOKUP(Consulta1[[#This Row],[Pozo largo]],Controles!B:J,9,FALSE),"NO")</f>
        <v>0</v>
      </c>
    </row>
    <row r="1005" spans="2:12" x14ac:dyDescent="0.35">
      <c r="B1005" s="4" t="s">
        <v>1952</v>
      </c>
      <c r="C1005" s="4" t="s">
        <v>6744</v>
      </c>
      <c r="D1005" s="4" t="s">
        <v>5</v>
      </c>
      <c r="E1005" s="4" t="s">
        <v>24</v>
      </c>
      <c r="F1005" s="4" t="s">
        <v>28</v>
      </c>
      <c r="G1005" s="4" t="s">
        <v>8</v>
      </c>
      <c r="H1005" s="4" t="s">
        <v>71</v>
      </c>
      <c r="I1005" s="5" t="str">
        <f>IFERROR(VLOOKUP(Consulta1[[#This Row],[Pozo largo]],'Lista YPF'!$B$3:$C$358,2,FALSE),"NO")</f>
        <v>NO</v>
      </c>
      <c r="J1005" s="5" t="str">
        <f>IFERROR(VLOOKUP(Consulta1[[#This Row],[Pozo]],'Lista Oportunidades'!B:C,2,FALSE),"NO")</f>
        <v>NO</v>
      </c>
      <c r="K1005" s="5">
        <f>IFERROR(VLOOKUP(Consulta1[[#This Row],[Pozo largo]],Controles!B:H,7,FALSE),"NO")</f>
        <v>0</v>
      </c>
      <c r="L1005" s="5">
        <f>IFERROR(VLOOKUP(Consulta1[[#This Row],[Pozo largo]],Controles!B:J,9,FALSE),"NO")</f>
        <v>0</v>
      </c>
    </row>
    <row r="1006" spans="2:12" x14ac:dyDescent="0.35">
      <c r="B1006" s="4" t="s">
        <v>1954</v>
      </c>
      <c r="C1006" s="4" t="s">
        <v>6745</v>
      </c>
      <c r="D1006" s="4" t="s">
        <v>5</v>
      </c>
      <c r="E1006" s="4" t="s">
        <v>24</v>
      </c>
      <c r="F1006" s="4" t="s">
        <v>25</v>
      </c>
      <c r="G1006" s="4" t="s">
        <v>8</v>
      </c>
      <c r="H1006" s="4" t="s">
        <v>185</v>
      </c>
      <c r="I1006" s="5" t="str">
        <f>IFERROR(VLOOKUP(Consulta1[[#This Row],[Pozo largo]],'Lista YPF'!$B$3:$C$358,2,FALSE),"NO")</f>
        <v>NO</v>
      </c>
      <c r="J1006" s="5" t="str">
        <f>IFERROR(VLOOKUP(Consulta1[[#This Row],[Pozo]],'Lista Oportunidades'!B:C,2,FALSE),"NO")</f>
        <v>NO</v>
      </c>
      <c r="K1006" s="5">
        <f>IFERROR(VLOOKUP(Consulta1[[#This Row],[Pozo largo]],Controles!B:H,7,FALSE),"NO")</f>
        <v>0.36699999999999999</v>
      </c>
      <c r="L1006" s="5">
        <f>IFERROR(VLOOKUP(Consulta1[[#This Row],[Pozo largo]],Controles!B:J,9,FALSE),"NO")</f>
        <v>0</v>
      </c>
    </row>
    <row r="1007" spans="2:12" x14ac:dyDescent="0.35">
      <c r="B1007" s="4" t="s">
        <v>1956</v>
      </c>
      <c r="C1007" s="4" t="s">
        <v>6746</v>
      </c>
      <c r="D1007" s="4" t="s">
        <v>5</v>
      </c>
      <c r="E1007" s="4" t="s">
        <v>12</v>
      </c>
      <c r="F1007" s="4" t="s">
        <v>7</v>
      </c>
      <c r="G1007" s="4" t="s">
        <v>13</v>
      </c>
      <c r="H1007" s="4" t="s">
        <v>80</v>
      </c>
      <c r="I1007" s="5" t="str">
        <f>IFERROR(VLOOKUP(Consulta1[[#This Row],[Pozo largo]],'Lista YPF'!$B$3:$C$358,2,FALSE),"NO")</f>
        <v>NO</v>
      </c>
      <c r="J1007" s="5" t="str">
        <f>IFERROR(VLOOKUP(Consulta1[[#This Row],[Pozo]],'Lista Oportunidades'!B:C,2,FALSE),"NO")</f>
        <v>NO</v>
      </c>
      <c r="K1007" s="5">
        <f>IFERROR(VLOOKUP(Consulta1[[#This Row],[Pozo largo]],Controles!B:H,7,FALSE),"NO")</f>
        <v>1.125</v>
      </c>
      <c r="L1007" s="5">
        <f>IFERROR(VLOOKUP(Consulta1[[#This Row],[Pozo largo]],Controles!B:J,9,FALSE),"NO")</f>
        <v>0</v>
      </c>
    </row>
    <row r="1008" spans="2:12" x14ac:dyDescent="0.35">
      <c r="B1008" s="4" t="s">
        <v>1958</v>
      </c>
      <c r="C1008" s="4" t="s">
        <v>6747</v>
      </c>
      <c r="D1008" s="4" t="s">
        <v>5</v>
      </c>
      <c r="E1008" s="4" t="s">
        <v>30</v>
      </c>
      <c r="F1008" s="4" t="s">
        <v>31</v>
      </c>
      <c r="G1008" s="4" t="s">
        <v>32</v>
      </c>
      <c r="H1008" s="4" t="s">
        <v>86</v>
      </c>
      <c r="I1008" s="5" t="str">
        <f>IFERROR(VLOOKUP(Consulta1[[#This Row],[Pozo largo]],'Lista YPF'!$B$3:$C$358,2,FALSE),"NO")</f>
        <v>NO</v>
      </c>
      <c r="J1008" s="5" t="str">
        <f>IFERROR(VLOOKUP(Consulta1[[#This Row],[Pozo]],'Lista Oportunidades'!B:C,2,FALSE),"NO")</f>
        <v>NO</v>
      </c>
      <c r="K1008" s="5" t="str">
        <f>IFERROR(VLOOKUP(Consulta1[[#This Row],[Pozo largo]],Controles!B:H,7,FALSE),"NO")</f>
        <v>NO</v>
      </c>
      <c r="L1008" s="5" t="str">
        <f>IFERROR(VLOOKUP(Consulta1[[#This Row],[Pozo largo]],Controles!B:J,9,FALSE),"NO")</f>
        <v>NO</v>
      </c>
    </row>
    <row r="1009" spans="2:12" x14ac:dyDescent="0.35">
      <c r="B1009" s="4" t="s">
        <v>1959</v>
      </c>
      <c r="C1009" s="4" t="s">
        <v>6748</v>
      </c>
      <c r="D1009" s="4" t="s">
        <v>5</v>
      </c>
      <c r="E1009" s="4" t="s">
        <v>24</v>
      </c>
      <c r="F1009" s="4" t="s">
        <v>25</v>
      </c>
      <c r="G1009" s="4" t="s">
        <v>8</v>
      </c>
      <c r="H1009" s="4" t="s">
        <v>86</v>
      </c>
      <c r="I1009" s="5" t="str">
        <f>IFERROR(VLOOKUP(Consulta1[[#This Row],[Pozo largo]],'Lista YPF'!$B$3:$C$358,2,FALSE),"NO")</f>
        <v>NO</v>
      </c>
      <c r="J1009" s="5" t="str">
        <f>IFERROR(VLOOKUP(Consulta1[[#This Row],[Pozo]],'Lista Oportunidades'!B:C,2,FALSE),"NO")</f>
        <v>NO</v>
      </c>
      <c r="K1009" s="5">
        <f>IFERROR(VLOOKUP(Consulta1[[#This Row],[Pozo largo]],Controles!B:H,7,FALSE),"NO")</f>
        <v>0.16600000000000001</v>
      </c>
      <c r="L1009" s="5">
        <f>IFERROR(VLOOKUP(Consulta1[[#This Row],[Pozo largo]],Controles!B:J,9,FALSE),"NO")</f>
        <v>0</v>
      </c>
    </row>
    <row r="1010" spans="2:12" x14ac:dyDescent="0.35">
      <c r="B1010" s="4" t="s">
        <v>1961</v>
      </c>
      <c r="C1010" s="4" t="s">
        <v>6749</v>
      </c>
      <c r="D1010" s="4" t="s">
        <v>5</v>
      </c>
      <c r="E1010" s="4" t="s">
        <v>12</v>
      </c>
      <c r="F1010" s="4" t="s">
        <v>7</v>
      </c>
      <c r="G1010" s="4" t="s">
        <v>13</v>
      </c>
      <c r="H1010" s="4" t="s">
        <v>149</v>
      </c>
      <c r="I1010" s="5" t="str">
        <f>IFERROR(VLOOKUP(Consulta1[[#This Row],[Pozo largo]],'Lista YPF'!$B$3:$C$358,2,FALSE),"NO")</f>
        <v>NO</v>
      </c>
      <c r="J1010" s="5" t="str">
        <f>IFERROR(VLOOKUP(Consulta1[[#This Row],[Pozo]],'Lista Oportunidades'!B:C,2,FALSE),"NO")</f>
        <v>NO</v>
      </c>
      <c r="K1010" s="5">
        <f>IFERROR(VLOOKUP(Consulta1[[#This Row],[Pozo largo]],Controles!B:H,7,FALSE),"NO")</f>
        <v>0.81</v>
      </c>
      <c r="L1010" s="5">
        <f>IFERROR(VLOOKUP(Consulta1[[#This Row],[Pozo largo]],Controles!B:J,9,FALSE),"NO")</f>
        <v>0</v>
      </c>
    </row>
    <row r="1011" spans="2:12" x14ac:dyDescent="0.35">
      <c r="B1011" s="4" t="s">
        <v>1963</v>
      </c>
      <c r="C1011" s="4" t="s">
        <v>6750</v>
      </c>
      <c r="D1011" s="4" t="s">
        <v>5</v>
      </c>
      <c r="E1011" s="4" t="s">
        <v>12</v>
      </c>
      <c r="F1011" s="4" t="s">
        <v>25</v>
      </c>
      <c r="G1011" s="4" t="s">
        <v>13</v>
      </c>
      <c r="H1011" s="4" t="s">
        <v>21</v>
      </c>
      <c r="I1011" s="5" t="str">
        <f>IFERROR(VLOOKUP(Consulta1[[#This Row],[Pozo largo]],'Lista YPF'!$B$3:$C$358,2,FALSE),"NO")</f>
        <v>NO</v>
      </c>
      <c r="J1011" s="5" t="str">
        <f>IFERROR(VLOOKUP(Consulta1[[#This Row],[Pozo]],'Lista Oportunidades'!B:C,2,FALSE),"NO")</f>
        <v>NO</v>
      </c>
      <c r="K1011" s="5">
        <f>IFERROR(VLOOKUP(Consulta1[[#This Row],[Pozo largo]],Controles!B:H,7,FALSE),"NO")</f>
        <v>9.5000000000000001E-2</v>
      </c>
      <c r="L1011" s="5">
        <f>IFERROR(VLOOKUP(Consulta1[[#This Row],[Pozo largo]],Controles!B:J,9,FALSE),"NO")</f>
        <v>0</v>
      </c>
    </row>
    <row r="1012" spans="2:12" x14ac:dyDescent="0.35">
      <c r="B1012" s="4" t="s">
        <v>1965</v>
      </c>
      <c r="C1012" s="4" t="s">
        <v>6751</v>
      </c>
      <c r="D1012" s="4" t="s">
        <v>5</v>
      </c>
      <c r="E1012" s="4" t="s">
        <v>12</v>
      </c>
      <c r="F1012" s="4" t="s">
        <v>7</v>
      </c>
      <c r="G1012" s="4" t="s">
        <v>13</v>
      </c>
      <c r="H1012" s="4" t="s">
        <v>21</v>
      </c>
      <c r="I1012" s="5" t="str">
        <f>IFERROR(VLOOKUP(Consulta1[[#This Row],[Pozo largo]],'Lista YPF'!$B$3:$C$358,2,FALSE),"NO")</f>
        <v>NO</v>
      </c>
      <c r="J1012" s="5" t="str">
        <f>IFERROR(VLOOKUP(Consulta1[[#This Row],[Pozo]],'Lista Oportunidades'!B:C,2,FALSE),"NO")</f>
        <v>NO</v>
      </c>
      <c r="K1012" s="5">
        <f>IFERROR(VLOOKUP(Consulta1[[#This Row],[Pozo largo]],Controles!B:H,7,FALSE),"NO")</f>
        <v>0.9</v>
      </c>
      <c r="L1012" s="5">
        <f>IFERROR(VLOOKUP(Consulta1[[#This Row],[Pozo largo]],Controles!B:J,9,FALSE),"NO")</f>
        <v>0</v>
      </c>
    </row>
    <row r="1013" spans="2:12" x14ac:dyDescent="0.35">
      <c r="B1013" s="4" t="s">
        <v>1967</v>
      </c>
      <c r="C1013" s="4" t="s">
        <v>6752</v>
      </c>
      <c r="D1013" s="4" t="s">
        <v>5</v>
      </c>
      <c r="E1013" s="4" t="s">
        <v>57</v>
      </c>
      <c r="F1013" s="4" t="s">
        <v>31</v>
      </c>
      <c r="G1013" s="4" t="s">
        <v>5718</v>
      </c>
      <c r="H1013" s="4" t="s">
        <v>33</v>
      </c>
      <c r="I1013" s="5" t="str">
        <f>IFERROR(VLOOKUP(Consulta1[[#This Row],[Pozo largo]],'Lista YPF'!$B$3:$C$358,2,FALSE),"NO")</f>
        <v>En lista de Abandono</v>
      </c>
      <c r="J1013" s="5" t="str">
        <f>IFERROR(VLOOKUP(Consulta1[[#This Row],[Pozo]],'Lista Oportunidades'!B:C,2,FALSE),"NO")</f>
        <v>NO</v>
      </c>
      <c r="K1013" s="5">
        <f>IFERROR(VLOOKUP(Consulta1[[#This Row],[Pozo largo]],Controles!B:H,7,FALSE),"NO")</f>
        <v>0.224</v>
      </c>
      <c r="L1013" s="5">
        <f>IFERROR(VLOOKUP(Consulta1[[#This Row],[Pozo largo]],Controles!B:J,9,FALSE),"NO")</f>
        <v>0</v>
      </c>
    </row>
    <row r="1014" spans="2:12" x14ac:dyDescent="0.35">
      <c r="B1014" s="4" t="s">
        <v>1969</v>
      </c>
      <c r="C1014" s="4" t="s">
        <v>6753</v>
      </c>
      <c r="D1014" s="4" t="s">
        <v>5</v>
      </c>
      <c r="E1014" s="4" t="s">
        <v>12</v>
      </c>
      <c r="F1014" s="4" t="s">
        <v>28</v>
      </c>
      <c r="G1014" s="4" t="s">
        <v>13</v>
      </c>
      <c r="H1014" s="4" t="s">
        <v>21</v>
      </c>
      <c r="I1014" s="5" t="str">
        <f>IFERROR(VLOOKUP(Consulta1[[#This Row],[Pozo largo]],'Lista YPF'!$B$3:$C$358,2,FALSE),"NO")</f>
        <v>NO</v>
      </c>
      <c r="J1014" s="5" t="str">
        <f>IFERROR(VLOOKUP(Consulta1[[#This Row],[Pozo]],'Lista Oportunidades'!B:C,2,FALSE),"NO")</f>
        <v>NO</v>
      </c>
      <c r="K1014" s="5">
        <f>IFERROR(VLOOKUP(Consulta1[[#This Row],[Pozo largo]],Controles!B:H,7,FALSE),"NO")</f>
        <v>0</v>
      </c>
      <c r="L1014" s="5">
        <f>IFERROR(VLOOKUP(Consulta1[[#This Row],[Pozo largo]],Controles!B:J,9,FALSE),"NO")</f>
        <v>0</v>
      </c>
    </row>
    <row r="1015" spans="2:12" x14ac:dyDescent="0.35">
      <c r="B1015" s="4" t="s">
        <v>1971</v>
      </c>
      <c r="C1015" s="4" t="s">
        <v>6754</v>
      </c>
      <c r="D1015" s="4" t="s">
        <v>5</v>
      </c>
      <c r="E1015" s="4" t="s">
        <v>12</v>
      </c>
      <c r="F1015" s="4" t="s">
        <v>7</v>
      </c>
      <c r="G1015" s="4" t="s">
        <v>13</v>
      </c>
      <c r="H1015" s="4" t="s">
        <v>80</v>
      </c>
      <c r="I1015" s="5" t="str">
        <f>IFERROR(VLOOKUP(Consulta1[[#This Row],[Pozo largo]],'Lista YPF'!$B$3:$C$358,2,FALSE),"NO")</f>
        <v>NO</v>
      </c>
      <c r="J1015" s="5" t="str">
        <f>IFERROR(VLOOKUP(Consulta1[[#This Row],[Pozo]],'Lista Oportunidades'!B:C,2,FALSE),"NO")</f>
        <v>NO</v>
      </c>
      <c r="K1015" s="5">
        <f>IFERROR(VLOOKUP(Consulta1[[#This Row],[Pozo largo]],Controles!B:H,7,FALSE),"NO")</f>
        <v>1.9680000000000002</v>
      </c>
      <c r="L1015" s="5">
        <f>IFERROR(VLOOKUP(Consulta1[[#This Row],[Pozo largo]],Controles!B:J,9,FALSE),"NO")</f>
        <v>0</v>
      </c>
    </row>
    <row r="1016" spans="2:12" x14ac:dyDescent="0.35">
      <c r="B1016" s="4" t="s">
        <v>1973</v>
      </c>
      <c r="C1016" s="4" t="s">
        <v>6755</v>
      </c>
      <c r="D1016" s="4" t="s">
        <v>5</v>
      </c>
      <c r="E1016" s="4" t="s">
        <v>30</v>
      </c>
      <c r="F1016" s="4" t="s">
        <v>31</v>
      </c>
      <c r="G1016" s="4" t="s">
        <v>32</v>
      </c>
      <c r="H1016" s="4" t="s">
        <v>80</v>
      </c>
      <c r="I1016" s="5" t="str">
        <f>IFERROR(VLOOKUP(Consulta1[[#This Row],[Pozo largo]],'Lista YPF'!$B$3:$C$358,2,FALSE),"NO")</f>
        <v>NO</v>
      </c>
      <c r="J1016" s="5" t="str">
        <f>IFERROR(VLOOKUP(Consulta1[[#This Row],[Pozo]],'Lista Oportunidades'!B:C,2,FALSE),"NO")</f>
        <v>NO</v>
      </c>
      <c r="K1016" s="5" t="str">
        <f>IFERROR(VLOOKUP(Consulta1[[#This Row],[Pozo largo]],Controles!B:H,7,FALSE),"NO")</f>
        <v>NO</v>
      </c>
      <c r="L1016" s="5" t="str">
        <f>IFERROR(VLOOKUP(Consulta1[[#This Row],[Pozo largo]],Controles!B:J,9,FALSE),"NO")</f>
        <v>NO</v>
      </c>
    </row>
    <row r="1017" spans="2:12" x14ac:dyDescent="0.35">
      <c r="B1017" s="4" t="s">
        <v>1974</v>
      </c>
      <c r="C1017" s="4" t="s">
        <v>6756</v>
      </c>
      <c r="D1017" s="4" t="s">
        <v>5</v>
      </c>
      <c r="E1017" s="4" t="s">
        <v>30</v>
      </c>
      <c r="F1017" s="4" t="s">
        <v>31</v>
      </c>
      <c r="G1017" s="4" t="s">
        <v>32</v>
      </c>
      <c r="H1017" s="4" t="s">
        <v>91</v>
      </c>
      <c r="I1017" s="5" t="str">
        <f>IFERROR(VLOOKUP(Consulta1[[#This Row],[Pozo largo]],'Lista YPF'!$B$3:$C$358,2,FALSE),"NO")</f>
        <v>NO</v>
      </c>
      <c r="J1017" s="5" t="str">
        <f>IFERROR(VLOOKUP(Consulta1[[#This Row],[Pozo]],'Lista Oportunidades'!B:C,2,FALSE),"NO")</f>
        <v>NO</v>
      </c>
      <c r="K1017" s="5" t="str">
        <f>IFERROR(VLOOKUP(Consulta1[[#This Row],[Pozo largo]],Controles!B:H,7,FALSE),"NO")</f>
        <v>NO</v>
      </c>
      <c r="L1017" s="5" t="str">
        <f>IFERROR(VLOOKUP(Consulta1[[#This Row],[Pozo largo]],Controles!B:J,9,FALSE),"NO")</f>
        <v>NO</v>
      </c>
    </row>
    <row r="1018" spans="2:12" x14ac:dyDescent="0.35">
      <c r="B1018" s="4" t="s">
        <v>1975</v>
      </c>
      <c r="C1018" s="4" t="s">
        <v>6757</v>
      </c>
      <c r="D1018" s="4" t="s">
        <v>5</v>
      </c>
      <c r="E1018" s="4" t="s">
        <v>12</v>
      </c>
      <c r="F1018" s="4" t="s">
        <v>7</v>
      </c>
      <c r="G1018" s="4" t="s">
        <v>13</v>
      </c>
      <c r="H1018" s="4" t="s">
        <v>86</v>
      </c>
      <c r="I1018" s="5" t="str">
        <f>IFERROR(VLOOKUP(Consulta1[[#This Row],[Pozo largo]],'Lista YPF'!$B$3:$C$358,2,FALSE),"NO")</f>
        <v>NO</v>
      </c>
      <c r="J1018" s="5" t="str">
        <f>IFERROR(VLOOKUP(Consulta1[[#This Row],[Pozo]],'Lista Oportunidades'!B:C,2,FALSE),"NO")</f>
        <v>NO</v>
      </c>
      <c r="K1018" s="5">
        <f>IFERROR(VLOOKUP(Consulta1[[#This Row],[Pozo largo]],Controles!B:H,7,FALSE),"NO")</f>
        <v>0.55200000000000005</v>
      </c>
      <c r="L1018" s="5">
        <f>IFERROR(VLOOKUP(Consulta1[[#This Row],[Pozo largo]],Controles!B:J,9,FALSE),"NO")</f>
        <v>0</v>
      </c>
    </row>
    <row r="1019" spans="2:12" x14ac:dyDescent="0.35">
      <c r="B1019" s="4" t="s">
        <v>1977</v>
      </c>
      <c r="C1019" s="4" t="s">
        <v>6758</v>
      </c>
      <c r="D1019" s="4" t="s">
        <v>5</v>
      </c>
      <c r="E1019" s="4" t="s">
        <v>57</v>
      </c>
      <c r="F1019" s="4" t="s">
        <v>31</v>
      </c>
      <c r="G1019" s="4" t="s">
        <v>11387</v>
      </c>
      <c r="H1019" s="4" t="s">
        <v>86</v>
      </c>
      <c r="I1019" s="5" t="str">
        <f>IFERROR(VLOOKUP(Consulta1[[#This Row],[Pozo largo]],'Lista YPF'!$B$3:$C$358,2,FALSE),"NO")</f>
        <v>NO</v>
      </c>
      <c r="J1019" s="5" t="str">
        <f>IFERROR(VLOOKUP(Consulta1[[#This Row],[Pozo]],'Lista Oportunidades'!B:C,2,FALSE),"NO")</f>
        <v>NO</v>
      </c>
      <c r="K1019" s="5">
        <f>IFERROR(VLOOKUP(Consulta1[[#This Row],[Pozo largo]],Controles!B:H,7,FALSE),"NO")</f>
        <v>0.82800000000000007</v>
      </c>
      <c r="L1019" s="5" t="str">
        <f>IFERROR(VLOOKUP(Consulta1[[#This Row],[Pozo largo]],Controles!B:J,9,FALSE),"NO")</f>
        <v>Ultimo Año</v>
      </c>
    </row>
    <row r="1020" spans="2:12" x14ac:dyDescent="0.35">
      <c r="B1020" s="4" t="s">
        <v>1979</v>
      </c>
      <c r="C1020" s="4" t="s">
        <v>6759</v>
      </c>
      <c r="D1020" s="4" t="s">
        <v>5</v>
      </c>
      <c r="E1020" s="4" t="s">
        <v>57</v>
      </c>
      <c r="F1020" s="4" t="s">
        <v>31</v>
      </c>
      <c r="G1020" s="4" t="s">
        <v>11387</v>
      </c>
      <c r="H1020" s="4" t="s">
        <v>91</v>
      </c>
      <c r="I1020" s="5" t="str">
        <f>IFERROR(VLOOKUP(Consulta1[[#This Row],[Pozo largo]],'Lista YPF'!$B$3:$C$358,2,FALSE),"NO")</f>
        <v>NO</v>
      </c>
      <c r="J1020" s="5" t="str">
        <f>IFERROR(VLOOKUP(Consulta1[[#This Row],[Pozo]],'Lista Oportunidades'!B:C,2,FALSE),"NO")</f>
        <v>NO</v>
      </c>
      <c r="K1020" s="5">
        <f>IFERROR(VLOOKUP(Consulta1[[#This Row],[Pozo largo]],Controles!B:H,7,FALSE),"NO")</f>
        <v>0.3</v>
      </c>
      <c r="L1020" s="5" t="str">
        <f>IFERROR(VLOOKUP(Consulta1[[#This Row],[Pozo largo]],Controles!B:J,9,FALSE),"NO")</f>
        <v>Ultimo Año</v>
      </c>
    </row>
    <row r="1021" spans="2:12" x14ac:dyDescent="0.35">
      <c r="B1021" s="4" t="s">
        <v>1981</v>
      </c>
      <c r="C1021" s="4" t="s">
        <v>6760</v>
      </c>
      <c r="D1021" s="4" t="s">
        <v>5</v>
      </c>
      <c r="E1021" s="4" t="s">
        <v>24</v>
      </c>
      <c r="F1021" s="4" t="s">
        <v>31</v>
      </c>
      <c r="G1021" s="4" t="s">
        <v>8</v>
      </c>
      <c r="H1021" s="4" t="s">
        <v>91</v>
      </c>
      <c r="I1021" s="5" t="str">
        <f>IFERROR(VLOOKUP(Consulta1[[#This Row],[Pozo largo]],'Lista YPF'!$B$3:$C$358,2,FALSE),"NO")</f>
        <v>NO</v>
      </c>
      <c r="J1021" s="5" t="str">
        <f>IFERROR(VLOOKUP(Consulta1[[#This Row],[Pozo]],'Lista Oportunidades'!B:C,2,FALSE),"NO")</f>
        <v>NO</v>
      </c>
      <c r="K1021" s="5">
        <f>IFERROR(VLOOKUP(Consulta1[[#This Row],[Pozo largo]],Controles!B:H,7,FALSE),"NO")</f>
        <v>0.11800000000000001</v>
      </c>
      <c r="L1021" s="5">
        <f>IFERROR(VLOOKUP(Consulta1[[#This Row],[Pozo largo]],Controles!B:J,9,FALSE),"NO")</f>
        <v>0</v>
      </c>
    </row>
    <row r="1022" spans="2:12" x14ac:dyDescent="0.35">
      <c r="B1022" s="4" t="s">
        <v>1983</v>
      </c>
      <c r="C1022" s="4" t="s">
        <v>6761</v>
      </c>
      <c r="D1022" s="4" t="s">
        <v>5</v>
      </c>
      <c r="E1022" s="4" t="s">
        <v>30</v>
      </c>
      <c r="F1022" s="4" t="s">
        <v>31</v>
      </c>
      <c r="G1022" s="4" t="s">
        <v>32</v>
      </c>
      <c r="H1022" s="4" t="s">
        <v>77</v>
      </c>
      <c r="I1022" s="5" t="str">
        <f>IFERROR(VLOOKUP(Consulta1[[#This Row],[Pozo largo]],'Lista YPF'!$B$3:$C$358,2,FALSE),"NO")</f>
        <v>NO</v>
      </c>
      <c r="J1022" s="5" t="str">
        <f>IFERROR(VLOOKUP(Consulta1[[#This Row],[Pozo]],'Lista Oportunidades'!B:C,2,FALSE),"NO")</f>
        <v>NO</v>
      </c>
      <c r="K1022" s="5" t="str">
        <f>IFERROR(VLOOKUP(Consulta1[[#This Row],[Pozo largo]],Controles!B:H,7,FALSE),"NO")</f>
        <v>NO</v>
      </c>
      <c r="L1022" s="5" t="str">
        <f>IFERROR(VLOOKUP(Consulta1[[#This Row],[Pozo largo]],Controles!B:J,9,FALSE),"NO")</f>
        <v>NO</v>
      </c>
    </row>
    <row r="1023" spans="2:12" x14ac:dyDescent="0.35">
      <c r="B1023" s="4" t="s">
        <v>1984</v>
      </c>
      <c r="C1023" s="4" t="s">
        <v>6762</v>
      </c>
      <c r="D1023" s="4" t="s">
        <v>5</v>
      </c>
      <c r="E1023" s="4" t="s">
        <v>12</v>
      </c>
      <c r="F1023" s="4" t="s">
        <v>7</v>
      </c>
      <c r="G1023" s="4" t="s">
        <v>13</v>
      </c>
      <c r="H1023" s="4" t="s">
        <v>185</v>
      </c>
      <c r="I1023" s="5" t="str">
        <f>IFERROR(VLOOKUP(Consulta1[[#This Row],[Pozo largo]],'Lista YPF'!$B$3:$C$358,2,FALSE),"NO")</f>
        <v>NO</v>
      </c>
      <c r="J1023" s="5" t="str">
        <f>IFERROR(VLOOKUP(Consulta1[[#This Row],[Pozo]],'Lista Oportunidades'!B:C,2,FALSE),"NO")</f>
        <v>NO</v>
      </c>
      <c r="K1023" s="5">
        <f>IFERROR(VLOOKUP(Consulta1[[#This Row],[Pozo largo]],Controles!B:H,7,FALSE),"NO")</f>
        <v>2.04</v>
      </c>
      <c r="L1023" s="5">
        <f>IFERROR(VLOOKUP(Consulta1[[#This Row],[Pozo largo]],Controles!B:J,9,FALSE),"NO")</f>
        <v>0</v>
      </c>
    </row>
    <row r="1024" spans="2:12" x14ac:dyDescent="0.35">
      <c r="B1024" s="4" t="s">
        <v>1986</v>
      </c>
      <c r="C1024" s="4" t="s">
        <v>6763</v>
      </c>
      <c r="D1024" s="4" t="s">
        <v>5</v>
      </c>
      <c r="E1024" s="4" t="s">
        <v>30</v>
      </c>
      <c r="F1024" s="4" t="s">
        <v>31</v>
      </c>
      <c r="G1024" s="4" t="s">
        <v>5718</v>
      </c>
      <c r="H1024" s="4" t="s">
        <v>185</v>
      </c>
      <c r="I1024" s="5" t="str">
        <f>IFERROR(VLOOKUP(Consulta1[[#This Row],[Pozo largo]],'Lista YPF'!$B$3:$C$358,2,FALSE),"NO")</f>
        <v>En lista de Abandono</v>
      </c>
      <c r="J1024" s="5" t="str">
        <f>IFERROR(VLOOKUP(Consulta1[[#This Row],[Pozo]],'Lista Oportunidades'!B:C,2,FALSE),"NO")</f>
        <v>NO</v>
      </c>
      <c r="K1024" s="5">
        <f>IFERROR(VLOOKUP(Consulta1[[#This Row],[Pozo largo]],Controles!B:H,7,FALSE),"NO")</f>
        <v>0.85</v>
      </c>
      <c r="L1024" s="5">
        <f>IFERROR(VLOOKUP(Consulta1[[#This Row],[Pozo largo]],Controles!B:J,9,FALSE),"NO")</f>
        <v>0</v>
      </c>
    </row>
    <row r="1025" spans="2:12" x14ac:dyDescent="0.35">
      <c r="B1025" s="4" t="s">
        <v>1988</v>
      </c>
      <c r="C1025" s="4" t="s">
        <v>6764</v>
      </c>
      <c r="D1025" s="4" t="s">
        <v>5</v>
      </c>
      <c r="E1025" s="4" t="s">
        <v>12</v>
      </c>
      <c r="F1025" s="4" t="s">
        <v>7</v>
      </c>
      <c r="G1025" s="4" t="s">
        <v>13</v>
      </c>
      <c r="H1025" s="4" t="s">
        <v>185</v>
      </c>
      <c r="I1025" s="5" t="str">
        <f>IFERROR(VLOOKUP(Consulta1[[#This Row],[Pozo largo]],'Lista YPF'!$B$3:$C$358,2,FALSE),"NO")</f>
        <v>NO</v>
      </c>
      <c r="J1025" s="5" t="str">
        <f>IFERROR(VLOOKUP(Consulta1[[#This Row],[Pozo]],'Lista Oportunidades'!B:C,2,FALSE),"NO")</f>
        <v>NO</v>
      </c>
      <c r="K1025" s="5">
        <f>IFERROR(VLOOKUP(Consulta1[[#This Row],[Pozo largo]],Controles!B:H,7,FALSE),"NO")</f>
        <v>0.92800000000000005</v>
      </c>
      <c r="L1025" s="5">
        <f>IFERROR(VLOOKUP(Consulta1[[#This Row],[Pozo largo]],Controles!B:J,9,FALSE),"NO")</f>
        <v>0</v>
      </c>
    </row>
    <row r="1026" spans="2:12" x14ac:dyDescent="0.35">
      <c r="B1026" s="4" t="s">
        <v>1990</v>
      </c>
      <c r="C1026" s="4" t="s">
        <v>6765</v>
      </c>
      <c r="D1026" s="4" t="s">
        <v>5</v>
      </c>
      <c r="E1026" s="4" t="s">
        <v>12</v>
      </c>
      <c r="F1026" s="4" t="s">
        <v>25</v>
      </c>
      <c r="G1026" s="4" t="s">
        <v>13</v>
      </c>
      <c r="H1026" s="4" t="s">
        <v>146</v>
      </c>
      <c r="I1026" s="5" t="str">
        <f>IFERROR(VLOOKUP(Consulta1[[#This Row],[Pozo largo]],'Lista YPF'!$B$3:$C$358,2,FALSE),"NO")</f>
        <v>NO</v>
      </c>
      <c r="J1026" s="5" t="str">
        <f>IFERROR(VLOOKUP(Consulta1[[#This Row],[Pozo]],'Lista Oportunidades'!B:C,2,FALSE),"NO")</f>
        <v>NO</v>
      </c>
      <c r="K1026" s="5">
        <f>IFERROR(VLOOKUP(Consulta1[[#This Row],[Pozo largo]],Controles!B:H,7,FALSE),"NO")</f>
        <v>4.9000000000000002E-2</v>
      </c>
      <c r="L1026" s="5">
        <f>IFERROR(VLOOKUP(Consulta1[[#This Row],[Pozo largo]],Controles!B:J,9,FALSE),"NO")</f>
        <v>0</v>
      </c>
    </row>
    <row r="1027" spans="2:12" x14ac:dyDescent="0.35">
      <c r="B1027" s="4" t="s">
        <v>1992</v>
      </c>
      <c r="C1027" s="4" t="s">
        <v>6766</v>
      </c>
      <c r="D1027" s="4" t="s">
        <v>5</v>
      </c>
      <c r="E1027" s="4" t="s">
        <v>12</v>
      </c>
      <c r="F1027" s="4" t="s">
        <v>7</v>
      </c>
      <c r="G1027" s="4" t="s">
        <v>13</v>
      </c>
      <c r="H1027" s="4" t="s">
        <v>290</v>
      </c>
      <c r="I1027" s="5" t="str">
        <f>IFERROR(VLOOKUP(Consulta1[[#This Row],[Pozo largo]],'Lista YPF'!$B$3:$C$358,2,FALSE),"NO")</f>
        <v>NO</v>
      </c>
      <c r="J1027" s="5" t="str">
        <f>IFERROR(VLOOKUP(Consulta1[[#This Row],[Pozo]],'Lista Oportunidades'!B:C,2,FALSE),"NO")</f>
        <v>NO</v>
      </c>
      <c r="K1027" s="5">
        <f>IFERROR(VLOOKUP(Consulta1[[#This Row],[Pozo largo]],Controles!B:H,7,FALSE),"NO")</f>
        <v>1.33</v>
      </c>
      <c r="L1027" s="5">
        <f>IFERROR(VLOOKUP(Consulta1[[#This Row],[Pozo largo]],Controles!B:J,9,FALSE),"NO")</f>
        <v>0</v>
      </c>
    </row>
    <row r="1028" spans="2:12" x14ac:dyDescent="0.35">
      <c r="B1028" s="4" t="s">
        <v>1994</v>
      </c>
      <c r="C1028" s="4" t="s">
        <v>6767</v>
      </c>
      <c r="D1028" s="4" t="s">
        <v>5</v>
      </c>
      <c r="E1028" s="4" t="s">
        <v>24</v>
      </c>
      <c r="F1028" s="4" t="s">
        <v>31</v>
      </c>
      <c r="G1028" s="4" t="s">
        <v>8</v>
      </c>
      <c r="H1028" s="4" t="s">
        <v>66</v>
      </c>
      <c r="I1028" s="5" t="str">
        <f>IFERROR(VLOOKUP(Consulta1[[#This Row],[Pozo largo]],'Lista YPF'!$B$3:$C$358,2,FALSE),"NO")</f>
        <v>NO</v>
      </c>
      <c r="J1028" s="5" t="str">
        <f>IFERROR(VLOOKUP(Consulta1[[#This Row],[Pozo]],'Lista Oportunidades'!B:C,2,FALSE),"NO")</f>
        <v>NO</v>
      </c>
      <c r="K1028" s="5">
        <f>IFERROR(VLOOKUP(Consulta1[[#This Row],[Pozo largo]],Controles!B:H,7,FALSE),"NO")</f>
        <v>0.53300000000000003</v>
      </c>
      <c r="L1028" s="5">
        <f>IFERROR(VLOOKUP(Consulta1[[#This Row],[Pozo largo]],Controles!B:J,9,FALSE),"NO")</f>
        <v>0</v>
      </c>
    </row>
    <row r="1029" spans="2:12" x14ac:dyDescent="0.35">
      <c r="B1029" s="4" t="s">
        <v>1996</v>
      </c>
      <c r="C1029" s="4" t="s">
        <v>6768</v>
      </c>
      <c r="D1029" s="4" t="s">
        <v>5</v>
      </c>
      <c r="E1029" s="4" t="s">
        <v>6</v>
      </c>
      <c r="F1029" s="4" t="s">
        <v>28</v>
      </c>
      <c r="G1029" s="4" t="s">
        <v>8</v>
      </c>
      <c r="H1029" s="4" t="s">
        <v>71</v>
      </c>
      <c r="I1029" s="5" t="str">
        <f>IFERROR(VLOOKUP(Consulta1[[#This Row],[Pozo largo]],'Lista YPF'!$B$3:$C$358,2,FALSE),"NO")</f>
        <v>NO</v>
      </c>
      <c r="J1029" s="5" t="str">
        <f>IFERROR(VLOOKUP(Consulta1[[#This Row],[Pozo]],'Lista Oportunidades'!B:C,2,FALSE),"NO")</f>
        <v>NO</v>
      </c>
      <c r="K1029" s="5">
        <f>IFERROR(VLOOKUP(Consulta1[[#This Row],[Pozo largo]],Controles!B:H,7,FALSE),"NO")</f>
        <v>0</v>
      </c>
      <c r="L1029" s="5">
        <f>IFERROR(VLOOKUP(Consulta1[[#This Row],[Pozo largo]],Controles!B:J,9,FALSE),"NO")</f>
        <v>0</v>
      </c>
    </row>
    <row r="1030" spans="2:12" x14ac:dyDescent="0.35">
      <c r="B1030" s="4" t="s">
        <v>1998</v>
      </c>
      <c r="C1030" s="4" t="s">
        <v>6769</v>
      </c>
      <c r="D1030" s="4" t="s">
        <v>5</v>
      </c>
      <c r="E1030" s="4" t="s">
        <v>24</v>
      </c>
      <c r="F1030" s="4" t="s">
        <v>31</v>
      </c>
      <c r="G1030" s="4" t="s">
        <v>8</v>
      </c>
      <c r="H1030" s="4" t="s">
        <v>9</v>
      </c>
      <c r="I1030" s="5" t="str">
        <f>IFERROR(VLOOKUP(Consulta1[[#This Row],[Pozo largo]],'Lista YPF'!$B$3:$C$358,2,FALSE),"NO")</f>
        <v>NO</v>
      </c>
      <c r="J1030" s="5" t="str">
        <f>IFERROR(VLOOKUP(Consulta1[[#This Row],[Pozo]],'Lista Oportunidades'!B:C,2,FALSE),"NO")</f>
        <v>NO</v>
      </c>
      <c r="K1030" s="5">
        <f>IFERROR(VLOOKUP(Consulta1[[#This Row],[Pozo largo]],Controles!B:H,7,FALSE),"NO")</f>
        <v>0.48</v>
      </c>
      <c r="L1030" s="5">
        <f>IFERROR(VLOOKUP(Consulta1[[#This Row],[Pozo largo]],Controles!B:J,9,FALSE),"NO")</f>
        <v>0</v>
      </c>
    </row>
    <row r="1031" spans="2:12" x14ac:dyDescent="0.35">
      <c r="B1031" s="4" t="s">
        <v>2000</v>
      </c>
      <c r="C1031" s="4" t="s">
        <v>6770</v>
      </c>
      <c r="D1031" s="4" t="s">
        <v>5</v>
      </c>
      <c r="E1031" s="4" t="s">
        <v>12</v>
      </c>
      <c r="F1031" s="4" t="s">
        <v>28</v>
      </c>
      <c r="G1031" s="4" t="s">
        <v>13</v>
      </c>
      <c r="H1031" s="4" t="s">
        <v>71</v>
      </c>
      <c r="I1031" s="5" t="str">
        <f>IFERROR(VLOOKUP(Consulta1[[#This Row],[Pozo largo]],'Lista YPF'!$B$3:$C$358,2,FALSE),"NO")</f>
        <v>NO</v>
      </c>
      <c r="J1031" s="5" t="str">
        <f>IFERROR(VLOOKUP(Consulta1[[#This Row],[Pozo]],'Lista Oportunidades'!B:C,2,FALSE),"NO")</f>
        <v>NO</v>
      </c>
      <c r="K1031" s="5">
        <f>IFERROR(VLOOKUP(Consulta1[[#This Row],[Pozo largo]],Controles!B:H,7,FALSE),"NO")</f>
        <v>0</v>
      </c>
      <c r="L1031" s="5">
        <f>IFERROR(VLOOKUP(Consulta1[[#This Row],[Pozo largo]],Controles!B:J,9,FALSE),"NO")</f>
        <v>0</v>
      </c>
    </row>
    <row r="1032" spans="2:12" x14ac:dyDescent="0.35">
      <c r="B1032" s="4" t="s">
        <v>2002</v>
      </c>
      <c r="C1032" s="4" t="s">
        <v>6771</v>
      </c>
      <c r="D1032" s="4" t="s">
        <v>5</v>
      </c>
      <c r="E1032" s="4" t="s">
        <v>12</v>
      </c>
      <c r="F1032" s="4" t="s">
        <v>7</v>
      </c>
      <c r="G1032" s="4" t="s">
        <v>13</v>
      </c>
      <c r="H1032" s="4" t="s">
        <v>9</v>
      </c>
      <c r="I1032" s="5" t="str">
        <f>IFERROR(VLOOKUP(Consulta1[[#This Row],[Pozo largo]],'Lista YPF'!$B$3:$C$358,2,FALSE),"NO")</f>
        <v>NO</v>
      </c>
      <c r="J1032" s="5" t="str">
        <f>IFERROR(VLOOKUP(Consulta1[[#This Row],[Pozo]],'Lista Oportunidades'!B:C,2,FALSE),"NO")</f>
        <v>NO</v>
      </c>
      <c r="K1032" s="5">
        <f>IFERROR(VLOOKUP(Consulta1[[#This Row],[Pozo largo]],Controles!B:H,7,FALSE),"NO")</f>
        <v>4.5440000000000005</v>
      </c>
      <c r="L1032" s="5">
        <f>IFERROR(VLOOKUP(Consulta1[[#This Row],[Pozo largo]],Controles!B:J,9,FALSE),"NO")</f>
        <v>0</v>
      </c>
    </row>
    <row r="1033" spans="2:12" x14ac:dyDescent="0.35">
      <c r="B1033" s="4" t="s">
        <v>2004</v>
      </c>
      <c r="C1033" s="4" t="s">
        <v>6772</v>
      </c>
      <c r="D1033" s="4" t="s">
        <v>5</v>
      </c>
      <c r="E1033" s="4" t="s">
        <v>24</v>
      </c>
      <c r="F1033" s="4" t="s">
        <v>7</v>
      </c>
      <c r="G1033" s="4" t="s">
        <v>8</v>
      </c>
      <c r="H1033" s="4" t="s">
        <v>21</v>
      </c>
      <c r="I1033" s="5" t="str">
        <f>IFERROR(VLOOKUP(Consulta1[[#This Row],[Pozo largo]],'Lista YPF'!$B$3:$C$358,2,FALSE),"NO")</f>
        <v>NO</v>
      </c>
      <c r="J1033" s="5" t="str">
        <f>IFERROR(VLOOKUP(Consulta1[[#This Row],[Pozo]],'Lista Oportunidades'!B:C,2,FALSE),"NO")</f>
        <v>NO</v>
      </c>
      <c r="K1033" s="5">
        <f>IFERROR(VLOOKUP(Consulta1[[#This Row],[Pozo largo]],Controles!B:H,7,FALSE),"NO")</f>
        <v>0.36</v>
      </c>
      <c r="L1033" s="5">
        <f>IFERROR(VLOOKUP(Consulta1[[#This Row],[Pozo largo]],Controles!B:J,9,FALSE),"NO")</f>
        <v>0</v>
      </c>
    </row>
    <row r="1034" spans="2:12" x14ac:dyDescent="0.35">
      <c r="B1034" s="4" t="s">
        <v>2006</v>
      </c>
      <c r="C1034" s="4" t="s">
        <v>6773</v>
      </c>
      <c r="D1034" s="4" t="s">
        <v>5</v>
      </c>
      <c r="E1034" s="4" t="s">
        <v>12</v>
      </c>
      <c r="F1034" s="4" t="s">
        <v>28</v>
      </c>
      <c r="G1034" s="4" t="s">
        <v>13</v>
      </c>
      <c r="H1034" s="4" t="s">
        <v>21</v>
      </c>
      <c r="I1034" s="5" t="str">
        <f>IFERROR(VLOOKUP(Consulta1[[#This Row],[Pozo largo]],'Lista YPF'!$B$3:$C$358,2,FALSE),"NO")</f>
        <v>NO</v>
      </c>
      <c r="J1034" s="5" t="str">
        <f>IFERROR(VLOOKUP(Consulta1[[#This Row],[Pozo]],'Lista Oportunidades'!B:C,2,FALSE),"NO")</f>
        <v>NO</v>
      </c>
      <c r="K1034" s="5">
        <f>IFERROR(VLOOKUP(Consulta1[[#This Row],[Pozo largo]],Controles!B:H,7,FALSE),"NO")</f>
        <v>0</v>
      </c>
      <c r="L1034" s="5">
        <f>IFERROR(VLOOKUP(Consulta1[[#This Row],[Pozo largo]],Controles!B:J,9,FALSE),"NO")</f>
        <v>0</v>
      </c>
    </row>
    <row r="1035" spans="2:12" x14ac:dyDescent="0.35">
      <c r="B1035" s="4" t="s">
        <v>2008</v>
      </c>
      <c r="C1035" s="4" t="s">
        <v>6774</v>
      </c>
      <c r="D1035" s="4" t="s">
        <v>5</v>
      </c>
      <c r="E1035" s="4" t="s">
        <v>12</v>
      </c>
      <c r="F1035" s="4" t="s">
        <v>25</v>
      </c>
      <c r="G1035" s="4" t="s">
        <v>13</v>
      </c>
      <c r="H1035" s="4" t="s">
        <v>21</v>
      </c>
      <c r="I1035" s="5" t="str">
        <f>IFERROR(VLOOKUP(Consulta1[[#This Row],[Pozo largo]],'Lista YPF'!$B$3:$C$358,2,FALSE),"NO")</f>
        <v>NO</v>
      </c>
      <c r="J1035" s="5" t="str">
        <f>IFERROR(VLOOKUP(Consulta1[[#This Row],[Pozo]],'Lista Oportunidades'!B:C,2,FALSE),"NO")</f>
        <v>NO</v>
      </c>
      <c r="K1035" s="5">
        <f>IFERROR(VLOOKUP(Consulta1[[#This Row],[Pozo largo]],Controles!B:H,7,FALSE),"NO")</f>
        <v>0.125</v>
      </c>
      <c r="L1035" s="5">
        <f>IFERROR(VLOOKUP(Consulta1[[#This Row],[Pozo largo]],Controles!B:J,9,FALSE),"NO")</f>
        <v>0</v>
      </c>
    </row>
    <row r="1036" spans="2:12" x14ac:dyDescent="0.35">
      <c r="B1036" s="4" t="s">
        <v>2010</v>
      </c>
      <c r="C1036" s="4" t="s">
        <v>6775</v>
      </c>
      <c r="D1036" s="4" t="s">
        <v>5</v>
      </c>
      <c r="E1036" s="4" t="s">
        <v>30</v>
      </c>
      <c r="F1036" s="4" t="s">
        <v>31</v>
      </c>
      <c r="G1036" s="4" t="s">
        <v>32</v>
      </c>
      <c r="H1036" s="4" t="s">
        <v>36</v>
      </c>
      <c r="I1036" s="5" t="str">
        <f>IFERROR(VLOOKUP(Consulta1[[#This Row],[Pozo largo]],'Lista YPF'!$B$3:$C$358,2,FALSE),"NO")</f>
        <v>NO</v>
      </c>
      <c r="J1036" s="5" t="str">
        <f>IFERROR(VLOOKUP(Consulta1[[#This Row],[Pozo]],'Lista Oportunidades'!B:C,2,FALSE),"NO")</f>
        <v>NO</v>
      </c>
      <c r="K1036" s="5" t="str">
        <f>IFERROR(VLOOKUP(Consulta1[[#This Row],[Pozo largo]],Controles!B:H,7,FALSE),"NO")</f>
        <v>NO</v>
      </c>
      <c r="L1036" s="5" t="str">
        <f>IFERROR(VLOOKUP(Consulta1[[#This Row],[Pozo largo]],Controles!B:J,9,FALSE),"NO")</f>
        <v>NO</v>
      </c>
    </row>
    <row r="1037" spans="2:12" x14ac:dyDescent="0.35">
      <c r="B1037" s="4" t="s">
        <v>2011</v>
      </c>
      <c r="C1037" s="4" t="s">
        <v>6776</v>
      </c>
      <c r="D1037" s="4" t="s">
        <v>5</v>
      </c>
      <c r="E1037" s="4" t="s">
        <v>24</v>
      </c>
      <c r="F1037" s="4" t="s">
        <v>31</v>
      </c>
      <c r="G1037" s="4" t="s">
        <v>8</v>
      </c>
      <c r="H1037" s="4" t="s">
        <v>21</v>
      </c>
      <c r="I1037" s="5" t="str">
        <f>IFERROR(VLOOKUP(Consulta1[[#This Row],[Pozo largo]],'Lista YPF'!$B$3:$C$358,2,FALSE),"NO")</f>
        <v>NO</v>
      </c>
      <c r="J1037" s="5" t="str">
        <f>IFERROR(VLOOKUP(Consulta1[[#This Row],[Pozo]],'Lista Oportunidades'!B:C,2,FALSE),"NO")</f>
        <v>NO</v>
      </c>
      <c r="K1037" s="5">
        <f>IFERROR(VLOOKUP(Consulta1[[#This Row],[Pozo largo]],Controles!B:H,7,FALSE),"NO")</f>
        <v>0</v>
      </c>
      <c r="L1037" s="5">
        <f>IFERROR(VLOOKUP(Consulta1[[#This Row],[Pozo largo]],Controles!B:J,9,FALSE),"NO")</f>
        <v>0</v>
      </c>
    </row>
    <row r="1038" spans="2:12" x14ac:dyDescent="0.35">
      <c r="B1038" s="4" t="s">
        <v>2013</v>
      </c>
      <c r="C1038" s="4" t="s">
        <v>6777</v>
      </c>
      <c r="D1038" s="4" t="s">
        <v>5</v>
      </c>
      <c r="E1038" s="4" t="s">
        <v>12</v>
      </c>
      <c r="F1038" s="4" t="s">
        <v>25</v>
      </c>
      <c r="G1038" s="4" t="s">
        <v>13</v>
      </c>
      <c r="H1038" s="4" t="s">
        <v>33</v>
      </c>
      <c r="I1038" s="5" t="str">
        <f>IFERROR(VLOOKUP(Consulta1[[#This Row],[Pozo largo]],'Lista YPF'!$B$3:$C$358,2,FALSE),"NO")</f>
        <v>NO</v>
      </c>
      <c r="J1038" s="5" t="str">
        <f>IFERROR(VLOOKUP(Consulta1[[#This Row],[Pozo]],'Lista Oportunidades'!B:C,2,FALSE),"NO")</f>
        <v>NO</v>
      </c>
      <c r="K1038" s="5">
        <f>IFERROR(VLOOKUP(Consulta1[[#This Row],[Pozo largo]],Controles!B:H,7,FALSE),"NO")</f>
        <v>0.124</v>
      </c>
      <c r="L1038" s="5">
        <f>IFERROR(VLOOKUP(Consulta1[[#This Row],[Pozo largo]],Controles!B:J,9,FALSE),"NO")</f>
        <v>0</v>
      </c>
    </row>
    <row r="1039" spans="2:12" x14ac:dyDescent="0.35">
      <c r="B1039" s="4" t="s">
        <v>2015</v>
      </c>
      <c r="C1039" s="4" t="s">
        <v>6778</v>
      </c>
      <c r="D1039" s="4" t="s">
        <v>5</v>
      </c>
      <c r="E1039" s="4" t="s">
        <v>12</v>
      </c>
      <c r="F1039" s="4" t="s">
        <v>28</v>
      </c>
      <c r="G1039" s="4" t="s">
        <v>13</v>
      </c>
      <c r="H1039" s="4" t="s">
        <v>36</v>
      </c>
      <c r="I1039" s="5" t="str">
        <f>IFERROR(VLOOKUP(Consulta1[[#This Row],[Pozo largo]],'Lista YPF'!$B$3:$C$358,2,FALSE),"NO")</f>
        <v>NO</v>
      </c>
      <c r="J1039" s="5" t="str">
        <f>IFERROR(VLOOKUP(Consulta1[[#This Row],[Pozo]],'Lista Oportunidades'!B:C,2,FALSE),"NO")</f>
        <v>NO</v>
      </c>
      <c r="K1039" s="5">
        <f>IFERROR(VLOOKUP(Consulta1[[#This Row],[Pozo largo]],Controles!B:H,7,FALSE),"NO")</f>
        <v>0</v>
      </c>
      <c r="L1039" s="5">
        <f>IFERROR(VLOOKUP(Consulta1[[#This Row],[Pozo largo]],Controles!B:J,9,FALSE),"NO")</f>
        <v>0</v>
      </c>
    </row>
    <row r="1040" spans="2:12" x14ac:dyDescent="0.35">
      <c r="B1040" s="4" t="s">
        <v>2017</v>
      </c>
      <c r="C1040" s="4" t="s">
        <v>6779</v>
      </c>
      <c r="D1040" s="4" t="s">
        <v>5</v>
      </c>
      <c r="E1040" s="4" t="s">
        <v>12</v>
      </c>
      <c r="F1040" s="4" t="s">
        <v>28</v>
      </c>
      <c r="G1040" s="4" t="s">
        <v>13</v>
      </c>
      <c r="H1040" s="4" t="s">
        <v>33</v>
      </c>
      <c r="I1040" s="5" t="str">
        <f>IFERROR(VLOOKUP(Consulta1[[#This Row],[Pozo largo]],'Lista YPF'!$B$3:$C$358,2,FALSE),"NO")</f>
        <v>NO</v>
      </c>
      <c r="J1040" s="5" t="str">
        <f>IFERROR(VLOOKUP(Consulta1[[#This Row],[Pozo]],'Lista Oportunidades'!B:C,2,FALSE),"NO")</f>
        <v>NO</v>
      </c>
      <c r="K1040" s="5">
        <f>IFERROR(VLOOKUP(Consulta1[[#This Row],[Pozo largo]],Controles!B:H,7,FALSE),"NO")</f>
        <v>0</v>
      </c>
      <c r="L1040" s="5">
        <f>IFERROR(VLOOKUP(Consulta1[[#This Row],[Pozo largo]],Controles!B:J,9,FALSE),"NO")</f>
        <v>0</v>
      </c>
    </row>
    <row r="1041" spans="2:12" x14ac:dyDescent="0.35">
      <c r="B1041" s="4" t="s">
        <v>2019</v>
      </c>
      <c r="C1041" s="4" t="s">
        <v>6780</v>
      </c>
      <c r="D1041" s="4" t="s">
        <v>5</v>
      </c>
      <c r="E1041" s="4" t="s">
        <v>57</v>
      </c>
      <c r="F1041" s="4" t="s">
        <v>31</v>
      </c>
      <c r="G1041" s="4" t="s">
        <v>5718</v>
      </c>
      <c r="H1041" s="4" t="s">
        <v>254</v>
      </c>
      <c r="I1041" s="5" t="str">
        <f>IFERROR(VLOOKUP(Consulta1[[#This Row],[Pozo largo]],'Lista YPF'!$B$3:$C$358,2,FALSE),"NO")</f>
        <v>En lista de Abandono</v>
      </c>
      <c r="J1041" s="5" t="str">
        <f>IFERROR(VLOOKUP(Consulta1[[#This Row],[Pozo]],'Lista Oportunidades'!B:C,2,FALSE),"NO")</f>
        <v>NO</v>
      </c>
      <c r="K1041" s="5">
        <f>IFERROR(VLOOKUP(Consulta1[[#This Row],[Pozo largo]],Controles!B:H,7,FALSE),"NO")</f>
        <v>0.248</v>
      </c>
      <c r="L1041" s="5">
        <f>IFERROR(VLOOKUP(Consulta1[[#This Row],[Pozo largo]],Controles!B:J,9,FALSE),"NO")</f>
        <v>0</v>
      </c>
    </row>
    <row r="1042" spans="2:12" x14ac:dyDescent="0.35">
      <c r="B1042" s="4" t="s">
        <v>2021</v>
      </c>
      <c r="C1042" s="4" t="s">
        <v>6781</v>
      </c>
      <c r="D1042" s="4" t="s">
        <v>5</v>
      </c>
      <c r="E1042" s="4" t="s">
        <v>12</v>
      </c>
      <c r="F1042" s="4" t="s">
        <v>7</v>
      </c>
      <c r="G1042" s="4" t="s">
        <v>13</v>
      </c>
      <c r="H1042" s="4" t="s">
        <v>254</v>
      </c>
      <c r="I1042" s="5" t="str">
        <f>IFERROR(VLOOKUP(Consulta1[[#This Row],[Pozo largo]],'Lista YPF'!$B$3:$C$358,2,FALSE),"NO")</f>
        <v>NO</v>
      </c>
      <c r="J1042" s="5" t="str">
        <f>IFERROR(VLOOKUP(Consulta1[[#This Row],[Pozo]],'Lista Oportunidades'!B:C,2,FALSE),"NO")</f>
        <v>NO</v>
      </c>
      <c r="K1042" s="5">
        <f>IFERROR(VLOOKUP(Consulta1[[#This Row],[Pozo largo]],Controles!B:H,7,FALSE),"NO")</f>
        <v>0.63200000000000001</v>
      </c>
      <c r="L1042" s="5">
        <f>IFERROR(VLOOKUP(Consulta1[[#This Row],[Pozo largo]],Controles!B:J,9,FALSE),"NO")</f>
        <v>0</v>
      </c>
    </row>
    <row r="1043" spans="2:12" x14ac:dyDescent="0.35">
      <c r="B1043" s="4" t="s">
        <v>2023</v>
      </c>
      <c r="C1043" s="4" t="s">
        <v>6782</v>
      </c>
      <c r="D1043" s="4" t="s">
        <v>5</v>
      </c>
      <c r="E1043" s="4" t="s">
        <v>30</v>
      </c>
      <c r="F1043" s="4" t="s">
        <v>31</v>
      </c>
      <c r="G1043" s="4" t="s">
        <v>32</v>
      </c>
      <c r="H1043" s="4" t="s">
        <v>9</v>
      </c>
      <c r="I1043" s="5" t="str">
        <f>IFERROR(VLOOKUP(Consulta1[[#This Row],[Pozo largo]],'Lista YPF'!$B$3:$C$358,2,FALSE),"NO")</f>
        <v>NO</v>
      </c>
      <c r="J1043" s="5" t="str">
        <f>IFERROR(VLOOKUP(Consulta1[[#This Row],[Pozo]],'Lista Oportunidades'!B:C,2,FALSE),"NO")</f>
        <v>NO</v>
      </c>
      <c r="K1043" s="5">
        <f>IFERROR(VLOOKUP(Consulta1[[#This Row],[Pozo largo]],Controles!B:H,7,FALSE),"NO")</f>
        <v>1.8</v>
      </c>
      <c r="L1043" s="5">
        <f>IFERROR(VLOOKUP(Consulta1[[#This Row],[Pozo largo]],Controles!B:J,9,FALSE),"NO")</f>
        <v>0</v>
      </c>
    </row>
    <row r="1044" spans="2:12" x14ac:dyDescent="0.35">
      <c r="B1044" s="4" t="s">
        <v>2025</v>
      </c>
      <c r="C1044" s="4" t="s">
        <v>6783</v>
      </c>
      <c r="D1044" s="4" t="s">
        <v>5</v>
      </c>
      <c r="E1044" s="4" t="s">
        <v>309</v>
      </c>
      <c r="F1044" s="4" t="s">
        <v>31</v>
      </c>
      <c r="G1044" s="4" t="s">
        <v>5718</v>
      </c>
      <c r="H1044" s="4" t="s">
        <v>9</v>
      </c>
      <c r="I1044" s="5" t="str">
        <f>IFERROR(VLOOKUP(Consulta1[[#This Row],[Pozo largo]],'Lista YPF'!$B$3:$C$358,2,FALSE),"NO")</f>
        <v>En lista de Abandono</v>
      </c>
      <c r="J1044" s="5" t="str">
        <f>IFERROR(VLOOKUP(Consulta1[[#This Row],[Pozo]],'Lista Oportunidades'!B:C,2,FALSE),"NO")</f>
        <v>NO</v>
      </c>
      <c r="K1044" s="5" t="str">
        <f>IFERROR(VLOOKUP(Consulta1[[#This Row],[Pozo largo]],Controles!B:H,7,FALSE),"NO")</f>
        <v>NO</v>
      </c>
      <c r="L1044" s="5" t="str">
        <f>IFERROR(VLOOKUP(Consulta1[[#This Row],[Pozo largo]],Controles!B:J,9,FALSE),"NO")</f>
        <v>NO</v>
      </c>
    </row>
    <row r="1045" spans="2:12" x14ac:dyDescent="0.35">
      <c r="B1045" s="4" t="s">
        <v>2026</v>
      </c>
      <c r="C1045" s="4" t="s">
        <v>6784</v>
      </c>
      <c r="D1045" s="4" t="s">
        <v>5</v>
      </c>
      <c r="E1045" s="4" t="s">
        <v>24</v>
      </c>
      <c r="F1045" s="4" t="s">
        <v>31</v>
      </c>
      <c r="G1045" s="4" t="s">
        <v>8</v>
      </c>
      <c r="H1045" s="4" t="s">
        <v>71</v>
      </c>
      <c r="I1045" s="5" t="str">
        <f>IFERROR(VLOOKUP(Consulta1[[#This Row],[Pozo largo]],'Lista YPF'!$B$3:$C$358,2,FALSE),"NO")</f>
        <v>NO</v>
      </c>
      <c r="J1045" s="5" t="str">
        <f>IFERROR(VLOOKUP(Consulta1[[#This Row],[Pozo]],'Lista Oportunidades'!B:C,2,FALSE),"NO")</f>
        <v>NO</v>
      </c>
      <c r="K1045" s="5">
        <f>IFERROR(VLOOKUP(Consulta1[[#This Row],[Pozo largo]],Controles!B:H,7,FALSE),"NO")</f>
        <v>0.56000000000000005</v>
      </c>
      <c r="L1045" s="5">
        <f>IFERROR(VLOOKUP(Consulta1[[#This Row],[Pozo largo]],Controles!B:J,9,FALSE),"NO")</f>
        <v>0</v>
      </c>
    </row>
    <row r="1046" spans="2:12" x14ac:dyDescent="0.35">
      <c r="B1046" s="4" t="s">
        <v>2028</v>
      </c>
      <c r="C1046" s="4" t="s">
        <v>6785</v>
      </c>
      <c r="D1046" s="4" t="s">
        <v>5</v>
      </c>
      <c r="E1046" s="4" t="s">
        <v>30</v>
      </c>
      <c r="F1046" s="4" t="s">
        <v>31</v>
      </c>
      <c r="G1046" s="4" t="s">
        <v>32</v>
      </c>
      <c r="H1046" s="4" t="s">
        <v>21</v>
      </c>
      <c r="I1046" s="5" t="str">
        <f>IFERROR(VLOOKUP(Consulta1[[#This Row],[Pozo largo]],'Lista YPF'!$B$3:$C$358,2,FALSE),"NO")</f>
        <v>NO</v>
      </c>
      <c r="J1046" s="5" t="str">
        <f>IFERROR(VLOOKUP(Consulta1[[#This Row],[Pozo]],'Lista Oportunidades'!B:C,2,FALSE),"NO")</f>
        <v>NO</v>
      </c>
      <c r="K1046" s="5" t="str">
        <f>IFERROR(VLOOKUP(Consulta1[[#This Row],[Pozo largo]],Controles!B:H,7,FALSE),"NO")</f>
        <v>NO</v>
      </c>
      <c r="L1046" s="5" t="str">
        <f>IFERROR(VLOOKUP(Consulta1[[#This Row],[Pozo largo]],Controles!B:J,9,FALSE),"NO")</f>
        <v>NO</v>
      </c>
    </row>
    <row r="1047" spans="2:12" x14ac:dyDescent="0.35">
      <c r="B1047" s="4" t="s">
        <v>2029</v>
      </c>
      <c r="C1047" s="4" t="s">
        <v>6786</v>
      </c>
      <c r="D1047" s="4" t="s">
        <v>5</v>
      </c>
      <c r="E1047" s="4" t="s">
        <v>24</v>
      </c>
      <c r="F1047" s="4" t="s">
        <v>31</v>
      </c>
      <c r="G1047" s="4" t="s">
        <v>8</v>
      </c>
      <c r="H1047" s="4" t="s">
        <v>141</v>
      </c>
      <c r="I1047" s="5" t="str">
        <f>IFERROR(VLOOKUP(Consulta1[[#This Row],[Pozo largo]],'Lista YPF'!$B$3:$C$358,2,FALSE),"NO")</f>
        <v>NO</v>
      </c>
      <c r="J1047" s="5" t="str">
        <f>IFERROR(VLOOKUP(Consulta1[[#This Row],[Pozo]],'Lista Oportunidades'!B:C,2,FALSE),"NO")</f>
        <v>NO</v>
      </c>
      <c r="K1047" s="5" t="str">
        <f>IFERROR(VLOOKUP(Consulta1[[#This Row],[Pozo largo]],Controles!B:H,7,FALSE),"NO")</f>
        <v>NO</v>
      </c>
      <c r="L1047" s="5" t="str">
        <f>IFERROR(VLOOKUP(Consulta1[[#This Row],[Pozo largo]],Controles!B:J,9,FALSE),"NO")</f>
        <v>NO</v>
      </c>
    </row>
    <row r="1048" spans="2:12" x14ac:dyDescent="0.35">
      <c r="B1048" s="4" t="s">
        <v>2030</v>
      </c>
      <c r="C1048" s="4" t="s">
        <v>6787</v>
      </c>
      <c r="D1048" s="4" t="s">
        <v>5</v>
      </c>
      <c r="E1048" s="4" t="s">
        <v>12</v>
      </c>
      <c r="F1048" s="4" t="s">
        <v>25</v>
      </c>
      <c r="G1048" s="4" t="s">
        <v>13</v>
      </c>
      <c r="H1048" s="4" t="s">
        <v>185</v>
      </c>
      <c r="I1048" s="5" t="str">
        <f>IFERROR(VLOOKUP(Consulta1[[#This Row],[Pozo largo]],'Lista YPF'!$B$3:$C$358,2,FALSE),"NO")</f>
        <v>NO</v>
      </c>
      <c r="J1048" s="5" t="str">
        <f>IFERROR(VLOOKUP(Consulta1[[#This Row],[Pozo]],'Lista Oportunidades'!B:C,2,FALSE),"NO")</f>
        <v>NO</v>
      </c>
      <c r="K1048" s="5">
        <f>IFERROR(VLOOKUP(Consulta1[[#This Row],[Pozo largo]],Controles!B:H,7,FALSE),"NO")</f>
        <v>0.10400000000000001</v>
      </c>
      <c r="L1048" s="5">
        <f>IFERROR(VLOOKUP(Consulta1[[#This Row],[Pozo largo]],Controles!B:J,9,FALSE),"NO")</f>
        <v>0</v>
      </c>
    </row>
    <row r="1049" spans="2:12" x14ac:dyDescent="0.35">
      <c r="B1049" s="4" t="s">
        <v>2032</v>
      </c>
      <c r="C1049" s="4" t="s">
        <v>6788</v>
      </c>
      <c r="D1049" s="4" t="s">
        <v>5</v>
      </c>
      <c r="E1049" s="4" t="s">
        <v>12</v>
      </c>
      <c r="F1049" s="4" t="s">
        <v>7</v>
      </c>
      <c r="G1049" s="4" t="s">
        <v>13</v>
      </c>
      <c r="H1049" s="4" t="s">
        <v>9</v>
      </c>
      <c r="I1049" s="5" t="str">
        <f>IFERROR(VLOOKUP(Consulta1[[#This Row],[Pozo largo]],'Lista YPF'!$B$3:$C$358,2,FALSE),"NO")</f>
        <v>NO</v>
      </c>
      <c r="J1049" s="5" t="str">
        <f>IFERROR(VLOOKUP(Consulta1[[#This Row],[Pozo]],'Lista Oportunidades'!B:C,2,FALSE),"NO")</f>
        <v>NO</v>
      </c>
      <c r="K1049" s="5">
        <f>IFERROR(VLOOKUP(Consulta1[[#This Row],[Pozo largo]],Controles!B:H,7,FALSE),"NO")</f>
        <v>2.52</v>
      </c>
      <c r="L1049" s="5">
        <f>IFERROR(VLOOKUP(Consulta1[[#This Row],[Pozo largo]],Controles!B:J,9,FALSE),"NO")</f>
        <v>0</v>
      </c>
    </row>
    <row r="1050" spans="2:12" x14ac:dyDescent="0.35">
      <c r="B1050" s="4" t="s">
        <v>2034</v>
      </c>
      <c r="C1050" s="4" t="s">
        <v>6789</v>
      </c>
      <c r="D1050" s="4" t="s">
        <v>5</v>
      </c>
      <c r="E1050" s="4" t="s">
        <v>12</v>
      </c>
      <c r="F1050" s="4" t="s">
        <v>28</v>
      </c>
      <c r="G1050" s="4" t="s">
        <v>13</v>
      </c>
      <c r="H1050" s="4" t="s">
        <v>9</v>
      </c>
      <c r="I1050" s="5" t="str">
        <f>IFERROR(VLOOKUP(Consulta1[[#This Row],[Pozo largo]],'Lista YPF'!$B$3:$C$358,2,FALSE),"NO")</f>
        <v>NO</v>
      </c>
      <c r="J1050" s="5" t="str">
        <f>IFERROR(VLOOKUP(Consulta1[[#This Row],[Pozo]],'Lista Oportunidades'!B:C,2,FALSE),"NO")</f>
        <v>NO</v>
      </c>
      <c r="K1050" s="5">
        <f>IFERROR(VLOOKUP(Consulta1[[#This Row],[Pozo largo]],Controles!B:H,7,FALSE),"NO")</f>
        <v>0</v>
      </c>
      <c r="L1050" s="5">
        <f>IFERROR(VLOOKUP(Consulta1[[#This Row],[Pozo largo]],Controles!B:J,9,FALSE),"NO")</f>
        <v>0</v>
      </c>
    </row>
    <row r="1051" spans="2:12" x14ac:dyDescent="0.35">
      <c r="B1051" s="4" t="s">
        <v>2036</v>
      </c>
      <c r="C1051" s="4" t="s">
        <v>6790</v>
      </c>
      <c r="D1051" s="4" t="s">
        <v>5</v>
      </c>
      <c r="E1051" s="4" t="s">
        <v>30</v>
      </c>
      <c r="F1051" s="4" t="s">
        <v>31</v>
      </c>
      <c r="G1051" s="4" t="s">
        <v>32</v>
      </c>
      <c r="H1051" s="4" t="s">
        <v>80</v>
      </c>
      <c r="I1051" s="5" t="str">
        <f>IFERROR(VLOOKUP(Consulta1[[#This Row],[Pozo largo]],'Lista YPF'!$B$3:$C$358,2,FALSE),"NO")</f>
        <v>NO</v>
      </c>
      <c r="J1051" s="5" t="str">
        <f>IFERROR(VLOOKUP(Consulta1[[#This Row],[Pozo]],'Lista Oportunidades'!B:C,2,FALSE),"NO")</f>
        <v>NO</v>
      </c>
      <c r="K1051" s="5" t="str">
        <f>IFERROR(VLOOKUP(Consulta1[[#This Row],[Pozo largo]],Controles!B:H,7,FALSE),"NO")</f>
        <v>NO</v>
      </c>
      <c r="L1051" s="5" t="str">
        <f>IFERROR(VLOOKUP(Consulta1[[#This Row],[Pozo largo]],Controles!B:J,9,FALSE),"NO")</f>
        <v>NO</v>
      </c>
    </row>
    <row r="1052" spans="2:12" x14ac:dyDescent="0.35">
      <c r="B1052" s="4" t="s">
        <v>2037</v>
      </c>
      <c r="C1052" s="4" t="s">
        <v>6791</v>
      </c>
      <c r="D1052" s="4" t="s">
        <v>5</v>
      </c>
      <c r="E1052" s="4" t="s">
        <v>30</v>
      </c>
      <c r="F1052" s="4" t="s">
        <v>31</v>
      </c>
      <c r="G1052" s="4" t="s">
        <v>32</v>
      </c>
      <c r="H1052" s="4" t="s">
        <v>86</v>
      </c>
      <c r="I1052" s="5" t="str">
        <f>IFERROR(VLOOKUP(Consulta1[[#This Row],[Pozo largo]],'Lista YPF'!$B$3:$C$358,2,FALSE),"NO")</f>
        <v>NO</v>
      </c>
      <c r="J1052" s="5" t="str">
        <f>IFERROR(VLOOKUP(Consulta1[[#This Row],[Pozo]],'Lista Oportunidades'!B:C,2,FALSE),"NO")</f>
        <v>NO</v>
      </c>
      <c r="K1052" s="5">
        <f>IFERROR(VLOOKUP(Consulta1[[#This Row],[Pozo largo]],Controles!B:H,7,FALSE),"NO")</f>
        <v>0.249</v>
      </c>
      <c r="L1052" s="5">
        <f>IFERROR(VLOOKUP(Consulta1[[#This Row],[Pozo largo]],Controles!B:J,9,FALSE),"NO")</f>
        <v>0</v>
      </c>
    </row>
    <row r="1053" spans="2:12" x14ac:dyDescent="0.35">
      <c r="B1053" s="4" t="s">
        <v>2039</v>
      </c>
      <c r="C1053" s="4" t="s">
        <v>6792</v>
      </c>
      <c r="D1053" s="4" t="s">
        <v>5</v>
      </c>
      <c r="E1053" s="4" t="s">
        <v>30</v>
      </c>
      <c r="F1053" s="4" t="s">
        <v>31</v>
      </c>
      <c r="G1053" s="4" t="s">
        <v>32</v>
      </c>
      <c r="H1053" s="4" t="s">
        <v>86</v>
      </c>
      <c r="I1053" s="5" t="str">
        <f>IFERROR(VLOOKUP(Consulta1[[#This Row],[Pozo largo]],'Lista YPF'!$B$3:$C$358,2,FALSE),"NO")</f>
        <v>NO</v>
      </c>
      <c r="J1053" s="5" t="str">
        <f>IFERROR(VLOOKUP(Consulta1[[#This Row],[Pozo]],'Lista Oportunidades'!B:C,2,FALSE),"NO")</f>
        <v>NO</v>
      </c>
      <c r="K1053" s="5" t="str">
        <f>IFERROR(VLOOKUP(Consulta1[[#This Row],[Pozo largo]],Controles!B:H,7,FALSE),"NO")</f>
        <v>NO</v>
      </c>
      <c r="L1053" s="5" t="str">
        <f>IFERROR(VLOOKUP(Consulta1[[#This Row],[Pozo largo]],Controles!B:J,9,FALSE),"NO")</f>
        <v>NO</v>
      </c>
    </row>
    <row r="1054" spans="2:12" x14ac:dyDescent="0.35">
      <c r="B1054" s="4" t="s">
        <v>2040</v>
      </c>
      <c r="C1054" s="4" t="s">
        <v>6793</v>
      </c>
      <c r="D1054" s="4" t="s">
        <v>5</v>
      </c>
      <c r="E1054" s="4" t="s">
        <v>24</v>
      </c>
      <c r="F1054" s="4" t="s">
        <v>31</v>
      </c>
      <c r="G1054" s="4" t="s">
        <v>8</v>
      </c>
      <c r="H1054" s="4" t="s">
        <v>86</v>
      </c>
      <c r="I1054" s="5" t="str">
        <f>IFERROR(VLOOKUP(Consulta1[[#This Row],[Pozo largo]],'Lista YPF'!$B$3:$C$358,2,FALSE),"NO")</f>
        <v>NO</v>
      </c>
      <c r="J1054" s="5" t="str">
        <f>IFERROR(VLOOKUP(Consulta1[[#This Row],[Pozo]],'Lista Oportunidades'!B:C,2,FALSE),"NO")</f>
        <v>NO</v>
      </c>
      <c r="K1054" s="5" t="str">
        <f>IFERROR(VLOOKUP(Consulta1[[#This Row],[Pozo largo]],Controles!B:H,7,FALSE),"NO")</f>
        <v>NO</v>
      </c>
      <c r="L1054" s="5" t="str">
        <f>IFERROR(VLOOKUP(Consulta1[[#This Row],[Pozo largo]],Controles!B:J,9,FALSE),"NO")</f>
        <v>NO</v>
      </c>
    </row>
    <row r="1055" spans="2:12" x14ac:dyDescent="0.35">
      <c r="B1055" s="4" t="s">
        <v>2041</v>
      </c>
      <c r="C1055" s="4" t="s">
        <v>6794</v>
      </c>
      <c r="D1055" s="4" t="s">
        <v>5</v>
      </c>
      <c r="E1055" s="4" t="s">
        <v>30</v>
      </c>
      <c r="F1055" s="4" t="s">
        <v>31</v>
      </c>
      <c r="G1055" s="4" t="s">
        <v>32</v>
      </c>
      <c r="H1055" s="4" t="s">
        <v>149</v>
      </c>
      <c r="I1055" s="5" t="str">
        <f>IFERROR(VLOOKUP(Consulta1[[#This Row],[Pozo largo]],'Lista YPF'!$B$3:$C$358,2,FALSE),"NO")</f>
        <v>NO</v>
      </c>
      <c r="J1055" s="5" t="str">
        <f>IFERROR(VLOOKUP(Consulta1[[#This Row],[Pozo]],'Lista Oportunidades'!B:C,2,FALSE),"NO")</f>
        <v>NO</v>
      </c>
      <c r="K1055" s="5" t="str">
        <f>IFERROR(VLOOKUP(Consulta1[[#This Row],[Pozo largo]],Controles!B:H,7,FALSE),"NO")</f>
        <v>NO</v>
      </c>
      <c r="L1055" s="5" t="str">
        <f>IFERROR(VLOOKUP(Consulta1[[#This Row],[Pozo largo]],Controles!B:J,9,FALSE),"NO")</f>
        <v>NO</v>
      </c>
    </row>
    <row r="1056" spans="2:12" x14ac:dyDescent="0.35">
      <c r="B1056" s="4" t="s">
        <v>2042</v>
      </c>
      <c r="C1056" s="4" t="s">
        <v>6795</v>
      </c>
      <c r="D1056" s="4" t="s">
        <v>5</v>
      </c>
      <c r="E1056" s="4" t="s">
        <v>12</v>
      </c>
      <c r="F1056" s="4" t="s">
        <v>7</v>
      </c>
      <c r="G1056" s="4" t="s">
        <v>13</v>
      </c>
      <c r="H1056" s="4" t="s">
        <v>260</v>
      </c>
      <c r="I1056" s="5" t="str">
        <f>IFERROR(VLOOKUP(Consulta1[[#This Row],[Pozo largo]],'Lista YPF'!$B$3:$C$358,2,FALSE),"NO")</f>
        <v>NO</v>
      </c>
      <c r="J1056" s="5" t="str">
        <f>IFERROR(VLOOKUP(Consulta1[[#This Row],[Pozo]],'Lista Oportunidades'!B:C,2,FALSE),"NO")</f>
        <v>NO</v>
      </c>
      <c r="K1056" s="5">
        <f>IFERROR(VLOOKUP(Consulta1[[#This Row],[Pozo largo]],Controles!B:H,7,FALSE),"NO")</f>
        <v>3.3000000000000003</v>
      </c>
      <c r="L1056" s="5">
        <f>IFERROR(VLOOKUP(Consulta1[[#This Row],[Pozo largo]],Controles!B:J,9,FALSE),"NO")</f>
        <v>0</v>
      </c>
    </row>
    <row r="1057" spans="2:12" x14ac:dyDescent="0.35">
      <c r="B1057" s="4" t="s">
        <v>2044</v>
      </c>
      <c r="C1057" s="4" t="s">
        <v>6796</v>
      </c>
      <c r="D1057" s="4" t="s">
        <v>5</v>
      </c>
      <c r="E1057" s="4" t="s">
        <v>57</v>
      </c>
      <c r="F1057" s="4" t="s">
        <v>7</v>
      </c>
      <c r="G1057" s="4" t="s">
        <v>11387</v>
      </c>
      <c r="H1057" s="4" t="s">
        <v>86</v>
      </c>
      <c r="I1057" s="5" t="str">
        <f>IFERROR(VLOOKUP(Consulta1[[#This Row],[Pozo largo]],'Lista YPF'!$B$3:$C$358,2,FALSE),"NO")</f>
        <v>NO</v>
      </c>
      <c r="J1057" s="5" t="str">
        <f>IFERROR(VLOOKUP(Consulta1[[#This Row],[Pozo]],'Lista Oportunidades'!B:C,2,FALSE),"NO")</f>
        <v>NO</v>
      </c>
      <c r="K1057" s="5">
        <f>IFERROR(VLOOKUP(Consulta1[[#This Row],[Pozo largo]],Controles!B:H,7,FALSE),"NO")</f>
        <v>0.39</v>
      </c>
      <c r="L1057" s="5" t="str">
        <f>IFERROR(VLOOKUP(Consulta1[[#This Row],[Pozo largo]],Controles!B:J,9,FALSE),"NO")</f>
        <v>Ultimo Año</v>
      </c>
    </row>
    <row r="1058" spans="2:12" x14ac:dyDescent="0.35">
      <c r="B1058" s="4" t="s">
        <v>2046</v>
      </c>
      <c r="C1058" s="4" t="s">
        <v>6797</v>
      </c>
      <c r="D1058" s="4" t="s">
        <v>5</v>
      </c>
      <c r="E1058" s="4" t="s">
        <v>12</v>
      </c>
      <c r="F1058" s="4" t="s">
        <v>28</v>
      </c>
      <c r="G1058" s="4" t="s">
        <v>13</v>
      </c>
      <c r="H1058" s="4" t="s">
        <v>185</v>
      </c>
      <c r="I1058" s="5" t="str">
        <f>IFERROR(VLOOKUP(Consulta1[[#This Row],[Pozo largo]],'Lista YPF'!$B$3:$C$358,2,FALSE),"NO")</f>
        <v>NO</v>
      </c>
      <c r="J1058" s="5" t="str">
        <f>IFERROR(VLOOKUP(Consulta1[[#This Row],[Pozo]],'Lista Oportunidades'!B:C,2,FALSE),"NO")</f>
        <v>NO</v>
      </c>
      <c r="K1058" s="5">
        <f>IFERROR(VLOOKUP(Consulta1[[#This Row],[Pozo largo]],Controles!B:H,7,FALSE),"NO")</f>
        <v>0</v>
      </c>
      <c r="L1058" s="5">
        <f>IFERROR(VLOOKUP(Consulta1[[#This Row],[Pozo largo]],Controles!B:J,9,FALSE),"NO")</f>
        <v>0</v>
      </c>
    </row>
    <row r="1059" spans="2:12" x14ac:dyDescent="0.35">
      <c r="B1059" s="4" t="s">
        <v>2048</v>
      </c>
      <c r="C1059" s="4" t="s">
        <v>6798</v>
      </c>
      <c r="D1059" s="4" t="s">
        <v>5</v>
      </c>
      <c r="E1059" s="4" t="s">
        <v>12</v>
      </c>
      <c r="F1059" s="4" t="s">
        <v>7</v>
      </c>
      <c r="G1059" s="4" t="s">
        <v>13</v>
      </c>
      <c r="H1059" s="4" t="s">
        <v>86</v>
      </c>
      <c r="I1059" s="5" t="str">
        <f>IFERROR(VLOOKUP(Consulta1[[#This Row],[Pozo largo]],'Lista YPF'!$B$3:$C$358,2,FALSE),"NO")</f>
        <v>NO</v>
      </c>
      <c r="J1059" s="5" t="str">
        <f>IFERROR(VLOOKUP(Consulta1[[#This Row],[Pozo]],'Lista Oportunidades'!B:C,2,FALSE),"NO")</f>
        <v>NO</v>
      </c>
      <c r="K1059" s="5">
        <f>IFERROR(VLOOKUP(Consulta1[[#This Row],[Pozo largo]],Controles!B:H,7,FALSE),"NO")</f>
        <v>0.98</v>
      </c>
      <c r="L1059" s="5">
        <f>IFERROR(VLOOKUP(Consulta1[[#This Row],[Pozo largo]],Controles!B:J,9,FALSE),"NO")</f>
        <v>0</v>
      </c>
    </row>
    <row r="1060" spans="2:12" x14ac:dyDescent="0.35">
      <c r="B1060" s="4" t="s">
        <v>2050</v>
      </c>
      <c r="C1060" s="4" t="s">
        <v>6799</v>
      </c>
      <c r="D1060" s="4" t="s">
        <v>5</v>
      </c>
      <c r="E1060" s="4" t="s">
        <v>12</v>
      </c>
      <c r="F1060" s="4" t="s">
        <v>7</v>
      </c>
      <c r="G1060" s="4" t="s">
        <v>13</v>
      </c>
      <c r="H1060" s="4" t="s">
        <v>185</v>
      </c>
      <c r="I1060" s="5" t="str">
        <f>IFERROR(VLOOKUP(Consulta1[[#This Row],[Pozo largo]],'Lista YPF'!$B$3:$C$358,2,FALSE),"NO")</f>
        <v>NO</v>
      </c>
      <c r="J1060" s="5" t="str">
        <f>IFERROR(VLOOKUP(Consulta1[[#This Row],[Pozo]],'Lista Oportunidades'!B:C,2,FALSE),"NO")</f>
        <v>NO</v>
      </c>
      <c r="K1060" s="5">
        <f>IFERROR(VLOOKUP(Consulta1[[#This Row],[Pozo largo]],Controles!B:H,7,FALSE),"NO")</f>
        <v>0.96</v>
      </c>
      <c r="L1060" s="5">
        <f>IFERROR(VLOOKUP(Consulta1[[#This Row],[Pozo largo]],Controles!B:J,9,FALSE),"NO")</f>
        <v>0</v>
      </c>
    </row>
    <row r="1061" spans="2:12" x14ac:dyDescent="0.35">
      <c r="B1061" s="4" t="s">
        <v>2052</v>
      </c>
      <c r="C1061" s="4" t="s">
        <v>6800</v>
      </c>
      <c r="D1061" s="4" t="s">
        <v>5</v>
      </c>
      <c r="E1061" s="4" t="s">
        <v>12</v>
      </c>
      <c r="F1061" s="4" t="s">
        <v>7</v>
      </c>
      <c r="G1061" s="4" t="s">
        <v>13</v>
      </c>
      <c r="H1061" s="4" t="s">
        <v>185</v>
      </c>
      <c r="I1061" s="5" t="str">
        <f>IFERROR(VLOOKUP(Consulta1[[#This Row],[Pozo largo]],'Lista YPF'!$B$3:$C$358,2,FALSE),"NO")</f>
        <v>NO</v>
      </c>
      <c r="J1061" s="5" t="str">
        <f>IFERROR(VLOOKUP(Consulta1[[#This Row],[Pozo]],'Lista Oportunidades'!B:C,2,FALSE),"NO")</f>
        <v>NO</v>
      </c>
      <c r="K1061" s="5">
        <f>IFERROR(VLOOKUP(Consulta1[[#This Row],[Pozo largo]],Controles!B:H,7,FALSE),"NO")</f>
        <v>1.4000000000000001</v>
      </c>
      <c r="L1061" s="5">
        <f>IFERROR(VLOOKUP(Consulta1[[#This Row],[Pozo largo]],Controles!B:J,9,FALSE),"NO")</f>
        <v>0</v>
      </c>
    </row>
    <row r="1062" spans="2:12" x14ac:dyDescent="0.35">
      <c r="B1062" s="4" t="s">
        <v>2054</v>
      </c>
      <c r="C1062" s="4" t="s">
        <v>6801</v>
      </c>
      <c r="D1062" s="4" t="s">
        <v>5</v>
      </c>
      <c r="E1062" s="4" t="s">
        <v>57</v>
      </c>
      <c r="F1062" s="4" t="s">
        <v>7</v>
      </c>
      <c r="G1062" s="4" t="s">
        <v>11386</v>
      </c>
      <c r="H1062" s="4" t="s">
        <v>21</v>
      </c>
      <c r="I1062" s="5" t="str">
        <f>IFERROR(VLOOKUP(Consulta1[[#This Row],[Pozo largo]],'Lista YPF'!$B$3:$C$358,2,FALSE),"NO")</f>
        <v>NO</v>
      </c>
      <c r="J1062" s="5" t="str">
        <f>IFERROR(VLOOKUP(Consulta1[[#This Row],[Pozo]],'Lista Oportunidades'!B:C,2,FALSE),"NO")</f>
        <v>NO</v>
      </c>
      <c r="K1062" s="5">
        <f>IFERROR(VLOOKUP(Consulta1[[#This Row],[Pozo largo]],Controles!B:H,7,FALSE),"NO")</f>
        <v>0.27500000000000002</v>
      </c>
      <c r="L1062" s="5" t="str">
        <f>IFERROR(VLOOKUP(Consulta1[[#This Row],[Pozo largo]],Controles!B:J,9,FALSE),"NO")</f>
        <v>Ultimos 6 meses</v>
      </c>
    </row>
    <row r="1063" spans="2:12" x14ac:dyDescent="0.35">
      <c r="B1063" s="4" t="s">
        <v>2056</v>
      </c>
      <c r="C1063" s="4" t="s">
        <v>6802</v>
      </c>
      <c r="D1063" s="4" t="s">
        <v>5</v>
      </c>
      <c r="E1063" s="4" t="s">
        <v>12</v>
      </c>
      <c r="F1063" s="4" t="s">
        <v>7</v>
      </c>
      <c r="G1063" s="4" t="s">
        <v>13</v>
      </c>
      <c r="H1063" s="4" t="s">
        <v>91</v>
      </c>
      <c r="I1063" s="5" t="str">
        <f>IFERROR(VLOOKUP(Consulta1[[#This Row],[Pozo largo]],'Lista YPF'!$B$3:$C$358,2,FALSE),"NO")</f>
        <v>NO</v>
      </c>
      <c r="J1063" s="5" t="str">
        <f>IFERROR(VLOOKUP(Consulta1[[#This Row],[Pozo]],'Lista Oportunidades'!B:C,2,FALSE),"NO")</f>
        <v>NO</v>
      </c>
      <c r="K1063" s="5">
        <f>IFERROR(VLOOKUP(Consulta1[[#This Row],[Pozo largo]],Controles!B:H,7,FALSE),"NO")</f>
        <v>0.9</v>
      </c>
      <c r="L1063" s="5">
        <f>IFERROR(VLOOKUP(Consulta1[[#This Row],[Pozo largo]],Controles!B:J,9,FALSE),"NO")</f>
        <v>0</v>
      </c>
    </row>
    <row r="1064" spans="2:12" x14ac:dyDescent="0.35">
      <c r="B1064" s="4" t="s">
        <v>2058</v>
      </c>
      <c r="C1064" s="4" t="s">
        <v>6803</v>
      </c>
      <c r="D1064" s="4" t="s">
        <v>5</v>
      </c>
      <c r="E1064" s="4" t="s">
        <v>12</v>
      </c>
      <c r="F1064" s="4" t="s">
        <v>7</v>
      </c>
      <c r="G1064" s="4" t="s">
        <v>13</v>
      </c>
      <c r="H1064" s="4" t="s">
        <v>74</v>
      </c>
      <c r="I1064" s="5" t="str">
        <f>IFERROR(VLOOKUP(Consulta1[[#This Row],[Pozo largo]],'Lista YPF'!$B$3:$C$358,2,FALSE),"NO")</f>
        <v>NO</v>
      </c>
      <c r="J1064" s="5" t="str">
        <f>IFERROR(VLOOKUP(Consulta1[[#This Row],[Pozo]],'Lista Oportunidades'!B:C,2,FALSE),"NO")</f>
        <v>NO</v>
      </c>
      <c r="K1064" s="5">
        <f>IFERROR(VLOOKUP(Consulta1[[#This Row],[Pozo largo]],Controles!B:H,7,FALSE),"NO")</f>
        <v>3.72</v>
      </c>
      <c r="L1064" s="5">
        <f>IFERROR(VLOOKUP(Consulta1[[#This Row],[Pozo largo]],Controles!B:J,9,FALSE),"NO")</f>
        <v>0</v>
      </c>
    </row>
    <row r="1065" spans="2:12" x14ac:dyDescent="0.35">
      <c r="B1065" s="4" t="s">
        <v>2060</v>
      </c>
      <c r="C1065" s="4" t="s">
        <v>6804</v>
      </c>
      <c r="D1065" s="4" t="s">
        <v>5</v>
      </c>
      <c r="E1065" s="4" t="s">
        <v>12</v>
      </c>
      <c r="F1065" s="4" t="s">
        <v>28</v>
      </c>
      <c r="G1065" s="4" t="s">
        <v>13</v>
      </c>
      <c r="H1065" s="4" t="s">
        <v>36</v>
      </c>
      <c r="I1065" s="5" t="str">
        <f>IFERROR(VLOOKUP(Consulta1[[#This Row],[Pozo largo]],'Lista YPF'!$B$3:$C$358,2,FALSE),"NO")</f>
        <v>NO</v>
      </c>
      <c r="J1065" s="5" t="str">
        <f>IFERROR(VLOOKUP(Consulta1[[#This Row],[Pozo]],'Lista Oportunidades'!B:C,2,FALSE),"NO")</f>
        <v>NO</v>
      </c>
      <c r="K1065" s="5">
        <f>IFERROR(VLOOKUP(Consulta1[[#This Row],[Pozo largo]],Controles!B:H,7,FALSE),"NO")</f>
        <v>0</v>
      </c>
      <c r="L1065" s="5">
        <f>IFERROR(VLOOKUP(Consulta1[[#This Row],[Pozo largo]],Controles!B:J,9,FALSE),"NO")</f>
        <v>0</v>
      </c>
    </row>
    <row r="1066" spans="2:12" x14ac:dyDescent="0.35">
      <c r="B1066" s="4" t="s">
        <v>2062</v>
      </c>
      <c r="C1066" s="4" t="s">
        <v>6805</v>
      </c>
      <c r="D1066" s="4" t="s">
        <v>5</v>
      </c>
      <c r="E1066" s="4" t="s">
        <v>12</v>
      </c>
      <c r="F1066" s="4" t="s">
        <v>7</v>
      </c>
      <c r="G1066" s="4" t="s">
        <v>13</v>
      </c>
      <c r="H1066" s="4" t="s">
        <v>21</v>
      </c>
      <c r="I1066" s="5" t="str">
        <f>IFERROR(VLOOKUP(Consulta1[[#This Row],[Pozo largo]],'Lista YPF'!$B$3:$C$358,2,FALSE),"NO")</f>
        <v>NO</v>
      </c>
      <c r="J1066" s="5" t="str">
        <f>IFERROR(VLOOKUP(Consulta1[[#This Row],[Pozo]],'Lista Oportunidades'!B:C,2,FALSE),"NO")</f>
        <v>NO</v>
      </c>
      <c r="K1066" s="5">
        <f>IFERROR(VLOOKUP(Consulta1[[#This Row],[Pozo largo]],Controles!B:H,7,FALSE),"NO")</f>
        <v>6.84</v>
      </c>
      <c r="L1066" s="5">
        <f>IFERROR(VLOOKUP(Consulta1[[#This Row],[Pozo largo]],Controles!B:J,9,FALSE),"NO")</f>
        <v>0</v>
      </c>
    </row>
    <row r="1067" spans="2:12" x14ac:dyDescent="0.35">
      <c r="B1067" s="4" t="s">
        <v>2064</v>
      </c>
      <c r="C1067" s="4" t="s">
        <v>6806</v>
      </c>
      <c r="D1067" s="4" t="s">
        <v>5</v>
      </c>
      <c r="E1067" s="4" t="s">
        <v>30</v>
      </c>
      <c r="F1067" s="4" t="s">
        <v>31</v>
      </c>
      <c r="G1067" s="4" t="s">
        <v>32</v>
      </c>
      <c r="H1067" s="4" t="s">
        <v>80</v>
      </c>
      <c r="I1067" s="5" t="str">
        <f>IFERROR(VLOOKUP(Consulta1[[#This Row],[Pozo largo]],'Lista YPF'!$B$3:$C$358,2,FALSE),"NO")</f>
        <v>NO</v>
      </c>
      <c r="J1067" s="5" t="str">
        <f>IFERROR(VLOOKUP(Consulta1[[#This Row],[Pozo]],'Lista Oportunidades'!B:C,2,FALSE),"NO")</f>
        <v>NO</v>
      </c>
      <c r="K1067" s="5">
        <f>IFERROR(VLOOKUP(Consulta1[[#This Row],[Pozo largo]],Controles!B:H,7,FALSE),"NO")</f>
        <v>0.52200000000000002</v>
      </c>
      <c r="L1067" s="5">
        <f>IFERROR(VLOOKUP(Consulta1[[#This Row],[Pozo largo]],Controles!B:J,9,FALSE),"NO")</f>
        <v>0</v>
      </c>
    </row>
    <row r="1068" spans="2:12" x14ac:dyDescent="0.35">
      <c r="B1068" s="4" t="s">
        <v>2066</v>
      </c>
      <c r="C1068" s="4" t="s">
        <v>6807</v>
      </c>
      <c r="D1068" s="4" t="s">
        <v>5</v>
      </c>
      <c r="E1068" s="4" t="s">
        <v>57</v>
      </c>
      <c r="F1068" s="4" t="s">
        <v>7</v>
      </c>
      <c r="G1068" s="4" t="s">
        <v>5718</v>
      </c>
      <c r="H1068" s="4" t="s">
        <v>86</v>
      </c>
      <c r="I1068" s="5" t="str">
        <f>IFERROR(VLOOKUP(Consulta1[[#This Row],[Pozo largo]],'Lista YPF'!$B$3:$C$358,2,FALSE),"NO")</f>
        <v>En lista de Abandono</v>
      </c>
      <c r="J1068" s="5" t="str">
        <f>IFERROR(VLOOKUP(Consulta1[[#This Row],[Pozo]],'Lista Oportunidades'!B:C,2,FALSE),"NO")</f>
        <v>NO</v>
      </c>
      <c r="K1068" s="5">
        <f>IFERROR(VLOOKUP(Consulta1[[#This Row],[Pozo largo]],Controles!B:H,7,FALSE),"NO")</f>
        <v>0.34700000000000003</v>
      </c>
      <c r="L1068" s="5">
        <f>IFERROR(VLOOKUP(Consulta1[[#This Row],[Pozo largo]],Controles!B:J,9,FALSE),"NO")</f>
        <v>0</v>
      </c>
    </row>
    <row r="1069" spans="2:12" x14ac:dyDescent="0.35">
      <c r="B1069" s="4" t="s">
        <v>2068</v>
      </c>
      <c r="C1069" s="4" t="s">
        <v>6808</v>
      </c>
      <c r="D1069" s="4" t="s">
        <v>5</v>
      </c>
      <c r="E1069" s="4" t="s">
        <v>12</v>
      </c>
      <c r="F1069" s="4" t="s">
        <v>28</v>
      </c>
      <c r="G1069" s="4" t="s">
        <v>13</v>
      </c>
      <c r="H1069" s="4" t="s">
        <v>185</v>
      </c>
      <c r="I1069" s="5" t="str">
        <f>IFERROR(VLOOKUP(Consulta1[[#This Row],[Pozo largo]],'Lista YPF'!$B$3:$C$358,2,FALSE),"NO")</f>
        <v>NO</v>
      </c>
      <c r="J1069" s="5" t="str">
        <f>IFERROR(VLOOKUP(Consulta1[[#This Row],[Pozo]],'Lista Oportunidades'!B:C,2,FALSE),"NO")</f>
        <v>NO</v>
      </c>
      <c r="K1069" s="5">
        <f>IFERROR(VLOOKUP(Consulta1[[#This Row],[Pozo largo]],Controles!B:H,7,FALSE),"NO")</f>
        <v>0</v>
      </c>
      <c r="L1069" s="5">
        <f>IFERROR(VLOOKUP(Consulta1[[#This Row],[Pozo largo]],Controles!B:J,9,FALSE),"NO")</f>
        <v>0</v>
      </c>
    </row>
    <row r="1070" spans="2:12" x14ac:dyDescent="0.35">
      <c r="B1070" s="4" t="s">
        <v>2070</v>
      </c>
      <c r="C1070" s="4" t="s">
        <v>6809</v>
      </c>
      <c r="D1070" s="4" t="s">
        <v>5</v>
      </c>
      <c r="E1070" s="4" t="s">
        <v>12</v>
      </c>
      <c r="F1070" s="4" t="s">
        <v>7</v>
      </c>
      <c r="G1070" s="4" t="s">
        <v>13</v>
      </c>
      <c r="H1070" s="4" t="s">
        <v>185</v>
      </c>
      <c r="I1070" s="5" t="str">
        <f>IFERROR(VLOOKUP(Consulta1[[#This Row],[Pozo largo]],'Lista YPF'!$B$3:$C$358,2,FALSE),"NO")</f>
        <v>NO</v>
      </c>
      <c r="J1070" s="5" t="str">
        <f>IFERROR(VLOOKUP(Consulta1[[#This Row],[Pozo]],'Lista Oportunidades'!B:C,2,FALSE),"NO")</f>
        <v>NO</v>
      </c>
      <c r="K1070" s="5">
        <f>IFERROR(VLOOKUP(Consulta1[[#This Row],[Pozo largo]],Controles!B:H,7,FALSE),"NO")</f>
        <v>1.2</v>
      </c>
      <c r="L1070" s="5">
        <f>IFERROR(VLOOKUP(Consulta1[[#This Row],[Pozo largo]],Controles!B:J,9,FALSE),"NO")</f>
        <v>0</v>
      </c>
    </row>
    <row r="1071" spans="2:12" x14ac:dyDescent="0.35">
      <c r="B1071" s="4" t="s">
        <v>2072</v>
      </c>
      <c r="C1071" s="4" t="s">
        <v>6810</v>
      </c>
      <c r="D1071" s="4" t="s">
        <v>5</v>
      </c>
      <c r="E1071" s="4" t="s">
        <v>12</v>
      </c>
      <c r="F1071" s="4" t="s">
        <v>7</v>
      </c>
      <c r="G1071" s="4" t="s">
        <v>13</v>
      </c>
      <c r="H1071" s="4" t="s">
        <v>86</v>
      </c>
      <c r="I1071" s="5" t="str">
        <f>IFERROR(VLOOKUP(Consulta1[[#This Row],[Pozo largo]],'Lista YPF'!$B$3:$C$358,2,FALSE),"NO")</f>
        <v>NO</v>
      </c>
      <c r="J1071" s="5" t="str">
        <f>IFERROR(VLOOKUP(Consulta1[[#This Row],[Pozo]],'Lista Oportunidades'!B:C,2,FALSE),"NO")</f>
        <v>NO</v>
      </c>
      <c r="K1071" s="5">
        <f>IFERROR(VLOOKUP(Consulta1[[#This Row],[Pozo largo]],Controles!B:H,7,FALSE),"NO")</f>
        <v>8.4000000000000005E-2</v>
      </c>
      <c r="L1071" s="5">
        <f>IFERROR(VLOOKUP(Consulta1[[#This Row],[Pozo largo]],Controles!B:J,9,FALSE),"NO")</f>
        <v>0</v>
      </c>
    </row>
    <row r="1072" spans="2:12" x14ac:dyDescent="0.35">
      <c r="B1072" s="4" t="s">
        <v>2074</v>
      </c>
      <c r="C1072" s="4" t="s">
        <v>6811</v>
      </c>
      <c r="D1072" s="4" t="s">
        <v>5</v>
      </c>
      <c r="E1072" s="4" t="s">
        <v>12</v>
      </c>
      <c r="F1072" s="4" t="s">
        <v>28</v>
      </c>
      <c r="G1072" s="4" t="s">
        <v>13</v>
      </c>
      <c r="H1072" s="4" t="s">
        <v>9</v>
      </c>
      <c r="I1072" s="5" t="str">
        <f>IFERROR(VLOOKUP(Consulta1[[#This Row],[Pozo largo]],'Lista YPF'!$B$3:$C$358,2,FALSE),"NO")</f>
        <v>NO</v>
      </c>
      <c r="J1072" s="5" t="str">
        <f>IFERROR(VLOOKUP(Consulta1[[#This Row],[Pozo]],'Lista Oportunidades'!B:C,2,FALSE),"NO")</f>
        <v>NO</v>
      </c>
      <c r="K1072" s="5">
        <f>IFERROR(VLOOKUP(Consulta1[[#This Row],[Pozo largo]],Controles!B:H,7,FALSE),"NO")</f>
        <v>0</v>
      </c>
      <c r="L1072" s="5">
        <f>IFERROR(VLOOKUP(Consulta1[[#This Row],[Pozo largo]],Controles!B:J,9,FALSE),"NO")</f>
        <v>0</v>
      </c>
    </row>
    <row r="1073" spans="2:12" x14ac:dyDescent="0.35">
      <c r="B1073" s="4" t="s">
        <v>2076</v>
      </c>
      <c r="C1073" s="4" t="s">
        <v>6812</v>
      </c>
      <c r="D1073" s="4" t="s">
        <v>5</v>
      </c>
      <c r="E1073" s="4" t="s">
        <v>6</v>
      </c>
      <c r="F1073" s="4" t="s">
        <v>7</v>
      </c>
      <c r="G1073" s="4" t="s">
        <v>5718</v>
      </c>
      <c r="H1073" s="4" t="s">
        <v>9</v>
      </c>
      <c r="I1073" s="5" t="str">
        <f>IFERROR(VLOOKUP(Consulta1[[#This Row],[Pozo largo]],'Lista YPF'!$B$3:$C$358,2,FALSE),"NO")</f>
        <v>En lista de Abandono</v>
      </c>
      <c r="J1073" s="5" t="str">
        <f>IFERROR(VLOOKUP(Consulta1[[#This Row],[Pozo]],'Lista Oportunidades'!B:C,2,FALSE),"NO")</f>
        <v>NO</v>
      </c>
      <c r="K1073" s="5">
        <f>IFERROR(VLOOKUP(Consulta1[[#This Row],[Pozo largo]],Controles!B:H,7,FALSE),"NO")</f>
        <v>0.5</v>
      </c>
      <c r="L1073" s="5" t="str">
        <f>IFERROR(VLOOKUP(Consulta1[[#This Row],[Pozo largo]],Controles!B:J,9,FALSE),"NO")</f>
        <v>Ultimo Año</v>
      </c>
    </row>
    <row r="1074" spans="2:12" x14ac:dyDescent="0.35">
      <c r="B1074" s="4" t="s">
        <v>2078</v>
      </c>
      <c r="C1074" s="4" t="s">
        <v>6813</v>
      </c>
      <c r="D1074" s="4" t="s">
        <v>5</v>
      </c>
      <c r="E1074" s="4" t="s">
        <v>12</v>
      </c>
      <c r="F1074" s="4" t="s">
        <v>238</v>
      </c>
      <c r="G1074" s="4" t="s">
        <v>13</v>
      </c>
      <c r="H1074" s="4" t="s">
        <v>185</v>
      </c>
      <c r="I1074" s="5" t="str">
        <f>IFERROR(VLOOKUP(Consulta1[[#This Row],[Pozo largo]],'Lista YPF'!$B$3:$C$358,2,FALSE),"NO")</f>
        <v>NO</v>
      </c>
      <c r="J1074" s="5" t="str">
        <f>IFERROR(VLOOKUP(Consulta1[[#This Row],[Pozo]],'Lista Oportunidades'!B:C,2,FALSE),"NO")</f>
        <v>NO</v>
      </c>
      <c r="K1074" s="5">
        <f>IFERROR(VLOOKUP(Consulta1[[#This Row],[Pozo largo]],Controles!B:H,7,FALSE),"NO")</f>
        <v>0.16</v>
      </c>
      <c r="L1074" s="5">
        <f>IFERROR(VLOOKUP(Consulta1[[#This Row],[Pozo largo]],Controles!B:J,9,FALSE),"NO")</f>
        <v>0</v>
      </c>
    </row>
    <row r="1075" spans="2:12" x14ac:dyDescent="0.35">
      <c r="B1075" s="4" t="s">
        <v>2080</v>
      </c>
      <c r="C1075" s="4" t="s">
        <v>6814</v>
      </c>
      <c r="D1075" s="4" t="s">
        <v>5</v>
      </c>
      <c r="E1075" s="4" t="s">
        <v>12</v>
      </c>
      <c r="F1075" s="4" t="s">
        <v>7</v>
      </c>
      <c r="G1075" s="4" t="s">
        <v>13</v>
      </c>
      <c r="H1075" s="4" t="s">
        <v>86</v>
      </c>
      <c r="I1075" s="5" t="str">
        <f>IFERROR(VLOOKUP(Consulta1[[#This Row],[Pozo largo]],'Lista YPF'!$B$3:$C$358,2,FALSE),"NO")</f>
        <v>NO</v>
      </c>
      <c r="J1075" s="5" t="str">
        <f>IFERROR(VLOOKUP(Consulta1[[#This Row],[Pozo]],'Lista Oportunidades'!B:C,2,FALSE),"NO")</f>
        <v>NO</v>
      </c>
      <c r="K1075" s="5">
        <f>IFERROR(VLOOKUP(Consulta1[[#This Row],[Pozo largo]],Controles!B:H,7,FALSE),"NO")</f>
        <v>0.19500000000000001</v>
      </c>
      <c r="L1075" s="5">
        <f>IFERROR(VLOOKUP(Consulta1[[#This Row],[Pozo largo]],Controles!B:J,9,FALSE),"NO")</f>
        <v>0</v>
      </c>
    </row>
    <row r="1076" spans="2:12" x14ac:dyDescent="0.35">
      <c r="B1076" s="4" t="s">
        <v>2082</v>
      </c>
      <c r="C1076" s="4" t="s">
        <v>6815</v>
      </c>
      <c r="D1076" s="4" t="s">
        <v>5</v>
      </c>
      <c r="E1076" s="4" t="s">
        <v>30</v>
      </c>
      <c r="F1076" s="4" t="s">
        <v>31</v>
      </c>
      <c r="G1076" s="4" t="s">
        <v>32</v>
      </c>
      <c r="H1076" s="4" t="s">
        <v>254</v>
      </c>
      <c r="I1076" s="5" t="str">
        <f>IFERROR(VLOOKUP(Consulta1[[#This Row],[Pozo largo]],'Lista YPF'!$B$3:$C$358,2,FALSE),"NO")</f>
        <v>NO</v>
      </c>
      <c r="J1076" s="5" t="str">
        <f>IFERROR(VLOOKUP(Consulta1[[#This Row],[Pozo]],'Lista Oportunidades'!B:C,2,FALSE),"NO")</f>
        <v>NO</v>
      </c>
      <c r="K1076" s="5">
        <f>IFERROR(VLOOKUP(Consulta1[[#This Row],[Pozo largo]],Controles!B:H,7,FALSE),"NO")</f>
        <v>0.35700000000000004</v>
      </c>
      <c r="L1076" s="5">
        <f>IFERROR(VLOOKUP(Consulta1[[#This Row],[Pozo largo]],Controles!B:J,9,FALSE),"NO")</f>
        <v>0</v>
      </c>
    </row>
    <row r="1077" spans="2:12" x14ac:dyDescent="0.35">
      <c r="B1077" s="4" t="s">
        <v>2084</v>
      </c>
      <c r="C1077" s="4" t="s">
        <v>6816</v>
      </c>
      <c r="D1077" s="4" t="s">
        <v>5</v>
      </c>
      <c r="E1077" s="4" t="s">
        <v>57</v>
      </c>
      <c r="F1077" s="4" t="s">
        <v>7</v>
      </c>
      <c r="G1077" s="4" t="s">
        <v>5718</v>
      </c>
      <c r="H1077" s="4" t="s">
        <v>149</v>
      </c>
      <c r="I1077" s="5" t="str">
        <f>IFERROR(VLOOKUP(Consulta1[[#This Row],[Pozo largo]],'Lista YPF'!$B$3:$C$358,2,FALSE),"NO")</f>
        <v>En lista de Abandono</v>
      </c>
      <c r="J1077" s="5" t="str">
        <f>IFERROR(VLOOKUP(Consulta1[[#This Row],[Pozo]],'Lista Oportunidades'!B:C,2,FALSE),"NO")</f>
        <v>NO</v>
      </c>
      <c r="K1077" s="5">
        <f>IFERROR(VLOOKUP(Consulta1[[#This Row],[Pozo largo]],Controles!B:H,7,FALSE),"NO")</f>
        <v>1.008</v>
      </c>
      <c r="L1077" s="5">
        <f>IFERROR(VLOOKUP(Consulta1[[#This Row],[Pozo largo]],Controles!B:J,9,FALSE),"NO")</f>
        <v>0</v>
      </c>
    </row>
    <row r="1078" spans="2:12" x14ac:dyDescent="0.35">
      <c r="B1078" s="4" t="s">
        <v>2086</v>
      </c>
      <c r="C1078" s="4" t="s">
        <v>6817</v>
      </c>
      <c r="D1078" s="4" t="s">
        <v>5</v>
      </c>
      <c r="E1078" s="4" t="s">
        <v>12</v>
      </c>
      <c r="F1078" s="4" t="s">
        <v>7</v>
      </c>
      <c r="G1078" s="4" t="s">
        <v>13</v>
      </c>
      <c r="H1078" s="4" t="s">
        <v>21</v>
      </c>
      <c r="I1078" s="5" t="str">
        <f>IFERROR(VLOOKUP(Consulta1[[#This Row],[Pozo largo]],'Lista YPF'!$B$3:$C$358,2,FALSE),"NO")</f>
        <v>NO</v>
      </c>
      <c r="J1078" s="5" t="str">
        <f>IFERROR(VLOOKUP(Consulta1[[#This Row],[Pozo]],'Lista Oportunidades'!B:C,2,FALSE),"NO")</f>
        <v>NO</v>
      </c>
      <c r="K1078" s="5">
        <f>IFERROR(VLOOKUP(Consulta1[[#This Row],[Pozo largo]],Controles!B:H,7,FALSE),"NO")</f>
        <v>1.62</v>
      </c>
      <c r="L1078" s="5">
        <f>IFERROR(VLOOKUP(Consulta1[[#This Row],[Pozo largo]],Controles!B:J,9,FALSE),"NO")</f>
        <v>0</v>
      </c>
    </row>
    <row r="1079" spans="2:12" x14ac:dyDescent="0.35">
      <c r="B1079" s="4" t="s">
        <v>2088</v>
      </c>
      <c r="C1079" s="4" t="s">
        <v>5733</v>
      </c>
      <c r="D1079" s="4" t="s">
        <v>5</v>
      </c>
      <c r="E1079" s="4" t="s">
        <v>6</v>
      </c>
      <c r="F1079" s="4" t="s">
        <v>7</v>
      </c>
      <c r="G1079" s="4" t="s">
        <v>8689</v>
      </c>
      <c r="H1079" s="4" t="s">
        <v>9</v>
      </c>
      <c r="I1079" s="5" t="str">
        <f>IFERROR(VLOOKUP(Consulta1[[#This Row],[Pozo largo]],'Lista YPF'!$B$3:$C$358,2,FALSE),"NO")</f>
        <v>NO</v>
      </c>
      <c r="J1079" s="5" t="str">
        <f>IFERROR(VLOOKUP(Consulta1[[#This Row],[Pozo]],'Lista Oportunidades'!B:C,2,FALSE),"NO")</f>
        <v>Oportunidad</v>
      </c>
      <c r="K1079" s="5">
        <f>IFERROR(VLOOKUP(Consulta1[[#This Row],[Pozo largo]],Controles!B:H,7,FALSE),"NO")</f>
        <v>3.71</v>
      </c>
      <c r="L1079" s="5">
        <f>IFERROR(VLOOKUP(Consulta1[[#This Row],[Pozo largo]],Controles!B:J,9,FALSE),"NO")</f>
        <v>0</v>
      </c>
    </row>
    <row r="1080" spans="2:12" x14ac:dyDescent="0.35">
      <c r="B1080" s="4" t="s">
        <v>2090</v>
      </c>
      <c r="C1080" s="4" t="s">
        <v>6818</v>
      </c>
      <c r="D1080" s="4" t="s">
        <v>5</v>
      </c>
      <c r="E1080" s="4" t="s">
        <v>6</v>
      </c>
      <c r="F1080" s="4" t="s">
        <v>7</v>
      </c>
      <c r="G1080" s="4" t="s">
        <v>11385</v>
      </c>
      <c r="H1080" s="4" t="s">
        <v>9</v>
      </c>
      <c r="I1080" s="5" t="str">
        <f>IFERROR(VLOOKUP(Consulta1[[#This Row],[Pozo largo]],'Lista YPF'!$B$3:$C$358,2,FALSE),"NO")</f>
        <v>NO</v>
      </c>
      <c r="J1080" s="5" t="str">
        <f>IFERROR(VLOOKUP(Consulta1[[#This Row],[Pozo]],'Lista Oportunidades'!B:C,2,FALSE),"NO")</f>
        <v>NO</v>
      </c>
      <c r="K1080" s="5">
        <f>IFERROR(VLOOKUP(Consulta1[[#This Row],[Pozo largo]],Controles!B:H,7,FALSE),"NO")</f>
        <v>3.64</v>
      </c>
      <c r="L1080" s="5" t="str">
        <f>IFERROR(VLOOKUP(Consulta1[[#This Row],[Pozo largo]],Controles!B:J,9,FALSE),"NO")</f>
        <v>Ultimo Año</v>
      </c>
    </row>
    <row r="1081" spans="2:12" x14ac:dyDescent="0.35">
      <c r="B1081" s="4" t="s">
        <v>2092</v>
      </c>
      <c r="C1081" s="4" t="s">
        <v>6819</v>
      </c>
      <c r="D1081" s="4" t="s">
        <v>5</v>
      </c>
      <c r="E1081" s="4" t="s">
        <v>30</v>
      </c>
      <c r="F1081" s="4" t="s">
        <v>31</v>
      </c>
      <c r="G1081" s="4" t="s">
        <v>32</v>
      </c>
      <c r="H1081" s="4" t="s">
        <v>80</v>
      </c>
      <c r="I1081" s="5" t="str">
        <f>IFERROR(VLOOKUP(Consulta1[[#This Row],[Pozo largo]],'Lista YPF'!$B$3:$C$358,2,FALSE),"NO")</f>
        <v>NO</v>
      </c>
      <c r="J1081" s="5" t="str">
        <f>IFERROR(VLOOKUP(Consulta1[[#This Row],[Pozo]],'Lista Oportunidades'!B:C,2,FALSE),"NO")</f>
        <v>NO</v>
      </c>
      <c r="K1081" s="5" t="str">
        <f>IFERROR(VLOOKUP(Consulta1[[#This Row],[Pozo largo]],Controles!B:H,7,FALSE),"NO")</f>
        <v>NO</v>
      </c>
      <c r="L1081" s="5" t="str">
        <f>IFERROR(VLOOKUP(Consulta1[[#This Row],[Pozo largo]],Controles!B:J,9,FALSE),"NO")</f>
        <v>NO</v>
      </c>
    </row>
    <row r="1082" spans="2:12" x14ac:dyDescent="0.35">
      <c r="B1082" s="4" t="s">
        <v>2093</v>
      </c>
      <c r="C1082" s="4" t="s">
        <v>6820</v>
      </c>
      <c r="D1082" s="4" t="s">
        <v>5</v>
      </c>
      <c r="E1082" s="4" t="s">
        <v>30</v>
      </c>
      <c r="F1082" s="4" t="s">
        <v>31</v>
      </c>
      <c r="G1082" s="4" t="s">
        <v>32</v>
      </c>
      <c r="H1082" s="4" t="s">
        <v>91</v>
      </c>
      <c r="I1082" s="5" t="str">
        <f>IFERROR(VLOOKUP(Consulta1[[#This Row],[Pozo largo]],'Lista YPF'!$B$3:$C$358,2,FALSE),"NO")</f>
        <v>NO</v>
      </c>
      <c r="J1082" s="5" t="str">
        <f>IFERROR(VLOOKUP(Consulta1[[#This Row],[Pozo]],'Lista Oportunidades'!B:C,2,FALSE),"NO")</f>
        <v>NO</v>
      </c>
      <c r="K1082" s="5">
        <f>IFERROR(VLOOKUP(Consulta1[[#This Row],[Pozo largo]],Controles!B:H,7,FALSE),"NO")</f>
        <v>0</v>
      </c>
      <c r="L1082" s="5">
        <f>IFERROR(VLOOKUP(Consulta1[[#This Row],[Pozo largo]],Controles!B:J,9,FALSE),"NO")</f>
        <v>0</v>
      </c>
    </row>
    <row r="1083" spans="2:12" x14ac:dyDescent="0.35">
      <c r="B1083" s="4" t="s">
        <v>2095</v>
      </c>
      <c r="C1083" s="4" t="s">
        <v>6821</v>
      </c>
      <c r="D1083" s="4" t="s">
        <v>5</v>
      </c>
      <c r="E1083" s="4" t="s">
        <v>24</v>
      </c>
      <c r="F1083" s="4" t="s">
        <v>25</v>
      </c>
      <c r="G1083" s="4" t="s">
        <v>8</v>
      </c>
      <c r="H1083" s="4" t="s">
        <v>91</v>
      </c>
      <c r="I1083" s="5" t="str">
        <f>IFERROR(VLOOKUP(Consulta1[[#This Row],[Pozo largo]],'Lista YPF'!$B$3:$C$358,2,FALSE),"NO")</f>
        <v>NO</v>
      </c>
      <c r="J1083" s="5" t="str">
        <f>IFERROR(VLOOKUP(Consulta1[[#This Row],[Pozo]],'Lista Oportunidades'!B:C,2,FALSE),"NO")</f>
        <v>NO</v>
      </c>
      <c r="K1083" s="5">
        <f>IFERROR(VLOOKUP(Consulta1[[#This Row],[Pozo largo]],Controles!B:H,7,FALSE),"NO")</f>
        <v>0.14500000000000002</v>
      </c>
      <c r="L1083" s="5">
        <f>IFERROR(VLOOKUP(Consulta1[[#This Row],[Pozo largo]],Controles!B:J,9,FALSE),"NO")</f>
        <v>0</v>
      </c>
    </row>
    <row r="1084" spans="2:12" x14ac:dyDescent="0.35">
      <c r="B1084" s="4" t="s">
        <v>2097</v>
      </c>
      <c r="C1084" s="4" t="s">
        <v>6822</v>
      </c>
      <c r="D1084" s="4" t="s">
        <v>5</v>
      </c>
      <c r="E1084" s="4" t="s">
        <v>12</v>
      </c>
      <c r="F1084" s="4" t="s">
        <v>7</v>
      </c>
      <c r="G1084" s="4" t="s">
        <v>13</v>
      </c>
      <c r="H1084" s="4" t="s">
        <v>16</v>
      </c>
      <c r="I1084" s="5" t="str">
        <f>IFERROR(VLOOKUP(Consulta1[[#This Row],[Pozo largo]],'Lista YPF'!$B$3:$C$358,2,FALSE),"NO")</f>
        <v>NO</v>
      </c>
      <c r="J1084" s="5" t="str">
        <f>IFERROR(VLOOKUP(Consulta1[[#This Row],[Pozo]],'Lista Oportunidades'!B:C,2,FALSE),"NO")</f>
        <v>NO</v>
      </c>
      <c r="K1084" s="5">
        <f>IFERROR(VLOOKUP(Consulta1[[#This Row],[Pozo largo]],Controles!B:H,7,FALSE),"NO")</f>
        <v>1.1220000000000001</v>
      </c>
      <c r="L1084" s="5">
        <f>IFERROR(VLOOKUP(Consulta1[[#This Row],[Pozo largo]],Controles!B:J,9,FALSE),"NO")</f>
        <v>0</v>
      </c>
    </row>
    <row r="1085" spans="2:12" x14ac:dyDescent="0.35">
      <c r="B1085" s="4" t="s">
        <v>2099</v>
      </c>
      <c r="C1085" s="4" t="s">
        <v>6823</v>
      </c>
      <c r="D1085" s="4" t="s">
        <v>5</v>
      </c>
      <c r="E1085" s="4" t="s">
        <v>12</v>
      </c>
      <c r="F1085" s="4" t="s">
        <v>7</v>
      </c>
      <c r="G1085" s="4" t="s">
        <v>13</v>
      </c>
      <c r="H1085" s="4" t="s">
        <v>185</v>
      </c>
      <c r="I1085" s="5" t="str">
        <f>IFERROR(VLOOKUP(Consulta1[[#This Row],[Pozo largo]],'Lista YPF'!$B$3:$C$358,2,FALSE),"NO")</f>
        <v>NO</v>
      </c>
      <c r="J1085" s="5" t="str">
        <f>IFERROR(VLOOKUP(Consulta1[[#This Row],[Pozo]],'Lista Oportunidades'!B:C,2,FALSE),"NO")</f>
        <v>NO</v>
      </c>
      <c r="K1085" s="5">
        <f>IFERROR(VLOOKUP(Consulta1[[#This Row],[Pozo largo]],Controles!B:H,7,FALSE),"NO")</f>
        <v>1.5920000000000001</v>
      </c>
      <c r="L1085" s="5">
        <f>IFERROR(VLOOKUP(Consulta1[[#This Row],[Pozo largo]],Controles!B:J,9,FALSE),"NO")</f>
        <v>0</v>
      </c>
    </row>
    <row r="1086" spans="2:12" x14ac:dyDescent="0.35">
      <c r="B1086" s="4" t="s">
        <v>2101</v>
      </c>
      <c r="C1086" s="4" t="s">
        <v>6824</v>
      </c>
      <c r="D1086" s="4" t="s">
        <v>5</v>
      </c>
      <c r="E1086" s="4" t="s">
        <v>6</v>
      </c>
      <c r="F1086" s="4" t="s">
        <v>31</v>
      </c>
      <c r="G1086" s="4" t="s">
        <v>5718</v>
      </c>
      <c r="H1086" s="4" t="s">
        <v>16</v>
      </c>
      <c r="I1086" s="5" t="str">
        <f>IFERROR(VLOOKUP(Consulta1[[#This Row],[Pozo largo]],'Lista YPF'!$B$3:$C$358,2,FALSE),"NO")</f>
        <v>En lista de Abandono</v>
      </c>
      <c r="J1086" s="5" t="str">
        <f>IFERROR(VLOOKUP(Consulta1[[#This Row],[Pozo]],'Lista Oportunidades'!B:C,2,FALSE),"NO")</f>
        <v>NO</v>
      </c>
      <c r="K1086" s="5">
        <f>IFERROR(VLOOKUP(Consulta1[[#This Row],[Pozo largo]],Controles!B:H,7,FALSE),"NO")</f>
        <v>0.26</v>
      </c>
      <c r="L1086" s="5">
        <f>IFERROR(VLOOKUP(Consulta1[[#This Row],[Pozo largo]],Controles!B:J,9,FALSE),"NO")</f>
        <v>0</v>
      </c>
    </row>
    <row r="1087" spans="2:12" x14ac:dyDescent="0.35">
      <c r="B1087" s="4" t="s">
        <v>2103</v>
      </c>
      <c r="C1087" s="4" t="s">
        <v>6825</v>
      </c>
      <c r="D1087" s="4" t="s">
        <v>5</v>
      </c>
      <c r="E1087" s="4" t="s">
        <v>12</v>
      </c>
      <c r="F1087" s="4" t="s">
        <v>7</v>
      </c>
      <c r="G1087" s="4" t="s">
        <v>13</v>
      </c>
      <c r="H1087" s="4" t="s">
        <v>66</v>
      </c>
      <c r="I1087" s="5" t="str">
        <f>IFERROR(VLOOKUP(Consulta1[[#This Row],[Pozo largo]],'Lista YPF'!$B$3:$C$358,2,FALSE),"NO")</f>
        <v>NO</v>
      </c>
      <c r="J1087" s="5" t="str">
        <f>IFERROR(VLOOKUP(Consulta1[[#This Row],[Pozo]],'Lista Oportunidades'!B:C,2,FALSE),"NO")</f>
        <v>NO</v>
      </c>
      <c r="K1087" s="5">
        <f>IFERROR(VLOOKUP(Consulta1[[#This Row],[Pozo largo]],Controles!B:H,7,FALSE),"NO")</f>
        <v>2.31</v>
      </c>
      <c r="L1087" s="5">
        <f>IFERROR(VLOOKUP(Consulta1[[#This Row],[Pozo largo]],Controles!B:J,9,FALSE),"NO")</f>
        <v>0</v>
      </c>
    </row>
    <row r="1088" spans="2:12" x14ac:dyDescent="0.35">
      <c r="B1088" s="4" t="s">
        <v>2105</v>
      </c>
      <c r="C1088" s="4" t="s">
        <v>6826</v>
      </c>
      <c r="D1088" s="4" t="s">
        <v>5</v>
      </c>
      <c r="E1088" s="4" t="s">
        <v>30</v>
      </c>
      <c r="F1088" s="4" t="s">
        <v>31</v>
      </c>
      <c r="G1088" s="4" t="s">
        <v>32</v>
      </c>
      <c r="H1088" s="4" t="s">
        <v>71</v>
      </c>
      <c r="I1088" s="5" t="str">
        <f>IFERROR(VLOOKUP(Consulta1[[#This Row],[Pozo largo]],'Lista YPF'!$B$3:$C$358,2,FALSE),"NO")</f>
        <v>NO</v>
      </c>
      <c r="J1088" s="5" t="str">
        <f>IFERROR(VLOOKUP(Consulta1[[#This Row],[Pozo]],'Lista Oportunidades'!B:C,2,FALSE),"NO")</f>
        <v>NO</v>
      </c>
      <c r="K1088" s="5" t="str">
        <f>IFERROR(VLOOKUP(Consulta1[[#This Row],[Pozo largo]],Controles!B:H,7,FALSE),"NO")</f>
        <v>NO</v>
      </c>
      <c r="L1088" s="5" t="str">
        <f>IFERROR(VLOOKUP(Consulta1[[#This Row],[Pozo largo]],Controles!B:J,9,FALSE),"NO")</f>
        <v>NO</v>
      </c>
    </row>
    <row r="1089" spans="2:12" x14ac:dyDescent="0.35">
      <c r="B1089" s="4" t="s">
        <v>2106</v>
      </c>
      <c r="C1089" s="4" t="s">
        <v>6827</v>
      </c>
      <c r="D1089" s="4" t="s">
        <v>5</v>
      </c>
      <c r="E1089" s="4" t="s">
        <v>24</v>
      </c>
      <c r="F1089" s="4" t="s">
        <v>31</v>
      </c>
      <c r="G1089" s="4" t="s">
        <v>8</v>
      </c>
      <c r="H1089" s="4" t="s">
        <v>66</v>
      </c>
      <c r="I1089" s="5" t="str">
        <f>IFERROR(VLOOKUP(Consulta1[[#This Row],[Pozo largo]],'Lista YPF'!$B$3:$C$358,2,FALSE),"NO")</f>
        <v>NO</v>
      </c>
      <c r="J1089" s="5" t="str">
        <f>IFERROR(VLOOKUP(Consulta1[[#This Row],[Pozo]],'Lista Oportunidades'!B:C,2,FALSE),"NO")</f>
        <v>NO</v>
      </c>
      <c r="K1089" s="5">
        <f>IFERROR(VLOOKUP(Consulta1[[#This Row],[Pozo largo]],Controles!B:H,7,FALSE),"NO")</f>
        <v>0.64300000000000002</v>
      </c>
      <c r="L1089" s="5">
        <f>IFERROR(VLOOKUP(Consulta1[[#This Row],[Pozo largo]],Controles!B:J,9,FALSE),"NO")</f>
        <v>0</v>
      </c>
    </row>
    <row r="1090" spans="2:12" x14ac:dyDescent="0.35">
      <c r="B1090" s="4" t="s">
        <v>2108</v>
      </c>
      <c r="C1090" s="4" t="s">
        <v>6828</v>
      </c>
      <c r="D1090" s="4" t="s">
        <v>5</v>
      </c>
      <c r="E1090" s="4" t="s">
        <v>12</v>
      </c>
      <c r="F1090" s="4" t="s">
        <v>7</v>
      </c>
      <c r="G1090" s="4" t="s">
        <v>13</v>
      </c>
      <c r="H1090" s="4" t="s">
        <v>9</v>
      </c>
      <c r="I1090" s="5" t="str">
        <f>IFERROR(VLOOKUP(Consulta1[[#This Row],[Pozo largo]],'Lista YPF'!$B$3:$C$358,2,FALSE),"NO")</f>
        <v>NO</v>
      </c>
      <c r="J1090" s="5" t="str">
        <f>IFERROR(VLOOKUP(Consulta1[[#This Row],[Pozo]],'Lista Oportunidades'!B:C,2,FALSE),"NO")</f>
        <v>NO</v>
      </c>
      <c r="K1090" s="5">
        <f>IFERROR(VLOOKUP(Consulta1[[#This Row],[Pozo largo]],Controles!B:H,7,FALSE),"NO")</f>
        <v>1.26</v>
      </c>
      <c r="L1090" s="5">
        <f>IFERROR(VLOOKUP(Consulta1[[#This Row],[Pozo largo]],Controles!B:J,9,FALSE),"NO")</f>
        <v>0</v>
      </c>
    </row>
    <row r="1091" spans="2:12" x14ac:dyDescent="0.35">
      <c r="B1091" s="4" t="s">
        <v>2110</v>
      </c>
      <c r="C1091" s="4" t="s">
        <v>6829</v>
      </c>
      <c r="D1091" s="4" t="s">
        <v>5</v>
      </c>
      <c r="E1091" s="4" t="s">
        <v>12</v>
      </c>
      <c r="F1091" s="4" t="s">
        <v>25</v>
      </c>
      <c r="G1091" s="4" t="s">
        <v>13</v>
      </c>
      <c r="H1091" s="4" t="s">
        <v>21</v>
      </c>
      <c r="I1091" s="5" t="str">
        <f>IFERROR(VLOOKUP(Consulta1[[#This Row],[Pozo largo]],'Lista YPF'!$B$3:$C$358,2,FALSE),"NO")</f>
        <v>NO</v>
      </c>
      <c r="J1091" s="5" t="str">
        <f>IFERROR(VLOOKUP(Consulta1[[#This Row],[Pozo]],'Lista Oportunidades'!B:C,2,FALSE),"NO")</f>
        <v>NO</v>
      </c>
      <c r="K1091" s="5">
        <f>IFERROR(VLOOKUP(Consulta1[[#This Row],[Pozo largo]],Controles!B:H,7,FALSE),"NO")</f>
        <v>0.192</v>
      </c>
      <c r="L1091" s="5">
        <f>IFERROR(VLOOKUP(Consulta1[[#This Row],[Pozo largo]],Controles!B:J,9,FALSE),"NO")</f>
        <v>0</v>
      </c>
    </row>
    <row r="1092" spans="2:12" x14ac:dyDescent="0.35">
      <c r="B1092" s="4" t="s">
        <v>2112</v>
      </c>
      <c r="C1092" s="4" t="s">
        <v>6830</v>
      </c>
      <c r="D1092" s="4" t="s">
        <v>5</v>
      </c>
      <c r="E1092" s="4" t="s">
        <v>57</v>
      </c>
      <c r="F1092" s="4" t="s">
        <v>25</v>
      </c>
      <c r="G1092" s="4" t="s">
        <v>5718</v>
      </c>
      <c r="H1092" s="4" t="s">
        <v>21</v>
      </c>
      <c r="I1092" s="5" t="str">
        <f>IFERROR(VLOOKUP(Consulta1[[#This Row],[Pozo largo]],'Lista YPF'!$B$3:$C$358,2,FALSE),"NO")</f>
        <v>En lista de Abandono</v>
      </c>
      <c r="J1092" s="5" t="str">
        <f>IFERROR(VLOOKUP(Consulta1[[#This Row],[Pozo]],'Lista Oportunidades'!B:C,2,FALSE),"NO")</f>
        <v>NO</v>
      </c>
      <c r="K1092" s="5">
        <f>IFERROR(VLOOKUP(Consulta1[[#This Row],[Pozo largo]],Controles!B:H,7,FALSE),"NO")</f>
        <v>0.307</v>
      </c>
      <c r="L1092" s="5">
        <f>IFERROR(VLOOKUP(Consulta1[[#This Row],[Pozo largo]],Controles!B:J,9,FALSE),"NO")</f>
        <v>0</v>
      </c>
    </row>
    <row r="1093" spans="2:12" x14ac:dyDescent="0.35">
      <c r="B1093" s="4" t="s">
        <v>2114</v>
      </c>
      <c r="C1093" s="4" t="s">
        <v>6831</v>
      </c>
      <c r="D1093" s="4" t="s">
        <v>5</v>
      </c>
      <c r="E1093" s="4" t="s">
        <v>30</v>
      </c>
      <c r="F1093" s="4" t="s">
        <v>31</v>
      </c>
      <c r="G1093" s="4" t="s">
        <v>32</v>
      </c>
      <c r="H1093" s="4" t="s">
        <v>33</v>
      </c>
      <c r="I1093" s="5" t="str">
        <f>IFERROR(VLOOKUP(Consulta1[[#This Row],[Pozo largo]],'Lista YPF'!$B$3:$C$358,2,FALSE),"NO")</f>
        <v>NO</v>
      </c>
      <c r="J1093" s="5" t="str">
        <f>IFERROR(VLOOKUP(Consulta1[[#This Row],[Pozo]],'Lista Oportunidades'!B:C,2,FALSE),"NO")</f>
        <v>NO</v>
      </c>
      <c r="K1093" s="5">
        <f>IFERROR(VLOOKUP(Consulta1[[#This Row],[Pozo largo]],Controles!B:H,7,FALSE),"NO")</f>
        <v>0</v>
      </c>
      <c r="L1093" s="5">
        <f>IFERROR(VLOOKUP(Consulta1[[#This Row],[Pozo largo]],Controles!B:J,9,FALSE),"NO")</f>
        <v>0</v>
      </c>
    </row>
    <row r="1094" spans="2:12" x14ac:dyDescent="0.35">
      <c r="B1094" s="4" t="s">
        <v>2116</v>
      </c>
      <c r="C1094" s="4" t="s">
        <v>6832</v>
      </c>
      <c r="D1094" s="4" t="s">
        <v>5</v>
      </c>
      <c r="E1094" s="4" t="s">
        <v>12</v>
      </c>
      <c r="F1094" s="4" t="s">
        <v>7</v>
      </c>
      <c r="G1094" s="4" t="s">
        <v>13</v>
      </c>
      <c r="H1094" s="4" t="s">
        <v>36</v>
      </c>
      <c r="I1094" s="5" t="str">
        <f>IFERROR(VLOOKUP(Consulta1[[#This Row],[Pozo largo]],'Lista YPF'!$B$3:$C$358,2,FALSE),"NO")</f>
        <v>NO</v>
      </c>
      <c r="J1094" s="5" t="str">
        <f>IFERROR(VLOOKUP(Consulta1[[#This Row],[Pozo]],'Lista Oportunidades'!B:C,2,FALSE),"NO")</f>
        <v>NO</v>
      </c>
      <c r="K1094" s="5">
        <f>IFERROR(VLOOKUP(Consulta1[[#This Row],[Pozo largo]],Controles!B:H,7,FALSE),"NO")</f>
        <v>2.73</v>
      </c>
      <c r="L1094" s="5">
        <f>IFERROR(VLOOKUP(Consulta1[[#This Row],[Pozo largo]],Controles!B:J,9,FALSE),"NO")</f>
        <v>0</v>
      </c>
    </row>
    <row r="1095" spans="2:12" x14ac:dyDescent="0.35">
      <c r="B1095" s="4" t="s">
        <v>2118</v>
      </c>
      <c r="C1095" s="4" t="s">
        <v>6833</v>
      </c>
      <c r="D1095" s="4" t="s">
        <v>5</v>
      </c>
      <c r="E1095" s="4" t="s">
        <v>12</v>
      </c>
      <c r="F1095" s="4" t="s">
        <v>7</v>
      </c>
      <c r="G1095" s="4" t="s">
        <v>13</v>
      </c>
      <c r="H1095" s="4" t="s">
        <v>21</v>
      </c>
      <c r="I1095" s="5" t="str">
        <f>IFERROR(VLOOKUP(Consulta1[[#This Row],[Pozo largo]],'Lista YPF'!$B$3:$C$358,2,FALSE),"NO")</f>
        <v>NO</v>
      </c>
      <c r="J1095" s="5" t="str">
        <f>IFERROR(VLOOKUP(Consulta1[[#This Row],[Pozo]],'Lista Oportunidades'!B:C,2,FALSE),"NO")</f>
        <v>NO</v>
      </c>
      <c r="K1095" s="5">
        <f>IFERROR(VLOOKUP(Consulta1[[#This Row],[Pozo largo]],Controles!B:H,7,FALSE),"NO")</f>
        <v>1.56</v>
      </c>
      <c r="L1095" s="5">
        <f>IFERROR(VLOOKUP(Consulta1[[#This Row],[Pozo largo]],Controles!B:J,9,FALSE),"NO")</f>
        <v>0</v>
      </c>
    </row>
    <row r="1096" spans="2:12" x14ac:dyDescent="0.35">
      <c r="B1096" s="4" t="s">
        <v>2120</v>
      </c>
      <c r="C1096" s="4" t="s">
        <v>6834</v>
      </c>
      <c r="D1096" s="4" t="s">
        <v>5</v>
      </c>
      <c r="E1096" s="4" t="s">
        <v>57</v>
      </c>
      <c r="F1096" s="4" t="s">
        <v>7</v>
      </c>
      <c r="G1096" s="4" t="s">
        <v>5718</v>
      </c>
      <c r="H1096" s="4" t="s">
        <v>33</v>
      </c>
      <c r="I1096" s="5" t="str">
        <f>IFERROR(VLOOKUP(Consulta1[[#This Row],[Pozo largo]],'Lista YPF'!$B$3:$C$358,2,FALSE),"NO")</f>
        <v>En lista de Abandono</v>
      </c>
      <c r="J1096" s="5" t="str">
        <f>IFERROR(VLOOKUP(Consulta1[[#This Row],[Pozo]],'Lista Oportunidades'!B:C,2,FALSE),"NO")</f>
        <v>NO</v>
      </c>
      <c r="K1096" s="5">
        <f>IFERROR(VLOOKUP(Consulta1[[#This Row],[Pozo largo]],Controles!B:H,7,FALSE),"NO")</f>
        <v>0.63100000000000001</v>
      </c>
      <c r="L1096" s="5">
        <f>IFERROR(VLOOKUP(Consulta1[[#This Row],[Pozo largo]],Controles!B:J,9,FALSE),"NO")</f>
        <v>0</v>
      </c>
    </row>
    <row r="1097" spans="2:12" x14ac:dyDescent="0.35">
      <c r="B1097" s="4" t="s">
        <v>2122</v>
      </c>
      <c r="C1097" s="4" t="s">
        <v>6835</v>
      </c>
      <c r="D1097" s="4" t="s">
        <v>5</v>
      </c>
      <c r="E1097" s="4" t="s">
        <v>12</v>
      </c>
      <c r="F1097" s="4" t="s">
        <v>7</v>
      </c>
      <c r="G1097" s="4" t="s">
        <v>13</v>
      </c>
      <c r="H1097" s="4" t="s">
        <v>21</v>
      </c>
      <c r="I1097" s="5" t="str">
        <f>IFERROR(VLOOKUP(Consulta1[[#This Row],[Pozo largo]],'Lista YPF'!$B$3:$C$358,2,FALSE),"NO")</f>
        <v>NO</v>
      </c>
      <c r="J1097" s="5" t="str">
        <f>IFERROR(VLOOKUP(Consulta1[[#This Row],[Pozo]],'Lista Oportunidades'!B:C,2,FALSE),"NO")</f>
        <v>NO</v>
      </c>
      <c r="K1097" s="5">
        <f>IFERROR(VLOOKUP(Consulta1[[#This Row],[Pozo largo]],Controles!B:H,7,FALSE),"NO")</f>
        <v>3.5</v>
      </c>
      <c r="L1097" s="5">
        <f>IFERROR(VLOOKUP(Consulta1[[#This Row],[Pozo largo]],Controles!B:J,9,FALSE),"NO")</f>
        <v>0</v>
      </c>
    </row>
    <row r="1098" spans="2:12" x14ac:dyDescent="0.35">
      <c r="B1098" s="4" t="s">
        <v>2124</v>
      </c>
      <c r="C1098" s="4" t="s">
        <v>6836</v>
      </c>
      <c r="D1098" s="4" t="s">
        <v>5</v>
      </c>
      <c r="E1098" s="4" t="s">
        <v>12</v>
      </c>
      <c r="F1098" s="4" t="s">
        <v>28</v>
      </c>
      <c r="G1098" s="4" t="s">
        <v>13</v>
      </c>
      <c r="H1098" s="4" t="s">
        <v>9</v>
      </c>
      <c r="I1098" s="5" t="str">
        <f>IFERROR(VLOOKUP(Consulta1[[#This Row],[Pozo largo]],'Lista YPF'!$B$3:$C$358,2,FALSE),"NO")</f>
        <v>NO</v>
      </c>
      <c r="J1098" s="5" t="str">
        <f>IFERROR(VLOOKUP(Consulta1[[#This Row],[Pozo]],'Lista Oportunidades'!B:C,2,FALSE),"NO")</f>
        <v>NO</v>
      </c>
      <c r="K1098" s="5">
        <f>IFERROR(VLOOKUP(Consulta1[[#This Row],[Pozo largo]],Controles!B:H,7,FALSE),"NO")</f>
        <v>0</v>
      </c>
      <c r="L1098" s="5">
        <f>IFERROR(VLOOKUP(Consulta1[[#This Row],[Pozo largo]],Controles!B:J,9,FALSE),"NO")</f>
        <v>0</v>
      </c>
    </row>
    <row r="1099" spans="2:12" x14ac:dyDescent="0.35">
      <c r="B1099" s="4" t="s">
        <v>2126</v>
      </c>
      <c r="C1099" s="4" t="s">
        <v>6837</v>
      </c>
      <c r="D1099" s="4" t="s">
        <v>5</v>
      </c>
      <c r="E1099" s="4" t="s">
        <v>12</v>
      </c>
      <c r="F1099" s="4" t="s">
        <v>7</v>
      </c>
      <c r="G1099" s="4" t="s">
        <v>13</v>
      </c>
      <c r="H1099" s="4" t="s">
        <v>9</v>
      </c>
      <c r="I1099" s="5" t="str">
        <f>IFERROR(VLOOKUP(Consulta1[[#This Row],[Pozo largo]],'Lista YPF'!$B$3:$C$358,2,FALSE),"NO")</f>
        <v>NO</v>
      </c>
      <c r="J1099" s="5" t="str">
        <f>IFERROR(VLOOKUP(Consulta1[[#This Row],[Pozo]],'Lista Oportunidades'!B:C,2,FALSE),"NO")</f>
        <v>NO</v>
      </c>
      <c r="K1099" s="5">
        <f>IFERROR(VLOOKUP(Consulta1[[#This Row],[Pozo largo]],Controles!B:H,7,FALSE),"NO")</f>
        <v>0.47100000000000003</v>
      </c>
      <c r="L1099" s="5">
        <f>IFERROR(VLOOKUP(Consulta1[[#This Row],[Pozo largo]],Controles!B:J,9,FALSE),"NO")</f>
        <v>0</v>
      </c>
    </row>
    <row r="1100" spans="2:12" x14ac:dyDescent="0.35">
      <c r="B1100" s="4" t="s">
        <v>2128</v>
      </c>
      <c r="C1100" s="4" t="s">
        <v>6838</v>
      </c>
      <c r="D1100" s="4" t="s">
        <v>5</v>
      </c>
      <c r="E1100" s="4" t="s">
        <v>12</v>
      </c>
      <c r="F1100" s="4" t="s">
        <v>7</v>
      </c>
      <c r="G1100" s="4" t="s">
        <v>13</v>
      </c>
      <c r="H1100" s="4" t="s">
        <v>9</v>
      </c>
      <c r="I1100" s="5" t="str">
        <f>IFERROR(VLOOKUP(Consulta1[[#This Row],[Pozo largo]],'Lista YPF'!$B$3:$C$358,2,FALSE),"NO")</f>
        <v>NO</v>
      </c>
      <c r="J1100" s="5" t="str">
        <f>IFERROR(VLOOKUP(Consulta1[[#This Row],[Pozo]],'Lista Oportunidades'!B:C,2,FALSE),"NO")</f>
        <v>NO</v>
      </c>
      <c r="K1100" s="5">
        <f>IFERROR(VLOOKUP(Consulta1[[#This Row],[Pozo largo]],Controles!B:H,7,FALSE),"NO")</f>
        <v>0.96200000000000008</v>
      </c>
      <c r="L1100" s="5">
        <f>IFERROR(VLOOKUP(Consulta1[[#This Row],[Pozo largo]],Controles!B:J,9,FALSE),"NO")</f>
        <v>0</v>
      </c>
    </row>
    <row r="1101" spans="2:12" x14ac:dyDescent="0.35">
      <c r="B1101" s="4" t="s">
        <v>2130</v>
      </c>
      <c r="C1101" s="4" t="s">
        <v>6839</v>
      </c>
      <c r="D1101" s="4" t="s">
        <v>5</v>
      </c>
      <c r="E1101" s="4" t="s">
        <v>12</v>
      </c>
      <c r="F1101" s="4" t="s">
        <v>25</v>
      </c>
      <c r="G1101" s="4" t="s">
        <v>13</v>
      </c>
      <c r="H1101" s="4" t="s">
        <v>33</v>
      </c>
      <c r="I1101" s="5" t="str">
        <f>IFERROR(VLOOKUP(Consulta1[[#This Row],[Pozo largo]],'Lista YPF'!$B$3:$C$358,2,FALSE),"NO")</f>
        <v>NO</v>
      </c>
      <c r="J1101" s="5" t="str">
        <f>IFERROR(VLOOKUP(Consulta1[[#This Row],[Pozo]],'Lista Oportunidades'!B:C,2,FALSE),"NO")</f>
        <v>NO</v>
      </c>
      <c r="K1101" s="5">
        <f>IFERROR(VLOOKUP(Consulta1[[#This Row],[Pozo largo]],Controles!B:H,7,FALSE),"NO")</f>
        <v>0.125</v>
      </c>
      <c r="L1101" s="5">
        <f>IFERROR(VLOOKUP(Consulta1[[#This Row],[Pozo largo]],Controles!B:J,9,FALSE),"NO")</f>
        <v>0</v>
      </c>
    </row>
    <row r="1102" spans="2:12" x14ac:dyDescent="0.35">
      <c r="B1102" s="4" t="s">
        <v>2132</v>
      </c>
      <c r="C1102" s="4" t="s">
        <v>6840</v>
      </c>
      <c r="D1102" s="4" t="s">
        <v>5</v>
      </c>
      <c r="E1102" s="4" t="s">
        <v>6</v>
      </c>
      <c r="F1102" s="4" t="s">
        <v>28</v>
      </c>
      <c r="G1102" s="4" t="s">
        <v>5718</v>
      </c>
      <c r="H1102" s="4" t="s">
        <v>36</v>
      </c>
      <c r="I1102" s="5" t="str">
        <f>IFERROR(VLOOKUP(Consulta1[[#This Row],[Pozo largo]],'Lista YPF'!$B$3:$C$358,2,FALSE),"NO")</f>
        <v>En lista de Abandono</v>
      </c>
      <c r="J1102" s="5" t="str">
        <f>IFERROR(VLOOKUP(Consulta1[[#This Row],[Pozo]],'Lista Oportunidades'!B:C,2,FALSE),"NO")</f>
        <v>NO</v>
      </c>
      <c r="K1102" s="5">
        <f>IFERROR(VLOOKUP(Consulta1[[#This Row],[Pozo largo]],Controles!B:H,7,FALSE),"NO")</f>
        <v>0</v>
      </c>
      <c r="L1102" s="5">
        <f>IFERROR(VLOOKUP(Consulta1[[#This Row],[Pozo largo]],Controles!B:J,9,FALSE),"NO")</f>
        <v>0</v>
      </c>
    </row>
    <row r="1103" spans="2:12" x14ac:dyDescent="0.35">
      <c r="B1103" s="4" t="s">
        <v>2134</v>
      </c>
      <c r="C1103" s="4" t="s">
        <v>6841</v>
      </c>
      <c r="D1103" s="4" t="s">
        <v>5</v>
      </c>
      <c r="E1103" s="4" t="s">
        <v>57</v>
      </c>
      <c r="F1103" s="4" t="s">
        <v>31</v>
      </c>
      <c r="G1103" s="4" t="s">
        <v>5718</v>
      </c>
      <c r="H1103" s="4" t="s">
        <v>254</v>
      </c>
      <c r="I1103" s="5" t="str">
        <f>IFERROR(VLOOKUP(Consulta1[[#This Row],[Pozo largo]],'Lista YPF'!$B$3:$C$358,2,FALSE),"NO")</f>
        <v>En lista de Abandono</v>
      </c>
      <c r="J1103" s="5" t="str">
        <f>IFERROR(VLOOKUP(Consulta1[[#This Row],[Pozo]],'Lista Oportunidades'!B:C,2,FALSE),"NO")</f>
        <v>NO</v>
      </c>
      <c r="K1103" s="5">
        <f>IFERROR(VLOOKUP(Consulta1[[#This Row],[Pozo largo]],Controles!B:H,7,FALSE),"NO")</f>
        <v>1.6500000000000001</v>
      </c>
      <c r="L1103" s="5">
        <f>IFERROR(VLOOKUP(Consulta1[[#This Row],[Pozo largo]],Controles!B:J,9,FALSE),"NO")</f>
        <v>0</v>
      </c>
    </row>
    <row r="1104" spans="2:12" x14ac:dyDescent="0.35">
      <c r="B1104" s="4" t="s">
        <v>2136</v>
      </c>
      <c r="C1104" s="4" t="s">
        <v>6842</v>
      </c>
      <c r="D1104" s="4" t="s">
        <v>5</v>
      </c>
      <c r="E1104" s="4" t="s">
        <v>12</v>
      </c>
      <c r="F1104" s="4" t="s">
        <v>7</v>
      </c>
      <c r="G1104" s="4" t="s">
        <v>13</v>
      </c>
      <c r="H1104" s="4" t="s">
        <v>36</v>
      </c>
      <c r="I1104" s="5" t="str">
        <f>IFERROR(VLOOKUP(Consulta1[[#This Row],[Pozo largo]],'Lista YPF'!$B$3:$C$358,2,FALSE),"NO")</f>
        <v>NO</v>
      </c>
      <c r="J1104" s="5" t="str">
        <f>IFERROR(VLOOKUP(Consulta1[[#This Row],[Pozo]],'Lista Oportunidades'!B:C,2,FALSE),"NO")</f>
        <v>NO</v>
      </c>
      <c r="K1104" s="5">
        <f>IFERROR(VLOOKUP(Consulta1[[#This Row],[Pozo largo]],Controles!B:H,7,FALSE),"NO")</f>
        <v>8.9320000000000004</v>
      </c>
      <c r="L1104" s="5">
        <f>IFERROR(VLOOKUP(Consulta1[[#This Row],[Pozo largo]],Controles!B:J,9,FALSE),"NO")</f>
        <v>0</v>
      </c>
    </row>
    <row r="1105" spans="2:12" x14ac:dyDescent="0.35">
      <c r="B1105" s="4" t="s">
        <v>2138</v>
      </c>
      <c r="C1105" s="4" t="s">
        <v>6843</v>
      </c>
      <c r="D1105" s="4" t="s">
        <v>5</v>
      </c>
      <c r="E1105" s="4" t="s">
        <v>30</v>
      </c>
      <c r="F1105" s="4" t="s">
        <v>31</v>
      </c>
      <c r="G1105" s="4" t="s">
        <v>32</v>
      </c>
      <c r="H1105" s="4" t="s">
        <v>36</v>
      </c>
      <c r="I1105" s="5" t="str">
        <f>IFERROR(VLOOKUP(Consulta1[[#This Row],[Pozo largo]],'Lista YPF'!$B$3:$C$358,2,FALSE),"NO")</f>
        <v>NO</v>
      </c>
      <c r="J1105" s="5" t="str">
        <f>IFERROR(VLOOKUP(Consulta1[[#This Row],[Pozo]],'Lista Oportunidades'!B:C,2,FALSE),"NO")</f>
        <v>NO</v>
      </c>
      <c r="K1105" s="5">
        <f>IFERROR(VLOOKUP(Consulta1[[#This Row],[Pozo largo]],Controles!B:H,7,FALSE),"NO")</f>
        <v>0.32500000000000001</v>
      </c>
      <c r="L1105" s="5">
        <f>IFERROR(VLOOKUP(Consulta1[[#This Row],[Pozo largo]],Controles!B:J,9,FALSE),"NO")</f>
        <v>0</v>
      </c>
    </row>
    <row r="1106" spans="2:12" x14ac:dyDescent="0.35">
      <c r="B1106" s="4" t="s">
        <v>2140</v>
      </c>
      <c r="C1106" s="4" t="s">
        <v>6844</v>
      </c>
      <c r="D1106" s="4" t="s">
        <v>5</v>
      </c>
      <c r="E1106" s="4" t="s">
        <v>57</v>
      </c>
      <c r="F1106" s="4" t="s">
        <v>7</v>
      </c>
      <c r="G1106" s="4" t="s">
        <v>5718</v>
      </c>
      <c r="H1106" s="4" t="s">
        <v>21</v>
      </c>
      <c r="I1106" s="5" t="str">
        <f>IFERROR(VLOOKUP(Consulta1[[#This Row],[Pozo largo]],'Lista YPF'!$B$3:$C$358,2,FALSE),"NO")</f>
        <v>En lista de Abandono</v>
      </c>
      <c r="J1106" s="5" t="str">
        <f>IFERROR(VLOOKUP(Consulta1[[#This Row],[Pozo]],'Lista Oportunidades'!B:C,2,FALSE),"NO")</f>
        <v>NO</v>
      </c>
      <c r="K1106" s="5">
        <f>IFERROR(VLOOKUP(Consulta1[[#This Row],[Pozo largo]],Controles!B:H,7,FALSE),"NO")</f>
        <v>1.536</v>
      </c>
      <c r="L1106" s="5">
        <f>IFERROR(VLOOKUP(Consulta1[[#This Row],[Pozo largo]],Controles!B:J,9,FALSE),"NO")</f>
        <v>0</v>
      </c>
    </row>
    <row r="1107" spans="2:12" x14ac:dyDescent="0.35">
      <c r="B1107" s="4" t="s">
        <v>2142</v>
      </c>
      <c r="C1107" s="4" t="s">
        <v>5738</v>
      </c>
      <c r="D1107" s="4" t="s">
        <v>5</v>
      </c>
      <c r="E1107" s="4" t="s">
        <v>24</v>
      </c>
      <c r="F1107" s="4" t="s">
        <v>25</v>
      </c>
      <c r="G1107" s="4" t="s">
        <v>8689</v>
      </c>
      <c r="H1107" s="4" t="s">
        <v>84</v>
      </c>
      <c r="I1107" s="5" t="str">
        <f>IFERROR(VLOOKUP(Consulta1[[#This Row],[Pozo largo]],'Lista YPF'!$B$3:$C$358,2,FALSE),"NO")</f>
        <v>NO</v>
      </c>
      <c r="J1107" s="5" t="str">
        <f>IFERROR(VLOOKUP(Consulta1[[#This Row],[Pozo]],'Lista Oportunidades'!B:C,2,FALSE),"NO")</f>
        <v>Oportunidad</v>
      </c>
      <c r="K1107" s="5">
        <f>IFERROR(VLOOKUP(Consulta1[[#This Row],[Pozo largo]],Controles!B:H,7,FALSE),"NO")</f>
        <v>7.5999999999999998E-2</v>
      </c>
      <c r="L1107" s="5">
        <f>IFERROR(VLOOKUP(Consulta1[[#This Row],[Pozo largo]],Controles!B:J,9,FALSE),"NO")</f>
        <v>0</v>
      </c>
    </row>
    <row r="1108" spans="2:12" x14ac:dyDescent="0.35">
      <c r="B1108" s="4" t="s">
        <v>2144</v>
      </c>
      <c r="C1108" s="4" t="s">
        <v>6845</v>
      </c>
      <c r="D1108" s="4" t="s">
        <v>5</v>
      </c>
      <c r="E1108" s="4" t="s">
        <v>24</v>
      </c>
      <c r="F1108" s="4" t="s">
        <v>25</v>
      </c>
      <c r="G1108" s="4" t="s">
        <v>8</v>
      </c>
      <c r="H1108" s="4" t="s">
        <v>80</v>
      </c>
      <c r="I1108" s="5" t="str">
        <f>IFERROR(VLOOKUP(Consulta1[[#This Row],[Pozo largo]],'Lista YPF'!$B$3:$C$358,2,FALSE),"NO")</f>
        <v>NO</v>
      </c>
      <c r="J1108" s="5" t="str">
        <f>IFERROR(VLOOKUP(Consulta1[[#This Row],[Pozo]],'Lista Oportunidades'!B:C,2,FALSE),"NO")</f>
        <v>NO</v>
      </c>
      <c r="K1108" s="5">
        <f>IFERROR(VLOOKUP(Consulta1[[#This Row],[Pozo largo]],Controles!B:H,7,FALSE),"NO")</f>
        <v>0.115</v>
      </c>
      <c r="L1108" s="5">
        <f>IFERROR(VLOOKUP(Consulta1[[#This Row],[Pozo largo]],Controles!B:J,9,FALSE),"NO")</f>
        <v>0</v>
      </c>
    </row>
    <row r="1109" spans="2:12" x14ac:dyDescent="0.35">
      <c r="B1109" s="4" t="s">
        <v>2146</v>
      </c>
      <c r="C1109" s="4" t="s">
        <v>6846</v>
      </c>
      <c r="D1109" s="4" t="s">
        <v>5</v>
      </c>
      <c r="E1109" s="4" t="s">
        <v>30</v>
      </c>
      <c r="F1109" s="4" t="s">
        <v>31</v>
      </c>
      <c r="G1109" s="4" t="s">
        <v>32</v>
      </c>
      <c r="H1109" s="4" t="s">
        <v>86</v>
      </c>
      <c r="I1109" s="5" t="str">
        <f>IFERROR(VLOOKUP(Consulta1[[#This Row],[Pozo largo]],'Lista YPF'!$B$3:$C$358,2,FALSE),"NO")</f>
        <v>NO</v>
      </c>
      <c r="J1109" s="5" t="str">
        <f>IFERROR(VLOOKUP(Consulta1[[#This Row],[Pozo]],'Lista Oportunidades'!B:C,2,FALSE),"NO")</f>
        <v>NO</v>
      </c>
      <c r="K1109" s="5" t="str">
        <f>IFERROR(VLOOKUP(Consulta1[[#This Row],[Pozo largo]],Controles!B:H,7,FALSE),"NO")</f>
        <v>NO</v>
      </c>
      <c r="L1109" s="5" t="str">
        <f>IFERROR(VLOOKUP(Consulta1[[#This Row],[Pozo largo]],Controles!B:J,9,FALSE),"NO")</f>
        <v>NO</v>
      </c>
    </row>
    <row r="1110" spans="2:12" x14ac:dyDescent="0.35">
      <c r="B1110" s="4" t="s">
        <v>2147</v>
      </c>
      <c r="C1110" s="4" t="s">
        <v>6847</v>
      </c>
      <c r="D1110" s="4" t="s">
        <v>5</v>
      </c>
      <c r="E1110" s="4" t="s">
        <v>24</v>
      </c>
      <c r="F1110" s="4" t="s">
        <v>25</v>
      </c>
      <c r="G1110" s="4" t="s">
        <v>8</v>
      </c>
      <c r="H1110" s="4" t="s">
        <v>86</v>
      </c>
      <c r="I1110" s="5" t="str">
        <f>IFERROR(VLOOKUP(Consulta1[[#This Row],[Pozo largo]],'Lista YPF'!$B$3:$C$358,2,FALSE),"NO")</f>
        <v>NO</v>
      </c>
      <c r="J1110" s="5" t="str">
        <f>IFERROR(VLOOKUP(Consulta1[[#This Row],[Pozo]],'Lista Oportunidades'!B:C,2,FALSE),"NO")</f>
        <v>NO</v>
      </c>
      <c r="K1110" s="5">
        <f>IFERROR(VLOOKUP(Consulta1[[#This Row],[Pozo largo]],Controles!B:H,7,FALSE),"NO")</f>
        <v>0.14400000000000002</v>
      </c>
      <c r="L1110" s="5">
        <f>IFERROR(VLOOKUP(Consulta1[[#This Row],[Pozo largo]],Controles!B:J,9,FALSE),"NO")</f>
        <v>0</v>
      </c>
    </row>
    <row r="1111" spans="2:12" x14ac:dyDescent="0.35">
      <c r="B1111" s="4" t="s">
        <v>2149</v>
      </c>
      <c r="C1111" s="4" t="s">
        <v>6848</v>
      </c>
      <c r="D1111" s="4" t="s">
        <v>5</v>
      </c>
      <c r="E1111" s="4" t="s">
        <v>30</v>
      </c>
      <c r="F1111" s="4" t="s">
        <v>31</v>
      </c>
      <c r="G1111" s="4" t="s">
        <v>32</v>
      </c>
      <c r="H1111" s="4" t="s">
        <v>91</v>
      </c>
      <c r="I1111" s="5" t="str">
        <f>IFERROR(VLOOKUP(Consulta1[[#This Row],[Pozo largo]],'Lista YPF'!$B$3:$C$358,2,FALSE),"NO")</f>
        <v>NO</v>
      </c>
      <c r="J1111" s="5" t="str">
        <f>IFERROR(VLOOKUP(Consulta1[[#This Row],[Pozo]],'Lista Oportunidades'!B:C,2,FALSE),"NO")</f>
        <v>NO</v>
      </c>
      <c r="K1111" s="5" t="str">
        <f>IFERROR(VLOOKUP(Consulta1[[#This Row],[Pozo largo]],Controles!B:H,7,FALSE),"NO")</f>
        <v>NO</v>
      </c>
      <c r="L1111" s="5" t="str">
        <f>IFERROR(VLOOKUP(Consulta1[[#This Row],[Pozo largo]],Controles!B:J,9,FALSE),"NO")</f>
        <v>NO</v>
      </c>
    </row>
    <row r="1112" spans="2:12" x14ac:dyDescent="0.35">
      <c r="B1112" s="4" t="s">
        <v>2150</v>
      </c>
      <c r="C1112" s="4" t="s">
        <v>6849</v>
      </c>
      <c r="D1112" s="4" t="s">
        <v>5</v>
      </c>
      <c r="E1112" s="4" t="s">
        <v>24</v>
      </c>
      <c r="F1112" s="4" t="s">
        <v>31</v>
      </c>
      <c r="G1112" s="4" t="s">
        <v>8</v>
      </c>
      <c r="H1112" s="4" t="s">
        <v>141</v>
      </c>
      <c r="I1112" s="5" t="str">
        <f>IFERROR(VLOOKUP(Consulta1[[#This Row],[Pozo largo]],'Lista YPF'!$B$3:$C$358,2,FALSE),"NO")</f>
        <v>NO</v>
      </c>
      <c r="J1112" s="5" t="str">
        <f>IFERROR(VLOOKUP(Consulta1[[#This Row],[Pozo]],'Lista Oportunidades'!B:C,2,FALSE),"NO")</f>
        <v>NO</v>
      </c>
      <c r="K1112" s="5">
        <f>IFERROR(VLOOKUP(Consulta1[[#This Row],[Pozo largo]],Controles!B:H,7,FALSE),"NO")</f>
        <v>0.23700000000000002</v>
      </c>
      <c r="L1112" s="5">
        <f>IFERROR(VLOOKUP(Consulta1[[#This Row],[Pozo largo]],Controles!B:J,9,FALSE),"NO")</f>
        <v>0</v>
      </c>
    </row>
    <row r="1113" spans="2:12" x14ac:dyDescent="0.35">
      <c r="B1113" s="4" t="s">
        <v>2152</v>
      </c>
      <c r="C1113" s="4" t="s">
        <v>6850</v>
      </c>
      <c r="D1113" s="4" t="s">
        <v>5</v>
      </c>
      <c r="E1113" s="4" t="s">
        <v>24</v>
      </c>
      <c r="F1113" s="4" t="s">
        <v>31</v>
      </c>
      <c r="G1113" s="4" t="s">
        <v>8</v>
      </c>
      <c r="H1113" s="4" t="s">
        <v>91</v>
      </c>
      <c r="I1113" s="5" t="str">
        <f>IFERROR(VLOOKUP(Consulta1[[#This Row],[Pozo largo]],'Lista YPF'!$B$3:$C$358,2,FALSE),"NO")</f>
        <v>NO</v>
      </c>
      <c r="J1113" s="5" t="str">
        <f>IFERROR(VLOOKUP(Consulta1[[#This Row],[Pozo]],'Lista Oportunidades'!B:C,2,FALSE),"NO")</f>
        <v>NO</v>
      </c>
      <c r="K1113" s="5">
        <f>IFERROR(VLOOKUP(Consulta1[[#This Row],[Pozo largo]],Controles!B:H,7,FALSE),"NO")</f>
        <v>0.42</v>
      </c>
      <c r="L1113" s="5">
        <f>IFERROR(VLOOKUP(Consulta1[[#This Row],[Pozo largo]],Controles!B:J,9,FALSE),"NO")</f>
        <v>0</v>
      </c>
    </row>
    <row r="1114" spans="2:12" x14ac:dyDescent="0.35">
      <c r="B1114" s="4" t="s">
        <v>2154</v>
      </c>
      <c r="C1114" s="4" t="s">
        <v>6851</v>
      </c>
      <c r="D1114" s="4" t="s">
        <v>5</v>
      </c>
      <c r="E1114" s="4" t="s">
        <v>12</v>
      </c>
      <c r="F1114" s="4" t="s">
        <v>7</v>
      </c>
      <c r="G1114" s="4" t="s">
        <v>13</v>
      </c>
      <c r="H1114" s="4" t="s">
        <v>86</v>
      </c>
      <c r="I1114" s="5" t="str">
        <f>IFERROR(VLOOKUP(Consulta1[[#This Row],[Pozo largo]],'Lista YPF'!$B$3:$C$358,2,FALSE),"NO")</f>
        <v>NO</v>
      </c>
      <c r="J1114" s="5" t="str">
        <f>IFERROR(VLOOKUP(Consulta1[[#This Row],[Pozo]],'Lista Oportunidades'!B:C,2,FALSE),"NO")</f>
        <v>NO</v>
      </c>
      <c r="K1114" s="5">
        <f>IFERROR(VLOOKUP(Consulta1[[#This Row],[Pozo largo]],Controles!B:H,7,FALSE),"NO")</f>
        <v>1.258</v>
      </c>
      <c r="L1114" s="5">
        <f>IFERROR(VLOOKUP(Consulta1[[#This Row],[Pozo largo]],Controles!B:J,9,FALSE),"NO")</f>
        <v>0</v>
      </c>
    </row>
    <row r="1115" spans="2:12" x14ac:dyDescent="0.35">
      <c r="B1115" s="4" t="s">
        <v>2156</v>
      </c>
      <c r="C1115" s="4" t="s">
        <v>6852</v>
      </c>
      <c r="D1115" s="4" t="s">
        <v>5</v>
      </c>
      <c r="E1115" s="4" t="s">
        <v>6</v>
      </c>
      <c r="F1115" s="4" t="s">
        <v>7</v>
      </c>
      <c r="G1115" s="4" t="s">
        <v>5718</v>
      </c>
      <c r="H1115" s="4" t="s">
        <v>86</v>
      </c>
      <c r="I1115" s="5" t="str">
        <f>IFERROR(VLOOKUP(Consulta1[[#This Row],[Pozo largo]],'Lista YPF'!$B$3:$C$358,2,FALSE),"NO")</f>
        <v>En lista de Abandono</v>
      </c>
      <c r="J1115" s="5" t="str">
        <f>IFERROR(VLOOKUP(Consulta1[[#This Row],[Pozo]],'Lista Oportunidades'!B:C,2,FALSE),"NO")</f>
        <v>NO</v>
      </c>
      <c r="K1115" s="5">
        <f>IFERROR(VLOOKUP(Consulta1[[#This Row],[Pozo largo]],Controles!B:H,7,FALSE),"NO")</f>
        <v>0.5</v>
      </c>
      <c r="L1115" s="5">
        <f>IFERROR(VLOOKUP(Consulta1[[#This Row],[Pozo largo]],Controles!B:J,9,FALSE),"NO")</f>
        <v>0</v>
      </c>
    </row>
    <row r="1116" spans="2:12" x14ac:dyDescent="0.35">
      <c r="B1116" s="4" t="s">
        <v>2158</v>
      </c>
      <c r="C1116" s="4" t="s">
        <v>6853</v>
      </c>
      <c r="D1116" s="4" t="s">
        <v>5</v>
      </c>
      <c r="E1116" s="4" t="s">
        <v>30</v>
      </c>
      <c r="F1116" s="4" t="s">
        <v>31</v>
      </c>
      <c r="G1116" s="4" t="s">
        <v>32</v>
      </c>
      <c r="H1116" s="4" t="s">
        <v>86</v>
      </c>
      <c r="I1116" s="5" t="str">
        <f>IFERROR(VLOOKUP(Consulta1[[#This Row],[Pozo largo]],'Lista YPF'!$B$3:$C$358,2,FALSE),"NO")</f>
        <v>NO</v>
      </c>
      <c r="J1116" s="5" t="str">
        <f>IFERROR(VLOOKUP(Consulta1[[#This Row],[Pozo]],'Lista Oportunidades'!B:C,2,FALSE),"NO")</f>
        <v>NO</v>
      </c>
      <c r="K1116" s="5">
        <f>IFERROR(VLOOKUP(Consulta1[[#This Row],[Pozo largo]],Controles!B:H,7,FALSE),"NO")</f>
        <v>0.129</v>
      </c>
      <c r="L1116" s="5">
        <f>IFERROR(VLOOKUP(Consulta1[[#This Row],[Pozo largo]],Controles!B:J,9,FALSE),"NO")</f>
        <v>0</v>
      </c>
    </row>
    <row r="1117" spans="2:12" x14ac:dyDescent="0.35">
      <c r="B1117" s="4" t="s">
        <v>2160</v>
      </c>
      <c r="C1117" s="4" t="s">
        <v>6854</v>
      </c>
      <c r="D1117" s="4" t="s">
        <v>5</v>
      </c>
      <c r="E1117" s="4" t="s">
        <v>12</v>
      </c>
      <c r="F1117" s="4" t="s">
        <v>7</v>
      </c>
      <c r="G1117" s="4" t="s">
        <v>13</v>
      </c>
      <c r="H1117" s="4" t="s">
        <v>86</v>
      </c>
      <c r="I1117" s="5" t="str">
        <f>IFERROR(VLOOKUP(Consulta1[[#This Row],[Pozo largo]],'Lista YPF'!$B$3:$C$358,2,FALSE),"NO")</f>
        <v>NO</v>
      </c>
      <c r="J1117" s="5" t="str">
        <f>IFERROR(VLOOKUP(Consulta1[[#This Row],[Pozo]],'Lista Oportunidades'!B:C,2,FALSE),"NO")</f>
        <v>NO</v>
      </c>
      <c r="K1117" s="5">
        <f>IFERROR(VLOOKUP(Consulta1[[#This Row],[Pozo largo]],Controles!B:H,7,FALSE),"NO")</f>
        <v>1.2</v>
      </c>
      <c r="L1117" s="5">
        <f>IFERROR(VLOOKUP(Consulta1[[#This Row],[Pozo largo]],Controles!B:J,9,FALSE),"NO")</f>
        <v>0</v>
      </c>
    </row>
    <row r="1118" spans="2:12" x14ac:dyDescent="0.35">
      <c r="B1118" s="4" t="s">
        <v>2162</v>
      </c>
      <c r="C1118" s="4" t="s">
        <v>6855</v>
      </c>
      <c r="D1118" s="4" t="s">
        <v>5</v>
      </c>
      <c r="E1118" s="4" t="s">
        <v>12</v>
      </c>
      <c r="F1118" s="4" t="s">
        <v>28</v>
      </c>
      <c r="G1118" s="4" t="s">
        <v>13</v>
      </c>
      <c r="H1118" s="4" t="s">
        <v>16</v>
      </c>
      <c r="I1118" s="5" t="str">
        <f>IFERROR(VLOOKUP(Consulta1[[#This Row],[Pozo largo]],'Lista YPF'!$B$3:$C$358,2,FALSE),"NO")</f>
        <v>NO</v>
      </c>
      <c r="J1118" s="5" t="str">
        <f>IFERROR(VLOOKUP(Consulta1[[#This Row],[Pozo]],'Lista Oportunidades'!B:C,2,FALSE),"NO")</f>
        <v>NO</v>
      </c>
      <c r="K1118" s="5">
        <f>IFERROR(VLOOKUP(Consulta1[[#This Row],[Pozo largo]],Controles!B:H,7,FALSE),"NO")</f>
        <v>0</v>
      </c>
      <c r="L1118" s="5">
        <f>IFERROR(VLOOKUP(Consulta1[[#This Row],[Pozo largo]],Controles!B:J,9,FALSE),"NO")</f>
        <v>0</v>
      </c>
    </row>
    <row r="1119" spans="2:12" x14ac:dyDescent="0.35">
      <c r="B1119" s="4" t="s">
        <v>2164</v>
      </c>
      <c r="C1119" s="4" t="s">
        <v>6856</v>
      </c>
      <c r="D1119" s="4" t="s">
        <v>5</v>
      </c>
      <c r="E1119" s="4" t="s">
        <v>12</v>
      </c>
      <c r="F1119" s="4" t="s">
        <v>7</v>
      </c>
      <c r="G1119" s="4" t="s">
        <v>13</v>
      </c>
      <c r="H1119" s="4" t="s">
        <v>185</v>
      </c>
      <c r="I1119" s="5" t="str">
        <f>IFERROR(VLOOKUP(Consulta1[[#This Row],[Pozo largo]],'Lista YPF'!$B$3:$C$358,2,FALSE),"NO")</f>
        <v>NO</v>
      </c>
      <c r="J1119" s="5" t="str">
        <f>IFERROR(VLOOKUP(Consulta1[[#This Row],[Pozo]],'Lista Oportunidades'!B:C,2,FALSE),"NO")</f>
        <v>NO</v>
      </c>
      <c r="K1119" s="5">
        <f>IFERROR(VLOOKUP(Consulta1[[#This Row],[Pozo largo]],Controles!B:H,7,FALSE),"NO")</f>
        <v>1.6</v>
      </c>
      <c r="L1119" s="5">
        <f>IFERROR(VLOOKUP(Consulta1[[#This Row],[Pozo largo]],Controles!B:J,9,FALSE),"NO")</f>
        <v>0</v>
      </c>
    </row>
    <row r="1120" spans="2:12" x14ac:dyDescent="0.35">
      <c r="B1120" s="4" t="s">
        <v>2166</v>
      </c>
      <c r="C1120" s="4" t="s">
        <v>6857</v>
      </c>
      <c r="D1120" s="4" t="s">
        <v>5</v>
      </c>
      <c r="E1120" s="4" t="s">
        <v>12</v>
      </c>
      <c r="F1120" s="4" t="s">
        <v>7</v>
      </c>
      <c r="G1120" s="4" t="s">
        <v>13</v>
      </c>
      <c r="H1120" s="4" t="s">
        <v>185</v>
      </c>
      <c r="I1120" s="5" t="str">
        <f>IFERROR(VLOOKUP(Consulta1[[#This Row],[Pozo largo]],'Lista YPF'!$B$3:$C$358,2,FALSE),"NO")</f>
        <v>NO</v>
      </c>
      <c r="J1120" s="5" t="str">
        <f>IFERROR(VLOOKUP(Consulta1[[#This Row],[Pozo]],'Lista Oportunidades'!B:C,2,FALSE),"NO")</f>
        <v>NO</v>
      </c>
      <c r="K1120" s="5">
        <f>IFERROR(VLOOKUP(Consulta1[[#This Row],[Pozo largo]],Controles!B:H,7,FALSE),"NO")</f>
        <v>0.06</v>
      </c>
      <c r="L1120" s="5">
        <f>IFERROR(VLOOKUP(Consulta1[[#This Row],[Pozo largo]],Controles!B:J,9,FALSE),"NO")</f>
        <v>0</v>
      </c>
    </row>
    <row r="1121" spans="2:12" x14ac:dyDescent="0.35">
      <c r="B1121" s="4" t="s">
        <v>2168</v>
      </c>
      <c r="C1121" s="4" t="s">
        <v>6858</v>
      </c>
      <c r="D1121" s="4" t="s">
        <v>5</v>
      </c>
      <c r="E1121" s="4" t="s">
        <v>12</v>
      </c>
      <c r="F1121" s="4" t="s">
        <v>7</v>
      </c>
      <c r="G1121" s="4" t="s">
        <v>13</v>
      </c>
      <c r="H1121" s="4" t="s">
        <v>71</v>
      </c>
      <c r="I1121" s="5" t="str">
        <f>IFERROR(VLOOKUP(Consulta1[[#This Row],[Pozo largo]],'Lista YPF'!$B$3:$C$358,2,FALSE),"NO")</f>
        <v>NO</v>
      </c>
      <c r="J1121" s="5" t="str">
        <f>IFERROR(VLOOKUP(Consulta1[[#This Row],[Pozo]],'Lista Oportunidades'!B:C,2,FALSE),"NO")</f>
        <v>NO</v>
      </c>
      <c r="K1121" s="5">
        <f>IFERROR(VLOOKUP(Consulta1[[#This Row],[Pozo largo]],Controles!B:H,7,FALSE),"NO")</f>
        <v>1.25</v>
      </c>
      <c r="L1121" s="5">
        <f>IFERROR(VLOOKUP(Consulta1[[#This Row],[Pozo largo]],Controles!B:J,9,FALSE),"NO")</f>
        <v>0</v>
      </c>
    </row>
    <row r="1122" spans="2:12" x14ac:dyDescent="0.35">
      <c r="B1122" s="4" t="s">
        <v>2170</v>
      </c>
      <c r="C1122" s="4" t="s">
        <v>6859</v>
      </c>
      <c r="D1122" s="4" t="s">
        <v>5</v>
      </c>
      <c r="E1122" s="4" t="s">
        <v>24</v>
      </c>
      <c r="F1122" s="4" t="s">
        <v>7</v>
      </c>
      <c r="G1122" s="4" t="s">
        <v>8</v>
      </c>
      <c r="H1122" s="4" t="s">
        <v>71</v>
      </c>
      <c r="I1122" s="5" t="str">
        <f>IFERROR(VLOOKUP(Consulta1[[#This Row],[Pozo largo]],'Lista YPF'!$B$3:$C$358,2,FALSE),"NO")</f>
        <v>NO</v>
      </c>
      <c r="J1122" s="5" t="str">
        <f>IFERROR(VLOOKUP(Consulta1[[#This Row],[Pozo]],'Lista Oportunidades'!B:C,2,FALSE),"NO")</f>
        <v>NO</v>
      </c>
      <c r="K1122" s="5">
        <f>IFERROR(VLOOKUP(Consulta1[[#This Row],[Pozo largo]],Controles!B:H,7,FALSE),"NO")</f>
        <v>0.88</v>
      </c>
      <c r="L1122" s="5">
        <f>IFERROR(VLOOKUP(Consulta1[[#This Row],[Pozo largo]],Controles!B:J,9,FALSE),"NO")</f>
        <v>0</v>
      </c>
    </row>
    <row r="1123" spans="2:12" x14ac:dyDescent="0.35">
      <c r="B1123" s="4" t="s">
        <v>2172</v>
      </c>
      <c r="C1123" s="4" t="s">
        <v>6860</v>
      </c>
      <c r="D1123" s="4" t="s">
        <v>5</v>
      </c>
      <c r="E1123" s="4" t="s">
        <v>24</v>
      </c>
      <c r="F1123" s="4" t="s">
        <v>28</v>
      </c>
      <c r="G1123" s="4" t="s">
        <v>8</v>
      </c>
      <c r="H1123" s="4" t="s">
        <v>9</v>
      </c>
      <c r="I1123" s="5" t="str">
        <f>IFERROR(VLOOKUP(Consulta1[[#This Row],[Pozo largo]],'Lista YPF'!$B$3:$C$358,2,FALSE),"NO")</f>
        <v>NO</v>
      </c>
      <c r="J1123" s="5" t="str">
        <f>IFERROR(VLOOKUP(Consulta1[[#This Row],[Pozo]],'Lista Oportunidades'!B:C,2,FALSE),"NO")</f>
        <v>NO</v>
      </c>
      <c r="K1123" s="5">
        <f>IFERROR(VLOOKUP(Consulta1[[#This Row],[Pozo largo]],Controles!B:H,7,FALSE),"NO")</f>
        <v>0</v>
      </c>
      <c r="L1123" s="5">
        <f>IFERROR(VLOOKUP(Consulta1[[#This Row],[Pozo largo]],Controles!B:J,9,FALSE),"NO")</f>
        <v>0</v>
      </c>
    </row>
    <row r="1124" spans="2:12" x14ac:dyDescent="0.35">
      <c r="B1124" s="4" t="s">
        <v>2174</v>
      </c>
      <c r="C1124" s="4" t="s">
        <v>6861</v>
      </c>
      <c r="D1124" s="4" t="s">
        <v>5</v>
      </c>
      <c r="E1124" s="4" t="s">
        <v>12</v>
      </c>
      <c r="F1124" s="4" t="s">
        <v>28</v>
      </c>
      <c r="G1124" s="4" t="s">
        <v>13</v>
      </c>
      <c r="H1124" s="4" t="s">
        <v>9</v>
      </c>
      <c r="I1124" s="5" t="str">
        <f>IFERROR(VLOOKUP(Consulta1[[#This Row],[Pozo largo]],'Lista YPF'!$B$3:$C$358,2,FALSE),"NO")</f>
        <v>NO</v>
      </c>
      <c r="J1124" s="5" t="str">
        <f>IFERROR(VLOOKUP(Consulta1[[#This Row],[Pozo]],'Lista Oportunidades'!B:C,2,FALSE),"NO")</f>
        <v>NO</v>
      </c>
      <c r="K1124" s="5">
        <f>IFERROR(VLOOKUP(Consulta1[[#This Row],[Pozo largo]],Controles!B:H,7,FALSE),"NO")</f>
        <v>0</v>
      </c>
      <c r="L1124" s="5">
        <f>IFERROR(VLOOKUP(Consulta1[[#This Row],[Pozo largo]],Controles!B:J,9,FALSE),"NO")</f>
        <v>0</v>
      </c>
    </row>
    <row r="1125" spans="2:12" x14ac:dyDescent="0.35">
      <c r="B1125" s="4" t="s">
        <v>2176</v>
      </c>
      <c r="C1125" s="4" t="s">
        <v>6862</v>
      </c>
      <c r="D1125" s="4" t="s">
        <v>5</v>
      </c>
      <c r="E1125" s="4" t="s">
        <v>24</v>
      </c>
      <c r="F1125" s="4" t="s">
        <v>7</v>
      </c>
      <c r="G1125" s="4" t="s">
        <v>8</v>
      </c>
      <c r="H1125" s="4" t="s">
        <v>9</v>
      </c>
      <c r="I1125" s="5" t="str">
        <f>IFERROR(VLOOKUP(Consulta1[[#This Row],[Pozo largo]],'Lista YPF'!$B$3:$C$358,2,FALSE),"NO")</f>
        <v>NO</v>
      </c>
      <c r="J1125" s="5" t="str">
        <f>IFERROR(VLOOKUP(Consulta1[[#This Row],[Pozo]],'Lista Oportunidades'!B:C,2,FALSE),"NO")</f>
        <v>NO</v>
      </c>
      <c r="K1125" s="5">
        <f>IFERROR(VLOOKUP(Consulta1[[#This Row],[Pozo largo]],Controles!B:H,7,FALSE),"NO")</f>
        <v>0.33200000000000002</v>
      </c>
      <c r="L1125" s="5">
        <f>IFERROR(VLOOKUP(Consulta1[[#This Row],[Pozo largo]],Controles!B:J,9,FALSE),"NO")</f>
        <v>0</v>
      </c>
    </row>
    <row r="1126" spans="2:12" x14ac:dyDescent="0.35">
      <c r="B1126" s="4" t="s">
        <v>2178</v>
      </c>
      <c r="C1126" s="4" t="s">
        <v>6863</v>
      </c>
      <c r="D1126" s="4" t="s">
        <v>5</v>
      </c>
      <c r="E1126" s="4" t="s">
        <v>12</v>
      </c>
      <c r="F1126" s="4" t="s">
        <v>7</v>
      </c>
      <c r="G1126" s="4" t="s">
        <v>13</v>
      </c>
      <c r="H1126" s="4" t="s">
        <v>9</v>
      </c>
      <c r="I1126" s="5" t="str">
        <f>IFERROR(VLOOKUP(Consulta1[[#This Row],[Pozo largo]],'Lista YPF'!$B$3:$C$358,2,FALSE),"NO")</f>
        <v>NO</v>
      </c>
      <c r="J1126" s="5" t="str">
        <f>IFERROR(VLOOKUP(Consulta1[[#This Row],[Pozo]],'Lista Oportunidades'!B:C,2,FALSE),"NO")</f>
        <v>NO</v>
      </c>
      <c r="K1126" s="5">
        <f>IFERROR(VLOOKUP(Consulta1[[#This Row],[Pozo largo]],Controles!B:H,7,FALSE),"NO")</f>
        <v>3</v>
      </c>
      <c r="L1126" s="5">
        <f>IFERROR(VLOOKUP(Consulta1[[#This Row],[Pozo largo]],Controles!B:J,9,FALSE),"NO")</f>
        <v>0</v>
      </c>
    </row>
    <row r="1127" spans="2:12" x14ac:dyDescent="0.35">
      <c r="B1127" s="4" t="s">
        <v>2180</v>
      </c>
      <c r="C1127" s="4" t="s">
        <v>6864</v>
      </c>
      <c r="D1127" s="4" t="s">
        <v>5</v>
      </c>
      <c r="E1127" s="4" t="s">
        <v>30</v>
      </c>
      <c r="F1127" s="4" t="s">
        <v>31</v>
      </c>
      <c r="G1127" s="4" t="s">
        <v>32</v>
      </c>
      <c r="H1127" s="4" t="s">
        <v>21</v>
      </c>
      <c r="I1127" s="5" t="str">
        <f>IFERROR(VLOOKUP(Consulta1[[#This Row],[Pozo largo]],'Lista YPF'!$B$3:$C$358,2,FALSE),"NO")</f>
        <v>NO</v>
      </c>
      <c r="J1127" s="5" t="str">
        <f>IFERROR(VLOOKUP(Consulta1[[#This Row],[Pozo]],'Lista Oportunidades'!B:C,2,FALSE),"NO")</f>
        <v>NO</v>
      </c>
      <c r="K1127" s="5" t="str">
        <f>IFERROR(VLOOKUP(Consulta1[[#This Row],[Pozo largo]],Controles!B:H,7,FALSE),"NO")</f>
        <v>NO</v>
      </c>
      <c r="L1127" s="5" t="str">
        <f>IFERROR(VLOOKUP(Consulta1[[#This Row],[Pozo largo]],Controles!B:J,9,FALSE),"NO")</f>
        <v>NO</v>
      </c>
    </row>
    <row r="1128" spans="2:12" x14ac:dyDescent="0.35">
      <c r="B1128" s="4" t="s">
        <v>2181</v>
      </c>
      <c r="C1128" s="4" t="s">
        <v>6865</v>
      </c>
      <c r="D1128" s="4" t="s">
        <v>5</v>
      </c>
      <c r="E1128" s="4" t="s">
        <v>12</v>
      </c>
      <c r="F1128" s="4" t="s">
        <v>25</v>
      </c>
      <c r="G1128" s="4" t="s">
        <v>13</v>
      </c>
      <c r="H1128" s="4" t="s">
        <v>21</v>
      </c>
      <c r="I1128" s="5" t="str">
        <f>IFERROR(VLOOKUP(Consulta1[[#This Row],[Pozo largo]],'Lista YPF'!$B$3:$C$358,2,FALSE),"NO")</f>
        <v>NO</v>
      </c>
      <c r="J1128" s="5" t="str">
        <f>IFERROR(VLOOKUP(Consulta1[[#This Row],[Pozo]],'Lista Oportunidades'!B:C,2,FALSE),"NO")</f>
        <v>NO</v>
      </c>
      <c r="K1128" s="5">
        <f>IFERROR(VLOOKUP(Consulta1[[#This Row],[Pozo largo]],Controles!B:H,7,FALSE),"NO")</f>
        <v>2.9000000000000001E-2</v>
      </c>
      <c r="L1128" s="5">
        <f>IFERROR(VLOOKUP(Consulta1[[#This Row],[Pozo largo]],Controles!B:J,9,FALSE),"NO")</f>
        <v>0</v>
      </c>
    </row>
    <row r="1129" spans="2:12" x14ac:dyDescent="0.35">
      <c r="B1129" s="4" t="s">
        <v>2183</v>
      </c>
      <c r="C1129" s="4" t="s">
        <v>6866</v>
      </c>
      <c r="D1129" s="4" t="s">
        <v>5</v>
      </c>
      <c r="E1129" s="4" t="s">
        <v>57</v>
      </c>
      <c r="F1129" s="4" t="s">
        <v>7</v>
      </c>
      <c r="G1129" s="4" t="s">
        <v>5718</v>
      </c>
      <c r="H1129" s="4" t="s">
        <v>21</v>
      </c>
      <c r="I1129" s="5" t="str">
        <f>IFERROR(VLOOKUP(Consulta1[[#This Row],[Pozo largo]],'Lista YPF'!$B$3:$C$358,2,FALSE),"NO")</f>
        <v>En lista de Abandono</v>
      </c>
      <c r="J1129" s="5" t="str">
        <f>IFERROR(VLOOKUP(Consulta1[[#This Row],[Pozo]],'Lista Oportunidades'!B:C,2,FALSE),"NO")</f>
        <v>NO</v>
      </c>
      <c r="K1129" s="5">
        <f>IFERROR(VLOOKUP(Consulta1[[#This Row],[Pozo largo]],Controles!B:H,7,FALSE),"NO")</f>
        <v>0.38</v>
      </c>
      <c r="L1129" s="5">
        <f>IFERROR(VLOOKUP(Consulta1[[#This Row],[Pozo largo]],Controles!B:J,9,FALSE),"NO")</f>
        <v>0</v>
      </c>
    </row>
    <row r="1130" spans="2:12" x14ac:dyDescent="0.35">
      <c r="B1130" s="4" t="s">
        <v>2185</v>
      </c>
      <c r="C1130" s="4" t="s">
        <v>6867</v>
      </c>
      <c r="D1130" s="4" t="s">
        <v>5</v>
      </c>
      <c r="E1130" s="4" t="s">
        <v>12</v>
      </c>
      <c r="F1130" s="4" t="s">
        <v>28</v>
      </c>
      <c r="G1130" s="4" t="s">
        <v>13</v>
      </c>
      <c r="H1130" s="4" t="s">
        <v>33</v>
      </c>
      <c r="I1130" s="5" t="str">
        <f>IFERROR(VLOOKUP(Consulta1[[#This Row],[Pozo largo]],'Lista YPF'!$B$3:$C$358,2,FALSE),"NO")</f>
        <v>NO</v>
      </c>
      <c r="J1130" s="5" t="str">
        <f>IFERROR(VLOOKUP(Consulta1[[#This Row],[Pozo]],'Lista Oportunidades'!B:C,2,FALSE),"NO")</f>
        <v>NO</v>
      </c>
      <c r="K1130" s="5">
        <f>IFERROR(VLOOKUP(Consulta1[[#This Row],[Pozo largo]],Controles!B:H,7,FALSE),"NO")</f>
        <v>0</v>
      </c>
      <c r="L1130" s="5">
        <f>IFERROR(VLOOKUP(Consulta1[[#This Row],[Pozo largo]],Controles!B:J,9,FALSE),"NO")</f>
        <v>0</v>
      </c>
    </row>
    <row r="1131" spans="2:12" x14ac:dyDescent="0.35">
      <c r="B1131" s="4" t="s">
        <v>2187</v>
      </c>
      <c r="C1131" s="4" t="s">
        <v>6868</v>
      </c>
      <c r="D1131" s="4" t="s">
        <v>5</v>
      </c>
      <c r="E1131" s="4" t="s">
        <v>12</v>
      </c>
      <c r="F1131" s="4" t="s">
        <v>7</v>
      </c>
      <c r="G1131" s="4" t="s">
        <v>13</v>
      </c>
      <c r="H1131" s="4" t="s">
        <v>9</v>
      </c>
      <c r="I1131" s="5" t="str">
        <f>IFERROR(VLOOKUP(Consulta1[[#This Row],[Pozo largo]],'Lista YPF'!$B$3:$C$358,2,FALSE),"NO")</f>
        <v>NO</v>
      </c>
      <c r="J1131" s="5" t="str">
        <f>IFERROR(VLOOKUP(Consulta1[[#This Row],[Pozo]],'Lista Oportunidades'!B:C,2,FALSE),"NO")</f>
        <v>NO</v>
      </c>
      <c r="K1131" s="5">
        <f>IFERROR(VLOOKUP(Consulta1[[#This Row],[Pozo largo]],Controles!B:H,7,FALSE),"NO")</f>
        <v>1.4000000000000001</v>
      </c>
      <c r="L1131" s="5">
        <f>IFERROR(VLOOKUP(Consulta1[[#This Row],[Pozo largo]],Controles!B:J,9,FALSE),"NO")</f>
        <v>0</v>
      </c>
    </row>
    <row r="1132" spans="2:12" x14ac:dyDescent="0.35">
      <c r="B1132" s="4" t="s">
        <v>2189</v>
      </c>
      <c r="C1132" s="4" t="s">
        <v>6869</v>
      </c>
      <c r="D1132" s="4" t="s">
        <v>5</v>
      </c>
      <c r="E1132" s="4" t="s">
        <v>12</v>
      </c>
      <c r="F1132" s="4" t="s">
        <v>7</v>
      </c>
      <c r="G1132" s="4" t="s">
        <v>13</v>
      </c>
      <c r="H1132" s="4" t="s">
        <v>33</v>
      </c>
      <c r="I1132" s="5" t="str">
        <f>IFERROR(VLOOKUP(Consulta1[[#This Row],[Pozo largo]],'Lista YPF'!$B$3:$C$358,2,FALSE),"NO")</f>
        <v>NO</v>
      </c>
      <c r="J1132" s="5" t="str">
        <f>IFERROR(VLOOKUP(Consulta1[[#This Row],[Pozo]],'Lista Oportunidades'!B:C,2,FALSE),"NO")</f>
        <v>NO</v>
      </c>
      <c r="K1132" s="5">
        <f>IFERROR(VLOOKUP(Consulta1[[#This Row],[Pozo largo]],Controles!B:H,7,FALSE),"NO")</f>
        <v>0.51200000000000001</v>
      </c>
      <c r="L1132" s="5">
        <f>IFERROR(VLOOKUP(Consulta1[[#This Row],[Pozo largo]],Controles!B:J,9,FALSE),"NO")</f>
        <v>0</v>
      </c>
    </row>
    <row r="1133" spans="2:12" x14ac:dyDescent="0.35">
      <c r="B1133" s="4" t="s">
        <v>2191</v>
      </c>
      <c r="C1133" s="4" t="s">
        <v>5726</v>
      </c>
      <c r="D1133" s="4" t="s">
        <v>5</v>
      </c>
      <c r="E1133" s="4" t="s">
        <v>6</v>
      </c>
      <c r="F1133" s="4" t="s">
        <v>7</v>
      </c>
      <c r="G1133" s="4" t="s">
        <v>8689</v>
      </c>
      <c r="H1133" s="4" t="s">
        <v>21</v>
      </c>
      <c r="I1133" s="5" t="str">
        <f>IFERROR(VLOOKUP(Consulta1[[#This Row],[Pozo largo]],'Lista YPF'!$B$3:$C$358,2,FALSE),"NO")</f>
        <v>NO</v>
      </c>
      <c r="J1133" s="5" t="str">
        <f>IFERROR(VLOOKUP(Consulta1[[#This Row],[Pozo]],'Lista Oportunidades'!B:C,2,FALSE),"NO")</f>
        <v>Oportunidad</v>
      </c>
      <c r="K1133" s="5">
        <f>IFERROR(VLOOKUP(Consulta1[[#This Row],[Pozo largo]],Controles!B:H,7,FALSE),"NO")</f>
        <v>0.18</v>
      </c>
      <c r="L1133" s="5">
        <f>IFERROR(VLOOKUP(Consulta1[[#This Row],[Pozo largo]],Controles!B:J,9,FALSE),"NO")</f>
        <v>0</v>
      </c>
    </row>
    <row r="1134" spans="2:12" x14ac:dyDescent="0.35">
      <c r="B1134" s="4" t="s">
        <v>2193</v>
      </c>
      <c r="C1134" s="4" t="s">
        <v>6870</v>
      </c>
      <c r="D1134" s="4" t="s">
        <v>5</v>
      </c>
      <c r="E1134" s="4" t="s">
        <v>30</v>
      </c>
      <c r="F1134" s="4" t="s">
        <v>31</v>
      </c>
      <c r="G1134" s="4" t="s">
        <v>32</v>
      </c>
      <c r="H1134" s="4" t="s">
        <v>36</v>
      </c>
      <c r="I1134" s="5" t="str">
        <f>IFERROR(VLOOKUP(Consulta1[[#This Row],[Pozo largo]],'Lista YPF'!$B$3:$C$358,2,FALSE),"NO")</f>
        <v>NO</v>
      </c>
      <c r="J1134" s="5" t="str">
        <f>IFERROR(VLOOKUP(Consulta1[[#This Row],[Pozo]],'Lista Oportunidades'!B:C,2,FALSE),"NO")</f>
        <v>NO</v>
      </c>
      <c r="K1134" s="5" t="str">
        <f>IFERROR(VLOOKUP(Consulta1[[#This Row],[Pozo largo]],Controles!B:H,7,FALSE),"NO")</f>
        <v>NO</v>
      </c>
      <c r="L1134" s="5" t="str">
        <f>IFERROR(VLOOKUP(Consulta1[[#This Row],[Pozo largo]],Controles!B:J,9,FALSE),"NO")</f>
        <v>NO</v>
      </c>
    </row>
    <row r="1135" spans="2:12" x14ac:dyDescent="0.35">
      <c r="B1135" s="4" t="s">
        <v>2194</v>
      </c>
      <c r="C1135" s="4" t="s">
        <v>6871</v>
      </c>
      <c r="D1135" s="4" t="s">
        <v>5</v>
      </c>
      <c r="E1135" s="4" t="s">
        <v>309</v>
      </c>
      <c r="F1135" s="4" t="s">
        <v>31</v>
      </c>
      <c r="G1135" s="4" t="s">
        <v>5718</v>
      </c>
      <c r="H1135" s="4" t="s">
        <v>74</v>
      </c>
      <c r="I1135" s="5" t="str">
        <f>IFERROR(VLOOKUP(Consulta1[[#This Row],[Pozo largo]],'Lista YPF'!$B$3:$C$358,2,FALSE),"NO")</f>
        <v>En lista de Abandono</v>
      </c>
      <c r="J1135" s="5" t="str">
        <f>IFERROR(VLOOKUP(Consulta1[[#This Row],[Pozo]],'Lista Oportunidades'!B:C,2,FALSE),"NO")</f>
        <v>NO</v>
      </c>
      <c r="K1135" s="5" t="str">
        <f>IFERROR(VLOOKUP(Consulta1[[#This Row],[Pozo largo]],Controles!B:H,7,FALSE),"NO")</f>
        <v>NO</v>
      </c>
      <c r="L1135" s="5" t="str">
        <f>IFERROR(VLOOKUP(Consulta1[[#This Row],[Pozo largo]],Controles!B:J,9,FALSE),"NO")</f>
        <v>NO</v>
      </c>
    </row>
    <row r="1136" spans="2:12" x14ac:dyDescent="0.35">
      <c r="B1136" s="4" t="s">
        <v>2195</v>
      </c>
      <c r="C1136" s="4" t="s">
        <v>6872</v>
      </c>
      <c r="D1136" s="4" t="s">
        <v>5</v>
      </c>
      <c r="E1136" s="4" t="s">
        <v>30</v>
      </c>
      <c r="F1136" s="4" t="s">
        <v>31</v>
      </c>
      <c r="G1136" s="4" t="s">
        <v>32</v>
      </c>
      <c r="H1136" s="4" t="s">
        <v>74</v>
      </c>
      <c r="I1136" s="5" t="str">
        <f>IFERROR(VLOOKUP(Consulta1[[#This Row],[Pozo largo]],'Lista YPF'!$B$3:$C$358,2,FALSE),"NO")</f>
        <v>NO</v>
      </c>
      <c r="J1136" s="5" t="str">
        <f>IFERROR(VLOOKUP(Consulta1[[#This Row],[Pozo]],'Lista Oportunidades'!B:C,2,FALSE),"NO")</f>
        <v>NO</v>
      </c>
      <c r="K1136" s="5" t="str">
        <f>IFERROR(VLOOKUP(Consulta1[[#This Row],[Pozo largo]],Controles!B:H,7,FALSE),"NO")</f>
        <v>NO</v>
      </c>
      <c r="L1136" s="5" t="str">
        <f>IFERROR(VLOOKUP(Consulta1[[#This Row],[Pozo largo]],Controles!B:J,9,FALSE),"NO")</f>
        <v>NO</v>
      </c>
    </row>
    <row r="1137" spans="2:12" x14ac:dyDescent="0.35">
      <c r="B1137" s="4" t="s">
        <v>2196</v>
      </c>
      <c r="C1137" s="4" t="s">
        <v>6873</v>
      </c>
      <c r="D1137" s="4" t="s">
        <v>5</v>
      </c>
      <c r="E1137" s="4" t="s">
        <v>30</v>
      </c>
      <c r="F1137" s="4" t="s">
        <v>31</v>
      </c>
      <c r="G1137" s="4" t="s">
        <v>32</v>
      </c>
      <c r="H1137" s="4" t="s">
        <v>80</v>
      </c>
      <c r="I1137" s="5" t="str">
        <f>IFERROR(VLOOKUP(Consulta1[[#This Row],[Pozo largo]],'Lista YPF'!$B$3:$C$358,2,FALSE),"NO")</f>
        <v>NO</v>
      </c>
      <c r="J1137" s="5" t="str">
        <f>IFERROR(VLOOKUP(Consulta1[[#This Row],[Pozo]],'Lista Oportunidades'!B:C,2,FALSE),"NO")</f>
        <v>NO</v>
      </c>
      <c r="K1137" s="5">
        <f>IFERROR(VLOOKUP(Consulta1[[#This Row],[Pozo largo]],Controles!B:H,7,FALSE),"NO")</f>
        <v>1.2750000000000001</v>
      </c>
      <c r="L1137" s="5">
        <f>IFERROR(VLOOKUP(Consulta1[[#This Row],[Pozo largo]],Controles!B:J,9,FALSE),"NO")</f>
        <v>0</v>
      </c>
    </row>
    <row r="1138" spans="2:12" x14ac:dyDescent="0.35">
      <c r="B1138" s="4" t="s">
        <v>2198</v>
      </c>
      <c r="C1138" s="4" t="s">
        <v>6874</v>
      </c>
      <c r="D1138" s="4" t="s">
        <v>5</v>
      </c>
      <c r="E1138" s="4" t="s">
        <v>30</v>
      </c>
      <c r="F1138" s="4" t="s">
        <v>31</v>
      </c>
      <c r="G1138" s="4" t="s">
        <v>32</v>
      </c>
      <c r="H1138" s="4" t="s">
        <v>80</v>
      </c>
      <c r="I1138" s="5" t="str">
        <f>IFERROR(VLOOKUP(Consulta1[[#This Row],[Pozo largo]],'Lista YPF'!$B$3:$C$358,2,FALSE),"NO")</f>
        <v>NO</v>
      </c>
      <c r="J1138" s="5" t="str">
        <f>IFERROR(VLOOKUP(Consulta1[[#This Row],[Pozo]],'Lista Oportunidades'!B:C,2,FALSE),"NO")</f>
        <v>NO</v>
      </c>
      <c r="K1138" s="5">
        <f>IFERROR(VLOOKUP(Consulta1[[#This Row],[Pozo largo]],Controles!B:H,7,FALSE),"NO")</f>
        <v>0.29700000000000004</v>
      </c>
      <c r="L1138" s="5">
        <f>IFERROR(VLOOKUP(Consulta1[[#This Row],[Pozo largo]],Controles!B:J,9,FALSE),"NO")</f>
        <v>0</v>
      </c>
    </row>
    <row r="1139" spans="2:12" x14ac:dyDescent="0.35">
      <c r="B1139" s="4" t="s">
        <v>2200</v>
      </c>
      <c r="C1139" s="4" t="s">
        <v>6875</v>
      </c>
      <c r="D1139" s="4" t="s">
        <v>5</v>
      </c>
      <c r="E1139" s="4" t="s">
        <v>24</v>
      </c>
      <c r="F1139" s="4" t="s">
        <v>31</v>
      </c>
      <c r="G1139" s="4" t="s">
        <v>8</v>
      </c>
      <c r="H1139" s="4" t="s">
        <v>86</v>
      </c>
      <c r="I1139" s="5" t="str">
        <f>IFERROR(VLOOKUP(Consulta1[[#This Row],[Pozo largo]],'Lista YPF'!$B$3:$C$358,2,FALSE),"NO")</f>
        <v>NO</v>
      </c>
      <c r="J1139" s="5" t="str">
        <f>IFERROR(VLOOKUP(Consulta1[[#This Row],[Pozo]],'Lista Oportunidades'!B:C,2,FALSE),"NO")</f>
        <v>NO</v>
      </c>
      <c r="K1139" s="5">
        <f>IFERROR(VLOOKUP(Consulta1[[#This Row],[Pozo largo]],Controles!B:H,7,FALSE),"NO")</f>
        <v>0.2</v>
      </c>
      <c r="L1139" s="5">
        <f>IFERROR(VLOOKUP(Consulta1[[#This Row],[Pozo largo]],Controles!B:J,9,FALSE),"NO")</f>
        <v>0</v>
      </c>
    </row>
    <row r="1140" spans="2:12" x14ac:dyDescent="0.35">
      <c r="B1140" s="4" t="s">
        <v>2202</v>
      </c>
      <c r="C1140" s="4" t="s">
        <v>6876</v>
      </c>
      <c r="D1140" s="4" t="s">
        <v>5</v>
      </c>
      <c r="E1140" s="4" t="s">
        <v>24</v>
      </c>
      <c r="F1140" s="4" t="s">
        <v>25</v>
      </c>
      <c r="G1140" s="4" t="s">
        <v>8</v>
      </c>
      <c r="H1140" s="4" t="s">
        <v>86</v>
      </c>
      <c r="I1140" s="5" t="str">
        <f>IFERROR(VLOOKUP(Consulta1[[#This Row],[Pozo largo]],'Lista YPF'!$B$3:$C$358,2,FALSE),"NO")</f>
        <v>NO</v>
      </c>
      <c r="J1140" s="5" t="str">
        <f>IFERROR(VLOOKUP(Consulta1[[#This Row],[Pozo]],'Lista Oportunidades'!B:C,2,FALSE),"NO")</f>
        <v>NO</v>
      </c>
      <c r="K1140" s="5">
        <f>IFERROR(VLOOKUP(Consulta1[[#This Row],[Pozo largo]],Controles!B:H,7,FALSE),"NO")</f>
        <v>0.95000000000000007</v>
      </c>
      <c r="L1140" s="5">
        <f>IFERROR(VLOOKUP(Consulta1[[#This Row],[Pozo largo]],Controles!B:J,9,FALSE),"NO")</f>
        <v>0</v>
      </c>
    </row>
    <row r="1141" spans="2:12" x14ac:dyDescent="0.35">
      <c r="B1141" s="4" t="s">
        <v>2204</v>
      </c>
      <c r="C1141" s="4" t="s">
        <v>6877</v>
      </c>
      <c r="D1141" s="4" t="s">
        <v>5</v>
      </c>
      <c r="E1141" s="4" t="s">
        <v>30</v>
      </c>
      <c r="F1141" s="4" t="s">
        <v>31</v>
      </c>
      <c r="G1141" s="4" t="s">
        <v>32</v>
      </c>
      <c r="H1141" s="4" t="s">
        <v>91</v>
      </c>
      <c r="I1141" s="5" t="str">
        <f>IFERROR(VLOOKUP(Consulta1[[#This Row],[Pozo largo]],'Lista YPF'!$B$3:$C$358,2,FALSE),"NO")</f>
        <v>NO</v>
      </c>
      <c r="J1141" s="5" t="str">
        <f>IFERROR(VLOOKUP(Consulta1[[#This Row],[Pozo]],'Lista Oportunidades'!B:C,2,FALSE),"NO")</f>
        <v>NO</v>
      </c>
      <c r="K1141" s="5">
        <f>IFERROR(VLOOKUP(Consulta1[[#This Row],[Pozo largo]],Controles!B:H,7,FALSE),"NO")</f>
        <v>5.5E-2</v>
      </c>
      <c r="L1141" s="5">
        <f>IFERROR(VLOOKUP(Consulta1[[#This Row],[Pozo largo]],Controles!B:J,9,FALSE),"NO")</f>
        <v>0</v>
      </c>
    </row>
    <row r="1142" spans="2:12" x14ac:dyDescent="0.35">
      <c r="B1142" s="4" t="s">
        <v>2206</v>
      </c>
      <c r="C1142" s="4" t="s">
        <v>6878</v>
      </c>
      <c r="D1142" s="4" t="s">
        <v>5</v>
      </c>
      <c r="E1142" s="4" t="s">
        <v>30</v>
      </c>
      <c r="F1142" s="4" t="s">
        <v>31</v>
      </c>
      <c r="G1142" s="4" t="s">
        <v>32</v>
      </c>
      <c r="H1142" s="4" t="s">
        <v>80</v>
      </c>
      <c r="I1142" s="5" t="str">
        <f>IFERROR(VLOOKUP(Consulta1[[#This Row],[Pozo largo]],'Lista YPF'!$B$3:$C$358,2,FALSE),"NO")</f>
        <v>NO</v>
      </c>
      <c r="J1142" s="5" t="str">
        <f>IFERROR(VLOOKUP(Consulta1[[#This Row],[Pozo]],'Lista Oportunidades'!B:C,2,FALSE),"NO")</f>
        <v>NO</v>
      </c>
      <c r="K1142" s="5">
        <f>IFERROR(VLOOKUP(Consulta1[[#This Row],[Pozo largo]],Controles!B:H,7,FALSE),"NO")</f>
        <v>0</v>
      </c>
      <c r="L1142" s="5">
        <f>IFERROR(VLOOKUP(Consulta1[[#This Row],[Pozo largo]],Controles!B:J,9,FALSE),"NO")</f>
        <v>0</v>
      </c>
    </row>
    <row r="1143" spans="2:12" x14ac:dyDescent="0.35">
      <c r="B1143" s="4" t="s">
        <v>2208</v>
      </c>
      <c r="C1143" s="4" t="s">
        <v>6879</v>
      </c>
      <c r="D1143" s="4" t="s">
        <v>5</v>
      </c>
      <c r="E1143" s="4" t="s">
        <v>12</v>
      </c>
      <c r="F1143" s="4" t="s">
        <v>7</v>
      </c>
      <c r="G1143" s="4" t="s">
        <v>13</v>
      </c>
      <c r="H1143" s="4" t="s">
        <v>86</v>
      </c>
      <c r="I1143" s="5" t="str">
        <f>IFERROR(VLOOKUP(Consulta1[[#This Row],[Pozo largo]],'Lista YPF'!$B$3:$C$358,2,FALSE),"NO")</f>
        <v>NO</v>
      </c>
      <c r="J1143" s="5" t="str">
        <f>IFERROR(VLOOKUP(Consulta1[[#This Row],[Pozo]],'Lista Oportunidades'!B:C,2,FALSE),"NO")</f>
        <v>NO</v>
      </c>
      <c r="K1143" s="5">
        <f>IFERROR(VLOOKUP(Consulta1[[#This Row],[Pozo largo]],Controles!B:H,7,FALSE),"NO")</f>
        <v>1.1520000000000001</v>
      </c>
      <c r="L1143" s="5">
        <f>IFERROR(VLOOKUP(Consulta1[[#This Row],[Pozo largo]],Controles!B:J,9,FALSE),"NO")</f>
        <v>0</v>
      </c>
    </row>
    <row r="1144" spans="2:12" x14ac:dyDescent="0.35">
      <c r="B1144" s="4" t="s">
        <v>2210</v>
      </c>
      <c r="C1144" s="4" t="s">
        <v>6880</v>
      </c>
      <c r="D1144" s="4" t="s">
        <v>5</v>
      </c>
      <c r="E1144" s="4" t="s">
        <v>12</v>
      </c>
      <c r="F1144" s="4" t="s">
        <v>7</v>
      </c>
      <c r="G1144" s="4" t="s">
        <v>13</v>
      </c>
      <c r="H1144" s="4" t="s">
        <v>33</v>
      </c>
      <c r="I1144" s="5" t="str">
        <f>IFERROR(VLOOKUP(Consulta1[[#This Row],[Pozo largo]],'Lista YPF'!$B$3:$C$358,2,FALSE),"NO")</f>
        <v>NO</v>
      </c>
      <c r="J1144" s="5" t="str">
        <f>IFERROR(VLOOKUP(Consulta1[[#This Row],[Pozo]],'Lista Oportunidades'!B:C,2,FALSE),"NO")</f>
        <v>NO</v>
      </c>
      <c r="K1144" s="5">
        <f>IFERROR(VLOOKUP(Consulta1[[#This Row],[Pozo largo]],Controles!B:H,7,FALSE),"NO")</f>
        <v>6.7000000000000004E-2</v>
      </c>
      <c r="L1144" s="5">
        <f>IFERROR(VLOOKUP(Consulta1[[#This Row],[Pozo largo]],Controles!B:J,9,FALSE),"NO")</f>
        <v>0</v>
      </c>
    </row>
    <row r="1145" spans="2:12" x14ac:dyDescent="0.35">
      <c r="B1145" s="4" t="s">
        <v>2212</v>
      </c>
      <c r="C1145" s="4" t="s">
        <v>6881</v>
      </c>
      <c r="D1145" s="4" t="s">
        <v>5</v>
      </c>
      <c r="E1145" s="4" t="s">
        <v>12</v>
      </c>
      <c r="F1145" s="4" t="s">
        <v>25</v>
      </c>
      <c r="G1145" s="4" t="s">
        <v>13</v>
      </c>
      <c r="H1145" s="4" t="s">
        <v>21</v>
      </c>
      <c r="I1145" s="5" t="str">
        <f>IFERROR(VLOOKUP(Consulta1[[#This Row],[Pozo largo]],'Lista YPF'!$B$3:$C$358,2,FALSE),"NO")</f>
        <v>NO</v>
      </c>
      <c r="J1145" s="5" t="str">
        <f>IFERROR(VLOOKUP(Consulta1[[#This Row],[Pozo]],'Lista Oportunidades'!B:C,2,FALSE),"NO")</f>
        <v>NO</v>
      </c>
      <c r="K1145" s="5">
        <f>IFERROR(VLOOKUP(Consulta1[[#This Row],[Pozo largo]],Controles!B:H,7,FALSE),"NO")</f>
        <v>9.6000000000000002E-2</v>
      </c>
      <c r="L1145" s="5">
        <f>IFERROR(VLOOKUP(Consulta1[[#This Row],[Pozo largo]],Controles!B:J,9,FALSE),"NO")</f>
        <v>0</v>
      </c>
    </row>
    <row r="1146" spans="2:12" x14ac:dyDescent="0.35">
      <c r="B1146" s="4" t="s">
        <v>2214</v>
      </c>
      <c r="C1146" s="4" t="s">
        <v>6882</v>
      </c>
      <c r="D1146" s="4" t="s">
        <v>5</v>
      </c>
      <c r="E1146" s="4" t="s">
        <v>57</v>
      </c>
      <c r="F1146" s="4" t="s">
        <v>7</v>
      </c>
      <c r="G1146" s="4" t="s">
        <v>5718</v>
      </c>
      <c r="H1146" s="4" t="s">
        <v>21</v>
      </c>
      <c r="I1146" s="5" t="str">
        <f>IFERROR(VLOOKUP(Consulta1[[#This Row],[Pozo largo]],'Lista YPF'!$B$3:$C$358,2,FALSE),"NO")</f>
        <v>En lista de Abandono</v>
      </c>
      <c r="J1146" s="5" t="str">
        <f>IFERROR(VLOOKUP(Consulta1[[#This Row],[Pozo]],'Lista Oportunidades'!B:C,2,FALSE),"NO")</f>
        <v>NO</v>
      </c>
      <c r="K1146" s="5">
        <f>IFERROR(VLOOKUP(Consulta1[[#This Row],[Pozo largo]],Controles!B:H,7,FALSE),"NO")</f>
        <v>0.93</v>
      </c>
      <c r="L1146" s="5">
        <f>IFERROR(VLOOKUP(Consulta1[[#This Row],[Pozo largo]],Controles!B:J,9,FALSE),"NO")</f>
        <v>0</v>
      </c>
    </row>
    <row r="1147" spans="2:12" x14ac:dyDescent="0.35">
      <c r="B1147" s="4" t="s">
        <v>2216</v>
      </c>
      <c r="C1147" s="4" t="s">
        <v>6883</v>
      </c>
      <c r="D1147" s="4" t="s">
        <v>5</v>
      </c>
      <c r="E1147" s="4" t="s">
        <v>12</v>
      </c>
      <c r="F1147" s="4" t="s">
        <v>7</v>
      </c>
      <c r="G1147" s="4" t="s">
        <v>13</v>
      </c>
      <c r="H1147" s="4" t="s">
        <v>149</v>
      </c>
      <c r="I1147" s="5" t="str">
        <f>IFERROR(VLOOKUP(Consulta1[[#This Row],[Pozo largo]],'Lista YPF'!$B$3:$C$358,2,FALSE),"NO")</f>
        <v>NO</v>
      </c>
      <c r="J1147" s="5" t="str">
        <f>IFERROR(VLOOKUP(Consulta1[[#This Row],[Pozo]],'Lista Oportunidades'!B:C,2,FALSE),"NO")</f>
        <v>NO</v>
      </c>
      <c r="K1147" s="5">
        <f>IFERROR(VLOOKUP(Consulta1[[#This Row],[Pozo largo]],Controles!B:H,7,FALSE),"NO")</f>
        <v>0.42</v>
      </c>
      <c r="L1147" s="5">
        <f>IFERROR(VLOOKUP(Consulta1[[#This Row],[Pozo largo]],Controles!B:J,9,FALSE),"NO")</f>
        <v>0</v>
      </c>
    </row>
    <row r="1148" spans="2:12" x14ac:dyDescent="0.35">
      <c r="B1148" s="4" t="s">
        <v>2218</v>
      </c>
      <c r="C1148" s="4" t="s">
        <v>6884</v>
      </c>
      <c r="D1148" s="4" t="s">
        <v>5</v>
      </c>
      <c r="E1148" s="4" t="s">
        <v>57</v>
      </c>
      <c r="F1148" s="4" t="s">
        <v>7</v>
      </c>
      <c r="G1148" s="4" t="s">
        <v>11386</v>
      </c>
      <c r="H1148" s="4" t="s">
        <v>185</v>
      </c>
      <c r="I1148" s="5" t="str">
        <f>IFERROR(VLOOKUP(Consulta1[[#This Row],[Pozo largo]],'Lista YPF'!$B$3:$C$358,2,FALSE),"NO")</f>
        <v>NO</v>
      </c>
      <c r="J1148" s="5" t="str">
        <f>IFERROR(VLOOKUP(Consulta1[[#This Row],[Pozo]],'Lista Oportunidades'!B:C,2,FALSE),"NO")</f>
        <v>NO</v>
      </c>
      <c r="K1148" s="5">
        <f>IFERROR(VLOOKUP(Consulta1[[#This Row],[Pozo largo]],Controles!B:H,7,FALSE),"NO")</f>
        <v>0.45</v>
      </c>
      <c r="L1148" s="5" t="str">
        <f>IFERROR(VLOOKUP(Consulta1[[#This Row],[Pozo largo]],Controles!B:J,9,FALSE),"NO")</f>
        <v>Ultimos 6 meses</v>
      </c>
    </row>
    <row r="1149" spans="2:12" x14ac:dyDescent="0.35">
      <c r="B1149" s="4" t="s">
        <v>2220</v>
      </c>
      <c r="C1149" s="4" t="s">
        <v>6885</v>
      </c>
      <c r="D1149" s="4" t="s">
        <v>5</v>
      </c>
      <c r="E1149" s="4" t="s">
        <v>12</v>
      </c>
      <c r="F1149" s="4" t="s">
        <v>25</v>
      </c>
      <c r="G1149" s="4" t="s">
        <v>13</v>
      </c>
      <c r="H1149" s="4" t="s">
        <v>254</v>
      </c>
      <c r="I1149" s="5" t="str">
        <f>IFERROR(VLOOKUP(Consulta1[[#This Row],[Pozo largo]],'Lista YPF'!$B$3:$C$358,2,FALSE),"NO")</f>
        <v>NO</v>
      </c>
      <c r="J1149" s="5" t="str">
        <f>IFERROR(VLOOKUP(Consulta1[[#This Row],[Pozo]],'Lista Oportunidades'!B:C,2,FALSE),"NO")</f>
        <v>NO</v>
      </c>
      <c r="K1149" s="5">
        <f>IFERROR(VLOOKUP(Consulta1[[#This Row],[Pozo largo]],Controles!B:H,7,FALSE),"NO")</f>
        <v>0.115</v>
      </c>
      <c r="L1149" s="5">
        <f>IFERROR(VLOOKUP(Consulta1[[#This Row],[Pozo largo]],Controles!B:J,9,FALSE),"NO")</f>
        <v>0</v>
      </c>
    </row>
    <row r="1150" spans="2:12" x14ac:dyDescent="0.35">
      <c r="B1150" s="4" t="s">
        <v>2222</v>
      </c>
      <c r="C1150" s="4" t="s">
        <v>6886</v>
      </c>
      <c r="D1150" s="4" t="s">
        <v>5</v>
      </c>
      <c r="E1150" s="4" t="s">
        <v>12</v>
      </c>
      <c r="F1150" s="4" t="s">
        <v>7</v>
      </c>
      <c r="G1150" s="4" t="s">
        <v>13</v>
      </c>
      <c r="H1150" s="4" t="s">
        <v>36</v>
      </c>
      <c r="I1150" s="5" t="str">
        <f>IFERROR(VLOOKUP(Consulta1[[#This Row],[Pozo largo]],'Lista YPF'!$B$3:$C$358,2,FALSE),"NO")</f>
        <v>NO</v>
      </c>
      <c r="J1150" s="5" t="str">
        <f>IFERROR(VLOOKUP(Consulta1[[#This Row],[Pozo]],'Lista Oportunidades'!B:C,2,FALSE),"NO")</f>
        <v>NO</v>
      </c>
      <c r="K1150" s="5">
        <f>IFERROR(VLOOKUP(Consulta1[[#This Row],[Pozo largo]],Controles!B:H,7,FALSE),"NO")</f>
        <v>1.2330000000000001</v>
      </c>
      <c r="L1150" s="5">
        <f>IFERROR(VLOOKUP(Consulta1[[#This Row],[Pozo largo]],Controles!B:J,9,FALSE),"NO")</f>
        <v>0</v>
      </c>
    </row>
    <row r="1151" spans="2:12" x14ac:dyDescent="0.35">
      <c r="B1151" s="4" t="s">
        <v>2224</v>
      </c>
      <c r="C1151" s="4" t="s">
        <v>6887</v>
      </c>
      <c r="D1151" s="4" t="s">
        <v>5</v>
      </c>
      <c r="E1151" s="4" t="s">
        <v>24</v>
      </c>
      <c r="F1151" s="4" t="s">
        <v>7</v>
      </c>
      <c r="G1151" s="4" t="s">
        <v>8</v>
      </c>
      <c r="H1151" s="4" t="s">
        <v>74</v>
      </c>
      <c r="I1151" s="5" t="str">
        <f>IFERROR(VLOOKUP(Consulta1[[#This Row],[Pozo largo]],'Lista YPF'!$B$3:$C$358,2,FALSE),"NO")</f>
        <v>NO</v>
      </c>
      <c r="J1151" s="5" t="str">
        <f>IFERROR(VLOOKUP(Consulta1[[#This Row],[Pozo]],'Lista Oportunidades'!B:C,2,FALSE),"NO")</f>
        <v>NO</v>
      </c>
      <c r="K1151" s="5">
        <f>IFERROR(VLOOKUP(Consulta1[[#This Row],[Pozo largo]],Controles!B:H,7,FALSE),"NO")</f>
        <v>0.28000000000000003</v>
      </c>
      <c r="L1151" s="5">
        <f>IFERROR(VLOOKUP(Consulta1[[#This Row],[Pozo largo]],Controles!B:J,9,FALSE),"NO")</f>
        <v>0</v>
      </c>
    </row>
    <row r="1152" spans="2:12" x14ac:dyDescent="0.35">
      <c r="B1152" s="4" t="s">
        <v>2226</v>
      </c>
      <c r="C1152" s="4" t="s">
        <v>6888</v>
      </c>
      <c r="D1152" s="4" t="s">
        <v>5</v>
      </c>
      <c r="E1152" s="4" t="s">
        <v>6</v>
      </c>
      <c r="F1152" s="4" t="s">
        <v>7</v>
      </c>
      <c r="G1152" s="4" t="s">
        <v>5718</v>
      </c>
      <c r="H1152" s="4" t="s">
        <v>185</v>
      </c>
      <c r="I1152" s="5" t="str">
        <f>IFERROR(VLOOKUP(Consulta1[[#This Row],[Pozo largo]],'Lista YPF'!$B$3:$C$358,2,FALSE),"NO")</f>
        <v>En lista de Abandono</v>
      </c>
      <c r="J1152" s="5" t="str">
        <f>IFERROR(VLOOKUP(Consulta1[[#This Row],[Pozo]],'Lista Oportunidades'!B:C,2,FALSE),"NO")</f>
        <v>NO</v>
      </c>
      <c r="K1152" s="5">
        <f>IFERROR(VLOOKUP(Consulta1[[#This Row],[Pozo largo]],Controles!B:H,7,FALSE),"NO")</f>
        <v>0.65</v>
      </c>
      <c r="L1152" s="5">
        <f>IFERROR(VLOOKUP(Consulta1[[#This Row],[Pozo largo]],Controles!B:J,9,FALSE),"NO")</f>
        <v>0</v>
      </c>
    </row>
    <row r="1153" spans="2:12" x14ac:dyDescent="0.35">
      <c r="B1153" s="4" t="s">
        <v>2228</v>
      </c>
      <c r="C1153" s="4" t="s">
        <v>6889</v>
      </c>
      <c r="D1153" s="4" t="s">
        <v>5</v>
      </c>
      <c r="E1153" s="4" t="s">
        <v>12</v>
      </c>
      <c r="F1153" s="4" t="s">
        <v>7</v>
      </c>
      <c r="G1153" s="4" t="s">
        <v>13</v>
      </c>
      <c r="H1153" s="4" t="s">
        <v>21</v>
      </c>
      <c r="I1153" s="5" t="str">
        <f>IFERROR(VLOOKUP(Consulta1[[#This Row],[Pozo largo]],'Lista YPF'!$B$3:$C$358,2,FALSE),"NO")</f>
        <v>NO</v>
      </c>
      <c r="J1153" s="5" t="str">
        <f>IFERROR(VLOOKUP(Consulta1[[#This Row],[Pozo]],'Lista Oportunidades'!B:C,2,FALSE),"NO")</f>
        <v>NO</v>
      </c>
      <c r="K1153" s="5">
        <f>IFERROR(VLOOKUP(Consulta1[[#This Row],[Pozo largo]],Controles!B:H,7,FALSE),"NO")</f>
        <v>1.4000000000000001</v>
      </c>
      <c r="L1153" s="5">
        <f>IFERROR(VLOOKUP(Consulta1[[#This Row],[Pozo largo]],Controles!B:J,9,FALSE),"NO")</f>
        <v>0</v>
      </c>
    </row>
    <row r="1154" spans="2:12" x14ac:dyDescent="0.35">
      <c r="B1154" s="4" t="s">
        <v>2230</v>
      </c>
      <c r="C1154" s="4" t="s">
        <v>6890</v>
      </c>
      <c r="D1154" s="4" t="s">
        <v>5</v>
      </c>
      <c r="E1154" s="4" t="s">
        <v>57</v>
      </c>
      <c r="F1154" s="4" t="s">
        <v>7</v>
      </c>
      <c r="G1154" s="4" t="s">
        <v>11386</v>
      </c>
      <c r="H1154" s="4" t="s">
        <v>71</v>
      </c>
      <c r="I1154" s="5" t="str">
        <f>IFERROR(VLOOKUP(Consulta1[[#This Row],[Pozo largo]],'Lista YPF'!$B$3:$C$358,2,FALSE),"NO")</f>
        <v>NO</v>
      </c>
      <c r="J1154" s="5" t="str">
        <f>IFERROR(VLOOKUP(Consulta1[[#This Row],[Pozo]],'Lista Oportunidades'!B:C,2,FALSE),"NO")</f>
        <v>NO</v>
      </c>
      <c r="K1154" s="5">
        <f>IFERROR(VLOOKUP(Consulta1[[#This Row],[Pozo largo]],Controles!B:H,7,FALSE),"NO")</f>
        <v>0.9</v>
      </c>
      <c r="L1154" s="5" t="str">
        <f>IFERROR(VLOOKUP(Consulta1[[#This Row],[Pozo largo]],Controles!B:J,9,FALSE),"NO")</f>
        <v>Ultimos 6 meses</v>
      </c>
    </row>
    <row r="1155" spans="2:12" x14ac:dyDescent="0.35">
      <c r="B1155" s="4" t="s">
        <v>2232</v>
      </c>
      <c r="C1155" s="4" t="s">
        <v>6891</v>
      </c>
      <c r="D1155" s="4" t="s">
        <v>5</v>
      </c>
      <c r="E1155" s="4" t="s">
        <v>12</v>
      </c>
      <c r="F1155" s="4" t="s">
        <v>7</v>
      </c>
      <c r="G1155" s="4" t="s">
        <v>13</v>
      </c>
      <c r="H1155" s="4" t="s">
        <v>185</v>
      </c>
      <c r="I1155" s="5" t="str">
        <f>IFERROR(VLOOKUP(Consulta1[[#This Row],[Pozo largo]],'Lista YPF'!$B$3:$C$358,2,FALSE),"NO")</f>
        <v>NO</v>
      </c>
      <c r="J1155" s="5" t="str">
        <f>IFERROR(VLOOKUP(Consulta1[[#This Row],[Pozo]],'Lista Oportunidades'!B:C,2,FALSE),"NO")</f>
        <v>NO</v>
      </c>
      <c r="K1155" s="5">
        <f>IFERROR(VLOOKUP(Consulta1[[#This Row],[Pozo largo]],Controles!B:H,7,FALSE),"NO")</f>
        <v>0.98</v>
      </c>
      <c r="L1155" s="5">
        <f>IFERROR(VLOOKUP(Consulta1[[#This Row],[Pozo largo]],Controles!B:J,9,FALSE),"NO")</f>
        <v>0</v>
      </c>
    </row>
    <row r="1156" spans="2:12" x14ac:dyDescent="0.35">
      <c r="B1156" s="4" t="s">
        <v>2234</v>
      </c>
      <c r="C1156" s="4" t="s">
        <v>2235</v>
      </c>
      <c r="D1156" s="4" t="s">
        <v>5</v>
      </c>
      <c r="E1156" s="4" t="s">
        <v>12</v>
      </c>
      <c r="F1156" s="4" t="s">
        <v>7</v>
      </c>
      <c r="G1156" s="4" t="s">
        <v>13</v>
      </c>
      <c r="H1156" s="4" t="s">
        <v>185</v>
      </c>
      <c r="I1156" s="5" t="str">
        <f>IFERROR(VLOOKUP(Consulta1[[#This Row],[Pozo largo]],'Lista YPF'!$B$3:$C$358,2,FALSE),"NO")</f>
        <v>NO</v>
      </c>
      <c r="J1156" s="5" t="str">
        <f>IFERROR(VLOOKUP(Consulta1[[#This Row],[Pozo]],'Lista Oportunidades'!B:C,2,FALSE),"NO")</f>
        <v>NO</v>
      </c>
      <c r="K1156" s="5">
        <f>IFERROR(VLOOKUP(Consulta1[[#This Row],[Pozo largo]],Controles!B:H,7,FALSE),"NO")</f>
        <v>2.754</v>
      </c>
      <c r="L1156" s="5">
        <f>IFERROR(VLOOKUP(Consulta1[[#This Row],[Pozo largo]],Controles!B:J,9,FALSE),"NO")</f>
        <v>0</v>
      </c>
    </row>
    <row r="1157" spans="2:12" x14ac:dyDescent="0.35">
      <c r="B1157" s="4" t="s">
        <v>2236</v>
      </c>
      <c r="C1157" s="4" t="s">
        <v>6892</v>
      </c>
      <c r="D1157" s="4" t="s">
        <v>5</v>
      </c>
      <c r="E1157" s="4" t="s">
        <v>12</v>
      </c>
      <c r="F1157" s="4" t="s">
        <v>7</v>
      </c>
      <c r="G1157" s="4" t="s">
        <v>13</v>
      </c>
      <c r="H1157" s="4" t="s">
        <v>36</v>
      </c>
      <c r="I1157" s="5" t="str">
        <f>IFERROR(VLOOKUP(Consulta1[[#This Row],[Pozo largo]],'Lista YPF'!$B$3:$C$358,2,FALSE),"NO")</f>
        <v>NO</v>
      </c>
      <c r="J1157" s="5" t="str">
        <f>IFERROR(VLOOKUP(Consulta1[[#This Row],[Pozo]],'Lista Oportunidades'!B:C,2,FALSE),"NO")</f>
        <v>NO</v>
      </c>
      <c r="K1157" s="5">
        <f>IFERROR(VLOOKUP(Consulta1[[#This Row],[Pozo largo]],Controles!B:H,7,FALSE),"NO")</f>
        <v>1.68</v>
      </c>
      <c r="L1157" s="5">
        <f>IFERROR(VLOOKUP(Consulta1[[#This Row],[Pozo largo]],Controles!B:J,9,FALSE),"NO")</f>
        <v>0</v>
      </c>
    </row>
    <row r="1158" spans="2:12" x14ac:dyDescent="0.35">
      <c r="B1158" s="4" t="s">
        <v>2238</v>
      </c>
      <c r="C1158" s="4" t="s">
        <v>2239</v>
      </c>
      <c r="D1158" s="4" t="s">
        <v>5</v>
      </c>
      <c r="E1158" s="4" t="s">
        <v>12</v>
      </c>
      <c r="F1158" s="4" t="s">
        <v>7</v>
      </c>
      <c r="G1158" s="4" t="s">
        <v>13</v>
      </c>
      <c r="H1158" s="4" t="s">
        <v>71</v>
      </c>
      <c r="I1158" s="5" t="str">
        <f>IFERROR(VLOOKUP(Consulta1[[#This Row],[Pozo largo]],'Lista YPF'!$B$3:$C$358,2,FALSE),"NO")</f>
        <v>NO</v>
      </c>
      <c r="J1158" s="5" t="str">
        <f>IFERROR(VLOOKUP(Consulta1[[#This Row],[Pozo]],'Lista Oportunidades'!B:C,2,FALSE),"NO")</f>
        <v>NO</v>
      </c>
      <c r="K1158" s="5">
        <f>IFERROR(VLOOKUP(Consulta1[[#This Row],[Pozo largo]],Controles!B:H,7,FALSE),"NO")</f>
        <v>1.75</v>
      </c>
      <c r="L1158" s="5">
        <f>IFERROR(VLOOKUP(Consulta1[[#This Row],[Pozo largo]],Controles!B:J,9,FALSE),"NO")</f>
        <v>0</v>
      </c>
    </row>
    <row r="1159" spans="2:12" x14ac:dyDescent="0.35">
      <c r="B1159" s="4" t="s">
        <v>2240</v>
      </c>
      <c r="C1159" s="4" t="s">
        <v>6893</v>
      </c>
      <c r="D1159" s="4" t="s">
        <v>5</v>
      </c>
      <c r="E1159" s="4" t="s">
        <v>12</v>
      </c>
      <c r="F1159" s="4" t="s">
        <v>7</v>
      </c>
      <c r="G1159" s="4" t="s">
        <v>13</v>
      </c>
      <c r="H1159" s="4" t="s">
        <v>149</v>
      </c>
      <c r="I1159" s="5" t="str">
        <f>IFERROR(VLOOKUP(Consulta1[[#This Row],[Pozo largo]],'Lista YPF'!$B$3:$C$358,2,FALSE),"NO")</f>
        <v>NO</v>
      </c>
      <c r="J1159" s="5" t="str">
        <f>IFERROR(VLOOKUP(Consulta1[[#This Row],[Pozo]],'Lista Oportunidades'!B:C,2,FALSE),"NO")</f>
        <v>NO</v>
      </c>
      <c r="K1159" s="5">
        <f>IFERROR(VLOOKUP(Consulta1[[#This Row],[Pozo largo]],Controles!B:H,7,FALSE),"NO")</f>
        <v>3</v>
      </c>
      <c r="L1159" s="5">
        <f>IFERROR(VLOOKUP(Consulta1[[#This Row],[Pozo largo]],Controles!B:J,9,FALSE),"NO")</f>
        <v>0</v>
      </c>
    </row>
    <row r="1160" spans="2:12" x14ac:dyDescent="0.35">
      <c r="B1160" s="4" t="s">
        <v>2242</v>
      </c>
      <c r="C1160" s="4" t="s">
        <v>2243</v>
      </c>
      <c r="D1160" s="4" t="s">
        <v>5</v>
      </c>
      <c r="E1160" s="4" t="s">
        <v>12</v>
      </c>
      <c r="F1160" s="4" t="s">
        <v>7</v>
      </c>
      <c r="G1160" s="4" t="s">
        <v>13</v>
      </c>
      <c r="H1160" s="4" t="s">
        <v>9</v>
      </c>
      <c r="I1160" s="5" t="str">
        <f>IFERROR(VLOOKUP(Consulta1[[#This Row],[Pozo largo]],'Lista YPF'!$B$3:$C$358,2,FALSE),"NO")</f>
        <v>NO</v>
      </c>
      <c r="J1160" s="5" t="str">
        <f>IFERROR(VLOOKUP(Consulta1[[#This Row],[Pozo]],'Lista Oportunidades'!B:C,2,FALSE),"NO")</f>
        <v>NO</v>
      </c>
      <c r="K1160" s="5">
        <f>IFERROR(VLOOKUP(Consulta1[[#This Row],[Pozo largo]],Controles!B:H,7,FALSE),"NO")</f>
        <v>3.5</v>
      </c>
      <c r="L1160" s="5">
        <f>IFERROR(VLOOKUP(Consulta1[[#This Row],[Pozo largo]],Controles!B:J,9,FALSE),"NO")</f>
        <v>0</v>
      </c>
    </row>
    <row r="1161" spans="2:12" x14ac:dyDescent="0.35">
      <c r="B1161" s="4" t="s">
        <v>2244</v>
      </c>
      <c r="C1161" s="4" t="s">
        <v>6894</v>
      </c>
      <c r="D1161" s="4" t="s">
        <v>5</v>
      </c>
      <c r="E1161" s="4" t="s">
        <v>12</v>
      </c>
      <c r="F1161" s="4" t="s">
        <v>7</v>
      </c>
      <c r="G1161" s="4" t="s">
        <v>13</v>
      </c>
      <c r="H1161" s="4" t="s">
        <v>21</v>
      </c>
      <c r="I1161" s="5" t="str">
        <f>IFERROR(VLOOKUP(Consulta1[[#This Row],[Pozo largo]],'Lista YPF'!$B$3:$C$358,2,FALSE),"NO")</f>
        <v>NO</v>
      </c>
      <c r="J1161" s="5" t="str">
        <f>IFERROR(VLOOKUP(Consulta1[[#This Row],[Pozo]],'Lista Oportunidades'!B:C,2,FALSE),"NO")</f>
        <v>NO</v>
      </c>
      <c r="K1161" s="5">
        <f>IFERROR(VLOOKUP(Consulta1[[#This Row],[Pozo largo]],Controles!B:H,7,FALSE),"NO")</f>
        <v>1.2690000000000001</v>
      </c>
      <c r="L1161" s="5">
        <f>IFERROR(VLOOKUP(Consulta1[[#This Row],[Pozo largo]],Controles!B:J,9,FALSE),"NO")</f>
        <v>0</v>
      </c>
    </row>
    <row r="1162" spans="2:12" x14ac:dyDescent="0.35">
      <c r="B1162" s="4" t="s">
        <v>2246</v>
      </c>
      <c r="C1162" s="4" t="s">
        <v>6895</v>
      </c>
      <c r="D1162" s="4" t="s">
        <v>5</v>
      </c>
      <c r="E1162" s="4" t="s">
        <v>12</v>
      </c>
      <c r="F1162" s="4" t="s">
        <v>28</v>
      </c>
      <c r="G1162" s="4" t="s">
        <v>13</v>
      </c>
      <c r="H1162" s="4" t="s">
        <v>91</v>
      </c>
      <c r="I1162" s="5" t="str">
        <f>IFERROR(VLOOKUP(Consulta1[[#This Row],[Pozo largo]],'Lista YPF'!$B$3:$C$358,2,FALSE),"NO")</f>
        <v>NO</v>
      </c>
      <c r="J1162" s="5" t="str">
        <f>IFERROR(VLOOKUP(Consulta1[[#This Row],[Pozo]],'Lista Oportunidades'!B:C,2,FALSE),"NO")</f>
        <v>NO</v>
      </c>
      <c r="K1162" s="5">
        <f>IFERROR(VLOOKUP(Consulta1[[#This Row],[Pozo largo]],Controles!B:H,7,FALSE),"NO")</f>
        <v>0</v>
      </c>
      <c r="L1162" s="5">
        <f>IFERROR(VLOOKUP(Consulta1[[#This Row],[Pozo largo]],Controles!B:J,9,FALSE),"NO")</f>
        <v>0</v>
      </c>
    </row>
    <row r="1163" spans="2:12" x14ac:dyDescent="0.35">
      <c r="B1163" s="4" t="s">
        <v>2248</v>
      </c>
      <c r="C1163" s="4" t="s">
        <v>6896</v>
      </c>
      <c r="D1163" s="4" t="s">
        <v>5</v>
      </c>
      <c r="E1163" s="4" t="s">
        <v>12</v>
      </c>
      <c r="F1163" s="4" t="s">
        <v>7</v>
      </c>
      <c r="G1163" s="4" t="s">
        <v>13</v>
      </c>
      <c r="H1163" s="4" t="s">
        <v>91</v>
      </c>
      <c r="I1163" s="5" t="str">
        <f>IFERROR(VLOOKUP(Consulta1[[#This Row],[Pozo largo]],'Lista YPF'!$B$3:$C$358,2,FALSE),"NO")</f>
        <v>NO</v>
      </c>
      <c r="J1163" s="5" t="str">
        <f>IFERROR(VLOOKUP(Consulta1[[#This Row],[Pozo]],'Lista Oportunidades'!B:C,2,FALSE),"NO")</f>
        <v>NO</v>
      </c>
      <c r="K1163" s="5">
        <f>IFERROR(VLOOKUP(Consulta1[[#This Row],[Pozo largo]],Controles!B:H,7,FALSE),"NO")</f>
        <v>0.60899999999999999</v>
      </c>
      <c r="L1163" s="5">
        <f>IFERROR(VLOOKUP(Consulta1[[#This Row],[Pozo largo]],Controles!B:J,9,FALSE),"NO")</f>
        <v>0</v>
      </c>
    </row>
    <row r="1164" spans="2:12" x14ac:dyDescent="0.35">
      <c r="B1164" s="4" t="s">
        <v>2250</v>
      </c>
      <c r="C1164" s="4" t="s">
        <v>6897</v>
      </c>
      <c r="D1164" s="4" t="s">
        <v>5</v>
      </c>
      <c r="E1164" s="4" t="s">
        <v>12</v>
      </c>
      <c r="F1164" s="4" t="s">
        <v>7</v>
      </c>
      <c r="G1164" s="4" t="s">
        <v>13</v>
      </c>
      <c r="H1164" s="4" t="s">
        <v>86</v>
      </c>
      <c r="I1164" s="5" t="str">
        <f>IFERROR(VLOOKUP(Consulta1[[#This Row],[Pozo largo]],'Lista YPF'!$B$3:$C$358,2,FALSE),"NO")</f>
        <v>NO</v>
      </c>
      <c r="J1164" s="5" t="str">
        <f>IFERROR(VLOOKUP(Consulta1[[#This Row],[Pozo]],'Lista Oportunidades'!B:C,2,FALSE),"NO")</f>
        <v>NO</v>
      </c>
      <c r="K1164" s="5">
        <f>IFERROR(VLOOKUP(Consulta1[[#This Row],[Pozo largo]],Controles!B:H,7,FALSE),"NO")</f>
        <v>2.2200000000000002</v>
      </c>
      <c r="L1164" s="5">
        <f>IFERROR(VLOOKUP(Consulta1[[#This Row],[Pozo largo]],Controles!B:J,9,FALSE),"NO")</f>
        <v>0</v>
      </c>
    </row>
    <row r="1165" spans="2:12" x14ac:dyDescent="0.35">
      <c r="B1165" s="4" t="s">
        <v>2252</v>
      </c>
      <c r="C1165" s="4" t="s">
        <v>6898</v>
      </c>
      <c r="D1165" s="4" t="s">
        <v>5</v>
      </c>
      <c r="E1165" s="4" t="s">
        <v>12</v>
      </c>
      <c r="F1165" s="4" t="s">
        <v>7</v>
      </c>
      <c r="G1165" s="4" t="s">
        <v>13</v>
      </c>
      <c r="H1165" s="4" t="s">
        <v>80</v>
      </c>
      <c r="I1165" s="5" t="str">
        <f>IFERROR(VLOOKUP(Consulta1[[#This Row],[Pozo largo]],'Lista YPF'!$B$3:$C$358,2,FALSE),"NO")</f>
        <v>NO</v>
      </c>
      <c r="J1165" s="5" t="str">
        <f>IFERROR(VLOOKUP(Consulta1[[#This Row],[Pozo]],'Lista Oportunidades'!B:C,2,FALSE),"NO")</f>
        <v>NO</v>
      </c>
      <c r="K1165" s="5">
        <f>IFERROR(VLOOKUP(Consulta1[[#This Row],[Pozo largo]],Controles!B:H,7,FALSE),"NO")</f>
        <v>0.80100000000000005</v>
      </c>
      <c r="L1165" s="5">
        <f>IFERROR(VLOOKUP(Consulta1[[#This Row],[Pozo largo]],Controles!B:J,9,FALSE),"NO")</f>
        <v>0</v>
      </c>
    </row>
    <row r="1166" spans="2:12" x14ac:dyDescent="0.35">
      <c r="B1166" s="4" t="s">
        <v>2254</v>
      </c>
      <c r="C1166" s="4" t="s">
        <v>6899</v>
      </c>
      <c r="D1166" s="4" t="s">
        <v>5</v>
      </c>
      <c r="E1166" s="4" t="s">
        <v>24</v>
      </c>
      <c r="F1166" s="4" t="s">
        <v>25</v>
      </c>
      <c r="G1166" s="4" t="s">
        <v>8</v>
      </c>
      <c r="H1166" s="4" t="s">
        <v>86</v>
      </c>
      <c r="I1166" s="5" t="str">
        <f>IFERROR(VLOOKUP(Consulta1[[#This Row],[Pozo largo]],'Lista YPF'!$B$3:$C$358,2,FALSE),"NO")</f>
        <v>NO</v>
      </c>
      <c r="J1166" s="5" t="str">
        <f>IFERROR(VLOOKUP(Consulta1[[#This Row],[Pozo]],'Lista Oportunidades'!B:C,2,FALSE),"NO")</f>
        <v>NO</v>
      </c>
      <c r="K1166" s="5">
        <f>IFERROR(VLOOKUP(Consulta1[[#This Row],[Pozo largo]],Controles!B:H,7,FALSE),"NO")</f>
        <v>0.188</v>
      </c>
      <c r="L1166" s="5">
        <f>IFERROR(VLOOKUP(Consulta1[[#This Row],[Pozo largo]],Controles!B:J,9,FALSE),"NO")</f>
        <v>0</v>
      </c>
    </row>
    <row r="1167" spans="2:12" x14ac:dyDescent="0.35">
      <c r="B1167" s="4" t="s">
        <v>2256</v>
      </c>
      <c r="C1167" s="4" t="s">
        <v>6900</v>
      </c>
      <c r="D1167" s="4" t="s">
        <v>5</v>
      </c>
      <c r="E1167" s="4" t="s">
        <v>57</v>
      </c>
      <c r="F1167" s="4" t="s">
        <v>25</v>
      </c>
      <c r="G1167" s="4" t="s">
        <v>5718</v>
      </c>
      <c r="H1167" s="4" t="s">
        <v>86</v>
      </c>
      <c r="I1167" s="5" t="str">
        <f>IFERROR(VLOOKUP(Consulta1[[#This Row],[Pozo largo]],'Lista YPF'!$B$3:$C$358,2,FALSE),"NO")</f>
        <v>En lista de Abandono</v>
      </c>
      <c r="J1167" s="5" t="str">
        <f>IFERROR(VLOOKUP(Consulta1[[#This Row],[Pozo]],'Lista Oportunidades'!B:C,2,FALSE),"NO")</f>
        <v>NO</v>
      </c>
      <c r="K1167" s="5">
        <f>IFERROR(VLOOKUP(Consulta1[[#This Row],[Pozo largo]],Controles!B:H,7,FALSE),"NO")</f>
        <v>0.02</v>
      </c>
      <c r="L1167" s="5">
        <f>IFERROR(VLOOKUP(Consulta1[[#This Row],[Pozo largo]],Controles!B:J,9,FALSE),"NO")</f>
        <v>0</v>
      </c>
    </row>
    <row r="1168" spans="2:12" x14ac:dyDescent="0.35">
      <c r="B1168" s="4" t="s">
        <v>2258</v>
      </c>
      <c r="C1168" s="4" t="s">
        <v>6901</v>
      </c>
      <c r="D1168" s="4" t="s">
        <v>5</v>
      </c>
      <c r="E1168" s="4" t="s">
        <v>12</v>
      </c>
      <c r="F1168" s="4" t="s">
        <v>7</v>
      </c>
      <c r="G1168" s="4" t="s">
        <v>13</v>
      </c>
      <c r="H1168" s="4" t="s">
        <v>141</v>
      </c>
      <c r="I1168" s="5" t="str">
        <f>IFERROR(VLOOKUP(Consulta1[[#This Row],[Pozo largo]],'Lista YPF'!$B$3:$C$358,2,FALSE),"NO")</f>
        <v>NO</v>
      </c>
      <c r="J1168" s="5" t="str">
        <f>IFERROR(VLOOKUP(Consulta1[[#This Row],[Pozo]],'Lista Oportunidades'!B:C,2,FALSE),"NO")</f>
        <v>NO</v>
      </c>
      <c r="K1168" s="5">
        <f>IFERROR(VLOOKUP(Consulta1[[#This Row],[Pozo largo]],Controles!B:H,7,FALSE),"NO")</f>
        <v>2.625</v>
      </c>
      <c r="L1168" s="5">
        <f>IFERROR(VLOOKUP(Consulta1[[#This Row],[Pozo largo]],Controles!B:J,9,FALSE),"NO")</f>
        <v>0</v>
      </c>
    </row>
    <row r="1169" spans="2:12" x14ac:dyDescent="0.35">
      <c r="B1169" s="4" t="s">
        <v>2260</v>
      </c>
      <c r="C1169" s="4" t="s">
        <v>6902</v>
      </c>
      <c r="D1169" s="4" t="s">
        <v>5</v>
      </c>
      <c r="E1169" s="4" t="s">
        <v>24</v>
      </c>
      <c r="F1169" s="4" t="s">
        <v>31</v>
      </c>
      <c r="G1169" s="4" t="s">
        <v>8</v>
      </c>
      <c r="H1169" s="4" t="s">
        <v>185</v>
      </c>
      <c r="I1169" s="5" t="str">
        <f>IFERROR(VLOOKUP(Consulta1[[#This Row],[Pozo largo]],'Lista YPF'!$B$3:$C$358,2,FALSE),"NO")</f>
        <v>NO</v>
      </c>
      <c r="J1169" s="5" t="str">
        <f>IFERROR(VLOOKUP(Consulta1[[#This Row],[Pozo]],'Lista Oportunidades'!B:C,2,FALSE),"NO")</f>
        <v>NO</v>
      </c>
      <c r="K1169" s="5">
        <f>IFERROR(VLOOKUP(Consulta1[[#This Row],[Pozo largo]],Controles!B:H,7,FALSE),"NO")</f>
        <v>0</v>
      </c>
      <c r="L1169" s="5">
        <f>IFERROR(VLOOKUP(Consulta1[[#This Row],[Pozo largo]],Controles!B:J,9,FALSE),"NO")</f>
        <v>0</v>
      </c>
    </row>
    <row r="1170" spans="2:12" x14ac:dyDescent="0.35">
      <c r="B1170" s="4" t="s">
        <v>2262</v>
      </c>
      <c r="C1170" s="4" t="s">
        <v>6903</v>
      </c>
      <c r="D1170" s="4" t="s">
        <v>5</v>
      </c>
      <c r="E1170" s="4" t="s">
        <v>24</v>
      </c>
      <c r="F1170" s="4" t="s">
        <v>31</v>
      </c>
      <c r="G1170" s="4" t="s">
        <v>11385</v>
      </c>
      <c r="H1170" s="4" t="s">
        <v>185</v>
      </c>
      <c r="I1170" s="5" t="str">
        <f>IFERROR(VLOOKUP(Consulta1[[#This Row],[Pozo largo]],'Lista YPF'!$B$3:$C$358,2,FALSE),"NO")</f>
        <v>NO</v>
      </c>
      <c r="J1170" s="5" t="str">
        <f>IFERROR(VLOOKUP(Consulta1[[#This Row],[Pozo]],'Lista Oportunidades'!B:C,2,FALSE),"NO")</f>
        <v>NO</v>
      </c>
      <c r="K1170" s="5">
        <f>IFERROR(VLOOKUP(Consulta1[[#This Row],[Pozo largo]],Controles!B:H,7,FALSE),"NO")</f>
        <v>2.59</v>
      </c>
      <c r="L1170" s="5">
        <f>IFERROR(VLOOKUP(Consulta1[[#This Row],[Pozo largo]],Controles!B:J,9,FALSE),"NO")</f>
        <v>0</v>
      </c>
    </row>
    <row r="1171" spans="2:12" x14ac:dyDescent="0.35">
      <c r="B1171" s="4" t="s">
        <v>2264</v>
      </c>
      <c r="C1171" s="4" t="s">
        <v>6904</v>
      </c>
      <c r="D1171" s="4" t="s">
        <v>5</v>
      </c>
      <c r="E1171" s="4" t="s">
        <v>12</v>
      </c>
      <c r="F1171" s="4" t="s">
        <v>7</v>
      </c>
      <c r="G1171" s="4" t="s">
        <v>13</v>
      </c>
      <c r="H1171" s="4" t="s">
        <v>141</v>
      </c>
      <c r="I1171" s="5" t="str">
        <f>IFERROR(VLOOKUP(Consulta1[[#This Row],[Pozo largo]],'Lista YPF'!$B$3:$C$358,2,FALSE),"NO")</f>
        <v>NO</v>
      </c>
      <c r="J1171" s="5" t="str">
        <f>IFERROR(VLOOKUP(Consulta1[[#This Row],[Pozo]],'Lista Oportunidades'!B:C,2,FALSE),"NO")</f>
        <v>NO</v>
      </c>
      <c r="K1171" s="5">
        <f>IFERROR(VLOOKUP(Consulta1[[#This Row],[Pozo largo]],Controles!B:H,7,FALSE),"NO")</f>
        <v>1.5</v>
      </c>
      <c r="L1171" s="5">
        <f>IFERROR(VLOOKUP(Consulta1[[#This Row],[Pozo largo]],Controles!B:J,9,FALSE),"NO")</f>
        <v>0</v>
      </c>
    </row>
    <row r="1172" spans="2:12" x14ac:dyDescent="0.35">
      <c r="B1172" s="4" t="s">
        <v>2266</v>
      </c>
      <c r="C1172" s="4" t="s">
        <v>6905</v>
      </c>
      <c r="D1172" s="4" t="s">
        <v>5</v>
      </c>
      <c r="E1172" s="4" t="s">
        <v>12</v>
      </c>
      <c r="F1172" s="4" t="s">
        <v>25</v>
      </c>
      <c r="G1172" s="4" t="s">
        <v>13</v>
      </c>
      <c r="H1172" s="4" t="s">
        <v>66</v>
      </c>
      <c r="I1172" s="5" t="str">
        <f>IFERROR(VLOOKUP(Consulta1[[#This Row],[Pozo largo]],'Lista YPF'!$B$3:$C$358,2,FALSE),"NO")</f>
        <v>NO</v>
      </c>
      <c r="J1172" s="5" t="str">
        <f>IFERROR(VLOOKUP(Consulta1[[#This Row],[Pozo]],'Lista Oportunidades'!B:C,2,FALSE),"NO")</f>
        <v>NO</v>
      </c>
      <c r="K1172" s="5">
        <f>IFERROR(VLOOKUP(Consulta1[[#This Row],[Pozo largo]],Controles!B:H,7,FALSE),"NO")</f>
        <v>0.10400000000000001</v>
      </c>
      <c r="L1172" s="5">
        <f>IFERROR(VLOOKUP(Consulta1[[#This Row],[Pozo largo]],Controles!B:J,9,FALSE),"NO")</f>
        <v>0</v>
      </c>
    </row>
    <row r="1173" spans="2:12" x14ac:dyDescent="0.35">
      <c r="B1173" s="4" t="s">
        <v>2268</v>
      </c>
      <c r="C1173" s="4" t="s">
        <v>6906</v>
      </c>
      <c r="D1173" s="4" t="s">
        <v>5</v>
      </c>
      <c r="E1173" s="4" t="s">
        <v>12</v>
      </c>
      <c r="F1173" s="4" t="s">
        <v>7</v>
      </c>
      <c r="G1173" s="4" t="s">
        <v>13</v>
      </c>
      <c r="H1173" s="4" t="s">
        <v>71</v>
      </c>
      <c r="I1173" s="5" t="str">
        <f>IFERROR(VLOOKUP(Consulta1[[#This Row],[Pozo largo]],'Lista YPF'!$B$3:$C$358,2,FALSE),"NO")</f>
        <v>NO</v>
      </c>
      <c r="J1173" s="5" t="str">
        <f>IFERROR(VLOOKUP(Consulta1[[#This Row],[Pozo]],'Lista Oportunidades'!B:C,2,FALSE),"NO")</f>
        <v>NO</v>
      </c>
      <c r="K1173" s="5">
        <f>IFERROR(VLOOKUP(Consulta1[[#This Row],[Pozo largo]],Controles!B:H,7,FALSE),"NO")</f>
        <v>2.08</v>
      </c>
      <c r="L1173" s="5">
        <f>IFERROR(VLOOKUP(Consulta1[[#This Row],[Pozo largo]],Controles!B:J,9,FALSE),"NO")</f>
        <v>0</v>
      </c>
    </row>
    <row r="1174" spans="2:12" x14ac:dyDescent="0.35">
      <c r="B1174" s="4" t="s">
        <v>2270</v>
      </c>
      <c r="C1174" s="4" t="s">
        <v>6907</v>
      </c>
      <c r="D1174" s="4" t="s">
        <v>5</v>
      </c>
      <c r="E1174" s="4" t="s">
        <v>12</v>
      </c>
      <c r="F1174" s="4" t="s">
        <v>28</v>
      </c>
      <c r="G1174" s="4" t="s">
        <v>13</v>
      </c>
      <c r="H1174" s="4" t="s">
        <v>149</v>
      </c>
      <c r="I1174" s="5" t="str">
        <f>IFERROR(VLOOKUP(Consulta1[[#This Row],[Pozo largo]],'Lista YPF'!$B$3:$C$358,2,FALSE),"NO")</f>
        <v>NO</v>
      </c>
      <c r="J1174" s="5" t="str">
        <f>IFERROR(VLOOKUP(Consulta1[[#This Row],[Pozo]],'Lista Oportunidades'!B:C,2,FALSE),"NO")</f>
        <v>NO</v>
      </c>
      <c r="K1174" s="5">
        <f>IFERROR(VLOOKUP(Consulta1[[#This Row],[Pozo largo]],Controles!B:H,7,FALSE),"NO")</f>
        <v>0</v>
      </c>
      <c r="L1174" s="5">
        <f>IFERROR(VLOOKUP(Consulta1[[#This Row],[Pozo largo]],Controles!B:J,9,FALSE),"NO")</f>
        <v>0</v>
      </c>
    </row>
    <row r="1175" spans="2:12" x14ac:dyDescent="0.35">
      <c r="B1175" s="4" t="s">
        <v>2272</v>
      </c>
      <c r="C1175" s="4" t="s">
        <v>6908</v>
      </c>
      <c r="D1175" s="4" t="s">
        <v>5</v>
      </c>
      <c r="E1175" s="4" t="s">
        <v>12</v>
      </c>
      <c r="F1175" s="4" t="s">
        <v>7</v>
      </c>
      <c r="G1175" s="4" t="s">
        <v>13</v>
      </c>
      <c r="H1175" s="4" t="s">
        <v>71</v>
      </c>
      <c r="I1175" s="5" t="str">
        <f>IFERROR(VLOOKUP(Consulta1[[#This Row],[Pozo largo]],'Lista YPF'!$B$3:$C$358,2,FALSE),"NO")</f>
        <v>NO</v>
      </c>
      <c r="J1175" s="5" t="str">
        <f>IFERROR(VLOOKUP(Consulta1[[#This Row],[Pozo]],'Lista Oportunidades'!B:C,2,FALSE),"NO")</f>
        <v>NO</v>
      </c>
      <c r="K1175" s="5">
        <f>IFERROR(VLOOKUP(Consulta1[[#This Row],[Pozo largo]],Controles!B:H,7,FALSE),"NO")</f>
        <v>1.26</v>
      </c>
      <c r="L1175" s="5">
        <f>IFERROR(VLOOKUP(Consulta1[[#This Row],[Pozo largo]],Controles!B:J,9,FALSE),"NO")</f>
        <v>0</v>
      </c>
    </row>
    <row r="1176" spans="2:12" x14ac:dyDescent="0.35">
      <c r="B1176" s="4" t="s">
        <v>2274</v>
      </c>
      <c r="C1176" s="4" t="s">
        <v>6909</v>
      </c>
      <c r="D1176" s="4" t="s">
        <v>5</v>
      </c>
      <c r="E1176" s="4" t="s">
        <v>6</v>
      </c>
      <c r="F1176" s="4" t="s">
        <v>238</v>
      </c>
      <c r="G1176" s="4" t="s">
        <v>5718</v>
      </c>
      <c r="H1176" s="4" t="s">
        <v>9</v>
      </c>
      <c r="I1176" s="5" t="str">
        <f>IFERROR(VLOOKUP(Consulta1[[#This Row],[Pozo largo]],'Lista YPF'!$B$3:$C$358,2,FALSE),"NO")</f>
        <v>En lista de Abandono</v>
      </c>
      <c r="J1176" s="5" t="str">
        <f>IFERROR(VLOOKUP(Consulta1[[#This Row],[Pozo]],'Lista Oportunidades'!B:C,2,FALSE),"NO")</f>
        <v>NO</v>
      </c>
      <c r="K1176" s="5">
        <f>IFERROR(VLOOKUP(Consulta1[[#This Row],[Pozo largo]],Controles!B:H,7,FALSE),"NO")</f>
        <v>1</v>
      </c>
      <c r="L1176" s="5">
        <f>IFERROR(VLOOKUP(Consulta1[[#This Row],[Pozo largo]],Controles!B:J,9,FALSE),"NO")</f>
        <v>0</v>
      </c>
    </row>
    <row r="1177" spans="2:12" x14ac:dyDescent="0.35">
      <c r="B1177" s="4" t="s">
        <v>2276</v>
      </c>
      <c r="C1177" s="4" t="s">
        <v>6910</v>
      </c>
      <c r="D1177" s="4" t="s">
        <v>5</v>
      </c>
      <c r="E1177" s="4" t="s">
        <v>57</v>
      </c>
      <c r="F1177" s="4" t="s">
        <v>7</v>
      </c>
      <c r="G1177" s="4" t="s">
        <v>11386</v>
      </c>
      <c r="H1177" s="4" t="s">
        <v>9</v>
      </c>
      <c r="I1177" s="5" t="str">
        <f>IFERROR(VLOOKUP(Consulta1[[#This Row],[Pozo largo]],'Lista YPF'!$B$3:$C$358,2,FALSE),"NO")</f>
        <v>NO</v>
      </c>
      <c r="J1177" s="5" t="str">
        <f>IFERROR(VLOOKUP(Consulta1[[#This Row],[Pozo]],'Lista Oportunidades'!B:C,2,FALSE),"NO")</f>
        <v>NO</v>
      </c>
      <c r="K1177" s="5">
        <f>IFERROR(VLOOKUP(Consulta1[[#This Row],[Pozo largo]],Controles!B:H,7,FALSE),"NO")</f>
        <v>0.13</v>
      </c>
      <c r="L1177" s="5" t="str">
        <f>IFERROR(VLOOKUP(Consulta1[[#This Row],[Pozo largo]],Controles!B:J,9,FALSE),"NO")</f>
        <v>Ultimos 6 meses</v>
      </c>
    </row>
    <row r="1178" spans="2:12" x14ac:dyDescent="0.35">
      <c r="B1178" s="4" t="s">
        <v>2278</v>
      </c>
      <c r="C1178" s="4" t="s">
        <v>6911</v>
      </c>
      <c r="D1178" s="4" t="s">
        <v>5</v>
      </c>
      <c r="E1178" s="4" t="s">
        <v>24</v>
      </c>
      <c r="F1178" s="4" t="s">
        <v>7</v>
      </c>
      <c r="G1178" s="4" t="s">
        <v>8</v>
      </c>
      <c r="H1178" s="4" t="s">
        <v>149</v>
      </c>
      <c r="I1178" s="5" t="str">
        <f>IFERROR(VLOOKUP(Consulta1[[#This Row],[Pozo largo]],'Lista YPF'!$B$3:$C$358,2,FALSE),"NO")</f>
        <v>NO</v>
      </c>
      <c r="J1178" s="5" t="str">
        <f>IFERROR(VLOOKUP(Consulta1[[#This Row],[Pozo]],'Lista Oportunidades'!B:C,2,FALSE),"NO")</f>
        <v>NO</v>
      </c>
      <c r="K1178" s="5">
        <f>IFERROR(VLOOKUP(Consulta1[[#This Row],[Pozo largo]],Controles!B:H,7,FALSE),"NO")</f>
        <v>0.54</v>
      </c>
      <c r="L1178" s="5">
        <f>IFERROR(VLOOKUP(Consulta1[[#This Row],[Pozo largo]],Controles!B:J,9,FALSE),"NO")</f>
        <v>0</v>
      </c>
    </row>
    <row r="1179" spans="2:12" x14ac:dyDescent="0.35">
      <c r="B1179" s="4" t="s">
        <v>2280</v>
      </c>
      <c r="C1179" s="4" t="s">
        <v>6912</v>
      </c>
      <c r="D1179" s="4" t="s">
        <v>5</v>
      </c>
      <c r="E1179" s="4" t="s">
        <v>12</v>
      </c>
      <c r="F1179" s="4" t="s">
        <v>7</v>
      </c>
      <c r="G1179" s="4" t="s">
        <v>13</v>
      </c>
      <c r="H1179" s="4" t="s">
        <v>21</v>
      </c>
      <c r="I1179" s="5" t="str">
        <f>IFERROR(VLOOKUP(Consulta1[[#This Row],[Pozo largo]],'Lista YPF'!$B$3:$C$358,2,FALSE),"NO")</f>
        <v>NO</v>
      </c>
      <c r="J1179" s="5" t="str">
        <f>IFERROR(VLOOKUP(Consulta1[[#This Row],[Pozo]],'Lista Oportunidades'!B:C,2,FALSE),"NO")</f>
        <v>NO</v>
      </c>
      <c r="K1179" s="5">
        <f>IFERROR(VLOOKUP(Consulta1[[#This Row],[Pozo largo]],Controles!B:H,7,FALSE),"NO")</f>
        <v>0.31900000000000001</v>
      </c>
      <c r="L1179" s="5">
        <f>IFERROR(VLOOKUP(Consulta1[[#This Row],[Pozo largo]],Controles!B:J,9,FALSE),"NO")</f>
        <v>0</v>
      </c>
    </row>
    <row r="1180" spans="2:12" x14ac:dyDescent="0.35">
      <c r="B1180" s="4" t="s">
        <v>2282</v>
      </c>
      <c r="C1180" s="4" t="s">
        <v>6913</v>
      </c>
      <c r="D1180" s="4" t="s">
        <v>5</v>
      </c>
      <c r="E1180" s="4" t="s">
        <v>12</v>
      </c>
      <c r="F1180" s="4" t="s">
        <v>7</v>
      </c>
      <c r="G1180" s="4" t="s">
        <v>13</v>
      </c>
      <c r="H1180" s="4" t="s">
        <v>21</v>
      </c>
      <c r="I1180" s="5" t="str">
        <f>IFERROR(VLOOKUP(Consulta1[[#This Row],[Pozo largo]],'Lista YPF'!$B$3:$C$358,2,FALSE),"NO")</f>
        <v>NO</v>
      </c>
      <c r="J1180" s="5" t="str">
        <f>IFERROR(VLOOKUP(Consulta1[[#This Row],[Pozo]],'Lista Oportunidades'!B:C,2,FALSE),"NO")</f>
        <v>NO</v>
      </c>
      <c r="K1180" s="5">
        <f>IFERROR(VLOOKUP(Consulta1[[#This Row],[Pozo largo]],Controles!B:H,7,FALSE),"NO")</f>
        <v>0.77900000000000003</v>
      </c>
      <c r="L1180" s="5">
        <f>IFERROR(VLOOKUP(Consulta1[[#This Row],[Pozo largo]],Controles!B:J,9,FALSE),"NO")</f>
        <v>0</v>
      </c>
    </row>
    <row r="1181" spans="2:12" x14ac:dyDescent="0.35">
      <c r="B1181" s="4" t="s">
        <v>2284</v>
      </c>
      <c r="C1181" s="4" t="s">
        <v>6914</v>
      </c>
      <c r="D1181" s="4" t="s">
        <v>5</v>
      </c>
      <c r="E1181" s="4" t="s">
        <v>30</v>
      </c>
      <c r="F1181" s="4" t="s">
        <v>31</v>
      </c>
      <c r="G1181" s="4" t="s">
        <v>32</v>
      </c>
      <c r="H1181" s="4" t="s">
        <v>21</v>
      </c>
      <c r="I1181" s="5" t="str">
        <f>IFERROR(VLOOKUP(Consulta1[[#This Row],[Pozo largo]],'Lista YPF'!$B$3:$C$358,2,FALSE),"NO")</f>
        <v>NO</v>
      </c>
      <c r="J1181" s="5" t="str">
        <f>IFERROR(VLOOKUP(Consulta1[[#This Row],[Pozo]],'Lista Oportunidades'!B:C,2,FALSE),"NO")</f>
        <v>NO</v>
      </c>
      <c r="K1181" s="5">
        <f>IFERROR(VLOOKUP(Consulta1[[#This Row],[Pozo largo]],Controles!B:H,7,FALSE),"NO")</f>
        <v>0.1</v>
      </c>
      <c r="L1181" s="5">
        <f>IFERROR(VLOOKUP(Consulta1[[#This Row],[Pozo largo]],Controles!B:J,9,FALSE),"NO")</f>
        <v>0</v>
      </c>
    </row>
    <row r="1182" spans="2:12" x14ac:dyDescent="0.35">
      <c r="B1182" s="4" t="s">
        <v>2286</v>
      </c>
      <c r="C1182" s="4" t="s">
        <v>6915</v>
      </c>
      <c r="D1182" s="4" t="s">
        <v>5</v>
      </c>
      <c r="E1182" s="4" t="s">
        <v>12</v>
      </c>
      <c r="F1182" s="4" t="s">
        <v>28</v>
      </c>
      <c r="G1182" s="4" t="s">
        <v>13</v>
      </c>
      <c r="H1182" s="4" t="s">
        <v>9</v>
      </c>
      <c r="I1182" s="5" t="str">
        <f>IFERROR(VLOOKUP(Consulta1[[#This Row],[Pozo largo]],'Lista YPF'!$B$3:$C$358,2,FALSE),"NO")</f>
        <v>NO</v>
      </c>
      <c r="J1182" s="5" t="str">
        <f>IFERROR(VLOOKUP(Consulta1[[#This Row],[Pozo]],'Lista Oportunidades'!B:C,2,FALSE),"NO")</f>
        <v>NO</v>
      </c>
      <c r="K1182" s="5">
        <f>IFERROR(VLOOKUP(Consulta1[[#This Row],[Pozo largo]],Controles!B:H,7,FALSE),"NO")</f>
        <v>0</v>
      </c>
      <c r="L1182" s="5">
        <f>IFERROR(VLOOKUP(Consulta1[[#This Row],[Pozo largo]],Controles!B:J,9,FALSE),"NO")</f>
        <v>0</v>
      </c>
    </row>
    <row r="1183" spans="2:12" x14ac:dyDescent="0.35">
      <c r="B1183" s="4" t="s">
        <v>2288</v>
      </c>
      <c r="C1183" s="4" t="s">
        <v>6916</v>
      </c>
      <c r="D1183" s="4" t="s">
        <v>5</v>
      </c>
      <c r="E1183" s="4" t="s">
        <v>12</v>
      </c>
      <c r="F1183" s="4" t="s">
        <v>7</v>
      </c>
      <c r="G1183" s="4" t="s">
        <v>13</v>
      </c>
      <c r="H1183" s="4" t="s">
        <v>33</v>
      </c>
      <c r="I1183" s="5" t="str">
        <f>IFERROR(VLOOKUP(Consulta1[[#This Row],[Pozo largo]],'Lista YPF'!$B$3:$C$358,2,FALSE),"NO")</f>
        <v>NO</v>
      </c>
      <c r="J1183" s="5" t="str">
        <f>IFERROR(VLOOKUP(Consulta1[[#This Row],[Pozo]],'Lista Oportunidades'!B:C,2,FALSE),"NO")</f>
        <v>NO</v>
      </c>
      <c r="K1183" s="5">
        <f>IFERROR(VLOOKUP(Consulta1[[#This Row],[Pozo largo]],Controles!B:H,7,FALSE),"NO")</f>
        <v>1.44</v>
      </c>
      <c r="L1183" s="5">
        <f>IFERROR(VLOOKUP(Consulta1[[#This Row],[Pozo largo]],Controles!B:J,9,FALSE),"NO")</f>
        <v>0</v>
      </c>
    </row>
    <row r="1184" spans="2:12" x14ac:dyDescent="0.35">
      <c r="B1184" s="4" t="s">
        <v>2290</v>
      </c>
      <c r="C1184" s="4" t="s">
        <v>6917</v>
      </c>
      <c r="D1184" s="4" t="s">
        <v>5</v>
      </c>
      <c r="E1184" s="4" t="s">
        <v>12</v>
      </c>
      <c r="F1184" s="4" t="s">
        <v>28</v>
      </c>
      <c r="G1184" s="4" t="s">
        <v>13</v>
      </c>
      <c r="H1184" s="4" t="s">
        <v>33</v>
      </c>
      <c r="I1184" s="5" t="str">
        <f>IFERROR(VLOOKUP(Consulta1[[#This Row],[Pozo largo]],'Lista YPF'!$B$3:$C$358,2,FALSE),"NO")</f>
        <v>NO</v>
      </c>
      <c r="J1184" s="5" t="str">
        <f>IFERROR(VLOOKUP(Consulta1[[#This Row],[Pozo]],'Lista Oportunidades'!B:C,2,FALSE),"NO")</f>
        <v>NO</v>
      </c>
      <c r="K1184" s="5">
        <f>IFERROR(VLOOKUP(Consulta1[[#This Row],[Pozo largo]],Controles!B:H,7,FALSE),"NO")</f>
        <v>0</v>
      </c>
      <c r="L1184" s="5">
        <f>IFERROR(VLOOKUP(Consulta1[[#This Row],[Pozo largo]],Controles!B:J,9,FALSE),"NO")</f>
        <v>0</v>
      </c>
    </row>
    <row r="1185" spans="2:12" x14ac:dyDescent="0.35">
      <c r="B1185" s="4" t="s">
        <v>2292</v>
      </c>
      <c r="C1185" s="4" t="s">
        <v>6918</v>
      </c>
      <c r="D1185" s="4" t="s">
        <v>5</v>
      </c>
      <c r="E1185" s="4" t="s">
        <v>30</v>
      </c>
      <c r="F1185" s="4" t="s">
        <v>31</v>
      </c>
      <c r="G1185" s="4" t="s">
        <v>32</v>
      </c>
      <c r="H1185" s="4" t="s">
        <v>9</v>
      </c>
      <c r="I1185" s="5" t="str">
        <f>IFERROR(VLOOKUP(Consulta1[[#This Row],[Pozo largo]],'Lista YPF'!$B$3:$C$358,2,FALSE),"NO")</f>
        <v>NO</v>
      </c>
      <c r="J1185" s="5" t="str">
        <f>IFERROR(VLOOKUP(Consulta1[[#This Row],[Pozo]],'Lista Oportunidades'!B:C,2,FALSE),"NO")</f>
        <v>NO</v>
      </c>
      <c r="K1185" s="5">
        <f>IFERROR(VLOOKUP(Consulta1[[#This Row],[Pozo largo]],Controles!B:H,7,FALSE),"NO")</f>
        <v>0</v>
      </c>
      <c r="L1185" s="5">
        <f>IFERROR(VLOOKUP(Consulta1[[#This Row],[Pozo largo]],Controles!B:J,9,FALSE),"NO")</f>
        <v>0</v>
      </c>
    </row>
    <row r="1186" spans="2:12" x14ac:dyDescent="0.35">
      <c r="B1186" s="4" t="s">
        <v>2294</v>
      </c>
      <c r="C1186" s="4" t="s">
        <v>6919</v>
      </c>
      <c r="D1186" s="4" t="s">
        <v>5</v>
      </c>
      <c r="E1186" s="4" t="s">
        <v>430</v>
      </c>
      <c r="F1186" s="4" t="s">
        <v>7</v>
      </c>
      <c r="G1186" s="4" t="s">
        <v>5718</v>
      </c>
      <c r="H1186" s="4" t="s">
        <v>36</v>
      </c>
      <c r="I1186" s="5" t="str">
        <f>IFERROR(VLOOKUP(Consulta1[[#This Row],[Pozo largo]],'Lista YPF'!$B$3:$C$358,2,FALSE),"NO")</f>
        <v>En lista de Abandono</v>
      </c>
      <c r="J1186" s="5" t="str">
        <f>IFERROR(VLOOKUP(Consulta1[[#This Row],[Pozo]],'Lista Oportunidades'!B:C,2,FALSE),"NO")</f>
        <v>NO</v>
      </c>
      <c r="K1186" s="5">
        <f>IFERROR(VLOOKUP(Consulta1[[#This Row],[Pozo largo]],Controles!B:H,7,FALSE),"NO")</f>
        <v>0.45</v>
      </c>
      <c r="L1186" s="5">
        <f>IFERROR(VLOOKUP(Consulta1[[#This Row],[Pozo largo]],Controles!B:J,9,FALSE),"NO")</f>
        <v>0</v>
      </c>
    </row>
    <row r="1187" spans="2:12" x14ac:dyDescent="0.35">
      <c r="B1187" s="4" t="s">
        <v>2296</v>
      </c>
      <c r="C1187" s="4" t="s">
        <v>6920</v>
      </c>
      <c r="D1187" s="4" t="s">
        <v>5</v>
      </c>
      <c r="E1187" s="4" t="s">
        <v>12</v>
      </c>
      <c r="F1187" s="4" t="s">
        <v>28</v>
      </c>
      <c r="G1187" s="4" t="s">
        <v>13</v>
      </c>
      <c r="H1187" s="4" t="s">
        <v>254</v>
      </c>
      <c r="I1187" s="5" t="str">
        <f>IFERROR(VLOOKUP(Consulta1[[#This Row],[Pozo largo]],'Lista YPF'!$B$3:$C$358,2,FALSE),"NO")</f>
        <v>NO</v>
      </c>
      <c r="J1187" s="5" t="str">
        <f>IFERROR(VLOOKUP(Consulta1[[#This Row],[Pozo]],'Lista Oportunidades'!B:C,2,FALSE),"NO")</f>
        <v>NO</v>
      </c>
      <c r="K1187" s="5">
        <f>IFERROR(VLOOKUP(Consulta1[[#This Row],[Pozo largo]],Controles!B:H,7,FALSE),"NO")</f>
        <v>0</v>
      </c>
      <c r="L1187" s="5">
        <f>IFERROR(VLOOKUP(Consulta1[[#This Row],[Pozo largo]],Controles!B:J,9,FALSE),"NO")</f>
        <v>0</v>
      </c>
    </row>
    <row r="1188" spans="2:12" x14ac:dyDescent="0.35">
      <c r="B1188" s="4" t="s">
        <v>2298</v>
      </c>
      <c r="C1188" s="4" t="s">
        <v>6921</v>
      </c>
      <c r="D1188" s="4" t="s">
        <v>5</v>
      </c>
      <c r="E1188" s="4" t="s">
        <v>12</v>
      </c>
      <c r="F1188" s="4" t="s">
        <v>238</v>
      </c>
      <c r="G1188" s="4" t="s">
        <v>13</v>
      </c>
      <c r="H1188" s="4" t="s">
        <v>21</v>
      </c>
      <c r="I1188" s="5" t="str">
        <f>IFERROR(VLOOKUP(Consulta1[[#This Row],[Pozo largo]],'Lista YPF'!$B$3:$C$358,2,FALSE),"NO")</f>
        <v>NO</v>
      </c>
      <c r="J1188" s="5" t="str">
        <f>IFERROR(VLOOKUP(Consulta1[[#This Row],[Pozo]],'Lista Oportunidades'!B:C,2,FALSE),"NO")</f>
        <v>NO</v>
      </c>
      <c r="K1188" s="5">
        <f>IFERROR(VLOOKUP(Consulta1[[#This Row],[Pozo largo]],Controles!B:H,7,FALSE),"NO")</f>
        <v>1.4280000000000002</v>
      </c>
      <c r="L1188" s="5">
        <f>IFERROR(VLOOKUP(Consulta1[[#This Row],[Pozo largo]],Controles!B:J,9,FALSE),"NO")</f>
        <v>0</v>
      </c>
    </row>
    <row r="1189" spans="2:12" x14ac:dyDescent="0.35">
      <c r="B1189" s="4" t="s">
        <v>2300</v>
      </c>
      <c r="C1189" s="4" t="s">
        <v>6922</v>
      </c>
      <c r="D1189" s="4" t="s">
        <v>5</v>
      </c>
      <c r="E1189" s="4" t="s">
        <v>24</v>
      </c>
      <c r="F1189" s="4" t="s">
        <v>31</v>
      </c>
      <c r="G1189" s="4" t="s">
        <v>8</v>
      </c>
      <c r="H1189" s="4" t="s">
        <v>33</v>
      </c>
      <c r="I1189" s="5" t="str">
        <f>IFERROR(VLOOKUP(Consulta1[[#This Row],[Pozo largo]],'Lista YPF'!$B$3:$C$358,2,FALSE),"NO")</f>
        <v>NO</v>
      </c>
      <c r="J1189" s="5" t="str">
        <f>IFERROR(VLOOKUP(Consulta1[[#This Row],[Pozo]],'Lista Oportunidades'!B:C,2,FALSE),"NO")</f>
        <v>NO</v>
      </c>
      <c r="K1189" s="5" t="str">
        <f>IFERROR(VLOOKUP(Consulta1[[#This Row],[Pozo largo]],Controles!B:H,7,FALSE),"NO")</f>
        <v>NO</v>
      </c>
      <c r="L1189" s="5" t="str">
        <f>IFERROR(VLOOKUP(Consulta1[[#This Row],[Pozo largo]],Controles!B:J,9,FALSE),"NO")</f>
        <v>NO</v>
      </c>
    </row>
    <row r="1190" spans="2:12" x14ac:dyDescent="0.35">
      <c r="B1190" s="4" t="s">
        <v>2301</v>
      </c>
      <c r="C1190" s="4" t="s">
        <v>6923</v>
      </c>
      <c r="D1190" s="4" t="s">
        <v>5</v>
      </c>
      <c r="E1190" s="4" t="s">
        <v>12</v>
      </c>
      <c r="F1190" s="4" t="s">
        <v>28</v>
      </c>
      <c r="G1190" s="4" t="s">
        <v>13</v>
      </c>
      <c r="H1190" s="4" t="s">
        <v>21</v>
      </c>
      <c r="I1190" s="5" t="str">
        <f>IFERROR(VLOOKUP(Consulta1[[#This Row],[Pozo largo]],'Lista YPF'!$B$3:$C$358,2,FALSE),"NO")</f>
        <v>NO</v>
      </c>
      <c r="J1190" s="5" t="str">
        <f>IFERROR(VLOOKUP(Consulta1[[#This Row],[Pozo]],'Lista Oportunidades'!B:C,2,FALSE),"NO")</f>
        <v>NO</v>
      </c>
      <c r="K1190" s="5">
        <f>IFERROR(VLOOKUP(Consulta1[[#This Row],[Pozo largo]],Controles!B:H,7,FALSE),"NO")</f>
        <v>0</v>
      </c>
      <c r="L1190" s="5">
        <f>IFERROR(VLOOKUP(Consulta1[[#This Row],[Pozo largo]],Controles!B:J,9,FALSE),"NO")</f>
        <v>0</v>
      </c>
    </row>
    <row r="1191" spans="2:12" x14ac:dyDescent="0.35">
      <c r="B1191" s="4" t="s">
        <v>2303</v>
      </c>
      <c r="C1191" s="4" t="s">
        <v>6924</v>
      </c>
      <c r="D1191" s="4" t="s">
        <v>5</v>
      </c>
      <c r="E1191" s="4" t="s">
        <v>12</v>
      </c>
      <c r="F1191" s="4" t="s">
        <v>28</v>
      </c>
      <c r="G1191" s="4" t="s">
        <v>13</v>
      </c>
      <c r="H1191" s="4" t="s">
        <v>36</v>
      </c>
      <c r="I1191" s="5" t="str">
        <f>IFERROR(VLOOKUP(Consulta1[[#This Row],[Pozo largo]],'Lista YPF'!$B$3:$C$358,2,FALSE),"NO")</f>
        <v>NO</v>
      </c>
      <c r="J1191" s="5" t="str">
        <f>IFERROR(VLOOKUP(Consulta1[[#This Row],[Pozo]],'Lista Oportunidades'!B:C,2,FALSE),"NO")</f>
        <v>NO</v>
      </c>
      <c r="K1191" s="5">
        <f>IFERROR(VLOOKUP(Consulta1[[#This Row],[Pozo largo]],Controles!B:H,7,FALSE),"NO")</f>
        <v>0</v>
      </c>
      <c r="L1191" s="5">
        <f>IFERROR(VLOOKUP(Consulta1[[#This Row],[Pozo largo]],Controles!B:J,9,FALSE),"NO")</f>
        <v>0</v>
      </c>
    </row>
    <row r="1192" spans="2:12" x14ac:dyDescent="0.35">
      <c r="B1192" s="4" t="s">
        <v>2305</v>
      </c>
      <c r="C1192" s="4" t="s">
        <v>6925</v>
      </c>
      <c r="D1192" s="4" t="s">
        <v>5</v>
      </c>
      <c r="E1192" s="4" t="s">
        <v>57</v>
      </c>
      <c r="F1192" s="4" t="s">
        <v>7</v>
      </c>
      <c r="G1192" s="4" t="s">
        <v>5718</v>
      </c>
      <c r="H1192" s="4" t="s">
        <v>33</v>
      </c>
      <c r="I1192" s="5" t="str">
        <f>IFERROR(VLOOKUP(Consulta1[[#This Row],[Pozo largo]],'Lista YPF'!$B$3:$C$358,2,FALSE),"NO")</f>
        <v>En lista de Abandono</v>
      </c>
      <c r="J1192" s="5" t="str">
        <f>IFERROR(VLOOKUP(Consulta1[[#This Row],[Pozo]],'Lista Oportunidades'!B:C,2,FALSE),"NO")</f>
        <v>NO</v>
      </c>
      <c r="K1192" s="5">
        <f>IFERROR(VLOOKUP(Consulta1[[#This Row],[Pozo largo]],Controles!B:H,7,FALSE),"NO")</f>
        <v>6.2E-2</v>
      </c>
      <c r="L1192" s="5">
        <f>IFERROR(VLOOKUP(Consulta1[[#This Row],[Pozo largo]],Controles!B:J,9,FALSE),"NO")</f>
        <v>0</v>
      </c>
    </row>
    <row r="1193" spans="2:12" x14ac:dyDescent="0.35">
      <c r="B1193" s="4" t="s">
        <v>2307</v>
      </c>
      <c r="C1193" s="4" t="s">
        <v>6926</v>
      </c>
      <c r="D1193" s="4" t="s">
        <v>5</v>
      </c>
      <c r="E1193" s="4" t="s">
        <v>24</v>
      </c>
      <c r="F1193" s="4" t="s">
        <v>28</v>
      </c>
      <c r="G1193" s="4" t="s">
        <v>8</v>
      </c>
      <c r="H1193" s="4" t="s">
        <v>254</v>
      </c>
      <c r="I1193" s="5" t="str">
        <f>IFERROR(VLOOKUP(Consulta1[[#This Row],[Pozo largo]],'Lista YPF'!$B$3:$C$358,2,FALSE),"NO")</f>
        <v>NO</v>
      </c>
      <c r="J1193" s="5" t="str">
        <f>IFERROR(VLOOKUP(Consulta1[[#This Row],[Pozo]],'Lista Oportunidades'!B:C,2,FALSE),"NO")</f>
        <v>NO</v>
      </c>
      <c r="K1193" s="5">
        <f>IFERROR(VLOOKUP(Consulta1[[#This Row],[Pozo largo]],Controles!B:H,7,FALSE),"NO")</f>
        <v>0</v>
      </c>
      <c r="L1193" s="5">
        <f>IFERROR(VLOOKUP(Consulta1[[#This Row],[Pozo largo]],Controles!B:J,9,FALSE),"NO")</f>
        <v>0</v>
      </c>
    </row>
    <row r="1194" spans="2:12" x14ac:dyDescent="0.35">
      <c r="B1194" s="4" t="s">
        <v>2309</v>
      </c>
      <c r="C1194" s="4" t="s">
        <v>6927</v>
      </c>
      <c r="D1194" s="4" t="s">
        <v>5</v>
      </c>
      <c r="E1194" s="4" t="s">
        <v>12</v>
      </c>
      <c r="F1194" s="4" t="s">
        <v>28</v>
      </c>
      <c r="G1194" s="4" t="s">
        <v>13</v>
      </c>
      <c r="H1194" s="4" t="s">
        <v>21</v>
      </c>
      <c r="I1194" s="5" t="str">
        <f>IFERROR(VLOOKUP(Consulta1[[#This Row],[Pozo largo]],'Lista YPF'!$B$3:$C$358,2,FALSE),"NO")</f>
        <v>NO</v>
      </c>
      <c r="J1194" s="5" t="str">
        <f>IFERROR(VLOOKUP(Consulta1[[#This Row],[Pozo]],'Lista Oportunidades'!B:C,2,FALSE),"NO")</f>
        <v>NO</v>
      </c>
      <c r="K1194" s="5">
        <f>IFERROR(VLOOKUP(Consulta1[[#This Row],[Pozo largo]],Controles!B:H,7,FALSE),"NO")</f>
        <v>0</v>
      </c>
      <c r="L1194" s="5">
        <f>IFERROR(VLOOKUP(Consulta1[[#This Row],[Pozo largo]],Controles!B:J,9,FALSE),"NO")</f>
        <v>0</v>
      </c>
    </row>
    <row r="1195" spans="2:12" x14ac:dyDescent="0.35">
      <c r="B1195" s="4" t="s">
        <v>2311</v>
      </c>
      <c r="C1195" s="4" t="s">
        <v>6928</v>
      </c>
      <c r="D1195" s="4" t="s">
        <v>5</v>
      </c>
      <c r="E1195" s="4" t="s">
        <v>57</v>
      </c>
      <c r="F1195" s="4" t="s">
        <v>25</v>
      </c>
      <c r="G1195" s="4" t="s">
        <v>5718</v>
      </c>
      <c r="H1195" s="4" t="s">
        <v>21</v>
      </c>
      <c r="I1195" s="5" t="str">
        <f>IFERROR(VLOOKUP(Consulta1[[#This Row],[Pozo largo]],'Lista YPF'!$B$3:$C$358,2,FALSE),"NO")</f>
        <v>En lista de Abandono</v>
      </c>
      <c r="J1195" s="5" t="str">
        <f>IFERROR(VLOOKUP(Consulta1[[#This Row],[Pozo]],'Lista Oportunidades'!B:C,2,FALSE),"NO")</f>
        <v>NO</v>
      </c>
      <c r="K1195" s="5">
        <f>IFERROR(VLOOKUP(Consulta1[[#This Row],[Pozo largo]],Controles!B:H,7,FALSE),"NO")</f>
        <v>0.21100000000000002</v>
      </c>
      <c r="L1195" s="5">
        <f>IFERROR(VLOOKUP(Consulta1[[#This Row],[Pozo largo]],Controles!B:J,9,FALSE),"NO")</f>
        <v>0</v>
      </c>
    </row>
    <row r="1196" spans="2:12" x14ac:dyDescent="0.35">
      <c r="B1196" s="4" t="s">
        <v>2313</v>
      </c>
      <c r="C1196" s="4" t="s">
        <v>6929</v>
      </c>
      <c r="D1196" s="4" t="s">
        <v>5</v>
      </c>
      <c r="E1196" s="4" t="s">
        <v>30</v>
      </c>
      <c r="F1196" s="4" t="s">
        <v>31</v>
      </c>
      <c r="G1196" s="4" t="s">
        <v>32</v>
      </c>
      <c r="H1196" s="4" t="s">
        <v>9</v>
      </c>
      <c r="I1196" s="5" t="str">
        <f>IFERROR(VLOOKUP(Consulta1[[#This Row],[Pozo largo]],'Lista YPF'!$B$3:$C$358,2,FALSE),"NO")</f>
        <v>NO</v>
      </c>
      <c r="J1196" s="5" t="str">
        <f>IFERROR(VLOOKUP(Consulta1[[#This Row],[Pozo]],'Lista Oportunidades'!B:C,2,FALSE),"NO")</f>
        <v>NO</v>
      </c>
      <c r="K1196" s="5">
        <f>IFERROR(VLOOKUP(Consulta1[[#This Row],[Pozo largo]],Controles!B:H,7,FALSE),"NO")</f>
        <v>6</v>
      </c>
      <c r="L1196" s="5">
        <f>IFERROR(VLOOKUP(Consulta1[[#This Row],[Pozo largo]],Controles!B:J,9,FALSE),"NO")</f>
        <v>0</v>
      </c>
    </row>
    <row r="1197" spans="2:12" x14ac:dyDescent="0.35">
      <c r="B1197" s="4" t="s">
        <v>2315</v>
      </c>
      <c r="C1197" s="4" t="s">
        <v>6930</v>
      </c>
      <c r="D1197" s="4" t="s">
        <v>5</v>
      </c>
      <c r="E1197" s="4" t="s">
        <v>30</v>
      </c>
      <c r="F1197" s="4" t="s">
        <v>31</v>
      </c>
      <c r="G1197" s="4" t="s">
        <v>32</v>
      </c>
      <c r="H1197" s="4" t="s">
        <v>36</v>
      </c>
      <c r="I1197" s="5" t="str">
        <f>IFERROR(VLOOKUP(Consulta1[[#This Row],[Pozo largo]],'Lista YPF'!$B$3:$C$358,2,FALSE),"NO")</f>
        <v>NO</v>
      </c>
      <c r="J1197" s="5" t="str">
        <f>IFERROR(VLOOKUP(Consulta1[[#This Row],[Pozo]],'Lista Oportunidades'!B:C,2,FALSE),"NO")</f>
        <v>NO</v>
      </c>
      <c r="K1197" s="5">
        <f>IFERROR(VLOOKUP(Consulta1[[#This Row],[Pozo largo]],Controles!B:H,7,FALSE),"NO")</f>
        <v>0.26100000000000001</v>
      </c>
      <c r="L1197" s="5">
        <f>IFERROR(VLOOKUP(Consulta1[[#This Row],[Pozo largo]],Controles!B:J,9,FALSE),"NO")</f>
        <v>0</v>
      </c>
    </row>
    <row r="1198" spans="2:12" x14ac:dyDescent="0.35">
      <c r="B1198" s="4" t="s">
        <v>2317</v>
      </c>
      <c r="C1198" s="4" t="s">
        <v>6931</v>
      </c>
      <c r="D1198" s="4" t="s">
        <v>5</v>
      </c>
      <c r="E1198" s="4" t="s">
        <v>6</v>
      </c>
      <c r="F1198" s="4" t="s">
        <v>1114</v>
      </c>
      <c r="G1198" s="4" t="s">
        <v>5718</v>
      </c>
      <c r="H1198" s="4" t="s">
        <v>36</v>
      </c>
      <c r="I1198" s="5" t="str">
        <f>IFERROR(VLOOKUP(Consulta1[[#This Row],[Pozo largo]],'Lista YPF'!$B$3:$C$358,2,FALSE),"NO")</f>
        <v>En lista de Abandono</v>
      </c>
      <c r="J1198" s="5" t="str">
        <f>IFERROR(VLOOKUP(Consulta1[[#This Row],[Pozo]],'Lista Oportunidades'!B:C,2,FALSE),"NO")</f>
        <v>NO</v>
      </c>
      <c r="K1198" s="5">
        <f>IFERROR(VLOOKUP(Consulta1[[#This Row],[Pozo largo]],Controles!B:H,7,FALSE),"NO")</f>
        <v>4.0000000000000001E-3</v>
      </c>
      <c r="L1198" s="5">
        <f>IFERROR(VLOOKUP(Consulta1[[#This Row],[Pozo largo]],Controles!B:J,9,FALSE),"NO")</f>
        <v>0</v>
      </c>
    </row>
    <row r="1199" spans="2:12" x14ac:dyDescent="0.35">
      <c r="B1199" s="4" t="s">
        <v>2319</v>
      </c>
      <c r="C1199" s="4" t="s">
        <v>6932</v>
      </c>
      <c r="D1199" s="4" t="s">
        <v>5</v>
      </c>
      <c r="E1199" s="4" t="s">
        <v>30</v>
      </c>
      <c r="F1199" s="4" t="s">
        <v>31</v>
      </c>
      <c r="G1199" s="4" t="s">
        <v>32</v>
      </c>
      <c r="H1199" s="4" t="s">
        <v>36</v>
      </c>
      <c r="I1199" s="5" t="str">
        <f>IFERROR(VLOOKUP(Consulta1[[#This Row],[Pozo largo]],'Lista YPF'!$B$3:$C$358,2,FALSE),"NO")</f>
        <v>NO</v>
      </c>
      <c r="J1199" s="5" t="str">
        <f>IFERROR(VLOOKUP(Consulta1[[#This Row],[Pozo]],'Lista Oportunidades'!B:C,2,FALSE),"NO")</f>
        <v>NO</v>
      </c>
      <c r="K1199" s="5" t="str">
        <f>IFERROR(VLOOKUP(Consulta1[[#This Row],[Pozo largo]],Controles!B:H,7,FALSE),"NO")</f>
        <v>NO</v>
      </c>
      <c r="L1199" s="5" t="str">
        <f>IFERROR(VLOOKUP(Consulta1[[#This Row],[Pozo largo]],Controles!B:J,9,FALSE),"NO")</f>
        <v>NO</v>
      </c>
    </row>
    <row r="1200" spans="2:12" x14ac:dyDescent="0.35">
      <c r="B1200" s="4" t="s">
        <v>2320</v>
      </c>
      <c r="C1200" s="4" t="s">
        <v>6933</v>
      </c>
      <c r="D1200" s="4" t="s">
        <v>5</v>
      </c>
      <c r="E1200" s="4" t="s">
        <v>24</v>
      </c>
      <c r="F1200" s="4" t="s">
        <v>31</v>
      </c>
      <c r="G1200" s="4" t="s">
        <v>8</v>
      </c>
      <c r="H1200" s="4" t="s">
        <v>21</v>
      </c>
      <c r="I1200" s="5" t="str">
        <f>IFERROR(VLOOKUP(Consulta1[[#This Row],[Pozo largo]],'Lista YPF'!$B$3:$C$358,2,FALSE),"NO")</f>
        <v>NO</v>
      </c>
      <c r="J1200" s="5" t="str">
        <f>IFERROR(VLOOKUP(Consulta1[[#This Row],[Pozo]],'Lista Oportunidades'!B:C,2,FALSE),"NO")</f>
        <v>NO</v>
      </c>
      <c r="K1200" s="5">
        <f>IFERROR(VLOOKUP(Consulta1[[#This Row],[Pozo largo]],Controles!B:H,7,FALSE),"NO")</f>
        <v>1.35</v>
      </c>
      <c r="L1200" s="5">
        <f>IFERROR(VLOOKUP(Consulta1[[#This Row],[Pozo largo]],Controles!B:J,9,FALSE),"NO")</f>
        <v>0</v>
      </c>
    </row>
    <row r="1201" spans="2:12" x14ac:dyDescent="0.35">
      <c r="B1201" s="4" t="s">
        <v>2322</v>
      </c>
      <c r="C1201" s="4" t="s">
        <v>6934</v>
      </c>
      <c r="D1201" s="4" t="s">
        <v>5</v>
      </c>
      <c r="E1201" s="4" t="s">
        <v>30</v>
      </c>
      <c r="F1201" s="4" t="s">
        <v>31</v>
      </c>
      <c r="G1201" s="4" t="s">
        <v>32</v>
      </c>
      <c r="H1201" s="4" t="s">
        <v>21</v>
      </c>
      <c r="I1201" s="5" t="str">
        <f>IFERROR(VLOOKUP(Consulta1[[#This Row],[Pozo largo]],'Lista YPF'!$B$3:$C$358,2,FALSE),"NO")</f>
        <v>NO</v>
      </c>
      <c r="J1201" s="5" t="str">
        <f>IFERROR(VLOOKUP(Consulta1[[#This Row],[Pozo]],'Lista Oportunidades'!B:C,2,FALSE),"NO")</f>
        <v>NO</v>
      </c>
      <c r="K1201" s="5" t="str">
        <f>IFERROR(VLOOKUP(Consulta1[[#This Row],[Pozo largo]],Controles!B:H,7,FALSE),"NO")</f>
        <v>NO</v>
      </c>
      <c r="L1201" s="5" t="str">
        <f>IFERROR(VLOOKUP(Consulta1[[#This Row],[Pozo largo]],Controles!B:J,9,FALSE),"NO")</f>
        <v>NO</v>
      </c>
    </row>
    <row r="1202" spans="2:12" x14ac:dyDescent="0.35">
      <c r="B1202" s="4" t="s">
        <v>2323</v>
      </c>
      <c r="C1202" s="4" t="s">
        <v>6935</v>
      </c>
      <c r="D1202" s="4" t="s">
        <v>5</v>
      </c>
      <c r="E1202" s="4" t="s">
        <v>30</v>
      </c>
      <c r="F1202" s="4" t="s">
        <v>31</v>
      </c>
      <c r="G1202" s="4" t="s">
        <v>32</v>
      </c>
      <c r="H1202" s="4" t="s">
        <v>36</v>
      </c>
      <c r="I1202" s="5" t="str">
        <f>IFERROR(VLOOKUP(Consulta1[[#This Row],[Pozo largo]],'Lista YPF'!$B$3:$C$358,2,FALSE),"NO")</f>
        <v>NO</v>
      </c>
      <c r="J1202" s="5" t="str">
        <f>IFERROR(VLOOKUP(Consulta1[[#This Row],[Pozo]],'Lista Oportunidades'!B:C,2,FALSE),"NO")</f>
        <v>NO</v>
      </c>
      <c r="K1202" s="5" t="str">
        <f>IFERROR(VLOOKUP(Consulta1[[#This Row],[Pozo largo]],Controles!B:H,7,FALSE),"NO")</f>
        <v>NO</v>
      </c>
      <c r="L1202" s="5" t="str">
        <f>IFERROR(VLOOKUP(Consulta1[[#This Row],[Pozo largo]],Controles!B:J,9,FALSE),"NO")</f>
        <v>NO</v>
      </c>
    </row>
    <row r="1203" spans="2:12" x14ac:dyDescent="0.35">
      <c r="B1203" s="4" t="s">
        <v>2324</v>
      </c>
      <c r="C1203" s="4" t="s">
        <v>6936</v>
      </c>
      <c r="D1203" s="4" t="s">
        <v>5</v>
      </c>
      <c r="E1203" s="4" t="s">
        <v>6</v>
      </c>
      <c r="F1203" s="4" t="s">
        <v>31</v>
      </c>
      <c r="G1203" s="4" t="s">
        <v>5718</v>
      </c>
      <c r="H1203" s="4" t="s">
        <v>21</v>
      </c>
      <c r="I1203" s="5" t="str">
        <f>IFERROR(VLOOKUP(Consulta1[[#This Row],[Pozo largo]],'Lista YPF'!$B$3:$C$358,2,FALSE),"NO")</f>
        <v>En lista de Abandono</v>
      </c>
      <c r="J1203" s="5" t="str">
        <f>IFERROR(VLOOKUP(Consulta1[[#This Row],[Pozo]],'Lista Oportunidades'!B:C,2,FALSE),"NO")</f>
        <v>NO</v>
      </c>
      <c r="K1203" s="5">
        <f>IFERROR(VLOOKUP(Consulta1[[#This Row],[Pozo largo]],Controles!B:H,7,FALSE),"NO")</f>
        <v>0.46</v>
      </c>
      <c r="L1203" s="5">
        <f>IFERROR(VLOOKUP(Consulta1[[#This Row],[Pozo largo]],Controles!B:J,9,FALSE),"NO")</f>
        <v>0</v>
      </c>
    </row>
    <row r="1204" spans="2:12" x14ac:dyDescent="0.35">
      <c r="B1204" s="4" t="s">
        <v>2326</v>
      </c>
      <c r="C1204" s="4" t="s">
        <v>6937</v>
      </c>
      <c r="D1204" s="4" t="s">
        <v>5</v>
      </c>
      <c r="E1204" s="4" t="s">
        <v>12</v>
      </c>
      <c r="F1204" s="4" t="s">
        <v>25</v>
      </c>
      <c r="G1204" s="4" t="s">
        <v>13</v>
      </c>
      <c r="H1204" s="4" t="s">
        <v>21</v>
      </c>
      <c r="I1204" s="5" t="str">
        <f>IFERROR(VLOOKUP(Consulta1[[#This Row],[Pozo largo]],'Lista YPF'!$B$3:$C$358,2,FALSE),"NO")</f>
        <v>NO</v>
      </c>
      <c r="J1204" s="5" t="str">
        <f>IFERROR(VLOOKUP(Consulta1[[#This Row],[Pozo]],'Lista Oportunidades'!B:C,2,FALSE),"NO")</f>
        <v>NO</v>
      </c>
      <c r="K1204" s="5">
        <f>IFERROR(VLOOKUP(Consulta1[[#This Row],[Pozo largo]],Controles!B:H,7,FALSE),"NO")</f>
        <v>0.14400000000000002</v>
      </c>
      <c r="L1204" s="5">
        <f>IFERROR(VLOOKUP(Consulta1[[#This Row],[Pozo largo]],Controles!B:J,9,FALSE),"NO")</f>
        <v>0</v>
      </c>
    </row>
    <row r="1205" spans="2:12" x14ac:dyDescent="0.35">
      <c r="B1205" s="4" t="s">
        <v>2328</v>
      </c>
      <c r="C1205" s="4" t="s">
        <v>6938</v>
      </c>
      <c r="D1205" s="4" t="s">
        <v>5</v>
      </c>
      <c r="E1205" s="4" t="s">
        <v>12</v>
      </c>
      <c r="F1205" s="4" t="s">
        <v>83</v>
      </c>
      <c r="G1205" s="4" t="s">
        <v>13</v>
      </c>
      <c r="H1205" s="4" t="s">
        <v>290</v>
      </c>
      <c r="I1205" s="5" t="str">
        <f>IFERROR(VLOOKUP(Consulta1[[#This Row],[Pozo largo]],'Lista YPF'!$B$3:$C$358,2,FALSE),"NO")</f>
        <v>NO</v>
      </c>
      <c r="J1205" s="5" t="str">
        <f>IFERROR(VLOOKUP(Consulta1[[#This Row],[Pozo]],'Lista Oportunidades'!B:C,2,FALSE),"NO")</f>
        <v>NO</v>
      </c>
      <c r="K1205" s="5">
        <f>IFERROR(VLOOKUP(Consulta1[[#This Row],[Pozo largo]],Controles!B:H,7,FALSE),"NO")</f>
        <v>2.9</v>
      </c>
      <c r="L1205" s="5">
        <f>IFERROR(VLOOKUP(Consulta1[[#This Row],[Pozo largo]],Controles!B:J,9,FALSE),"NO")</f>
        <v>0</v>
      </c>
    </row>
    <row r="1206" spans="2:12" x14ac:dyDescent="0.35">
      <c r="B1206" s="4" t="s">
        <v>2330</v>
      </c>
      <c r="C1206" s="4" t="s">
        <v>6939</v>
      </c>
      <c r="D1206" s="4" t="s">
        <v>5</v>
      </c>
      <c r="E1206" s="4" t="s">
        <v>24</v>
      </c>
      <c r="F1206" s="4" t="s">
        <v>25</v>
      </c>
      <c r="G1206" s="4" t="s">
        <v>8</v>
      </c>
      <c r="H1206" s="4" t="s">
        <v>86</v>
      </c>
      <c r="I1206" s="5" t="str">
        <f>IFERROR(VLOOKUP(Consulta1[[#This Row],[Pozo largo]],'Lista YPF'!$B$3:$C$358,2,FALSE),"NO")</f>
        <v>NO</v>
      </c>
      <c r="J1206" s="5" t="str">
        <f>IFERROR(VLOOKUP(Consulta1[[#This Row],[Pozo]],'Lista Oportunidades'!B:C,2,FALSE),"NO")</f>
        <v>NO</v>
      </c>
      <c r="K1206" s="5">
        <f>IFERROR(VLOOKUP(Consulta1[[#This Row],[Pozo largo]],Controles!B:H,7,FALSE),"NO")</f>
        <v>8.2000000000000003E-2</v>
      </c>
      <c r="L1206" s="5">
        <f>IFERROR(VLOOKUP(Consulta1[[#This Row],[Pozo largo]],Controles!B:J,9,FALSE),"NO")</f>
        <v>0</v>
      </c>
    </row>
    <row r="1207" spans="2:12" x14ac:dyDescent="0.35">
      <c r="B1207" s="4" t="s">
        <v>2332</v>
      </c>
      <c r="C1207" s="4" t="s">
        <v>6940</v>
      </c>
      <c r="D1207" s="4" t="s">
        <v>5</v>
      </c>
      <c r="E1207" s="4" t="s">
        <v>30</v>
      </c>
      <c r="F1207" s="4" t="s">
        <v>31</v>
      </c>
      <c r="G1207" s="4" t="s">
        <v>32</v>
      </c>
      <c r="H1207" s="4" t="s">
        <v>16</v>
      </c>
      <c r="I1207" s="5" t="str">
        <f>IFERROR(VLOOKUP(Consulta1[[#This Row],[Pozo largo]],'Lista YPF'!$B$3:$C$358,2,FALSE),"NO")</f>
        <v>NO</v>
      </c>
      <c r="J1207" s="5" t="str">
        <f>IFERROR(VLOOKUP(Consulta1[[#This Row],[Pozo]],'Lista Oportunidades'!B:C,2,FALSE),"NO")</f>
        <v>NO</v>
      </c>
      <c r="K1207" s="5" t="str">
        <f>IFERROR(VLOOKUP(Consulta1[[#This Row],[Pozo largo]],Controles!B:H,7,FALSE),"NO")</f>
        <v>NO</v>
      </c>
      <c r="L1207" s="5" t="str">
        <f>IFERROR(VLOOKUP(Consulta1[[#This Row],[Pozo largo]],Controles!B:J,9,FALSE),"NO")</f>
        <v>NO</v>
      </c>
    </row>
    <row r="1208" spans="2:12" x14ac:dyDescent="0.35">
      <c r="B1208" s="4" t="s">
        <v>2333</v>
      </c>
      <c r="C1208" s="4" t="s">
        <v>6941</v>
      </c>
      <c r="D1208" s="4" t="s">
        <v>5</v>
      </c>
      <c r="E1208" s="4" t="s">
        <v>30</v>
      </c>
      <c r="F1208" s="4" t="s">
        <v>31</v>
      </c>
      <c r="G1208" s="4" t="s">
        <v>32</v>
      </c>
      <c r="H1208" s="4" t="s">
        <v>80</v>
      </c>
      <c r="I1208" s="5" t="str">
        <f>IFERROR(VLOOKUP(Consulta1[[#This Row],[Pozo largo]],'Lista YPF'!$B$3:$C$358,2,FALSE),"NO")</f>
        <v>NO</v>
      </c>
      <c r="J1208" s="5" t="str">
        <f>IFERROR(VLOOKUP(Consulta1[[#This Row],[Pozo]],'Lista Oportunidades'!B:C,2,FALSE),"NO")</f>
        <v>NO</v>
      </c>
      <c r="K1208" s="5" t="str">
        <f>IFERROR(VLOOKUP(Consulta1[[#This Row],[Pozo largo]],Controles!B:H,7,FALSE),"NO")</f>
        <v>NO</v>
      </c>
      <c r="L1208" s="5" t="str">
        <f>IFERROR(VLOOKUP(Consulta1[[#This Row],[Pozo largo]],Controles!B:J,9,FALSE),"NO")</f>
        <v>NO</v>
      </c>
    </row>
    <row r="1209" spans="2:12" x14ac:dyDescent="0.35">
      <c r="B1209" s="4" t="s">
        <v>2334</v>
      </c>
      <c r="C1209" s="4" t="s">
        <v>6942</v>
      </c>
      <c r="D1209" s="4" t="s">
        <v>5</v>
      </c>
      <c r="E1209" s="4" t="s">
        <v>30</v>
      </c>
      <c r="F1209" s="4" t="s">
        <v>31</v>
      </c>
      <c r="G1209" s="4" t="s">
        <v>32</v>
      </c>
      <c r="H1209" s="4" t="s">
        <v>86</v>
      </c>
      <c r="I1209" s="5" t="str">
        <f>IFERROR(VLOOKUP(Consulta1[[#This Row],[Pozo largo]],'Lista YPF'!$B$3:$C$358,2,FALSE),"NO")</f>
        <v>NO</v>
      </c>
      <c r="J1209" s="5" t="str">
        <f>IFERROR(VLOOKUP(Consulta1[[#This Row],[Pozo]],'Lista Oportunidades'!B:C,2,FALSE),"NO")</f>
        <v>NO</v>
      </c>
      <c r="K1209" s="5" t="str">
        <f>IFERROR(VLOOKUP(Consulta1[[#This Row],[Pozo largo]],Controles!B:H,7,FALSE),"NO")</f>
        <v>NO</v>
      </c>
      <c r="L1209" s="5" t="str">
        <f>IFERROR(VLOOKUP(Consulta1[[#This Row],[Pozo largo]],Controles!B:J,9,FALSE),"NO")</f>
        <v>NO</v>
      </c>
    </row>
    <row r="1210" spans="2:12" x14ac:dyDescent="0.35">
      <c r="B1210" s="4" t="s">
        <v>2335</v>
      </c>
      <c r="C1210" s="4" t="s">
        <v>6943</v>
      </c>
      <c r="D1210" s="4" t="s">
        <v>5</v>
      </c>
      <c r="E1210" s="4" t="s">
        <v>30</v>
      </c>
      <c r="F1210" s="4" t="s">
        <v>31</v>
      </c>
      <c r="G1210" s="4" t="s">
        <v>32</v>
      </c>
      <c r="H1210" s="4" t="s">
        <v>86</v>
      </c>
      <c r="I1210" s="5" t="str">
        <f>IFERROR(VLOOKUP(Consulta1[[#This Row],[Pozo largo]],'Lista YPF'!$B$3:$C$358,2,FALSE),"NO")</f>
        <v>NO</v>
      </c>
      <c r="J1210" s="5" t="str">
        <f>IFERROR(VLOOKUP(Consulta1[[#This Row],[Pozo]],'Lista Oportunidades'!B:C,2,FALSE),"NO")</f>
        <v>NO</v>
      </c>
      <c r="K1210" s="5" t="str">
        <f>IFERROR(VLOOKUP(Consulta1[[#This Row],[Pozo largo]],Controles!B:H,7,FALSE),"NO")</f>
        <v>NO</v>
      </c>
      <c r="L1210" s="5" t="str">
        <f>IFERROR(VLOOKUP(Consulta1[[#This Row],[Pozo largo]],Controles!B:J,9,FALSE),"NO")</f>
        <v>NO</v>
      </c>
    </row>
    <row r="1211" spans="2:12" x14ac:dyDescent="0.35">
      <c r="B1211" s="4" t="s">
        <v>2336</v>
      </c>
      <c r="C1211" s="4" t="s">
        <v>6944</v>
      </c>
      <c r="D1211" s="4" t="s">
        <v>5</v>
      </c>
      <c r="E1211" s="4" t="s">
        <v>24</v>
      </c>
      <c r="F1211" s="4" t="s">
        <v>25</v>
      </c>
      <c r="G1211" s="4" t="s">
        <v>8</v>
      </c>
      <c r="H1211" s="4" t="s">
        <v>86</v>
      </c>
      <c r="I1211" s="5" t="str">
        <f>IFERROR(VLOOKUP(Consulta1[[#This Row],[Pozo largo]],'Lista YPF'!$B$3:$C$358,2,FALSE),"NO")</f>
        <v>NO</v>
      </c>
      <c r="J1211" s="5" t="str">
        <f>IFERROR(VLOOKUP(Consulta1[[#This Row],[Pozo]],'Lista Oportunidades'!B:C,2,FALSE),"NO")</f>
        <v>NO</v>
      </c>
      <c r="K1211" s="5">
        <f>IFERROR(VLOOKUP(Consulta1[[#This Row],[Pozo largo]],Controles!B:H,7,FALSE),"NO")</f>
        <v>4.8000000000000001E-2</v>
      </c>
      <c r="L1211" s="5">
        <f>IFERROR(VLOOKUP(Consulta1[[#This Row],[Pozo largo]],Controles!B:J,9,FALSE),"NO")</f>
        <v>0</v>
      </c>
    </row>
    <row r="1212" spans="2:12" x14ac:dyDescent="0.35">
      <c r="B1212" s="4" t="s">
        <v>2338</v>
      </c>
      <c r="C1212" s="4" t="s">
        <v>6945</v>
      </c>
      <c r="D1212" s="4" t="s">
        <v>5</v>
      </c>
      <c r="E1212" s="4" t="s">
        <v>30</v>
      </c>
      <c r="F1212" s="4" t="s">
        <v>31</v>
      </c>
      <c r="G1212" s="4" t="s">
        <v>32</v>
      </c>
      <c r="H1212" s="4" t="s">
        <v>91</v>
      </c>
      <c r="I1212" s="5" t="str">
        <f>IFERROR(VLOOKUP(Consulta1[[#This Row],[Pozo largo]],'Lista YPF'!$B$3:$C$358,2,FALSE),"NO")</f>
        <v>NO</v>
      </c>
      <c r="J1212" s="5" t="str">
        <f>IFERROR(VLOOKUP(Consulta1[[#This Row],[Pozo]],'Lista Oportunidades'!B:C,2,FALSE),"NO")</f>
        <v>NO</v>
      </c>
      <c r="K1212" s="5" t="str">
        <f>IFERROR(VLOOKUP(Consulta1[[#This Row],[Pozo largo]],Controles!B:H,7,FALSE),"NO")</f>
        <v>NO</v>
      </c>
      <c r="L1212" s="5" t="str">
        <f>IFERROR(VLOOKUP(Consulta1[[#This Row],[Pozo largo]],Controles!B:J,9,FALSE),"NO")</f>
        <v>NO</v>
      </c>
    </row>
    <row r="1213" spans="2:12" x14ac:dyDescent="0.35">
      <c r="B1213" s="4" t="s">
        <v>2339</v>
      </c>
      <c r="C1213" s="4" t="s">
        <v>6946</v>
      </c>
      <c r="D1213" s="4" t="s">
        <v>5</v>
      </c>
      <c r="E1213" s="4" t="s">
        <v>12</v>
      </c>
      <c r="F1213" s="4" t="s">
        <v>25</v>
      </c>
      <c r="G1213" s="4" t="s">
        <v>13</v>
      </c>
      <c r="H1213" s="4" t="s">
        <v>185</v>
      </c>
      <c r="I1213" s="5" t="str">
        <f>IFERROR(VLOOKUP(Consulta1[[#This Row],[Pozo largo]],'Lista YPF'!$B$3:$C$358,2,FALSE),"NO")</f>
        <v>NO</v>
      </c>
      <c r="J1213" s="5" t="str">
        <f>IFERROR(VLOOKUP(Consulta1[[#This Row],[Pozo]],'Lista Oportunidades'!B:C,2,FALSE),"NO")</f>
        <v>NO</v>
      </c>
      <c r="K1213" s="5">
        <f>IFERROR(VLOOKUP(Consulta1[[#This Row],[Pozo largo]],Controles!B:H,7,FALSE),"NO")</f>
        <v>0.12300000000000001</v>
      </c>
      <c r="L1213" s="5">
        <f>IFERROR(VLOOKUP(Consulta1[[#This Row],[Pozo largo]],Controles!B:J,9,FALSE),"NO")</f>
        <v>0</v>
      </c>
    </row>
    <row r="1214" spans="2:12" x14ac:dyDescent="0.35">
      <c r="B1214" s="4" t="s">
        <v>2341</v>
      </c>
      <c r="C1214" s="4" t="s">
        <v>6947</v>
      </c>
      <c r="D1214" s="4" t="s">
        <v>5</v>
      </c>
      <c r="E1214" s="4" t="s">
        <v>30</v>
      </c>
      <c r="F1214" s="4" t="s">
        <v>31</v>
      </c>
      <c r="G1214" s="4" t="s">
        <v>32</v>
      </c>
      <c r="H1214" s="4" t="s">
        <v>91</v>
      </c>
      <c r="I1214" s="5" t="str">
        <f>IFERROR(VLOOKUP(Consulta1[[#This Row],[Pozo largo]],'Lista YPF'!$B$3:$C$358,2,FALSE),"NO")</f>
        <v>NO</v>
      </c>
      <c r="J1214" s="5" t="str">
        <f>IFERROR(VLOOKUP(Consulta1[[#This Row],[Pozo]],'Lista Oportunidades'!B:C,2,FALSE),"NO")</f>
        <v>NO</v>
      </c>
      <c r="K1214" s="5" t="str">
        <f>IFERROR(VLOOKUP(Consulta1[[#This Row],[Pozo largo]],Controles!B:H,7,FALSE),"NO")</f>
        <v>NO</v>
      </c>
      <c r="L1214" s="5" t="str">
        <f>IFERROR(VLOOKUP(Consulta1[[#This Row],[Pozo largo]],Controles!B:J,9,FALSE),"NO")</f>
        <v>NO</v>
      </c>
    </row>
    <row r="1215" spans="2:12" x14ac:dyDescent="0.35">
      <c r="B1215" s="4" t="s">
        <v>2342</v>
      </c>
      <c r="C1215" s="4" t="s">
        <v>6948</v>
      </c>
      <c r="D1215" s="4" t="s">
        <v>5</v>
      </c>
      <c r="E1215" s="4" t="s">
        <v>57</v>
      </c>
      <c r="F1215" s="4" t="s">
        <v>7</v>
      </c>
      <c r="G1215" s="4" t="s">
        <v>5718</v>
      </c>
      <c r="H1215" s="4" t="s">
        <v>21</v>
      </c>
      <c r="I1215" s="5" t="str">
        <f>IFERROR(VLOOKUP(Consulta1[[#This Row],[Pozo largo]],'Lista YPF'!$B$3:$C$358,2,FALSE),"NO")</f>
        <v>En lista de Abandono</v>
      </c>
      <c r="J1215" s="5" t="str">
        <f>IFERROR(VLOOKUP(Consulta1[[#This Row],[Pozo]],'Lista Oportunidades'!B:C,2,FALSE),"NO")</f>
        <v>NO</v>
      </c>
      <c r="K1215" s="5">
        <f>IFERROR(VLOOKUP(Consulta1[[#This Row],[Pozo largo]],Controles!B:H,7,FALSE),"NO")</f>
        <v>0.872</v>
      </c>
      <c r="L1215" s="5">
        <f>IFERROR(VLOOKUP(Consulta1[[#This Row],[Pozo largo]],Controles!B:J,9,FALSE),"NO")</f>
        <v>0</v>
      </c>
    </row>
    <row r="1216" spans="2:12" x14ac:dyDescent="0.35">
      <c r="B1216" s="4" t="s">
        <v>2344</v>
      </c>
      <c r="C1216" s="4" t="s">
        <v>6949</v>
      </c>
      <c r="D1216" s="4" t="s">
        <v>5</v>
      </c>
      <c r="E1216" s="4" t="s">
        <v>12</v>
      </c>
      <c r="F1216" s="4" t="s">
        <v>83</v>
      </c>
      <c r="G1216" s="4" t="s">
        <v>13</v>
      </c>
      <c r="H1216" s="4" t="s">
        <v>86</v>
      </c>
      <c r="I1216" s="5" t="str">
        <f>IFERROR(VLOOKUP(Consulta1[[#This Row],[Pozo largo]],'Lista YPF'!$B$3:$C$358,2,FALSE),"NO")</f>
        <v>NO</v>
      </c>
      <c r="J1216" s="5" t="str">
        <f>IFERROR(VLOOKUP(Consulta1[[#This Row],[Pozo]],'Lista Oportunidades'!B:C,2,FALSE),"NO")</f>
        <v>NO</v>
      </c>
      <c r="K1216" s="5">
        <f>IFERROR(VLOOKUP(Consulta1[[#This Row],[Pozo largo]],Controles!B:H,7,FALSE),"NO")</f>
        <v>0.31</v>
      </c>
      <c r="L1216" s="5">
        <f>IFERROR(VLOOKUP(Consulta1[[#This Row],[Pozo largo]],Controles!B:J,9,FALSE),"NO")</f>
        <v>0</v>
      </c>
    </row>
    <row r="1217" spans="2:12" x14ac:dyDescent="0.35">
      <c r="B1217" s="4" t="s">
        <v>2346</v>
      </c>
      <c r="C1217" s="4" t="s">
        <v>6950</v>
      </c>
      <c r="D1217" s="4" t="s">
        <v>5</v>
      </c>
      <c r="E1217" s="4" t="s">
        <v>6</v>
      </c>
      <c r="F1217" s="4" t="s">
        <v>28</v>
      </c>
      <c r="G1217" s="4" t="s">
        <v>5718</v>
      </c>
      <c r="H1217" s="4" t="s">
        <v>86</v>
      </c>
      <c r="I1217" s="5" t="str">
        <f>IFERROR(VLOOKUP(Consulta1[[#This Row],[Pozo largo]],'Lista YPF'!$B$3:$C$358,2,FALSE),"NO")</f>
        <v>En lista de Abandono</v>
      </c>
      <c r="J1217" s="5" t="str">
        <f>IFERROR(VLOOKUP(Consulta1[[#This Row],[Pozo]],'Lista Oportunidades'!B:C,2,FALSE),"NO")</f>
        <v>NO</v>
      </c>
      <c r="K1217" s="5">
        <f>IFERROR(VLOOKUP(Consulta1[[#This Row],[Pozo largo]],Controles!B:H,7,FALSE),"NO")</f>
        <v>0</v>
      </c>
      <c r="L1217" s="5">
        <f>IFERROR(VLOOKUP(Consulta1[[#This Row],[Pozo largo]],Controles!B:J,9,FALSE),"NO")</f>
        <v>0</v>
      </c>
    </row>
    <row r="1218" spans="2:12" x14ac:dyDescent="0.35">
      <c r="B1218" s="4" t="s">
        <v>2348</v>
      </c>
      <c r="C1218" s="4" t="s">
        <v>6951</v>
      </c>
      <c r="D1218" s="4" t="s">
        <v>5</v>
      </c>
      <c r="E1218" s="4" t="s">
        <v>30</v>
      </c>
      <c r="F1218" s="4" t="s">
        <v>31</v>
      </c>
      <c r="G1218" s="4" t="s">
        <v>32</v>
      </c>
      <c r="H1218" s="4" t="s">
        <v>80</v>
      </c>
      <c r="I1218" s="5" t="str">
        <f>IFERROR(VLOOKUP(Consulta1[[#This Row],[Pozo largo]],'Lista YPF'!$B$3:$C$358,2,FALSE),"NO")</f>
        <v>NO</v>
      </c>
      <c r="J1218" s="5" t="str">
        <f>IFERROR(VLOOKUP(Consulta1[[#This Row],[Pozo]],'Lista Oportunidades'!B:C,2,FALSE),"NO")</f>
        <v>NO</v>
      </c>
      <c r="K1218" s="5">
        <f>IFERROR(VLOOKUP(Consulta1[[#This Row],[Pozo largo]],Controles!B:H,7,FALSE),"NO")</f>
        <v>0.442</v>
      </c>
      <c r="L1218" s="5">
        <f>IFERROR(VLOOKUP(Consulta1[[#This Row],[Pozo largo]],Controles!B:J,9,FALSE),"NO")</f>
        <v>0</v>
      </c>
    </row>
    <row r="1219" spans="2:12" x14ac:dyDescent="0.35">
      <c r="B1219" s="4" t="s">
        <v>2350</v>
      </c>
      <c r="C1219" s="4" t="s">
        <v>6952</v>
      </c>
      <c r="D1219" s="4" t="s">
        <v>5</v>
      </c>
      <c r="E1219" s="4" t="s">
        <v>24</v>
      </c>
      <c r="F1219" s="4" t="s">
        <v>7</v>
      </c>
      <c r="G1219" s="4" t="s">
        <v>8</v>
      </c>
      <c r="H1219" s="4" t="s">
        <v>9</v>
      </c>
      <c r="I1219" s="5" t="str">
        <f>IFERROR(VLOOKUP(Consulta1[[#This Row],[Pozo largo]],'Lista YPF'!$B$3:$C$358,2,FALSE),"NO")</f>
        <v>NO</v>
      </c>
      <c r="J1219" s="5" t="str">
        <f>IFERROR(VLOOKUP(Consulta1[[#This Row],[Pozo]],'Lista Oportunidades'!B:C,2,FALSE),"NO")</f>
        <v>NO</v>
      </c>
      <c r="K1219" s="5">
        <f>IFERROR(VLOOKUP(Consulta1[[#This Row],[Pozo largo]],Controles!B:H,7,FALSE),"NO")</f>
        <v>0.16</v>
      </c>
      <c r="L1219" s="5">
        <f>IFERROR(VLOOKUP(Consulta1[[#This Row],[Pozo largo]],Controles!B:J,9,FALSE),"NO")</f>
        <v>0</v>
      </c>
    </row>
    <row r="1220" spans="2:12" x14ac:dyDescent="0.35">
      <c r="B1220" s="4" t="s">
        <v>2352</v>
      </c>
      <c r="C1220" s="4" t="s">
        <v>6953</v>
      </c>
      <c r="D1220" s="4" t="s">
        <v>5</v>
      </c>
      <c r="E1220" s="4" t="s">
        <v>6</v>
      </c>
      <c r="F1220" s="4" t="s">
        <v>28</v>
      </c>
      <c r="G1220" s="4" t="s">
        <v>5718</v>
      </c>
      <c r="H1220" s="4" t="s">
        <v>21</v>
      </c>
      <c r="I1220" s="5" t="str">
        <f>IFERROR(VLOOKUP(Consulta1[[#This Row],[Pozo largo]],'Lista YPF'!$B$3:$C$358,2,FALSE),"NO")</f>
        <v>En lista de Abandono</v>
      </c>
      <c r="J1220" s="5" t="str">
        <f>IFERROR(VLOOKUP(Consulta1[[#This Row],[Pozo]],'Lista Oportunidades'!B:C,2,FALSE),"NO")</f>
        <v>NO</v>
      </c>
      <c r="K1220" s="5">
        <f>IFERROR(VLOOKUP(Consulta1[[#This Row],[Pozo largo]],Controles!B:H,7,FALSE),"NO")</f>
        <v>0</v>
      </c>
      <c r="L1220" s="5" t="str">
        <f>IFERROR(VLOOKUP(Consulta1[[#This Row],[Pozo largo]],Controles!B:J,9,FALSE),"NO")</f>
        <v>Ultimo Año</v>
      </c>
    </row>
    <row r="1221" spans="2:12" x14ac:dyDescent="0.35">
      <c r="B1221" s="4" t="s">
        <v>2354</v>
      </c>
      <c r="C1221" s="4" t="s">
        <v>6954</v>
      </c>
      <c r="D1221" s="4" t="s">
        <v>5</v>
      </c>
      <c r="E1221" s="4" t="s">
        <v>12</v>
      </c>
      <c r="F1221" s="4" t="s">
        <v>7</v>
      </c>
      <c r="G1221" s="4" t="s">
        <v>13</v>
      </c>
      <c r="H1221" s="4" t="s">
        <v>9</v>
      </c>
      <c r="I1221" s="5" t="str">
        <f>IFERROR(VLOOKUP(Consulta1[[#This Row],[Pozo largo]],'Lista YPF'!$B$3:$C$358,2,FALSE),"NO")</f>
        <v>NO</v>
      </c>
      <c r="J1221" s="5" t="str">
        <f>IFERROR(VLOOKUP(Consulta1[[#This Row],[Pozo]],'Lista Oportunidades'!B:C,2,FALSE),"NO")</f>
        <v>NO</v>
      </c>
      <c r="K1221" s="5">
        <f>IFERROR(VLOOKUP(Consulta1[[#This Row],[Pozo largo]],Controles!B:H,7,FALSE),"NO")</f>
        <v>2.9260000000000002</v>
      </c>
      <c r="L1221" s="5">
        <f>IFERROR(VLOOKUP(Consulta1[[#This Row],[Pozo largo]],Controles!B:J,9,FALSE),"NO")</f>
        <v>0</v>
      </c>
    </row>
    <row r="1222" spans="2:12" x14ac:dyDescent="0.35">
      <c r="B1222" s="4" t="s">
        <v>2356</v>
      </c>
      <c r="C1222" s="4" t="s">
        <v>6955</v>
      </c>
      <c r="D1222" s="4" t="s">
        <v>5</v>
      </c>
      <c r="E1222" s="4" t="s">
        <v>57</v>
      </c>
      <c r="F1222" s="4" t="s">
        <v>7</v>
      </c>
      <c r="G1222" s="4" t="s">
        <v>11387</v>
      </c>
      <c r="H1222" s="4" t="s">
        <v>86</v>
      </c>
      <c r="I1222" s="5" t="str">
        <f>IFERROR(VLOOKUP(Consulta1[[#This Row],[Pozo largo]],'Lista YPF'!$B$3:$C$358,2,FALSE),"NO")</f>
        <v>NO</v>
      </c>
      <c r="J1222" s="5" t="str">
        <f>IFERROR(VLOOKUP(Consulta1[[#This Row],[Pozo]],'Lista Oportunidades'!B:C,2,FALSE),"NO")</f>
        <v>NO</v>
      </c>
      <c r="K1222" s="5">
        <f>IFERROR(VLOOKUP(Consulta1[[#This Row],[Pozo largo]],Controles!B:H,7,FALSE),"NO")</f>
        <v>1.08</v>
      </c>
      <c r="L1222" s="5" t="str">
        <f>IFERROR(VLOOKUP(Consulta1[[#This Row],[Pozo largo]],Controles!B:J,9,FALSE),"NO")</f>
        <v>Ultimo Año</v>
      </c>
    </row>
    <row r="1223" spans="2:12" x14ac:dyDescent="0.35">
      <c r="B1223" s="4" t="s">
        <v>2358</v>
      </c>
      <c r="C1223" s="4" t="s">
        <v>6956</v>
      </c>
      <c r="D1223" s="4" t="s">
        <v>5</v>
      </c>
      <c r="E1223" s="4" t="s">
        <v>12</v>
      </c>
      <c r="F1223" s="4" t="s">
        <v>25</v>
      </c>
      <c r="G1223" s="4" t="s">
        <v>13</v>
      </c>
      <c r="H1223" s="4" t="s">
        <v>91</v>
      </c>
      <c r="I1223" s="5" t="str">
        <f>IFERROR(VLOOKUP(Consulta1[[#This Row],[Pozo largo]],'Lista YPF'!$B$3:$C$358,2,FALSE),"NO")</f>
        <v>NO</v>
      </c>
      <c r="J1223" s="5" t="str">
        <f>IFERROR(VLOOKUP(Consulta1[[#This Row],[Pozo]],'Lista Oportunidades'!B:C,2,FALSE),"NO")</f>
        <v>NO</v>
      </c>
      <c r="K1223" s="5">
        <f>IFERROR(VLOOKUP(Consulta1[[#This Row],[Pozo largo]],Controles!B:H,7,FALSE),"NO")</f>
        <v>0.10500000000000001</v>
      </c>
      <c r="L1223" s="5">
        <f>IFERROR(VLOOKUP(Consulta1[[#This Row],[Pozo largo]],Controles!B:J,9,FALSE),"NO")</f>
        <v>0</v>
      </c>
    </row>
    <row r="1224" spans="2:12" x14ac:dyDescent="0.35">
      <c r="B1224" s="4" t="s">
        <v>2360</v>
      </c>
      <c r="C1224" s="4" t="s">
        <v>6957</v>
      </c>
      <c r="D1224" s="4" t="s">
        <v>5</v>
      </c>
      <c r="E1224" s="4" t="s">
        <v>30</v>
      </c>
      <c r="F1224" s="4" t="s">
        <v>31</v>
      </c>
      <c r="G1224" s="4" t="s">
        <v>32</v>
      </c>
      <c r="H1224" s="4" t="s">
        <v>21</v>
      </c>
      <c r="I1224" s="5" t="str">
        <f>IFERROR(VLOOKUP(Consulta1[[#This Row],[Pozo largo]],'Lista YPF'!$B$3:$C$358,2,FALSE),"NO")</f>
        <v>NO</v>
      </c>
      <c r="J1224" s="5" t="str">
        <f>IFERROR(VLOOKUP(Consulta1[[#This Row],[Pozo]],'Lista Oportunidades'!B:C,2,FALSE),"NO")</f>
        <v>NO</v>
      </c>
      <c r="K1224" s="5" t="str">
        <f>IFERROR(VLOOKUP(Consulta1[[#This Row],[Pozo largo]],Controles!B:H,7,FALSE),"NO")</f>
        <v>NO</v>
      </c>
      <c r="L1224" s="5" t="str">
        <f>IFERROR(VLOOKUP(Consulta1[[#This Row],[Pozo largo]],Controles!B:J,9,FALSE),"NO")</f>
        <v>NO</v>
      </c>
    </row>
    <row r="1225" spans="2:12" x14ac:dyDescent="0.35">
      <c r="B1225" s="4" t="s">
        <v>2361</v>
      </c>
      <c r="C1225" s="4" t="s">
        <v>6958</v>
      </c>
      <c r="D1225" s="4" t="s">
        <v>5</v>
      </c>
      <c r="E1225" s="4" t="s">
        <v>12</v>
      </c>
      <c r="F1225" s="4" t="s">
        <v>7</v>
      </c>
      <c r="G1225" s="4" t="s">
        <v>13</v>
      </c>
      <c r="H1225" s="4" t="s">
        <v>86</v>
      </c>
      <c r="I1225" s="5" t="str">
        <f>IFERROR(VLOOKUP(Consulta1[[#This Row],[Pozo largo]],'Lista YPF'!$B$3:$C$358,2,FALSE),"NO")</f>
        <v>NO</v>
      </c>
      <c r="J1225" s="5" t="str">
        <f>IFERROR(VLOOKUP(Consulta1[[#This Row],[Pozo]],'Lista Oportunidades'!B:C,2,FALSE),"NO")</f>
        <v>NO</v>
      </c>
      <c r="K1225" s="5">
        <f>IFERROR(VLOOKUP(Consulta1[[#This Row],[Pozo largo]],Controles!B:H,7,FALSE),"NO")</f>
        <v>3.1240000000000001</v>
      </c>
      <c r="L1225" s="5">
        <f>IFERROR(VLOOKUP(Consulta1[[#This Row],[Pozo largo]],Controles!B:J,9,FALSE),"NO")</f>
        <v>0</v>
      </c>
    </row>
    <row r="1226" spans="2:12" x14ac:dyDescent="0.35">
      <c r="B1226" s="4" t="s">
        <v>2363</v>
      </c>
      <c r="C1226" s="4" t="s">
        <v>6959</v>
      </c>
      <c r="D1226" s="4" t="s">
        <v>5</v>
      </c>
      <c r="E1226" s="4" t="s">
        <v>24</v>
      </c>
      <c r="F1226" s="4" t="s">
        <v>7</v>
      </c>
      <c r="G1226" s="4" t="s">
        <v>8</v>
      </c>
      <c r="H1226" s="4" t="s">
        <v>74</v>
      </c>
      <c r="I1226" s="5" t="str">
        <f>IFERROR(VLOOKUP(Consulta1[[#This Row],[Pozo largo]],'Lista YPF'!$B$3:$C$358,2,FALSE),"NO")</f>
        <v>NO</v>
      </c>
      <c r="J1226" s="5" t="str">
        <f>IFERROR(VLOOKUP(Consulta1[[#This Row],[Pozo]],'Lista Oportunidades'!B:C,2,FALSE),"NO")</f>
        <v>NO</v>
      </c>
      <c r="K1226" s="5">
        <f>IFERROR(VLOOKUP(Consulta1[[#This Row],[Pozo largo]],Controles!B:H,7,FALSE),"NO")</f>
        <v>0.99</v>
      </c>
      <c r="L1226" s="5">
        <f>IFERROR(VLOOKUP(Consulta1[[#This Row],[Pozo largo]],Controles!B:J,9,FALSE),"NO")</f>
        <v>0</v>
      </c>
    </row>
    <row r="1227" spans="2:12" x14ac:dyDescent="0.35">
      <c r="B1227" s="4" t="s">
        <v>2365</v>
      </c>
      <c r="C1227" s="4" t="s">
        <v>6960</v>
      </c>
      <c r="D1227" s="4" t="s">
        <v>5</v>
      </c>
      <c r="E1227" s="4" t="s">
        <v>12</v>
      </c>
      <c r="F1227" s="4" t="s">
        <v>28</v>
      </c>
      <c r="G1227" s="4" t="s">
        <v>13</v>
      </c>
      <c r="H1227" s="4" t="s">
        <v>185</v>
      </c>
      <c r="I1227" s="5" t="str">
        <f>IFERROR(VLOOKUP(Consulta1[[#This Row],[Pozo largo]],'Lista YPF'!$B$3:$C$358,2,FALSE),"NO")</f>
        <v>NO</v>
      </c>
      <c r="J1227" s="5" t="str">
        <f>IFERROR(VLOOKUP(Consulta1[[#This Row],[Pozo]],'Lista Oportunidades'!B:C,2,FALSE),"NO")</f>
        <v>NO</v>
      </c>
      <c r="K1227" s="5">
        <f>IFERROR(VLOOKUP(Consulta1[[#This Row],[Pozo largo]],Controles!B:H,7,FALSE),"NO")</f>
        <v>0</v>
      </c>
      <c r="L1227" s="5">
        <f>IFERROR(VLOOKUP(Consulta1[[#This Row],[Pozo largo]],Controles!B:J,9,FALSE),"NO")</f>
        <v>0</v>
      </c>
    </row>
    <row r="1228" spans="2:12" x14ac:dyDescent="0.35">
      <c r="B1228" s="4" t="s">
        <v>2367</v>
      </c>
      <c r="C1228" s="4" t="s">
        <v>6961</v>
      </c>
      <c r="D1228" s="4" t="s">
        <v>5</v>
      </c>
      <c r="E1228" s="4" t="s">
        <v>24</v>
      </c>
      <c r="F1228" s="4" t="s">
        <v>25</v>
      </c>
      <c r="G1228" s="4" t="s">
        <v>8</v>
      </c>
      <c r="H1228" s="4" t="s">
        <v>91</v>
      </c>
      <c r="I1228" s="5" t="str">
        <f>IFERROR(VLOOKUP(Consulta1[[#This Row],[Pozo largo]],'Lista YPF'!$B$3:$C$358,2,FALSE),"NO")</f>
        <v>NO</v>
      </c>
      <c r="J1228" s="5" t="str">
        <f>IFERROR(VLOOKUP(Consulta1[[#This Row],[Pozo]],'Lista Oportunidades'!B:C,2,FALSE),"NO")</f>
        <v>NO</v>
      </c>
      <c r="K1228" s="5">
        <f>IFERROR(VLOOKUP(Consulta1[[#This Row],[Pozo largo]],Controles!B:H,7,FALSE),"NO")</f>
        <v>6.3E-2</v>
      </c>
      <c r="L1228" s="5">
        <f>IFERROR(VLOOKUP(Consulta1[[#This Row],[Pozo largo]],Controles!B:J,9,FALSE),"NO")</f>
        <v>0</v>
      </c>
    </row>
    <row r="1229" spans="2:12" x14ac:dyDescent="0.35">
      <c r="B1229" s="4" t="s">
        <v>2369</v>
      </c>
      <c r="C1229" s="4" t="s">
        <v>6962</v>
      </c>
      <c r="D1229" s="4" t="s">
        <v>5</v>
      </c>
      <c r="E1229" s="4" t="s">
        <v>12</v>
      </c>
      <c r="F1229" s="4" t="s">
        <v>28</v>
      </c>
      <c r="G1229" s="4" t="s">
        <v>13</v>
      </c>
      <c r="H1229" s="4" t="s">
        <v>185</v>
      </c>
      <c r="I1229" s="5" t="str">
        <f>IFERROR(VLOOKUP(Consulta1[[#This Row],[Pozo largo]],'Lista YPF'!$B$3:$C$358,2,FALSE),"NO")</f>
        <v>NO</v>
      </c>
      <c r="J1229" s="5" t="str">
        <f>IFERROR(VLOOKUP(Consulta1[[#This Row],[Pozo]],'Lista Oportunidades'!B:C,2,FALSE),"NO")</f>
        <v>NO</v>
      </c>
      <c r="K1229" s="5">
        <f>IFERROR(VLOOKUP(Consulta1[[#This Row],[Pozo largo]],Controles!B:H,7,FALSE),"NO")</f>
        <v>0</v>
      </c>
      <c r="L1229" s="5">
        <f>IFERROR(VLOOKUP(Consulta1[[#This Row],[Pozo largo]],Controles!B:J,9,FALSE),"NO")</f>
        <v>0</v>
      </c>
    </row>
    <row r="1230" spans="2:12" x14ac:dyDescent="0.35">
      <c r="B1230" s="4" t="s">
        <v>2371</v>
      </c>
      <c r="C1230" s="4" t="s">
        <v>6963</v>
      </c>
      <c r="D1230" s="4" t="s">
        <v>5</v>
      </c>
      <c r="E1230" s="4" t="s">
        <v>24</v>
      </c>
      <c r="F1230" s="4" t="s">
        <v>25</v>
      </c>
      <c r="G1230" s="4" t="s">
        <v>11386</v>
      </c>
      <c r="H1230" s="4" t="s">
        <v>21</v>
      </c>
      <c r="I1230" s="5" t="str">
        <f>IFERROR(VLOOKUP(Consulta1[[#This Row],[Pozo largo]],'Lista YPF'!$B$3:$C$358,2,FALSE),"NO")</f>
        <v>NO</v>
      </c>
      <c r="J1230" s="5" t="str">
        <f>IFERROR(VLOOKUP(Consulta1[[#This Row],[Pozo]],'Lista Oportunidades'!B:C,2,FALSE),"NO")</f>
        <v>NO</v>
      </c>
      <c r="K1230" s="5">
        <f>IFERROR(VLOOKUP(Consulta1[[#This Row],[Pozo largo]],Controles!B:H,7,FALSE),"NO")</f>
        <v>0.01</v>
      </c>
      <c r="L1230" s="5" t="str">
        <f>IFERROR(VLOOKUP(Consulta1[[#This Row],[Pozo largo]],Controles!B:J,9,FALSE),"NO")</f>
        <v>Ultimos 6 meses</v>
      </c>
    </row>
    <row r="1231" spans="2:12" x14ac:dyDescent="0.35">
      <c r="B1231" s="4" t="s">
        <v>2373</v>
      </c>
      <c r="C1231" s="4" t="s">
        <v>6964</v>
      </c>
      <c r="D1231" s="4" t="s">
        <v>5</v>
      </c>
      <c r="E1231" s="4" t="s">
        <v>12</v>
      </c>
      <c r="F1231" s="4" t="s">
        <v>28</v>
      </c>
      <c r="G1231" s="4" t="s">
        <v>13</v>
      </c>
      <c r="H1231" s="4" t="s">
        <v>9</v>
      </c>
      <c r="I1231" s="5" t="str">
        <f>IFERROR(VLOOKUP(Consulta1[[#This Row],[Pozo largo]],'Lista YPF'!$B$3:$C$358,2,FALSE),"NO")</f>
        <v>NO</v>
      </c>
      <c r="J1231" s="5" t="str">
        <f>IFERROR(VLOOKUP(Consulta1[[#This Row],[Pozo]],'Lista Oportunidades'!B:C,2,FALSE),"NO")</f>
        <v>NO</v>
      </c>
      <c r="K1231" s="5">
        <f>IFERROR(VLOOKUP(Consulta1[[#This Row],[Pozo largo]],Controles!B:H,7,FALSE),"NO")</f>
        <v>0</v>
      </c>
      <c r="L1231" s="5">
        <f>IFERROR(VLOOKUP(Consulta1[[#This Row],[Pozo largo]],Controles!B:J,9,FALSE),"NO")</f>
        <v>0</v>
      </c>
    </row>
    <row r="1232" spans="2:12" x14ac:dyDescent="0.35">
      <c r="B1232" s="4" t="s">
        <v>2375</v>
      </c>
      <c r="C1232" s="4" t="s">
        <v>6965</v>
      </c>
      <c r="D1232" s="4" t="s">
        <v>5</v>
      </c>
      <c r="E1232" s="4" t="s">
        <v>309</v>
      </c>
      <c r="F1232" s="4" t="s">
        <v>7</v>
      </c>
      <c r="G1232" s="4" t="s">
        <v>5718</v>
      </c>
      <c r="H1232" s="4" t="s">
        <v>9</v>
      </c>
      <c r="I1232" s="5" t="str">
        <f>IFERROR(VLOOKUP(Consulta1[[#This Row],[Pozo largo]],'Lista YPF'!$B$3:$C$358,2,FALSE),"NO")</f>
        <v>En lista de Abandono</v>
      </c>
      <c r="J1232" s="5" t="str">
        <f>IFERROR(VLOOKUP(Consulta1[[#This Row],[Pozo]],'Lista Oportunidades'!B:C,2,FALSE),"NO")</f>
        <v>NO</v>
      </c>
      <c r="K1232" s="5">
        <f>IFERROR(VLOOKUP(Consulta1[[#This Row],[Pozo largo]],Controles!B:H,7,FALSE),"NO")</f>
        <v>4.4480000000000004</v>
      </c>
      <c r="L1232" s="5">
        <f>IFERROR(VLOOKUP(Consulta1[[#This Row],[Pozo largo]],Controles!B:J,9,FALSE),"NO")</f>
        <v>0</v>
      </c>
    </row>
    <row r="1233" spans="2:12" x14ac:dyDescent="0.35">
      <c r="B1233" s="4" t="s">
        <v>2377</v>
      </c>
      <c r="C1233" s="4" t="s">
        <v>6966</v>
      </c>
      <c r="D1233" s="4" t="s">
        <v>5</v>
      </c>
      <c r="E1233" s="4" t="s">
        <v>24</v>
      </c>
      <c r="F1233" s="4" t="s">
        <v>7</v>
      </c>
      <c r="G1233" s="4" t="s">
        <v>8</v>
      </c>
      <c r="H1233" s="4" t="s">
        <v>21</v>
      </c>
      <c r="I1233" s="5" t="str">
        <f>IFERROR(VLOOKUP(Consulta1[[#This Row],[Pozo largo]],'Lista YPF'!$B$3:$C$358,2,FALSE),"NO")</f>
        <v>NO</v>
      </c>
      <c r="J1233" s="5" t="str">
        <f>IFERROR(VLOOKUP(Consulta1[[#This Row],[Pozo]],'Lista Oportunidades'!B:C,2,FALSE),"NO")</f>
        <v>NO</v>
      </c>
      <c r="K1233" s="5">
        <f>IFERROR(VLOOKUP(Consulta1[[#This Row],[Pozo largo]],Controles!B:H,7,FALSE),"NO")</f>
        <v>0.06</v>
      </c>
      <c r="L1233" s="5">
        <f>IFERROR(VLOOKUP(Consulta1[[#This Row],[Pozo largo]],Controles!B:J,9,FALSE),"NO")</f>
        <v>0</v>
      </c>
    </row>
    <row r="1234" spans="2:12" x14ac:dyDescent="0.35">
      <c r="B1234" s="4" t="s">
        <v>2379</v>
      </c>
      <c r="C1234" s="4" t="s">
        <v>6967</v>
      </c>
      <c r="D1234" s="4" t="s">
        <v>5</v>
      </c>
      <c r="E1234" s="4" t="s">
        <v>24</v>
      </c>
      <c r="F1234" s="4" t="s">
        <v>31</v>
      </c>
      <c r="G1234" s="4" t="s">
        <v>8</v>
      </c>
      <c r="H1234" s="4" t="s">
        <v>254</v>
      </c>
      <c r="I1234" s="5" t="str">
        <f>IFERROR(VLOOKUP(Consulta1[[#This Row],[Pozo largo]],'Lista YPF'!$B$3:$C$358,2,FALSE),"NO")</f>
        <v>NO</v>
      </c>
      <c r="J1234" s="5" t="str">
        <f>IFERROR(VLOOKUP(Consulta1[[#This Row],[Pozo]],'Lista Oportunidades'!B:C,2,FALSE),"NO")</f>
        <v>NO</v>
      </c>
      <c r="K1234" s="5">
        <f>IFERROR(VLOOKUP(Consulta1[[#This Row],[Pozo largo]],Controles!B:H,7,FALSE),"NO")</f>
        <v>0.55700000000000005</v>
      </c>
      <c r="L1234" s="5">
        <f>IFERROR(VLOOKUP(Consulta1[[#This Row],[Pozo largo]],Controles!B:J,9,FALSE),"NO")</f>
        <v>0</v>
      </c>
    </row>
    <row r="1235" spans="2:12" x14ac:dyDescent="0.35">
      <c r="B1235" s="4" t="s">
        <v>2381</v>
      </c>
      <c r="C1235" s="4" t="s">
        <v>6968</v>
      </c>
      <c r="D1235" s="4" t="s">
        <v>5</v>
      </c>
      <c r="E1235" s="4" t="s">
        <v>12</v>
      </c>
      <c r="F1235" s="4" t="s">
        <v>7</v>
      </c>
      <c r="G1235" s="4" t="s">
        <v>13</v>
      </c>
      <c r="H1235" s="4" t="s">
        <v>254</v>
      </c>
      <c r="I1235" s="5" t="str">
        <f>IFERROR(VLOOKUP(Consulta1[[#This Row],[Pozo largo]],'Lista YPF'!$B$3:$C$358,2,FALSE),"NO")</f>
        <v>NO</v>
      </c>
      <c r="J1235" s="5" t="str">
        <f>IFERROR(VLOOKUP(Consulta1[[#This Row],[Pozo]],'Lista Oportunidades'!B:C,2,FALSE),"NO")</f>
        <v>NO</v>
      </c>
      <c r="K1235" s="5">
        <f>IFERROR(VLOOKUP(Consulta1[[#This Row],[Pozo largo]],Controles!B:H,7,FALSE),"NO")</f>
        <v>0.64600000000000002</v>
      </c>
      <c r="L1235" s="5">
        <f>IFERROR(VLOOKUP(Consulta1[[#This Row],[Pozo largo]],Controles!B:J,9,FALSE),"NO")</f>
        <v>0</v>
      </c>
    </row>
    <row r="1236" spans="2:12" x14ac:dyDescent="0.35">
      <c r="B1236" s="4" t="s">
        <v>2383</v>
      </c>
      <c r="C1236" s="4" t="s">
        <v>6969</v>
      </c>
      <c r="D1236" s="4" t="s">
        <v>5</v>
      </c>
      <c r="E1236" s="4" t="s">
        <v>12</v>
      </c>
      <c r="F1236" s="4" t="s">
        <v>25</v>
      </c>
      <c r="G1236" s="4" t="s">
        <v>13</v>
      </c>
      <c r="H1236" s="4" t="s">
        <v>33</v>
      </c>
      <c r="I1236" s="5" t="str">
        <f>IFERROR(VLOOKUP(Consulta1[[#This Row],[Pozo largo]],'Lista YPF'!$B$3:$C$358,2,FALSE),"NO")</f>
        <v>NO</v>
      </c>
      <c r="J1236" s="5" t="str">
        <f>IFERROR(VLOOKUP(Consulta1[[#This Row],[Pozo]],'Lista Oportunidades'!B:C,2,FALSE),"NO")</f>
        <v>NO</v>
      </c>
      <c r="K1236" s="5">
        <f>IFERROR(VLOOKUP(Consulta1[[#This Row],[Pozo largo]],Controles!B:H,7,FALSE),"NO")</f>
        <v>6.7000000000000004E-2</v>
      </c>
      <c r="L1236" s="5">
        <f>IFERROR(VLOOKUP(Consulta1[[#This Row],[Pozo largo]],Controles!B:J,9,FALSE),"NO")</f>
        <v>0</v>
      </c>
    </row>
    <row r="1237" spans="2:12" x14ac:dyDescent="0.35">
      <c r="B1237" s="4" t="s">
        <v>2385</v>
      </c>
      <c r="C1237" s="4" t="s">
        <v>6970</v>
      </c>
      <c r="D1237" s="4" t="s">
        <v>5</v>
      </c>
      <c r="E1237" s="4" t="s">
        <v>24</v>
      </c>
      <c r="F1237" s="4" t="s">
        <v>31</v>
      </c>
      <c r="G1237" s="4" t="s">
        <v>8</v>
      </c>
      <c r="H1237" s="4" t="s">
        <v>74</v>
      </c>
      <c r="I1237" s="5" t="str">
        <f>IFERROR(VLOOKUP(Consulta1[[#This Row],[Pozo largo]],'Lista YPF'!$B$3:$C$358,2,FALSE),"NO")</f>
        <v>NO</v>
      </c>
      <c r="J1237" s="5" t="str">
        <f>IFERROR(VLOOKUP(Consulta1[[#This Row],[Pozo]],'Lista Oportunidades'!B:C,2,FALSE),"NO")</f>
        <v>NO</v>
      </c>
      <c r="K1237" s="5" t="str">
        <f>IFERROR(VLOOKUP(Consulta1[[#This Row],[Pozo largo]],Controles!B:H,7,FALSE),"NO")</f>
        <v>NO</v>
      </c>
      <c r="L1237" s="5" t="str">
        <f>IFERROR(VLOOKUP(Consulta1[[#This Row],[Pozo largo]],Controles!B:J,9,FALSE),"NO")</f>
        <v>NO</v>
      </c>
    </row>
    <row r="1238" spans="2:12" x14ac:dyDescent="0.35">
      <c r="B1238" s="4" t="s">
        <v>2386</v>
      </c>
      <c r="C1238" s="4" t="s">
        <v>6971</v>
      </c>
      <c r="D1238" s="4" t="s">
        <v>5</v>
      </c>
      <c r="E1238" s="4" t="s">
        <v>12</v>
      </c>
      <c r="F1238" s="4" t="s">
        <v>7</v>
      </c>
      <c r="G1238" s="4" t="s">
        <v>13</v>
      </c>
      <c r="H1238" s="4" t="s">
        <v>71</v>
      </c>
      <c r="I1238" s="5" t="str">
        <f>IFERROR(VLOOKUP(Consulta1[[#This Row],[Pozo largo]],'Lista YPF'!$B$3:$C$358,2,FALSE),"NO")</f>
        <v>NO</v>
      </c>
      <c r="J1238" s="5" t="str">
        <f>IFERROR(VLOOKUP(Consulta1[[#This Row],[Pozo]],'Lista Oportunidades'!B:C,2,FALSE),"NO")</f>
        <v>NO</v>
      </c>
      <c r="K1238" s="5">
        <f>IFERROR(VLOOKUP(Consulta1[[#This Row],[Pozo largo]],Controles!B:H,7,FALSE),"NO")</f>
        <v>1.02</v>
      </c>
      <c r="L1238" s="5">
        <f>IFERROR(VLOOKUP(Consulta1[[#This Row],[Pozo largo]],Controles!B:J,9,FALSE),"NO")</f>
        <v>0</v>
      </c>
    </row>
    <row r="1239" spans="2:12" x14ac:dyDescent="0.35">
      <c r="B1239" s="4" t="s">
        <v>2388</v>
      </c>
      <c r="C1239" s="4" t="s">
        <v>6972</v>
      </c>
      <c r="D1239" s="4" t="s">
        <v>5</v>
      </c>
      <c r="E1239" s="4" t="s">
        <v>12</v>
      </c>
      <c r="F1239" s="4" t="s">
        <v>25</v>
      </c>
      <c r="G1239" s="4" t="s">
        <v>13</v>
      </c>
      <c r="H1239" s="4" t="s">
        <v>260</v>
      </c>
      <c r="I1239" s="5" t="str">
        <f>IFERROR(VLOOKUP(Consulta1[[#This Row],[Pozo largo]],'Lista YPF'!$B$3:$C$358,2,FALSE),"NO")</f>
        <v>NO</v>
      </c>
      <c r="J1239" s="5" t="str">
        <f>IFERROR(VLOOKUP(Consulta1[[#This Row],[Pozo]],'Lista Oportunidades'!B:C,2,FALSE),"NO")</f>
        <v>NO</v>
      </c>
      <c r="K1239" s="5">
        <f>IFERROR(VLOOKUP(Consulta1[[#This Row],[Pozo largo]],Controles!B:H,7,FALSE),"NO")</f>
        <v>0.10300000000000001</v>
      </c>
      <c r="L1239" s="5">
        <f>IFERROR(VLOOKUP(Consulta1[[#This Row],[Pozo largo]],Controles!B:J,9,FALSE),"NO")</f>
        <v>0</v>
      </c>
    </row>
    <row r="1240" spans="2:12" x14ac:dyDescent="0.35">
      <c r="B1240" s="4" t="s">
        <v>2390</v>
      </c>
      <c r="C1240" s="4" t="s">
        <v>6973</v>
      </c>
      <c r="D1240" s="4" t="s">
        <v>5</v>
      </c>
      <c r="E1240" s="4" t="s">
        <v>30</v>
      </c>
      <c r="F1240" s="4" t="s">
        <v>31</v>
      </c>
      <c r="G1240" s="4" t="s">
        <v>32</v>
      </c>
      <c r="H1240" s="4" t="s">
        <v>91</v>
      </c>
      <c r="I1240" s="5" t="str">
        <f>IFERROR(VLOOKUP(Consulta1[[#This Row],[Pozo largo]],'Lista YPF'!$B$3:$C$358,2,FALSE),"NO")</f>
        <v>NO</v>
      </c>
      <c r="J1240" s="5" t="str">
        <f>IFERROR(VLOOKUP(Consulta1[[#This Row],[Pozo]],'Lista Oportunidades'!B:C,2,FALSE),"NO")</f>
        <v>NO</v>
      </c>
      <c r="K1240" s="5">
        <f>IFERROR(VLOOKUP(Consulta1[[#This Row],[Pozo largo]],Controles!B:H,7,FALSE),"NO")</f>
        <v>0</v>
      </c>
      <c r="L1240" s="5">
        <f>IFERROR(VLOOKUP(Consulta1[[#This Row],[Pozo largo]],Controles!B:J,9,FALSE),"NO")</f>
        <v>0</v>
      </c>
    </row>
    <row r="1241" spans="2:12" x14ac:dyDescent="0.35">
      <c r="B1241" s="4" t="s">
        <v>2392</v>
      </c>
      <c r="C1241" s="4" t="s">
        <v>6974</v>
      </c>
      <c r="D1241" s="4" t="s">
        <v>5</v>
      </c>
      <c r="E1241" s="4" t="s">
        <v>24</v>
      </c>
      <c r="F1241" s="4" t="s">
        <v>28</v>
      </c>
      <c r="G1241" s="4" t="s">
        <v>8</v>
      </c>
      <c r="H1241" s="4" t="s">
        <v>86</v>
      </c>
      <c r="I1241" s="5" t="str">
        <f>IFERROR(VLOOKUP(Consulta1[[#This Row],[Pozo largo]],'Lista YPF'!$B$3:$C$358,2,FALSE),"NO")</f>
        <v>NO</v>
      </c>
      <c r="J1241" s="5" t="str">
        <f>IFERROR(VLOOKUP(Consulta1[[#This Row],[Pozo]],'Lista Oportunidades'!B:C,2,FALSE),"NO")</f>
        <v>NO</v>
      </c>
      <c r="K1241" s="5">
        <f>IFERROR(VLOOKUP(Consulta1[[#This Row],[Pozo largo]],Controles!B:H,7,FALSE),"NO")</f>
        <v>0</v>
      </c>
      <c r="L1241" s="5">
        <f>IFERROR(VLOOKUP(Consulta1[[#This Row],[Pozo largo]],Controles!B:J,9,FALSE),"NO")</f>
        <v>0</v>
      </c>
    </row>
    <row r="1242" spans="2:12" x14ac:dyDescent="0.35">
      <c r="B1242" s="4" t="s">
        <v>2394</v>
      </c>
      <c r="C1242" s="4" t="s">
        <v>6975</v>
      </c>
      <c r="D1242" s="4" t="s">
        <v>5</v>
      </c>
      <c r="E1242" s="4" t="s">
        <v>12</v>
      </c>
      <c r="F1242" s="4" t="s">
        <v>7</v>
      </c>
      <c r="G1242" s="4" t="s">
        <v>13</v>
      </c>
      <c r="H1242" s="4" t="s">
        <v>86</v>
      </c>
      <c r="I1242" s="5" t="str">
        <f>IFERROR(VLOOKUP(Consulta1[[#This Row],[Pozo largo]],'Lista YPF'!$B$3:$C$358,2,FALSE),"NO")</f>
        <v>NO</v>
      </c>
      <c r="J1242" s="5" t="str">
        <f>IFERROR(VLOOKUP(Consulta1[[#This Row],[Pozo]],'Lista Oportunidades'!B:C,2,FALSE),"NO")</f>
        <v>NO</v>
      </c>
      <c r="K1242" s="5">
        <f>IFERROR(VLOOKUP(Consulta1[[#This Row],[Pozo largo]],Controles!B:H,7,FALSE),"NO")</f>
        <v>0.5</v>
      </c>
      <c r="L1242" s="5">
        <f>IFERROR(VLOOKUP(Consulta1[[#This Row],[Pozo largo]],Controles!B:J,9,FALSE),"NO")</f>
        <v>0</v>
      </c>
    </row>
    <row r="1243" spans="2:12" x14ac:dyDescent="0.35">
      <c r="B1243" s="4" t="s">
        <v>2396</v>
      </c>
      <c r="C1243" s="4" t="s">
        <v>6976</v>
      </c>
      <c r="D1243" s="4" t="s">
        <v>5</v>
      </c>
      <c r="E1243" s="4" t="s">
        <v>24</v>
      </c>
      <c r="F1243" s="4" t="s">
        <v>28</v>
      </c>
      <c r="G1243" s="4" t="s">
        <v>8</v>
      </c>
      <c r="H1243" s="4" t="s">
        <v>86</v>
      </c>
      <c r="I1243" s="5" t="str">
        <f>IFERROR(VLOOKUP(Consulta1[[#This Row],[Pozo largo]],'Lista YPF'!$B$3:$C$358,2,FALSE),"NO")</f>
        <v>NO</v>
      </c>
      <c r="J1243" s="5" t="str">
        <f>IFERROR(VLOOKUP(Consulta1[[#This Row],[Pozo]],'Lista Oportunidades'!B:C,2,FALSE),"NO")</f>
        <v>NO</v>
      </c>
      <c r="K1243" s="5">
        <f>IFERROR(VLOOKUP(Consulta1[[#This Row],[Pozo largo]],Controles!B:H,7,FALSE),"NO")</f>
        <v>0</v>
      </c>
      <c r="L1243" s="5">
        <f>IFERROR(VLOOKUP(Consulta1[[#This Row],[Pozo largo]],Controles!B:J,9,FALSE),"NO")</f>
        <v>0</v>
      </c>
    </row>
    <row r="1244" spans="2:12" x14ac:dyDescent="0.35">
      <c r="B1244" s="4" t="s">
        <v>2398</v>
      </c>
      <c r="C1244" s="4" t="s">
        <v>6977</v>
      </c>
      <c r="D1244" s="4" t="s">
        <v>5</v>
      </c>
      <c r="E1244" s="4" t="s">
        <v>12</v>
      </c>
      <c r="F1244" s="4" t="s">
        <v>28</v>
      </c>
      <c r="G1244" s="4" t="s">
        <v>13</v>
      </c>
      <c r="H1244" s="4" t="s">
        <v>84</v>
      </c>
      <c r="I1244" s="5" t="str">
        <f>IFERROR(VLOOKUP(Consulta1[[#This Row],[Pozo largo]],'Lista YPF'!$B$3:$C$358,2,FALSE),"NO")</f>
        <v>NO</v>
      </c>
      <c r="J1244" s="5" t="str">
        <f>IFERROR(VLOOKUP(Consulta1[[#This Row],[Pozo]],'Lista Oportunidades'!B:C,2,FALSE),"NO")</f>
        <v>NO</v>
      </c>
      <c r="K1244" s="5">
        <f>IFERROR(VLOOKUP(Consulta1[[#This Row],[Pozo largo]],Controles!B:H,7,FALSE),"NO")</f>
        <v>0</v>
      </c>
      <c r="L1244" s="5">
        <f>IFERROR(VLOOKUP(Consulta1[[#This Row],[Pozo largo]],Controles!B:J,9,FALSE),"NO")</f>
        <v>0</v>
      </c>
    </row>
    <row r="1245" spans="2:12" x14ac:dyDescent="0.35">
      <c r="B1245" s="4" t="s">
        <v>2400</v>
      </c>
      <c r="C1245" s="4" t="s">
        <v>6978</v>
      </c>
      <c r="D1245" s="4" t="s">
        <v>5</v>
      </c>
      <c r="E1245" s="4" t="s">
        <v>12</v>
      </c>
      <c r="F1245" s="4" t="s">
        <v>25</v>
      </c>
      <c r="G1245" s="4" t="s">
        <v>13</v>
      </c>
      <c r="H1245" s="4" t="s">
        <v>91</v>
      </c>
      <c r="I1245" s="5" t="str">
        <f>IFERROR(VLOOKUP(Consulta1[[#This Row],[Pozo largo]],'Lista YPF'!$B$3:$C$358,2,FALSE),"NO")</f>
        <v>NO</v>
      </c>
      <c r="J1245" s="5" t="str">
        <f>IFERROR(VLOOKUP(Consulta1[[#This Row],[Pozo]],'Lista Oportunidades'!B:C,2,FALSE),"NO")</f>
        <v>NO</v>
      </c>
      <c r="K1245" s="5">
        <f>IFERROR(VLOOKUP(Consulta1[[#This Row],[Pozo largo]],Controles!B:H,7,FALSE),"NO")</f>
        <v>0.10400000000000001</v>
      </c>
      <c r="L1245" s="5">
        <f>IFERROR(VLOOKUP(Consulta1[[#This Row],[Pozo largo]],Controles!B:J,9,FALSE),"NO")</f>
        <v>0</v>
      </c>
    </row>
    <row r="1246" spans="2:12" x14ac:dyDescent="0.35">
      <c r="B1246" s="4" t="s">
        <v>2402</v>
      </c>
      <c r="C1246" s="4" t="s">
        <v>6979</v>
      </c>
      <c r="D1246" s="4" t="s">
        <v>5</v>
      </c>
      <c r="E1246" s="4" t="s">
        <v>30</v>
      </c>
      <c r="F1246" s="4" t="s">
        <v>31</v>
      </c>
      <c r="G1246" s="4" t="s">
        <v>32</v>
      </c>
      <c r="H1246" s="4" t="s">
        <v>80</v>
      </c>
      <c r="I1246" s="5" t="str">
        <f>IFERROR(VLOOKUP(Consulta1[[#This Row],[Pozo largo]],'Lista YPF'!$B$3:$C$358,2,FALSE),"NO")</f>
        <v>NO</v>
      </c>
      <c r="J1246" s="5" t="str">
        <f>IFERROR(VLOOKUP(Consulta1[[#This Row],[Pozo]],'Lista Oportunidades'!B:C,2,FALSE),"NO")</f>
        <v>NO</v>
      </c>
      <c r="K1246" s="5">
        <f>IFERROR(VLOOKUP(Consulta1[[#This Row],[Pozo largo]],Controles!B:H,7,FALSE),"NO")</f>
        <v>0.753</v>
      </c>
      <c r="L1246" s="5">
        <f>IFERROR(VLOOKUP(Consulta1[[#This Row],[Pozo largo]],Controles!B:J,9,FALSE),"NO")</f>
        <v>0</v>
      </c>
    </row>
    <row r="1247" spans="2:12" x14ac:dyDescent="0.35">
      <c r="B1247" s="4" t="s">
        <v>2404</v>
      </c>
      <c r="C1247" s="4" t="s">
        <v>6980</v>
      </c>
      <c r="D1247" s="4" t="s">
        <v>5</v>
      </c>
      <c r="E1247" s="4" t="s">
        <v>30</v>
      </c>
      <c r="F1247" s="4" t="s">
        <v>31</v>
      </c>
      <c r="G1247" s="4" t="s">
        <v>32</v>
      </c>
      <c r="H1247" s="4" t="s">
        <v>91</v>
      </c>
      <c r="I1247" s="5" t="str">
        <f>IFERROR(VLOOKUP(Consulta1[[#This Row],[Pozo largo]],'Lista YPF'!$B$3:$C$358,2,FALSE),"NO")</f>
        <v>NO</v>
      </c>
      <c r="J1247" s="5" t="str">
        <f>IFERROR(VLOOKUP(Consulta1[[#This Row],[Pozo]],'Lista Oportunidades'!B:C,2,FALSE),"NO")</f>
        <v>NO</v>
      </c>
      <c r="K1247" s="5">
        <f>IFERROR(VLOOKUP(Consulta1[[#This Row],[Pozo largo]],Controles!B:H,7,FALSE),"NO")</f>
        <v>1.1970000000000001</v>
      </c>
      <c r="L1247" s="5">
        <f>IFERROR(VLOOKUP(Consulta1[[#This Row],[Pozo largo]],Controles!B:J,9,FALSE),"NO")</f>
        <v>0</v>
      </c>
    </row>
    <row r="1248" spans="2:12" x14ac:dyDescent="0.35">
      <c r="B1248" s="4" t="s">
        <v>2406</v>
      </c>
      <c r="C1248" s="4" t="s">
        <v>6981</v>
      </c>
      <c r="D1248" s="4" t="s">
        <v>5</v>
      </c>
      <c r="E1248" s="4" t="s">
        <v>30</v>
      </c>
      <c r="F1248" s="4" t="s">
        <v>31</v>
      </c>
      <c r="G1248" s="4" t="s">
        <v>32</v>
      </c>
      <c r="H1248" s="4" t="s">
        <v>91</v>
      </c>
      <c r="I1248" s="5" t="str">
        <f>IFERROR(VLOOKUP(Consulta1[[#This Row],[Pozo largo]],'Lista YPF'!$B$3:$C$358,2,FALSE),"NO")</f>
        <v>NO</v>
      </c>
      <c r="J1248" s="5" t="str">
        <f>IFERROR(VLOOKUP(Consulta1[[#This Row],[Pozo]],'Lista Oportunidades'!B:C,2,FALSE),"NO")</f>
        <v>NO</v>
      </c>
      <c r="K1248" s="5">
        <f>IFERROR(VLOOKUP(Consulta1[[#This Row],[Pozo largo]],Controles!B:H,7,FALSE),"NO")</f>
        <v>0</v>
      </c>
      <c r="L1248" s="5">
        <f>IFERROR(VLOOKUP(Consulta1[[#This Row],[Pozo largo]],Controles!B:J,9,FALSE),"NO")</f>
        <v>0</v>
      </c>
    </row>
    <row r="1249" spans="2:12" x14ac:dyDescent="0.35">
      <c r="B1249" s="4" t="s">
        <v>2408</v>
      </c>
      <c r="C1249" s="4" t="s">
        <v>6982</v>
      </c>
      <c r="D1249" s="4" t="s">
        <v>5</v>
      </c>
      <c r="E1249" s="4" t="s">
        <v>30</v>
      </c>
      <c r="F1249" s="4" t="s">
        <v>31</v>
      </c>
      <c r="G1249" s="4" t="s">
        <v>32</v>
      </c>
      <c r="H1249" s="4" t="s">
        <v>91</v>
      </c>
      <c r="I1249" s="5" t="str">
        <f>IFERROR(VLOOKUP(Consulta1[[#This Row],[Pozo largo]],'Lista YPF'!$B$3:$C$358,2,FALSE),"NO")</f>
        <v>NO</v>
      </c>
      <c r="J1249" s="5" t="str">
        <f>IFERROR(VLOOKUP(Consulta1[[#This Row],[Pozo]],'Lista Oportunidades'!B:C,2,FALSE),"NO")</f>
        <v>NO</v>
      </c>
      <c r="K1249" s="5" t="str">
        <f>IFERROR(VLOOKUP(Consulta1[[#This Row],[Pozo largo]],Controles!B:H,7,FALSE),"NO")</f>
        <v>NO</v>
      </c>
      <c r="L1249" s="5" t="str">
        <f>IFERROR(VLOOKUP(Consulta1[[#This Row],[Pozo largo]],Controles!B:J,9,FALSE),"NO")</f>
        <v>NO</v>
      </c>
    </row>
    <row r="1250" spans="2:12" x14ac:dyDescent="0.35">
      <c r="B1250" s="4" t="s">
        <v>2409</v>
      </c>
      <c r="C1250" s="4" t="s">
        <v>6983</v>
      </c>
      <c r="D1250" s="4" t="s">
        <v>5</v>
      </c>
      <c r="E1250" s="4" t="s">
        <v>430</v>
      </c>
      <c r="F1250" s="4" t="s">
        <v>7</v>
      </c>
      <c r="G1250" s="4" t="s">
        <v>5718</v>
      </c>
      <c r="H1250" s="4" t="s">
        <v>80</v>
      </c>
      <c r="I1250" s="5" t="str">
        <f>IFERROR(VLOOKUP(Consulta1[[#This Row],[Pozo largo]],'Lista YPF'!$B$3:$C$358,2,FALSE),"NO")</f>
        <v>En lista de Abandono</v>
      </c>
      <c r="J1250" s="5" t="str">
        <f>IFERROR(VLOOKUP(Consulta1[[#This Row],[Pozo]],'Lista Oportunidades'!B:C,2,FALSE),"NO")</f>
        <v>NO</v>
      </c>
      <c r="K1250" s="5">
        <f>IFERROR(VLOOKUP(Consulta1[[#This Row],[Pozo largo]],Controles!B:H,7,FALSE),"NO")</f>
        <v>0.39900000000000002</v>
      </c>
      <c r="L1250" s="5">
        <f>IFERROR(VLOOKUP(Consulta1[[#This Row],[Pozo largo]],Controles!B:J,9,FALSE),"NO")</f>
        <v>0</v>
      </c>
    </row>
    <row r="1251" spans="2:12" x14ac:dyDescent="0.35">
      <c r="B1251" s="4" t="s">
        <v>2411</v>
      </c>
      <c r="C1251" s="4" t="s">
        <v>6984</v>
      </c>
      <c r="D1251" s="4" t="s">
        <v>5</v>
      </c>
      <c r="E1251" s="4" t="s">
        <v>24</v>
      </c>
      <c r="F1251" s="4" t="s">
        <v>31</v>
      </c>
      <c r="G1251" s="4" t="s">
        <v>8</v>
      </c>
      <c r="H1251" s="4" t="s">
        <v>86</v>
      </c>
      <c r="I1251" s="5" t="str">
        <f>IFERROR(VLOOKUP(Consulta1[[#This Row],[Pozo largo]],'Lista YPF'!$B$3:$C$358,2,FALSE),"NO")</f>
        <v>NO</v>
      </c>
      <c r="J1251" s="5" t="str">
        <f>IFERROR(VLOOKUP(Consulta1[[#This Row],[Pozo]],'Lista Oportunidades'!B:C,2,FALSE),"NO")</f>
        <v>NO</v>
      </c>
      <c r="K1251" s="5">
        <f>IFERROR(VLOOKUP(Consulta1[[#This Row],[Pozo largo]],Controles!B:H,7,FALSE),"NO")</f>
        <v>0.16</v>
      </c>
      <c r="L1251" s="5">
        <f>IFERROR(VLOOKUP(Consulta1[[#This Row],[Pozo largo]],Controles!B:J,9,FALSE),"NO")</f>
        <v>0</v>
      </c>
    </row>
    <row r="1252" spans="2:12" x14ac:dyDescent="0.35">
      <c r="B1252" s="4" t="s">
        <v>2413</v>
      </c>
      <c r="C1252" s="4" t="s">
        <v>6985</v>
      </c>
      <c r="D1252" s="4" t="s">
        <v>5</v>
      </c>
      <c r="E1252" s="4" t="s">
        <v>12</v>
      </c>
      <c r="F1252" s="4" t="s">
        <v>25</v>
      </c>
      <c r="G1252" s="4" t="s">
        <v>13</v>
      </c>
      <c r="H1252" s="4" t="s">
        <v>185</v>
      </c>
      <c r="I1252" s="5" t="str">
        <f>IFERROR(VLOOKUP(Consulta1[[#This Row],[Pozo largo]],'Lista YPF'!$B$3:$C$358,2,FALSE),"NO")</f>
        <v>NO</v>
      </c>
      <c r="J1252" s="5" t="str">
        <f>IFERROR(VLOOKUP(Consulta1[[#This Row],[Pozo]],'Lista Oportunidades'!B:C,2,FALSE),"NO")</f>
        <v>NO</v>
      </c>
      <c r="K1252" s="5">
        <f>IFERROR(VLOOKUP(Consulta1[[#This Row],[Pozo largo]],Controles!B:H,7,FALSE),"NO")</f>
        <v>0.10400000000000001</v>
      </c>
      <c r="L1252" s="5">
        <f>IFERROR(VLOOKUP(Consulta1[[#This Row],[Pozo largo]],Controles!B:J,9,FALSE),"NO")</f>
        <v>0</v>
      </c>
    </row>
    <row r="1253" spans="2:12" x14ac:dyDescent="0.35">
      <c r="B1253" s="4" t="s">
        <v>2415</v>
      </c>
      <c r="C1253" s="4" t="s">
        <v>6986</v>
      </c>
      <c r="D1253" s="4" t="s">
        <v>5</v>
      </c>
      <c r="E1253" s="4" t="s">
        <v>30</v>
      </c>
      <c r="F1253" s="4" t="s">
        <v>31</v>
      </c>
      <c r="G1253" s="4" t="s">
        <v>32</v>
      </c>
      <c r="H1253" s="4" t="s">
        <v>185</v>
      </c>
      <c r="I1253" s="5" t="str">
        <f>IFERROR(VLOOKUP(Consulta1[[#This Row],[Pozo largo]],'Lista YPF'!$B$3:$C$358,2,FALSE),"NO")</f>
        <v>NO</v>
      </c>
      <c r="J1253" s="5" t="str">
        <f>IFERROR(VLOOKUP(Consulta1[[#This Row],[Pozo]],'Lista Oportunidades'!B:C,2,FALSE),"NO")</f>
        <v>NO</v>
      </c>
      <c r="K1253" s="5">
        <f>IFERROR(VLOOKUP(Consulta1[[#This Row],[Pozo largo]],Controles!B:H,7,FALSE),"NO")</f>
        <v>0</v>
      </c>
      <c r="L1253" s="5">
        <f>IFERROR(VLOOKUP(Consulta1[[#This Row],[Pozo largo]],Controles!B:J,9,FALSE),"NO")</f>
        <v>0</v>
      </c>
    </row>
    <row r="1254" spans="2:12" x14ac:dyDescent="0.35">
      <c r="B1254" s="4" t="s">
        <v>2417</v>
      </c>
      <c r="C1254" s="4" t="s">
        <v>6987</v>
      </c>
      <c r="D1254" s="4" t="s">
        <v>5</v>
      </c>
      <c r="E1254" s="4" t="s">
        <v>24</v>
      </c>
      <c r="F1254" s="4" t="s">
        <v>31</v>
      </c>
      <c r="G1254" s="4" t="s">
        <v>11385</v>
      </c>
      <c r="H1254" s="4" t="s">
        <v>185</v>
      </c>
      <c r="I1254" s="5" t="str">
        <f>IFERROR(VLOOKUP(Consulta1[[#This Row],[Pozo largo]],'Lista YPF'!$B$3:$C$358,2,FALSE),"NO")</f>
        <v>NO</v>
      </c>
      <c r="J1254" s="5" t="str">
        <f>IFERROR(VLOOKUP(Consulta1[[#This Row],[Pozo]],'Lista Oportunidades'!B:C,2,FALSE),"NO")</f>
        <v>NO</v>
      </c>
      <c r="K1254" s="5">
        <f>IFERROR(VLOOKUP(Consulta1[[#This Row],[Pozo largo]],Controles!B:H,7,FALSE),"NO")</f>
        <v>1.5</v>
      </c>
      <c r="L1254" s="5">
        <f>IFERROR(VLOOKUP(Consulta1[[#This Row],[Pozo largo]],Controles!B:J,9,FALSE),"NO")</f>
        <v>0</v>
      </c>
    </row>
    <row r="1255" spans="2:12" x14ac:dyDescent="0.35">
      <c r="B1255" s="4" t="s">
        <v>2419</v>
      </c>
      <c r="C1255" s="4" t="s">
        <v>6988</v>
      </c>
      <c r="D1255" s="4" t="s">
        <v>5</v>
      </c>
      <c r="E1255" s="4" t="s">
        <v>12</v>
      </c>
      <c r="F1255" s="4" t="s">
        <v>28</v>
      </c>
      <c r="G1255" s="4" t="s">
        <v>13</v>
      </c>
      <c r="H1255" s="4" t="s">
        <v>290</v>
      </c>
      <c r="I1255" s="5" t="str">
        <f>IFERROR(VLOOKUP(Consulta1[[#This Row],[Pozo largo]],'Lista YPF'!$B$3:$C$358,2,FALSE),"NO")</f>
        <v>NO</v>
      </c>
      <c r="J1255" s="5" t="str">
        <f>IFERROR(VLOOKUP(Consulta1[[#This Row],[Pozo]],'Lista Oportunidades'!B:C,2,FALSE),"NO")</f>
        <v>NO</v>
      </c>
      <c r="K1255" s="5">
        <f>IFERROR(VLOOKUP(Consulta1[[#This Row],[Pozo largo]],Controles!B:H,7,FALSE),"NO")</f>
        <v>0</v>
      </c>
      <c r="L1255" s="5">
        <f>IFERROR(VLOOKUP(Consulta1[[#This Row],[Pozo largo]],Controles!B:J,9,FALSE),"NO")</f>
        <v>0</v>
      </c>
    </row>
    <row r="1256" spans="2:12" x14ac:dyDescent="0.35">
      <c r="B1256" s="4" t="s">
        <v>2421</v>
      </c>
      <c r="C1256" s="4" t="s">
        <v>6989</v>
      </c>
      <c r="D1256" s="4" t="s">
        <v>5</v>
      </c>
      <c r="E1256" s="4" t="s">
        <v>12</v>
      </c>
      <c r="F1256" s="4" t="s">
        <v>25</v>
      </c>
      <c r="G1256" s="4" t="s">
        <v>13</v>
      </c>
      <c r="H1256" s="4" t="s">
        <v>71</v>
      </c>
      <c r="I1256" s="5" t="str">
        <f>IFERROR(VLOOKUP(Consulta1[[#This Row],[Pozo largo]],'Lista YPF'!$B$3:$C$358,2,FALSE),"NO")</f>
        <v>NO</v>
      </c>
      <c r="J1256" s="5" t="str">
        <f>IFERROR(VLOOKUP(Consulta1[[#This Row],[Pozo]],'Lista Oportunidades'!B:C,2,FALSE),"NO")</f>
        <v>NO</v>
      </c>
      <c r="K1256" s="5">
        <f>IFERROR(VLOOKUP(Consulta1[[#This Row],[Pozo largo]],Controles!B:H,7,FALSE),"NO")</f>
        <v>2.9000000000000001E-2</v>
      </c>
      <c r="L1256" s="5">
        <f>IFERROR(VLOOKUP(Consulta1[[#This Row],[Pozo largo]],Controles!B:J,9,FALSE),"NO")</f>
        <v>0</v>
      </c>
    </row>
    <row r="1257" spans="2:12" x14ac:dyDescent="0.35">
      <c r="B1257" s="4" t="s">
        <v>2423</v>
      </c>
      <c r="C1257" s="4" t="s">
        <v>6990</v>
      </c>
      <c r="D1257" s="4" t="s">
        <v>5</v>
      </c>
      <c r="E1257" s="4" t="s">
        <v>12</v>
      </c>
      <c r="F1257" s="4" t="s">
        <v>7</v>
      </c>
      <c r="G1257" s="4" t="s">
        <v>13</v>
      </c>
      <c r="H1257" s="4" t="s">
        <v>71</v>
      </c>
      <c r="I1257" s="5" t="str">
        <f>IFERROR(VLOOKUP(Consulta1[[#This Row],[Pozo largo]],'Lista YPF'!$B$3:$C$358,2,FALSE),"NO")</f>
        <v>NO</v>
      </c>
      <c r="J1257" s="5" t="str">
        <f>IFERROR(VLOOKUP(Consulta1[[#This Row],[Pozo]],'Lista Oportunidades'!B:C,2,FALSE),"NO")</f>
        <v>NO</v>
      </c>
      <c r="K1257" s="5">
        <f>IFERROR(VLOOKUP(Consulta1[[#This Row],[Pozo largo]],Controles!B:H,7,FALSE),"NO")</f>
        <v>0.42</v>
      </c>
      <c r="L1257" s="5">
        <f>IFERROR(VLOOKUP(Consulta1[[#This Row],[Pozo largo]],Controles!B:J,9,FALSE),"NO")</f>
        <v>0</v>
      </c>
    </row>
    <row r="1258" spans="2:12" x14ac:dyDescent="0.35">
      <c r="B1258" s="4" t="s">
        <v>2425</v>
      </c>
      <c r="C1258" s="4" t="s">
        <v>5764</v>
      </c>
      <c r="D1258" s="4" t="s">
        <v>5</v>
      </c>
      <c r="E1258" s="4" t="s">
        <v>57</v>
      </c>
      <c r="F1258" s="4" t="s">
        <v>7</v>
      </c>
      <c r="G1258" s="4" t="s">
        <v>8689</v>
      </c>
      <c r="H1258" s="4" t="s">
        <v>21</v>
      </c>
      <c r="I1258" s="5" t="str">
        <f>IFERROR(VLOOKUP(Consulta1[[#This Row],[Pozo largo]],'Lista YPF'!$B$3:$C$358,2,FALSE),"NO")</f>
        <v>NO</v>
      </c>
      <c r="J1258" s="5" t="str">
        <f>IFERROR(VLOOKUP(Consulta1[[#This Row],[Pozo]],'Lista Oportunidades'!B:C,2,FALSE),"NO")</f>
        <v>Oportunidad</v>
      </c>
      <c r="K1258" s="5">
        <f>IFERROR(VLOOKUP(Consulta1[[#This Row],[Pozo largo]],Controles!B:H,7,FALSE),"NO")</f>
        <v>1.76</v>
      </c>
      <c r="L1258" s="5" t="str">
        <f>IFERROR(VLOOKUP(Consulta1[[#This Row],[Pozo largo]],Controles!B:J,9,FALSE),"NO")</f>
        <v>Ultimos 6 meses</v>
      </c>
    </row>
    <row r="1259" spans="2:12" x14ac:dyDescent="0.35">
      <c r="B1259" s="4" t="s">
        <v>2427</v>
      </c>
      <c r="C1259" s="4" t="s">
        <v>6991</v>
      </c>
      <c r="D1259" s="4" t="s">
        <v>5</v>
      </c>
      <c r="E1259" s="4" t="s">
        <v>6</v>
      </c>
      <c r="F1259" s="4" t="s">
        <v>7</v>
      </c>
      <c r="G1259" s="4" t="s">
        <v>5718</v>
      </c>
      <c r="H1259" s="4" t="s">
        <v>33</v>
      </c>
      <c r="I1259" s="5" t="str">
        <f>IFERROR(VLOOKUP(Consulta1[[#This Row],[Pozo largo]],'Lista YPF'!$B$3:$C$358,2,FALSE),"NO")</f>
        <v>En lista de Abandono</v>
      </c>
      <c r="J1259" s="5" t="str">
        <f>IFERROR(VLOOKUP(Consulta1[[#This Row],[Pozo]],'Lista Oportunidades'!B:C,2,FALSE),"NO")</f>
        <v>NO</v>
      </c>
      <c r="K1259" s="5">
        <f>IFERROR(VLOOKUP(Consulta1[[#This Row],[Pozo largo]],Controles!B:H,7,FALSE),"NO")</f>
        <v>1.2</v>
      </c>
      <c r="L1259" s="5">
        <f>IFERROR(VLOOKUP(Consulta1[[#This Row],[Pozo largo]],Controles!B:J,9,FALSE),"NO")</f>
        <v>0</v>
      </c>
    </row>
    <row r="1260" spans="2:12" x14ac:dyDescent="0.35">
      <c r="B1260" s="4" t="s">
        <v>2429</v>
      </c>
      <c r="C1260" s="4" t="s">
        <v>6992</v>
      </c>
      <c r="D1260" s="4" t="s">
        <v>5</v>
      </c>
      <c r="E1260" s="4" t="s">
        <v>12</v>
      </c>
      <c r="F1260" s="4" t="s">
        <v>238</v>
      </c>
      <c r="G1260" s="4" t="s">
        <v>13</v>
      </c>
      <c r="H1260" s="4" t="s">
        <v>254</v>
      </c>
      <c r="I1260" s="5" t="str">
        <f>IFERROR(VLOOKUP(Consulta1[[#This Row],[Pozo largo]],'Lista YPF'!$B$3:$C$358,2,FALSE),"NO")</f>
        <v>NO</v>
      </c>
      <c r="J1260" s="5" t="str">
        <f>IFERROR(VLOOKUP(Consulta1[[#This Row],[Pozo]],'Lista Oportunidades'!B:C,2,FALSE),"NO")</f>
        <v>NO</v>
      </c>
      <c r="K1260" s="5">
        <f>IFERROR(VLOOKUP(Consulta1[[#This Row],[Pozo largo]],Controles!B:H,7,FALSE),"NO")</f>
        <v>1.0620000000000001</v>
      </c>
      <c r="L1260" s="5">
        <f>IFERROR(VLOOKUP(Consulta1[[#This Row],[Pozo largo]],Controles!B:J,9,FALSE),"NO")</f>
        <v>0</v>
      </c>
    </row>
    <row r="1261" spans="2:12" x14ac:dyDescent="0.35">
      <c r="B1261" s="4" t="s">
        <v>2431</v>
      </c>
      <c r="C1261" s="4" t="s">
        <v>6993</v>
      </c>
      <c r="D1261" s="4" t="s">
        <v>5</v>
      </c>
      <c r="E1261" s="4" t="s">
        <v>30</v>
      </c>
      <c r="F1261" s="4" t="s">
        <v>31</v>
      </c>
      <c r="G1261" s="4" t="s">
        <v>32</v>
      </c>
      <c r="H1261" s="4" t="s">
        <v>80</v>
      </c>
      <c r="I1261" s="5" t="str">
        <f>IFERROR(VLOOKUP(Consulta1[[#This Row],[Pozo largo]],'Lista YPF'!$B$3:$C$358,2,FALSE),"NO")</f>
        <v>NO</v>
      </c>
      <c r="J1261" s="5" t="str">
        <f>IFERROR(VLOOKUP(Consulta1[[#This Row],[Pozo]],'Lista Oportunidades'!B:C,2,FALSE),"NO")</f>
        <v>NO</v>
      </c>
      <c r="K1261" s="5" t="str">
        <f>IFERROR(VLOOKUP(Consulta1[[#This Row],[Pozo largo]],Controles!B:H,7,FALSE),"NO")</f>
        <v>NO</v>
      </c>
      <c r="L1261" s="5" t="str">
        <f>IFERROR(VLOOKUP(Consulta1[[#This Row],[Pozo largo]],Controles!B:J,9,FALSE),"NO")</f>
        <v>NO</v>
      </c>
    </row>
    <row r="1262" spans="2:12" x14ac:dyDescent="0.35">
      <c r="B1262" s="4" t="s">
        <v>2432</v>
      </c>
      <c r="C1262" s="4" t="s">
        <v>6994</v>
      </c>
      <c r="D1262" s="4" t="s">
        <v>5</v>
      </c>
      <c r="E1262" s="4" t="s">
        <v>30</v>
      </c>
      <c r="F1262" s="4" t="s">
        <v>31</v>
      </c>
      <c r="G1262" s="4" t="s">
        <v>32</v>
      </c>
      <c r="H1262" s="4" t="s">
        <v>80</v>
      </c>
      <c r="I1262" s="5" t="str">
        <f>IFERROR(VLOOKUP(Consulta1[[#This Row],[Pozo largo]],'Lista YPF'!$B$3:$C$358,2,FALSE),"NO")</f>
        <v>NO</v>
      </c>
      <c r="J1262" s="5" t="str">
        <f>IFERROR(VLOOKUP(Consulta1[[#This Row],[Pozo]],'Lista Oportunidades'!B:C,2,FALSE),"NO")</f>
        <v>NO</v>
      </c>
      <c r="K1262" s="5" t="str">
        <f>IFERROR(VLOOKUP(Consulta1[[#This Row],[Pozo largo]],Controles!B:H,7,FALSE),"NO")</f>
        <v>NO</v>
      </c>
      <c r="L1262" s="5" t="str">
        <f>IFERROR(VLOOKUP(Consulta1[[#This Row],[Pozo largo]],Controles!B:J,9,FALSE),"NO")</f>
        <v>NO</v>
      </c>
    </row>
    <row r="1263" spans="2:12" x14ac:dyDescent="0.35">
      <c r="B1263" s="4" t="s">
        <v>2433</v>
      </c>
      <c r="C1263" s="4" t="s">
        <v>6995</v>
      </c>
      <c r="D1263" s="4" t="s">
        <v>5</v>
      </c>
      <c r="E1263" s="4" t="s">
        <v>12</v>
      </c>
      <c r="F1263" s="4" t="s">
        <v>25</v>
      </c>
      <c r="G1263" s="4" t="s">
        <v>13</v>
      </c>
      <c r="H1263" s="4" t="s">
        <v>86</v>
      </c>
      <c r="I1263" s="5" t="str">
        <f>IFERROR(VLOOKUP(Consulta1[[#This Row],[Pozo largo]],'Lista YPF'!$B$3:$C$358,2,FALSE),"NO")</f>
        <v>NO</v>
      </c>
      <c r="J1263" s="5" t="str">
        <f>IFERROR(VLOOKUP(Consulta1[[#This Row],[Pozo]],'Lista Oportunidades'!B:C,2,FALSE),"NO")</f>
        <v>NO</v>
      </c>
      <c r="K1263" s="5">
        <f>IFERROR(VLOOKUP(Consulta1[[#This Row],[Pozo largo]],Controles!B:H,7,FALSE),"NO")</f>
        <v>0.19</v>
      </c>
      <c r="L1263" s="5">
        <f>IFERROR(VLOOKUP(Consulta1[[#This Row],[Pozo largo]],Controles!B:J,9,FALSE),"NO")</f>
        <v>0</v>
      </c>
    </row>
    <row r="1264" spans="2:12" x14ac:dyDescent="0.35">
      <c r="B1264" s="4" t="s">
        <v>2435</v>
      </c>
      <c r="C1264" s="4" t="s">
        <v>6996</v>
      </c>
      <c r="D1264" s="4" t="s">
        <v>5</v>
      </c>
      <c r="E1264" s="4" t="s">
        <v>6</v>
      </c>
      <c r="F1264" s="4" t="s">
        <v>7</v>
      </c>
      <c r="G1264" s="4" t="s">
        <v>5718</v>
      </c>
      <c r="H1264" s="4" t="s">
        <v>86</v>
      </c>
      <c r="I1264" s="5" t="str">
        <f>IFERROR(VLOOKUP(Consulta1[[#This Row],[Pozo largo]],'Lista YPF'!$B$3:$C$358,2,FALSE),"NO")</f>
        <v>En lista de Abandono</v>
      </c>
      <c r="J1264" s="5" t="str">
        <f>IFERROR(VLOOKUP(Consulta1[[#This Row],[Pozo]],'Lista Oportunidades'!B:C,2,FALSE),"NO")</f>
        <v>NO</v>
      </c>
      <c r="K1264" s="5">
        <f>IFERROR(VLOOKUP(Consulta1[[#This Row],[Pozo largo]],Controles!B:H,7,FALSE),"NO")</f>
        <v>0.68</v>
      </c>
      <c r="L1264" s="5">
        <f>IFERROR(VLOOKUP(Consulta1[[#This Row],[Pozo largo]],Controles!B:J,9,FALSE),"NO")</f>
        <v>0</v>
      </c>
    </row>
    <row r="1265" spans="2:12" x14ac:dyDescent="0.35">
      <c r="B1265" s="4" t="s">
        <v>2437</v>
      </c>
      <c r="C1265" s="4" t="s">
        <v>6997</v>
      </c>
      <c r="D1265" s="4" t="s">
        <v>5</v>
      </c>
      <c r="E1265" s="4" t="s">
        <v>12</v>
      </c>
      <c r="F1265" s="4" t="s">
        <v>7</v>
      </c>
      <c r="G1265" s="4" t="s">
        <v>13</v>
      </c>
      <c r="H1265" s="4" t="s">
        <v>86</v>
      </c>
      <c r="I1265" s="5" t="str">
        <f>IFERROR(VLOOKUP(Consulta1[[#This Row],[Pozo largo]],'Lista YPF'!$B$3:$C$358,2,FALSE),"NO")</f>
        <v>NO</v>
      </c>
      <c r="J1265" s="5" t="str">
        <f>IFERROR(VLOOKUP(Consulta1[[#This Row],[Pozo]],'Lista Oportunidades'!B:C,2,FALSE),"NO")</f>
        <v>NO</v>
      </c>
      <c r="K1265" s="5">
        <f>IFERROR(VLOOKUP(Consulta1[[#This Row],[Pozo largo]],Controles!B:H,7,FALSE),"NO")</f>
        <v>1.49</v>
      </c>
      <c r="L1265" s="5">
        <f>IFERROR(VLOOKUP(Consulta1[[#This Row],[Pozo largo]],Controles!B:J,9,FALSE),"NO")</f>
        <v>0</v>
      </c>
    </row>
    <row r="1266" spans="2:12" x14ac:dyDescent="0.35">
      <c r="B1266" s="4" t="s">
        <v>2439</v>
      </c>
      <c r="C1266" s="4" t="s">
        <v>6998</v>
      </c>
      <c r="D1266" s="4" t="s">
        <v>5</v>
      </c>
      <c r="E1266" s="4" t="s">
        <v>12</v>
      </c>
      <c r="F1266" s="4" t="s">
        <v>7</v>
      </c>
      <c r="G1266" s="4" t="s">
        <v>13</v>
      </c>
      <c r="H1266" s="4" t="s">
        <v>185</v>
      </c>
      <c r="I1266" s="5" t="str">
        <f>IFERROR(VLOOKUP(Consulta1[[#This Row],[Pozo largo]],'Lista YPF'!$B$3:$C$358,2,FALSE),"NO")</f>
        <v>NO</v>
      </c>
      <c r="J1266" s="5" t="str">
        <f>IFERROR(VLOOKUP(Consulta1[[#This Row],[Pozo]],'Lista Oportunidades'!B:C,2,FALSE),"NO")</f>
        <v>NO</v>
      </c>
      <c r="K1266" s="5">
        <f>IFERROR(VLOOKUP(Consulta1[[#This Row],[Pozo largo]],Controles!B:H,7,FALSE),"NO")</f>
        <v>0.99199999999999999</v>
      </c>
      <c r="L1266" s="5">
        <f>IFERROR(VLOOKUP(Consulta1[[#This Row],[Pozo largo]],Controles!B:J,9,FALSE),"NO")</f>
        <v>0</v>
      </c>
    </row>
    <row r="1267" spans="2:12" x14ac:dyDescent="0.35">
      <c r="B1267" s="4" t="s">
        <v>2441</v>
      </c>
      <c r="C1267" s="4" t="s">
        <v>6999</v>
      </c>
      <c r="D1267" s="4" t="s">
        <v>5</v>
      </c>
      <c r="E1267" s="4" t="s">
        <v>12</v>
      </c>
      <c r="F1267" s="4" t="s">
        <v>7</v>
      </c>
      <c r="G1267" s="4" t="s">
        <v>13</v>
      </c>
      <c r="H1267" s="4" t="s">
        <v>9</v>
      </c>
      <c r="I1267" s="5" t="str">
        <f>IFERROR(VLOOKUP(Consulta1[[#This Row],[Pozo largo]],'Lista YPF'!$B$3:$C$358,2,FALSE),"NO")</f>
        <v>NO</v>
      </c>
      <c r="J1267" s="5" t="str">
        <f>IFERROR(VLOOKUP(Consulta1[[#This Row],[Pozo]],'Lista Oportunidades'!B:C,2,FALSE),"NO")</f>
        <v>NO</v>
      </c>
      <c r="K1267" s="5">
        <f>IFERROR(VLOOKUP(Consulta1[[#This Row],[Pozo largo]],Controles!B:H,7,FALSE),"NO")</f>
        <v>3.2</v>
      </c>
      <c r="L1267" s="5">
        <f>IFERROR(VLOOKUP(Consulta1[[#This Row],[Pozo largo]],Controles!B:J,9,FALSE),"NO")</f>
        <v>0</v>
      </c>
    </row>
    <row r="1268" spans="2:12" x14ac:dyDescent="0.35">
      <c r="B1268" s="4" t="s">
        <v>2443</v>
      </c>
      <c r="C1268" s="4" t="s">
        <v>7000</v>
      </c>
      <c r="D1268" s="4" t="s">
        <v>5</v>
      </c>
      <c r="E1268" s="4" t="s">
        <v>12</v>
      </c>
      <c r="F1268" s="4" t="s">
        <v>28</v>
      </c>
      <c r="G1268" s="4" t="s">
        <v>13</v>
      </c>
      <c r="H1268" s="4" t="s">
        <v>80</v>
      </c>
      <c r="I1268" s="5" t="str">
        <f>IFERROR(VLOOKUP(Consulta1[[#This Row],[Pozo largo]],'Lista YPF'!$B$3:$C$358,2,FALSE),"NO")</f>
        <v>NO</v>
      </c>
      <c r="J1268" s="5" t="str">
        <f>IFERROR(VLOOKUP(Consulta1[[#This Row],[Pozo]],'Lista Oportunidades'!B:C,2,FALSE),"NO")</f>
        <v>NO</v>
      </c>
      <c r="K1268" s="5">
        <f>IFERROR(VLOOKUP(Consulta1[[#This Row],[Pozo largo]],Controles!B:H,7,FALSE),"NO")</f>
        <v>0</v>
      </c>
      <c r="L1268" s="5">
        <f>IFERROR(VLOOKUP(Consulta1[[#This Row],[Pozo largo]],Controles!B:J,9,FALSE),"NO")</f>
        <v>0</v>
      </c>
    </row>
    <row r="1269" spans="2:12" x14ac:dyDescent="0.35">
      <c r="B1269" s="4" t="s">
        <v>2445</v>
      </c>
      <c r="C1269" s="4" t="s">
        <v>7001</v>
      </c>
      <c r="D1269" s="4" t="s">
        <v>5</v>
      </c>
      <c r="E1269" s="4" t="s">
        <v>12</v>
      </c>
      <c r="F1269" s="4" t="s">
        <v>7</v>
      </c>
      <c r="G1269" s="4" t="s">
        <v>13</v>
      </c>
      <c r="H1269" s="4" t="s">
        <v>91</v>
      </c>
      <c r="I1269" s="5" t="str">
        <f>IFERROR(VLOOKUP(Consulta1[[#This Row],[Pozo largo]],'Lista YPF'!$B$3:$C$358,2,FALSE),"NO")</f>
        <v>NO</v>
      </c>
      <c r="J1269" s="5" t="str">
        <f>IFERROR(VLOOKUP(Consulta1[[#This Row],[Pozo]],'Lista Oportunidades'!B:C,2,FALSE),"NO")</f>
        <v>NO</v>
      </c>
      <c r="K1269" s="5">
        <f>IFERROR(VLOOKUP(Consulta1[[#This Row],[Pozo largo]],Controles!B:H,7,FALSE),"NO")</f>
        <v>0.9</v>
      </c>
      <c r="L1269" s="5">
        <f>IFERROR(VLOOKUP(Consulta1[[#This Row],[Pozo largo]],Controles!B:J,9,FALSE),"NO")</f>
        <v>0</v>
      </c>
    </row>
    <row r="1270" spans="2:12" x14ac:dyDescent="0.35">
      <c r="B1270" s="4" t="s">
        <v>2447</v>
      </c>
      <c r="C1270" s="4" t="s">
        <v>7002</v>
      </c>
      <c r="D1270" s="4" t="s">
        <v>5</v>
      </c>
      <c r="E1270" s="4" t="s">
        <v>12</v>
      </c>
      <c r="F1270" s="4" t="s">
        <v>28</v>
      </c>
      <c r="G1270" s="4" t="s">
        <v>13</v>
      </c>
      <c r="H1270" s="4" t="s">
        <v>86</v>
      </c>
      <c r="I1270" s="5" t="str">
        <f>IFERROR(VLOOKUP(Consulta1[[#This Row],[Pozo largo]],'Lista YPF'!$B$3:$C$358,2,FALSE),"NO")</f>
        <v>NO</v>
      </c>
      <c r="J1270" s="5" t="str">
        <f>IFERROR(VLOOKUP(Consulta1[[#This Row],[Pozo]],'Lista Oportunidades'!B:C,2,FALSE),"NO")</f>
        <v>NO</v>
      </c>
      <c r="K1270" s="5">
        <f>IFERROR(VLOOKUP(Consulta1[[#This Row],[Pozo largo]],Controles!B:H,7,FALSE),"NO")</f>
        <v>0</v>
      </c>
      <c r="L1270" s="5">
        <f>IFERROR(VLOOKUP(Consulta1[[#This Row],[Pozo largo]],Controles!B:J,9,FALSE),"NO")</f>
        <v>0</v>
      </c>
    </row>
    <row r="1271" spans="2:12" x14ac:dyDescent="0.35">
      <c r="B1271" s="4" t="s">
        <v>2449</v>
      </c>
      <c r="C1271" s="4" t="s">
        <v>7003</v>
      </c>
      <c r="D1271" s="4" t="s">
        <v>5</v>
      </c>
      <c r="E1271" s="4" t="s">
        <v>57</v>
      </c>
      <c r="F1271" s="4" t="s">
        <v>7</v>
      </c>
      <c r="G1271" s="4" t="s">
        <v>5718</v>
      </c>
      <c r="H1271" s="4" t="s">
        <v>86</v>
      </c>
      <c r="I1271" s="5" t="str">
        <f>IFERROR(VLOOKUP(Consulta1[[#This Row],[Pozo largo]],'Lista YPF'!$B$3:$C$358,2,FALSE),"NO")</f>
        <v>En lista de Abandono</v>
      </c>
      <c r="J1271" s="5" t="str">
        <f>IFERROR(VLOOKUP(Consulta1[[#This Row],[Pozo]],'Lista Oportunidades'!B:C,2,FALSE),"NO")</f>
        <v>NO</v>
      </c>
      <c r="K1271" s="5">
        <f>IFERROR(VLOOKUP(Consulta1[[#This Row],[Pozo largo]],Controles!B:H,7,FALSE),"NO")</f>
        <v>0.6</v>
      </c>
      <c r="L1271" s="5">
        <f>IFERROR(VLOOKUP(Consulta1[[#This Row],[Pozo largo]],Controles!B:J,9,FALSE),"NO")</f>
        <v>0</v>
      </c>
    </row>
    <row r="1272" spans="2:12" x14ac:dyDescent="0.35">
      <c r="B1272" s="4" t="s">
        <v>2451</v>
      </c>
      <c r="C1272" s="4" t="s">
        <v>7004</v>
      </c>
      <c r="D1272" s="4" t="s">
        <v>5</v>
      </c>
      <c r="E1272" s="4" t="s">
        <v>12</v>
      </c>
      <c r="F1272" s="4" t="s">
        <v>7</v>
      </c>
      <c r="G1272" s="4" t="s">
        <v>13</v>
      </c>
      <c r="H1272" s="4" t="s">
        <v>74</v>
      </c>
      <c r="I1272" s="5" t="str">
        <f>IFERROR(VLOOKUP(Consulta1[[#This Row],[Pozo largo]],'Lista YPF'!$B$3:$C$358,2,FALSE),"NO")</f>
        <v>NO</v>
      </c>
      <c r="J1272" s="5" t="str">
        <f>IFERROR(VLOOKUP(Consulta1[[#This Row],[Pozo]],'Lista Oportunidades'!B:C,2,FALSE),"NO")</f>
        <v>NO</v>
      </c>
      <c r="K1272" s="5">
        <f>IFERROR(VLOOKUP(Consulta1[[#This Row],[Pozo largo]],Controles!B:H,7,FALSE),"NO")</f>
        <v>2.4500000000000002</v>
      </c>
      <c r="L1272" s="5">
        <f>IFERROR(VLOOKUP(Consulta1[[#This Row],[Pozo largo]],Controles!B:J,9,FALSE),"NO")</f>
        <v>0</v>
      </c>
    </row>
    <row r="1273" spans="2:12" x14ac:dyDescent="0.35">
      <c r="B1273" s="4" t="s">
        <v>2453</v>
      </c>
      <c r="C1273" s="4" t="s">
        <v>7005</v>
      </c>
      <c r="D1273" s="4" t="s">
        <v>5</v>
      </c>
      <c r="E1273" s="4" t="s">
        <v>57</v>
      </c>
      <c r="F1273" s="4" t="s">
        <v>25</v>
      </c>
      <c r="G1273" s="4" t="s">
        <v>5718</v>
      </c>
      <c r="H1273" s="4" t="s">
        <v>21</v>
      </c>
      <c r="I1273" s="5" t="str">
        <f>IFERROR(VLOOKUP(Consulta1[[#This Row],[Pozo largo]],'Lista YPF'!$B$3:$C$358,2,FALSE),"NO")</f>
        <v>En lista de Abandono</v>
      </c>
      <c r="J1273" s="5" t="str">
        <f>IFERROR(VLOOKUP(Consulta1[[#This Row],[Pozo]],'Lista Oportunidades'!B:C,2,FALSE),"NO")</f>
        <v>NO</v>
      </c>
      <c r="K1273" s="5">
        <f>IFERROR(VLOOKUP(Consulta1[[#This Row],[Pozo largo]],Controles!B:H,7,FALSE),"NO")</f>
        <v>9.6000000000000002E-2</v>
      </c>
      <c r="L1273" s="5">
        <f>IFERROR(VLOOKUP(Consulta1[[#This Row],[Pozo largo]],Controles!B:J,9,FALSE),"NO")</f>
        <v>0</v>
      </c>
    </row>
    <row r="1274" spans="2:12" x14ac:dyDescent="0.35">
      <c r="B1274" s="4" t="s">
        <v>2455</v>
      </c>
      <c r="C1274" s="4" t="s">
        <v>7006</v>
      </c>
      <c r="D1274" s="4" t="s">
        <v>5</v>
      </c>
      <c r="E1274" s="4" t="s">
        <v>12</v>
      </c>
      <c r="F1274" s="4" t="s">
        <v>7</v>
      </c>
      <c r="G1274" s="4" t="s">
        <v>13</v>
      </c>
      <c r="H1274" s="4" t="s">
        <v>86</v>
      </c>
      <c r="I1274" s="5" t="str">
        <f>IFERROR(VLOOKUP(Consulta1[[#This Row],[Pozo largo]],'Lista YPF'!$B$3:$C$358,2,FALSE),"NO")</f>
        <v>NO</v>
      </c>
      <c r="J1274" s="5" t="str">
        <f>IFERROR(VLOOKUP(Consulta1[[#This Row],[Pozo]],'Lista Oportunidades'!B:C,2,FALSE),"NO")</f>
        <v>NO</v>
      </c>
      <c r="K1274" s="5">
        <f>IFERROR(VLOOKUP(Consulta1[[#This Row],[Pozo largo]],Controles!B:H,7,FALSE),"NO")</f>
        <v>0.16800000000000001</v>
      </c>
      <c r="L1274" s="5">
        <f>IFERROR(VLOOKUP(Consulta1[[#This Row],[Pozo largo]],Controles!B:J,9,FALSE),"NO")</f>
        <v>0</v>
      </c>
    </row>
    <row r="1275" spans="2:12" x14ac:dyDescent="0.35">
      <c r="B1275" s="4" t="s">
        <v>2457</v>
      </c>
      <c r="C1275" s="4" t="s">
        <v>7007</v>
      </c>
      <c r="D1275" s="4" t="s">
        <v>5</v>
      </c>
      <c r="E1275" s="4" t="s">
        <v>12</v>
      </c>
      <c r="F1275" s="4" t="s">
        <v>28</v>
      </c>
      <c r="G1275" s="4" t="s">
        <v>13</v>
      </c>
      <c r="H1275" s="4" t="s">
        <v>86</v>
      </c>
      <c r="I1275" s="5" t="str">
        <f>IFERROR(VLOOKUP(Consulta1[[#This Row],[Pozo largo]],'Lista YPF'!$B$3:$C$358,2,FALSE),"NO")</f>
        <v>NO</v>
      </c>
      <c r="J1275" s="5" t="str">
        <f>IFERROR(VLOOKUP(Consulta1[[#This Row],[Pozo]],'Lista Oportunidades'!B:C,2,FALSE),"NO")</f>
        <v>NO</v>
      </c>
      <c r="K1275" s="5">
        <f>IFERROR(VLOOKUP(Consulta1[[#This Row],[Pozo largo]],Controles!B:H,7,FALSE),"NO")</f>
        <v>0</v>
      </c>
      <c r="L1275" s="5">
        <f>IFERROR(VLOOKUP(Consulta1[[#This Row],[Pozo largo]],Controles!B:J,9,FALSE),"NO")</f>
        <v>0</v>
      </c>
    </row>
    <row r="1276" spans="2:12" x14ac:dyDescent="0.35">
      <c r="B1276" s="4" t="s">
        <v>2459</v>
      </c>
      <c r="C1276" s="4" t="s">
        <v>7008</v>
      </c>
      <c r="D1276" s="4" t="s">
        <v>5</v>
      </c>
      <c r="E1276" s="4" t="s">
        <v>24</v>
      </c>
      <c r="F1276" s="4" t="s">
        <v>25</v>
      </c>
      <c r="G1276" s="4" t="s">
        <v>8</v>
      </c>
      <c r="H1276" s="4" t="s">
        <v>91</v>
      </c>
      <c r="I1276" s="5" t="str">
        <f>IFERROR(VLOOKUP(Consulta1[[#This Row],[Pozo largo]],'Lista YPF'!$B$3:$C$358,2,FALSE),"NO")</f>
        <v>NO</v>
      </c>
      <c r="J1276" s="5" t="str">
        <f>IFERROR(VLOOKUP(Consulta1[[#This Row],[Pozo]],'Lista Oportunidades'!B:C,2,FALSE),"NO")</f>
        <v>NO</v>
      </c>
      <c r="K1276" s="5">
        <f>IFERROR(VLOOKUP(Consulta1[[#This Row],[Pozo largo]],Controles!B:H,7,FALSE),"NO")</f>
        <v>9.7000000000000003E-2</v>
      </c>
      <c r="L1276" s="5">
        <f>IFERROR(VLOOKUP(Consulta1[[#This Row],[Pozo largo]],Controles!B:J,9,FALSE),"NO")</f>
        <v>0</v>
      </c>
    </row>
    <row r="1277" spans="2:12" x14ac:dyDescent="0.35">
      <c r="B1277" s="4" t="s">
        <v>2461</v>
      </c>
      <c r="C1277" s="4" t="s">
        <v>7009</v>
      </c>
      <c r="D1277" s="4" t="s">
        <v>5</v>
      </c>
      <c r="E1277" s="4" t="s">
        <v>12</v>
      </c>
      <c r="F1277" s="4" t="s">
        <v>83</v>
      </c>
      <c r="G1277" s="4" t="s">
        <v>13</v>
      </c>
      <c r="H1277" s="4" t="s">
        <v>71</v>
      </c>
      <c r="I1277" s="5" t="str">
        <f>IFERROR(VLOOKUP(Consulta1[[#This Row],[Pozo largo]],'Lista YPF'!$B$3:$C$358,2,FALSE),"NO")</f>
        <v>NO</v>
      </c>
      <c r="J1277" s="5" t="str">
        <f>IFERROR(VLOOKUP(Consulta1[[#This Row],[Pozo]],'Lista Oportunidades'!B:C,2,FALSE),"NO")</f>
        <v>NO</v>
      </c>
      <c r="K1277" s="5">
        <f>IFERROR(VLOOKUP(Consulta1[[#This Row],[Pozo largo]],Controles!B:H,7,FALSE),"NO")</f>
        <v>0.02</v>
      </c>
      <c r="L1277" s="5">
        <f>IFERROR(VLOOKUP(Consulta1[[#This Row],[Pozo largo]],Controles!B:J,9,FALSE),"NO")</f>
        <v>0</v>
      </c>
    </row>
    <row r="1278" spans="2:12" x14ac:dyDescent="0.35">
      <c r="B1278" s="4" t="s">
        <v>2463</v>
      </c>
      <c r="C1278" s="4" t="s">
        <v>7010</v>
      </c>
      <c r="D1278" s="4" t="s">
        <v>5</v>
      </c>
      <c r="E1278" s="4" t="s">
        <v>12</v>
      </c>
      <c r="F1278" s="4" t="s">
        <v>28</v>
      </c>
      <c r="G1278" s="4" t="s">
        <v>13</v>
      </c>
      <c r="H1278" s="4" t="s">
        <v>86</v>
      </c>
      <c r="I1278" s="5" t="str">
        <f>IFERROR(VLOOKUP(Consulta1[[#This Row],[Pozo largo]],'Lista YPF'!$B$3:$C$358,2,FALSE),"NO")</f>
        <v>NO</v>
      </c>
      <c r="J1278" s="5" t="str">
        <f>IFERROR(VLOOKUP(Consulta1[[#This Row],[Pozo]],'Lista Oportunidades'!B:C,2,FALSE),"NO")</f>
        <v>NO</v>
      </c>
      <c r="K1278" s="5">
        <f>IFERROR(VLOOKUP(Consulta1[[#This Row],[Pozo largo]],Controles!B:H,7,FALSE),"NO")</f>
        <v>0</v>
      </c>
      <c r="L1278" s="5">
        <f>IFERROR(VLOOKUP(Consulta1[[#This Row],[Pozo largo]],Controles!B:J,9,FALSE),"NO")</f>
        <v>0</v>
      </c>
    </row>
    <row r="1279" spans="2:12" x14ac:dyDescent="0.35">
      <c r="B1279" s="4" t="s">
        <v>2465</v>
      </c>
      <c r="C1279" s="4" t="s">
        <v>7011</v>
      </c>
      <c r="D1279" s="4" t="s">
        <v>5</v>
      </c>
      <c r="E1279" s="4" t="s">
        <v>12</v>
      </c>
      <c r="F1279" s="4" t="s">
        <v>28</v>
      </c>
      <c r="G1279" s="4" t="s">
        <v>13</v>
      </c>
      <c r="H1279" s="4" t="s">
        <v>21</v>
      </c>
      <c r="I1279" s="5" t="str">
        <f>IFERROR(VLOOKUP(Consulta1[[#This Row],[Pozo largo]],'Lista YPF'!$B$3:$C$358,2,FALSE),"NO")</f>
        <v>NO</v>
      </c>
      <c r="J1279" s="5" t="str">
        <f>IFERROR(VLOOKUP(Consulta1[[#This Row],[Pozo]],'Lista Oportunidades'!B:C,2,FALSE),"NO")</f>
        <v>NO</v>
      </c>
      <c r="K1279" s="5">
        <f>IFERROR(VLOOKUP(Consulta1[[#This Row],[Pozo largo]],Controles!B:H,7,FALSE),"NO")</f>
        <v>0</v>
      </c>
      <c r="L1279" s="5">
        <f>IFERROR(VLOOKUP(Consulta1[[#This Row],[Pozo largo]],Controles!B:J,9,FALSE),"NO")</f>
        <v>0</v>
      </c>
    </row>
    <row r="1280" spans="2:12" x14ac:dyDescent="0.35">
      <c r="B1280" s="4" t="s">
        <v>2467</v>
      </c>
      <c r="C1280" s="4" t="s">
        <v>7012</v>
      </c>
      <c r="D1280" s="4" t="s">
        <v>5</v>
      </c>
      <c r="E1280" s="4" t="s">
        <v>12</v>
      </c>
      <c r="F1280" s="4" t="s">
        <v>1151</v>
      </c>
      <c r="G1280" s="4" t="s">
        <v>13</v>
      </c>
      <c r="H1280" s="4" t="s">
        <v>80</v>
      </c>
      <c r="I1280" s="5" t="str">
        <f>IFERROR(VLOOKUP(Consulta1[[#This Row],[Pozo largo]],'Lista YPF'!$B$3:$C$358,2,FALSE),"NO")</f>
        <v>NO</v>
      </c>
      <c r="J1280" s="5" t="str">
        <f>IFERROR(VLOOKUP(Consulta1[[#This Row],[Pozo]],'Lista Oportunidades'!B:C,2,FALSE),"NO")</f>
        <v>NO</v>
      </c>
      <c r="K1280" s="5">
        <f>IFERROR(VLOOKUP(Consulta1[[#This Row],[Pozo largo]],Controles!B:H,7,FALSE),"NO")</f>
        <v>0.13100000000000001</v>
      </c>
      <c r="L1280" s="5">
        <f>IFERROR(VLOOKUP(Consulta1[[#This Row],[Pozo largo]],Controles!B:J,9,FALSE),"NO")</f>
        <v>0</v>
      </c>
    </row>
    <row r="1281" spans="2:12" x14ac:dyDescent="0.35">
      <c r="B1281" s="4" t="s">
        <v>2469</v>
      </c>
      <c r="C1281" s="4" t="s">
        <v>7013</v>
      </c>
      <c r="D1281" s="4" t="s">
        <v>5</v>
      </c>
      <c r="E1281" s="4" t="s">
        <v>12</v>
      </c>
      <c r="F1281" s="4" t="s">
        <v>7</v>
      </c>
      <c r="G1281" s="4" t="s">
        <v>13</v>
      </c>
      <c r="H1281" s="4" t="s">
        <v>185</v>
      </c>
      <c r="I1281" s="5" t="str">
        <f>IFERROR(VLOOKUP(Consulta1[[#This Row],[Pozo largo]],'Lista YPF'!$B$3:$C$358,2,FALSE),"NO")</f>
        <v>NO</v>
      </c>
      <c r="J1281" s="5" t="str">
        <f>IFERROR(VLOOKUP(Consulta1[[#This Row],[Pozo]],'Lista Oportunidades'!B:C,2,FALSE),"NO")</f>
        <v>NO</v>
      </c>
      <c r="K1281" s="5">
        <f>IFERROR(VLOOKUP(Consulta1[[#This Row],[Pozo largo]],Controles!B:H,7,FALSE),"NO")</f>
        <v>1.3440000000000001</v>
      </c>
      <c r="L1281" s="5">
        <f>IFERROR(VLOOKUP(Consulta1[[#This Row],[Pozo largo]],Controles!B:J,9,FALSE),"NO")</f>
        <v>0</v>
      </c>
    </row>
    <row r="1282" spans="2:12" x14ac:dyDescent="0.35">
      <c r="B1282" s="4" t="s">
        <v>2471</v>
      </c>
      <c r="C1282" s="4" t="s">
        <v>7014</v>
      </c>
      <c r="D1282" s="4" t="s">
        <v>5</v>
      </c>
      <c r="E1282" s="4" t="s">
        <v>12</v>
      </c>
      <c r="F1282" s="4" t="s">
        <v>7</v>
      </c>
      <c r="G1282" s="4" t="s">
        <v>13</v>
      </c>
      <c r="H1282" s="4" t="s">
        <v>86</v>
      </c>
      <c r="I1282" s="5" t="str">
        <f>IFERROR(VLOOKUP(Consulta1[[#This Row],[Pozo largo]],'Lista YPF'!$B$3:$C$358,2,FALSE),"NO")</f>
        <v>NO</v>
      </c>
      <c r="J1282" s="5" t="str">
        <f>IFERROR(VLOOKUP(Consulta1[[#This Row],[Pozo]],'Lista Oportunidades'!B:C,2,FALSE),"NO")</f>
        <v>NO</v>
      </c>
      <c r="K1282" s="5">
        <f>IFERROR(VLOOKUP(Consulta1[[#This Row],[Pozo largo]],Controles!B:H,7,FALSE),"NO")</f>
        <v>2.9</v>
      </c>
      <c r="L1282" s="5">
        <f>IFERROR(VLOOKUP(Consulta1[[#This Row],[Pozo largo]],Controles!B:J,9,FALSE),"NO")</f>
        <v>0</v>
      </c>
    </row>
    <row r="1283" spans="2:12" x14ac:dyDescent="0.35">
      <c r="B1283" s="4" t="s">
        <v>2473</v>
      </c>
      <c r="C1283" s="4" t="s">
        <v>7015</v>
      </c>
      <c r="D1283" s="4" t="s">
        <v>5</v>
      </c>
      <c r="E1283" s="4" t="s">
        <v>24</v>
      </c>
      <c r="F1283" s="4" t="s">
        <v>25</v>
      </c>
      <c r="G1283" s="4" t="s">
        <v>11387</v>
      </c>
      <c r="H1283" s="4" t="s">
        <v>86</v>
      </c>
      <c r="I1283" s="5" t="str">
        <f>IFERROR(VLOOKUP(Consulta1[[#This Row],[Pozo largo]],'Lista YPF'!$B$3:$C$358,2,FALSE),"NO")</f>
        <v>NO</v>
      </c>
      <c r="J1283" s="5" t="str">
        <f>IFERROR(VLOOKUP(Consulta1[[#This Row],[Pozo]],'Lista Oportunidades'!B:C,2,FALSE),"NO")</f>
        <v>NO</v>
      </c>
      <c r="K1283" s="5">
        <f>IFERROR(VLOOKUP(Consulta1[[#This Row],[Pozo largo]],Controles!B:H,7,FALSE),"NO")</f>
        <v>0</v>
      </c>
      <c r="L1283" s="5" t="str">
        <f>IFERROR(VLOOKUP(Consulta1[[#This Row],[Pozo largo]],Controles!B:J,9,FALSE),"NO")</f>
        <v>Ultimo Año</v>
      </c>
    </row>
    <row r="1284" spans="2:12" x14ac:dyDescent="0.35">
      <c r="B1284" s="4" t="s">
        <v>2475</v>
      </c>
      <c r="C1284" s="4" t="s">
        <v>7016</v>
      </c>
      <c r="D1284" s="4" t="s">
        <v>5</v>
      </c>
      <c r="E1284" s="4" t="s">
        <v>12</v>
      </c>
      <c r="F1284" s="4" t="s">
        <v>7</v>
      </c>
      <c r="G1284" s="4" t="s">
        <v>13</v>
      </c>
      <c r="H1284" s="4" t="s">
        <v>91</v>
      </c>
      <c r="I1284" s="5" t="str">
        <f>IFERROR(VLOOKUP(Consulta1[[#This Row],[Pozo largo]],'Lista YPF'!$B$3:$C$358,2,FALSE),"NO")</f>
        <v>NO</v>
      </c>
      <c r="J1284" s="5" t="str">
        <f>IFERROR(VLOOKUP(Consulta1[[#This Row],[Pozo]],'Lista Oportunidades'!B:C,2,FALSE),"NO")</f>
        <v>NO</v>
      </c>
      <c r="K1284" s="5">
        <f>IFERROR(VLOOKUP(Consulta1[[#This Row],[Pozo largo]],Controles!B:H,7,FALSE),"NO")</f>
        <v>0.48</v>
      </c>
      <c r="L1284" s="5">
        <f>IFERROR(VLOOKUP(Consulta1[[#This Row],[Pozo largo]],Controles!B:J,9,FALSE),"NO")</f>
        <v>0</v>
      </c>
    </row>
    <row r="1285" spans="2:12" x14ac:dyDescent="0.35">
      <c r="B1285" s="4" t="s">
        <v>2477</v>
      </c>
      <c r="C1285" s="4" t="s">
        <v>7017</v>
      </c>
      <c r="D1285" s="4" t="s">
        <v>5</v>
      </c>
      <c r="E1285" s="4" t="s">
        <v>12</v>
      </c>
      <c r="F1285" s="4" t="s">
        <v>7</v>
      </c>
      <c r="G1285" s="4" t="s">
        <v>13</v>
      </c>
      <c r="H1285" s="4" t="s">
        <v>185</v>
      </c>
      <c r="I1285" s="5" t="str">
        <f>IFERROR(VLOOKUP(Consulta1[[#This Row],[Pozo largo]],'Lista YPF'!$B$3:$C$358,2,FALSE),"NO")</f>
        <v>NO</v>
      </c>
      <c r="J1285" s="5" t="str">
        <f>IFERROR(VLOOKUP(Consulta1[[#This Row],[Pozo]],'Lista Oportunidades'!B:C,2,FALSE),"NO")</f>
        <v>NO</v>
      </c>
      <c r="K1285" s="5">
        <f>IFERROR(VLOOKUP(Consulta1[[#This Row],[Pozo largo]],Controles!B:H,7,FALSE),"NO")</f>
        <v>0.9</v>
      </c>
      <c r="L1285" s="5">
        <f>IFERROR(VLOOKUP(Consulta1[[#This Row],[Pozo largo]],Controles!B:J,9,FALSE),"NO")</f>
        <v>0</v>
      </c>
    </row>
    <row r="1286" spans="2:12" x14ac:dyDescent="0.35">
      <c r="B1286" s="4" t="s">
        <v>2479</v>
      </c>
      <c r="C1286" s="4" t="s">
        <v>7018</v>
      </c>
      <c r="D1286" s="4" t="s">
        <v>5</v>
      </c>
      <c r="E1286" s="4" t="s">
        <v>12</v>
      </c>
      <c r="F1286" s="4" t="s">
        <v>7</v>
      </c>
      <c r="G1286" s="4" t="s">
        <v>13</v>
      </c>
      <c r="H1286" s="4" t="s">
        <v>80</v>
      </c>
      <c r="I1286" s="5" t="str">
        <f>IFERROR(VLOOKUP(Consulta1[[#This Row],[Pozo largo]],'Lista YPF'!$B$3:$C$358,2,FALSE),"NO")</f>
        <v>NO</v>
      </c>
      <c r="J1286" s="5" t="str">
        <f>IFERROR(VLOOKUP(Consulta1[[#This Row],[Pozo]],'Lista Oportunidades'!B:C,2,FALSE),"NO")</f>
        <v>NO</v>
      </c>
      <c r="K1286" s="5">
        <f>IFERROR(VLOOKUP(Consulta1[[#This Row],[Pozo largo]],Controles!B:H,7,FALSE),"NO")</f>
        <v>0.184</v>
      </c>
      <c r="L1286" s="5">
        <f>IFERROR(VLOOKUP(Consulta1[[#This Row],[Pozo largo]],Controles!B:J,9,FALSE),"NO")</f>
        <v>0</v>
      </c>
    </row>
    <row r="1287" spans="2:12" x14ac:dyDescent="0.35">
      <c r="B1287" s="4" t="s">
        <v>2481</v>
      </c>
      <c r="C1287" s="4" t="s">
        <v>7019</v>
      </c>
      <c r="D1287" s="4" t="s">
        <v>5</v>
      </c>
      <c r="E1287" s="4" t="s">
        <v>12</v>
      </c>
      <c r="F1287" s="4" t="s">
        <v>7</v>
      </c>
      <c r="G1287" s="4" t="s">
        <v>13</v>
      </c>
      <c r="H1287" s="4" t="s">
        <v>21</v>
      </c>
      <c r="I1287" s="5" t="str">
        <f>IFERROR(VLOOKUP(Consulta1[[#This Row],[Pozo largo]],'Lista YPF'!$B$3:$C$358,2,FALSE),"NO")</f>
        <v>NO</v>
      </c>
      <c r="J1287" s="5" t="str">
        <f>IFERROR(VLOOKUP(Consulta1[[#This Row],[Pozo]],'Lista Oportunidades'!B:C,2,FALSE),"NO")</f>
        <v>NO</v>
      </c>
      <c r="K1287" s="5">
        <f>IFERROR(VLOOKUP(Consulta1[[#This Row],[Pozo largo]],Controles!B:H,7,FALSE),"NO")</f>
        <v>1.6</v>
      </c>
      <c r="L1287" s="5">
        <f>IFERROR(VLOOKUP(Consulta1[[#This Row],[Pozo largo]],Controles!B:J,9,FALSE),"NO")</f>
        <v>0</v>
      </c>
    </row>
    <row r="1288" spans="2:12" x14ac:dyDescent="0.35">
      <c r="B1288" s="4" t="s">
        <v>2483</v>
      </c>
      <c r="C1288" s="4" t="s">
        <v>7020</v>
      </c>
      <c r="D1288" s="4" t="s">
        <v>5</v>
      </c>
      <c r="E1288" s="4" t="s">
        <v>6</v>
      </c>
      <c r="F1288" s="4" t="s">
        <v>7</v>
      </c>
      <c r="G1288" s="4" t="s">
        <v>11385</v>
      </c>
      <c r="H1288" s="4" t="s">
        <v>9</v>
      </c>
      <c r="I1288" s="5" t="str">
        <f>IFERROR(VLOOKUP(Consulta1[[#This Row],[Pozo largo]],'Lista YPF'!$B$3:$C$358,2,FALSE),"NO")</f>
        <v>NO</v>
      </c>
      <c r="J1288" s="5" t="str">
        <f>IFERROR(VLOOKUP(Consulta1[[#This Row],[Pozo]],'Lista Oportunidades'!B:C,2,FALSE),"NO")</f>
        <v>NO</v>
      </c>
      <c r="K1288" s="5">
        <f>IFERROR(VLOOKUP(Consulta1[[#This Row],[Pozo largo]],Controles!B:H,7,FALSE),"NO")</f>
        <v>2.2000000000000002</v>
      </c>
      <c r="L1288" s="5" t="str">
        <f>IFERROR(VLOOKUP(Consulta1[[#This Row],[Pozo largo]],Controles!B:J,9,FALSE),"NO")</f>
        <v>Ultimos 6 meses</v>
      </c>
    </row>
    <row r="1289" spans="2:12" x14ac:dyDescent="0.35">
      <c r="B1289" s="4" t="s">
        <v>2485</v>
      </c>
      <c r="C1289" s="4" t="s">
        <v>7021</v>
      </c>
      <c r="D1289" s="4" t="s">
        <v>5</v>
      </c>
      <c r="E1289" s="4" t="s">
        <v>12</v>
      </c>
      <c r="F1289" s="4" t="s">
        <v>7</v>
      </c>
      <c r="G1289" s="4" t="s">
        <v>13</v>
      </c>
      <c r="H1289" s="4" t="s">
        <v>185</v>
      </c>
      <c r="I1289" s="5" t="str">
        <f>IFERROR(VLOOKUP(Consulta1[[#This Row],[Pozo largo]],'Lista YPF'!$B$3:$C$358,2,FALSE),"NO")</f>
        <v>NO</v>
      </c>
      <c r="J1289" s="5" t="str">
        <f>IFERROR(VLOOKUP(Consulta1[[#This Row],[Pozo]],'Lista Oportunidades'!B:C,2,FALSE),"NO")</f>
        <v>NO</v>
      </c>
      <c r="K1289" s="5">
        <f>IFERROR(VLOOKUP(Consulta1[[#This Row],[Pozo largo]],Controles!B:H,7,FALSE),"NO")</f>
        <v>0.33600000000000002</v>
      </c>
      <c r="L1289" s="5">
        <f>IFERROR(VLOOKUP(Consulta1[[#This Row],[Pozo largo]],Controles!B:J,9,FALSE),"NO")</f>
        <v>0</v>
      </c>
    </row>
    <row r="1290" spans="2:12" x14ac:dyDescent="0.35">
      <c r="B1290" s="4" t="s">
        <v>2487</v>
      </c>
      <c r="C1290" s="4" t="s">
        <v>7022</v>
      </c>
      <c r="D1290" s="4" t="s">
        <v>5</v>
      </c>
      <c r="E1290" s="4" t="s">
        <v>12</v>
      </c>
      <c r="F1290" s="4" t="s">
        <v>7</v>
      </c>
      <c r="G1290" s="4" t="s">
        <v>13</v>
      </c>
      <c r="H1290" s="4" t="s">
        <v>149</v>
      </c>
      <c r="I1290" s="5" t="str">
        <f>IFERROR(VLOOKUP(Consulta1[[#This Row],[Pozo largo]],'Lista YPF'!$B$3:$C$358,2,FALSE),"NO")</f>
        <v>NO</v>
      </c>
      <c r="J1290" s="5" t="str">
        <f>IFERROR(VLOOKUP(Consulta1[[#This Row],[Pozo]],'Lista Oportunidades'!B:C,2,FALSE),"NO")</f>
        <v>NO</v>
      </c>
      <c r="K1290" s="5">
        <f>IFERROR(VLOOKUP(Consulta1[[#This Row],[Pozo largo]],Controles!B:H,7,FALSE),"NO")</f>
        <v>1.5</v>
      </c>
      <c r="L1290" s="5">
        <f>IFERROR(VLOOKUP(Consulta1[[#This Row],[Pozo largo]],Controles!B:J,9,FALSE),"NO")</f>
        <v>0</v>
      </c>
    </row>
    <row r="1291" spans="2:12" x14ac:dyDescent="0.35">
      <c r="B1291" s="4" t="s">
        <v>2489</v>
      </c>
      <c r="C1291" s="4" t="s">
        <v>7023</v>
      </c>
      <c r="D1291" s="4" t="s">
        <v>5</v>
      </c>
      <c r="E1291" s="4" t="s">
        <v>12</v>
      </c>
      <c r="F1291" s="4" t="s">
        <v>7</v>
      </c>
      <c r="G1291" s="4" t="s">
        <v>13</v>
      </c>
      <c r="H1291" s="4" t="s">
        <v>33</v>
      </c>
      <c r="I1291" s="5" t="str">
        <f>IFERROR(VLOOKUP(Consulta1[[#This Row],[Pozo largo]],'Lista YPF'!$B$3:$C$358,2,FALSE),"NO")</f>
        <v>NO</v>
      </c>
      <c r="J1291" s="5" t="str">
        <f>IFERROR(VLOOKUP(Consulta1[[#This Row],[Pozo]],'Lista Oportunidades'!B:C,2,FALSE),"NO")</f>
        <v>NO</v>
      </c>
      <c r="K1291" s="5">
        <f>IFERROR(VLOOKUP(Consulta1[[#This Row],[Pozo largo]],Controles!B:H,7,FALSE),"NO")</f>
        <v>1.41</v>
      </c>
      <c r="L1291" s="5">
        <f>IFERROR(VLOOKUP(Consulta1[[#This Row],[Pozo largo]],Controles!B:J,9,FALSE),"NO")</f>
        <v>0</v>
      </c>
    </row>
    <row r="1292" spans="2:12" x14ac:dyDescent="0.35">
      <c r="B1292" s="4" t="s">
        <v>2491</v>
      </c>
      <c r="C1292" s="4" t="s">
        <v>7024</v>
      </c>
      <c r="D1292" s="4" t="s">
        <v>5</v>
      </c>
      <c r="E1292" s="4" t="s">
        <v>12</v>
      </c>
      <c r="F1292" s="4" t="s">
        <v>7</v>
      </c>
      <c r="G1292" s="4" t="s">
        <v>13</v>
      </c>
      <c r="H1292" s="4" t="s">
        <v>149</v>
      </c>
      <c r="I1292" s="5" t="str">
        <f>IFERROR(VLOOKUP(Consulta1[[#This Row],[Pozo largo]],'Lista YPF'!$B$3:$C$358,2,FALSE),"NO")</f>
        <v>NO</v>
      </c>
      <c r="J1292" s="5" t="str">
        <f>IFERROR(VLOOKUP(Consulta1[[#This Row],[Pozo]],'Lista Oportunidades'!B:C,2,FALSE),"NO")</f>
        <v>NO</v>
      </c>
      <c r="K1292" s="5">
        <f>IFERROR(VLOOKUP(Consulta1[[#This Row],[Pozo largo]],Controles!B:H,7,FALSE),"NO")</f>
        <v>0.86</v>
      </c>
      <c r="L1292" s="5">
        <f>IFERROR(VLOOKUP(Consulta1[[#This Row],[Pozo largo]],Controles!B:J,9,FALSE),"NO")</f>
        <v>0</v>
      </c>
    </row>
    <row r="1293" spans="2:12" x14ac:dyDescent="0.35">
      <c r="B1293" s="4" t="s">
        <v>2493</v>
      </c>
      <c r="C1293" s="4" t="s">
        <v>2494</v>
      </c>
      <c r="D1293" s="4" t="s">
        <v>5</v>
      </c>
      <c r="E1293" s="4" t="s">
        <v>12</v>
      </c>
      <c r="F1293" s="4" t="s">
        <v>28</v>
      </c>
      <c r="G1293" s="4" t="s">
        <v>13</v>
      </c>
      <c r="H1293" s="4" t="s">
        <v>290</v>
      </c>
      <c r="I1293" s="5" t="str">
        <f>IFERROR(VLOOKUP(Consulta1[[#This Row],[Pozo largo]],'Lista YPF'!$B$3:$C$358,2,FALSE),"NO")</f>
        <v>NO</v>
      </c>
      <c r="J1293" s="5" t="str">
        <f>IFERROR(VLOOKUP(Consulta1[[#This Row],[Pozo]],'Lista Oportunidades'!B:C,2,FALSE),"NO")</f>
        <v>NO</v>
      </c>
      <c r="K1293" s="5">
        <f>IFERROR(VLOOKUP(Consulta1[[#This Row],[Pozo largo]],Controles!B:H,7,FALSE),"NO")</f>
        <v>0</v>
      </c>
      <c r="L1293" s="5">
        <f>IFERROR(VLOOKUP(Consulta1[[#This Row],[Pozo largo]],Controles!B:J,9,FALSE),"NO")</f>
        <v>0</v>
      </c>
    </row>
    <row r="1294" spans="2:12" x14ac:dyDescent="0.35">
      <c r="B1294" s="4" t="s">
        <v>2495</v>
      </c>
      <c r="C1294" s="4" t="s">
        <v>7025</v>
      </c>
      <c r="D1294" s="4" t="s">
        <v>5</v>
      </c>
      <c r="E1294" s="4" t="s">
        <v>12</v>
      </c>
      <c r="F1294" s="4" t="s">
        <v>7</v>
      </c>
      <c r="G1294" s="4" t="s">
        <v>13</v>
      </c>
      <c r="H1294" s="4" t="s">
        <v>91</v>
      </c>
      <c r="I1294" s="5" t="str">
        <f>IFERROR(VLOOKUP(Consulta1[[#This Row],[Pozo largo]],'Lista YPF'!$B$3:$C$358,2,FALSE),"NO")</f>
        <v>NO</v>
      </c>
      <c r="J1294" s="5" t="str">
        <f>IFERROR(VLOOKUP(Consulta1[[#This Row],[Pozo]],'Lista Oportunidades'!B:C,2,FALSE),"NO")</f>
        <v>NO</v>
      </c>
      <c r="K1294" s="5">
        <f>IFERROR(VLOOKUP(Consulta1[[#This Row],[Pozo largo]],Controles!B:H,7,FALSE),"NO")</f>
        <v>1.68</v>
      </c>
      <c r="L1294" s="5">
        <f>IFERROR(VLOOKUP(Consulta1[[#This Row],[Pozo largo]],Controles!B:J,9,FALSE),"NO")</f>
        <v>0</v>
      </c>
    </row>
    <row r="1295" spans="2:12" x14ac:dyDescent="0.35">
      <c r="B1295" s="4" t="s">
        <v>2497</v>
      </c>
      <c r="C1295" s="4" t="s">
        <v>7026</v>
      </c>
      <c r="D1295" s="4" t="s">
        <v>5</v>
      </c>
      <c r="E1295" s="4" t="s">
        <v>12</v>
      </c>
      <c r="F1295" s="4" t="s">
        <v>83</v>
      </c>
      <c r="G1295" s="4" t="s">
        <v>13</v>
      </c>
      <c r="H1295" s="4" t="s">
        <v>91</v>
      </c>
      <c r="I1295" s="5" t="str">
        <f>IFERROR(VLOOKUP(Consulta1[[#This Row],[Pozo largo]],'Lista YPF'!$B$3:$C$358,2,FALSE),"NO")</f>
        <v>NO</v>
      </c>
      <c r="J1295" s="5" t="str">
        <f>IFERROR(VLOOKUP(Consulta1[[#This Row],[Pozo]],'Lista Oportunidades'!B:C,2,FALSE),"NO")</f>
        <v>NO</v>
      </c>
      <c r="K1295" s="5">
        <f>IFERROR(VLOOKUP(Consulta1[[#This Row],[Pozo largo]],Controles!B:H,7,FALSE),"NO")</f>
        <v>1.34</v>
      </c>
      <c r="L1295" s="5">
        <f>IFERROR(VLOOKUP(Consulta1[[#This Row],[Pozo largo]],Controles!B:J,9,FALSE),"NO")</f>
        <v>0</v>
      </c>
    </row>
    <row r="1296" spans="2:12" x14ac:dyDescent="0.35">
      <c r="B1296" s="4" t="s">
        <v>2499</v>
      </c>
      <c r="C1296" s="4" t="s">
        <v>2500</v>
      </c>
      <c r="D1296" s="4" t="s">
        <v>5</v>
      </c>
      <c r="E1296" s="4" t="s">
        <v>12</v>
      </c>
      <c r="F1296" s="4" t="s">
        <v>7</v>
      </c>
      <c r="G1296" s="4" t="s">
        <v>13</v>
      </c>
      <c r="H1296" s="4" t="s">
        <v>91</v>
      </c>
      <c r="I1296" s="5" t="str">
        <f>IFERROR(VLOOKUP(Consulta1[[#This Row],[Pozo largo]],'Lista YPF'!$B$3:$C$358,2,FALSE),"NO")</f>
        <v>NO</v>
      </c>
      <c r="J1296" s="5" t="str">
        <f>IFERROR(VLOOKUP(Consulta1[[#This Row],[Pozo]],'Lista Oportunidades'!B:C,2,FALSE),"NO")</f>
        <v>NO</v>
      </c>
      <c r="K1296" s="5">
        <f>IFERROR(VLOOKUP(Consulta1[[#This Row],[Pozo largo]],Controles!B:H,7,FALSE),"NO")</f>
        <v>1.92</v>
      </c>
      <c r="L1296" s="5">
        <f>IFERROR(VLOOKUP(Consulta1[[#This Row],[Pozo largo]],Controles!B:J,9,FALSE),"NO")</f>
        <v>0</v>
      </c>
    </row>
    <row r="1297" spans="2:12" x14ac:dyDescent="0.35">
      <c r="B1297" s="4" t="s">
        <v>2501</v>
      </c>
      <c r="C1297" s="4" t="s">
        <v>7027</v>
      </c>
      <c r="D1297" s="4" t="s">
        <v>5</v>
      </c>
      <c r="E1297" s="4" t="s">
        <v>12</v>
      </c>
      <c r="F1297" s="4" t="s">
        <v>28</v>
      </c>
      <c r="G1297" s="4" t="s">
        <v>13</v>
      </c>
      <c r="H1297" s="4" t="s">
        <v>86</v>
      </c>
      <c r="I1297" s="5" t="str">
        <f>IFERROR(VLOOKUP(Consulta1[[#This Row],[Pozo largo]],'Lista YPF'!$B$3:$C$358,2,FALSE),"NO")</f>
        <v>NO</v>
      </c>
      <c r="J1297" s="5" t="str">
        <f>IFERROR(VLOOKUP(Consulta1[[#This Row],[Pozo]],'Lista Oportunidades'!B:C,2,FALSE),"NO")</f>
        <v>NO</v>
      </c>
      <c r="K1297" s="5">
        <f>IFERROR(VLOOKUP(Consulta1[[#This Row],[Pozo largo]],Controles!B:H,7,FALSE),"NO")</f>
        <v>0</v>
      </c>
      <c r="L1297" s="5">
        <f>IFERROR(VLOOKUP(Consulta1[[#This Row],[Pozo largo]],Controles!B:J,9,FALSE),"NO")</f>
        <v>0</v>
      </c>
    </row>
    <row r="1298" spans="2:12" x14ac:dyDescent="0.35">
      <c r="B1298" s="4" t="s">
        <v>2503</v>
      </c>
      <c r="C1298" s="4" t="s">
        <v>7028</v>
      </c>
      <c r="D1298" s="4" t="s">
        <v>5</v>
      </c>
      <c r="E1298" s="4" t="s">
        <v>194</v>
      </c>
      <c r="F1298" s="4" t="s">
        <v>7</v>
      </c>
      <c r="G1298" s="4" t="s">
        <v>195</v>
      </c>
      <c r="H1298" s="4" t="s">
        <v>36</v>
      </c>
      <c r="I1298" s="5" t="str">
        <f>IFERROR(VLOOKUP(Consulta1[[#This Row],[Pozo largo]],'Lista YPF'!$B$3:$C$358,2,FALSE),"NO")</f>
        <v>NO</v>
      </c>
      <c r="J1298" s="5" t="str">
        <f>IFERROR(VLOOKUP(Consulta1[[#This Row],[Pozo]],'Lista Oportunidades'!B:C,2,FALSE),"NO")</f>
        <v>NO</v>
      </c>
      <c r="K1298" s="5">
        <f>IFERROR(VLOOKUP(Consulta1[[#This Row],[Pozo largo]],Controles!B:H,7,FALSE),"NO")</f>
        <v>0.6</v>
      </c>
      <c r="L1298" s="5" t="str">
        <f>IFERROR(VLOOKUP(Consulta1[[#This Row],[Pozo largo]],Controles!B:J,9,FALSE),"NO")</f>
        <v>Ultimo Año</v>
      </c>
    </row>
    <row r="1299" spans="2:12" x14ac:dyDescent="0.35">
      <c r="B1299" s="4" t="s">
        <v>2505</v>
      </c>
      <c r="C1299" s="4" t="s">
        <v>7029</v>
      </c>
      <c r="D1299" s="4" t="s">
        <v>5</v>
      </c>
      <c r="E1299" s="4" t="s">
        <v>12</v>
      </c>
      <c r="F1299" s="4" t="s">
        <v>28</v>
      </c>
      <c r="G1299" s="4" t="s">
        <v>13</v>
      </c>
      <c r="H1299" s="4" t="s">
        <v>9</v>
      </c>
      <c r="I1299" s="5" t="str">
        <f>IFERROR(VLOOKUP(Consulta1[[#This Row],[Pozo largo]],'Lista YPF'!$B$3:$C$358,2,FALSE),"NO")</f>
        <v>NO</v>
      </c>
      <c r="J1299" s="5" t="str">
        <f>IFERROR(VLOOKUP(Consulta1[[#This Row],[Pozo]],'Lista Oportunidades'!B:C,2,FALSE),"NO")</f>
        <v>NO</v>
      </c>
      <c r="K1299" s="5">
        <f>IFERROR(VLOOKUP(Consulta1[[#This Row],[Pozo largo]],Controles!B:H,7,FALSE),"NO")</f>
        <v>0</v>
      </c>
      <c r="L1299" s="5">
        <f>IFERROR(VLOOKUP(Consulta1[[#This Row],[Pozo largo]],Controles!B:J,9,FALSE),"NO")</f>
        <v>0</v>
      </c>
    </row>
    <row r="1300" spans="2:12" x14ac:dyDescent="0.35">
      <c r="B1300" s="4" t="s">
        <v>2507</v>
      </c>
      <c r="C1300" s="4" t="s">
        <v>7030</v>
      </c>
      <c r="D1300" s="4" t="s">
        <v>5</v>
      </c>
      <c r="E1300" s="4" t="s">
        <v>12</v>
      </c>
      <c r="F1300" s="4" t="s">
        <v>7</v>
      </c>
      <c r="G1300" s="4" t="s">
        <v>13</v>
      </c>
      <c r="H1300" s="4" t="s">
        <v>9</v>
      </c>
      <c r="I1300" s="5" t="str">
        <f>IFERROR(VLOOKUP(Consulta1[[#This Row],[Pozo largo]],'Lista YPF'!$B$3:$C$358,2,FALSE),"NO")</f>
        <v>NO</v>
      </c>
      <c r="J1300" s="5" t="str">
        <f>IFERROR(VLOOKUP(Consulta1[[#This Row],[Pozo]],'Lista Oportunidades'!B:C,2,FALSE),"NO")</f>
        <v>NO</v>
      </c>
      <c r="K1300" s="5">
        <f>IFERROR(VLOOKUP(Consulta1[[#This Row],[Pozo largo]],Controles!B:H,7,FALSE),"NO")</f>
        <v>1.6</v>
      </c>
      <c r="L1300" s="5">
        <f>IFERROR(VLOOKUP(Consulta1[[#This Row],[Pozo largo]],Controles!B:J,9,FALSE),"NO")</f>
        <v>0</v>
      </c>
    </row>
    <row r="1301" spans="2:12" x14ac:dyDescent="0.35">
      <c r="B1301" s="4" t="s">
        <v>2509</v>
      </c>
      <c r="C1301" s="4" t="s">
        <v>7031</v>
      </c>
      <c r="D1301" s="4" t="s">
        <v>5</v>
      </c>
      <c r="E1301" s="4" t="s">
        <v>12</v>
      </c>
      <c r="F1301" s="4" t="s">
        <v>7</v>
      </c>
      <c r="G1301" s="4" t="s">
        <v>13</v>
      </c>
      <c r="H1301" s="4" t="s">
        <v>9</v>
      </c>
      <c r="I1301" s="5" t="str">
        <f>IFERROR(VLOOKUP(Consulta1[[#This Row],[Pozo largo]],'Lista YPF'!$B$3:$C$358,2,FALSE),"NO")</f>
        <v>NO</v>
      </c>
      <c r="J1301" s="5" t="str">
        <f>IFERROR(VLOOKUP(Consulta1[[#This Row],[Pozo]],'Lista Oportunidades'!B:C,2,FALSE),"NO")</f>
        <v>NO</v>
      </c>
      <c r="K1301" s="5">
        <f>IFERROR(VLOOKUP(Consulta1[[#This Row],[Pozo largo]],Controles!B:H,7,FALSE),"NO")</f>
        <v>1.2</v>
      </c>
      <c r="L1301" s="5">
        <f>IFERROR(VLOOKUP(Consulta1[[#This Row],[Pozo largo]],Controles!B:J,9,FALSE),"NO")</f>
        <v>0</v>
      </c>
    </row>
    <row r="1302" spans="2:12" x14ac:dyDescent="0.35">
      <c r="B1302" s="4" t="s">
        <v>2511</v>
      </c>
      <c r="C1302" s="4" t="s">
        <v>7032</v>
      </c>
      <c r="D1302" s="4" t="s">
        <v>5</v>
      </c>
      <c r="E1302" s="4" t="s">
        <v>12</v>
      </c>
      <c r="F1302" s="4" t="s">
        <v>25</v>
      </c>
      <c r="G1302" s="4" t="s">
        <v>13</v>
      </c>
      <c r="H1302" s="4" t="s">
        <v>91</v>
      </c>
      <c r="I1302" s="5" t="str">
        <f>IFERROR(VLOOKUP(Consulta1[[#This Row],[Pozo largo]],'Lista YPF'!$B$3:$C$358,2,FALSE),"NO")</f>
        <v>NO</v>
      </c>
      <c r="J1302" s="5" t="str">
        <f>IFERROR(VLOOKUP(Consulta1[[#This Row],[Pozo]],'Lista Oportunidades'!B:C,2,FALSE),"NO")</f>
        <v>NO</v>
      </c>
      <c r="K1302" s="5">
        <f>IFERROR(VLOOKUP(Consulta1[[#This Row],[Pozo largo]],Controles!B:H,7,FALSE),"NO")</f>
        <v>0.10400000000000001</v>
      </c>
      <c r="L1302" s="5">
        <f>IFERROR(VLOOKUP(Consulta1[[#This Row],[Pozo largo]],Controles!B:J,9,FALSE),"NO")</f>
        <v>0</v>
      </c>
    </row>
    <row r="1303" spans="2:12" x14ac:dyDescent="0.35">
      <c r="B1303" s="4" t="s">
        <v>2513</v>
      </c>
      <c r="C1303" s="4" t="s">
        <v>7033</v>
      </c>
      <c r="D1303" s="4" t="s">
        <v>5</v>
      </c>
      <c r="E1303" s="4" t="s">
        <v>24</v>
      </c>
      <c r="F1303" s="4" t="s">
        <v>25</v>
      </c>
      <c r="G1303" s="4" t="s">
        <v>8</v>
      </c>
      <c r="H1303" s="4" t="s">
        <v>80</v>
      </c>
      <c r="I1303" s="5" t="str">
        <f>IFERROR(VLOOKUP(Consulta1[[#This Row],[Pozo largo]],'Lista YPF'!$B$3:$C$358,2,FALSE),"NO")</f>
        <v>NO</v>
      </c>
      <c r="J1303" s="5" t="str">
        <f>IFERROR(VLOOKUP(Consulta1[[#This Row],[Pozo]],'Lista Oportunidades'!B:C,2,FALSE),"NO")</f>
        <v>NO</v>
      </c>
      <c r="K1303" s="5">
        <f>IFERROR(VLOOKUP(Consulta1[[#This Row],[Pozo largo]],Controles!B:H,7,FALSE),"NO")</f>
        <v>9.7000000000000003E-2</v>
      </c>
      <c r="L1303" s="5">
        <f>IFERROR(VLOOKUP(Consulta1[[#This Row],[Pozo largo]],Controles!B:J,9,FALSE),"NO")</f>
        <v>0</v>
      </c>
    </row>
    <row r="1304" spans="2:12" x14ac:dyDescent="0.35">
      <c r="B1304" s="4" t="s">
        <v>2515</v>
      </c>
      <c r="C1304" s="4" t="s">
        <v>7034</v>
      </c>
      <c r="D1304" s="4" t="s">
        <v>5</v>
      </c>
      <c r="E1304" s="4" t="s">
        <v>30</v>
      </c>
      <c r="F1304" s="4" t="s">
        <v>31</v>
      </c>
      <c r="G1304" s="4" t="s">
        <v>32</v>
      </c>
      <c r="H1304" s="4" t="s">
        <v>91</v>
      </c>
      <c r="I1304" s="5" t="str">
        <f>IFERROR(VLOOKUP(Consulta1[[#This Row],[Pozo largo]],'Lista YPF'!$B$3:$C$358,2,FALSE),"NO")</f>
        <v>NO</v>
      </c>
      <c r="J1304" s="5" t="str">
        <f>IFERROR(VLOOKUP(Consulta1[[#This Row],[Pozo]],'Lista Oportunidades'!B:C,2,FALSE),"NO")</f>
        <v>NO</v>
      </c>
      <c r="K1304" s="5" t="str">
        <f>IFERROR(VLOOKUP(Consulta1[[#This Row],[Pozo largo]],Controles!B:H,7,FALSE),"NO")</f>
        <v>NO</v>
      </c>
      <c r="L1304" s="5" t="str">
        <f>IFERROR(VLOOKUP(Consulta1[[#This Row],[Pozo largo]],Controles!B:J,9,FALSE),"NO")</f>
        <v>NO</v>
      </c>
    </row>
    <row r="1305" spans="2:12" x14ac:dyDescent="0.35">
      <c r="B1305" s="4" t="s">
        <v>2516</v>
      </c>
      <c r="C1305" s="4" t="s">
        <v>7035</v>
      </c>
      <c r="D1305" s="4" t="s">
        <v>5</v>
      </c>
      <c r="E1305" s="4" t="s">
        <v>12</v>
      </c>
      <c r="F1305" s="4" t="s">
        <v>25</v>
      </c>
      <c r="G1305" s="4" t="s">
        <v>13</v>
      </c>
      <c r="H1305" s="4" t="s">
        <v>86</v>
      </c>
      <c r="I1305" s="5" t="str">
        <f>IFERROR(VLOOKUP(Consulta1[[#This Row],[Pozo largo]],'Lista YPF'!$B$3:$C$358,2,FALSE),"NO")</f>
        <v>NO</v>
      </c>
      <c r="J1305" s="5" t="str">
        <f>IFERROR(VLOOKUP(Consulta1[[#This Row],[Pozo]],'Lista Oportunidades'!B:C,2,FALSE),"NO")</f>
        <v>NO</v>
      </c>
      <c r="K1305" s="5">
        <f>IFERROR(VLOOKUP(Consulta1[[#This Row],[Pozo largo]],Controles!B:H,7,FALSE),"NO")</f>
        <v>0.114</v>
      </c>
      <c r="L1305" s="5">
        <f>IFERROR(VLOOKUP(Consulta1[[#This Row],[Pozo largo]],Controles!B:J,9,FALSE),"NO")</f>
        <v>0</v>
      </c>
    </row>
    <row r="1306" spans="2:12" x14ac:dyDescent="0.35">
      <c r="B1306" s="4" t="s">
        <v>2518</v>
      </c>
      <c r="C1306" s="4" t="s">
        <v>7036</v>
      </c>
      <c r="D1306" s="4" t="s">
        <v>5</v>
      </c>
      <c r="E1306" s="4" t="s">
        <v>24</v>
      </c>
      <c r="F1306" s="4" t="s">
        <v>28</v>
      </c>
      <c r="G1306" s="4" t="s">
        <v>8</v>
      </c>
      <c r="H1306" s="4" t="s">
        <v>86</v>
      </c>
      <c r="I1306" s="5" t="str">
        <f>IFERROR(VLOOKUP(Consulta1[[#This Row],[Pozo largo]],'Lista YPF'!$B$3:$C$358,2,FALSE),"NO")</f>
        <v>NO</v>
      </c>
      <c r="J1306" s="5" t="str">
        <f>IFERROR(VLOOKUP(Consulta1[[#This Row],[Pozo]],'Lista Oportunidades'!B:C,2,FALSE),"NO")</f>
        <v>NO</v>
      </c>
      <c r="K1306" s="5">
        <f>IFERROR(VLOOKUP(Consulta1[[#This Row],[Pozo largo]],Controles!B:H,7,FALSE),"NO")</f>
        <v>0</v>
      </c>
      <c r="L1306" s="5">
        <f>IFERROR(VLOOKUP(Consulta1[[#This Row],[Pozo largo]],Controles!B:J,9,FALSE),"NO")</f>
        <v>0</v>
      </c>
    </row>
    <row r="1307" spans="2:12" x14ac:dyDescent="0.35">
      <c r="B1307" s="4" t="s">
        <v>2520</v>
      </c>
      <c r="C1307" s="4" t="s">
        <v>7037</v>
      </c>
      <c r="D1307" s="4" t="s">
        <v>5</v>
      </c>
      <c r="E1307" s="4" t="s">
        <v>430</v>
      </c>
      <c r="F1307" s="4" t="s">
        <v>7</v>
      </c>
      <c r="G1307" s="4" t="s">
        <v>5718</v>
      </c>
      <c r="H1307" s="4" t="s">
        <v>86</v>
      </c>
      <c r="I1307" s="5" t="str">
        <f>IFERROR(VLOOKUP(Consulta1[[#This Row],[Pozo largo]],'Lista YPF'!$B$3:$C$358,2,FALSE),"NO")</f>
        <v>En lista de Abandono</v>
      </c>
      <c r="J1307" s="5" t="str">
        <f>IFERROR(VLOOKUP(Consulta1[[#This Row],[Pozo]],'Lista Oportunidades'!B:C,2,FALSE),"NO")</f>
        <v>NO</v>
      </c>
      <c r="K1307" s="5">
        <f>IFERROR(VLOOKUP(Consulta1[[#This Row],[Pozo largo]],Controles!B:H,7,FALSE),"NO")</f>
        <v>0.55000000000000004</v>
      </c>
      <c r="L1307" s="5">
        <f>IFERROR(VLOOKUP(Consulta1[[#This Row],[Pozo largo]],Controles!B:J,9,FALSE),"NO")</f>
        <v>0</v>
      </c>
    </row>
    <row r="1308" spans="2:12" x14ac:dyDescent="0.35">
      <c r="B1308" s="4" t="s">
        <v>2522</v>
      </c>
      <c r="C1308" s="4" t="s">
        <v>7038</v>
      </c>
      <c r="D1308" s="4" t="s">
        <v>5</v>
      </c>
      <c r="E1308" s="4" t="s">
        <v>12</v>
      </c>
      <c r="F1308" s="4" t="s">
        <v>83</v>
      </c>
      <c r="G1308" s="4" t="s">
        <v>13</v>
      </c>
      <c r="H1308" s="4" t="s">
        <v>86</v>
      </c>
      <c r="I1308" s="5" t="str">
        <f>IFERROR(VLOOKUP(Consulta1[[#This Row],[Pozo largo]],'Lista YPF'!$B$3:$C$358,2,FALSE),"NO")</f>
        <v>NO</v>
      </c>
      <c r="J1308" s="5" t="str">
        <f>IFERROR(VLOOKUP(Consulta1[[#This Row],[Pozo]],'Lista Oportunidades'!B:C,2,FALSE),"NO")</f>
        <v>NO</v>
      </c>
      <c r="K1308" s="5">
        <f>IFERROR(VLOOKUP(Consulta1[[#This Row],[Pozo largo]],Controles!B:H,7,FALSE),"NO")</f>
        <v>1.68</v>
      </c>
      <c r="L1308" s="5">
        <f>IFERROR(VLOOKUP(Consulta1[[#This Row],[Pozo largo]],Controles!B:J,9,FALSE),"NO")</f>
        <v>0</v>
      </c>
    </row>
    <row r="1309" spans="2:12" x14ac:dyDescent="0.35">
      <c r="B1309" s="4" t="s">
        <v>2524</v>
      </c>
      <c r="C1309" s="4" t="s">
        <v>7039</v>
      </c>
      <c r="D1309" s="4" t="s">
        <v>5</v>
      </c>
      <c r="E1309" s="4" t="s">
        <v>30</v>
      </c>
      <c r="F1309" s="4" t="s">
        <v>31</v>
      </c>
      <c r="G1309" s="4" t="s">
        <v>32</v>
      </c>
      <c r="H1309" s="4" t="s">
        <v>91</v>
      </c>
      <c r="I1309" s="5" t="str">
        <f>IFERROR(VLOOKUP(Consulta1[[#This Row],[Pozo largo]],'Lista YPF'!$B$3:$C$358,2,FALSE),"NO")</f>
        <v>NO</v>
      </c>
      <c r="J1309" s="5" t="str">
        <f>IFERROR(VLOOKUP(Consulta1[[#This Row],[Pozo]],'Lista Oportunidades'!B:C,2,FALSE),"NO")</f>
        <v>NO</v>
      </c>
      <c r="K1309" s="5">
        <f>IFERROR(VLOOKUP(Consulta1[[#This Row],[Pozo largo]],Controles!B:H,7,FALSE),"NO")</f>
        <v>0</v>
      </c>
      <c r="L1309" s="5">
        <f>IFERROR(VLOOKUP(Consulta1[[#This Row],[Pozo largo]],Controles!B:J,9,FALSE),"NO")</f>
        <v>0</v>
      </c>
    </row>
    <row r="1310" spans="2:12" x14ac:dyDescent="0.35">
      <c r="B1310" s="4" t="s">
        <v>2526</v>
      </c>
      <c r="C1310" s="4" t="s">
        <v>7040</v>
      </c>
      <c r="D1310" s="4" t="s">
        <v>5</v>
      </c>
      <c r="E1310" s="4" t="s">
        <v>12</v>
      </c>
      <c r="F1310" s="4" t="s">
        <v>25</v>
      </c>
      <c r="G1310" s="4" t="s">
        <v>13</v>
      </c>
      <c r="H1310" s="4" t="s">
        <v>80</v>
      </c>
      <c r="I1310" s="5" t="str">
        <f>IFERROR(VLOOKUP(Consulta1[[#This Row],[Pozo largo]],'Lista YPF'!$B$3:$C$358,2,FALSE),"NO")</f>
        <v>NO</v>
      </c>
      <c r="J1310" s="5" t="str">
        <f>IFERROR(VLOOKUP(Consulta1[[#This Row],[Pozo]],'Lista Oportunidades'!B:C,2,FALSE),"NO")</f>
        <v>NO</v>
      </c>
      <c r="K1310" s="5">
        <f>IFERROR(VLOOKUP(Consulta1[[#This Row],[Pozo largo]],Controles!B:H,7,FALSE),"NO")</f>
        <v>0.192</v>
      </c>
      <c r="L1310" s="5">
        <f>IFERROR(VLOOKUP(Consulta1[[#This Row],[Pozo largo]],Controles!B:J,9,FALSE),"NO")</f>
        <v>0</v>
      </c>
    </row>
    <row r="1311" spans="2:12" x14ac:dyDescent="0.35">
      <c r="B1311" s="4" t="s">
        <v>2528</v>
      </c>
      <c r="C1311" s="4" t="s">
        <v>7041</v>
      </c>
      <c r="D1311" s="4" t="s">
        <v>5</v>
      </c>
      <c r="E1311" s="4" t="s">
        <v>12</v>
      </c>
      <c r="F1311" s="4" t="s">
        <v>83</v>
      </c>
      <c r="G1311" s="4" t="s">
        <v>13</v>
      </c>
      <c r="H1311" s="4" t="s">
        <v>16</v>
      </c>
      <c r="I1311" s="5" t="str">
        <f>IFERROR(VLOOKUP(Consulta1[[#This Row],[Pozo largo]],'Lista YPF'!$B$3:$C$358,2,FALSE),"NO")</f>
        <v>NO</v>
      </c>
      <c r="J1311" s="5" t="str">
        <f>IFERROR(VLOOKUP(Consulta1[[#This Row],[Pozo]],'Lista Oportunidades'!B:C,2,FALSE),"NO")</f>
        <v>NO</v>
      </c>
      <c r="K1311" s="5">
        <f>IFERROR(VLOOKUP(Consulta1[[#This Row],[Pozo largo]],Controles!B:H,7,FALSE),"NO")</f>
        <v>4.04</v>
      </c>
      <c r="L1311" s="5">
        <f>IFERROR(VLOOKUP(Consulta1[[#This Row],[Pozo largo]],Controles!B:J,9,FALSE),"NO")</f>
        <v>0</v>
      </c>
    </row>
    <row r="1312" spans="2:12" x14ac:dyDescent="0.35">
      <c r="B1312" s="4" t="s">
        <v>2530</v>
      </c>
      <c r="C1312" s="4" t="s">
        <v>7042</v>
      </c>
      <c r="D1312" s="4" t="s">
        <v>5</v>
      </c>
      <c r="E1312" s="4" t="s">
        <v>24</v>
      </c>
      <c r="F1312" s="4" t="s">
        <v>7</v>
      </c>
      <c r="G1312" s="4" t="s">
        <v>8</v>
      </c>
      <c r="H1312" s="4" t="s">
        <v>71</v>
      </c>
      <c r="I1312" s="5" t="str">
        <f>IFERROR(VLOOKUP(Consulta1[[#This Row],[Pozo largo]],'Lista YPF'!$B$3:$C$358,2,FALSE),"NO")</f>
        <v>NO</v>
      </c>
      <c r="J1312" s="5" t="str">
        <f>IFERROR(VLOOKUP(Consulta1[[#This Row],[Pozo]],'Lista Oportunidades'!B:C,2,FALSE),"NO")</f>
        <v>NO</v>
      </c>
      <c r="K1312" s="5">
        <f>IFERROR(VLOOKUP(Consulta1[[#This Row],[Pozo largo]],Controles!B:H,7,FALSE),"NO")</f>
        <v>0.1</v>
      </c>
      <c r="L1312" s="5">
        <f>IFERROR(VLOOKUP(Consulta1[[#This Row],[Pozo largo]],Controles!B:J,9,FALSE),"NO")</f>
        <v>0</v>
      </c>
    </row>
    <row r="1313" spans="2:12" x14ac:dyDescent="0.35">
      <c r="B1313" s="4" t="s">
        <v>2532</v>
      </c>
      <c r="C1313" s="4" t="s">
        <v>7043</v>
      </c>
      <c r="D1313" s="4" t="s">
        <v>5</v>
      </c>
      <c r="E1313" s="4" t="s">
        <v>12</v>
      </c>
      <c r="F1313" s="4" t="s">
        <v>28</v>
      </c>
      <c r="G1313" s="4" t="s">
        <v>13</v>
      </c>
      <c r="H1313" s="4" t="s">
        <v>71</v>
      </c>
      <c r="I1313" s="5" t="str">
        <f>IFERROR(VLOOKUP(Consulta1[[#This Row],[Pozo largo]],'Lista YPF'!$B$3:$C$358,2,FALSE),"NO")</f>
        <v>NO</v>
      </c>
      <c r="J1313" s="5" t="str">
        <f>IFERROR(VLOOKUP(Consulta1[[#This Row],[Pozo]],'Lista Oportunidades'!B:C,2,FALSE),"NO")</f>
        <v>NO</v>
      </c>
      <c r="K1313" s="5">
        <f>IFERROR(VLOOKUP(Consulta1[[#This Row],[Pozo largo]],Controles!B:H,7,FALSE),"NO")</f>
        <v>0</v>
      </c>
      <c r="L1313" s="5">
        <f>IFERROR(VLOOKUP(Consulta1[[#This Row],[Pozo largo]],Controles!B:J,9,FALSE),"NO")</f>
        <v>0</v>
      </c>
    </row>
    <row r="1314" spans="2:12" x14ac:dyDescent="0.35">
      <c r="B1314" s="4" t="s">
        <v>2534</v>
      </c>
      <c r="C1314" s="4" t="s">
        <v>7044</v>
      </c>
      <c r="D1314" s="4" t="s">
        <v>5</v>
      </c>
      <c r="E1314" s="4" t="s">
        <v>12</v>
      </c>
      <c r="F1314" s="4" t="s">
        <v>7</v>
      </c>
      <c r="G1314" s="4" t="s">
        <v>13</v>
      </c>
      <c r="H1314" s="4" t="s">
        <v>185</v>
      </c>
      <c r="I1314" s="5" t="str">
        <f>IFERROR(VLOOKUP(Consulta1[[#This Row],[Pozo largo]],'Lista YPF'!$B$3:$C$358,2,FALSE),"NO")</f>
        <v>NO</v>
      </c>
      <c r="J1314" s="5" t="str">
        <f>IFERROR(VLOOKUP(Consulta1[[#This Row],[Pozo]],'Lista Oportunidades'!B:C,2,FALSE),"NO")</f>
        <v>NO</v>
      </c>
      <c r="K1314" s="5">
        <f>IFERROR(VLOOKUP(Consulta1[[#This Row],[Pozo largo]],Controles!B:H,7,FALSE),"NO")</f>
        <v>1.151</v>
      </c>
      <c r="L1314" s="5">
        <f>IFERROR(VLOOKUP(Consulta1[[#This Row],[Pozo largo]],Controles!B:J,9,FALSE),"NO")</f>
        <v>0</v>
      </c>
    </row>
    <row r="1315" spans="2:12" x14ac:dyDescent="0.35">
      <c r="B1315" s="4" t="s">
        <v>2536</v>
      </c>
      <c r="C1315" s="4" t="s">
        <v>7045</v>
      </c>
      <c r="D1315" s="4" t="s">
        <v>5</v>
      </c>
      <c r="E1315" s="4" t="s">
        <v>24</v>
      </c>
      <c r="F1315" s="4" t="s">
        <v>31</v>
      </c>
      <c r="G1315" s="4" t="s">
        <v>8</v>
      </c>
      <c r="H1315" s="4" t="s">
        <v>71</v>
      </c>
      <c r="I1315" s="5" t="str">
        <f>IFERROR(VLOOKUP(Consulta1[[#This Row],[Pozo largo]],'Lista YPF'!$B$3:$C$358,2,FALSE),"NO")</f>
        <v>NO</v>
      </c>
      <c r="J1315" s="5" t="str">
        <f>IFERROR(VLOOKUP(Consulta1[[#This Row],[Pozo]],'Lista Oportunidades'!B:C,2,FALSE),"NO")</f>
        <v>NO</v>
      </c>
      <c r="K1315" s="5">
        <f>IFERROR(VLOOKUP(Consulta1[[#This Row],[Pozo largo]],Controles!B:H,7,FALSE),"NO")</f>
        <v>0.65</v>
      </c>
      <c r="L1315" s="5">
        <f>IFERROR(VLOOKUP(Consulta1[[#This Row],[Pozo largo]],Controles!B:J,9,FALSE),"NO")</f>
        <v>0</v>
      </c>
    </row>
    <row r="1316" spans="2:12" x14ac:dyDescent="0.35">
      <c r="B1316" s="4" t="s">
        <v>2538</v>
      </c>
      <c r="C1316" s="4" t="s">
        <v>7046</v>
      </c>
      <c r="D1316" s="4" t="s">
        <v>5</v>
      </c>
      <c r="E1316" s="4" t="s">
        <v>24</v>
      </c>
      <c r="F1316" s="4" t="s">
        <v>31</v>
      </c>
      <c r="G1316" s="4" t="s">
        <v>8</v>
      </c>
      <c r="H1316" s="4" t="s">
        <v>71</v>
      </c>
      <c r="I1316" s="5" t="str">
        <f>IFERROR(VLOOKUP(Consulta1[[#This Row],[Pozo largo]],'Lista YPF'!$B$3:$C$358,2,FALSE),"NO")</f>
        <v>NO</v>
      </c>
      <c r="J1316" s="5" t="str">
        <f>IFERROR(VLOOKUP(Consulta1[[#This Row],[Pozo]],'Lista Oportunidades'!B:C,2,FALSE),"NO")</f>
        <v>NO</v>
      </c>
      <c r="K1316" s="5">
        <f>IFERROR(VLOOKUP(Consulta1[[#This Row],[Pozo largo]],Controles!B:H,7,FALSE),"NO")</f>
        <v>2.7E-2</v>
      </c>
      <c r="L1316" s="5">
        <f>IFERROR(VLOOKUP(Consulta1[[#This Row],[Pozo largo]],Controles!B:J,9,FALSE),"NO")</f>
        <v>0</v>
      </c>
    </row>
    <row r="1317" spans="2:12" x14ac:dyDescent="0.35">
      <c r="B1317" s="4" t="s">
        <v>2540</v>
      </c>
      <c r="C1317" s="4" t="s">
        <v>7047</v>
      </c>
      <c r="D1317" s="4" t="s">
        <v>5</v>
      </c>
      <c r="E1317" s="4" t="s">
        <v>24</v>
      </c>
      <c r="F1317" s="4" t="s">
        <v>31</v>
      </c>
      <c r="G1317" s="4" t="s">
        <v>8</v>
      </c>
      <c r="H1317" s="4" t="s">
        <v>71</v>
      </c>
      <c r="I1317" s="5" t="str">
        <f>IFERROR(VLOOKUP(Consulta1[[#This Row],[Pozo largo]],'Lista YPF'!$B$3:$C$358,2,FALSE),"NO")</f>
        <v>NO</v>
      </c>
      <c r="J1317" s="5" t="str">
        <f>IFERROR(VLOOKUP(Consulta1[[#This Row],[Pozo]],'Lista Oportunidades'!B:C,2,FALSE),"NO")</f>
        <v>NO</v>
      </c>
      <c r="K1317" s="5">
        <f>IFERROR(VLOOKUP(Consulta1[[#This Row],[Pozo largo]],Controles!B:H,7,FALSE),"NO")</f>
        <v>0.8</v>
      </c>
      <c r="L1317" s="5">
        <f>IFERROR(VLOOKUP(Consulta1[[#This Row],[Pozo largo]],Controles!B:J,9,FALSE),"NO")</f>
        <v>0</v>
      </c>
    </row>
    <row r="1318" spans="2:12" x14ac:dyDescent="0.35">
      <c r="B1318" s="4" t="s">
        <v>2542</v>
      </c>
      <c r="C1318" s="4" t="s">
        <v>7048</v>
      </c>
      <c r="D1318" s="4" t="s">
        <v>5</v>
      </c>
      <c r="E1318" s="4" t="s">
        <v>12</v>
      </c>
      <c r="F1318" s="4" t="s">
        <v>7</v>
      </c>
      <c r="G1318" s="4" t="s">
        <v>13</v>
      </c>
      <c r="H1318" s="4" t="s">
        <v>146</v>
      </c>
      <c r="I1318" s="5" t="str">
        <f>IFERROR(VLOOKUP(Consulta1[[#This Row],[Pozo largo]],'Lista YPF'!$B$3:$C$358,2,FALSE),"NO")</f>
        <v>NO</v>
      </c>
      <c r="J1318" s="5" t="str">
        <f>IFERROR(VLOOKUP(Consulta1[[#This Row],[Pozo]],'Lista Oportunidades'!B:C,2,FALSE),"NO")</f>
        <v>NO</v>
      </c>
      <c r="K1318" s="5">
        <f>IFERROR(VLOOKUP(Consulta1[[#This Row],[Pozo largo]],Controles!B:H,7,FALSE),"NO")</f>
        <v>0.9</v>
      </c>
      <c r="L1318" s="5">
        <f>IFERROR(VLOOKUP(Consulta1[[#This Row],[Pozo largo]],Controles!B:J,9,FALSE),"NO")</f>
        <v>0</v>
      </c>
    </row>
    <row r="1319" spans="2:12" x14ac:dyDescent="0.35">
      <c r="B1319" s="4" t="s">
        <v>2544</v>
      </c>
      <c r="C1319" s="4" t="s">
        <v>7049</v>
      </c>
      <c r="D1319" s="4" t="s">
        <v>5</v>
      </c>
      <c r="E1319" s="4" t="s">
        <v>57</v>
      </c>
      <c r="F1319" s="4" t="s">
        <v>7</v>
      </c>
      <c r="G1319" s="4" t="s">
        <v>5718</v>
      </c>
      <c r="H1319" s="4" t="s">
        <v>71</v>
      </c>
      <c r="I1319" s="5" t="str">
        <f>IFERROR(VLOOKUP(Consulta1[[#This Row],[Pozo largo]],'Lista YPF'!$B$3:$C$358,2,FALSE),"NO")</f>
        <v>En lista de Abandono</v>
      </c>
      <c r="J1319" s="5" t="str">
        <f>IFERROR(VLOOKUP(Consulta1[[#This Row],[Pozo]],'Lista Oportunidades'!B:C,2,FALSE),"NO")</f>
        <v>NO</v>
      </c>
      <c r="K1319" s="5">
        <f>IFERROR(VLOOKUP(Consulta1[[#This Row],[Pozo largo]],Controles!B:H,7,FALSE),"NO")</f>
        <v>0.5</v>
      </c>
      <c r="L1319" s="5">
        <f>IFERROR(VLOOKUP(Consulta1[[#This Row],[Pozo largo]],Controles!B:J,9,FALSE),"NO")</f>
        <v>0</v>
      </c>
    </row>
    <row r="1320" spans="2:12" x14ac:dyDescent="0.35">
      <c r="B1320" s="4" t="s">
        <v>2546</v>
      </c>
      <c r="C1320" s="4" t="s">
        <v>7050</v>
      </c>
      <c r="D1320" s="4" t="s">
        <v>5</v>
      </c>
      <c r="E1320" s="4" t="s">
        <v>6</v>
      </c>
      <c r="F1320" s="4" t="s">
        <v>7</v>
      </c>
      <c r="G1320" s="4" t="s">
        <v>5718</v>
      </c>
      <c r="H1320" s="4" t="s">
        <v>71</v>
      </c>
      <c r="I1320" s="5" t="str">
        <f>IFERROR(VLOOKUP(Consulta1[[#This Row],[Pozo largo]],'Lista YPF'!$B$3:$C$358,2,FALSE),"NO")</f>
        <v>En lista de Abandono</v>
      </c>
      <c r="J1320" s="5" t="str">
        <f>IFERROR(VLOOKUP(Consulta1[[#This Row],[Pozo]],'Lista Oportunidades'!B:C,2,FALSE),"NO")</f>
        <v>NO</v>
      </c>
      <c r="K1320" s="5">
        <f>IFERROR(VLOOKUP(Consulta1[[#This Row],[Pozo largo]],Controles!B:H,7,FALSE),"NO")</f>
        <v>3.42</v>
      </c>
      <c r="L1320" s="5">
        <f>IFERROR(VLOOKUP(Consulta1[[#This Row],[Pozo largo]],Controles!B:J,9,FALSE),"NO")</f>
        <v>0</v>
      </c>
    </row>
    <row r="1321" spans="2:12" x14ac:dyDescent="0.35">
      <c r="B1321" s="4" t="s">
        <v>2548</v>
      </c>
      <c r="C1321" s="4" t="s">
        <v>7051</v>
      </c>
      <c r="D1321" s="4" t="s">
        <v>5</v>
      </c>
      <c r="E1321" s="4" t="s">
        <v>12</v>
      </c>
      <c r="F1321" s="4" t="s">
        <v>25</v>
      </c>
      <c r="G1321" s="4" t="s">
        <v>13</v>
      </c>
      <c r="H1321" s="4" t="s">
        <v>254</v>
      </c>
      <c r="I1321" s="5" t="str">
        <f>IFERROR(VLOOKUP(Consulta1[[#This Row],[Pozo largo]],'Lista YPF'!$B$3:$C$358,2,FALSE),"NO")</f>
        <v>NO</v>
      </c>
      <c r="J1321" s="5" t="str">
        <f>IFERROR(VLOOKUP(Consulta1[[#This Row],[Pozo]],'Lista Oportunidades'!B:C,2,FALSE),"NO")</f>
        <v>NO</v>
      </c>
      <c r="K1321" s="5">
        <f>IFERROR(VLOOKUP(Consulta1[[#This Row],[Pozo largo]],Controles!B:H,7,FALSE),"NO")</f>
        <v>0.115</v>
      </c>
      <c r="L1321" s="5">
        <f>IFERROR(VLOOKUP(Consulta1[[#This Row],[Pozo largo]],Controles!B:J,9,FALSE),"NO")</f>
        <v>0</v>
      </c>
    </row>
    <row r="1322" spans="2:12" x14ac:dyDescent="0.35">
      <c r="B1322" s="4" t="s">
        <v>2550</v>
      </c>
      <c r="C1322" s="4" t="s">
        <v>7052</v>
      </c>
      <c r="D1322" s="4" t="s">
        <v>5</v>
      </c>
      <c r="E1322" s="4" t="s">
        <v>12</v>
      </c>
      <c r="F1322" s="4" t="s">
        <v>7</v>
      </c>
      <c r="G1322" s="4" t="s">
        <v>13</v>
      </c>
      <c r="H1322" s="4" t="s">
        <v>71</v>
      </c>
      <c r="I1322" s="5" t="str">
        <f>IFERROR(VLOOKUP(Consulta1[[#This Row],[Pozo largo]],'Lista YPF'!$B$3:$C$358,2,FALSE),"NO")</f>
        <v>NO</v>
      </c>
      <c r="J1322" s="5" t="str">
        <f>IFERROR(VLOOKUP(Consulta1[[#This Row],[Pozo]],'Lista Oportunidades'!B:C,2,FALSE),"NO")</f>
        <v>NO</v>
      </c>
      <c r="K1322" s="5">
        <f>IFERROR(VLOOKUP(Consulta1[[#This Row],[Pozo largo]],Controles!B:H,7,FALSE),"NO")</f>
        <v>1.19</v>
      </c>
      <c r="L1322" s="5">
        <f>IFERROR(VLOOKUP(Consulta1[[#This Row],[Pozo largo]],Controles!B:J,9,FALSE),"NO")</f>
        <v>0</v>
      </c>
    </row>
    <row r="1323" spans="2:12" x14ac:dyDescent="0.35">
      <c r="B1323" s="4" t="s">
        <v>2552</v>
      </c>
      <c r="C1323" s="4" t="s">
        <v>7053</v>
      </c>
      <c r="D1323" s="4" t="s">
        <v>5</v>
      </c>
      <c r="E1323" s="4" t="s">
        <v>30</v>
      </c>
      <c r="F1323" s="4" t="s">
        <v>31</v>
      </c>
      <c r="G1323" s="4" t="s">
        <v>32</v>
      </c>
      <c r="H1323" s="4" t="s">
        <v>254</v>
      </c>
      <c r="I1323" s="5" t="str">
        <f>IFERROR(VLOOKUP(Consulta1[[#This Row],[Pozo largo]],'Lista YPF'!$B$3:$C$358,2,FALSE),"NO")</f>
        <v>NO</v>
      </c>
      <c r="J1323" s="5" t="str">
        <f>IFERROR(VLOOKUP(Consulta1[[#This Row],[Pozo]],'Lista Oportunidades'!B:C,2,FALSE),"NO")</f>
        <v>NO</v>
      </c>
      <c r="K1323" s="5">
        <f>IFERROR(VLOOKUP(Consulta1[[#This Row],[Pozo largo]],Controles!B:H,7,FALSE),"NO")</f>
        <v>0.23200000000000001</v>
      </c>
      <c r="L1323" s="5">
        <f>IFERROR(VLOOKUP(Consulta1[[#This Row],[Pozo largo]],Controles!B:J,9,FALSE),"NO")</f>
        <v>0</v>
      </c>
    </row>
    <row r="1324" spans="2:12" x14ac:dyDescent="0.35">
      <c r="B1324" s="4" t="s">
        <v>2554</v>
      </c>
      <c r="C1324" s="4" t="s">
        <v>7054</v>
      </c>
      <c r="D1324" s="4" t="s">
        <v>5</v>
      </c>
      <c r="E1324" s="4" t="s">
        <v>12</v>
      </c>
      <c r="F1324" s="4" t="s">
        <v>25</v>
      </c>
      <c r="G1324" s="4" t="s">
        <v>13</v>
      </c>
      <c r="H1324" s="4" t="s">
        <v>254</v>
      </c>
      <c r="I1324" s="5" t="str">
        <f>IFERROR(VLOOKUP(Consulta1[[#This Row],[Pozo largo]],'Lista YPF'!$B$3:$C$358,2,FALSE),"NO")</f>
        <v>NO</v>
      </c>
      <c r="J1324" s="5" t="str">
        <f>IFERROR(VLOOKUP(Consulta1[[#This Row],[Pozo]],'Lista Oportunidades'!B:C,2,FALSE),"NO")</f>
        <v>NO</v>
      </c>
      <c r="K1324" s="5">
        <f>IFERROR(VLOOKUP(Consulta1[[#This Row],[Pozo largo]],Controles!B:H,7,FALSE),"NO")</f>
        <v>0.154</v>
      </c>
      <c r="L1324" s="5">
        <f>IFERROR(VLOOKUP(Consulta1[[#This Row],[Pozo largo]],Controles!B:J,9,FALSE),"NO")</f>
        <v>0</v>
      </c>
    </row>
    <row r="1325" spans="2:12" x14ac:dyDescent="0.35">
      <c r="B1325" s="4" t="s">
        <v>2556</v>
      </c>
      <c r="C1325" s="4" t="s">
        <v>7055</v>
      </c>
      <c r="D1325" s="4" t="s">
        <v>5</v>
      </c>
      <c r="E1325" s="4" t="s">
        <v>6</v>
      </c>
      <c r="F1325" s="4" t="s">
        <v>28</v>
      </c>
      <c r="G1325" s="4" t="s">
        <v>5718</v>
      </c>
      <c r="H1325" s="4" t="s">
        <v>9</v>
      </c>
      <c r="I1325" s="5" t="str">
        <f>IFERROR(VLOOKUP(Consulta1[[#This Row],[Pozo largo]],'Lista YPF'!$B$3:$C$358,2,FALSE),"NO")</f>
        <v>En lista de Abandono</v>
      </c>
      <c r="J1325" s="5" t="str">
        <f>IFERROR(VLOOKUP(Consulta1[[#This Row],[Pozo]],'Lista Oportunidades'!B:C,2,FALSE),"NO")</f>
        <v>NO</v>
      </c>
      <c r="K1325" s="5">
        <f>IFERROR(VLOOKUP(Consulta1[[#This Row],[Pozo largo]],Controles!B:H,7,FALSE),"NO")</f>
        <v>0</v>
      </c>
      <c r="L1325" s="5">
        <f>IFERROR(VLOOKUP(Consulta1[[#This Row],[Pozo largo]],Controles!B:J,9,FALSE),"NO")</f>
        <v>0</v>
      </c>
    </row>
    <row r="1326" spans="2:12" x14ac:dyDescent="0.35">
      <c r="B1326" s="4" t="s">
        <v>2558</v>
      </c>
      <c r="C1326" s="4" t="s">
        <v>7056</v>
      </c>
      <c r="D1326" s="4" t="s">
        <v>5</v>
      </c>
      <c r="E1326" s="4" t="s">
        <v>12</v>
      </c>
      <c r="F1326" s="4" t="s">
        <v>7</v>
      </c>
      <c r="G1326" s="4" t="s">
        <v>13</v>
      </c>
      <c r="H1326" s="4" t="s">
        <v>9</v>
      </c>
      <c r="I1326" s="5" t="str">
        <f>IFERROR(VLOOKUP(Consulta1[[#This Row],[Pozo largo]],'Lista YPF'!$B$3:$C$358,2,FALSE),"NO")</f>
        <v>NO</v>
      </c>
      <c r="J1326" s="5" t="str">
        <f>IFERROR(VLOOKUP(Consulta1[[#This Row],[Pozo]],'Lista Oportunidades'!B:C,2,FALSE),"NO")</f>
        <v>NO</v>
      </c>
      <c r="K1326" s="5">
        <f>IFERROR(VLOOKUP(Consulta1[[#This Row],[Pozo largo]],Controles!B:H,7,FALSE),"NO")</f>
        <v>0.8</v>
      </c>
      <c r="L1326" s="5">
        <f>IFERROR(VLOOKUP(Consulta1[[#This Row],[Pozo largo]],Controles!B:J,9,FALSE),"NO")</f>
        <v>0</v>
      </c>
    </row>
    <row r="1327" spans="2:12" x14ac:dyDescent="0.35">
      <c r="B1327" s="4" t="s">
        <v>2560</v>
      </c>
      <c r="C1327" s="4" t="s">
        <v>7057</v>
      </c>
      <c r="D1327" s="4" t="s">
        <v>5</v>
      </c>
      <c r="E1327" s="4" t="s">
        <v>57</v>
      </c>
      <c r="F1327" s="4" t="s">
        <v>7</v>
      </c>
      <c r="G1327" s="4" t="s">
        <v>5718</v>
      </c>
      <c r="H1327" s="4" t="s">
        <v>254</v>
      </c>
      <c r="I1327" s="5" t="str">
        <f>IFERROR(VLOOKUP(Consulta1[[#This Row],[Pozo largo]],'Lista YPF'!$B$3:$C$358,2,FALSE),"NO")</f>
        <v>En lista de Abandono</v>
      </c>
      <c r="J1327" s="5" t="str">
        <f>IFERROR(VLOOKUP(Consulta1[[#This Row],[Pozo]],'Lista Oportunidades'!B:C,2,FALSE),"NO")</f>
        <v>NO</v>
      </c>
      <c r="K1327" s="5">
        <f>IFERROR(VLOOKUP(Consulta1[[#This Row],[Pozo largo]],Controles!B:H,7,FALSE),"NO")</f>
        <v>0.372</v>
      </c>
      <c r="L1327" s="5">
        <f>IFERROR(VLOOKUP(Consulta1[[#This Row],[Pozo largo]],Controles!B:J,9,FALSE),"NO")</f>
        <v>0</v>
      </c>
    </row>
    <row r="1328" spans="2:12" x14ac:dyDescent="0.35">
      <c r="B1328" s="4" t="s">
        <v>2562</v>
      </c>
      <c r="C1328" s="4" t="s">
        <v>7058</v>
      </c>
      <c r="D1328" s="4" t="s">
        <v>5</v>
      </c>
      <c r="E1328" s="4" t="s">
        <v>24</v>
      </c>
      <c r="F1328" s="4" t="s">
        <v>31</v>
      </c>
      <c r="G1328" s="4" t="s">
        <v>8</v>
      </c>
      <c r="H1328" s="4" t="s">
        <v>149</v>
      </c>
      <c r="I1328" s="5" t="str">
        <f>IFERROR(VLOOKUP(Consulta1[[#This Row],[Pozo largo]],'Lista YPF'!$B$3:$C$358,2,FALSE),"NO")</f>
        <v>NO</v>
      </c>
      <c r="J1328" s="5" t="str">
        <f>IFERROR(VLOOKUP(Consulta1[[#This Row],[Pozo]],'Lista Oportunidades'!B:C,2,FALSE),"NO")</f>
        <v>NO</v>
      </c>
      <c r="K1328" s="5" t="str">
        <f>IFERROR(VLOOKUP(Consulta1[[#This Row],[Pozo largo]],Controles!B:H,7,FALSE),"NO")</f>
        <v>NO</v>
      </c>
      <c r="L1328" s="5" t="str">
        <f>IFERROR(VLOOKUP(Consulta1[[#This Row],[Pozo largo]],Controles!B:J,9,FALSE),"NO")</f>
        <v>NO</v>
      </c>
    </row>
    <row r="1329" spans="2:12" x14ac:dyDescent="0.35">
      <c r="B1329" s="4" t="s">
        <v>2563</v>
      </c>
      <c r="C1329" s="4" t="s">
        <v>7059</v>
      </c>
      <c r="D1329" s="4" t="s">
        <v>5</v>
      </c>
      <c r="E1329" s="4" t="s">
        <v>12</v>
      </c>
      <c r="F1329" s="4" t="s">
        <v>7</v>
      </c>
      <c r="G1329" s="4" t="s">
        <v>13</v>
      </c>
      <c r="H1329" s="4" t="s">
        <v>21</v>
      </c>
      <c r="I1329" s="5" t="str">
        <f>IFERROR(VLOOKUP(Consulta1[[#This Row],[Pozo largo]],'Lista YPF'!$B$3:$C$358,2,FALSE),"NO")</f>
        <v>NO</v>
      </c>
      <c r="J1329" s="5" t="str">
        <f>IFERROR(VLOOKUP(Consulta1[[#This Row],[Pozo]],'Lista Oportunidades'!B:C,2,FALSE),"NO")</f>
        <v>NO</v>
      </c>
      <c r="K1329" s="5">
        <f>IFERROR(VLOOKUP(Consulta1[[#This Row],[Pozo largo]],Controles!B:H,7,FALSE),"NO")</f>
        <v>1.69</v>
      </c>
      <c r="L1329" s="5">
        <f>IFERROR(VLOOKUP(Consulta1[[#This Row],[Pozo largo]],Controles!B:J,9,FALSE),"NO")</f>
        <v>0</v>
      </c>
    </row>
    <row r="1330" spans="2:12" x14ac:dyDescent="0.35">
      <c r="B1330" s="4" t="s">
        <v>2565</v>
      </c>
      <c r="C1330" s="4" t="s">
        <v>7060</v>
      </c>
      <c r="D1330" s="4" t="s">
        <v>5</v>
      </c>
      <c r="E1330" s="4" t="s">
        <v>12</v>
      </c>
      <c r="F1330" s="4" t="s">
        <v>28</v>
      </c>
      <c r="G1330" s="4" t="s">
        <v>13</v>
      </c>
      <c r="H1330" s="4" t="s">
        <v>33</v>
      </c>
      <c r="I1330" s="5" t="str">
        <f>IFERROR(VLOOKUP(Consulta1[[#This Row],[Pozo largo]],'Lista YPF'!$B$3:$C$358,2,FALSE),"NO")</f>
        <v>NO</v>
      </c>
      <c r="J1330" s="5" t="str">
        <f>IFERROR(VLOOKUP(Consulta1[[#This Row],[Pozo]],'Lista Oportunidades'!B:C,2,FALSE),"NO")</f>
        <v>NO</v>
      </c>
      <c r="K1330" s="5">
        <f>IFERROR(VLOOKUP(Consulta1[[#This Row],[Pozo largo]],Controles!B:H,7,FALSE),"NO")</f>
        <v>0</v>
      </c>
      <c r="L1330" s="5">
        <f>IFERROR(VLOOKUP(Consulta1[[#This Row],[Pozo largo]],Controles!B:J,9,FALSE),"NO")</f>
        <v>0</v>
      </c>
    </row>
    <row r="1331" spans="2:12" x14ac:dyDescent="0.35">
      <c r="B1331" s="4" t="s">
        <v>2567</v>
      </c>
      <c r="C1331" s="4" t="s">
        <v>7061</v>
      </c>
      <c r="D1331" s="4" t="s">
        <v>5</v>
      </c>
      <c r="E1331" s="4" t="s">
        <v>12</v>
      </c>
      <c r="F1331" s="4" t="s">
        <v>25</v>
      </c>
      <c r="G1331" s="4" t="s">
        <v>13</v>
      </c>
      <c r="H1331" s="4" t="s">
        <v>21</v>
      </c>
      <c r="I1331" s="5" t="str">
        <f>IFERROR(VLOOKUP(Consulta1[[#This Row],[Pozo largo]],'Lista YPF'!$B$3:$C$358,2,FALSE),"NO")</f>
        <v>NO</v>
      </c>
      <c r="J1331" s="5" t="str">
        <f>IFERROR(VLOOKUP(Consulta1[[#This Row],[Pozo]],'Lista Oportunidades'!B:C,2,FALSE),"NO")</f>
        <v>NO</v>
      </c>
      <c r="K1331" s="5">
        <f>IFERROR(VLOOKUP(Consulta1[[#This Row],[Pozo largo]],Controles!B:H,7,FALSE),"NO")</f>
        <v>6.7000000000000004E-2</v>
      </c>
      <c r="L1331" s="5">
        <f>IFERROR(VLOOKUP(Consulta1[[#This Row],[Pozo largo]],Controles!B:J,9,FALSE),"NO")</f>
        <v>0</v>
      </c>
    </row>
    <row r="1332" spans="2:12" x14ac:dyDescent="0.35">
      <c r="B1332" s="4" t="s">
        <v>2569</v>
      </c>
      <c r="C1332" s="4" t="s">
        <v>7062</v>
      </c>
      <c r="D1332" s="4" t="s">
        <v>5</v>
      </c>
      <c r="E1332" s="4" t="s">
        <v>12</v>
      </c>
      <c r="F1332" s="4" t="s">
        <v>25</v>
      </c>
      <c r="G1332" s="4" t="s">
        <v>13</v>
      </c>
      <c r="H1332" s="4" t="s">
        <v>36</v>
      </c>
      <c r="I1332" s="5" t="str">
        <f>IFERROR(VLOOKUP(Consulta1[[#This Row],[Pozo largo]],'Lista YPF'!$B$3:$C$358,2,FALSE),"NO")</f>
        <v>NO</v>
      </c>
      <c r="J1332" s="5" t="str">
        <f>IFERROR(VLOOKUP(Consulta1[[#This Row],[Pozo]],'Lista Oportunidades'!B:C,2,FALSE),"NO")</f>
        <v>Oportunidad</v>
      </c>
      <c r="K1332" s="5">
        <f>IFERROR(VLOOKUP(Consulta1[[#This Row],[Pozo largo]],Controles!B:H,7,FALSE),"NO")</f>
        <v>0.115</v>
      </c>
      <c r="L1332" s="5">
        <f>IFERROR(VLOOKUP(Consulta1[[#This Row],[Pozo largo]],Controles!B:J,9,FALSE),"NO")</f>
        <v>0</v>
      </c>
    </row>
    <row r="1333" spans="2:12" x14ac:dyDescent="0.35">
      <c r="B1333" s="4" t="s">
        <v>2571</v>
      </c>
      <c r="C1333" s="4" t="s">
        <v>7063</v>
      </c>
      <c r="D1333" s="4" t="s">
        <v>5</v>
      </c>
      <c r="E1333" s="4" t="s">
        <v>30</v>
      </c>
      <c r="F1333" s="4" t="s">
        <v>31</v>
      </c>
      <c r="G1333" s="4" t="s">
        <v>32</v>
      </c>
      <c r="H1333" s="4" t="s">
        <v>21</v>
      </c>
      <c r="I1333" s="5" t="str">
        <f>IFERROR(VLOOKUP(Consulta1[[#This Row],[Pozo largo]],'Lista YPF'!$B$3:$C$358,2,FALSE),"NO")</f>
        <v>NO</v>
      </c>
      <c r="J1333" s="5" t="str">
        <f>IFERROR(VLOOKUP(Consulta1[[#This Row],[Pozo]],'Lista Oportunidades'!B:C,2,FALSE),"NO")</f>
        <v>NO</v>
      </c>
      <c r="K1333" s="5" t="str">
        <f>IFERROR(VLOOKUP(Consulta1[[#This Row],[Pozo largo]],Controles!B:H,7,FALSE),"NO")</f>
        <v>NO</v>
      </c>
      <c r="L1333" s="5" t="str">
        <f>IFERROR(VLOOKUP(Consulta1[[#This Row],[Pozo largo]],Controles!B:J,9,FALSE),"NO")</f>
        <v>NO</v>
      </c>
    </row>
    <row r="1334" spans="2:12" x14ac:dyDescent="0.35">
      <c r="B1334" s="4" t="s">
        <v>2572</v>
      </c>
      <c r="C1334" s="4" t="s">
        <v>7064</v>
      </c>
      <c r="D1334" s="4" t="s">
        <v>5</v>
      </c>
      <c r="E1334" s="4" t="s">
        <v>12</v>
      </c>
      <c r="F1334" s="4" t="s">
        <v>7</v>
      </c>
      <c r="G1334" s="4" t="s">
        <v>13</v>
      </c>
      <c r="H1334" s="4" t="s">
        <v>33</v>
      </c>
      <c r="I1334" s="5" t="str">
        <f>IFERROR(VLOOKUP(Consulta1[[#This Row],[Pozo largo]],'Lista YPF'!$B$3:$C$358,2,FALSE),"NO")</f>
        <v>NO</v>
      </c>
      <c r="J1334" s="5" t="str">
        <f>IFERROR(VLOOKUP(Consulta1[[#This Row],[Pozo]],'Lista Oportunidades'!B:C,2,FALSE),"NO")</f>
        <v>NO</v>
      </c>
      <c r="K1334" s="5">
        <f>IFERROR(VLOOKUP(Consulta1[[#This Row],[Pozo largo]],Controles!B:H,7,FALSE),"NO")</f>
        <v>1.242</v>
      </c>
      <c r="L1334" s="5">
        <f>IFERROR(VLOOKUP(Consulta1[[#This Row],[Pozo largo]],Controles!B:J,9,FALSE),"NO")</f>
        <v>0</v>
      </c>
    </row>
    <row r="1335" spans="2:12" x14ac:dyDescent="0.35">
      <c r="B1335" s="4" t="s">
        <v>2574</v>
      </c>
      <c r="C1335" s="4" t="s">
        <v>7065</v>
      </c>
      <c r="D1335" s="4" t="s">
        <v>5</v>
      </c>
      <c r="E1335" s="4" t="s">
        <v>24</v>
      </c>
      <c r="F1335" s="4" t="s">
        <v>25</v>
      </c>
      <c r="G1335" s="4" t="s">
        <v>8</v>
      </c>
      <c r="H1335" s="4" t="s">
        <v>21</v>
      </c>
      <c r="I1335" s="5" t="str">
        <f>IFERROR(VLOOKUP(Consulta1[[#This Row],[Pozo largo]],'Lista YPF'!$B$3:$C$358,2,FALSE),"NO")</f>
        <v>NO</v>
      </c>
      <c r="J1335" s="5" t="str">
        <f>IFERROR(VLOOKUP(Consulta1[[#This Row],[Pozo]],'Lista Oportunidades'!B:C,2,FALSE),"NO")</f>
        <v>NO</v>
      </c>
      <c r="K1335" s="5">
        <f>IFERROR(VLOOKUP(Consulta1[[#This Row],[Pozo largo]],Controles!B:H,7,FALSE),"NO")</f>
        <v>6.7000000000000004E-2</v>
      </c>
      <c r="L1335" s="5">
        <f>IFERROR(VLOOKUP(Consulta1[[#This Row],[Pozo largo]],Controles!B:J,9,FALSE),"NO")</f>
        <v>0</v>
      </c>
    </row>
    <row r="1336" spans="2:12" x14ac:dyDescent="0.35">
      <c r="B1336" s="4" t="s">
        <v>2576</v>
      </c>
      <c r="C1336" s="4" t="s">
        <v>7066</v>
      </c>
      <c r="D1336" s="4" t="s">
        <v>5</v>
      </c>
      <c r="E1336" s="4" t="s">
        <v>57</v>
      </c>
      <c r="F1336" s="4" t="s">
        <v>25</v>
      </c>
      <c r="G1336" s="4" t="s">
        <v>5718</v>
      </c>
      <c r="H1336" s="4" t="s">
        <v>21</v>
      </c>
      <c r="I1336" s="5" t="str">
        <f>IFERROR(VLOOKUP(Consulta1[[#This Row],[Pozo largo]],'Lista YPF'!$B$3:$C$358,2,FALSE),"NO")</f>
        <v>En lista de Abandono</v>
      </c>
      <c r="J1336" s="5" t="str">
        <f>IFERROR(VLOOKUP(Consulta1[[#This Row],[Pozo]],'Lista Oportunidades'!B:C,2,FALSE),"NO")</f>
        <v>NO</v>
      </c>
      <c r="K1336" s="5">
        <f>IFERROR(VLOOKUP(Consulta1[[#This Row],[Pozo largo]],Controles!B:H,7,FALSE),"NO")</f>
        <v>9.6000000000000002E-2</v>
      </c>
      <c r="L1336" s="5">
        <f>IFERROR(VLOOKUP(Consulta1[[#This Row],[Pozo largo]],Controles!B:J,9,FALSE),"NO")</f>
        <v>0</v>
      </c>
    </row>
    <row r="1337" spans="2:12" x14ac:dyDescent="0.35">
      <c r="B1337" s="4" t="s">
        <v>2578</v>
      </c>
      <c r="C1337" s="4" t="s">
        <v>7067</v>
      </c>
      <c r="D1337" s="4" t="s">
        <v>5</v>
      </c>
      <c r="E1337" s="4" t="s">
        <v>57</v>
      </c>
      <c r="F1337" s="4" t="s">
        <v>7</v>
      </c>
      <c r="G1337" s="4" t="s">
        <v>5718</v>
      </c>
      <c r="H1337" s="4" t="s">
        <v>36</v>
      </c>
      <c r="I1337" s="5" t="str">
        <f>IFERROR(VLOOKUP(Consulta1[[#This Row],[Pozo largo]],'Lista YPF'!$B$3:$C$358,2,FALSE),"NO")</f>
        <v>En lista de Abandono</v>
      </c>
      <c r="J1337" s="5" t="str">
        <f>IFERROR(VLOOKUP(Consulta1[[#This Row],[Pozo]],'Lista Oportunidades'!B:C,2,FALSE),"NO")</f>
        <v>NO</v>
      </c>
      <c r="K1337" s="5">
        <f>IFERROR(VLOOKUP(Consulta1[[#This Row],[Pozo largo]],Controles!B:H,7,FALSE),"NO")</f>
        <v>0.8</v>
      </c>
      <c r="L1337" s="5">
        <f>IFERROR(VLOOKUP(Consulta1[[#This Row],[Pozo largo]],Controles!B:J,9,FALSE),"NO")</f>
        <v>0</v>
      </c>
    </row>
    <row r="1338" spans="2:12" x14ac:dyDescent="0.35">
      <c r="B1338" s="4" t="s">
        <v>2580</v>
      </c>
      <c r="C1338" s="4" t="s">
        <v>7068</v>
      </c>
      <c r="D1338" s="4" t="s">
        <v>5</v>
      </c>
      <c r="E1338" s="4" t="s">
        <v>24</v>
      </c>
      <c r="F1338" s="4" t="s">
        <v>31</v>
      </c>
      <c r="G1338" s="4" t="s">
        <v>8</v>
      </c>
      <c r="H1338" s="4" t="s">
        <v>71</v>
      </c>
      <c r="I1338" s="5" t="str">
        <f>IFERROR(VLOOKUP(Consulta1[[#This Row],[Pozo largo]],'Lista YPF'!$B$3:$C$358,2,FALSE),"NO")</f>
        <v>NO</v>
      </c>
      <c r="J1338" s="5" t="str">
        <f>IFERROR(VLOOKUP(Consulta1[[#This Row],[Pozo]],'Lista Oportunidades'!B:C,2,FALSE),"NO")</f>
        <v>NO</v>
      </c>
      <c r="K1338" s="5">
        <f>IFERROR(VLOOKUP(Consulta1[[#This Row],[Pozo largo]],Controles!B:H,7,FALSE),"NO")</f>
        <v>0.3</v>
      </c>
      <c r="L1338" s="5">
        <f>IFERROR(VLOOKUP(Consulta1[[#This Row],[Pozo largo]],Controles!B:J,9,FALSE),"NO")</f>
        <v>0</v>
      </c>
    </row>
    <row r="1339" spans="2:12" x14ac:dyDescent="0.35">
      <c r="B1339" s="4" t="s">
        <v>2582</v>
      </c>
      <c r="C1339" s="4" t="s">
        <v>7069</v>
      </c>
      <c r="D1339" s="4" t="s">
        <v>5</v>
      </c>
      <c r="E1339" s="4" t="s">
        <v>30</v>
      </c>
      <c r="F1339" s="4" t="s">
        <v>31</v>
      </c>
      <c r="G1339" s="4" t="s">
        <v>32</v>
      </c>
      <c r="H1339" s="4" t="s">
        <v>80</v>
      </c>
      <c r="I1339" s="5" t="str">
        <f>IFERROR(VLOOKUP(Consulta1[[#This Row],[Pozo largo]],'Lista YPF'!$B$3:$C$358,2,FALSE),"NO")</f>
        <v>NO</v>
      </c>
      <c r="J1339" s="5" t="str">
        <f>IFERROR(VLOOKUP(Consulta1[[#This Row],[Pozo]],'Lista Oportunidades'!B:C,2,FALSE),"NO")</f>
        <v>NO</v>
      </c>
      <c r="K1339" s="5" t="str">
        <f>IFERROR(VLOOKUP(Consulta1[[#This Row],[Pozo largo]],Controles!B:H,7,FALSE),"NO")</f>
        <v>NO</v>
      </c>
      <c r="L1339" s="5" t="str">
        <f>IFERROR(VLOOKUP(Consulta1[[#This Row],[Pozo largo]],Controles!B:J,9,FALSE),"NO")</f>
        <v>NO</v>
      </c>
    </row>
    <row r="1340" spans="2:12" x14ac:dyDescent="0.35">
      <c r="B1340" s="4" t="s">
        <v>2583</v>
      </c>
      <c r="C1340" s="4" t="s">
        <v>7070</v>
      </c>
      <c r="D1340" s="4" t="s">
        <v>5</v>
      </c>
      <c r="E1340" s="4" t="s">
        <v>12</v>
      </c>
      <c r="F1340" s="4" t="s">
        <v>83</v>
      </c>
      <c r="G1340" s="4" t="s">
        <v>13</v>
      </c>
      <c r="H1340" s="4" t="s">
        <v>290</v>
      </c>
      <c r="I1340" s="5" t="str">
        <f>IFERROR(VLOOKUP(Consulta1[[#This Row],[Pozo largo]],'Lista YPF'!$B$3:$C$358,2,FALSE),"NO")</f>
        <v>NO</v>
      </c>
      <c r="J1340" s="5" t="str">
        <f>IFERROR(VLOOKUP(Consulta1[[#This Row],[Pozo]],'Lista Oportunidades'!B:C,2,FALSE),"NO")</f>
        <v>NO</v>
      </c>
      <c r="K1340" s="5">
        <f>IFERROR(VLOOKUP(Consulta1[[#This Row],[Pozo largo]],Controles!B:H,7,FALSE),"NO")</f>
        <v>6.24</v>
      </c>
      <c r="L1340" s="5">
        <f>IFERROR(VLOOKUP(Consulta1[[#This Row],[Pozo largo]],Controles!B:J,9,FALSE),"NO")</f>
        <v>0</v>
      </c>
    </row>
    <row r="1341" spans="2:12" x14ac:dyDescent="0.35">
      <c r="B1341" s="4" t="s">
        <v>2585</v>
      </c>
      <c r="C1341" s="4" t="s">
        <v>7071</v>
      </c>
      <c r="D1341" s="4" t="s">
        <v>5</v>
      </c>
      <c r="E1341" s="4" t="s">
        <v>30</v>
      </c>
      <c r="F1341" s="4" t="s">
        <v>31</v>
      </c>
      <c r="G1341" s="4" t="s">
        <v>32</v>
      </c>
      <c r="H1341" s="4" t="s">
        <v>86</v>
      </c>
      <c r="I1341" s="5" t="str">
        <f>IFERROR(VLOOKUP(Consulta1[[#This Row],[Pozo largo]],'Lista YPF'!$B$3:$C$358,2,FALSE),"NO")</f>
        <v>NO</v>
      </c>
      <c r="J1341" s="5" t="str">
        <f>IFERROR(VLOOKUP(Consulta1[[#This Row],[Pozo]],'Lista Oportunidades'!B:C,2,FALSE),"NO")</f>
        <v>NO</v>
      </c>
      <c r="K1341" s="5" t="str">
        <f>IFERROR(VLOOKUP(Consulta1[[#This Row],[Pozo largo]],Controles!B:H,7,FALSE),"NO")</f>
        <v>NO</v>
      </c>
      <c r="L1341" s="5" t="str">
        <f>IFERROR(VLOOKUP(Consulta1[[#This Row],[Pozo largo]],Controles!B:J,9,FALSE),"NO")</f>
        <v>NO</v>
      </c>
    </row>
    <row r="1342" spans="2:12" x14ac:dyDescent="0.35">
      <c r="B1342" s="4" t="s">
        <v>2586</v>
      </c>
      <c r="C1342" s="4" t="s">
        <v>7072</v>
      </c>
      <c r="D1342" s="4" t="s">
        <v>5</v>
      </c>
      <c r="E1342" s="4" t="s">
        <v>30</v>
      </c>
      <c r="F1342" s="4" t="s">
        <v>31</v>
      </c>
      <c r="G1342" s="4" t="s">
        <v>32</v>
      </c>
      <c r="H1342" s="4" t="s">
        <v>86</v>
      </c>
      <c r="I1342" s="5" t="str">
        <f>IFERROR(VLOOKUP(Consulta1[[#This Row],[Pozo largo]],'Lista YPF'!$B$3:$C$358,2,FALSE),"NO")</f>
        <v>NO</v>
      </c>
      <c r="J1342" s="5" t="str">
        <f>IFERROR(VLOOKUP(Consulta1[[#This Row],[Pozo]],'Lista Oportunidades'!B:C,2,FALSE),"NO")</f>
        <v>NO</v>
      </c>
      <c r="K1342" s="5">
        <f>IFERROR(VLOOKUP(Consulta1[[#This Row],[Pozo largo]],Controles!B:H,7,FALSE),"NO")</f>
        <v>8.8000000000000009E-2</v>
      </c>
      <c r="L1342" s="5">
        <f>IFERROR(VLOOKUP(Consulta1[[#This Row],[Pozo largo]],Controles!B:J,9,FALSE),"NO")</f>
        <v>0</v>
      </c>
    </row>
    <row r="1343" spans="2:12" x14ac:dyDescent="0.35">
      <c r="B1343" s="4" t="s">
        <v>2588</v>
      </c>
      <c r="C1343" s="4" t="s">
        <v>7073</v>
      </c>
      <c r="D1343" s="4" t="s">
        <v>5</v>
      </c>
      <c r="E1343" s="4" t="s">
        <v>309</v>
      </c>
      <c r="F1343" s="4" t="s">
        <v>28</v>
      </c>
      <c r="G1343" s="4" t="s">
        <v>5718</v>
      </c>
      <c r="H1343" s="4" t="s">
        <v>80</v>
      </c>
      <c r="I1343" s="5" t="str">
        <f>IFERROR(VLOOKUP(Consulta1[[#This Row],[Pozo largo]],'Lista YPF'!$B$3:$C$358,2,FALSE),"NO")</f>
        <v>En lista de Abandono</v>
      </c>
      <c r="J1343" s="5" t="str">
        <f>IFERROR(VLOOKUP(Consulta1[[#This Row],[Pozo]],'Lista Oportunidades'!B:C,2,FALSE),"NO")</f>
        <v>NO</v>
      </c>
      <c r="K1343" s="5">
        <f>IFERROR(VLOOKUP(Consulta1[[#This Row],[Pozo largo]],Controles!B:H,7,FALSE),"NO")</f>
        <v>0</v>
      </c>
      <c r="L1343" s="5">
        <f>IFERROR(VLOOKUP(Consulta1[[#This Row],[Pozo largo]],Controles!B:J,9,FALSE),"NO")</f>
        <v>0</v>
      </c>
    </row>
    <row r="1344" spans="2:12" x14ac:dyDescent="0.35">
      <c r="B1344" s="4" t="s">
        <v>2590</v>
      </c>
      <c r="C1344" s="4" t="s">
        <v>7074</v>
      </c>
      <c r="D1344" s="4" t="s">
        <v>5</v>
      </c>
      <c r="E1344" s="4" t="s">
        <v>12</v>
      </c>
      <c r="F1344" s="4" t="s">
        <v>7</v>
      </c>
      <c r="G1344" s="4" t="s">
        <v>13</v>
      </c>
      <c r="H1344" s="4" t="s">
        <v>185</v>
      </c>
      <c r="I1344" s="5" t="str">
        <f>IFERROR(VLOOKUP(Consulta1[[#This Row],[Pozo largo]],'Lista YPF'!$B$3:$C$358,2,FALSE),"NO")</f>
        <v>NO</v>
      </c>
      <c r="J1344" s="5" t="str">
        <f>IFERROR(VLOOKUP(Consulta1[[#This Row],[Pozo]],'Lista Oportunidades'!B:C,2,FALSE),"NO")</f>
        <v>NO</v>
      </c>
      <c r="K1344" s="5">
        <f>IFERROR(VLOOKUP(Consulta1[[#This Row],[Pozo largo]],Controles!B:H,7,FALSE),"NO")</f>
        <v>2</v>
      </c>
      <c r="L1344" s="5">
        <f>IFERROR(VLOOKUP(Consulta1[[#This Row],[Pozo largo]],Controles!B:J,9,FALSE),"NO")</f>
        <v>0</v>
      </c>
    </row>
    <row r="1345" spans="2:12" x14ac:dyDescent="0.35">
      <c r="B1345" s="4" t="s">
        <v>2592</v>
      </c>
      <c r="C1345" s="4" t="s">
        <v>7075</v>
      </c>
      <c r="D1345" s="4" t="s">
        <v>5</v>
      </c>
      <c r="E1345" s="4" t="s">
        <v>57</v>
      </c>
      <c r="F1345" s="4" t="s">
        <v>7</v>
      </c>
      <c r="G1345" s="4" t="s">
        <v>5718</v>
      </c>
      <c r="H1345" s="4" t="s">
        <v>86</v>
      </c>
      <c r="I1345" s="5" t="str">
        <f>IFERROR(VLOOKUP(Consulta1[[#This Row],[Pozo largo]],'Lista YPF'!$B$3:$C$358,2,FALSE),"NO")</f>
        <v>En lista de Abandono</v>
      </c>
      <c r="J1345" s="5" t="str">
        <f>IFERROR(VLOOKUP(Consulta1[[#This Row],[Pozo]],'Lista Oportunidades'!B:C,2,FALSE),"NO")</f>
        <v>NO</v>
      </c>
      <c r="K1345" s="5">
        <f>IFERROR(VLOOKUP(Consulta1[[#This Row],[Pozo largo]],Controles!B:H,7,FALSE),"NO")</f>
        <v>0.56400000000000006</v>
      </c>
      <c r="L1345" s="5">
        <f>IFERROR(VLOOKUP(Consulta1[[#This Row],[Pozo largo]],Controles!B:J,9,FALSE),"NO")</f>
        <v>0</v>
      </c>
    </row>
    <row r="1346" spans="2:12" x14ac:dyDescent="0.35">
      <c r="B1346" s="4" t="s">
        <v>2594</v>
      </c>
      <c r="C1346" s="4" t="s">
        <v>7076</v>
      </c>
      <c r="D1346" s="4" t="s">
        <v>5</v>
      </c>
      <c r="E1346" s="4" t="s">
        <v>30</v>
      </c>
      <c r="F1346" s="4" t="s">
        <v>31</v>
      </c>
      <c r="G1346" s="4" t="s">
        <v>32</v>
      </c>
      <c r="H1346" s="4" t="s">
        <v>21</v>
      </c>
      <c r="I1346" s="5" t="str">
        <f>IFERROR(VLOOKUP(Consulta1[[#This Row],[Pozo largo]],'Lista YPF'!$B$3:$C$358,2,FALSE),"NO")</f>
        <v>NO</v>
      </c>
      <c r="J1346" s="5" t="str">
        <f>IFERROR(VLOOKUP(Consulta1[[#This Row],[Pozo]],'Lista Oportunidades'!B:C,2,FALSE),"NO")</f>
        <v>NO</v>
      </c>
      <c r="K1346" s="5" t="str">
        <f>IFERROR(VLOOKUP(Consulta1[[#This Row],[Pozo largo]],Controles!B:H,7,FALSE),"NO")</f>
        <v>NO</v>
      </c>
      <c r="L1346" s="5" t="str">
        <f>IFERROR(VLOOKUP(Consulta1[[#This Row],[Pozo largo]],Controles!B:J,9,FALSE),"NO")</f>
        <v>NO</v>
      </c>
    </row>
    <row r="1347" spans="2:12" x14ac:dyDescent="0.35">
      <c r="B1347" s="4" t="s">
        <v>2595</v>
      </c>
      <c r="C1347" s="4" t="s">
        <v>7077</v>
      </c>
      <c r="D1347" s="4" t="s">
        <v>5</v>
      </c>
      <c r="E1347" s="4" t="s">
        <v>30</v>
      </c>
      <c r="F1347" s="4" t="s">
        <v>31</v>
      </c>
      <c r="G1347" s="4" t="s">
        <v>32</v>
      </c>
      <c r="H1347" s="4" t="s">
        <v>36</v>
      </c>
      <c r="I1347" s="5" t="str">
        <f>IFERROR(VLOOKUP(Consulta1[[#This Row],[Pozo largo]],'Lista YPF'!$B$3:$C$358,2,FALSE),"NO")</f>
        <v>NO</v>
      </c>
      <c r="J1347" s="5" t="str">
        <f>IFERROR(VLOOKUP(Consulta1[[#This Row],[Pozo]],'Lista Oportunidades'!B:C,2,FALSE),"NO")</f>
        <v>NO</v>
      </c>
      <c r="K1347" s="5" t="str">
        <f>IFERROR(VLOOKUP(Consulta1[[#This Row],[Pozo largo]],Controles!B:H,7,FALSE),"NO")</f>
        <v>NO</v>
      </c>
      <c r="L1347" s="5" t="str">
        <f>IFERROR(VLOOKUP(Consulta1[[#This Row],[Pozo largo]],Controles!B:J,9,FALSE),"NO")</f>
        <v>NO</v>
      </c>
    </row>
    <row r="1348" spans="2:12" x14ac:dyDescent="0.35">
      <c r="B1348" s="4" t="s">
        <v>2596</v>
      </c>
      <c r="C1348" s="4" t="s">
        <v>7078</v>
      </c>
      <c r="D1348" s="4" t="s">
        <v>5</v>
      </c>
      <c r="E1348" s="4" t="s">
        <v>30</v>
      </c>
      <c r="F1348" s="4" t="s">
        <v>31</v>
      </c>
      <c r="G1348" s="4" t="s">
        <v>32</v>
      </c>
      <c r="H1348" s="4" t="s">
        <v>80</v>
      </c>
      <c r="I1348" s="5" t="str">
        <f>IFERROR(VLOOKUP(Consulta1[[#This Row],[Pozo largo]],'Lista YPF'!$B$3:$C$358,2,FALSE),"NO")</f>
        <v>NO</v>
      </c>
      <c r="J1348" s="5" t="str">
        <f>IFERROR(VLOOKUP(Consulta1[[#This Row],[Pozo]],'Lista Oportunidades'!B:C,2,FALSE),"NO")</f>
        <v>NO</v>
      </c>
      <c r="K1348" s="5">
        <f>IFERROR(VLOOKUP(Consulta1[[#This Row],[Pozo largo]],Controles!B:H,7,FALSE),"NO")</f>
        <v>0</v>
      </c>
      <c r="L1348" s="5">
        <f>IFERROR(VLOOKUP(Consulta1[[#This Row],[Pozo largo]],Controles!B:J,9,FALSE),"NO")</f>
        <v>0</v>
      </c>
    </row>
    <row r="1349" spans="2:12" x14ac:dyDescent="0.35">
      <c r="B1349" s="4" t="s">
        <v>2598</v>
      </c>
      <c r="C1349" s="4" t="s">
        <v>7079</v>
      </c>
      <c r="D1349" s="4" t="s">
        <v>5</v>
      </c>
      <c r="E1349" s="4" t="s">
        <v>12</v>
      </c>
      <c r="F1349" s="4" t="s">
        <v>25</v>
      </c>
      <c r="G1349" s="4" t="s">
        <v>13</v>
      </c>
      <c r="H1349" s="4" t="s">
        <v>80</v>
      </c>
      <c r="I1349" s="5" t="str">
        <f>IFERROR(VLOOKUP(Consulta1[[#This Row],[Pozo largo]],'Lista YPF'!$B$3:$C$358,2,FALSE),"NO")</f>
        <v>NO</v>
      </c>
      <c r="J1349" s="5" t="str">
        <f>IFERROR(VLOOKUP(Consulta1[[#This Row],[Pozo]],'Lista Oportunidades'!B:C,2,FALSE),"NO")</f>
        <v>NO</v>
      </c>
      <c r="K1349" s="5">
        <f>IFERROR(VLOOKUP(Consulta1[[#This Row],[Pozo largo]],Controles!B:H,7,FALSE),"NO")</f>
        <v>0.11600000000000001</v>
      </c>
      <c r="L1349" s="5">
        <f>IFERROR(VLOOKUP(Consulta1[[#This Row],[Pozo largo]],Controles!B:J,9,FALSE),"NO")</f>
        <v>0</v>
      </c>
    </row>
    <row r="1350" spans="2:12" x14ac:dyDescent="0.35">
      <c r="B1350" s="4" t="s">
        <v>2600</v>
      </c>
      <c r="C1350" s="4" t="s">
        <v>7080</v>
      </c>
      <c r="D1350" s="4" t="s">
        <v>5</v>
      </c>
      <c r="E1350" s="4" t="s">
        <v>6</v>
      </c>
      <c r="F1350" s="4" t="s">
        <v>238</v>
      </c>
      <c r="G1350" s="4" t="s">
        <v>5718</v>
      </c>
      <c r="H1350" s="4" t="s">
        <v>86</v>
      </c>
      <c r="I1350" s="5" t="str">
        <f>IFERROR(VLOOKUP(Consulta1[[#This Row],[Pozo largo]],'Lista YPF'!$B$3:$C$358,2,FALSE),"NO")</f>
        <v>En lista de Abandono</v>
      </c>
      <c r="J1350" s="5" t="str">
        <f>IFERROR(VLOOKUP(Consulta1[[#This Row],[Pozo]],'Lista Oportunidades'!B:C,2,FALSE),"NO")</f>
        <v>NO</v>
      </c>
      <c r="K1350" s="5">
        <f>IFERROR(VLOOKUP(Consulta1[[#This Row],[Pozo largo]],Controles!B:H,7,FALSE),"NO")</f>
        <v>0.44</v>
      </c>
      <c r="L1350" s="5" t="str">
        <f>IFERROR(VLOOKUP(Consulta1[[#This Row],[Pozo largo]],Controles!B:J,9,FALSE),"NO")</f>
        <v>Ultimo Año</v>
      </c>
    </row>
    <row r="1351" spans="2:12" x14ac:dyDescent="0.35">
      <c r="B1351" s="4" t="s">
        <v>2602</v>
      </c>
      <c r="C1351" s="4" t="s">
        <v>7081</v>
      </c>
      <c r="D1351" s="4" t="s">
        <v>5</v>
      </c>
      <c r="E1351" s="4" t="s">
        <v>24</v>
      </c>
      <c r="F1351" s="4" t="s">
        <v>31</v>
      </c>
      <c r="G1351" s="4" t="s">
        <v>8</v>
      </c>
      <c r="H1351" s="4" t="s">
        <v>86</v>
      </c>
      <c r="I1351" s="5" t="str">
        <f>IFERROR(VLOOKUP(Consulta1[[#This Row],[Pozo largo]],'Lista YPF'!$B$3:$C$358,2,FALSE),"NO")</f>
        <v>NO</v>
      </c>
      <c r="J1351" s="5" t="str">
        <f>IFERROR(VLOOKUP(Consulta1[[#This Row],[Pozo]],'Lista Oportunidades'!B:C,2,FALSE),"NO")</f>
        <v>NO</v>
      </c>
      <c r="K1351" s="5">
        <f>IFERROR(VLOOKUP(Consulta1[[#This Row],[Pozo largo]],Controles!B:H,7,FALSE),"NO")</f>
        <v>0.39100000000000001</v>
      </c>
      <c r="L1351" s="5">
        <f>IFERROR(VLOOKUP(Consulta1[[#This Row],[Pozo largo]],Controles!B:J,9,FALSE),"NO")</f>
        <v>0</v>
      </c>
    </row>
    <row r="1352" spans="2:12" x14ac:dyDescent="0.35">
      <c r="B1352" s="4" t="s">
        <v>2604</v>
      </c>
      <c r="C1352" s="4" t="s">
        <v>7082</v>
      </c>
      <c r="D1352" s="4" t="s">
        <v>5</v>
      </c>
      <c r="E1352" s="4" t="s">
        <v>30</v>
      </c>
      <c r="F1352" s="4" t="s">
        <v>31</v>
      </c>
      <c r="G1352" s="4" t="s">
        <v>32</v>
      </c>
      <c r="H1352" s="4" t="s">
        <v>80</v>
      </c>
      <c r="I1352" s="5" t="str">
        <f>IFERROR(VLOOKUP(Consulta1[[#This Row],[Pozo largo]],'Lista YPF'!$B$3:$C$358,2,FALSE),"NO")</f>
        <v>NO</v>
      </c>
      <c r="J1352" s="5" t="str">
        <f>IFERROR(VLOOKUP(Consulta1[[#This Row],[Pozo]],'Lista Oportunidades'!B:C,2,FALSE),"NO")</f>
        <v>NO</v>
      </c>
      <c r="K1352" s="5">
        <f>IFERROR(VLOOKUP(Consulta1[[#This Row],[Pozo largo]],Controles!B:H,7,FALSE),"NO")</f>
        <v>1.2370000000000001</v>
      </c>
      <c r="L1352" s="5">
        <f>IFERROR(VLOOKUP(Consulta1[[#This Row],[Pozo largo]],Controles!B:J,9,FALSE),"NO")</f>
        <v>0</v>
      </c>
    </row>
    <row r="1353" spans="2:12" x14ac:dyDescent="0.35">
      <c r="B1353" s="4" t="s">
        <v>2606</v>
      </c>
      <c r="C1353" s="4" t="s">
        <v>7083</v>
      </c>
      <c r="D1353" s="4" t="s">
        <v>5</v>
      </c>
      <c r="E1353" s="4" t="s">
        <v>12</v>
      </c>
      <c r="F1353" s="4" t="s">
        <v>83</v>
      </c>
      <c r="G1353" s="4" t="s">
        <v>13</v>
      </c>
      <c r="H1353" s="4" t="s">
        <v>86</v>
      </c>
      <c r="I1353" s="5" t="str">
        <f>IFERROR(VLOOKUP(Consulta1[[#This Row],[Pozo largo]],'Lista YPF'!$B$3:$C$358,2,FALSE),"NO")</f>
        <v>NO</v>
      </c>
      <c r="J1353" s="5" t="str">
        <f>IFERROR(VLOOKUP(Consulta1[[#This Row],[Pozo]],'Lista Oportunidades'!B:C,2,FALSE),"NO")</f>
        <v>NO</v>
      </c>
      <c r="K1353" s="5">
        <f>IFERROR(VLOOKUP(Consulta1[[#This Row],[Pozo largo]],Controles!B:H,7,FALSE),"NO")</f>
        <v>1.526</v>
      </c>
      <c r="L1353" s="5">
        <f>IFERROR(VLOOKUP(Consulta1[[#This Row],[Pozo largo]],Controles!B:J,9,FALSE),"NO")</f>
        <v>0</v>
      </c>
    </row>
    <row r="1354" spans="2:12" x14ac:dyDescent="0.35">
      <c r="B1354" s="4" t="s">
        <v>2608</v>
      </c>
      <c r="C1354" s="4" t="s">
        <v>7084</v>
      </c>
      <c r="D1354" s="4" t="s">
        <v>5</v>
      </c>
      <c r="E1354" s="4" t="s">
        <v>24</v>
      </c>
      <c r="F1354" s="4" t="s">
        <v>31</v>
      </c>
      <c r="G1354" s="4" t="s">
        <v>8</v>
      </c>
      <c r="H1354" s="4" t="s">
        <v>86</v>
      </c>
      <c r="I1354" s="5" t="str">
        <f>IFERROR(VLOOKUP(Consulta1[[#This Row],[Pozo largo]],'Lista YPF'!$B$3:$C$358,2,FALSE),"NO")</f>
        <v>NO</v>
      </c>
      <c r="J1354" s="5" t="str">
        <f>IFERROR(VLOOKUP(Consulta1[[#This Row],[Pozo]],'Lista Oportunidades'!B:C,2,FALSE),"NO")</f>
        <v>NO</v>
      </c>
      <c r="K1354" s="5">
        <f>IFERROR(VLOOKUP(Consulta1[[#This Row],[Pozo largo]],Controles!B:H,7,FALSE),"NO")</f>
        <v>0.79200000000000004</v>
      </c>
      <c r="L1354" s="5">
        <f>IFERROR(VLOOKUP(Consulta1[[#This Row],[Pozo largo]],Controles!B:J,9,FALSE),"NO")</f>
        <v>0</v>
      </c>
    </row>
    <row r="1355" spans="2:12" x14ac:dyDescent="0.35">
      <c r="B1355" s="4" t="s">
        <v>2610</v>
      </c>
      <c r="C1355" s="4" t="s">
        <v>7085</v>
      </c>
      <c r="D1355" s="4" t="s">
        <v>5</v>
      </c>
      <c r="E1355" s="4" t="s">
        <v>6</v>
      </c>
      <c r="F1355" s="4" t="s">
        <v>7</v>
      </c>
      <c r="G1355" s="4" t="s">
        <v>5718</v>
      </c>
      <c r="H1355" s="4" t="s">
        <v>86</v>
      </c>
      <c r="I1355" s="5" t="str">
        <f>IFERROR(VLOOKUP(Consulta1[[#This Row],[Pozo largo]],'Lista YPF'!$B$3:$C$358,2,FALSE),"NO")</f>
        <v>En lista de Abandono</v>
      </c>
      <c r="J1355" s="5" t="str">
        <f>IFERROR(VLOOKUP(Consulta1[[#This Row],[Pozo]],'Lista Oportunidades'!B:C,2,FALSE),"NO")</f>
        <v>NO</v>
      </c>
      <c r="K1355" s="5">
        <f>IFERROR(VLOOKUP(Consulta1[[#This Row],[Pozo largo]],Controles!B:H,7,FALSE),"NO")</f>
        <v>0.57500000000000007</v>
      </c>
      <c r="L1355" s="5">
        <f>IFERROR(VLOOKUP(Consulta1[[#This Row],[Pozo largo]],Controles!B:J,9,FALSE),"NO")</f>
        <v>0</v>
      </c>
    </row>
    <row r="1356" spans="2:12" x14ac:dyDescent="0.35">
      <c r="B1356" s="4" t="s">
        <v>2612</v>
      </c>
      <c r="C1356" s="4" t="s">
        <v>7086</v>
      </c>
      <c r="D1356" s="4" t="s">
        <v>5</v>
      </c>
      <c r="E1356" s="4" t="s">
        <v>12</v>
      </c>
      <c r="F1356" s="4" t="s">
        <v>28</v>
      </c>
      <c r="G1356" s="4" t="s">
        <v>13</v>
      </c>
      <c r="H1356" s="4" t="s">
        <v>141</v>
      </c>
      <c r="I1356" s="5" t="str">
        <f>IFERROR(VLOOKUP(Consulta1[[#This Row],[Pozo largo]],'Lista YPF'!$B$3:$C$358,2,FALSE),"NO")</f>
        <v>NO</v>
      </c>
      <c r="J1356" s="5" t="str">
        <f>IFERROR(VLOOKUP(Consulta1[[#This Row],[Pozo]],'Lista Oportunidades'!B:C,2,FALSE),"NO")</f>
        <v>NO</v>
      </c>
      <c r="K1356" s="5">
        <f>IFERROR(VLOOKUP(Consulta1[[#This Row],[Pozo largo]],Controles!B:H,7,FALSE),"NO")</f>
        <v>0</v>
      </c>
      <c r="L1356" s="5">
        <f>IFERROR(VLOOKUP(Consulta1[[#This Row],[Pozo largo]],Controles!B:J,9,FALSE),"NO")</f>
        <v>0</v>
      </c>
    </row>
    <row r="1357" spans="2:12" x14ac:dyDescent="0.35">
      <c r="B1357" s="4" t="s">
        <v>2614</v>
      </c>
      <c r="C1357" s="4" t="s">
        <v>7087</v>
      </c>
      <c r="D1357" s="4" t="s">
        <v>5</v>
      </c>
      <c r="E1357" s="4" t="s">
        <v>12</v>
      </c>
      <c r="F1357" s="4" t="s">
        <v>238</v>
      </c>
      <c r="G1357" s="4" t="s">
        <v>13</v>
      </c>
      <c r="H1357" s="4" t="s">
        <v>141</v>
      </c>
      <c r="I1357" s="5" t="str">
        <f>IFERROR(VLOOKUP(Consulta1[[#This Row],[Pozo largo]],'Lista YPF'!$B$3:$C$358,2,FALSE),"NO")</f>
        <v>NO</v>
      </c>
      <c r="J1357" s="5" t="str">
        <f>IFERROR(VLOOKUP(Consulta1[[#This Row],[Pozo]],'Lista Oportunidades'!B:C,2,FALSE),"NO")</f>
        <v>NO</v>
      </c>
      <c r="K1357" s="5">
        <f>IFERROR(VLOOKUP(Consulta1[[#This Row],[Pozo largo]],Controles!B:H,7,FALSE),"NO")</f>
        <v>1.6500000000000001</v>
      </c>
      <c r="L1357" s="5">
        <f>IFERROR(VLOOKUP(Consulta1[[#This Row],[Pozo largo]],Controles!B:J,9,FALSE),"NO")</f>
        <v>0</v>
      </c>
    </row>
    <row r="1358" spans="2:12" x14ac:dyDescent="0.35">
      <c r="B1358" s="4" t="s">
        <v>2616</v>
      </c>
      <c r="C1358" s="4" t="s">
        <v>7088</v>
      </c>
      <c r="D1358" s="4" t="s">
        <v>5</v>
      </c>
      <c r="E1358" s="4" t="s">
        <v>24</v>
      </c>
      <c r="F1358" s="4" t="s">
        <v>31</v>
      </c>
      <c r="G1358" s="4" t="s">
        <v>8</v>
      </c>
      <c r="H1358" s="4" t="s">
        <v>146</v>
      </c>
      <c r="I1358" s="5" t="str">
        <f>IFERROR(VLOOKUP(Consulta1[[#This Row],[Pozo largo]],'Lista YPF'!$B$3:$C$358,2,FALSE),"NO")</f>
        <v>NO</v>
      </c>
      <c r="J1358" s="5" t="str">
        <f>IFERROR(VLOOKUP(Consulta1[[#This Row],[Pozo]],'Lista Oportunidades'!B:C,2,FALSE),"NO")</f>
        <v>NO</v>
      </c>
      <c r="K1358" s="5">
        <f>IFERROR(VLOOKUP(Consulta1[[#This Row],[Pozo largo]],Controles!B:H,7,FALSE),"NO")</f>
        <v>0.63</v>
      </c>
      <c r="L1358" s="5">
        <f>IFERROR(VLOOKUP(Consulta1[[#This Row],[Pozo largo]],Controles!B:J,9,FALSE),"NO")</f>
        <v>0</v>
      </c>
    </row>
    <row r="1359" spans="2:12" x14ac:dyDescent="0.35">
      <c r="B1359" s="4" t="s">
        <v>2618</v>
      </c>
      <c r="C1359" s="4" t="s">
        <v>7089</v>
      </c>
      <c r="D1359" s="4" t="s">
        <v>5</v>
      </c>
      <c r="E1359" s="4" t="s">
        <v>30</v>
      </c>
      <c r="F1359" s="4" t="s">
        <v>31</v>
      </c>
      <c r="G1359" s="4" t="s">
        <v>32</v>
      </c>
      <c r="H1359" s="4" t="s">
        <v>290</v>
      </c>
      <c r="I1359" s="5" t="str">
        <f>IFERROR(VLOOKUP(Consulta1[[#This Row],[Pozo largo]],'Lista YPF'!$B$3:$C$358,2,FALSE),"NO")</f>
        <v>NO</v>
      </c>
      <c r="J1359" s="5" t="str">
        <f>IFERROR(VLOOKUP(Consulta1[[#This Row],[Pozo]],'Lista Oportunidades'!B:C,2,FALSE),"NO")</f>
        <v>NO</v>
      </c>
      <c r="K1359" s="5" t="str">
        <f>IFERROR(VLOOKUP(Consulta1[[#This Row],[Pozo largo]],Controles!B:H,7,FALSE),"NO")</f>
        <v>NO</v>
      </c>
      <c r="L1359" s="5" t="str">
        <f>IFERROR(VLOOKUP(Consulta1[[#This Row],[Pozo largo]],Controles!B:J,9,FALSE),"NO")</f>
        <v>NO</v>
      </c>
    </row>
    <row r="1360" spans="2:12" x14ac:dyDescent="0.35">
      <c r="B1360" s="4" t="s">
        <v>2619</v>
      </c>
      <c r="C1360" s="4" t="s">
        <v>7090</v>
      </c>
      <c r="D1360" s="4" t="s">
        <v>5</v>
      </c>
      <c r="E1360" s="4" t="s">
        <v>24</v>
      </c>
      <c r="F1360" s="4" t="s">
        <v>31</v>
      </c>
      <c r="G1360" s="4" t="s">
        <v>8</v>
      </c>
      <c r="H1360" s="4" t="s">
        <v>86</v>
      </c>
      <c r="I1360" s="5" t="str">
        <f>IFERROR(VLOOKUP(Consulta1[[#This Row],[Pozo largo]],'Lista YPF'!$B$3:$C$358,2,FALSE),"NO")</f>
        <v>NO</v>
      </c>
      <c r="J1360" s="5" t="str">
        <f>IFERROR(VLOOKUP(Consulta1[[#This Row],[Pozo]],'Lista Oportunidades'!B:C,2,FALSE),"NO")</f>
        <v>NO</v>
      </c>
      <c r="K1360" s="5" t="str">
        <f>IFERROR(VLOOKUP(Consulta1[[#This Row],[Pozo largo]],Controles!B:H,7,FALSE),"NO")</f>
        <v>NO</v>
      </c>
      <c r="L1360" s="5" t="str">
        <f>IFERROR(VLOOKUP(Consulta1[[#This Row],[Pozo largo]],Controles!B:J,9,FALSE),"NO")</f>
        <v>NO</v>
      </c>
    </row>
    <row r="1361" spans="2:12" x14ac:dyDescent="0.35">
      <c r="B1361" s="4" t="s">
        <v>2620</v>
      </c>
      <c r="C1361" s="4" t="s">
        <v>7091</v>
      </c>
      <c r="D1361" s="4" t="s">
        <v>5</v>
      </c>
      <c r="E1361" s="4" t="s">
        <v>6</v>
      </c>
      <c r="F1361" s="4" t="s">
        <v>28</v>
      </c>
      <c r="G1361" s="4" t="s">
        <v>5718</v>
      </c>
      <c r="H1361" s="4" t="s">
        <v>71</v>
      </c>
      <c r="I1361" s="5" t="str">
        <f>IFERROR(VLOOKUP(Consulta1[[#This Row],[Pozo largo]],'Lista YPF'!$B$3:$C$358,2,FALSE),"NO")</f>
        <v>En lista de Abandono</v>
      </c>
      <c r="J1361" s="5" t="str">
        <f>IFERROR(VLOOKUP(Consulta1[[#This Row],[Pozo]],'Lista Oportunidades'!B:C,2,FALSE),"NO")</f>
        <v>NO</v>
      </c>
      <c r="K1361" s="5">
        <f>IFERROR(VLOOKUP(Consulta1[[#This Row],[Pozo largo]],Controles!B:H,7,FALSE),"NO")</f>
        <v>0</v>
      </c>
      <c r="L1361" s="5">
        <f>IFERROR(VLOOKUP(Consulta1[[#This Row],[Pozo largo]],Controles!B:J,9,FALSE),"NO")</f>
        <v>0</v>
      </c>
    </row>
    <row r="1362" spans="2:12" x14ac:dyDescent="0.35">
      <c r="B1362" s="4" t="s">
        <v>2622</v>
      </c>
      <c r="C1362" s="4" t="s">
        <v>7092</v>
      </c>
      <c r="D1362" s="4" t="s">
        <v>5</v>
      </c>
      <c r="E1362" s="4" t="s">
        <v>12</v>
      </c>
      <c r="F1362" s="4" t="s">
        <v>28</v>
      </c>
      <c r="G1362" s="4" t="s">
        <v>13</v>
      </c>
      <c r="H1362" s="4" t="s">
        <v>71</v>
      </c>
      <c r="I1362" s="5" t="str">
        <f>IFERROR(VLOOKUP(Consulta1[[#This Row],[Pozo largo]],'Lista YPF'!$B$3:$C$358,2,FALSE),"NO")</f>
        <v>NO</v>
      </c>
      <c r="J1362" s="5" t="str">
        <f>IFERROR(VLOOKUP(Consulta1[[#This Row],[Pozo]],'Lista Oportunidades'!B:C,2,FALSE),"NO")</f>
        <v>NO</v>
      </c>
      <c r="K1362" s="5">
        <f>IFERROR(VLOOKUP(Consulta1[[#This Row],[Pozo largo]],Controles!B:H,7,FALSE),"NO")</f>
        <v>0</v>
      </c>
      <c r="L1362" s="5">
        <f>IFERROR(VLOOKUP(Consulta1[[#This Row],[Pozo largo]],Controles!B:J,9,FALSE),"NO")</f>
        <v>0</v>
      </c>
    </row>
    <row r="1363" spans="2:12" x14ac:dyDescent="0.35">
      <c r="B1363" s="4" t="s">
        <v>2624</v>
      </c>
      <c r="C1363" s="4" t="s">
        <v>7093</v>
      </c>
      <c r="D1363" s="4" t="s">
        <v>5</v>
      </c>
      <c r="E1363" s="4" t="s">
        <v>30</v>
      </c>
      <c r="F1363" s="4" t="s">
        <v>31</v>
      </c>
      <c r="G1363" s="4" t="s">
        <v>32</v>
      </c>
      <c r="H1363" s="4" t="s">
        <v>33</v>
      </c>
      <c r="I1363" s="5" t="str">
        <f>IFERROR(VLOOKUP(Consulta1[[#This Row],[Pozo largo]],'Lista YPF'!$B$3:$C$358,2,FALSE),"NO")</f>
        <v>NO</v>
      </c>
      <c r="J1363" s="5" t="str">
        <f>IFERROR(VLOOKUP(Consulta1[[#This Row],[Pozo]],'Lista Oportunidades'!B:C,2,FALSE),"NO")</f>
        <v>NO</v>
      </c>
      <c r="K1363" s="5">
        <f>IFERROR(VLOOKUP(Consulta1[[#This Row],[Pozo largo]],Controles!B:H,7,FALSE),"NO")</f>
        <v>0</v>
      </c>
      <c r="L1363" s="5">
        <f>IFERROR(VLOOKUP(Consulta1[[#This Row],[Pozo largo]],Controles!B:J,9,FALSE),"NO")</f>
        <v>0</v>
      </c>
    </row>
    <row r="1364" spans="2:12" x14ac:dyDescent="0.35">
      <c r="B1364" s="4" t="s">
        <v>2626</v>
      </c>
      <c r="C1364" s="4" t="s">
        <v>7094</v>
      </c>
      <c r="D1364" s="4" t="s">
        <v>5</v>
      </c>
      <c r="E1364" s="4" t="s">
        <v>12</v>
      </c>
      <c r="F1364" s="4" t="s">
        <v>238</v>
      </c>
      <c r="G1364" s="4" t="s">
        <v>13</v>
      </c>
      <c r="H1364" s="4" t="s">
        <v>36</v>
      </c>
      <c r="I1364" s="5" t="str">
        <f>IFERROR(VLOOKUP(Consulta1[[#This Row],[Pozo largo]],'Lista YPF'!$B$3:$C$358,2,FALSE),"NO")</f>
        <v>NO</v>
      </c>
      <c r="J1364" s="5" t="str">
        <f>IFERROR(VLOOKUP(Consulta1[[#This Row],[Pozo]],'Lista Oportunidades'!B:C,2,FALSE),"NO")</f>
        <v>NO</v>
      </c>
      <c r="K1364" s="5">
        <f>IFERROR(VLOOKUP(Consulta1[[#This Row],[Pozo largo]],Controles!B:H,7,FALSE),"NO")</f>
        <v>1.05</v>
      </c>
      <c r="L1364" s="5">
        <f>IFERROR(VLOOKUP(Consulta1[[#This Row],[Pozo largo]],Controles!B:J,9,FALSE),"NO")</f>
        <v>0</v>
      </c>
    </row>
    <row r="1365" spans="2:12" x14ac:dyDescent="0.35">
      <c r="B1365" s="4" t="s">
        <v>2628</v>
      </c>
      <c r="C1365" s="4" t="s">
        <v>7095</v>
      </c>
      <c r="D1365" s="4" t="s">
        <v>5</v>
      </c>
      <c r="E1365" s="4" t="s">
        <v>12</v>
      </c>
      <c r="F1365" s="4" t="s">
        <v>238</v>
      </c>
      <c r="G1365" s="4" t="s">
        <v>13</v>
      </c>
      <c r="H1365" s="4" t="s">
        <v>21</v>
      </c>
      <c r="I1365" s="5" t="str">
        <f>IFERROR(VLOOKUP(Consulta1[[#This Row],[Pozo largo]],'Lista YPF'!$B$3:$C$358,2,FALSE),"NO")</f>
        <v>NO</v>
      </c>
      <c r="J1365" s="5" t="str">
        <f>IFERROR(VLOOKUP(Consulta1[[#This Row],[Pozo]],'Lista Oportunidades'!B:C,2,FALSE),"NO")</f>
        <v>NO</v>
      </c>
      <c r="K1365" s="5">
        <f>IFERROR(VLOOKUP(Consulta1[[#This Row],[Pozo largo]],Controles!B:H,7,FALSE),"NO")</f>
        <v>4.92</v>
      </c>
      <c r="L1365" s="5">
        <f>IFERROR(VLOOKUP(Consulta1[[#This Row],[Pozo largo]],Controles!B:J,9,FALSE),"NO")</f>
        <v>0</v>
      </c>
    </row>
    <row r="1366" spans="2:12" x14ac:dyDescent="0.35">
      <c r="B1366" s="4" t="s">
        <v>2630</v>
      </c>
      <c r="C1366" s="4" t="s">
        <v>7096</v>
      </c>
      <c r="D1366" s="4" t="s">
        <v>5</v>
      </c>
      <c r="E1366" s="4" t="s">
        <v>6</v>
      </c>
      <c r="F1366" s="4" t="s">
        <v>7</v>
      </c>
      <c r="G1366" s="4" t="s">
        <v>11385</v>
      </c>
      <c r="H1366" s="4" t="s">
        <v>21</v>
      </c>
      <c r="I1366" s="5" t="str">
        <f>IFERROR(VLOOKUP(Consulta1[[#This Row],[Pozo largo]],'Lista YPF'!$B$3:$C$358,2,FALSE),"NO")</f>
        <v>NO</v>
      </c>
      <c r="J1366" s="5" t="str">
        <f>IFERROR(VLOOKUP(Consulta1[[#This Row],[Pozo]],'Lista Oportunidades'!B:C,2,FALSE),"NO")</f>
        <v>NO</v>
      </c>
      <c r="K1366" s="5">
        <f>IFERROR(VLOOKUP(Consulta1[[#This Row],[Pozo largo]],Controles!B:H,7,FALSE),"NO")</f>
        <v>1.68</v>
      </c>
      <c r="L1366" s="5">
        <f>IFERROR(VLOOKUP(Consulta1[[#This Row],[Pozo largo]],Controles!B:J,9,FALSE),"NO")</f>
        <v>0</v>
      </c>
    </row>
    <row r="1367" spans="2:12" x14ac:dyDescent="0.35">
      <c r="B1367" s="4" t="s">
        <v>2632</v>
      </c>
      <c r="C1367" s="4" t="s">
        <v>7097</v>
      </c>
      <c r="D1367" s="4" t="s">
        <v>5</v>
      </c>
      <c r="E1367" s="4" t="s">
        <v>12</v>
      </c>
      <c r="F1367" s="4" t="s">
        <v>238</v>
      </c>
      <c r="G1367" s="4" t="s">
        <v>13</v>
      </c>
      <c r="H1367" s="4" t="s">
        <v>33</v>
      </c>
      <c r="I1367" s="5" t="str">
        <f>IFERROR(VLOOKUP(Consulta1[[#This Row],[Pozo largo]],'Lista YPF'!$B$3:$C$358,2,FALSE),"NO")</f>
        <v>NO</v>
      </c>
      <c r="J1367" s="5" t="str">
        <f>IFERROR(VLOOKUP(Consulta1[[#This Row],[Pozo]],'Lista Oportunidades'!B:C,2,FALSE),"NO")</f>
        <v>NO</v>
      </c>
      <c r="K1367" s="5">
        <f>IFERROR(VLOOKUP(Consulta1[[#This Row],[Pozo largo]],Controles!B:H,7,FALSE),"NO")</f>
        <v>4.2990000000000004</v>
      </c>
      <c r="L1367" s="5">
        <f>IFERROR(VLOOKUP(Consulta1[[#This Row],[Pozo largo]],Controles!B:J,9,FALSE),"NO")</f>
        <v>0</v>
      </c>
    </row>
    <row r="1368" spans="2:12" x14ac:dyDescent="0.35">
      <c r="B1368" s="4" t="s">
        <v>2634</v>
      </c>
      <c r="C1368" s="4" t="s">
        <v>7098</v>
      </c>
      <c r="D1368" s="4" t="s">
        <v>5</v>
      </c>
      <c r="E1368" s="4" t="s">
        <v>30</v>
      </c>
      <c r="F1368" s="4" t="s">
        <v>31</v>
      </c>
      <c r="G1368" s="4" t="s">
        <v>32</v>
      </c>
      <c r="H1368" s="4" t="s">
        <v>33</v>
      </c>
      <c r="I1368" s="5" t="str">
        <f>IFERROR(VLOOKUP(Consulta1[[#This Row],[Pozo largo]],'Lista YPF'!$B$3:$C$358,2,FALSE),"NO")</f>
        <v>NO</v>
      </c>
      <c r="J1368" s="5" t="str">
        <f>IFERROR(VLOOKUP(Consulta1[[#This Row],[Pozo]],'Lista Oportunidades'!B:C,2,FALSE),"NO")</f>
        <v>NO</v>
      </c>
      <c r="K1368" s="5">
        <f>IFERROR(VLOOKUP(Consulta1[[#This Row],[Pozo largo]],Controles!B:H,7,FALSE),"NO")</f>
        <v>0.56000000000000005</v>
      </c>
      <c r="L1368" s="5">
        <f>IFERROR(VLOOKUP(Consulta1[[#This Row],[Pozo largo]],Controles!B:J,9,FALSE),"NO")</f>
        <v>0</v>
      </c>
    </row>
    <row r="1369" spans="2:12" x14ac:dyDescent="0.35">
      <c r="B1369" s="4" t="s">
        <v>2636</v>
      </c>
      <c r="C1369" s="4" t="s">
        <v>7099</v>
      </c>
      <c r="D1369" s="4" t="s">
        <v>5</v>
      </c>
      <c r="E1369" s="4" t="s">
        <v>30</v>
      </c>
      <c r="F1369" s="4" t="s">
        <v>31</v>
      </c>
      <c r="G1369" s="4" t="s">
        <v>32</v>
      </c>
      <c r="H1369" s="4" t="s">
        <v>36</v>
      </c>
      <c r="I1369" s="5" t="str">
        <f>IFERROR(VLOOKUP(Consulta1[[#This Row],[Pozo largo]],'Lista YPF'!$B$3:$C$358,2,FALSE),"NO")</f>
        <v>NO</v>
      </c>
      <c r="J1369" s="5" t="str">
        <f>IFERROR(VLOOKUP(Consulta1[[#This Row],[Pozo]],'Lista Oportunidades'!B:C,2,FALSE),"NO")</f>
        <v>NO</v>
      </c>
      <c r="K1369" s="5" t="str">
        <f>IFERROR(VLOOKUP(Consulta1[[#This Row],[Pozo largo]],Controles!B:H,7,FALSE),"NO")</f>
        <v>NO</v>
      </c>
      <c r="L1369" s="5" t="str">
        <f>IFERROR(VLOOKUP(Consulta1[[#This Row],[Pozo largo]],Controles!B:J,9,FALSE),"NO")</f>
        <v>NO</v>
      </c>
    </row>
    <row r="1370" spans="2:12" x14ac:dyDescent="0.35">
      <c r="B1370" s="4" t="s">
        <v>2637</v>
      </c>
      <c r="C1370" s="4" t="s">
        <v>7100</v>
      </c>
      <c r="D1370" s="4" t="s">
        <v>5</v>
      </c>
      <c r="E1370" s="4" t="s">
        <v>12</v>
      </c>
      <c r="F1370" s="4" t="s">
        <v>7</v>
      </c>
      <c r="G1370" s="4" t="s">
        <v>13</v>
      </c>
      <c r="H1370" s="4" t="s">
        <v>254</v>
      </c>
      <c r="I1370" s="5" t="str">
        <f>IFERROR(VLOOKUP(Consulta1[[#This Row],[Pozo largo]],'Lista YPF'!$B$3:$C$358,2,FALSE),"NO")</f>
        <v>NO</v>
      </c>
      <c r="J1370" s="5" t="str">
        <f>IFERROR(VLOOKUP(Consulta1[[#This Row],[Pozo]],'Lista Oportunidades'!B:C,2,FALSE),"NO")</f>
        <v>NO</v>
      </c>
      <c r="K1370" s="5">
        <f>IFERROR(VLOOKUP(Consulta1[[#This Row],[Pozo largo]],Controles!B:H,7,FALSE),"NO")</f>
        <v>0.40800000000000003</v>
      </c>
      <c r="L1370" s="5">
        <f>IFERROR(VLOOKUP(Consulta1[[#This Row],[Pozo largo]],Controles!B:J,9,FALSE),"NO")</f>
        <v>0</v>
      </c>
    </row>
    <row r="1371" spans="2:12" x14ac:dyDescent="0.35">
      <c r="B1371" s="4" t="s">
        <v>2639</v>
      </c>
      <c r="C1371" s="4" t="s">
        <v>7101</v>
      </c>
      <c r="D1371" s="4" t="s">
        <v>5</v>
      </c>
      <c r="E1371" s="4" t="s">
        <v>12</v>
      </c>
      <c r="F1371" s="4" t="s">
        <v>25</v>
      </c>
      <c r="G1371" s="4" t="s">
        <v>13</v>
      </c>
      <c r="H1371" s="4" t="s">
        <v>21</v>
      </c>
      <c r="I1371" s="5" t="str">
        <f>IFERROR(VLOOKUP(Consulta1[[#This Row],[Pozo largo]],'Lista YPF'!$B$3:$C$358,2,FALSE),"NO")</f>
        <v>NO</v>
      </c>
      <c r="J1371" s="5" t="str">
        <f>IFERROR(VLOOKUP(Consulta1[[#This Row],[Pozo]],'Lista Oportunidades'!B:C,2,FALSE),"NO")</f>
        <v>Oportunidad</v>
      </c>
      <c r="K1371" s="5">
        <f>IFERROR(VLOOKUP(Consulta1[[#This Row],[Pozo largo]],Controles!B:H,7,FALSE),"NO")</f>
        <v>0.221</v>
      </c>
      <c r="L1371" s="5">
        <f>IFERROR(VLOOKUP(Consulta1[[#This Row],[Pozo largo]],Controles!B:J,9,FALSE),"NO")</f>
        <v>0</v>
      </c>
    </row>
    <row r="1372" spans="2:12" x14ac:dyDescent="0.35">
      <c r="B1372" s="4" t="s">
        <v>2641</v>
      </c>
      <c r="C1372" s="4" t="s">
        <v>7102</v>
      </c>
      <c r="D1372" s="4" t="s">
        <v>5</v>
      </c>
      <c r="E1372" s="4" t="s">
        <v>30</v>
      </c>
      <c r="F1372" s="4" t="s">
        <v>31</v>
      </c>
      <c r="G1372" s="4" t="s">
        <v>32</v>
      </c>
      <c r="H1372" s="4" t="s">
        <v>33</v>
      </c>
      <c r="I1372" s="5" t="str">
        <f>IFERROR(VLOOKUP(Consulta1[[#This Row],[Pozo largo]],'Lista YPF'!$B$3:$C$358,2,FALSE),"NO")</f>
        <v>NO</v>
      </c>
      <c r="J1372" s="5" t="str">
        <f>IFERROR(VLOOKUP(Consulta1[[#This Row],[Pozo]],'Lista Oportunidades'!B:C,2,FALSE),"NO")</f>
        <v>NO</v>
      </c>
      <c r="K1372" s="5" t="str">
        <f>IFERROR(VLOOKUP(Consulta1[[#This Row],[Pozo largo]],Controles!B:H,7,FALSE),"NO")</f>
        <v>NO</v>
      </c>
      <c r="L1372" s="5" t="str">
        <f>IFERROR(VLOOKUP(Consulta1[[#This Row],[Pozo largo]],Controles!B:J,9,FALSE),"NO")</f>
        <v>NO</v>
      </c>
    </row>
    <row r="1373" spans="2:12" x14ac:dyDescent="0.35">
      <c r="B1373" s="4" t="s">
        <v>2642</v>
      </c>
      <c r="C1373" s="4" t="s">
        <v>7103</v>
      </c>
      <c r="D1373" s="4" t="s">
        <v>5</v>
      </c>
      <c r="E1373" s="4" t="s">
        <v>12</v>
      </c>
      <c r="F1373" s="4" t="s">
        <v>25</v>
      </c>
      <c r="G1373" s="4" t="s">
        <v>13</v>
      </c>
      <c r="H1373" s="4" t="s">
        <v>86</v>
      </c>
      <c r="I1373" s="5" t="str">
        <f>IFERROR(VLOOKUP(Consulta1[[#This Row],[Pozo largo]],'Lista YPF'!$B$3:$C$358,2,FALSE),"NO")</f>
        <v>NO</v>
      </c>
      <c r="J1373" s="5" t="str">
        <f>IFERROR(VLOOKUP(Consulta1[[#This Row],[Pozo]],'Lista Oportunidades'!B:C,2,FALSE),"NO")</f>
        <v>NO</v>
      </c>
      <c r="K1373" s="5">
        <f>IFERROR(VLOOKUP(Consulta1[[#This Row],[Pozo largo]],Controles!B:H,7,FALSE),"NO")</f>
        <v>0.21100000000000002</v>
      </c>
      <c r="L1373" s="5">
        <f>IFERROR(VLOOKUP(Consulta1[[#This Row],[Pozo largo]],Controles!B:J,9,FALSE),"NO")</f>
        <v>0</v>
      </c>
    </row>
    <row r="1374" spans="2:12" x14ac:dyDescent="0.35">
      <c r="B1374" s="4" t="s">
        <v>2644</v>
      </c>
      <c r="C1374" s="4" t="s">
        <v>7104</v>
      </c>
      <c r="D1374" s="4" t="s">
        <v>5</v>
      </c>
      <c r="E1374" s="4" t="s">
        <v>30</v>
      </c>
      <c r="F1374" s="4" t="s">
        <v>31</v>
      </c>
      <c r="G1374" s="4" t="s">
        <v>32</v>
      </c>
      <c r="H1374" s="4" t="s">
        <v>141</v>
      </c>
      <c r="I1374" s="5" t="str">
        <f>IFERROR(VLOOKUP(Consulta1[[#This Row],[Pozo largo]],'Lista YPF'!$B$3:$C$358,2,FALSE),"NO")</f>
        <v>NO</v>
      </c>
      <c r="J1374" s="5" t="str">
        <f>IFERROR(VLOOKUP(Consulta1[[#This Row],[Pozo]],'Lista Oportunidades'!B:C,2,FALSE),"NO")</f>
        <v>NO</v>
      </c>
      <c r="K1374" s="5" t="str">
        <f>IFERROR(VLOOKUP(Consulta1[[#This Row],[Pozo largo]],Controles!B:H,7,FALSE),"NO")</f>
        <v>NO</v>
      </c>
      <c r="L1374" s="5" t="str">
        <f>IFERROR(VLOOKUP(Consulta1[[#This Row],[Pozo largo]],Controles!B:J,9,FALSE),"NO")</f>
        <v>NO</v>
      </c>
    </row>
    <row r="1375" spans="2:12" x14ac:dyDescent="0.35">
      <c r="B1375" s="4" t="s">
        <v>2645</v>
      </c>
      <c r="C1375" s="4" t="s">
        <v>7105</v>
      </c>
      <c r="D1375" s="4" t="s">
        <v>5</v>
      </c>
      <c r="E1375" s="4" t="s">
        <v>24</v>
      </c>
      <c r="F1375" s="4" t="s">
        <v>31</v>
      </c>
      <c r="G1375" s="4" t="s">
        <v>8</v>
      </c>
      <c r="H1375" s="4" t="s">
        <v>185</v>
      </c>
      <c r="I1375" s="5" t="str">
        <f>IFERROR(VLOOKUP(Consulta1[[#This Row],[Pozo largo]],'Lista YPF'!$B$3:$C$358,2,FALSE),"NO")</f>
        <v>NO</v>
      </c>
      <c r="J1375" s="5" t="str">
        <f>IFERROR(VLOOKUP(Consulta1[[#This Row],[Pozo]],'Lista Oportunidades'!B:C,2,FALSE),"NO")</f>
        <v>NO</v>
      </c>
      <c r="K1375" s="5">
        <f>IFERROR(VLOOKUP(Consulta1[[#This Row],[Pozo largo]],Controles!B:H,7,FALSE),"NO")</f>
        <v>0.13300000000000001</v>
      </c>
      <c r="L1375" s="5">
        <f>IFERROR(VLOOKUP(Consulta1[[#This Row],[Pozo largo]],Controles!B:J,9,FALSE),"NO")</f>
        <v>0</v>
      </c>
    </row>
    <row r="1376" spans="2:12" x14ac:dyDescent="0.35">
      <c r="B1376" s="4" t="s">
        <v>2647</v>
      </c>
      <c r="C1376" s="4" t="s">
        <v>7106</v>
      </c>
      <c r="D1376" s="4" t="s">
        <v>5</v>
      </c>
      <c r="E1376" s="4" t="s">
        <v>30</v>
      </c>
      <c r="F1376" s="4" t="s">
        <v>31</v>
      </c>
      <c r="G1376" s="4" t="s">
        <v>32</v>
      </c>
      <c r="H1376" s="4" t="s">
        <v>91</v>
      </c>
      <c r="I1376" s="5" t="str">
        <f>IFERROR(VLOOKUP(Consulta1[[#This Row],[Pozo largo]],'Lista YPF'!$B$3:$C$358,2,FALSE),"NO")</f>
        <v>NO</v>
      </c>
      <c r="J1376" s="5" t="str">
        <f>IFERROR(VLOOKUP(Consulta1[[#This Row],[Pozo]],'Lista Oportunidades'!B:C,2,FALSE),"NO")</f>
        <v>NO</v>
      </c>
      <c r="K1376" s="5" t="str">
        <f>IFERROR(VLOOKUP(Consulta1[[#This Row],[Pozo largo]],Controles!B:H,7,FALSE),"NO")</f>
        <v>NO</v>
      </c>
      <c r="L1376" s="5" t="str">
        <f>IFERROR(VLOOKUP(Consulta1[[#This Row],[Pozo largo]],Controles!B:J,9,FALSE),"NO")</f>
        <v>NO</v>
      </c>
    </row>
    <row r="1377" spans="2:12" x14ac:dyDescent="0.35">
      <c r="B1377" s="4" t="s">
        <v>2648</v>
      </c>
      <c r="C1377" s="4" t="s">
        <v>7107</v>
      </c>
      <c r="D1377" s="4" t="s">
        <v>5</v>
      </c>
      <c r="E1377" s="4" t="s">
        <v>57</v>
      </c>
      <c r="F1377" s="4" t="s">
        <v>31</v>
      </c>
      <c r="G1377" s="4" t="s">
        <v>8</v>
      </c>
      <c r="H1377" s="4" t="s">
        <v>86</v>
      </c>
      <c r="I1377" s="5" t="str">
        <f>IFERROR(VLOOKUP(Consulta1[[#This Row],[Pozo largo]],'Lista YPF'!$B$3:$C$358,2,FALSE),"NO")</f>
        <v>NO</v>
      </c>
      <c r="J1377" s="5" t="str">
        <f>IFERROR(VLOOKUP(Consulta1[[#This Row],[Pozo]],'Lista Oportunidades'!B:C,2,FALSE),"NO")</f>
        <v>NO</v>
      </c>
      <c r="K1377" s="5" t="str">
        <f>IFERROR(VLOOKUP(Consulta1[[#This Row],[Pozo largo]],Controles!B:H,7,FALSE),"NO")</f>
        <v>NO</v>
      </c>
      <c r="L1377" s="5" t="str">
        <f>IFERROR(VLOOKUP(Consulta1[[#This Row],[Pozo largo]],Controles!B:J,9,FALSE),"NO")</f>
        <v>NO</v>
      </c>
    </row>
    <row r="1378" spans="2:12" x14ac:dyDescent="0.35">
      <c r="B1378" s="4" t="s">
        <v>2649</v>
      </c>
      <c r="C1378" s="4" t="s">
        <v>7108</v>
      </c>
      <c r="D1378" s="4" t="s">
        <v>5</v>
      </c>
      <c r="E1378" s="4" t="s">
        <v>12</v>
      </c>
      <c r="F1378" s="4" t="s">
        <v>25</v>
      </c>
      <c r="G1378" s="4" t="s">
        <v>13</v>
      </c>
      <c r="H1378" s="4" t="s">
        <v>91</v>
      </c>
      <c r="I1378" s="5" t="str">
        <f>IFERROR(VLOOKUP(Consulta1[[#This Row],[Pozo largo]],'Lista YPF'!$B$3:$C$358,2,FALSE),"NO")</f>
        <v>NO</v>
      </c>
      <c r="J1378" s="5" t="str">
        <f>IFERROR(VLOOKUP(Consulta1[[#This Row],[Pozo]],'Lista Oportunidades'!B:C,2,FALSE),"NO")</f>
        <v>NO</v>
      </c>
      <c r="K1378" s="5">
        <f>IFERROR(VLOOKUP(Consulta1[[#This Row],[Pozo largo]],Controles!B:H,7,FALSE),"NO")</f>
        <v>0.10400000000000001</v>
      </c>
      <c r="L1378" s="5">
        <f>IFERROR(VLOOKUP(Consulta1[[#This Row],[Pozo largo]],Controles!B:J,9,FALSE),"NO")</f>
        <v>0</v>
      </c>
    </row>
    <row r="1379" spans="2:12" x14ac:dyDescent="0.35">
      <c r="B1379" s="4" t="s">
        <v>2651</v>
      </c>
      <c r="C1379" s="4" t="s">
        <v>7109</v>
      </c>
      <c r="D1379" s="4" t="s">
        <v>5</v>
      </c>
      <c r="E1379" s="4" t="s">
        <v>30</v>
      </c>
      <c r="F1379" s="4" t="s">
        <v>31</v>
      </c>
      <c r="G1379" s="4" t="s">
        <v>32</v>
      </c>
      <c r="H1379" s="4" t="s">
        <v>80</v>
      </c>
      <c r="I1379" s="5" t="str">
        <f>IFERROR(VLOOKUP(Consulta1[[#This Row],[Pozo largo]],'Lista YPF'!$B$3:$C$358,2,FALSE),"NO")</f>
        <v>NO</v>
      </c>
      <c r="J1379" s="5" t="str">
        <f>IFERROR(VLOOKUP(Consulta1[[#This Row],[Pozo]],'Lista Oportunidades'!B:C,2,FALSE),"NO")</f>
        <v>NO</v>
      </c>
      <c r="K1379" s="5">
        <f>IFERROR(VLOOKUP(Consulta1[[#This Row],[Pozo largo]],Controles!B:H,7,FALSE),"NO")</f>
        <v>0</v>
      </c>
      <c r="L1379" s="5">
        <f>IFERROR(VLOOKUP(Consulta1[[#This Row],[Pozo largo]],Controles!B:J,9,FALSE),"NO")</f>
        <v>0</v>
      </c>
    </row>
    <row r="1380" spans="2:12" x14ac:dyDescent="0.35">
      <c r="B1380" s="4" t="s">
        <v>2653</v>
      </c>
      <c r="C1380" s="4" t="s">
        <v>7110</v>
      </c>
      <c r="D1380" s="4" t="s">
        <v>5</v>
      </c>
      <c r="E1380" s="4" t="s">
        <v>24</v>
      </c>
      <c r="F1380" s="4" t="s">
        <v>31</v>
      </c>
      <c r="G1380" s="4" t="s">
        <v>8</v>
      </c>
      <c r="H1380" s="4" t="s">
        <v>141</v>
      </c>
      <c r="I1380" s="5" t="str">
        <f>IFERROR(VLOOKUP(Consulta1[[#This Row],[Pozo largo]],'Lista YPF'!$B$3:$C$358,2,FALSE),"NO")</f>
        <v>NO</v>
      </c>
      <c r="J1380" s="5" t="str">
        <f>IFERROR(VLOOKUP(Consulta1[[#This Row],[Pozo]],'Lista Oportunidades'!B:C,2,FALSE),"NO")</f>
        <v>NO</v>
      </c>
      <c r="K1380" s="5" t="str">
        <f>IFERROR(VLOOKUP(Consulta1[[#This Row],[Pozo largo]],Controles!B:H,7,FALSE),"NO")</f>
        <v>NO</v>
      </c>
      <c r="L1380" s="5" t="str">
        <f>IFERROR(VLOOKUP(Consulta1[[#This Row],[Pozo largo]],Controles!B:J,9,FALSE),"NO")</f>
        <v>NO</v>
      </c>
    </row>
    <row r="1381" spans="2:12" x14ac:dyDescent="0.35">
      <c r="B1381" s="4" t="s">
        <v>2654</v>
      </c>
      <c r="C1381" s="4" t="s">
        <v>7111</v>
      </c>
      <c r="D1381" s="4" t="s">
        <v>5</v>
      </c>
      <c r="E1381" s="4" t="s">
        <v>6</v>
      </c>
      <c r="F1381" s="4" t="s">
        <v>28</v>
      </c>
      <c r="G1381" s="4" t="s">
        <v>8</v>
      </c>
      <c r="H1381" s="4" t="s">
        <v>185</v>
      </c>
      <c r="I1381" s="5" t="str">
        <f>IFERROR(VLOOKUP(Consulta1[[#This Row],[Pozo largo]],'Lista YPF'!$B$3:$C$358,2,FALSE),"NO")</f>
        <v>NO</v>
      </c>
      <c r="J1381" s="5" t="str">
        <f>IFERROR(VLOOKUP(Consulta1[[#This Row],[Pozo]],'Lista Oportunidades'!B:C,2,FALSE),"NO")</f>
        <v>NO</v>
      </c>
      <c r="K1381" s="5">
        <f>IFERROR(VLOOKUP(Consulta1[[#This Row],[Pozo largo]],Controles!B:H,7,FALSE),"NO")</f>
        <v>0</v>
      </c>
      <c r="L1381" s="5">
        <f>IFERROR(VLOOKUP(Consulta1[[#This Row],[Pozo largo]],Controles!B:J,9,FALSE),"NO")</f>
        <v>0</v>
      </c>
    </row>
    <row r="1382" spans="2:12" x14ac:dyDescent="0.35">
      <c r="B1382" s="4" t="s">
        <v>2656</v>
      </c>
      <c r="C1382" s="4" t="s">
        <v>7112</v>
      </c>
      <c r="D1382" s="4" t="s">
        <v>5</v>
      </c>
      <c r="E1382" s="4" t="s">
        <v>12</v>
      </c>
      <c r="F1382" s="4" t="s">
        <v>7</v>
      </c>
      <c r="G1382" s="4" t="s">
        <v>13</v>
      </c>
      <c r="H1382" s="4" t="s">
        <v>185</v>
      </c>
      <c r="I1382" s="5" t="str">
        <f>IFERROR(VLOOKUP(Consulta1[[#This Row],[Pozo largo]],'Lista YPF'!$B$3:$C$358,2,FALSE),"NO")</f>
        <v>NO</v>
      </c>
      <c r="J1382" s="5" t="str">
        <f>IFERROR(VLOOKUP(Consulta1[[#This Row],[Pozo]],'Lista Oportunidades'!B:C,2,FALSE),"NO")</f>
        <v>NO</v>
      </c>
      <c r="K1382" s="5">
        <f>IFERROR(VLOOKUP(Consulta1[[#This Row],[Pozo largo]],Controles!B:H,7,FALSE),"NO")</f>
        <v>1.254</v>
      </c>
      <c r="L1382" s="5">
        <f>IFERROR(VLOOKUP(Consulta1[[#This Row],[Pozo largo]],Controles!B:J,9,FALSE),"NO")</f>
        <v>0</v>
      </c>
    </row>
    <row r="1383" spans="2:12" x14ac:dyDescent="0.35">
      <c r="B1383" s="4" t="s">
        <v>2658</v>
      </c>
      <c r="C1383" s="4" t="s">
        <v>7113</v>
      </c>
      <c r="D1383" s="4" t="s">
        <v>5</v>
      </c>
      <c r="E1383" s="4" t="s">
        <v>6</v>
      </c>
      <c r="F1383" s="4" t="s">
        <v>28</v>
      </c>
      <c r="G1383" s="4" t="s">
        <v>5718</v>
      </c>
      <c r="H1383" s="4" t="s">
        <v>141</v>
      </c>
      <c r="I1383" s="5" t="str">
        <f>IFERROR(VLOOKUP(Consulta1[[#This Row],[Pozo largo]],'Lista YPF'!$B$3:$C$358,2,FALSE),"NO")</f>
        <v>En lista de Abandono</v>
      </c>
      <c r="J1383" s="5" t="str">
        <f>IFERROR(VLOOKUP(Consulta1[[#This Row],[Pozo]],'Lista Oportunidades'!B:C,2,FALSE),"NO")</f>
        <v>NO</v>
      </c>
      <c r="K1383" s="5">
        <f>IFERROR(VLOOKUP(Consulta1[[#This Row],[Pozo largo]],Controles!B:H,7,FALSE),"NO")</f>
        <v>0</v>
      </c>
      <c r="L1383" s="5">
        <f>IFERROR(VLOOKUP(Consulta1[[#This Row],[Pozo largo]],Controles!B:J,9,FALSE),"NO")</f>
        <v>0</v>
      </c>
    </row>
    <row r="1384" spans="2:12" x14ac:dyDescent="0.35">
      <c r="B1384" s="4" t="s">
        <v>2660</v>
      </c>
      <c r="C1384" s="4" t="s">
        <v>7114</v>
      </c>
      <c r="D1384" s="4" t="s">
        <v>5</v>
      </c>
      <c r="E1384" s="4" t="s">
        <v>57</v>
      </c>
      <c r="F1384" s="4" t="s">
        <v>25</v>
      </c>
      <c r="G1384" s="4" t="s">
        <v>5718</v>
      </c>
      <c r="H1384" s="4" t="s">
        <v>21</v>
      </c>
      <c r="I1384" s="5" t="str">
        <f>IFERROR(VLOOKUP(Consulta1[[#This Row],[Pozo largo]],'Lista YPF'!$B$3:$C$358,2,FALSE),"NO")</f>
        <v>En lista de Abandono</v>
      </c>
      <c r="J1384" s="5" t="str">
        <f>IFERROR(VLOOKUP(Consulta1[[#This Row],[Pozo]],'Lista Oportunidades'!B:C,2,FALSE),"NO")</f>
        <v>NO</v>
      </c>
      <c r="K1384" s="5">
        <f>IFERROR(VLOOKUP(Consulta1[[#This Row],[Pozo largo]],Controles!B:H,7,FALSE),"NO")</f>
        <v>0.35800000000000004</v>
      </c>
      <c r="L1384" s="5">
        <f>IFERROR(VLOOKUP(Consulta1[[#This Row],[Pozo largo]],Controles!B:J,9,FALSE),"NO")</f>
        <v>0</v>
      </c>
    </row>
    <row r="1385" spans="2:12" x14ac:dyDescent="0.35">
      <c r="B1385" s="4" t="s">
        <v>2662</v>
      </c>
      <c r="C1385" s="4" t="s">
        <v>7115</v>
      </c>
      <c r="D1385" s="4" t="s">
        <v>5</v>
      </c>
      <c r="E1385" s="4" t="s">
        <v>12</v>
      </c>
      <c r="F1385" s="4" t="s">
        <v>238</v>
      </c>
      <c r="G1385" s="4" t="s">
        <v>13</v>
      </c>
      <c r="H1385" s="4" t="s">
        <v>36</v>
      </c>
      <c r="I1385" s="5" t="str">
        <f>IFERROR(VLOOKUP(Consulta1[[#This Row],[Pozo largo]],'Lista YPF'!$B$3:$C$358,2,FALSE),"NO")</f>
        <v>NO</v>
      </c>
      <c r="J1385" s="5" t="str">
        <f>IFERROR(VLOOKUP(Consulta1[[#This Row],[Pozo]],'Lista Oportunidades'!B:C,2,FALSE),"NO")</f>
        <v>NO</v>
      </c>
      <c r="K1385" s="5">
        <f>IFERROR(VLOOKUP(Consulta1[[#This Row],[Pozo largo]],Controles!B:H,7,FALSE),"NO")</f>
        <v>3.3000000000000002E-2</v>
      </c>
      <c r="L1385" s="5">
        <f>IFERROR(VLOOKUP(Consulta1[[#This Row],[Pozo largo]],Controles!B:J,9,FALSE),"NO")</f>
        <v>0</v>
      </c>
    </row>
    <row r="1386" spans="2:12" x14ac:dyDescent="0.35">
      <c r="B1386" s="4" t="s">
        <v>2664</v>
      </c>
      <c r="C1386" s="4" t="s">
        <v>7116</v>
      </c>
      <c r="D1386" s="4" t="s">
        <v>5</v>
      </c>
      <c r="E1386" s="4" t="s">
        <v>57</v>
      </c>
      <c r="F1386" s="4" t="s">
        <v>7</v>
      </c>
      <c r="G1386" s="4" t="s">
        <v>5718</v>
      </c>
      <c r="H1386" s="4" t="s">
        <v>254</v>
      </c>
      <c r="I1386" s="5" t="str">
        <f>IFERROR(VLOOKUP(Consulta1[[#This Row],[Pozo largo]],'Lista YPF'!$B$3:$C$358,2,FALSE),"NO")</f>
        <v>En lista de Abandono</v>
      </c>
      <c r="J1386" s="5" t="str">
        <f>IFERROR(VLOOKUP(Consulta1[[#This Row],[Pozo]],'Lista Oportunidades'!B:C,2,FALSE),"NO")</f>
        <v>NO</v>
      </c>
      <c r="K1386" s="5">
        <f>IFERROR(VLOOKUP(Consulta1[[#This Row],[Pozo largo]],Controles!B:H,7,FALSE),"NO")</f>
        <v>0.05</v>
      </c>
      <c r="L1386" s="5">
        <f>IFERROR(VLOOKUP(Consulta1[[#This Row],[Pozo largo]],Controles!B:J,9,FALSE),"NO")</f>
        <v>0</v>
      </c>
    </row>
    <row r="1387" spans="2:12" x14ac:dyDescent="0.35">
      <c r="B1387" s="4" t="s">
        <v>2666</v>
      </c>
      <c r="C1387" s="4" t="s">
        <v>7117</v>
      </c>
      <c r="D1387" s="4" t="s">
        <v>5</v>
      </c>
      <c r="E1387" s="4" t="s">
        <v>12</v>
      </c>
      <c r="F1387" s="4" t="s">
        <v>7</v>
      </c>
      <c r="G1387" s="4" t="s">
        <v>13</v>
      </c>
      <c r="H1387" s="4" t="s">
        <v>36</v>
      </c>
      <c r="I1387" s="5" t="str">
        <f>IFERROR(VLOOKUP(Consulta1[[#This Row],[Pozo largo]],'Lista YPF'!$B$3:$C$358,2,FALSE),"NO")</f>
        <v>NO</v>
      </c>
      <c r="J1387" s="5" t="str">
        <f>IFERROR(VLOOKUP(Consulta1[[#This Row],[Pozo]],'Lista Oportunidades'!B:C,2,FALSE),"NO")</f>
        <v>NO</v>
      </c>
      <c r="K1387" s="5">
        <f>IFERROR(VLOOKUP(Consulta1[[#This Row],[Pozo largo]],Controles!B:H,7,FALSE),"NO")</f>
        <v>4.1669999999999998</v>
      </c>
      <c r="L1387" s="5">
        <f>IFERROR(VLOOKUP(Consulta1[[#This Row],[Pozo largo]],Controles!B:J,9,FALSE),"NO")</f>
        <v>0</v>
      </c>
    </row>
    <row r="1388" spans="2:12" x14ac:dyDescent="0.35">
      <c r="B1388" s="4" t="s">
        <v>2668</v>
      </c>
      <c r="C1388" s="4" t="s">
        <v>7118</v>
      </c>
      <c r="D1388" s="4" t="s">
        <v>5</v>
      </c>
      <c r="E1388" s="4" t="s">
        <v>57</v>
      </c>
      <c r="F1388" s="4" t="s">
        <v>25</v>
      </c>
      <c r="G1388" s="4" t="s">
        <v>5718</v>
      </c>
      <c r="H1388" s="4" t="s">
        <v>36</v>
      </c>
      <c r="I1388" s="5" t="str">
        <f>IFERROR(VLOOKUP(Consulta1[[#This Row],[Pozo largo]],'Lista YPF'!$B$3:$C$358,2,FALSE),"NO")</f>
        <v>En lista de Abandono</v>
      </c>
      <c r="J1388" s="5" t="str">
        <f>IFERROR(VLOOKUP(Consulta1[[#This Row],[Pozo]],'Lista Oportunidades'!B:C,2,FALSE),"NO")</f>
        <v>NO</v>
      </c>
      <c r="K1388" s="5">
        <f>IFERROR(VLOOKUP(Consulta1[[#This Row],[Pozo largo]],Controles!B:H,7,FALSE),"NO")</f>
        <v>0.192</v>
      </c>
      <c r="L1388" s="5">
        <f>IFERROR(VLOOKUP(Consulta1[[#This Row],[Pozo largo]],Controles!B:J,9,FALSE),"NO")</f>
        <v>0</v>
      </c>
    </row>
    <row r="1389" spans="2:12" x14ac:dyDescent="0.35">
      <c r="B1389" s="4" t="s">
        <v>2670</v>
      </c>
      <c r="C1389" s="4" t="s">
        <v>7119</v>
      </c>
      <c r="D1389" s="4" t="s">
        <v>5</v>
      </c>
      <c r="E1389" s="4" t="s">
        <v>24</v>
      </c>
      <c r="F1389" s="4" t="s">
        <v>25</v>
      </c>
      <c r="G1389" s="4" t="s">
        <v>8</v>
      </c>
      <c r="H1389" s="4" t="s">
        <v>86</v>
      </c>
      <c r="I1389" s="5" t="str">
        <f>IFERROR(VLOOKUP(Consulta1[[#This Row],[Pozo largo]],'Lista YPF'!$B$3:$C$358,2,FALSE),"NO")</f>
        <v>NO</v>
      </c>
      <c r="J1389" s="5" t="str">
        <f>IFERROR(VLOOKUP(Consulta1[[#This Row],[Pozo]],'Lista Oportunidades'!B:C,2,FALSE),"NO")</f>
        <v>NO</v>
      </c>
      <c r="K1389" s="5">
        <f>IFERROR(VLOOKUP(Consulta1[[#This Row],[Pozo largo]],Controles!B:H,7,FALSE),"NO")</f>
        <v>0.16500000000000001</v>
      </c>
      <c r="L1389" s="5">
        <f>IFERROR(VLOOKUP(Consulta1[[#This Row],[Pozo largo]],Controles!B:J,9,FALSE),"NO")</f>
        <v>0</v>
      </c>
    </row>
    <row r="1390" spans="2:12" x14ac:dyDescent="0.35">
      <c r="B1390" s="4" t="s">
        <v>2672</v>
      </c>
      <c r="C1390" s="4" t="s">
        <v>7120</v>
      </c>
      <c r="D1390" s="4" t="s">
        <v>5</v>
      </c>
      <c r="E1390" s="4" t="s">
        <v>12</v>
      </c>
      <c r="F1390" s="4" t="s">
        <v>28</v>
      </c>
      <c r="G1390" s="4" t="s">
        <v>13</v>
      </c>
      <c r="H1390" s="4" t="s">
        <v>86</v>
      </c>
      <c r="I1390" s="5" t="str">
        <f>IFERROR(VLOOKUP(Consulta1[[#This Row],[Pozo largo]],'Lista YPF'!$B$3:$C$358,2,FALSE),"NO")</f>
        <v>NO</v>
      </c>
      <c r="J1390" s="5" t="str">
        <f>IFERROR(VLOOKUP(Consulta1[[#This Row],[Pozo]],'Lista Oportunidades'!B:C,2,FALSE),"NO")</f>
        <v>NO</v>
      </c>
      <c r="K1390" s="5">
        <f>IFERROR(VLOOKUP(Consulta1[[#This Row],[Pozo largo]],Controles!B:H,7,FALSE),"NO")</f>
        <v>0</v>
      </c>
      <c r="L1390" s="5">
        <f>IFERROR(VLOOKUP(Consulta1[[#This Row],[Pozo largo]],Controles!B:J,9,FALSE),"NO")</f>
        <v>0</v>
      </c>
    </row>
    <row r="1391" spans="2:12" x14ac:dyDescent="0.35">
      <c r="B1391" s="4" t="s">
        <v>2674</v>
      </c>
      <c r="C1391" s="4" t="s">
        <v>7121</v>
      </c>
      <c r="D1391" s="4" t="s">
        <v>5</v>
      </c>
      <c r="E1391" s="4" t="s">
        <v>24</v>
      </c>
      <c r="F1391" s="4" t="s">
        <v>25</v>
      </c>
      <c r="G1391" s="4" t="s">
        <v>8</v>
      </c>
      <c r="H1391" s="4" t="s">
        <v>86</v>
      </c>
      <c r="I1391" s="5" t="str">
        <f>IFERROR(VLOOKUP(Consulta1[[#This Row],[Pozo largo]],'Lista YPF'!$B$3:$C$358,2,FALSE),"NO")</f>
        <v>NO</v>
      </c>
      <c r="J1391" s="5" t="str">
        <f>IFERROR(VLOOKUP(Consulta1[[#This Row],[Pozo]],'Lista Oportunidades'!B:C,2,FALSE),"NO")</f>
        <v>NO</v>
      </c>
      <c r="K1391" s="5">
        <f>IFERROR(VLOOKUP(Consulta1[[#This Row],[Pozo largo]],Controles!B:H,7,FALSE),"NO")</f>
        <v>0.35500000000000004</v>
      </c>
      <c r="L1391" s="5">
        <f>IFERROR(VLOOKUP(Consulta1[[#This Row],[Pozo largo]],Controles!B:J,9,FALSE),"NO")</f>
        <v>0</v>
      </c>
    </row>
    <row r="1392" spans="2:12" x14ac:dyDescent="0.35">
      <c r="B1392" s="4" t="s">
        <v>2676</v>
      </c>
      <c r="C1392" s="4" t="s">
        <v>7122</v>
      </c>
      <c r="D1392" s="4" t="s">
        <v>5</v>
      </c>
      <c r="E1392" s="4" t="s">
        <v>57</v>
      </c>
      <c r="F1392" s="4" t="s">
        <v>31</v>
      </c>
      <c r="G1392" s="4" t="s">
        <v>5718</v>
      </c>
      <c r="H1392" s="4" t="s">
        <v>185</v>
      </c>
      <c r="I1392" s="5" t="str">
        <f>IFERROR(VLOOKUP(Consulta1[[#This Row],[Pozo largo]],'Lista YPF'!$B$3:$C$358,2,FALSE),"NO")</f>
        <v>En lista de Abandono</v>
      </c>
      <c r="J1392" s="5" t="str">
        <f>IFERROR(VLOOKUP(Consulta1[[#This Row],[Pozo]],'Lista Oportunidades'!B:C,2,FALSE),"NO")</f>
        <v>NO</v>
      </c>
      <c r="K1392" s="5">
        <f>IFERROR(VLOOKUP(Consulta1[[#This Row],[Pozo largo]],Controles!B:H,7,FALSE),"NO")</f>
        <v>0.96</v>
      </c>
      <c r="L1392" s="5">
        <f>IFERROR(VLOOKUP(Consulta1[[#This Row],[Pozo largo]],Controles!B:J,9,FALSE),"NO")</f>
        <v>0</v>
      </c>
    </row>
    <row r="1393" spans="2:12" x14ac:dyDescent="0.35">
      <c r="B1393" s="4" t="s">
        <v>2678</v>
      </c>
      <c r="C1393" s="4" t="s">
        <v>7123</v>
      </c>
      <c r="D1393" s="4" t="s">
        <v>5</v>
      </c>
      <c r="E1393" s="4" t="s">
        <v>12</v>
      </c>
      <c r="F1393" s="4" t="s">
        <v>7</v>
      </c>
      <c r="G1393" s="4" t="s">
        <v>13</v>
      </c>
      <c r="H1393" s="4" t="s">
        <v>71</v>
      </c>
      <c r="I1393" s="5" t="str">
        <f>IFERROR(VLOOKUP(Consulta1[[#This Row],[Pozo largo]],'Lista YPF'!$B$3:$C$358,2,FALSE),"NO")</f>
        <v>NO</v>
      </c>
      <c r="J1393" s="5" t="str">
        <f>IFERROR(VLOOKUP(Consulta1[[#This Row],[Pozo]],'Lista Oportunidades'!B:C,2,FALSE),"NO")</f>
        <v>NO</v>
      </c>
      <c r="K1393" s="5">
        <f>IFERROR(VLOOKUP(Consulta1[[#This Row],[Pozo largo]],Controles!B:H,7,FALSE),"NO")</f>
        <v>1.125</v>
      </c>
      <c r="L1393" s="5">
        <f>IFERROR(VLOOKUP(Consulta1[[#This Row],[Pozo largo]],Controles!B:J,9,FALSE),"NO")</f>
        <v>0</v>
      </c>
    </row>
    <row r="1394" spans="2:12" x14ac:dyDescent="0.35">
      <c r="B1394" s="4" t="s">
        <v>2680</v>
      </c>
      <c r="C1394" s="4" t="s">
        <v>7124</v>
      </c>
      <c r="D1394" s="4" t="s">
        <v>5</v>
      </c>
      <c r="E1394" s="4" t="s">
        <v>30</v>
      </c>
      <c r="F1394" s="4" t="s">
        <v>31</v>
      </c>
      <c r="G1394" s="4" t="s">
        <v>32</v>
      </c>
      <c r="H1394" s="4" t="s">
        <v>86</v>
      </c>
      <c r="I1394" s="5" t="str">
        <f>IFERROR(VLOOKUP(Consulta1[[#This Row],[Pozo largo]],'Lista YPF'!$B$3:$C$358,2,FALSE),"NO")</f>
        <v>NO</v>
      </c>
      <c r="J1394" s="5" t="str">
        <f>IFERROR(VLOOKUP(Consulta1[[#This Row],[Pozo]],'Lista Oportunidades'!B:C,2,FALSE),"NO")</f>
        <v>NO</v>
      </c>
      <c r="K1394" s="5">
        <f>IFERROR(VLOOKUP(Consulta1[[#This Row],[Pozo largo]],Controles!B:H,7,FALSE),"NO")</f>
        <v>0.28300000000000003</v>
      </c>
      <c r="L1394" s="5">
        <f>IFERROR(VLOOKUP(Consulta1[[#This Row],[Pozo largo]],Controles!B:J,9,FALSE),"NO")</f>
        <v>0</v>
      </c>
    </row>
    <row r="1395" spans="2:12" x14ac:dyDescent="0.35">
      <c r="B1395" s="4" t="s">
        <v>2682</v>
      </c>
      <c r="C1395" s="4" t="s">
        <v>7125</v>
      </c>
      <c r="D1395" s="4" t="s">
        <v>5</v>
      </c>
      <c r="E1395" s="4" t="s">
        <v>24</v>
      </c>
      <c r="F1395" s="4" t="s">
        <v>25</v>
      </c>
      <c r="G1395" s="4" t="s">
        <v>8</v>
      </c>
      <c r="H1395" s="4" t="s">
        <v>185</v>
      </c>
      <c r="I1395" s="5" t="str">
        <f>IFERROR(VLOOKUP(Consulta1[[#This Row],[Pozo largo]],'Lista YPF'!$B$3:$C$358,2,FALSE),"NO")</f>
        <v>NO</v>
      </c>
      <c r="J1395" s="5" t="str">
        <f>IFERROR(VLOOKUP(Consulta1[[#This Row],[Pozo]],'Lista Oportunidades'!B:C,2,FALSE),"NO")</f>
        <v>NO</v>
      </c>
      <c r="K1395" s="5">
        <f>IFERROR(VLOOKUP(Consulta1[[#This Row],[Pozo largo]],Controles!B:H,7,FALSE),"NO")</f>
        <v>0.10700000000000001</v>
      </c>
      <c r="L1395" s="5">
        <f>IFERROR(VLOOKUP(Consulta1[[#This Row],[Pozo largo]],Controles!B:J,9,FALSE),"NO")</f>
        <v>0</v>
      </c>
    </row>
    <row r="1396" spans="2:12" x14ac:dyDescent="0.35">
      <c r="B1396" s="4" t="s">
        <v>2684</v>
      </c>
      <c r="C1396" s="4" t="s">
        <v>7126</v>
      </c>
      <c r="D1396" s="4" t="s">
        <v>5</v>
      </c>
      <c r="E1396" s="4" t="s">
        <v>12</v>
      </c>
      <c r="F1396" s="4" t="s">
        <v>28</v>
      </c>
      <c r="G1396" s="4" t="s">
        <v>13</v>
      </c>
      <c r="H1396" s="4" t="s">
        <v>86</v>
      </c>
      <c r="I1396" s="5" t="str">
        <f>IFERROR(VLOOKUP(Consulta1[[#This Row],[Pozo largo]],'Lista YPF'!$B$3:$C$358,2,FALSE),"NO")</f>
        <v>NO</v>
      </c>
      <c r="J1396" s="5" t="str">
        <f>IFERROR(VLOOKUP(Consulta1[[#This Row],[Pozo]],'Lista Oportunidades'!B:C,2,FALSE),"NO")</f>
        <v>NO</v>
      </c>
      <c r="K1396" s="5">
        <f>IFERROR(VLOOKUP(Consulta1[[#This Row],[Pozo largo]],Controles!B:H,7,FALSE),"NO")</f>
        <v>0</v>
      </c>
      <c r="L1396" s="5">
        <f>IFERROR(VLOOKUP(Consulta1[[#This Row],[Pozo largo]],Controles!B:J,9,FALSE),"NO")</f>
        <v>0</v>
      </c>
    </row>
    <row r="1397" spans="2:12" x14ac:dyDescent="0.35">
      <c r="B1397" s="4" t="s">
        <v>2686</v>
      </c>
      <c r="C1397" s="4" t="s">
        <v>7127</v>
      </c>
      <c r="D1397" s="4" t="s">
        <v>5</v>
      </c>
      <c r="E1397" s="4" t="s">
        <v>24</v>
      </c>
      <c r="F1397" s="4" t="s">
        <v>25</v>
      </c>
      <c r="G1397" s="4" t="s">
        <v>8</v>
      </c>
      <c r="H1397" s="4" t="s">
        <v>86</v>
      </c>
      <c r="I1397" s="5" t="str">
        <f>IFERROR(VLOOKUP(Consulta1[[#This Row],[Pozo largo]],'Lista YPF'!$B$3:$C$358,2,FALSE),"NO")</f>
        <v>NO</v>
      </c>
      <c r="J1397" s="5" t="str">
        <f>IFERROR(VLOOKUP(Consulta1[[#This Row],[Pozo]],'Lista Oportunidades'!B:C,2,FALSE),"NO")</f>
        <v>NO</v>
      </c>
      <c r="K1397" s="5">
        <f>IFERROR(VLOOKUP(Consulta1[[#This Row],[Pozo largo]],Controles!B:H,7,FALSE),"NO")</f>
        <v>0.12200000000000001</v>
      </c>
      <c r="L1397" s="5">
        <f>IFERROR(VLOOKUP(Consulta1[[#This Row],[Pozo largo]],Controles!B:J,9,FALSE),"NO")</f>
        <v>0</v>
      </c>
    </row>
    <row r="1398" spans="2:12" x14ac:dyDescent="0.35">
      <c r="B1398" s="4" t="s">
        <v>2688</v>
      </c>
      <c r="C1398" s="4" t="s">
        <v>7128</v>
      </c>
      <c r="D1398" s="4" t="s">
        <v>5</v>
      </c>
      <c r="E1398" s="4" t="s">
        <v>12</v>
      </c>
      <c r="F1398" s="4" t="s">
        <v>7</v>
      </c>
      <c r="G1398" s="4" t="s">
        <v>13</v>
      </c>
      <c r="H1398" s="4" t="s">
        <v>86</v>
      </c>
      <c r="I1398" s="5" t="str">
        <f>IFERROR(VLOOKUP(Consulta1[[#This Row],[Pozo largo]],'Lista YPF'!$B$3:$C$358,2,FALSE),"NO")</f>
        <v>NO</v>
      </c>
      <c r="J1398" s="5" t="str">
        <f>IFERROR(VLOOKUP(Consulta1[[#This Row],[Pozo]],'Lista Oportunidades'!B:C,2,FALSE),"NO")</f>
        <v>NO</v>
      </c>
      <c r="K1398" s="5">
        <f>IFERROR(VLOOKUP(Consulta1[[#This Row],[Pozo largo]],Controles!B:H,7,FALSE),"NO")</f>
        <v>0.98100000000000009</v>
      </c>
      <c r="L1398" s="5">
        <f>IFERROR(VLOOKUP(Consulta1[[#This Row],[Pozo largo]],Controles!B:J,9,FALSE),"NO")</f>
        <v>0</v>
      </c>
    </row>
    <row r="1399" spans="2:12" x14ac:dyDescent="0.35">
      <c r="B1399" s="4" t="s">
        <v>2690</v>
      </c>
      <c r="C1399" s="4" t="s">
        <v>7129</v>
      </c>
      <c r="D1399" s="4" t="s">
        <v>5</v>
      </c>
      <c r="E1399" s="4" t="s">
        <v>30</v>
      </c>
      <c r="F1399" s="4" t="s">
        <v>31</v>
      </c>
      <c r="G1399" s="4" t="s">
        <v>32</v>
      </c>
      <c r="H1399" s="4" t="s">
        <v>21</v>
      </c>
      <c r="I1399" s="5" t="str">
        <f>IFERROR(VLOOKUP(Consulta1[[#This Row],[Pozo largo]],'Lista YPF'!$B$3:$C$358,2,FALSE),"NO")</f>
        <v>NO</v>
      </c>
      <c r="J1399" s="5" t="str">
        <f>IFERROR(VLOOKUP(Consulta1[[#This Row],[Pozo]],'Lista Oportunidades'!B:C,2,FALSE),"NO")</f>
        <v>NO</v>
      </c>
      <c r="K1399" s="5" t="str">
        <f>IFERROR(VLOOKUP(Consulta1[[#This Row],[Pozo largo]],Controles!B:H,7,FALSE),"NO")</f>
        <v>NO</v>
      </c>
      <c r="L1399" s="5" t="str">
        <f>IFERROR(VLOOKUP(Consulta1[[#This Row],[Pozo largo]],Controles!B:J,9,FALSE),"NO")</f>
        <v>NO</v>
      </c>
    </row>
    <row r="1400" spans="2:12" x14ac:dyDescent="0.35">
      <c r="B1400" s="4" t="s">
        <v>2691</v>
      </c>
      <c r="C1400" s="4" t="s">
        <v>7130</v>
      </c>
      <c r="D1400" s="4" t="s">
        <v>5</v>
      </c>
      <c r="E1400" s="4" t="s">
        <v>6</v>
      </c>
      <c r="F1400" s="4" t="s">
        <v>7</v>
      </c>
      <c r="G1400" s="4" t="s">
        <v>5718</v>
      </c>
      <c r="H1400" s="4" t="s">
        <v>36</v>
      </c>
      <c r="I1400" s="5" t="str">
        <f>IFERROR(VLOOKUP(Consulta1[[#This Row],[Pozo largo]],'Lista YPF'!$B$3:$C$358,2,FALSE),"NO")</f>
        <v>En lista de Abandono</v>
      </c>
      <c r="J1400" s="5" t="str">
        <f>IFERROR(VLOOKUP(Consulta1[[#This Row],[Pozo]],'Lista Oportunidades'!B:C,2,FALSE),"NO")</f>
        <v>NO</v>
      </c>
      <c r="K1400" s="5">
        <f>IFERROR(VLOOKUP(Consulta1[[#This Row],[Pozo largo]],Controles!B:H,7,FALSE),"NO")</f>
        <v>0.46700000000000003</v>
      </c>
      <c r="L1400" s="5">
        <f>IFERROR(VLOOKUP(Consulta1[[#This Row],[Pozo largo]],Controles!B:J,9,FALSE),"NO")</f>
        <v>0</v>
      </c>
    </row>
    <row r="1401" spans="2:12" x14ac:dyDescent="0.35">
      <c r="B1401" s="4" t="s">
        <v>2693</v>
      </c>
      <c r="C1401" s="4" t="s">
        <v>7131</v>
      </c>
      <c r="D1401" s="4" t="s">
        <v>5</v>
      </c>
      <c r="E1401" s="4" t="s">
        <v>12</v>
      </c>
      <c r="F1401" s="4" t="s">
        <v>7</v>
      </c>
      <c r="G1401" s="4" t="s">
        <v>13</v>
      </c>
      <c r="H1401" s="4" t="s">
        <v>185</v>
      </c>
      <c r="I1401" s="5" t="str">
        <f>IFERROR(VLOOKUP(Consulta1[[#This Row],[Pozo largo]],'Lista YPF'!$B$3:$C$358,2,FALSE),"NO")</f>
        <v>NO</v>
      </c>
      <c r="J1401" s="5" t="str">
        <f>IFERROR(VLOOKUP(Consulta1[[#This Row],[Pozo]],'Lista Oportunidades'!B:C,2,FALSE),"NO")</f>
        <v>NO</v>
      </c>
      <c r="K1401" s="5">
        <f>IFERROR(VLOOKUP(Consulta1[[#This Row],[Pozo largo]],Controles!B:H,7,FALSE),"NO")</f>
        <v>2.173</v>
      </c>
      <c r="L1401" s="5">
        <f>IFERROR(VLOOKUP(Consulta1[[#This Row],[Pozo largo]],Controles!B:J,9,FALSE),"NO")</f>
        <v>0</v>
      </c>
    </row>
    <row r="1402" spans="2:12" x14ac:dyDescent="0.35">
      <c r="B1402" s="4" t="s">
        <v>2695</v>
      </c>
      <c r="C1402" s="4" t="s">
        <v>7132</v>
      </c>
      <c r="D1402" s="4" t="s">
        <v>5</v>
      </c>
      <c r="E1402" s="4" t="s">
        <v>57</v>
      </c>
      <c r="F1402" s="4" t="s">
        <v>28</v>
      </c>
      <c r="G1402" s="4" t="s">
        <v>8</v>
      </c>
      <c r="H1402" s="4" t="s">
        <v>36</v>
      </c>
      <c r="I1402" s="5" t="str">
        <f>IFERROR(VLOOKUP(Consulta1[[#This Row],[Pozo largo]],'Lista YPF'!$B$3:$C$358,2,FALSE),"NO")</f>
        <v>NO</v>
      </c>
      <c r="J1402" s="5" t="str">
        <f>IFERROR(VLOOKUP(Consulta1[[#This Row],[Pozo]],'Lista Oportunidades'!B:C,2,FALSE),"NO")</f>
        <v>NO</v>
      </c>
      <c r="K1402" s="5">
        <f>IFERROR(VLOOKUP(Consulta1[[#This Row],[Pozo largo]],Controles!B:H,7,FALSE),"NO")</f>
        <v>0</v>
      </c>
      <c r="L1402" s="5">
        <f>IFERROR(VLOOKUP(Consulta1[[#This Row],[Pozo largo]],Controles!B:J,9,FALSE),"NO")</f>
        <v>0</v>
      </c>
    </row>
    <row r="1403" spans="2:12" x14ac:dyDescent="0.35">
      <c r="B1403" s="4" t="s">
        <v>2697</v>
      </c>
      <c r="C1403" s="4" t="s">
        <v>5757</v>
      </c>
      <c r="D1403" s="4" t="s">
        <v>5</v>
      </c>
      <c r="E1403" s="4" t="s">
        <v>6</v>
      </c>
      <c r="F1403" s="4" t="s">
        <v>31</v>
      </c>
      <c r="G1403" s="4" t="s">
        <v>8688</v>
      </c>
      <c r="H1403" s="4" t="s">
        <v>84</v>
      </c>
      <c r="I1403" s="5" t="str">
        <f>IFERROR(VLOOKUP(Consulta1[[#This Row],[Pozo largo]],'Lista YPF'!$B$3:$C$358,2,FALSE),"NO")</f>
        <v>En lista de Abandono</v>
      </c>
      <c r="J1403" s="5" t="str">
        <f>IFERROR(VLOOKUP(Consulta1[[#This Row],[Pozo]],'Lista Oportunidades'!B:C,2,FALSE),"NO")</f>
        <v>Oportunidad</v>
      </c>
      <c r="K1403" s="5">
        <f>IFERROR(VLOOKUP(Consulta1[[#This Row],[Pozo largo]],Controles!B:H,7,FALSE),"NO")</f>
        <v>1.3680000000000001</v>
      </c>
      <c r="L1403" s="5">
        <f>IFERROR(VLOOKUP(Consulta1[[#This Row],[Pozo largo]],Controles!B:J,9,FALSE),"NO")</f>
        <v>0</v>
      </c>
    </row>
    <row r="1404" spans="2:12" x14ac:dyDescent="0.35">
      <c r="B1404" s="4" t="s">
        <v>2699</v>
      </c>
      <c r="C1404" s="4" t="s">
        <v>7133</v>
      </c>
      <c r="D1404" s="4" t="s">
        <v>5</v>
      </c>
      <c r="E1404" s="4" t="s">
        <v>6</v>
      </c>
      <c r="F1404" s="4" t="s">
        <v>7</v>
      </c>
      <c r="G1404" s="4" t="s">
        <v>5718</v>
      </c>
      <c r="H1404" s="4" t="s">
        <v>33</v>
      </c>
      <c r="I1404" s="5" t="str">
        <f>IFERROR(VLOOKUP(Consulta1[[#This Row],[Pozo largo]],'Lista YPF'!$B$3:$C$358,2,FALSE),"NO")</f>
        <v>En lista de Abandono</v>
      </c>
      <c r="J1404" s="5" t="str">
        <f>IFERROR(VLOOKUP(Consulta1[[#This Row],[Pozo]],'Lista Oportunidades'!B:C,2,FALSE),"NO")</f>
        <v>NO</v>
      </c>
      <c r="K1404" s="5">
        <f>IFERROR(VLOOKUP(Consulta1[[#This Row],[Pozo largo]],Controles!B:H,7,FALSE),"NO")</f>
        <v>0.252</v>
      </c>
      <c r="L1404" s="5">
        <f>IFERROR(VLOOKUP(Consulta1[[#This Row],[Pozo largo]],Controles!B:J,9,FALSE),"NO")</f>
        <v>0</v>
      </c>
    </row>
    <row r="1405" spans="2:12" x14ac:dyDescent="0.35">
      <c r="B1405" s="4" t="s">
        <v>2701</v>
      </c>
      <c r="C1405" s="4" t="s">
        <v>7134</v>
      </c>
      <c r="D1405" s="4" t="s">
        <v>5</v>
      </c>
      <c r="E1405" s="4" t="s">
        <v>12</v>
      </c>
      <c r="F1405" s="4" t="s">
        <v>7</v>
      </c>
      <c r="G1405" s="4" t="s">
        <v>13</v>
      </c>
      <c r="H1405" s="4" t="s">
        <v>9</v>
      </c>
      <c r="I1405" s="5" t="str">
        <f>IFERROR(VLOOKUP(Consulta1[[#This Row],[Pozo largo]],'Lista YPF'!$B$3:$C$358,2,FALSE),"NO")</f>
        <v>NO</v>
      </c>
      <c r="J1405" s="5" t="str">
        <f>IFERROR(VLOOKUP(Consulta1[[#This Row],[Pozo]],'Lista Oportunidades'!B:C,2,FALSE),"NO")</f>
        <v>NO</v>
      </c>
      <c r="K1405" s="5">
        <f>IFERROR(VLOOKUP(Consulta1[[#This Row],[Pozo largo]],Controles!B:H,7,FALSE),"NO")</f>
        <v>1.5</v>
      </c>
      <c r="L1405" s="5">
        <f>IFERROR(VLOOKUP(Consulta1[[#This Row],[Pozo largo]],Controles!B:J,9,FALSE),"NO")</f>
        <v>0</v>
      </c>
    </row>
    <row r="1406" spans="2:12" x14ac:dyDescent="0.35">
      <c r="B1406" s="4" t="s">
        <v>2703</v>
      </c>
      <c r="C1406" s="4" t="s">
        <v>7135</v>
      </c>
      <c r="D1406" s="4" t="s">
        <v>5</v>
      </c>
      <c r="E1406" s="4" t="s">
        <v>6</v>
      </c>
      <c r="F1406" s="4" t="s">
        <v>7</v>
      </c>
      <c r="G1406" s="4" t="s">
        <v>5718</v>
      </c>
      <c r="H1406" s="4" t="s">
        <v>9</v>
      </c>
      <c r="I1406" s="5" t="str">
        <f>IFERROR(VLOOKUP(Consulta1[[#This Row],[Pozo largo]],'Lista YPF'!$B$3:$C$358,2,FALSE),"NO")</f>
        <v>En lista de Abandono</v>
      </c>
      <c r="J1406" s="5" t="str">
        <f>IFERROR(VLOOKUP(Consulta1[[#This Row],[Pozo]],'Lista Oportunidades'!B:C,2,FALSE),"NO")</f>
        <v>NO</v>
      </c>
      <c r="K1406" s="5">
        <f>IFERROR(VLOOKUP(Consulta1[[#This Row],[Pozo largo]],Controles!B:H,7,FALSE),"NO")</f>
        <v>0.36</v>
      </c>
      <c r="L1406" s="5">
        <f>IFERROR(VLOOKUP(Consulta1[[#This Row],[Pozo largo]],Controles!B:J,9,FALSE),"NO")</f>
        <v>0</v>
      </c>
    </row>
    <row r="1407" spans="2:12" x14ac:dyDescent="0.35">
      <c r="B1407" s="4" t="s">
        <v>2705</v>
      </c>
      <c r="C1407" s="4" t="s">
        <v>7136</v>
      </c>
      <c r="D1407" s="4" t="s">
        <v>5</v>
      </c>
      <c r="E1407" s="4" t="s">
        <v>12</v>
      </c>
      <c r="F1407" s="4" t="s">
        <v>7</v>
      </c>
      <c r="G1407" s="4" t="s">
        <v>13</v>
      </c>
      <c r="H1407" s="4" t="s">
        <v>80</v>
      </c>
      <c r="I1407" s="5" t="str">
        <f>IFERROR(VLOOKUP(Consulta1[[#This Row],[Pozo largo]],'Lista YPF'!$B$3:$C$358,2,FALSE),"NO")</f>
        <v>NO</v>
      </c>
      <c r="J1407" s="5" t="str">
        <f>IFERROR(VLOOKUP(Consulta1[[#This Row],[Pozo]],'Lista Oportunidades'!B:C,2,FALSE),"NO")</f>
        <v>NO</v>
      </c>
      <c r="K1407" s="5">
        <f>IFERROR(VLOOKUP(Consulta1[[#This Row],[Pozo largo]],Controles!B:H,7,FALSE),"NO")</f>
        <v>0.311</v>
      </c>
      <c r="L1407" s="5">
        <f>IFERROR(VLOOKUP(Consulta1[[#This Row],[Pozo largo]],Controles!B:J,9,FALSE),"NO")</f>
        <v>0</v>
      </c>
    </row>
    <row r="1408" spans="2:12" x14ac:dyDescent="0.35">
      <c r="B1408" s="4" t="s">
        <v>2707</v>
      </c>
      <c r="C1408" s="4" t="s">
        <v>7137</v>
      </c>
      <c r="D1408" s="4" t="s">
        <v>5</v>
      </c>
      <c r="E1408" s="4" t="s">
        <v>12</v>
      </c>
      <c r="F1408" s="4" t="s">
        <v>238</v>
      </c>
      <c r="G1408" s="4" t="s">
        <v>13</v>
      </c>
      <c r="H1408" s="4" t="s">
        <v>185</v>
      </c>
      <c r="I1408" s="5" t="str">
        <f>IFERROR(VLOOKUP(Consulta1[[#This Row],[Pozo largo]],'Lista YPF'!$B$3:$C$358,2,FALSE),"NO")</f>
        <v>NO</v>
      </c>
      <c r="J1408" s="5" t="str">
        <f>IFERROR(VLOOKUP(Consulta1[[#This Row],[Pozo]],'Lista Oportunidades'!B:C,2,FALSE),"NO")</f>
        <v>NO</v>
      </c>
      <c r="K1408" s="5">
        <f>IFERROR(VLOOKUP(Consulta1[[#This Row],[Pozo largo]],Controles!B:H,7,FALSE),"NO")</f>
        <v>2</v>
      </c>
      <c r="L1408" s="5">
        <f>IFERROR(VLOOKUP(Consulta1[[#This Row],[Pozo largo]],Controles!B:J,9,FALSE),"NO")</f>
        <v>0</v>
      </c>
    </row>
    <row r="1409" spans="2:12" x14ac:dyDescent="0.35">
      <c r="B1409" s="4" t="s">
        <v>2709</v>
      </c>
      <c r="C1409" s="4" t="s">
        <v>7138</v>
      </c>
      <c r="D1409" s="4" t="s">
        <v>5</v>
      </c>
      <c r="E1409" s="4" t="s">
        <v>12</v>
      </c>
      <c r="F1409" s="4" t="s">
        <v>7</v>
      </c>
      <c r="G1409" s="4" t="s">
        <v>13</v>
      </c>
      <c r="H1409" s="4" t="s">
        <v>21</v>
      </c>
      <c r="I1409" s="5" t="str">
        <f>IFERROR(VLOOKUP(Consulta1[[#This Row],[Pozo largo]],'Lista YPF'!$B$3:$C$358,2,FALSE),"NO")</f>
        <v>NO</v>
      </c>
      <c r="J1409" s="5" t="str">
        <f>IFERROR(VLOOKUP(Consulta1[[#This Row],[Pozo]],'Lista Oportunidades'!B:C,2,FALSE),"NO")</f>
        <v>NO</v>
      </c>
      <c r="K1409" s="5">
        <f>IFERROR(VLOOKUP(Consulta1[[#This Row],[Pozo largo]],Controles!B:H,7,FALSE),"NO")</f>
        <v>1.6500000000000001</v>
      </c>
      <c r="L1409" s="5">
        <f>IFERROR(VLOOKUP(Consulta1[[#This Row],[Pozo largo]],Controles!B:J,9,FALSE),"NO")</f>
        <v>0</v>
      </c>
    </row>
    <row r="1410" spans="2:12" x14ac:dyDescent="0.35">
      <c r="B1410" s="4" t="s">
        <v>2711</v>
      </c>
      <c r="C1410" s="4" t="s">
        <v>7139</v>
      </c>
      <c r="D1410" s="4" t="s">
        <v>5</v>
      </c>
      <c r="E1410" s="4" t="s">
        <v>12</v>
      </c>
      <c r="F1410" s="4" t="s">
        <v>7</v>
      </c>
      <c r="G1410" s="4" t="s">
        <v>13</v>
      </c>
      <c r="H1410" s="4" t="s">
        <v>185</v>
      </c>
      <c r="I1410" s="5" t="str">
        <f>IFERROR(VLOOKUP(Consulta1[[#This Row],[Pozo largo]],'Lista YPF'!$B$3:$C$358,2,FALSE),"NO")</f>
        <v>NO</v>
      </c>
      <c r="J1410" s="5" t="str">
        <f>IFERROR(VLOOKUP(Consulta1[[#This Row],[Pozo]],'Lista Oportunidades'!B:C,2,FALSE),"NO")</f>
        <v>NO</v>
      </c>
      <c r="K1410" s="5">
        <f>IFERROR(VLOOKUP(Consulta1[[#This Row],[Pozo largo]],Controles!B:H,7,FALSE),"NO")</f>
        <v>0.88400000000000001</v>
      </c>
      <c r="L1410" s="5">
        <f>IFERROR(VLOOKUP(Consulta1[[#This Row],[Pozo largo]],Controles!B:J,9,FALSE),"NO")</f>
        <v>0</v>
      </c>
    </row>
    <row r="1411" spans="2:12" x14ac:dyDescent="0.35">
      <c r="B1411" s="4" t="s">
        <v>2713</v>
      </c>
      <c r="C1411" s="4" t="s">
        <v>7140</v>
      </c>
      <c r="D1411" s="4" t="s">
        <v>5</v>
      </c>
      <c r="E1411" s="4" t="s">
        <v>24</v>
      </c>
      <c r="F1411" s="4" t="s">
        <v>7</v>
      </c>
      <c r="G1411" s="4" t="s">
        <v>8</v>
      </c>
      <c r="H1411" s="4" t="s">
        <v>185</v>
      </c>
      <c r="I1411" s="5" t="str">
        <f>IFERROR(VLOOKUP(Consulta1[[#This Row],[Pozo largo]],'Lista YPF'!$B$3:$C$358,2,FALSE),"NO")</f>
        <v>NO</v>
      </c>
      <c r="J1411" s="5" t="str">
        <f>IFERROR(VLOOKUP(Consulta1[[#This Row],[Pozo]],'Lista Oportunidades'!B:C,2,FALSE),"NO")</f>
        <v>NO</v>
      </c>
      <c r="K1411" s="5">
        <f>IFERROR(VLOOKUP(Consulta1[[#This Row],[Pozo largo]],Controles!B:H,7,FALSE),"NO")</f>
        <v>1.24</v>
      </c>
      <c r="L1411" s="5">
        <f>IFERROR(VLOOKUP(Consulta1[[#This Row],[Pozo largo]],Controles!B:J,9,FALSE),"NO")</f>
        <v>0</v>
      </c>
    </row>
    <row r="1412" spans="2:12" x14ac:dyDescent="0.35">
      <c r="B1412" s="4" t="s">
        <v>2715</v>
      </c>
      <c r="C1412" s="4" t="s">
        <v>7141</v>
      </c>
      <c r="D1412" s="4" t="s">
        <v>5</v>
      </c>
      <c r="E1412" s="4" t="s">
        <v>12</v>
      </c>
      <c r="F1412" s="4" t="s">
        <v>25</v>
      </c>
      <c r="G1412" s="4" t="s">
        <v>13</v>
      </c>
      <c r="H1412" s="4" t="s">
        <v>254</v>
      </c>
      <c r="I1412" s="5" t="str">
        <f>IFERROR(VLOOKUP(Consulta1[[#This Row],[Pozo largo]],'Lista YPF'!$B$3:$C$358,2,FALSE),"NO")</f>
        <v>NO</v>
      </c>
      <c r="J1412" s="5" t="str">
        <f>IFERROR(VLOOKUP(Consulta1[[#This Row],[Pozo]],'Lista Oportunidades'!B:C,2,FALSE),"NO")</f>
        <v>NO</v>
      </c>
      <c r="K1412" s="5">
        <f>IFERROR(VLOOKUP(Consulta1[[#This Row],[Pozo largo]],Controles!B:H,7,FALSE),"NO")</f>
        <v>9.6000000000000002E-2</v>
      </c>
      <c r="L1412" s="5">
        <f>IFERROR(VLOOKUP(Consulta1[[#This Row],[Pozo largo]],Controles!B:J,9,FALSE),"NO")</f>
        <v>0</v>
      </c>
    </row>
    <row r="1413" spans="2:12" x14ac:dyDescent="0.35">
      <c r="B1413" s="4" t="s">
        <v>2717</v>
      </c>
      <c r="C1413" s="4" t="s">
        <v>7142</v>
      </c>
      <c r="D1413" s="4" t="s">
        <v>5</v>
      </c>
      <c r="E1413" s="4" t="s">
        <v>12</v>
      </c>
      <c r="F1413" s="4" t="s">
        <v>28</v>
      </c>
      <c r="G1413" s="4" t="s">
        <v>13</v>
      </c>
      <c r="H1413" s="4" t="s">
        <v>80</v>
      </c>
      <c r="I1413" s="5" t="str">
        <f>IFERROR(VLOOKUP(Consulta1[[#This Row],[Pozo largo]],'Lista YPF'!$B$3:$C$358,2,FALSE),"NO")</f>
        <v>NO</v>
      </c>
      <c r="J1413" s="5" t="str">
        <f>IFERROR(VLOOKUP(Consulta1[[#This Row],[Pozo]],'Lista Oportunidades'!B:C,2,FALSE),"NO")</f>
        <v>NO</v>
      </c>
      <c r="K1413" s="5">
        <f>IFERROR(VLOOKUP(Consulta1[[#This Row],[Pozo largo]],Controles!B:H,7,FALSE),"NO")</f>
        <v>0</v>
      </c>
      <c r="L1413" s="5">
        <f>IFERROR(VLOOKUP(Consulta1[[#This Row],[Pozo largo]],Controles!B:J,9,FALSE),"NO")</f>
        <v>0</v>
      </c>
    </row>
    <row r="1414" spans="2:12" x14ac:dyDescent="0.35">
      <c r="B1414" s="4" t="s">
        <v>2719</v>
      </c>
      <c r="C1414" s="4" t="s">
        <v>7143</v>
      </c>
      <c r="D1414" s="4" t="s">
        <v>5</v>
      </c>
      <c r="E1414" s="4" t="s">
        <v>12</v>
      </c>
      <c r="F1414" s="4" t="s">
        <v>7</v>
      </c>
      <c r="G1414" s="4" t="s">
        <v>13</v>
      </c>
      <c r="H1414" s="4" t="s">
        <v>86</v>
      </c>
      <c r="I1414" s="5" t="str">
        <f>IFERROR(VLOOKUP(Consulta1[[#This Row],[Pozo largo]],'Lista YPF'!$B$3:$C$358,2,FALSE),"NO")</f>
        <v>NO</v>
      </c>
      <c r="J1414" s="5" t="str">
        <f>IFERROR(VLOOKUP(Consulta1[[#This Row],[Pozo]],'Lista Oportunidades'!B:C,2,FALSE),"NO")</f>
        <v>NO</v>
      </c>
      <c r="K1414" s="5">
        <f>IFERROR(VLOOKUP(Consulta1[[#This Row],[Pozo largo]],Controles!B:H,7,FALSE),"NO")</f>
        <v>0.81200000000000006</v>
      </c>
      <c r="L1414" s="5">
        <f>IFERROR(VLOOKUP(Consulta1[[#This Row],[Pozo largo]],Controles!B:J,9,FALSE),"NO")</f>
        <v>0</v>
      </c>
    </row>
    <row r="1415" spans="2:12" x14ac:dyDescent="0.35">
      <c r="B1415" s="4" t="s">
        <v>2721</v>
      </c>
      <c r="C1415" s="4" t="s">
        <v>5747</v>
      </c>
      <c r="D1415" s="4" t="s">
        <v>5</v>
      </c>
      <c r="E1415" s="4" t="s">
        <v>6</v>
      </c>
      <c r="F1415" s="4" t="s">
        <v>238</v>
      </c>
      <c r="G1415" s="4" t="s">
        <v>8689</v>
      </c>
      <c r="H1415" s="4" t="s">
        <v>9</v>
      </c>
      <c r="I1415" s="5" t="str">
        <f>IFERROR(VLOOKUP(Consulta1[[#This Row],[Pozo largo]],'Lista YPF'!$B$3:$C$358,2,FALSE),"NO")</f>
        <v>NO</v>
      </c>
      <c r="J1415" s="5" t="str">
        <f>IFERROR(VLOOKUP(Consulta1[[#This Row],[Pozo]],'Lista Oportunidades'!B:C,2,FALSE),"NO")</f>
        <v>Oportunidad</v>
      </c>
      <c r="K1415" s="5">
        <f>IFERROR(VLOOKUP(Consulta1[[#This Row],[Pozo largo]],Controles!B:H,7,FALSE),"NO")</f>
        <v>1.2</v>
      </c>
      <c r="L1415" s="5" t="str">
        <f>IFERROR(VLOOKUP(Consulta1[[#This Row],[Pozo largo]],Controles!B:J,9,FALSE),"NO")</f>
        <v>Ultimo Año</v>
      </c>
    </row>
    <row r="1416" spans="2:12" x14ac:dyDescent="0.35">
      <c r="B1416" s="4" t="s">
        <v>2723</v>
      </c>
      <c r="C1416" s="4" t="s">
        <v>7144</v>
      </c>
      <c r="D1416" s="4" t="s">
        <v>5</v>
      </c>
      <c r="E1416" s="4" t="s">
        <v>12</v>
      </c>
      <c r="F1416" s="4" t="s">
        <v>7</v>
      </c>
      <c r="G1416" s="4" t="s">
        <v>13</v>
      </c>
      <c r="H1416" s="4" t="s">
        <v>9</v>
      </c>
      <c r="I1416" s="5" t="str">
        <f>IFERROR(VLOOKUP(Consulta1[[#This Row],[Pozo largo]],'Lista YPF'!$B$3:$C$358,2,FALSE),"NO")</f>
        <v>NO</v>
      </c>
      <c r="J1416" s="5" t="str">
        <f>IFERROR(VLOOKUP(Consulta1[[#This Row],[Pozo]],'Lista Oportunidades'!B:C,2,FALSE),"NO")</f>
        <v>NO</v>
      </c>
      <c r="K1416" s="5">
        <f>IFERROR(VLOOKUP(Consulta1[[#This Row],[Pozo largo]],Controles!B:H,7,FALSE),"NO")</f>
        <v>2.7600000000000002</v>
      </c>
      <c r="L1416" s="5">
        <f>IFERROR(VLOOKUP(Consulta1[[#This Row],[Pozo largo]],Controles!B:J,9,FALSE),"NO")</f>
        <v>0</v>
      </c>
    </row>
    <row r="1417" spans="2:12" x14ac:dyDescent="0.35">
      <c r="B1417" s="4" t="s">
        <v>2725</v>
      </c>
      <c r="C1417" s="4" t="s">
        <v>7145</v>
      </c>
      <c r="D1417" s="4" t="s">
        <v>5</v>
      </c>
      <c r="E1417" s="4" t="s">
        <v>12</v>
      </c>
      <c r="F1417" s="4" t="s">
        <v>7</v>
      </c>
      <c r="G1417" s="4" t="s">
        <v>13</v>
      </c>
      <c r="I1417" s="5" t="str">
        <f>IFERROR(VLOOKUP(Consulta1[[#This Row],[Pozo largo]],'Lista YPF'!$B$3:$C$358,2,FALSE),"NO")</f>
        <v>NO</v>
      </c>
      <c r="J1417" s="5" t="str">
        <f>IFERROR(VLOOKUP(Consulta1[[#This Row],[Pozo]],'Lista Oportunidades'!B:C,2,FALSE),"NO")</f>
        <v>NO</v>
      </c>
      <c r="K1417" s="5">
        <f>IFERROR(VLOOKUP(Consulta1[[#This Row],[Pozo largo]],Controles!B:H,7,FALSE),"NO")</f>
        <v>4.6399999999999997</v>
      </c>
      <c r="L1417" s="5">
        <f>IFERROR(VLOOKUP(Consulta1[[#This Row],[Pozo largo]],Controles!B:J,9,FALSE),"NO")</f>
        <v>0</v>
      </c>
    </row>
    <row r="1418" spans="2:12" x14ac:dyDescent="0.35">
      <c r="B1418" s="4" t="s">
        <v>2727</v>
      </c>
      <c r="C1418" s="4" t="s">
        <v>2728</v>
      </c>
      <c r="D1418" s="4" t="s">
        <v>5</v>
      </c>
      <c r="E1418" s="4" t="s">
        <v>6</v>
      </c>
      <c r="F1418" s="4" t="s">
        <v>7</v>
      </c>
      <c r="G1418" s="4" t="s">
        <v>11387</v>
      </c>
      <c r="H1418" s="4" t="s">
        <v>9</v>
      </c>
      <c r="I1418" s="5" t="str">
        <f>IFERROR(VLOOKUP(Consulta1[[#This Row],[Pozo largo]],'Lista YPF'!$B$3:$C$358,2,FALSE),"NO")</f>
        <v>NO</v>
      </c>
      <c r="J1418" s="5" t="str">
        <f>IFERROR(VLOOKUP(Consulta1[[#This Row],[Pozo]],'Lista Oportunidades'!B:C,2,FALSE),"NO")</f>
        <v>NO</v>
      </c>
      <c r="K1418" s="5">
        <f>IFERROR(VLOOKUP(Consulta1[[#This Row],[Pozo largo]],Controles!B:H,7,FALSE),"NO")</f>
        <v>0.3</v>
      </c>
      <c r="L1418" s="5" t="str">
        <f>IFERROR(VLOOKUP(Consulta1[[#This Row],[Pozo largo]],Controles!B:J,9,FALSE),"NO")</f>
        <v>Ultimo Año</v>
      </c>
    </row>
    <row r="1419" spans="2:12" x14ac:dyDescent="0.35">
      <c r="B1419" s="4" t="s">
        <v>2729</v>
      </c>
      <c r="C1419" s="4" t="s">
        <v>7146</v>
      </c>
      <c r="D1419" s="4" t="s">
        <v>5</v>
      </c>
      <c r="E1419" s="4" t="s">
        <v>12</v>
      </c>
      <c r="F1419" s="4" t="s">
        <v>7</v>
      </c>
      <c r="G1419" s="4" t="s">
        <v>13</v>
      </c>
      <c r="H1419" s="4" t="s">
        <v>21</v>
      </c>
      <c r="I1419" s="5" t="str">
        <f>IFERROR(VLOOKUP(Consulta1[[#This Row],[Pozo largo]],'Lista YPF'!$B$3:$C$358,2,FALSE),"NO")</f>
        <v>NO</v>
      </c>
      <c r="J1419" s="5" t="str">
        <f>IFERROR(VLOOKUP(Consulta1[[#This Row],[Pozo]],'Lista Oportunidades'!B:C,2,FALSE),"NO")</f>
        <v>NO</v>
      </c>
      <c r="K1419" s="5">
        <f>IFERROR(VLOOKUP(Consulta1[[#This Row],[Pozo largo]],Controles!B:H,7,FALSE),"NO")</f>
        <v>0.72</v>
      </c>
      <c r="L1419" s="5">
        <f>IFERROR(VLOOKUP(Consulta1[[#This Row],[Pozo largo]],Controles!B:J,9,FALSE),"NO")</f>
        <v>0</v>
      </c>
    </row>
    <row r="1420" spans="2:12" x14ac:dyDescent="0.35">
      <c r="B1420" s="4" t="s">
        <v>2731</v>
      </c>
      <c r="C1420" s="4" t="s">
        <v>7147</v>
      </c>
      <c r="D1420" s="4" t="s">
        <v>5</v>
      </c>
      <c r="E1420" s="4" t="s">
        <v>12</v>
      </c>
      <c r="F1420" s="4" t="s">
        <v>7</v>
      </c>
      <c r="G1420" s="4" t="s">
        <v>13</v>
      </c>
      <c r="H1420" s="4" t="s">
        <v>86</v>
      </c>
      <c r="I1420" s="5" t="str">
        <f>IFERROR(VLOOKUP(Consulta1[[#This Row],[Pozo largo]],'Lista YPF'!$B$3:$C$358,2,FALSE),"NO")</f>
        <v>NO</v>
      </c>
      <c r="J1420" s="5" t="str">
        <f>IFERROR(VLOOKUP(Consulta1[[#This Row],[Pozo]],'Lista Oportunidades'!B:C,2,FALSE),"NO")</f>
        <v>NO</v>
      </c>
      <c r="K1420" s="5">
        <f>IFERROR(VLOOKUP(Consulta1[[#This Row],[Pozo largo]],Controles!B:H,7,FALSE),"NO")</f>
        <v>0.17100000000000001</v>
      </c>
      <c r="L1420" s="5">
        <f>IFERROR(VLOOKUP(Consulta1[[#This Row],[Pozo largo]],Controles!B:J,9,FALSE),"NO")</f>
        <v>0</v>
      </c>
    </row>
    <row r="1421" spans="2:12" x14ac:dyDescent="0.35">
      <c r="B1421" s="4" t="s">
        <v>2733</v>
      </c>
      <c r="C1421" s="4" t="s">
        <v>7148</v>
      </c>
      <c r="D1421" s="4" t="s">
        <v>5</v>
      </c>
      <c r="E1421" s="4" t="s">
        <v>57</v>
      </c>
      <c r="F1421" s="4" t="s">
        <v>25</v>
      </c>
      <c r="G1421" s="4" t="s">
        <v>5718</v>
      </c>
      <c r="H1421" s="4" t="s">
        <v>21</v>
      </c>
      <c r="I1421" s="5" t="str">
        <f>IFERROR(VLOOKUP(Consulta1[[#This Row],[Pozo largo]],'Lista YPF'!$B$3:$C$358,2,FALSE),"NO")</f>
        <v>En lista de Abandono</v>
      </c>
      <c r="J1421" s="5" t="str">
        <f>IFERROR(VLOOKUP(Consulta1[[#This Row],[Pozo]],'Lista Oportunidades'!B:C,2,FALSE),"NO")</f>
        <v>NO</v>
      </c>
      <c r="K1421" s="5">
        <f>IFERROR(VLOOKUP(Consulta1[[#This Row],[Pozo largo]],Controles!B:H,7,FALSE),"NO")</f>
        <v>4.8000000000000001E-2</v>
      </c>
      <c r="L1421" s="5">
        <f>IFERROR(VLOOKUP(Consulta1[[#This Row],[Pozo largo]],Controles!B:J,9,FALSE),"NO")</f>
        <v>0</v>
      </c>
    </row>
    <row r="1422" spans="2:12" x14ac:dyDescent="0.35">
      <c r="B1422" s="4" t="s">
        <v>2735</v>
      </c>
      <c r="C1422" s="4" t="s">
        <v>7149</v>
      </c>
      <c r="D1422" s="4" t="s">
        <v>5</v>
      </c>
      <c r="E1422" s="4" t="s">
        <v>12</v>
      </c>
      <c r="F1422" s="4" t="s">
        <v>7</v>
      </c>
      <c r="G1422" s="4" t="s">
        <v>13</v>
      </c>
      <c r="H1422" s="4" t="s">
        <v>21</v>
      </c>
      <c r="I1422" s="5" t="str">
        <f>IFERROR(VLOOKUP(Consulta1[[#This Row],[Pozo largo]],'Lista YPF'!$B$3:$C$358,2,FALSE),"NO")</f>
        <v>NO</v>
      </c>
      <c r="J1422" s="5" t="str">
        <f>IFERROR(VLOOKUP(Consulta1[[#This Row],[Pozo]],'Lista Oportunidades'!B:C,2,FALSE),"NO")</f>
        <v>NO</v>
      </c>
      <c r="K1422" s="5">
        <f>IFERROR(VLOOKUP(Consulta1[[#This Row],[Pozo largo]],Controles!B:H,7,FALSE),"NO")</f>
        <v>2.3180000000000001</v>
      </c>
      <c r="L1422" s="5">
        <f>IFERROR(VLOOKUP(Consulta1[[#This Row],[Pozo largo]],Controles!B:J,9,FALSE),"NO")</f>
        <v>0</v>
      </c>
    </row>
    <row r="1423" spans="2:12" x14ac:dyDescent="0.35">
      <c r="B1423" s="4" t="s">
        <v>2737</v>
      </c>
      <c r="C1423" s="4" t="s">
        <v>7150</v>
      </c>
      <c r="D1423" s="4" t="s">
        <v>5</v>
      </c>
      <c r="E1423" s="4" t="s">
        <v>24</v>
      </c>
      <c r="F1423" s="4" t="s">
        <v>25</v>
      </c>
      <c r="G1423" s="4" t="s">
        <v>8</v>
      </c>
      <c r="H1423" s="4" t="s">
        <v>149</v>
      </c>
      <c r="I1423" s="5" t="str">
        <f>IFERROR(VLOOKUP(Consulta1[[#This Row],[Pozo largo]],'Lista YPF'!$B$3:$C$358,2,FALSE),"NO")</f>
        <v>NO</v>
      </c>
      <c r="J1423" s="5" t="str">
        <f>IFERROR(VLOOKUP(Consulta1[[#This Row],[Pozo]],'Lista Oportunidades'!B:C,2,FALSE),"NO")</f>
        <v>NO</v>
      </c>
      <c r="K1423" s="5">
        <f>IFERROR(VLOOKUP(Consulta1[[#This Row],[Pozo largo]],Controles!B:H,7,FALSE),"NO")</f>
        <v>0.192</v>
      </c>
      <c r="L1423" s="5">
        <f>IFERROR(VLOOKUP(Consulta1[[#This Row],[Pozo largo]],Controles!B:J,9,FALSE),"NO")</f>
        <v>0</v>
      </c>
    </row>
    <row r="1424" spans="2:12" x14ac:dyDescent="0.35">
      <c r="B1424" s="4" t="s">
        <v>2739</v>
      </c>
      <c r="C1424" s="4" t="s">
        <v>7151</v>
      </c>
      <c r="D1424" s="4" t="s">
        <v>5</v>
      </c>
      <c r="E1424" s="4" t="s">
        <v>12</v>
      </c>
      <c r="F1424" s="4" t="s">
        <v>7</v>
      </c>
      <c r="G1424" s="4" t="s">
        <v>13</v>
      </c>
      <c r="H1424" s="4" t="s">
        <v>86</v>
      </c>
      <c r="I1424" s="5" t="str">
        <f>IFERROR(VLOOKUP(Consulta1[[#This Row],[Pozo largo]],'Lista YPF'!$B$3:$C$358,2,FALSE),"NO")</f>
        <v>NO</v>
      </c>
      <c r="J1424" s="5" t="str">
        <f>IFERROR(VLOOKUP(Consulta1[[#This Row],[Pozo]],'Lista Oportunidades'!B:C,2,FALSE),"NO")</f>
        <v>NO</v>
      </c>
      <c r="K1424" s="5">
        <f>IFERROR(VLOOKUP(Consulta1[[#This Row],[Pozo largo]],Controles!B:H,7,FALSE),"NO")</f>
        <v>1.1760000000000002</v>
      </c>
      <c r="L1424" s="5">
        <f>IFERROR(VLOOKUP(Consulta1[[#This Row],[Pozo largo]],Controles!B:J,9,FALSE),"NO")</f>
        <v>0</v>
      </c>
    </row>
    <row r="1425" spans="2:12" x14ac:dyDescent="0.35">
      <c r="B1425" s="4" t="s">
        <v>2741</v>
      </c>
      <c r="C1425" s="4" t="s">
        <v>7152</v>
      </c>
      <c r="D1425" s="4" t="s">
        <v>5</v>
      </c>
      <c r="E1425" s="4" t="s">
        <v>12</v>
      </c>
      <c r="F1425" s="4" t="s">
        <v>7</v>
      </c>
      <c r="G1425" s="4" t="s">
        <v>13</v>
      </c>
      <c r="H1425" s="4" t="s">
        <v>185</v>
      </c>
      <c r="I1425" s="5" t="str">
        <f>IFERROR(VLOOKUP(Consulta1[[#This Row],[Pozo largo]],'Lista YPF'!$B$3:$C$358,2,FALSE),"NO")</f>
        <v>NO</v>
      </c>
      <c r="J1425" s="5" t="str">
        <f>IFERROR(VLOOKUP(Consulta1[[#This Row],[Pozo]],'Lista Oportunidades'!B:C,2,FALSE),"NO")</f>
        <v>NO</v>
      </c>
      <c r="K1425" s="5">
        <f>IFERROR(VLOOKUP(Consulta1[[#This Row],[Pozo largo]],Controles!B:H,7,FALSE),"NO")</f>
        <v>0.51600000000000001</v>
      </c>
      <c r="L1425" s="5">
        <f>IFERROR(VLOOKUP(Consulta1[[#This Row],[Pozo largo]],Controles!B:J,9,FALSE),"NO")</f>
        <v>0</v>
      </c>
    </row>
    <row r="1426" spans="2:12" x14ac:dyDescent="0.35">
      <c r="B1426" s="4" t="s">
        <v>2743</v>
      </c>
      <c r="C1426" s="4" t="s">
        <v>7153</v>
      </c>
      <c r="D1426" s="4" t="s">
        <v>5</v>
      </c>
      <c r="E1426" s="4" t="s">
        <v>12</v>
      </c>
      <c r="F1426" s="4" t="s">
        <v>7</v>
      </c>
      <c r="G1426" s="4" t="s">
        <v>13</v>
      </c>
      <c r="H1426" s="4" t="s">
        <v>185</v>
      </c>
      <c r="I1426" s="5" t="str">
        <f>IFERROR(VLOOKUP(Consulta1[[#This Row],[Pozo largo]],'Lista YPF'!$B$3:$C$358,2,FALSE),"NO")</f>
        <v>NO</v>
      </c>
      <c r="J1426" s="5" t="str">
        <f>IFERROR(VLOOKUP(Consulta1[[#This Row],[Pozo]],'Lista Oportunidades'!B:C,2,FALSE),"NO")</f>
        <v>NO</v>
      </c>
      <c r="K1426" s="5">
        <f>IFERROR(VLOOKUP(Consulta1[[#This Row],[Pozo largo]],Controles!B:H,7,FALSE),"NO")</f>
        <v>0.67200000000000004</v>
      </c>
      <c r="L1426" s="5">
        <f>IFERROR(VLOOKUP(Consulta1[[#This Row],[Pozo largo]],Controles!B:J,9,FALSE),"NO")</f>
        <v>0</v>
      </c>
    </row>
    <row r="1427" spans="2:12" x14ac:dyDescent="0.35">
      <c r="B1427" s="4" t="s">
        <v>2745</v>
      </c>
      <c r="C1427" s="4" t="s">
        <v>7154</v>
      </c>
      <c r="D1427" s="4" t="s">
        <v>5</v>
      </c>
      <c r="E1427" s="4" t="s">
        <v>12</v>
      </c>
      <c r="F1427" s="4" t="s">
        <v>7</v>
      </c>
      <c r="G1427" s="4" t="s">
        <v>13</v>
      </c>
      <c r="H1427" s="4" t="s">
        <v>185</v>
      </c>
      <c r="I1427" s="5" t="str">
        <f>IFERROR(VLOOKUP(Consulta1[[#This Row],[Pozo largo]],'Lista YPF'!$B$3:$C$358,2,FALSE),"NO")</f>
        <v>NO</v>
      </c>
      <c r="J1427" s="5" t="str">
        <f>IFERROR(VLOOKUP(Consulta1[[#This Row],[Pozo]],'Lista Oportunidades'!B:C,2,FALSE),"NO")</f>
        <v>NO</v>
      </c>
      <c r="K1427" s="5">
        <f>IFERROR(VLOOKUP(Consulta1[[#This Row],[Pozo largo]],Controles!B:H,7,FALSE),"NO")</f>
        <v>0.70000000000000007</v>
      </c>
      <c r="L1427" s="5">
        <f>IFERROR(VLOOKUP(Consulta1[[#This Row],[Pozo largo]],Controles!B:J,9,FALSE),"NO")</f>
        <v>0</v>
      </c>
    </row>
    <row r="1428" spans="2:12" x14ac:dyDescent="0.35">
      <c r="B1428" s="4" t="s">
        <v>2747</v>
      </c>
      <c r="C1428" s="4" t="s">
        <v>7155</v>
      </c>
      <c r="D1428" s="4" t="s">
        <v>5</v>
      </c>
      <c r="E1428" s="4" t="s">
        <v>24</v>
      </c>
      <c r="F1428" s="4" t="s">
        <v>7</v>
      </c>
      <c r="G1428" s="4" t="s">
        <v>8</v>
      </c>
      <c r="H1428" s="4" t="s">
        <v>21</v>
      </c>
      <c r="I1428" s="5" t="str">
        <f>IFERROR(VLOOKUP(Consulta1[[#This Row],[Pozo largo]],'Lista YPF'!$B$3:$C$358,2,FALSE),"NO")</f>
        <v>NO</v>
      </c>
      <c r="J1428" s="5" t="str">
        <f>IFERROR(VLOOKUP(Consulta1[[#This Row],[Pozo]],'Lista Oportunidades'!B:C,2,FALSE),"NO")</f>
        <v>NO</v>
      </c>
      <c r="K1428" s="5">
        <f>IFERROR(VLOOKUP(Consulta1[[#This Row],[Pozo largo]],Controles!B:H,7,FALSE),"NO")</f>
        <v>0.2</v>
      </c>
      <c r="L1428" s="5">
        <f>IFERROR(VLOOKUP(Consulta1[[#This Row],[Pozo largo]],Controles!B:J,9,FALSE),"NO")</f>
        <v>0</v>
      </c>
    </row>
    <row r="1429" spans="2:12" x14ac:dyDescent="0.35">
      <c r="B1429" s="4" t="s">
        <v>2749</v>
      </c>
      <c r="C1429" s="4" t="s">
        <v>7156</v>
      </c>
      <c r="D1429" s="4" t="s">
        <v>5</v>
      </c>
      <c r="E1429" s="4" t="s">
        <v>6</v>
      </c>
      <c r="F1429" s="4" t="s">
        <v>7</v>
      </c>
      <c r="G1429" s="4" t="s">
        <v>11386</v>
      </c>
      <c r="H1429" s="4" t="s">
        <v>33</v>
      </c>
      <c r="I1429" s="5" t="str">
        <f>IFERROR(VLOOKUP(Consulta1[[#This Row],[Pozo largo]],'Lista YPF'!$B$3:$C$358,2,FALSE),"NO")</f>
        <v>NO</v>
      </c>
      <c r="J1429" s="5" t="str">
        <f>IFERROR(VLOOKUP(Consulta1[[#This Row],[Pozo]],'Lista Oportunidades'!B:C,2,FALSE),"NO")</f>
        <v>NO</v>
      </c>
      <c r="K1429" s="5">
        <f>IFERROR(VLOOKUP(Consulta1[[#This Row],[Pozo largo]],Controles!B:H,7,FALSE),"NO")</f>
        <v>0.49500000000000005</v>
      </c>
      <c r="L1429" s="5" t="str">
        <f>IFERROR(VLOOKUP(Consulta1[[#This Row],[Pozo largo]],Controles!B:J,9,FALSE),"NO")</f>
        <v>Ultimos 6 meses</v>
      </c>
    </row>
    <row r="1430" spans="2:12" x14ac:dyDescent="0.35">
      <c r="B1430" s="4" t="s">
        <v>2751</v>
      </c>
      <c r="C1430" s="4" t="s">
        <v>7157</v>
      </c>
      <c r="D1430" s="4" t="s">
        <v>5</v>
      </c>
      <c r="E1430" s="4" t="s">
        <v>12</v>
      </c>
      <c r="F1430" s="4" t="s">
        <v>7</v>
      </c>
      <c r="G1430" s="4" t="s">
        <v>13</v>
      </c>
      <c r="H1430" s="4" t="s">
        <v>33</v>
      </c>
      <c r="I1430" s="5" t="str">
        <f>IFERROR(VLOOKUP(Consulta1[[#This Row],[Pozo largo]],'Lista YPF'!$B$3:$C$358,2,FALSE),"NO")</f>
        <v>NO</v>
      </c>
      <c r="J1430" s="5" t="str">
        <f>IFERROR(VLOOKUP(Consulta1[[#This Row],[Pozo]],'Lista Oportunidades'!B:C,2,FALSE),"NO")</f>
        <v>NO</v>
      </c>
      <c r="K1430" s="5">
        <f>IFERROR(VLOOKUP(Consulta1[[#This Row],[Pozo largo]],Controles!B:H,7,FALSE),"NO")</f>
        <v>5.8000000000000003E-2</v>
      </c>
      <c r="L1430" s="5">
        <f>IFERROR(VLOOKUP(Consulta1[[#This Row],[Pozo largo]],Controles!B:J,9,FALSE),"NO")</f>
        <v>0</v>
      </c>
    </row>
    <row r="1431" spans="2:12" x14ac:dyDescent="0.35">
      <c r="B1431" s="4" t="s">
        <v>2753</v>
      </c>
      <c r="C1431" s="4" t="s">
        <v>7158</v>
      </c>
      <c r="D1431" s="4" t="s">
        <v>5</v>
      </c>
      <c r="E1431" s="4" t="s">
        <v>12</v>
      </c>
      <c r="F1431" s="4" t="s">
        <v>7</v>
      </c>
      <c r="G1431" s="4" t="s">
        <v>13</v>
      </c>
      <c r="H1431" s="4" t="s">
        <v>21</v>
      </c>
      <c r="I1431" s="5" t="str">
        <f>IFERROR(VLOOKUP(Consulta1[[#This Row],[Pozo largo]],'Lista YPF'!$B$3:$C$358,2,FALSE),"NO")</f>
        <v>NO</v>
      </c>
      <c r="J1431" s="5" t="str">
        <f>IFERROR(VLOOKUP(Consulta1[[#This Row],[Pozo]],'Lista Oportunidades'!B:C,2,FALSE),"NO")</f>
        <v>NO</v>
      </c>
      <c r="K1431" s="5">
        <f>IFERROR(VLOOKUP(Consulta1[[#This Row],[Pozo largo]],Controles!B:H,7,FALSE),"NO")</f>
        <v>1.6</v>
      </c>
      <c r="L1431" s="5">
        <f>IFERROR(VLOOKUP(Consulta1[[#This Row],[Pozo largo]],Controles!B:J,9,FALSE),"NO")</f>
        <v>0</v>
      </c>
    </row>
    <row r="1432" spans="2:12" x14ac:dyDescent="0.35">
      <c r="B1432" s="4" t="s">
        <v>2755</v>
      </c>
      <c r="C1432" s="4" t="s">
        <v>7159</v>
      </c>
      <c r="D1432" s="4" t="s">
        <v>5</v>
      </c>
      <c r="E1432" s="4" t="s">
        <v>12</v>
      </c>
      <c r="F1432" s="4" t="s">
        <v>7</v>
      </c>
      <c r="G1432" s="4" t="s">
        <v>13</v>
      </c>
      <c r="H1432" s="4" t="s">
        <v>36</v>
      </c>
      <c r="I1432" s="5" t="str">
        <f>IFERROR(VLOOKUP(Consulta1[[#This Row],[Pozo largo]],'Lista YPF'!$B$3:$C$358,2,FALSE),"NO")</f>
        <v>NO</v>
      </c>
      <c r="J1432" s="5" t="str">
        <f>IFERROR(VLOOKUP(Consulta1[[#This Row],[Pozo]],'Lista Oportunidades'!B:C,2,FALSE),"NO")</f>
        <v>NO</v>
      </c>
      <c r="K1432" s="5">
        <f>IFERROR(VLOOKUP(Consulta1[[#This Row],[Pozo largo]],Controles!B:H,7,FALSE),"NO")</f>
        <v>2.9</v>
      </c>
      <c r="L1432" s="5">
        <f>IFERROR(VLOOKUP(Consulta1[[#This Row],[Pozo largo]],Controles!B:J,9,FALSE),"NO")</f>
        <v>0</v>
      </c>
    </row>
    <row r="1433" spans="2:12" x14ac:dyDescent="0.35">
      <c r="B1433" s="4" t="s">
        <v>2757</v>
      </c>
      <c r="C1433" s="4" t="s">
        <v>7160</v>
      </c>
      <c r="D1433" s="4" t="s">
        <v>5</v>
      </c>
      <c r="E1433" s="4" t="s">
        <v>12</v>
      </c>
      <c r="F1433" s="4" t="s">
        <v>7</v>
      </c>
      <c r="G1433" s="4" t="s">
        <v>13</v>
      </c>
      <c r="H1433" s="4" t="s">
        <v>185</v>
      </c>
      <c r="I1433" s="5" t="str">
        <f>IFERROR(VLOOKUP(Consulta1[[#This Row],[Pozo largo]],'Lista YPF'!$B$3:$C$358,2,FALSE),"NO")</f>
        <v>NO</v>
      </c>
      <c r="J1433" s="5" t="str">
        <f>IFERROR(VLOOKUP(Consulta1[[#This Row],[Pozo]],'Lista Oportunidades'!B:C,2,FALSE),"NO")</f>
        <v>NO</v>
      </c>
      <c r="K1433" s="5">
        <f>IFERROR(VLOOKUP(Consulta1[[#This Row],[Pozo largo]],Controles!B:H,7,FALSE),"NO")</f>
        <v>1.1760000000000002</v>
      </c>
      <c r="L1433" s="5">
        <f>IFERROR(VLOOKUP(Consulta1[[#This Row],[Pozo largo]],Controles!B:J,9,FALSE),"NO")</f>
        <v>0</v>
      </c>
    </row>
    <row r="1434" spans="2:12" x14ac:dyDescent="0.35">
      <c r="B1434" s="4" t="s">
        <v>2759</v>
      </c>
      <c r="C1434" s="4" t="s">
        <v>7161</v>
      </c>
      <c r="D1434" s="4" t="s">
        <v>5</v>
      </c>
      <c r="E1434" s="4" t="s">
        <v>57</v>
      </c>
      <c r="F1434" s="4" t="s">
        <v>7</v>
      </c>
      <c r="G1434" s="4" t="s">
        <v>5718</v>
      </c>
      <c r="H1434" s="4" t="s">
        <v>33</v>
      </c>
      <c r="I1434" s="5" t="str">
        <f>IFERROR(VLOOKUP(Consulta1[[#This Row],[Pozo largo]],'Lista YPF'!$B$3:$C$358,2,FALSE),"NO")</f>
        <v>En lista de Abandono</v>
      </c>
      <c r="J1434" s="5" t="str">
        <f>IFERROR(VLOOKUP(Consulta1[[#This Row],[Pozo]],'Lista Oportunidades'!B:C,2,FALSE),"NO")</f>
        <v>NO</v>
      </c>
      <c r="K1434" s="5">
        <f>IFERROR(VLOOKUP(Consulta1[[#This Row],[Pozo largo]],Controles!B:H,7,FALSE),"NO")</f>
        <v>0.253</v>
      </c>
      <c r="L1434" s="5">
        <f>IFERROR(VLOOKUP(Consulta1[[#This Row],[Pozo largo]],Controles!B:J,9,FALSE),"NO")</f>
        <v>0</v>
      </c>
    </row>
    <row r="1435" spans="2:12" x14ac:dyDescent="0.35">
      <c r="B1435" s="4" t="s">
        <v>2761</v>
      </c>
      <c r="C1435" s="4" t="s">
        <v>7162</v>
      </c>
      <c r="D1435" s="4" t="s">
        <v>5</v>
      </c>
      <c r="E1435" s="4" t="s">
        <v>12</v>
      </c>
      <c r="F1435" s="4" t="s">
        <v>7</v>
      </c>
      <c r="G1435" s="4" t="s">
        <v>13</v>
      </c>
      <c r="H1435" s="4" t="s">
        <v>185</v>
      </c>
      <c r="I1435" s="5" t="str">
        <f>IFERROR(VLOOKUP(Consulta1[[#This Row],[Pozo largo]],'Lista YPF'!$B$3:$C$358,2,FALSE),"NO")</f>
        <v>NO</v>
      </c>
      <c r="J1435" s="5" t="str">
        <f>IFERROR(VLOOKUP(Consulta1[[#This Row],[Pozo]],'Lista Oportunidades'!B:C,2,FALSE),"NO")</f>
        <v>NO</v>
      </c>
      <c r="K1435" s="5">
        <f>IFERROR(VLOOKUP(Consulta1[[#This Row],[Pozo largo]],Controles!B:H,7,FALSE),"NO")</f>
        <v>2.08</v>
      </c>
      <c r="L1435" s="5">
        <f>IFERROR(VLOOKUP(Consulta1[[#This Row],[Pozo largo]],Controles!B:J,9,FALSE),"NO")</f>
        <v>0</v>
      </c>
    </row>
    <row r="1436" spans="2:12" x14ac:dyDescent="0.35">
      <c r="B1436" s="4" t="s">
        <v>2763</v>
      </c>
      <c r="C1436" s="4" t="s">
        <v>7163</v>
      </c>
      <c r="D1436" s="4" t="s">
        <v>5</v>
      </c>
      <c r="E1436" s="4" t="s">
        <v>24</v>
      </c>
      <c r="F1436" s="4" t="s">
        <v>25</v>
      </c>
      <c r="G1436" s="4" t="s">
        <v>11387</v>
      </c>
      <c r="H1436" s="4" t="s">
        <v>36</v>
      </c>
      <c r="I1436" s="5" t="str">
        <f>IFERROR(VLOOKUP(Consulta1[[#This Row],[Pozo largo]],'Lista YPF'!$B$3:$C$358,2,FALSE),"NO")</f>
        <v>NO</v>
      </c>
      <c r="J1436" s="5" t="str">
        <f>IFERROR(VLOOKUP(Consulta1[[#This Row],[Pozo]],'Lista Oportunidades'!B:C,2,FALSE),"NO")</f>
        <v>NO</v>
      </c>
      <c r="K1436" s="5">
        <f>IFERROR(VLOOKUP(Consulta1[[#This Row],[Pozo largo]],Controles!B:H,7,FALSE),"NO")</f>
        <v>0.01</v>
      </c>
      <c r="L1436" s="5" t="str">
        <f>IFERROR(VLOOKUP(Consulta1[[#This Row],[Pozo largo]],Controles!B:J,9,FALSE),"NO")</f>
        <v>Ultimo Año</v>
      </c>
    </row>
    <row r="1437" spans="2:12" x14ac:dyDescent="0.35">
      <c r="B1437" s="4" t="s">
        <v>2765</v>
      </c>
      <c r="C1437" s="4" t="s">
        <v>7164</v>
      </c>
      <c r="D1437" s="4" t="s">
        <v>5</v>
      </c>
      <c r="E1437" s="4" t="s">
        <v>6</v>
      </c>
      <c r="F1437" s="4" t="s">
        <v>7</v>
      </c>
      <c r="G1437" s="4" t="s">
        <v>5718</v>
      </c>
      <c r="H1437" s="4" t="s">
        <v>185</v>
      </c>
      <c r="I1437" s="5" t="str">
        <f>IFERROR(VLOOKUP(Consulta1[[#This Row],[Pozo largo]],'Lista YPF'!$B$3:$C$358,2,FALSE),"NO")</f>
        <v>En lista de Abandono</v>
      </c>
      <c r="J1437" s="5" t="str">
        <f>IFERROR(VLOOKUP(Consulta1[[#This Row],[Pozo]],'Lista Oportunidades'!B:C,2,FALSE),"NO")</f>
        <v>NO</v>
      </c>
      <c r="K1437" s="5">
        <f>IFERROR(VLOOKUP(Consulta1[[#This Row],[Pozo largo]],Controles!B:H,7,FALSE),"NO")</f>
        <v>3.5</v>
      </c>
      <c r="L1437" s="5" t="str">
        <f>IFERROR(VLOOKUP(Consulta1[[#This Row],[Pozo largo]],Controles!B:J,9,FALSE),"NO")</f>
        <v>Ultimo Año</v>
      </c>
    </row>
    <row r="1438" spans="2:12" x14ac:dyDescent="0.35">
      <c r="B1438" s="4" t="s">
        <v>2767</v>
      </c>
      <c r="C1438" s="4" t="s">
        <v>7165</v>
      </c>
      <c r="D1438" s="4" t="s">
        <v>5</v>
      </c>
      <c r="E1438" s="4" t="s">
        <v>12</v>
      </c>
      <c r="F1438" s="4" t="s">
        <v>28</v>
      </c>
      <c r="G1438" s="4" t="s">
        <v>13</v>
      </c>
      <c r="H1438" s="4" t="s">
        <v>33</v>
      </c>
      <c r="I1438" s="5" t="str">
        <f>IFERROR(VLOOKUP(Consulta1[[#This Row],[Pozo largo]],'Lista YPF'!$B$3:$C$358,2,FALSE),"NO")</f>
        <v>NO</v>
      </c>
      <c r="J1438" s="5" t="str">
        <f>IFERROR(VLOOKUP(Consulta1[[#This Row],[Pozo]],'Lista Oportunidades'!B:C,2,FALSE),"NO")</f>
        <v>NO</v>
      </c>
      <c r="K1438" s="5">
        <f>IFERROR(VLOOKUP(Consulta1[[#This Row],[Pozo largo]],Controles!B:H,7,FALSE),"NO")</f>
        <v>0</v>
      </c>
      <c r="L1438" s="5">
        <f>IFERROR(VLOOKUP(Consulta1[[#This Row],[Pozo largo]],Controles!B:J,9,FALSE),"NO")</f>
        <v>0</v>
      </c>
    </row>
    <row r="1439" spans="2:12" x14ac:dyDescent="0.35">
      <c r="B1439" s="4" t="s">
        <v>2769</v>
      </c>
      <c r="C1439" s="4" t="s">
        <v>7166</v>
      </c>
      <c r="D1439" s="4" t="s">
        <v>5</v>
      </c>
      <c r="E1439" s="4" t="s">
        <v>24</v>
      </c>
      <c r="F1439" s="4" t="s">
        <v>7</v>
      </c>
      <c r="G1439" s="4" t="s">
        <v>8</v>
      </c>
      <c r="H1439" s="4" t="s">
        <v>21</v>
      </c>
      <c r="I1439" s="5" t="str">
        <f>IFERROR(VLOOKUP(Consulta1[[#This Row],[Pozo largo]],'Lista YPF'!$B$3:$C$358,2,FALSE),"NO")</f>
        <v>NO</v>
      </c>
      <c r="J1439" s="5" t="str">
        <f>IFERROR(VLOOKUP(Consulta1[[#This Row],[Pozo]],'Lista Oportunidades'!B:C,2,FALSE),"NO")</f>
        <v>NO</v>
      </c>
      <c r="K1439" s="5">
        <f>IFERROR(VLOOKUP(Consulta1[[#This Row],[Pozo largo]],Controles!B:H,7,FALSE),"NO")</f>
        <v>0.4</v>
      </c>
      <c r="L1439" s="5">
        <f>IFERROR(VLOOKUP(Consulta1[[#This Row],[Pozo largo]],Controles!B:J,9,FALSE),"NO")</f>
        <v>0</v>
      </c>
    </row>
    <row r="1440" spans="2:12" x14ac:dyDescent="0.35">
      <c r="B1440" s="4" t="s">
        <v>2771</v>
      </c>
      <c r="C1440" s="4" t="s">
        <v>7167</v>
      </c>
      <c r="D1440" s="4" t="s">
        <v>5</v>
      </c>
      <c r="E1440" s="4" t="s">
        <v>30</v>
      </c>
      <c r="F1440" s="4" t="s">
        <v>31</v>
      </c>
      <c r="G1440" s="4" t="s">
        <v>32</v>
      </c>
      <c r="H1440" s="4" t="s">
        <v>21</v>
      </c>
      <c r="I1440" s="5" t="str">
        <f>IFERROR(VLOOKUP(Consulta1[[#This Row],[Pozo largo]],'Lista YPF'!$B$3:$C$358,2,FALSE),"NO")</f>
        <v>NO</v>
      </c>
      <c r="J1440" s="5" t="str">
        <f>IFERROR(VLOOKUP(Consulta1[[#This Row],[Pozo]],'Lista Oportunidades'!B:C,2,FALSE),"NO")</f>
        <v>NO</v>
      </c>
      <c r="K1440" s="5">
        <f>IFERROR(VLOOKUP(Consulta1[[#This Row],[Pozo largo]],Controles!B:H,7,FALSE),"NO")</f>
        <v>4</v>
      </c>
      <c r="L1440" s="5">
        <f>IFERROR(VLOOKUP(Consulta1[[#This Row],[Pozo largo]],Controles!B:J,9,FALSE),"NO")</f>
        <v>0</v>
      </c>
    </row>
    <row r="1441" spans="2:12" x14ac:dyDescent="0.35">
      <c r="B1441" s="4" t="s">
        <v>2773</v>
      </c>
      <c r="C1441" s="4" t="s">
        <v>7168</v>
      </c>
      <c r="D1441" s="4" t="s">
        <v>5</v>
      </c>
      <c r="E1441" s="4" t="s">
        <v>12</v>
      </c>
      <c r="F1441" s="4" t="s">
        <v>7</v>
      </c>
      <c r="G1441" s="4" t="s">
        <v>13</v>
      </c>
      <c r="H1441" s="4" t="s">
        <v>36</v>
      </c>
      <c r="I1441" s="5" t="str">
        <f>IFERROR(VLOOKUP(Consulta1[[#This Row],[Pozo largo]],'Lista YPF'!$B$3:$C$358,2,FALSE),"NO")</f>
        <v>NO</v>
      </c>
      <c r="J1441" s="5" t="str">
        <f>IFERROR(VLOOKUP(Consulta1[[#This Row],[Pozo]],'Lista Oportunidades'!B:C,2,FALSE),"NO")</f>
        <v>NO</v>
      </c>
      <c r="K1441" s="5">
        <f>IFERROR(VLOOKUP(Consulta1[[#This Row],[Pozo largo]],Controles!B:H,7,FALSE),"NO")</f>
        <v>1.32</v>
      </c>
      <c r="L1441" s="5">
        <f>IFERROR(VLOOKUP(Consulta1[[#This Row],[Pozo largo]],Controles!B:J,9,FALSE),"NO")</f>
        <v>0</v>
      </c>
    </row>
    <row r="1442" spans="2:12" x14ac:dyDescent="0.35">
      <c r="B1442" s="4" t="s">
        <v>2775</v>
      </c>
      <c r="C1442" s="4" t="s">
        <v>7169</v>
      </c>
      <c r="D1442" s="4" t="s">
        <v>5</v>
      </c>
      <c r="E1442" s="4" t="s">
        <v>12</v>
      </c>
      <c r="F1442" s="4" t="s">
        <v>28</v>
      </c>
      <c r="G1442" s="4" t="s">
        <v>13</v>
      </c>
      <c r="H1442" s="4" t="s">
        <v>9</v>
      </c>
      <c r="I1442" s="5" t="str">
        <f>IFERROR(VLOOKUP(Consulta1[[#This Row],[Pozo largo]],'Lista YPF'!$B$3:$C$358,2,FALSE),"NO")</f>
        <v>NO</v>
      </c>
      <c r="J1442" s="5" t="str">
        <f>IFERROR(VLOOKUP(Consulta1[[#This Row],[Pozo]],'Lista Oportunidades'!B:C,2,FALSE),"NO")</f>
        <v>NO</v>
      </c>
      <c r="K1442" s="5">
        <f>IFERROR(VLOOKUP(Consulta1[[#This Row],[Pozo largo]],Controles!B:H,7,FALSE),"NO")</f>
        <v>0</v>
      </c>
      <c r="L1442" s="5">
        <f>IFERROR(VLOOKUP(Consulta1[[#This Row],[Pozo largo]],Controles!B:J,9,FALSE),"NO")</f>
        <v>0</v>
      </c>
    </row>
    <row r="1443" spans="2:12" x14ac:dyDescent="0.35">
      <c r="B1443" s="4" t="s">
        <v>2777</v>
      </c>
      <c r="C1443" s="4" t="s">
        <v>7170</v>
      </c>
      <c r="D1443" s="4" t="s">
        <v>5</v>
      </c>
      <c r="E1443" s="4" t="s">
        <v>12</v>
      </c>
      <c r="F1443" s="4" t="s">
        <v>7</v>
      </c>
      <c r="G1443" s="4" t="s">
        <v>13</v>
      </c>
      <c r="H1443" s="4" t="s">
        <v>74</v>
      </c>
      <c r="I1443" s="5" t="str">
        <f>IFERROR(VLOOKUP(Consulta1[[#This Row],[Pozo largo]],'Lista YPF'!$B$3:$C$358,2,FALSE),"NO")</f>
        <v>NO</v>
      </c>
      <c r="J1443" s="5" t="str">
        <f>IFERROR(VLOOKUP(Consulta1[[#This Row],[Pozo]],'Lista Oportunidades'!B:C,2,FALSE),"NO")</f>
        <v>NO</v>
      </c>
      <c r="K1443" s="5">
        <f>IFERROR(VLOOKUP(Consulta1[[#This Row],[Pozo largo]],Controles!B:H,7,FALSE),"NO")</f>
        <v>1.4000000000000001</v>
      </c>
      <c r="L1443" s="5">
        <f>IFERROR(VLOOKUP(Consulta1[[#This Row],[Pozo largo]],Controles!B:J,9,FALSE),"NO")</f>
        <v>0</v>
      </c>
    </row>
    <row r="1444" spans="2:12" x14ac:dyDescent="0.35">
      <c r="B1444" s="4" t="s">
        <v>2779</v>
      </c>
      <c r="C1444" s="4" t="s">
        <v>7171</v>
      </c>
      <c r="D1444" s="4" t="s">
        <v>5</v>
      </c>
      <c r="E1444" s="4" t="s">
        <v>12</v>
      </c>
      <c r="F1444" s="4" t="s">
        <v>7</v>
      </c>
      <c r="G1444" s="4" t="s">
        <v>13</v>
      </c>
      <c r="H1444" s="4" t="s">
        <v>71</v>
      </c>
      <c r="I1444" s="5" t="str">
        <f>IFERROR(VLOOKUP(Consulta1[[#This Row],[Pozo largo]],'Lista YPF'!$B$3:$C$358,2,FALSE),"NO")</f>
        <v>NO</v>
      </c>
      <c r="J1444" s="5" t="str">
        <f>IFERROR(VLOOKUP(Consulta1[[#This Row],[Pozo]],'Lista Oportunidades'!B:C,2,FALSE),"NO")</f>
        <v>NO</v>
      </c>
      <c r="K1444" s="5">
        <f>IFERROR(VLOOKUP(Consulta1[[#This Row],[Pozo largo]],Controles!B:H,7,FALSE),"NO")</f>
        <v>1.8</v>
      </c>
      <c r="L1444" s="5">
        <f>IFERROR(VLOOKUP(Consulta1[[#This Row],[Pozo largo]],Controles!B:J,9,FALSE),"NO")</f>
        <v>0</v>
      </c>
    </row>
    <row r="1445" spans="2:12" x14ac:dyDescent="0.35">
      <c r="B1445" s="4" t="s">
        <v>2781</v>
      </c>
      <c r="C1445" s="4" t="s">
        <v>7172</v>
      </c>
      <c r="D1445" s="4" t="s">
        <v>5</v>
      </c>
      <c r="E1445" s="4" t="s">
        <v>12</v>
      </c>
      <c r="F1445" s="4" t="s">
        <v>25</v>
      </c>
      <c r="G1445" s="4" t="s">
        <v>13</v>
      </c>
      <c r="H1445" s="4" t="s">
        <v>185</v>
      </c>
      <c r="I1445" s="5" t="str">
        <f>IFERROR(VLOOKUP(Consulta1[[#This Row],[Pozo largo]],'Lista YPF'!$B$3:$C$358,2,FALSE),"NO")</f>
        <v>NO</v>
      </c>
      <c r="J1445" s="5" t="str">
        <f>IFERROR(VLOOKUP(Consulta1[[#This Row],[Pozo]],'Lista Oportunidades'!B:C,2,FALSE),"NO")</f>
        <v>NO</v>
      </c>
      <c r="K1445" s="5">
        <f>IFERROR(VLOOKUP(Consulta1[[#This Row],[Pozo largo]],Controles!B:H,7,FALSE),"NO")</f>
        <v>0.10400000000000001</v>
      </c>
      <c r="L1445" s="5">
        <f>IFERROR(VLOOKUP(Consulta1[[#This Row],[Pozo largo]],Controles!B:J,9,FALSE),"NO")</f>
        <v>0</v>
      </c>
    </row>
    <row r="1446" spans="2:12" x14ac:dyDescent="0.35">
      <c r="B1446" s="4" t="s">
        <v>2783</v>
      </c>
      <c r="C1446" s="4" t="s">
        <v>7173</v>
      </c>
      <c r="D1446" s="4" t="s">
        <v>5</v>
      </c>
      <c r="E1446" s="4" t="s">
        <v>12</v>
      </c>
      <c r="F1446" s="4" t="s">
        <v>28</v>
      </c>
      <c r="G1446" s="4" t="s">
        <v>13</v>
      </c>
      <c r="H1446" s="4" t="s">
        <v>86</v>
      </c>
      <c r="I1446" s="5" t="str">
        <f>IFERROR(VLOOKUP(Consulta1[[#This Row],[Pozo largo]],'Lista YPF'!$B$3:$C$358,2,FALSE),"NO")</f>
        <v>NO</v>
      </c>
      <c r="J1446" s="5" t="str">
        <f>IFERROR(VLOOKUP(Consulta1[[#This Row],[Pozo]],'Lista Oportunidades'!B:C,2,FALSE),"NO")</f>
        <v>NO</v>
      </c>
      <c r="K1446" s="5">
        <f>IFERROR(VLOOKUP(Consulta1[[#This Row],[Pozo largo]],Controles!B:H,7,FALSE),"NO")</f>
        <v>0</v>
      </c>
      <c r="L1446" s="5">
        <f>IFERROR(VLOOKUP(Consulta1[[#This Row],[Pozo largo]],Controles!B:J,9,FALSE),"NO")</f>
        <v>0</v>
      </c>
    </row>
    <row r="1447" spans="2:12" x14ac:dyDescent="0.35">
      <c r="B1447" s="4" t="s">
        <v>2785</v>
      </c>
      <c r="C1447" s="4" t="s">
        <v>7174</v>
      </c>
      <c r="D1447" s="4" t="s">
        <v>5</v>
      </c>
      <c r="E1447" s="4" t="s">
        <v>6</v>
      </c>
      <c r="F1447" s="4" t="s">
        <v>7</v>
      </c>
      <c r="G1447" s="4" t="s">
        <v>5718</v>
      </c>
      <c r="H1447" s="4" t="s">
        <v>9</v>
      </c>
      <c r="I1447" s="5" t="str">
        <f>IFERROR(VLOOKUP(Consulta1[[#This Row],[Pozo largo]],'Lista YPF'!$B$3:$C$358,2,FALSE),"NO")</f>
        <v>En lista de Abandono</v>
      </c>
      <c r="J1447" s="5" t="str">
        <f>IFERROR(VLOOKUP(Consulta1[[#This Row],[Pozo]],'Lista Oportunidades'!B:C,2,FALSE),"NO")</f>
        <v>NO</v>
      </c>
      <c r="K1447" s="5">
        <f>IFERROR(VLOOKUP(Consulta1[[#This Row],[Pozo largo]],Controles!B:H,7,FALSE),"NO")</f>
        <v>0.6</v>
      </c>
      <c r="L1447" s="5" t="str">
        <f>IFERROR(VLOOKUP(Consulta1[[#This Row],[Pozo largo]],Controles!B:J,9,FALSE),"NO")</f>
        <v>Ultimo Año</v>
      </c>
    </row>
    <row r="1448" spans="2:12" x14ac:dyDescent="0.35">
      <c r="B1448" s="4" t="s">
        <v>2787</v>
      </c>
      <c r="C1448" s="4" t="s">
        <v>7175</v>
      </c>
      <c r="D1448" s="4" t="s">
        <v>5</v>
      </c>
      <c r="E1448" s="4" t="s">
        <v>6</v>
      </c>
      <c r="F1448" s="4" t="s">
        <v>7</v>
      </c>
      <c r="G1448" s="4" t="s">
        <v>5718</v>
      </c>
      <c r="H1448" s="4" t="s">
        <v>9</v>
      </c>
      <c r="I1448" s="5" t="str">
        <f>IFERROR(VLOOKUP(Consulta1[[#This Row],[Pozo largo]],'Lista YPF'!$B$3:$C$358,2,FALSE),"NO")</f>
        <v>En lista de Abandono</v>
      </c>
      <c r="J1448" s="5" t="str">
        <f>IFERROR(VLOOKUP(Consulta1[[#This Row],[Pozo]],'Lista Oportunidades'!B:C,2,FALSE),"NO")</f>
        <v>NO</v>
      </c>
      <c r="K1448" s="5">
        <f>IFERROR(VLOOKUP(Consulta1[[#This Row],[Pozo largo]],Controles!B:H,7,FALSE),"NO")</f>
        <v>0.09</v>
      </c>
      <c r="L1448" s="5">
        <f>IFERROR(VLOOKUP(Consulta1[[#This Row],[Pozo largo]],Controles!B:J,9,FALSE),"NO")</f>
        <v>0</v>
      </c>
    </row>
    <row r="1449" spans="2:12" x14ac:dyDescent="0.35">
      <c r="B1449" s="4" t="s">
        <v>2789</v>
      </c>
      <c r="C1449" s="4" t="s">
        <v>7176</v>
      </c>
      <c r="D1449" s="4" t="s">
        <v>5</v>
      </c>
      <c r="E1449" s="4" t="s">
        <v>24</v>
      </c>
      <c r="F1449" s="4" t="s">
        <v>7</v>
      </c>
      <c r="G1449" s="4" t="s">
        <v>8</v>
      </c>
      <c r="H1449" s="4" t="s">
        <v>71</v>
      </c>
      <c r="I1449" s="5" t="str">
        <f>IFERROR(VLOOKUP(Consulta1[[#This Row],[Pozo largo]],'Lista YPF'!$B$3:$C$358,2,FALSE),"NO")</f>
        <v>NO</v>
      </c>
      <c r="J1449" s="5" t="str">
        <f>IFERROR(VLOOKUP(Consulta1[[#This Row],[Pozo]],'Lista Oportunidades'!B:C,2,FALSE),"NO")</f>
        <v>NO</v>
      </c>
      <c r="K1449" s="5">
        <f>IFERROR(VLOOKUP(Consulta1[[#This Row],[Pozo largo]],Controles!B:H,7,FALSE),"NO")</f>
        <v>0.57600000000000007</v>
      </c>
      <c r="L1449" s="5">
        <f>IFERROR(VLOOKUP(Consulta1[[#This Row],[Pozo largo]],Controles!B:J,9,FALSE),"NO")</f>
        <v>0</v>
      </c>
    </row>
    <row r="1450" spans="2:12" x14ac:dyDescent="0.35">
      <c r="B1450" s="4" t="s">
        <v>2791</v>
      </c>
      <c r="C1450" s="4" t="s">
        <v>7177</v>
      </c>
      <c r="D1450" s="4" t="s">
        <v>5</v>
      </c>
      <c r="E1450" s="4" t="s">
        <v>12</v>
      </c>
      <c r="F1450" s="4" t="s">
        <v>28</v>
      </c>
      <c r="G1450" s="4" t="s">
        <v>13</v>
      </c>
      <c r="H1450" s="4" t="s">
        <v>71</v>
      </c>
      <c r="I1450" s="5" t="str">
        <f>IFERROR(VLOOKUP(Consulta1[[#This Row],[Pozo largo]],'Lista YPF'!$B$3:$C$358,2,FALSE),"NO")</f>
        <v>NO</v>
      </c>
      <c r="J1450" s="5" t="str">
        <f>IFERROR(VLOOKUP(Consulta1[[#This Row],[Pozo]],'Lista Oportunidades'!B:C,2,FALSE),"NO")</f>
        <v>NO</v>
      </c>
      <c r="K1450" s="5">
        <f>IFERROR(VLOOKUP(Consulta1[[#This Row],[Pozo largo]],Controles!B:H,7,FALSE),"NO")</f>
        <v>0</v>
      </c>
      <c r="L1450" s="5">
        <f>IFERROR(VLOOKUP(Consulta1[[#This Row],[Pozo largo]],Controles!B:J,9,FALSE),"NO")</f>
        <v>0</v>
      </c>
    </row>
    <row r="1451" spans="2:12" x14ac:dyDescent="0.35">
      <c r="B1451" s="4" t="s">
        <v>2793</v>
      </c>
      <c r="C1451" s="4" t="s">
        <v>7178</v>
      </c>
      <c r="D1451" s="4" t="s">
        <v>5</v>
      </c>
      <c r="E1451" s="4" t="s">
        <v>24</v>
      </c>
      <c r="F1451" s="4" t="s">
        <v>28</v>
      </c>
      <c r="G1451" s="4" t="s">
        <v>8</v>
      </c>
      <c r="H1451" s="4" t="s">
        <v>9</v>
      </c>
      <c r="I1451" s="5" t="str">
        <f>IFERROR(VLOOKUP(Consulta1[[#This Row],[Pozo largo]],'Lista YPF'!$B$3:$C$358,2,FALSE),"NO")</f>
        <v>NO</v>
      </c>
      <c r="J1451" s="5" t="str">
        <f>IFERROR(VLOOKUP(Consulta1[[#This Row],[Pozo]],'Lista Oportunidades'!B:C,2,FALSE),"NO")</f>
        <v>NO</v>
      </c>
      <c r="K1451" s="5">
        <f>IFERROR(VLOOKUP(Consulta1[[#This Row],[Pozo largo]],Controles!B:H,7,FALSE),"NO")</f>
        <v>0</v>
      </c>
      <c r="L1451" s="5">
        <f>IFERROR(VLOOKUP(Consulta1[[#This Row],[Pozo largo]],Controles!B:J,9,FALSE),"NO")</f>
        <v>0</v>
      </c>
    </row>
    <row r="1452" spans="2:12" x14ac:dyDescent="0.35">
      <c r="B1452" s="4" t="s">
        <v>2795</v>
      </c>
      <c r="C1452" s="4" t="s">
        <v>7179</v>
      </c>
      <c r="D1452" s="4" t="s">
        <v>5</v>
      </c>
      <c r="E1452" s="4" t="s">
        <v>30</v>
      </c>
      <c r="F1452" s="4" t="s">
        <v>31</v>
      </c>
      <c r="G1452" s="4" t="s">
        <v>32</v>
      </c>
      <c r="H1452" s="4" t="s">
        <v>21</v>
      </c>
      <c r="I1452" s="5" t="str">
        <f>IFERROR(VLOOKUP(Consulta1[[#This Row],[Pozo largo]],'Lista YPF'!$B$3:$C$358,2,FALSE),"NO")</f>
        <v>NO</v>
      </c>
      <c r="J1452" s="5" t="str">
        <f>IFERROR(VLOOKUP(Consulta1[[#This Row],[Pozo]],'Lista Oportunidades'!B:C,2,FALSE),"NO")</f>
        <v>NO</v>
      </c>
      <c r="K1452" s="5">
        <f>IFERROR(VLOOKUP(Consulta1[[#This Row],[Pozo largo]],Controles!B:H,7,FALSE),"NO")</f>
        <v>0</v>
      </c>
      <c r="L1452" s="5">
        <f>IFERROR(VLOOKUP(Consulta1[[#This Row],[Pozo largo]],Controles!B:J,9,FALSE),"NO")</f>
        <v>0</v>
      </c>
    </row>
    <row r="1453" spans="2:12" x14ac:dyDescent="0.35">
      <c r="B1453" s="4" t="s">
        <v>2797</v>
      </c>
      <c r="C1453" s="4" t="s">
        <v>7180</v>
      </c>
      <c r="D1453" s="4" t="s">
        <v>5</v>
      </c>
      <c r="E1453" s="4" t="s">
        <v>12</v>
      </c>
      <c r="F1453" s="4" t="s">
        <v>28</v>
      </c>
      <c r="G1453" s="4" t="s">
        <v>13</v>
      </c>
      <c r="H1453" s="4" t="s">
        <v>254</v>
      </c>
      <c r="I1453" s="5" t="str">
        <f>IFERROR(VLOOKUP(Consulta1[[#This Row],[Pozo largo]],'Lista YPF'!$B$3:$C$358,2,FALSE),"NO")</f>
        <v>NO</v>
      </c>
      <c r="J1453" s="5" t="str">
        <f>IFERROR(VLOOKUP(Consulta1[[#This Row],[Pozo]],'Lista Oportunidades'!B:C,2,FALSE),"NO")</f>
        <v>NO</v>
      </c>
      <c r="K1453" s="5">
        <f>IFERROR(VLOOKUP(Consulta1[[#This Row],[Pozo largo]],Controles!B:H,7,FALSE),"NO")</f>
        <v>0</v>
      </c>
      <c r="L1453" s="5">
        <f>IFERROR(VLOOKUP(Consulta1[[#This Row],[Pozo largo]],Controles!B:J,9,FALSE),"NO")</f>
        <v>0</v>
      </c>
    </row>
    <row r="1454" spans="2:12" x14ac:dyDescent="0.35">
      <c r="B1454" s="4" t="s">
        <v>2799</v>
      </c>
      <c r="C1454" s="4" t="s">
        <v>7181</v>
      </c>
      <c r="D1454" s="4" t="s">
        <v>5</v>
      </c>
      <c r="E1454" s="4" t="s">
        <v>57</v>
      </c>
      <c r="F1454" s="4" t="s">
        <v>238</v>
      </c>
      <c r="G1454" s="4" t="s">
        <v>5718</v>
      </c>
      <c r="H1454" s="4" t="s">
        <v>21</v>
      </c>
      <c r="I1454" s="5" t="str">
        <f>IFERROR(VLOOKUP(Consulta1[[#This Row],[Pozo largo]],'Lista YPF'!$B$3:$C$358,2,FALSE),"NO")</f>
        <v>En lista de Abandono</v>
      </c>
      <c r="J1454" s="5" t="str">
        <f>IFERROR(VLOOKUP(Consulta1[[#This Row],[Pozo]],'Lista Oportunidades'!B:C,2,FALSE),"NO")</f>
        <v>NO</v>
      </c>
      <c r="K1454" s="5">
        <f>IFERROR(VLOOKUP(Consulta1[[#This Row],[Pozo largo]],Controles!B:H,7,FALSE),"NO")</f>
        <v>0</v>
      </c>
      <c r="L1454" s="5">
        <f>IFERROR(VLOOKUP(Consulta1[[#This Row],[Pozo largo]],Controles!B:J,9,FALSE),"NO")</f>
        <v>0</v>
      </c>
    </row>
    <row r="1455" spans="2:12" x14ac:dyDescent="0.35">
      <c r="B1455" s="4" t="s">
        <v>2801</v>
      </c>
      <c r="C1455" s="4" t="s">
        <v>7182</v>
      </c>
      <c r="D1455" s="4" t="s">
        <v>5</v>
      </c>
      <c r="E1455" s="4" t="s">
        <v>30</v>
      </c>
      <c r="F1455" s="4" t="s">
        <v>31</v>
      </c>
      <c r="G1455" s="4" t="s">
        <v>32</v>
      </c>
      <c r="H1455" s="4" t="s">
        <v>254</v>
      </c>
      <c r="I1455" s="5" t="str">
        <f>IFERROR(VLOOKUP(Consulta1[[#This Row],[Pozo largo]],'Lista YPF'!$B$3:$C$358,2,FALSE),"NO")</f>
        <v>NO</v>
      </c>
      <c r="J1455" s="5" t="str">
        <f>IFERROR(VLOOKUP(Consulta1[[#This Row],[Pozo]],'Lista Oportunidades'!B:C,2,FALSE),"NO")</f>
        <v>NO</v>
      </c>
      <c r="K1455" s="5">
        <f>IFERROR(VLOOKUP(Consulta1[[#This Row],[Pozo largo]],Controles!B:H,7,FALSE),"NO")</f>
        <v>0.6</v>
      </c>
      <c r="L1455" s="5">
        <f>IFERROR(VLOOKUP(Consulta1[[#This Row],[Pozo largo]],Controles!B:J,9,FALSE),"NO")</f>
        <v>0</v>
      </c>
    </row>
    <row r="1456" spans="2:12" x14ac:dyDescent="0.35">
      <c r="B1456" s="4" t="s">
        <v>2803</v>
      </c>
      <c r="C1456" s="4" t="s">
        <v>7183</v>
      </c>
      <c r="D1456" s="4" t="s">
        <v>5</v>
      </c>
      <c r="E1456" s="4" t="s">
        <v>24</v>
      </c>
      <c r="F1456" s="4" t="s">
        <v>25</v>
      </c>
      <c r="G1456" s="4" t="s">
        <v>11387</v>
      </c>
      <c r="H1456" s="4" t="s">
        <v>33</v>
      </c>
      <c r="I1456" s="5" t="str">
        <f>IFERROR(VLOOKUP(Consulta1[[#This Row],[Pozo largo]],'Lista YPF'!$B$3:$C$358,2,FALSE),"NO")</f>
        <v>NO</v>
      </c>
      <c r="J1456" s="5" t="str">
        <f>IFERROR(VLOOKUP(Consulta1[[#This Row],[Pozo]],'Lista Oportunidades'!B:C,2,FALSE),"NO")</f>
        <v>NO</v>
      </c>
      <c r="K1456" s="5">
        <f>IFERROR(VLOOKUP(Consulta1[[#This Row],[Pozo largo]],Controles!B:H,7,FALSE),"NO")</f>
        <v>0.01</v>
      </c>
      <c r="L1456" s="5" t="str">
        <f>IFERROR(VLOOKUP(Consulta1[[#This Row],[Pozo largo]],Controles!B:J,9,FALSE),"NO")</f>
        <v>Ultimo Año</v>
      </c>
    </row>
    <row r="1457" spans="2:12" x14ac:dyDescent="0.35">
      <c r="B1457" s="4" t="s">
        <v>2805</v>
      </c>
      <c r="C1457" s="4" t="s">
        <v>7184</v>
      </c>
      <c r="D1457" s="4" t="s">
        <v>5</v>
      </c>
      <c r="E1457" s="4" t="s">
        <v>57</v>
      </c>
      <c r="F1457" s="4" t="s">
        <v>31</v>
      </c>
      <c r="G1457" s="4" t="s">
        <v>8689</v>
      </c>
      <c r="H1457" s="4" t="s">
        <v>149</v>
      </c>
      <c r="I1457" s="5" t="str">
        <f>IFERROR(VLOOKUP(Consulta1[[#This Row],[Pozo largo]],'Lista YPF'!$B$3:$C$358,2,FALSE),"NO")</f>
        <v>NO</v>
      </c>
      <c r="J1457" s="5" t="str">
        <f>IFERROR(VLOOKUP(Consulta1[[#This Row],[Pozo]],'Lista Oportunidades'!B:C,2,FALSE),"NO")</f>
        <v>Oportunidad</v>
      </c>
      <c r="K1457" s="5">
        <f>IFERROR(VLOOKUP(Consulta1[[#This Row],[Pozo largo]],Controles!B:H,7,FALSE),"NO")</f>
        <v>1.19</v>
      </c>
      <c r="L1457" s="5">
        <f>IFERROR(VLOOKUP(Consulta1[[#This Row],[Pozo largo]],Controles!B:J,9,FALSE),"NO")</f>
        <v>0</v>
      </c>
    </row>
    <row r="1458" spans="2:12" x14ac:dyDescent="0.35">
      <c r="B1458" s="4" t="s">
        <v>2807</v>
      </c>
      <c r="C1458" s="4" t="s">
        <v>7185</v>
      </c>
      <c r="D1458" s="4" t="s">
        <v>5</v>
      </c>
      <c r="E1458" s="4" t="s">
        <v>12</v>
      </c>
      <c r="F1458" s="4" t="s">
        <v>7</v>
      </c>
      <c r="G1458" s="4" t="s">
        <v>13</v>
      </c>
      <c r="H1458" s="4" t="s">
        <v>71</v>
      </c>
      <c r="I1458" s="5" t="str">
        <f>IFERROR(VLOOKUP(Consulta1[[#This Row],[Pozo largo]],'Lista YPF'!$B$3:$C$358,2,FALSE),"NO")</f>
        <v>NO</v>
      </c>
      <c r="J1458" s="5" t="str">
        <f>IFERROR(VLOOKUP(Consulta1[[#This Row],[Pozo]],'Lista Oportunidades'!B:C,2,FALSE),"NO")</f>
        <v>NO</v>
      </c>
      <c r="K1458" s="5">
        <f>IFERROR(VLOOKUP(Consulta1[[#This Row],[Pozo largo]],Controles!B:H,7,FALSE),"NO")</f>
        <v>1.56</v>
      </c>
      <c r="L1458" s="5">
        <f>IFERROR(VLOOKUP(Consulta1[[#This Row],[Pozo largo]],Controles!B:J,9,FALSE),"NO")</f>
        <v>0</v>
      </c>
    </row>
    <row r="1459" spans="2:12" x14ac:dyDescent="0.35">
      <c r="B1459" s="4" t="s">
        <v>2809</v>
      </c>
      <c r="C1459" s="4" t="s">
        <v>7186</v>
      </c>
      <c r="D1459" s="4" t="s">
        <v>5</v>
      </c>
      <c r="E1459" s="4" t="s">
        <v>24</v>
      </c>
      <c r="F1459" s="4" t="s">
        <v>31</v>
      </c>
      <c r="G1459" s="4" t="s">
        <v>8</v>
      </c>
      <c r="H1459" s="4" t="s">
        <v>9</v>
      </c>
      <c r="I1459" s="5" t="str">
        <f>IFERROR(VLOOKUP(Consulta1[[#This Row],[Pozo largo]],'Lista YPF'!$B$3:$C$358,2,FALSE),"NO")</f>
        <v>NO</v>
      </c>
      <c r="J1459" s="5" t="str">
        <f>IFERROR(VLOOKUP(Consulta1[[#This Row],[Pozo]],'Lista Oportunidades'!B:C,2,FALSE),"NO")</f>
        <v>NO</v>
      </c>
      <c r="K1459" s="5">
        <f>IFERROR(VLOOKUP(Consulta1[[#This Row],[Pozo largo]],Controles!B:H,7,FALSE),"NO")</f>
        <v>0.3</v>
      </c>
      <c r="L1459" s="5">
        <f>IFERROR(VLOOKUP(Consulta1[[#This Row],[Pozo largo]],Controles!B:J,9,FALSE),"NO")</f>
        <v>0</v>
      </c>
    </row>
    <row r="1460" spans="2:12" x14ac:dyDescent="0.35">
      <c r="B1460" s="4" t="s">
        <v>2811</v>
      </c>
      <c r="C1460" s="4" t="s">
        <v>7187</v>
      </c>
      <c r="D1460" s="4" t="s">
        <v>5</v>
      </c>
      <c r="E1460" s="4" t="s">
        <v>30</v>
      </c>
      <c r="F1460" s="4" t="s">
        <v>31</v>
      </c>
      <c r="G1460" s="4" t="s">
        <v>32</v>
      </c>
      <c r="H1460" s="4" t="s">
        <v>21</v>
      </c>
      <c r="I1460" s="5" t="str">
        <f>IFERROR(VLOOKUP(Consulta1[[#This Row],[Pozo largo]],'Lista YPF'!$B$3:$C$358,2,FALSE),"NO")</f>
        <v>NO</v>
      </c>
      <c r="J1460" s="5" t="str">
        <f>IFERROR(VLOOKUP(Consulta1[[#This Row],[Pozo]],'Lista Oportunidades'!B:C,2,FALSE),"NO")</f>
        <v>NO</v>
      </c>
      <c r="K1460" s="5" t="str">
        <f>IFERROR(VLOOKUP(Consulta1[[#This Row],[Pozo largo]],Controles!B:H,7,FALSE),"NO")</f>
        <v>NO</v>
      </c>
      <c r="L1460" s="5" t="str">
        <f>IFERROR(VLOOKUP(Consulta1[[#This Row],[Pozo largo]],Controles!B:J,9,FALSE),"NO")</f>
        <v>NO</v>
      </c>
    </row>
    <row r="1461" spans="2:12" x14ac:dyDescent="0.35">
      <c r="B1461" s="4" t="s">
        <v>2812</v>
      </c>
      <c r="C1461" s="4" t="s">
        <v>7188</v>
      </c>
      <c r="D1461" s="4" t="s">
        <v>5</v>
      </c>
      <c r="E1461" s="4" t="s">
        <v>12</v>
      </c>
      <c r="F1461" s="4" t="s">
        <v>28</v>
      </c>
      <c r="G1461" s="4" t="s">
        <v>13</v>
      </c>
      <c r="H1461" s="4" t="s">
        <v>9</v>
      </c>
      <c r="I1461" s="5" t="str">
        <f>IFERROR(VLOOKUP(Consulta1[[#This Row],[Pozo largo]],'Lista YPF'!$B$3:$C$358,2,FALSE),"NO")</f>
        <v>NO</v>
      </c>
      <c r="J1461" s="5" t="str">
        <f>IFERROR(VLOOKUP(Consulta1[[#This Row],[Pozo]],'Lista Oportunidades'!B:C,2,FALSE),"NO")</f>
        <v>NO</v>
      </c>
      <c r="K1461" s="5">
        <f>IFERROR(VLOOKUP(Consulta1[[#This Row],[Pozo largo]],Controles!B:H,7,FALSE),"NO")</f>
        <v>0</v>
      </c>
      <c r="L1461" s="5">
        <f>IFERROR(VLOOKUP(Consulta1[[#This Row],[Pozo largo]],Controles!B:J,9,FALSE),"NO")</f>
        <v>0</v>
      </c>
    </row>
    <row r="1462" spans="2:12" x14ac:dyDescent="0.35">
      <c r="B1462" s="4" t="s">
        <v>2814</v>
      </c>
      <c r="C1462" s="4" t="s">
        <v>7189</v>
      </c>
      <c r="D1462" s="4" t="s">
        <v>5</v>
      </c>
      <c r="E1462" s="4" t="s">
        <v>30</v>
      </c>
      <c r="F1462" s="4" t="s">
        <v>31</v>
      </c>
      <c r="G1462" s="4" t="s">
        <v>32</v>
      </c>
      <c r="H1462" s="4" t="s">
        <v>33</v>
      </c>
      <c r="I1462" s="5" t="str">
        <f>IFERROR(VLOOKUP(Consulta1[[#This Row],[Pozo largo]],'Lista YPF'!$B$3:$C$358,2,FALSE),"NO")</f>
        <v>NO</v>
      </c>
      <c r="J1462" s="5" t="str">
        <f>IFERROR(VLOOKUP(Consulta1[[#This Row],[Pozo]],'Lista Oportunidades'!B:C,2,FALSE),"NO")</f>
        <v>NO</v>
      </c>
      <c r="K1462" s="5" t="str">
        <f>IFERROR(VLOOKUP(Consulta1[[#This Row],[Pozo largo]],Controles!B:H,7,FALSE),"NO")</f>
        <v>NO</v>
      </c>
      <c r="L1462" s="5" t="str">
        <f>IFERROR(VLOOKUP(Consulta1[[#This Row],[Pozo largo]],Controles!B:J,9,FALSE),"NO")</f>
        <v>NO</v>
      </c>
    </row>
    <row r="1463" spans="2:12" x14ac:dyDescent="0.35">
      <c r="B1463" s="4" t="s">
        <v>2815</v>
      </c>
      <c r="C1463" s="4" t="s">
        <v>7190</v>
      </c>
      <c r="D1463" s="4" t="s">
        <v>5</v>
      </c>
      <c r="E1463" s="4" t="s">
        <v>30</v>
      </c>
      <c r="F1463" s="4" t="s">
        <v>31</v>
      </c>
      <c r="G1463" s="4" t="s">
        <v>32</v>
      </c>
      <c r="H1463" s="4" t="s">
        <v>80</v>
      </c>
      <c r="I1463" s="5" t="str">
        <f>IFERROR(VLOOKUP(Consulta1[[#This Row],[Pozo largo]],'Lista YPF'!$B$3:$C$358,2,FALSE),"NO")</f>
        <v>NO</v>
      </c>
      <c r="J1463" s="5" t="str">
        <f>IFERROR(VLOOKUP(Consulta1[[#This Row],[Pozo]],'Lista Oportunidades'!B:C,2,FALSE),"NO")</f>
        <v>NO</v>
      </c>
      <c r="K1463" s="5">
        <f>IFERROR(VLOOKUP(Consulta1[[#This Row],[Pozo largo]],Controles!B:H,7,FALSE),"NO")</f>
        <v>0</v>
      </c>
      <c r="L1463" s="5">
        <f>IFERROR(VLOOKUP(Consulta1[[#This Row],[Pozo largo]],Controles!B:J,9,FALSE),"NO")</f>
        <v>0</v>
      </c>
    </row>
    <row r="1464" spans="2:12" x14ac:dyDescent="0.35">
      <c r="B1464" s="4" t="s">
        <v>2817</v>
      </c>
      <c r="C1464" s="4" t="s">
        <v>7191</v>
      </c>
      <c r="D1464" s="4" t="s">
        <v>5</v>
      </c>
      <c r="E1464" s="4" t="s">
        <v>30</v>
      </c>
      <c r="F1464" s="4" t="s">
        <v>31</v>
      </c>
      <c r="G1464" s="4" t="s">
        <v>32</v>
      </c>
      <c r="H1464" s="4" t="s">
        <v>86</v>
      </c>
      <c r="I1464" s="5" t="str">
        <f>IFERROR(VLOOKUP(Consulta1[[#This Row],[Pozo largo]],'Lista YPF'!$B$3:$C$358,2,FALSE),"NO")</f>
        <v>NO</v>
      </c>
      <c r="J1464" s="5" t="str">
        <f>IFERROR(VLOOKUP(Consulta1[[#This Row],[Pozo]],'Lista Oportunidades'!B:C,2,FALSE),"NO")</f>
        <v>NO</v>
      </c>
      <c r="K1464" s="5" t="str">
        <f>IFERROR(VLOOKUP(Consulta1[[#This Row],[Pozo largo]],Controles!B:H,7,FALSE),"NO")</f>
        <v>NO</v>
      </c>
      <c r="L1464" s="5" t="str">
        <f>IFERROR(VLOOKUP(Consulta1[[#This Row],[Pozo largo]],Controles!B:J,9,FALSE),"NO")</f>
        <v>NO</v>
      </c>
    </row>
    <row r="1465" spans="2:12" x14ac:dyDescent="0.35">
      <c r="B1465" s="4" t="s">
        <v>2818</v>
      </c>
      <c r="C1465" s="4" t="s">
        <v>7192</v>
      </c>
      <c r="D1465" s="4" t="s">
        <v>5</v>
      </c>
      <c r="E1465" s="4" t="s">
        <v>30</v>
      </c>
      <c r="F1465" s="4" t="s">
        <v>31</v>
      </c>
      <c r="G1465" s="4" t="s">
        <v>32</v>
      </c>
      <c r="H1465" s="4" t="s">
        <v>91</v>
      </c>
      <c r="I1465" s="5" t="str">
        <f>IFERROR(VLOOKUP(Consulta1[[#This Row],[Pozo largo]],'Lista YPF'!$B$3:$C$358,2,FALSE),"NO")</f>
        <v>NO</v>
      </c>
      <c r="J1465" s="5" t="str">
        <f>IFERROR(VLOOKUP(Consulta1[[#This Row],[Pozo]],'Lista Oportunidades'!B:C,2,FALSE),"NO")</f>
        <v>NO</v>
      </c>
      <c r="K1465" s="5" t="str">
        <f>IFERROR(VLOOKUP(Consulta1[[#This Row],[Pozo largo]],Controles!B:H,7,FALSE),"NO")</f>
        <v>NO</v>
      </c>
      <c r="L1465" s="5" t="str">
        <f>IFERROR(VLOOKUP(Consulta1[[#This Row],[Pozo largo]],Controles!B:J,9,FALSE),"NO")</f>
        <v>NO</v>
      </c>
    </row>
    <row r="1466" spans="2:12" x14ac:dyDescent="0.35">
      <c r="B1466" s="4" t="s">
        <v>2819</v>
      </c>
      <c r="C1466" s="4" t="s">
        <v>7193</v>
      </c>
      <c r="D1466" s="4" t="s">
        <v>5</v>
      </c>
      <c r="E1466" s="4" t="s">
        <v>24</v>
      </c>
      <c r="F1466" s="4" t="s">
        <v>25</v>
      </c>
      <c r="G1466" s="4" t="s">
        <v>8</v>
      </c>
      <c r="H1466" s="4" t="s">
        <v>86</v>
      </c>
      <c r="I1466" s="5" t="str">
        <f>IFERROR(VLOOKUP(Consulta1[[#This Row],[Pozo largo]],'Lista YPF'!$B$3:$C$358,2,FALSE),"NO")</f>
        <v>NO</v>
      </c>
      <c r="J1466" s="5" t="str">
        <f>IFERROR(VLOOKUP(Consulta1[[#This Row],[Pozo]],'Lista Oportunidades'!B:C,2,FALSE),"NO")</f>
        <v>NO</v>
      </c>
      <c r="K1466" s="5">
        <f>IFERROR(VLOOKUP(Consulta1[[#This Row],[Pozo largo]],Controles!B:H,7,FALSE),"NO")</f>
        <v>6.9000000000000006E-2</v>
      </c>
      <c r="L1466" s="5">
        <f>IFERROR(VLOOKUP(Consulta1[[#This Row],[Pozo largo]],Controles!B:J,9,FALSE),"NO")</f>
        <v>0</v>
      </c>
    </row>
    <row r="1467" spans="2:12" x14ac:dyDescent="0.35">
      <c r="B1467" s="4" t="s">
        <v>2821</v>
      </c>
      <c r="C1467" s="4" t="s">
        <v>7194</v>
      </c>
      <c r="D1467" s="4" t="s">
        <v>5</v>
      </c>
      <c r="E1467" s="4" t="s">
        <v>24</v>
      </c>
      <c r="F1467" s="4" t="s">
        <v>31</v>
      </c>
      <c r="G1467" s="4" t="s">
        <v>8</v>
      </c>
      <c r="H1467" s="4" t="s">
        <v>185</v>
      </c>
      <c r="I1467" s="5" t="str">
        <f>IFERROR(VLOOKUP(Consulta1[[#This Row],[Pozo largo]],'Lista YPF'!$B$3:$C$358,2,FALSE),"NO")</f>
        <v>NO</v>
      </c>
      <c r="J1467" s="5" t="str">
        <f>IFERROR(VLOOKUP(Consulta1[[#This Row],[Pozo]],'Lista Oportunidades'!B:C,2,FALSE),"NO")</f>
        <v>NO</v>
      </c>
      <c r="K1467" s="5" t="str">
        <f>IFERROR(VLOOKUP(Consulta1[[#This Row],[Pozo largo]],Controles!B:H,7,FALSE),"NO")</f>
        <v>NO</v>
      </c>
      <c r="L1467" s="5" t="str">
        <f>IFERROR(VLOOKUP(Consulta1[[#This Row],[Pozo largo]],Controles!B:J,9,FALSE),"NO")</f>
        <v>NO</v>
      </c>
    </row>
    <row r="1468" spans="2:12" x14ac:dyDescent="0.35">
      <c r="B1468" s="4" t="s">
        <v>2822</v>
      </c>
      <c r="C1468" s="4" t="s">
        <v>7195</v>
      </c>
      <c r="D1468" s="4" t="s">
        <v>5</v>
      </c>
      <c r="E1468" s="4" t="s">
        <v>30</v>
      </c>
      <c r="F1468" s="4" t="s">
        <v>31</v>
      </c>
      <c r="G1468" s="4" t="s">
        <v>32</v>
      </c>
      <c r="H1468" s="4" t="s">
        <v>16</v>
      </c>
      <c r="I1468" s="5" t="str">
        <f>IFERROR(VLOOKUP(Consulta1[[#This Row],[Pozo largo]],'Lista YPF'!$B$3:$C$358,2,FALSE),"NO")</f>
        <v>NO</v>
      </c>
      <c r="J1468" s="5" t="str">
        <f>IFERROR(VLOOKUP(Consulta1[[#This Row],[Pozo]],'Lista Oportunidades'!B:C,2,FALSE),"NO")</f>
        <v>NO</v>
      </c>
      <c r="K1468" s="5" t="str">
        <f>IFERROR(VLOOKUP(Consulta1[[#This Row],[Pozo largo]],Controles!B:H,7,FALSE),"NO")</f>
        <v>NO</v>
      </c>
      <c r="L1468" s="5" t="str">
        <f>IFERROR(VLOOKUP(Consulta1[[#This Row],[Pozo largo]],Controles!B:J,9,FALSE),"NO")</f>
        <v>NO</v>
      </c>
    </row>
    <row r="1469" spans="2:12" x14ac:dyDescent="0.35">
      <c r="B1469" s="4" t="s">
        <v>2823</v>
      </c>
      <c r="C1469" s="4" t="s">
        <v>7196</v>
      </c>
      <c r="D1469" s="4" t="s">
        <v>5</v>
      </c>
      <c r="E1469" s="4" t="s">
        <v>24</v>
      </c>
      <c r="F1469" s="4" t="s">
        <v>7</v>
      </c>
      <c r="G1469" s="4" t="s">
        <v>8</v>
      </c>
      <c r="H1469" s="4" t="s">
        <v>71</v>
      </c>
      <c r="I1469" s="5" t="str">
        <f>IFERROR(VLOOKUP(Consulta1[[#This Row],[Pozo largo]],'Lista YPF'!$B$3:$C$358,2,FALSE),"NO")</f>
        <v>NO</v>
      </c>
      <c r="J1469" s="5" t="str">
        <f>IFERROR(VLOOKUP(Consulta1[[#This Row],[Pozo]],'Lista Oportunidades'!B:C,2,FALSE),"NO")</f>
        <v>NO</v>
      </c>
      <c r="K1469" s="5">
        <f>IFERROR(VLOOKUP(Consulta1[[#This Row],[Pozo largo]],Controles!B:H,7,FALSE),"NO")</f>
        <v>0.16</v>
      </c>
      <c r="L1469" s="5">
        <f>IFERROR(VLOOKUP(Consulta1[[#This Row],[Pozo largo]],Controles!B:J,9,FALSE),"NO")</f>
        <v>0</v>
      </c>
    </row>
    <row r="1470" spans="2:12" x14ac:dyDescent="0.35">
      <c r="B1470" s="4" t="s">
        <v>2825</v>
      </c>
      <c r="C1470" s="4" t="s">
        <v>7197</v>
      </c>
      <c r="D1470" s="4" t="s">
        <v>5</v>
      </c>
      <c r="E1470" s="4" t="s">
        <v>12</v>
      </c>
      <c r="F1470" s="4" t="s">
        <v>7</v>
      </c>
      <c r="G1470" s="4" t="s">
        <v>13</v>
      </c>
      <c r="H1470" s="4" t="s">
        <v>71</v>
      </c>
      <c r="I1470" s="5" t="str">
        <f>IFERROR(VLOOKUP(Consulta1[[#This Row],[Pozo largo]],'Lista YPF'!$B$3:$C$358,2,FALSE),"NO")</f>
        <v>NO</v>
      </c>
      <c r="J1470" s="5" t="str">
        <f>IFERROR(VLOOKUP(Consulta1[[#This Row],[Pozo]],'Lista Oportunidades'!B:C,2,FALSE),"NO")</f>
        <v>NO</v>
      </c>
      <c r="K1470" s="5">
        <f>IFERROR(VLOOKUP(Consulta1[[#This Row],[Pozo largo]],Controles!B:H,7,FALSE),"NO")</f>
        <v>1.32</v>
      </c>
      <c r="L1470" s="5">
        <f>IFERROR(VLOOKUP(Consulta1[[#This Row],[Pozo largo]],Controles!B:J,9,FALSE),"NO")</f>
        <v>0</v>
      </c>
    </row>
    <row r="1471" spans="2:12" x14ac:dyDescent="0.35">
      <c r="B1471" s="4" t="s">
        <v>2827</v>
      </c>
      <c r="C1471" s="4" t="s">
        <v>7198</v>
      </c>
      <c r="D1471" s="4" t="s">
        <v>5</v>
      </c>
      <c r="E1471" s="4" t="s">
        <v>12</v>
      </c>
      <c r="F1471" s="4" t="s">
        <v>7</v>
      </c>
      <c r="G1471" s="4" t="s">
        <v>13</v>
      </c>
      <c r="H1471" s="4" t="s">
        <v>185</v>
      </c>
      <c r="I1471" s="5" t="str">
        <f>IFERROR(VLOOKUP(Consulta1[[#This Row],[Pozo largo]],'Lista YPF'!$B$3:$C$358,2,FALSE),"NO")</f>
        <v>NO</v>
      </c>
      <c r="J1471" s="5" t="str">
        <f>IFERROR(VLOOKUP(Consulta1[[#This Row],[Pozo]],'Lista Oportunidades'!B:C,2,FALSE),"NO")</f>
        <v>NO</v>
      </c>
      <c r="K1471" s="5">
        <f>IFERROR(VLOOKUP(Consulta1[[#This Row],[Pozo largo]],Controles!B:H,7,FALSE),"NO")</f>
        <v>3.5</v>
      </c>
      <c r="L1471" s="5">
        <f>IFERROR(VLOOKUP(Consulta1[[#This Row],[Pozo largo]],Controles!B:J,9,FALSE),"NO")</f>
        <v>0</v>
      </c>
    </row>
    <row r="1472" spans="2:12" x14ac:dyDescent="0.35">
      <c r="B1472" s="4" t="s">
        <v>2829</v>
      </c>
      <c r="C1472" s="4" t="s">
        <v>7199</v>
      </c>
      <c r="D1472" s="4" t="s">
        <v>5</v>
      </c>
      <c r="E1472" s="4" t="s">
        <v>12</v>
      </c>
      <c r="F1472" s="4" t="s">
        <v>7</v>
      </c>
      <c r="G1472" s="4" t="s">
        <v>13</v>
      </c>
      <c r="H1472" s="4" t="s">
        <v>21</v>
      </c>
      <c r="I1472" s="5" t="str">
        <f>IFERROR(VLOOKUP(Consulta1[[#This Row],[Pozo largo]],'Lista YPF'!$B$3:$C$358,2,FALSE),"NO")</f>
        <v>NO</v>
      </c>
      <c r="J1472" s="5" t="str">
        <f>IFERROR(VLOOKUP(Consulta1[[#This Row],[Pozo]],'Lista Oportunidades'!B:C,2,FALSE),"NO")</f>
        <v>NO</v>
      </c>
      <c r="K1472" s="5">
        <f>IFERROR(VLOOKUP(Consulta1[[#This Row],[Pozo largo]],Controles!B:H,7,FALSE),"NO")</f>
        <v>1.8</v>
      </c>
      <c r="L1472" s="5">
        <f>IFERROR(VLOOKUP(Consulta1[[#This Row],[Pozo largo]],Controles!B:J,9,FALSE),"NO")</f>
        <v>0</v>
      </c>
    </row>
    <row r="1473" spans="2:12" x14ac:dyDescent="0.35">
      <c r="B1473" s="4" t="s">
        <v>2831</v>
      </c>
      <c r="C1473" s="4" t="s">
        <v>7200</v>
      </c>
      <c r="D1473" s="4" t="s">
        <v>5</v>
      </c>
      <c r="E1473" s="4" t="s">
        <v>12</v>
      </c>
      <c r="F1473" s="4" t="s">
        <v>7</v>
      </c>
      <c r="G1473" s="4" t="s">
        <v>13</v>
      </c>
      <c r="H1473" s="4" t="s">
        <v>185</v>
      </c>
      <c r="I1473" s="5" t="str">
        <f>IFERROR(VLOOKUP(Consulta1[[#This Row],[Pozo largo]],'Lista YPF'!$B$3:$C$358,2,FALSE),"NO")</f>
        <v>NO</v>
      </c>
      <c r="J1473" s="5" t="str">
        <f>IFERROR(VLOOKUP(Consulta1[[#This Row],[Pozo]],'Lista Oportunidades'!B:C,2,FALSE),"NO")</f>
        <v>NO</v>
      </c>
      <c r="K1473" s="5">
        <f>IFERROR(VLOOKUP(Consulta1[[#This Row],[Pozo largo]],Controles!B:H,7,FALSE),"NO")</f>
        <v>2.2000000000000002</v>
      </c>
      <c r="L1473" s="5">
        <f>IFERROR(VLOOKUP(Consulta1[[#This Row],[Pozo largo]],Controles!B:J,9,FALSE),"NO")</f>
        <v>0</v>
      </c>
    </row>
    <row r="1474" spans="2:12" x14ac:dyDescent="0.35">
      <c r="B1474" s="4" t="s">
        <v>2833</v>
      </c>
      <c r="C1474" s="4" t="s">
        <v>7201</v>
      </c>
      <c r="D1474" s="4" t="s">
        <v>5</v>
      </c>
      <c r="E1474" s="4" t="s">
        <v>24</v>
      </c>
      <c r="F1474" s="4" t="s">
        <v>25</v>
      </c>
      <c r="G1474" s="4" t="s">
        <v>8</v>
      </c>
      <c r="H1474" s="4" t="s">
        <v>185</v>
      </c>
      <c r="I1474" s="5" t="str">
        <f>IFERROR(VLOOKUP(Consulta1[[#This Row],[Pozo largo]],'Lista YPF'!$B$3:$C$358,2,FALSE),"NO")</f>
        <v>NO</v>
      </c>
      <c r="J1474" s="5" t="str">
        <f>IFERROR(VLOOKUP(Consulta1[[#This Row],[Pozo]],'Lista Oportunidades'!B:C,2,FALSE),"NO")</f>
        <v>NO</v>
      </c>
      <c r="K1474" s="5">
        <f>IFERROR(VLOOKUP(Consulta1[[#This Row],[Pozo largo]],Controles!B:H,7,FALSE),"NO")</f>
        <v>9.7000000000000003E-2</v>
      </c>
      <c r="L1474" s="5">
        <f>IFERROR(VLOOKUP(Consulta1[[#This Row],[Pozo largo]],Controles!B:J,9,FALSE),"NO")</f>
        <v>0</v>
      </c>
    </row>
    <row r="1475" spans="2:12" x14ac:dyDescent="0.35">
      <c r="B1475" s="4" t="s">
        <v>2835</v>
      </c>
      <c r="C1475" s="4" t="s">
        <v>7202</v>
      </c>
      <c r="D1475" s="4" t="s">
        <v>5</v>
      </c>
      <c r="E1475" s="4" t="s">
        <v>12</v>
      </c>
      <c r="F1475" s="4" t="s">
        <v>7</v>
      </c>
      <c r="G1475" s="4" t="s">
        <v>13</v>
      </c>
      <c r="H1475" s="4" t="s">
        <v>185</v>
      </c>
      <c r="I1475" s="5" t="str">
        <f>IFERROR(VLOOKUP(Consulta1[[#This Row],[Pozo largo]],'Lista YPF'!$B$3:$C$358,2,FALSE),"NO")</f>
        <v>NO</v>
      </c>
      <c r="J1475" s="5" t="str">
        <f>IFERROR(VLOOKUP(Consulta1[[#This Row],[Pozo]],'Lista Oportunidades'!B:C,2,FALSE),"NO")</f>
        <v>NO</v>
      </c>
      <c r="K1475" s="5">
        <f>IFERROR(VLOOKUP(Consulta1[[#This Row],[Pozo largo]],Controles!B:H,7,FALSE),"NO")</f>
        <v>1.26</v>
      </c>
      <c r="L1475" s="5">
        <f>IFERROR(VLOOKUP(Consulta1[[#This Row],[Pozo largo]],Controles!B:J,9,FALSE),"NO")</f>
        <v>0</v>
      </c>
    </row>
    <row r="1476" spans="2:12" x14ac:dyDescent="0.35">
      <c r="B1476" s="4" t="s">
        <v>2837</v>
      </c>
      <c r="C1476" s="4" t="s">
        <v>7203</v>
      </c>
      <c r="D1476" s="4" t="s">
        <v>5</v>
      </c>
      <c r="E1476" s="4" t="s">
        <v>12</v>
      </c>
      <c r="F1476" s="4" t="s">
        <v>7</v>
      </c>
      <c r="G1476" s="4" t="s">
        <v>13</v>
      </c>
      <c r="H1476" s="4" t="s">
        <v>9</v>
      </c>
      <c r="I1476" s="5" t="str">
        <f>IFERROR(VLOOKUP(Consulta1[[#This Row],[Pozo largo]],'Lista YPF'!$B$3:$C$358,2,FALSE),"NO")</f>
        <v>NO</v>
      </c>
      <c r="J1476" s="5" t="str">
        <f>IFERROR(VLOOKUP(Consulta1[[#This Row],[Pozo]],'Lista Oportunidades'!B:C,2,FALSE),"NO")</f>
        <v>NO</v>
      </c>
      <c r="K1476" s="5">
        <f>IFERROR(VLOOKUP(Consulta1[[#This Row],[Pozo largo]],Controles!B:H,7,FALSE),"NO")</f>
        <v>7.7</v>
      </c>
      <c r="L1476" s="5">
        <f>IFERROR(VLOOKUP(Consulta1[[#This Row],[Pozo largo]],Controles!B:J,9,FALSE),"NO")</f>
        <v>0</v>
      </c>
    </row>
    <row r="1477" spans="2:12" x14ac:dyDescent="0.35">
      <c r="B1477" s="4" t="s">
        <v>2839</v>
      </c>
      <c r="C1477" s="4" t="s">
        <v>7204</v>
      </c>
      <c r="D1477" s="4" t="s">
        <v>5</v>
      </c>
      <c r="E1477" s="4" t="s">
        <v>12</v>
      </c>
      <c r="F1477" s="4" t="s">
        <v>7</v>
      </c>
      <c r="G1477" s="4" t="s">
        <v>13</v>
      </c>
      <c r="H1477" s="4" t="s">
        <v>9</v>
      </c>
      <c r="I1477" s="5" t="str">
        <f>IFERROR(VLOOKUP(Consulta1[[#This Row],[Pozo largo]],'Lista YPF'!$B$3:$C$358,2,FALSE),"NO")</f>
        <v>NO</v>
      </c>
      <c r="J1477" s="5" t="str">
        <f>IFERROR(VLOOKUP(Consulta1[[#This Row],[Pozo]],'Lista Oportunidades'!B:C,2,FALSE),"NO")</f>
        <v>NO</v>
      </c>
      <c r="K1477" s="5">
        <f>IFERROR(VLOOKUP(Consulta1[[#This Row],[Pozo largo]],Controles!B:H,7,FALSE),"NO")</f>
        <v>1.2</v>
      </c>
      <c r="L1477" s="5">
        <f>IFERROR(VLOOKUP(Consulta1[[#This Row],[Pozo largo]],Controles!B:J,9,FALSE),"NO")</f>
        <v>0</v>
      </c>
    </row>
    <row r="1478" spans="2:12" x14ac:dyDescent="0.35">
      <c r="B1478" s="4" t="s">
        <v>2841</v>
      </c>
      <c r="C1478" s="4" t="s">
        <v>7205</v>
      </c>
      <c r="D1478" s="4" t="s">
        <v>5</v>
      </c>
      <c r="E1478" s="4" t="s">
        <v>430</v>
      </c>
      <c r="F1478" s="4" t="s">
        <v>7</v>
      </c>
      <c r="G1478" s="4" t="s">
        <v>5718</v>
      </c>
      <c r="H1478" s="4" t="s">
        <v>21</v>
      </c>
      <c r="I1478" s="5" t="str">
        <f>IFERROR(VLOOKUP(Consulta1[[#This Row],[Pozo largo]],'Lista YPF'!$B$3:$C$358,2,FALSE),"NO")</f>
        <v>En lista de Abandono</v>
      </c>
      <c r="J1478" s="5" t="str">
        <f>IFERROR(VLOOKUP(Consulta1[[#This Row],[Pozo]],'Lista Oportunidades'!B:C,2,FALSE),"NO")</f>
        <v>NO</v>
      </c>
      <c r="K1478" s="5">
        <f>IFERROR(VLOOKUP(Consulta1[[#This Row],[Pozo largo]],Controles!B:H,7,FALSE),"NO")</f>
        <v>0.55000000000000004</v>
      </c>
      <c r="L1478" s="5">
        <f>IFERROR(VLOOKUP(Consulta1[[#This Row],[Pozo largo]],Controles!B:J,9,FALSE),"NO")</f>
        <v>0</v>
      </c>
    </row>
    <row r="1479" spans="2:12" x14ac:dyDescent="0.35">
      <c r="B1479" s="4" t="s">
        <v>2843</v>
      </c>
      <c r="C1479" s="4" t="s">
        <v>7206</v>
      </c>
      <c r="D1479" s="4" t="s">
        <v>5</v>
      </c>
      <c r="E1479" s="4" t="s">
        <v>24</v>
      </c>
      <c r="F1479" s="4" t="s">
        <v>7</v>
      </c>
      <c r="G1479" s="4" t="s">
        <v>8</v>
      </c>
      <c r="H1479" s="4" t="s">
        <v>21</v>
      </c>
      <c r="I1479" s="5" t="str">
        <f>IFERROR(VLOOKUP(Consulta1[[#This Row],[Pozo largo]],'Lista YPF'!$B$3:$C$358,2,FALSE),"NO")</f>
        <v>NO</v>
      </c>
      <c r="J1479" s="5" t="str">
        <f>IFERROR(VLOOKUP(Consulta1[[#This Row],[Pozo]],'Lista Oportunidades'!B:C,2,FALSE),"NO")</f>
        <v>NO</v>
      </c>
      <c r="K1479" s="5">
        <f>IFERROR(VLOOKUP(Consulta1[[#This Row],[Pozo largo]],Controles!B:H,7,FALSE),"NO")</f>
        <v>1.17</v>
      </c>
      <c r="L1479" s="5">
        <f>IFERROR(VLOOKUP(Consulta1[[#This Row],[Pozo largo]],Controles!B:J,9,FALSE),"NO")</f>
        <v>0</v>
      </c>
    </row>
    <row r="1480" spans="2:12" x14ac:dyDescent="0.35">
      <c r="B1480" s="4" t="s">
        <v>2845</v>
      </c>
      <c r="C1480" s="4" t="s">
        <v>7207</v>
      </c>
      <c r="D1480" s="4" t="s">
        <v>5</v>
      </c>
      <c r="E1480" s="4" t="s">
        <v>24</v>
      </c>
      <c r="F1480" s="4" t="s">
        <v>7</v>
      </c>
      <c r="G1480" s="4" t="s">
        <v>11385</v>
      </c>
      <c r="H1480" s="4" t="s">
        <v>33</v>
      </c>
      <c r="I1480" s="5" t="str">
        <f>IFERROR(VLOOKUP(Consulta1[[#This Row],[Pozo largo]],'Lista YPF'!$B$3:$C$358,2,FALSE),"NO")</f>
        <v>NO</v>
      </c>
      <c r="J1480" s="5" t="str">
        <f>IFERROR(VLOOKUP(Consulta1[[#This Row],[Pozo]],'Lista Oportunidades'!B:C,2,FALSE),"NO")</f>
        <v>NO</v>
      </c>
      <c r="K1480" s="5">
        <f>IFERROR(VLOOKUP(Consulta1[[#This Row],[Pozo largo]],Controles!B:H,7,FALSE),"NO")</f>
        <v>2.1</v>
      </c>
      <c r="L1480" s="5">
        <f>IFERROR(VLOOKUP(Consulta1[[#This Row],[Pozo largo]],Controles!B:J,9,FALSE),"NO")</f>
        <v>0</v>
      </c>
    </row>
    <row r="1481" spans="2:12" x14ac:dyDescent="0.35">
      <c r="B1481" s="4" t="s">
        <v>2847</v>
      </c>
      <c r="C1481" s="4" t="s">
        <v>7208</v>
      </c>
      <c r="D1481" s="4" t="s">
        <v>5</v>
      </c>
      <c r="E1481" s="4" t="s">
        <v>12</v>
      </c>
      <c r="F1481" s="4" t="s">
        <v>7</v>
      </c>
      <c r="G1481" s="4" t="s">
        <v>13</v>
      </c>
      <c r="H1481" s="4" t="s">
        <v>91</v>
      </c>
      <c r="I1481" s="5" t="str">
        <f>IFERROR(VLOOKUP(Consulta1[[#This Row],[Pozo largo]],'Lista YPF'!$B$3:$C$358,2,FALSE),"NO")</f>
        <v>NO</v>
      </c>
      <c r="J1481" s="5" t="str">
        <f>IFERROR(VLOOKUP(Consulta1[[#This Row],[Pozo]],'Lista Oportunidades'!B:C,2,FALSE),"NO")</f>
        <v>NO</v>
      </c>
      <c r="K1481" s="5">
        <f>IFERROR(VLOOKUP(Consulta1[[#This Row],[Pozo largo]],Controles!B:H,7,FALSE),"NO")</f>
        <v>2.42</v>
      </c>
      <c r="L1481" s="5">
        <f>IFERROR(VLOOKUP(Consulta1[[#This Row],[Pozo largo]],Controles!B:J,9,FALSE),"NO")</f>
        <v>0</v>
      </c>
    </row>
    <row r="1482" spans="2:12" x14ac:dyDescent="0.35">
      <c r="B1482" s="4" t="s">
        <v>2849</v>
      </c>
      <c r="C1482" s="4" t="s">
        <v>7209</v>
      </c>
      <c r="D1482" s="4" t="s">
        <v>5</v>
      </c>
      <c r="E1482" s="4" t="s">
        <v>30</v>
      </c>
      <c r="F1482" s="4" t="s">
        <v>31</v>
      </c>
      <c r="G1482" s="4" t="s">
        <v>32</v>
      </c>
      <c r="H1482" s="4" t="s">
        <v>91</v>
      </c>
      <c r="I1482" s="5" t="str">
        <f>IFERROR(VLOOKUP(Consulta1[[#This Row],[Pozo largo]],'Lista YPF'!$B$3:$C$358,2,FALSE),"NO")</f>
        <v>NO</v>
      </c>
      <c r="J1482" s="5" t="str">
        <f>IFERROR(VLOOKUP(Consulta1[[#This Row],[Pozo]],'Lista Oportunidades'!B:C,2,FALSE),"NO")</f>
        <v>NO</v>
      </c>
      <c r="K1482" s="5">
        <f>IFERROR(VLOOKUP(Consulta1[[#This Row],[Pozo largo]],Controles!B:H,7,FALSE),"NO")</f>
        <v>0</v>
      </c>
      <c r="L1482" s="5">
        <f>IFERROR(VLOOKUP(Consulta1[[#This Row],[Pozo largo]],Controles!B:J,9,FALSE),"NO")</f>
        <v>0</v>
      </c>
    </row>
    <row r="1483" spans="2:12" x14ac:dyDescent="0.35">
      <c r="B1483" s="4" t="s">
        <v>2851</v>
      </c>
      <c r="C1483" s="4" t="s">
        <v>7210</v>
      </c>
      <c r="D1483" s="4" t="s">
        <v>5</v>
      </c>
      <c r="E1483" s="4" t="s">
        <v>24</v>
      </c>
      <c r="F1483" s="4" t="s">
        <v>7</v>
      </c>
      <c r="G1483" s="4" t="s">
        <v>8</v>
      </c>
      <c r="H1483" s="4" t="s">
        <v>86</v>
      </c>
      <c r="I1483" s="5" t="str">
        <f>IFERROR(VLOOKUP(Consulta1[[#This Row],[Pozo largo]],'Lista YPF'!$B$3:$C$358,2,FALSE),"NO")</f>
        <v>NO</v>
      </c>
      <c r="J1483" s="5" t="str">
        <f>IFERROR(VLOOKUP(Consulta1[[#This Row],[Pozo]],'Lista Oportunidades'!B:C,2,FALSE),"NO")</f>
        <v>NO</v>
      </c>
      <c r="K1483" s="5">
        <f>IFERROR(VLOOKUP(Consulta1[[#This Row],[Pozo largo]],Controles!B:H,7,FALSE),"NO")</f>
        <v>0.45400000000000001</v>
      </c>
      <c r="L1483" s="5">
        <f>IFERROR(VLOOKUP(Consulta1[[#This Row],[Pozo largo]],Controles!B:J,9,FALSE),"NO")</f>
        <v>0</v>
      </c>
    </row>
    <row r="1484" spans="2:12" x14ac:dyDescent="0.35">
      <c r="B1484" s="4" t="s">
        <v>2853</v>
      </c>
      <c r="C1484" s="4" t="s">
        <v>7211</v>
      </c>
      <c r="D1484" s="4" t="s">
        <v>5</v>
      </c>
      <c r="E1484" s="4" t="s">
        <v>57</v>
      </c>
      <c r="F1484" s="4" t="s">
        <v>7</v>
      </c>
      <c r="G1484" s="4" t="s">
        <v>5718</v>
      </c>
      <c r="H1484" s="4" t="s">
        <v>86</v>
      </c>
      <c r="I1484" s="5" t="str">
        <f>IFERROR(VLOOKUP(Consulta1[[#This Row],[Pozo largo]],'Lista YPF'!$B$3:$C$358,2,FALSE),"NO")</f>
        <v>En lista de Abandono</v>
      </c>
      <c r="J1484" s="5" t="str">
        <f>IFERROR(VLOOKUP(Consulta1[[#This Row],[Pozo]],'Lista Oportunidades'!B:C,2,FALSE),"NO")</f>
        <v>NO</v>
      </c>
      <c r="K1484" s="5">
        <f>IFERROR(VLOOKUP(Consulta1[[#This Row],[Pozo largo]],Controles!B:H,7,FALSE),"NO")</f>
        <v>0.3</v>
      </c>
      <c r="L1484" s="5">
        <f>IFERROR(VLOOKUP(Consulta1[[#This Row],[Pozo largo]],Controles!B:J,9,FALSE),"NO")</f>
        <v>0</v>
      </c>
    </row>
    <row r="1485" spans="2:12" x14ac:dyDescent="0.35">
      <c r="B1485" s="4" t="s">
        <v>2855</v>
      </c>
      <c r="C1485" s="4" t="s">
        <v>7212</v>
      </c>
      <c r="D1485" s="4" t="s">
        <v>5</v>
      </c>
      <c r="E1485" s="4" t="s">
        <v>12</v>
      </c>
      <c r="F1485" s="4" t="s">
        <v>28</v>
      </c>
      <c r="G1485" s="4" t="s">
        <v>13</v>
      </c>
      <c r="H1485" s="4" t="s">
        <v>86</v>
      </c>
      <c r="I1485" s="5" t="str">
        <f>IFERROR(VLOOKUP(Consulta1[[#This Row],[Pozo largo]],'Lista YPF'!$B$3:$C$358,2,FALSE),"NO")</f>
        <v>NO</v>
      </c>
      <c r="J1485" s="5" t="str">
        <f>IFERROR(VLOOKUP(Consulta1[[#This Row],[Pozo]],'Lista Oportunidades'!B:C,2,FALSE),"NO")</f>
        <v>NO</v>
      </c>
      <c r="K1485" s="5">
        <f>IFERROR(VLOOKUP(Consulta1[[#This Row],[Pozo largo]],Controles!B:H,7,FALSE),"NO")</f>
        <v>0</v>
      </c>
      <c r="L1485" s="5">
        <f>IFERROR(VLOOKUP(Consulta1[[#This Row],[Pozo largo]],Controles!B:J,9,FALSE),"NO")</f>
        <v>0</v>
      </c>
    </row>
    <row r="1486" spans="2:12" x14ac:dyDescent="0.35">
      <c r="B1486" s="4" t="s">
        <v>2857</v>
      </c>
      <c r="C1486" s="4" t="s">
        <v>7213</v>
      </c>
      <c r="D1486" s="4" t="s">
        <v>5</v>
      </c>
      <c r="E1486" s="4" t="s">
        <v>24</v>
      </c>
      <c r="F1486" s="4" t="s">
        <v>28</v>
      </c>
      <c r="G1486" s="4" t="s">
        <v>8</v>
      </c>
      <c r="H1486" s="4" t="s">
        <v>86</v>
      </c>
      <c r="I1486" s="5" t="str">
        <f>IFERROR(VLOOKUP(Consulta1[[#This Row],[Pozo largo]],'Lista YPF'!$B$3:$C$358,2,FALSE),"NO")</f>
        <v>NO</v>
      </c>
      <c r="J1486" s="5" t="str">
        <f>IFERROR(VLOOKUP(Consulta1[[#This Row],[Pozo]],'Lista Oportunidades'!B:C,2,FALSE),"NO")</f>
        <v>NO</v>
      </c>
      <c r="K1486" s="5">
        <f>IFERROR(VLOOKUP(Consulta1[[#This Row],[Pozo largo]],Controles!B:H,7,FALSE),"NO")</f>
        <v>0</v>
      </c>
      <c r="L1486" s="5">
        <f>IFERROR(VLOOKUP(Consulta1[[#This Row],[Pozo largo]],Controles!B:J,9,FALSE),"NO")</f>
        <v>0</v>
      </c>
    </row>
    <row r="1487" spans="2:12" x14ac:dyDescent="0.35">
      <c r="B1487" s="4" t="s">
        <v>2859</v>
      </c>
      <c r="C1487" s="4" t="s">
        <v>7214</v>
      </c>
      <c r="D1487" s="4" t="s">
        <v>5</v>
      </c>
      <c r="E1487" s="4" t="s">
        <v>12</v>
      </c>
      <c r="F1487" s="4" t="s">
        <v>7</v>
      </c>
      <c r="G1487" s="4" t="s">
        <v>13</v>
      </c>
      <c r="H1487" s="4" t="s">
        <v>71</v>
      </c>
      <c r="I1487" s="5" t="str">
        <f>IFERROR(VLOOKUP(Consulta1[[#This Row],[Pozo largo]],'Lista YPF'!$B$3:$C$358,2,FALSE),"NO")</f>
        <v>NO</v>
      </c>
      <c r="J1487" s="5" t="str">
        <f>IFERROR(VLOOKUP(Consulta1[[#This Row],[Pozo]],'Lista Oportunidades'!B:C,2,FALSE),"NO")</f>
        <v>NO</v>
      </c>
      <c r="K1487" s="5">
        <f>IFERROR(VLOOKUP(Consulta1[[#This Row],[Pozo largo]],Controles!B:H,7,FALSE),"NO")</f>
        <v>2.52</v>
      </c>
      <c r="L1487" s="5">
        <f>IFERROR(VLOOKUP(Consulta1[[#This Row],[Pozo largo]],Controles!B:J,9,FALSE),"NO")</f>
        <v>0</v>
      </c>
    </row>
    <row r="1488" spans="2:12" x14ac:dyDescent="0.35">
      <c r="B1488" s="4" t="s">
        <v>2861</v>
      </c>
      <c r="C1488" s="4" t="s">
        <v>7215</v>
      </c>
      <c r="D1488" s="4" t="s">
        <v>5</v>
      </c>
      <c r="E1488" s="4" t="s">
        <v>12</v>
      </c>
      <c r="F1488" s="4" t="s">
        <v>7</v>
      </c>
      <c r="G1488" s="4" t="s">
        <v>13</v>
      </c>
      <c r="H1488" s="4" t="s">
        <v>71</v>
      </c>
      <c r="I1488" s="5" t="str">
        <f>IFERROR(VLOOKUP(Consulta1[[#This Row],[Pozo largo]],'Lista YPF'!$B$3:$C$358,2,FALSE),"NO")</f>
        <v>NO</v>
      </c>
      <c r="J1488" s="5" t="str">
        <f>IFERROR(VLOOKUP(Consulta1[[#This Row],[Pozo]],'Lista Oportunidades'!B:C,2,FALSE),"NO")</f>
        <v>NO</v>
      </c>
      <c r="K1488" s="5">
        <f>IFERROR(VLOOKUP(Consulta1[[#This Row],[Pozo largo]],Controles!B:H,7,FALSE),"NO")</f>
        <v>3.68</v>
      </c>
      <c r="L1488" s="5">
        <f>IFERROR(VLOOKUP(Consulta1[[#This Row],[Pozo largo]],Controles!B:J,9,FALSE),"NO")</f>
        <v>0</v>
      </c>
    </row>
    <row r="1489" spans="2:12" x14ac:dyDescent="0.35">
      <c r="B1489" s="4" t="s">
        <v>2863</v>
      </c>
      <c r="C1489" s="4" t="s">
        <v>5740</v>
      </c>
      <c r="D1489" s="4" t="s">
        <v>5</v>
      </c>
      <c r="E1489" s="4" t="s">
        <v>6</v>
      </c>
      <c r="F1489" s="4" t="s">
        <v>28</v>
      </c>
      <c r="G1489" s="4" t="s">
        <v>8689</v>
      </c>
      <c r="H1489" s="4" t="s">
        <v>141</v>
      </c>
      <c r="I1489" s="5" t="str">
        <f>IFERROR(VLOOKUP(Consulta1[[#This Row],[Pozo largo]],'Lista YPF'!$B$3:$C$358,2,FALSE),"NO")</f>
        <v>NO</v>
      </c>
      <c r="J1489" s="5" t="str">
        <f>IFERROR(VLOOKUP(Consulta1[[#This Row],[Pozo]],'Lista Oportunidades'!B:C,2,FALSE),"NO")</f>
        <v>Oportunidad</v>
      </c>
      <c r="K1489" s="5">
        <f>IFERROR(VLOOKUP(Consulta1[[#This Row],[Pozo largo]],Controles!B:H,7,FALSE),"NO")</f>
        <v>0</v>
      </c>
      <c r="L1489" s="5">
        <f>IFERROR(VLOOKUP(Consulta1[[#This Row],[Pozo largo]],Controles!B:J,9,FALSE),"NO")</f>
        <v>0</v>
      </c>
    </row>
    <row r="1490" spans="2:12" x14ac:dyDescent="0.35">
      <c r="B1490" s="4" t="s">
        <v>2865</v>
      </c>
      <c r="C1490" s="4" t="s">
        <v>7216</v>
      </c>
      <c r="D1490" s="4" t="s">
        <v>5</v>
      </c>
      <c r="E1490" s="4" t="s">
        <v>30</v>
      </c>
      <c r="F1490" s="4" t="s">
        <v>31</v>
      </c>
      <c r="G1490" s="4" t="s">
        <v>32</v>
      </c>
      <c r="H1490" s="4" t="s">
        <v>185</v>
      </c>
      <c r="I1490" s="5" t="str">
        <f>IFERROR(VLOOKUP(Consulta1[[#This Row],[Pozo largo]],'Lista YPF'!$B$3:$C$358,2,FALSE),"NO")</f>
        <v>NO</v>
      </c>
      <c r="J1490" s="5" t="str">
        <f>IFERROR(VLOOKUP(Consulta1[[#This Row],[Pozo]],'Lista Oportunidades'!B:C,2,FALSE),"NO")</f>
        <v>NO</v>
      </c>
      <c r="K1490" s="5">
        <f>IFERROR(VLOOKUP(Consulta1[[#This Row],[Pozo largo]],Controles!B:H,7,FALSE),"NO")</f>
        <v>0</v>
      </c>
      <c r="L1490" s="5">
        <f>IFERROR(VLOOKUP(Consulta1[[#This Row],[Pozo largo]],Controles!B:J,9,FALSE),"NO")</f>
        <v>0</v>
      </c>
    </row>
    <row r="1491" spans="2:12" x14ac:dyDescent="0.35">
      <c r="B1491" s="4" t="s">
        <v>2867</v>
      </c>
      <c r="C1491" s="4" t="s">
        <v>7217</v>
      </c>
      <c r="D1491" s="4" t="s">
        <v>5</v>
      </c>
      <c r="E1491" s="4" t="s">
        <v>12</v>
      </c>
      <c r="F1491" s="4" t="s">
        <v>28</v>
      </c>
      <c r="G1491" s="4" t="s">
        <v>13</v>
      </c>
      <c r="H1491" s="4" t="s">
        <v>74</v>
      </c>
      <c r="I1491" s="5" t="str">
        <f>IFERROR(VLOOKUP(Consulta1[[#This Row],[Pozo largo]],'Lista YPF'!$B$3:$C$358,2,FALSE),"NO")</f>
        <v>NO</v>
      </c>
      <c r="J1491" s="5" t="str">
        <f>IFERROR(VLOOKUP(Consulta1[[#This Row],[Pozo]],'Lista Oportunidades'!B:C,2,FALSE),"NO")</f>
        <v>NO</v>
      </c>
      <c r="K1491" s="5">
        <f>IFERROR(VLOOKUP(Consulta1[[#This Row],[Pozo largo]],Controles!B:H,7,FALSE),"NO")</f>
        <v>0</v>
      </c>
      <c r="L1491" s="5">
        <f>IFERROR(VLOOKUP(Consulta1[[#This Row],[Pozo largo]],Controles!B:J,9,FALSE),"NO")</f>
        <v>0</v>
      </c>
    </row>
    <row r="1492" spans="2:12" x14ac:dyDescent="0.35">
      <c r="B1492" s="4" t="s">
        <v>2869</v>
      </c>
      <c r="C1492" s="4" t="s">
        <v>7218</v>
      </c>
      <c r="D1492" s="4" t="s">
        <v>5</v>
      </c>
      <c r="E1492" s="4" t="s">
        <v>12</v>
      </c>
      <c r="F1492" s="4" t="s">
        <v>7</v>
      </c>
      <c r="G1492" s="4" t="s">
        <v>13</v>
      </c>
      <c r="H1492" s="4" t="s">
        <v>71</v>
      </c>
      <c r="I1492" s="5" t="str">
        <f>IFERROR(VLOOKUP(Consulta1[[#This Row],[Pozo largo]],'Lista YPF'!$B$3:$C$358,2,FALSE),"NO")</f>
        <v>NO</v>
      </c>
      <c r="J1492" s="5" t="str">
        <f>IFERROR(VLOOKUP(Consulta1[[#This Row],[Pozo]],'Lista Oportunidades'!B:C,2,FALSE),"NO")</f>
        <v>NO</v>
      </c>
      <c r="K1492" s="5">
        <f>IFERROR(VLOOKUP(Consulta1[[#This Row],[Pozo largo]],Controles!B:H,7,FALSE),"NO")</f>
        <v>1.32</v>
      </c>
      <c r="L1492" s="5">
        <f>IFERROR(VLOOKUP(Consulta1[[#This Row],[Pozo largo]],Controles!B:J,9,FALSE),"NO")</f>
        <v>0</v>
      </c>
    </row>
    <row r="1493" spans="2:12" x14ac:dyDescent="0.35">
      <c r="B1493" s="4" t="s">
        <v>2871</v>
      </c>
      <c r="C1493" s="4" t="s">
        <v>7219</v>
      </c>
      <c r="D1493" s="4" t="s">
        <v>5</v>
      </c>
      <c r="E1493" s="4" t="s">
        <v>30</v>
      </c>
      <c r="F1493" s="4" t="s">
        <v>31</v>
      </c>
      <c r="G1493" s="4" t="s">
        <v>32</v>
      </c>
      <c r="H1493" s="4" t="s">
        <v>74</v>
      </c>
      <c r="I1493" s="5" t="str">
        <f>IFERROR(VLOOKUP(Consulta1[[#This Row],[Pozo largo]],'Lista YPF'!$B$3:$C$358,2,FALSE),"NO")</f>
        <v>NO</v>
      </c>
      <c r="J1493" s="5" t="str">
        <f>IFERROR(VLOOKUP(Consulta1[[#This Row],[Pozo]],'Lista Oportunidades'!B:C,2,FALSE),"NO")</f>
        <v>NO</v>
      </c>
      <c r="K1493" s="5">
        <f>IFERROR(VLOOKUP(Consulta1[[#This Row],[Pozo largo]],Controles!B:H,7,FALSE),"NO")</f>
        <v>7.98</v>
      </c>
      <c r="L1493" s="5">
        <f>IFERROR(VLOOKUP(Consulta1[[#This Row],[Pozo largo]],Controles!B:J,9,FALSE),"NO")</f>
        <v>0</v>
      </c>
    </row>
    <row r="1494" spans="2:12" x14ac:dyDescent="0.35">
      <c r="B1494" s="4" t="s">
        <v>2873</v>
      </c>
      <c r="C1494" s="4" t="s">
        <v>5762</v>
      </c>
      <c r="D1494" s="4" t="s">
        <v>5</v>
      </c>
      <c r="E1494" s="4" t="s">
        <v>57</v>
      </c>
      <c r="F1494" s="4" t="s">
        <v>7</v>
      </c>
      <c r="G1494" s="4" t="s">
        <v>8689</v>
      </c>
      <c r="H1494" s="4" t="s">
        <v>9</v>
      </c>
      <c r="I1494" s="5" t="str">
        <f>IFERROR(VLOOKUP(Consulta1[[#This Row],[Pozo largo]],'Lista YPF'!$B$3:$C$358,2,FALSE),"NO")</f>
        <v>NO</v>
      </c>
      <c r="J1494" s="5" t="str">
        <f>IFERROR(VLOOKUP(Consulta1[[#This Row],[Pozo]],'Lista Oportunidades'!B:C,2,FALSE),"NO")</f>
        <v>Oportunidad</v>
      </c>
      <c r="K1494" s="5">
        <f>IFERROR(VLOOKUP(Consulta1[[#This Row],[Pozo largo]],Controles!B:H,7,FALSE),"NO")</f>
        <v>1.47</v>
      </c>
      <c r="L1494" s="5" t="str">
        <f>IFERROR(VLOOKUP(Consulta1[[#This Row],[Pozo largo]],Controles!B:J,9,FALSE),"NO")</f>
        <v>Ultimos 6 meses</v>
      </c>
    </row>
    <row r="1495" spans="2:12" x14ac:dyDescent="0.35">
      <c r="B1495" s="4" t="s">
        <v>2875</v>
      </c>
      <c r="C1495" s="4" t="s">
        <v>7220</v>
      </c>
      <c r="D1495" s="4" t="s">
        <v>5</v>
      </c>
      <c r="E1495" s="4" t="s">
        <v>12</v>
      </c>
      <c r="F1495" s="4" t="s">
        <v>7</v>
      </c>
      <c r="G1495" s="4" t="s">
        <v>13</v>
      </c>
      <c r="H1495" s="4" t="s">
        <v>21</v>
      </c>
      <c r="I1495" s="5" t="str">
        <f>IFERROR(VLOOKUP(Consulta1[[#This Row],[Pozo largo]],'Lista YPF'!$B$3:$C$358,2,FALSE),"NO")</f>
        <v>NO</v>
      </c>
      <c r="J1495" s="5" t="str">
        <f>IFERROR(VLOOKUP(Consulta1[[#This Row],[Pozo]],'Lista Oportunidades'!B:C,2,FALSE),"NO")</f>
        <v>NO</v>
      </c>
      <c r="K1495" s="5">
        <f>IFERROR(VLOOKUP(Consulta1[[#This Row],[Pozo largo]],Controles!B:H,7,FALSE),"NO")</f>
        <v>0.15</v>
      </c>
      <c r="L1495" s="5">
        <f>IFERROR(VLOOKUP(Consulta1[[#This Row],[Pozo largo]],Controles!B:J,9,FALSE),"NO")</f>
        <v>0</v>
      </c>
    </row>
    <row r="1496" spans="2:12" x14ac:dyDescent="0.35">
      <c r="B1496" s="4" t="s">
        <v>2877</v>
      </c>
      <c r="C1496" s="4" t="s">
        <v>7221</v>
      </c>
      <c r="D1496" s="4" t="s">
        <v>5</v>
      </c>
      <c r="E1496" s="4" t="s">
        <v>12</v>
      </c>
      <c r="F1496" s="4" t="s">
        <v>7</v>
      </c>
      <c r="G1496" s="4" t="s">
        <v>13</v>
      </c>
      <c r="H1496" s="4" t="s">
        <v>33</v>
      </c>
      <c r="I1496" s="5" t="str">
        <f>IFERROR(VLOOKUP(Consulta1[[#This Row],[Pozo largo]],'Lista YPF'!$B$3:$C$358,2,FALSE),"NO")</f>
        <v>NO</v>
      </c>
      <c r="J1496" s="5" t="str">
        <f>IFERROR(VLOOKUP(Consulta1[[#This Row],[Pozo]],'Lista Oportunidades'!B:C,2,FALSE),"NO")</f>
        <v>NO</v>
      </c>
      <c r="K1496" s="5">
        <f>IFERROR(VLOOKUP(Consulta1[[#This Row],[Pozo largo]],Controles!B:H,7,FALSE),"NO")</f>
        <v>1.1880000000000002</v>
      </c>
      <c r="L1496" s="5">
        <f>IFERROR(VLOOKUP(Consulta1[[#This Row],[Pozo largo]],Controles!B:J,9,FALSE),"NO")</f>
        <v>0</v>
      </c>
    </row>
    <row r="1497" spans="2:12" x14ac:dyDescent="0.35">
      <c r="B1497" s="4" t="s">
        <v>2879</v>
      </c>
      <c r="C1497" s="4" t="s">
        <v>7222</v>
      </c>
      <c r="D1497" s="4" t="s">
        <v>5</v>
      </c>
      <c r="E1497" s="4" t="s">
        <v>57</v>
      </c>
      <c r="F1497" s="4" t="s">
        <v>31</v>
      </c>
      <c r="G1497" s="4" t="s">
        <v>5718</v>
      </c>
      <c r="H1497" s="4" t="s">
        <v>36</v>
      </c>
      <c r="I1497" s="5" t="str">
        <f>IFERROR(VLOOKUP(Consulta1[[#This Row],[Pozo largo]],'Lista YPF'!$B$3:$C$358,2,FALSE),"NO")</f>
        <v>En lista de Abandono</v>
      </c>
      <c r="J1497" s="5" t="str">
        <f>IFERROR(VLOOKUP(Consulta1[[#This Row],[Pozo]],'Lista Oportunidades'!B:C,2,FALSE),"NO")</f>
        <v>NO</v>
      </c>
      <c r="K1497" s="5">
        <f>IFERROR(VLOOKUP(Consulta1[[#This Row],[Pozo largo]],Controles!B:H,7,FALSE),"NO")</f>
        <v>1.03</v>
      </c>
      <c r="L1497" s="5">
        <f>IFERROR(VLOOKUP(Consulta1[[#This Row],[Pozo largo]],Controles!B:J,9,FALSE),"NO")</f>
        <v>0</v>
      </c>
    </row>
    <row r="1498" spans="2:12" x14ac:dyDescent="0.35">
      <c r="B1498" s="4" t="s">
        <v>2881</v>
      </c>
      <c r="C1498" s="4" t="s">
        <v>7223</v>
      </c>
      <c r="D1498" s="4" t="s">
        <v>5</v>
      </c>
      <c r="E1498" s="4" t="s">
        <v>12</v>
      </c>
      <c r="F1498" s="4" t="s">
        <v>7</v>
      </c>
      <c r="G1498" s="4" t="s">
        <v>13</v>
      </c>
      <c r="H1498" s="4" t="s">
        <v>33</v>
      </c>
      <c r="I1498" s="5" t="str">
        <f>IFERROR(VLOOKUP(Consulta1[[#This Row],[Pozo largo]],'Lista YPF'!$B$3:$C$358,2,FALSE),"NO")</f>
        <v>NO</v>
      </c>
      <c r="J1498" s="5" t="str">
        <f>IFERROR(VLOOKUP(Consulta1[[#This Row],[Pozo]],'Lista Oportunidades'!B:C,2,FALSE),"NO")</f>
        <v>NO</v>
      </c>
      <c r="K1498" s="5">
        <f>IFERROR(VLOOKUP(Consulta1[[#This Row],[Pozo largo]],Controles!B:H,7,FALSE),"NO")</f>
        <v>5.6000000000000001E-2</v>
      </c>
      <c r="L1498" s="5">
        <f>IFERROR(VLOOKUP(Consulta1[[#This Row],[Pozo largo]],Controles!B:J,9,FALSE),"NO")</f>
        <v>0</v>
      </c>
    </row>
    <row r="1499" spans="2:12" x14ac:dyDescent="0.35">
      <c r="B1499" s="4" t="s">
        <v>2883</v>
      </c>
      <c r="C1499" s="4" t="s">
        <v>7224</v>
      </c>
      <c r="D1499" s="4" t="s">
        <v>5</v>
      </c>
      <c r="E1499" s="4" t="s">
        <v>12</v>
      </c>
      <c r="F1499" s="4" t="s">
        <v>25</v>
      </c>
      <c r="G1499" s="4" t="s">
        <v>13</v>
      </c>
      <c r="H1499" s="4" t="s">
        <v>33</v>
      </c>
      <c r="I1499" s="5" t="str">
        <f>IFERROR(VLOOKUP(Consulta1[[#This Row],[Pozo largo]],'Lista YPF'!$B$3:$C$358,2,FALSE),"NO")</f>
        <v>NO</v>
      </c>
      <c r="J1499" s="5" t="str">
        <f>IFERROR(VLOOKUP(Consulta1[[#This Row],[Pozo]],'Lista Oportunidades'!B:C,2,FALSE),"NO")</f>
        <v>NO</v>
      </c>
      <c r="K1499" s="5">
        <f>IFERROR(VLOOKUP(Consulta1[[#This Row],[Pozo largo]],Controles!B:H,7,FALSE),"NO")</f>
        <v>6.7000000000000004E-2</v>
      </c>
      <c r="L1499" s="5">
        <f>IFERROR(VLOOKUP(Consulta1[[#This Row],[Pozo largo]],Controles!B:J,9,FALSE),"NO")</f>
        <v>0</v>
      </c>
    </row>
    <row r="1500" spans="2:12" x14ac:dyDescent="0.35">
      <c r="B1500" s="4" t="s">
        <v>2885</v>
      </c>
      <c r="C1500" s="4" t="s">
        <v>7225</v>
      </c>
      <c r="D1500" s="4" t="s">
        <v>5</v>
      </c>
      <c r="E1500" s="4" t="s">
        <v>12</v>
      </c>
      <c r="F1500" s="4" t="s">
        <v>28</v>
      </c>
      <c r="G1500" s="4" t="s">
        <v>13</v>
      </c>
      <c r="H1500" s="4" t="s">
        <v>21</v>
      </c>
      <c r="I1500" s="5" t="str">
        <f>IFERROR(VLOOKUP(Consulta1[[#This Row],[Pozo largo]],'Lista YPF'!$B$3:$C$358,2,FALSE),"NO")</f>
        <v>NO</v>
      </c>
      <c r="J1500" s="5" t="str">
        <f>IFERROR(VLOOKUP(Consulta1[[#This Row],[Pozo]],'Lista Oportunidades'!B:C,2,FALSE),"NO")</f>
        <v>NO</v>
      </c>
      <c r="K1500" s="5">
        <f>IFERROR(VLOOKUP(Consulta1[[#This Row],[Pozo largo]],Controles!B:H,7,FALSE),"NO")</f>
        <v>0</v>
      </c>
      <c r="L1500" s="5">
        <f>IFERROR(VLOOKUP(Consulta1[[#This Row],[Pozo largo]],Controles!B:J,9,FALSE),"NO")</f>
        <v>0</v>
      </c>
    </row>
    <row r="1501" spans="2:12" x14ac:dyDescent="0.35">
      <c r="B1501" s="4" t="s">
        <v>2887</v>
      </c>
      <c r="C1501" s="4" t="s">
        <v>7226</v>
      </c>
      <c r="D1501" s="4" t="s">
        <v>5</v>
      </c>
      <c r="E1501" s="4" t="s">
        <v>12</v>
      </c>
      <c r="F1501" s="4" t="s">
        <v>28</v>
      </c>
      <c r="G1501" s="4" t="s">
        <v>13</v>
      </c>
      <c r="H1501" s="4" t="s">
        <v>21</v>
      </c>
      <c r="I1501" s="5" t="str">
        <f>IFERROR(VLOOKUP(Consulta1[[#This Row],[Pozo largo]],'Lista YPF'!$B$3:$C$358,2,FALSE),"NO")</f>
        <v>NO</v>
      </c>
      <c r="J1501" s="5" t="str">
        <f>IFERROR(VLOOKUP(Consulta1[[#This Row],[Pozo]],'Lista Oportunidades'!B:C,2,FALSE),"NO")</f>
        <v>NO</v>
      </c>
      <c r="K1501" s="5">
        <f>IFERROR(VLOOKUP(Consulta1[[#This Row],[Pozo largo]],Controles!B:H,7,FALSE),"NO")</f>
        <v>0</v>
      </c>
      <c r="L1501" s="5">
        <f>IFERROR(VLOOKUP(Consulta1[[#This Row],[Pozo largo]],Controles!B:J,9,FALSE),"NO")</f>
        <v>0</v>
      </c>
    </row>
    <row r="1502" spans="2:12" x14ac:dyDescent="0.35">
      <c r="B1502" s="4" t="s">
        <v>2889</v>
      </c>
      <c r="C1502" s="4" t="s">
        <v>7227</v>
      </c>
      <c r="D1502" s="4" t="s">
        <v>5</v>
      </c>
      <c r="E1502" s="4" t="s">
        <v>24</v>
      </c>
      <c r="F1502" s="4" t="s">
        <v>25</v>
      </c>
      <c r="G1502" s="4" t="s">
        <v>11387</v>
      </c>
      <c r="H1502" s="4" t="s">
        <v>36</v>
      </c>
      <c r="I1502" s="5" t="str">
        <f>IFERROR(VLOOKUP(Consulta1[[#This Row],[Pozo largo]],'Lista YPF'!$B$3:$C$358,2,FALSE),"NO")</f>
        <v>NO</v>
      </c>
      <c r="J1502" s="5" t="str">
        <f>IFERROR(VLOOKUP(Consulta1[[#This Row],[Pozo]],'Lista Oportunidades'!B:C,2,FALSE),"NO")</f>
        <v>NO</v>
      </c>
      <c r="K1502" s="5">
        <f>IFERROR(VLOOKUP(Consulta1[[#This Row],[Pozo largo]],Controles!B:H,7,FALSE),"NO")</f>
        <v>1.9E-2</v>
      </c>
      <c r="L1502" s="5" t="str">
        <f>IFERROR(VLOOKUP(Consulta1[[#This Row],[Pozo largo]],Controles!B:J,9,FALSE),"NO")</f>
        <v>Ultimo Año</v>
      </c>
    </row>
    <row r="1503" spans="2:12" x14ac:dyDescent="0.35">
      <c r="B1503" s="4" t="s">
        <v>2891</v>
      </c>
      <c r="C1503" s="4" t="s">
        <v>7228</v>
      </c>
      <c r="D1503" s="4" t="s">
        <v>5</v>
      </c>
      <c r="E1503" s="4" t="s">
        <v>57</v>
      </c>
      <c r="F1503" s="4" t="s">
        <v>1114</v>
      </c>
      <c r="G1503" s="4" t="s">
        <v>5718</v>
      </c>
      <c r="H1503" s="4" t="s">
        <v>36</v>
      </c>
      <c r="I1503" s="5" t="str">
        <f>IFERROR(VLOOKUP(Consulta1[[#This Row],[Pozo largo]],'Lista YPF'!$B$3:$C$358,2,FALSE),"NO")</f>
        <v>En lista de Abandono</v>
      </c>
      <c r="J1503" s="5" t="str">
        <f>IFERROR(VLOOKUP(Consulta1[[#This Row],[Pozo]],'Lista Oportunidades'!B:C,2,FALSE),"NO")</f>
        <v>NO</v>
      </c>
      <c r="K1503" s="5">
        <f>IFERROR(VLOOKUP(Consulta1[[#This Row],[Pozo largo]],Controles!B:H,7,FALSE),"NO")</f>
        <v>0.25</v>
      </c>
      <c r="L1503" s="5">
        <f>IFERROR(VLOOKUP(Consulta1[[#This Row],[Pozo largo]],Controles!B:J,9,FALSE),"NO")</f>
        <v>0</v>
      </c>
    </row>
    <row r="1504" spans="2:12" x14ac:dyDescent="0.35">
      <c r="B1504" s="4" t="s">
        <v>2893</v>
      </c>
      <c r="C1504" s="4" t="s">
        <v>7229</v>
      </c>
      <c r="D1504" s="4" t="s">
        <v>5</v>
      </c>
      <c r="E1504" s="4" t="s">
        <v>12</v>
      </c>
      <c r="F1504" s="4" t="s">
        <v>25</v>
      </c>
      <c r="G1504" s="4" t="s">
        <v>13</v>
      </c>
      <c r="H1504" s="4" t="s">
        <v>36</v>
      </c>
      <c r="I1504" s="5" t="str">
        <f>IFERROR(VLOOKUP(Consulta1[[#This Row],[Pozo largo]],'Lista YPF'!$B$3:$C$358,2,FALSE),"NO")</f>
        <v>NO</v>
      </c>
      <c r="J1504" s="5" t="str">
        <f>IFERROR(VLOOKUP(Consulta1[[#This Row],[Pozo]],'Lista Oportunidades'!B:C,2,FALSE),"NO")</f>
        <v>NO</v>
      </c>
      <c r="K1504" s="5">
        <f>IFERROR(VLOOKUP(Consulta1[[#This Row],[Pozo largo]],Controles!B:H,7,FALSE),"NO")</f>
        <v>9.6000000000000002E-2</v>
      </c>
      <c r="L1504" s="5">
        <f>IFERROR(VLOOKUP(Consulta1[[#This Row],[Pozo largo]],Controles!B:J,9,FALSE),"NO")</f>
        <v>0</v>
      </c>
    </row>
    <row r="1505" spans="2:12" x14ac:dyDescent="0.35">
      <c r="B1505" s="4" t="s">
        <v>2895</v>
      </c>
      <c r="C1505" s="4" t="s">
        <v>7230</v>
      </c>
      <c r="D1505" s="4" t="s">
        <v>5</v>
      </c>
      <c r="E1505" s="4" t="s">
        <v>24</v>
      </c>
      <c r="F1505" s="4" t="s">
        <v>25</v>
      </c>
      <c r="G1505" s="4" t="s">
        <v>8</v>
      </c>
      <c r="H1505" s="4" t="s">
        <v>21</v>
      </c>
      <c r="I1505" s="5" t="str">
        <f>IFERROR(VLOOKUP(Consulta1[[#This Row],[Pozo largo]],'Lista YPF'!$B$3:$C$358,2,FALSE),"NO")</f>
        <v>NO</v>
      </c>
      <c r="J1505" s="5" t="str">
        <f>IFERROR(VLOOKUP(Consulta1[[#This Row],[Pozo]],'Lista Oportunidades'!B:C,2,FALSE),"NO")</f>
        <v>NO</v>
      </c>
      <c r="K1505" s="5">
        <f>IFERROR(VLOOKUP(Consulta1[[#This Row],[Pozo largo]],Controles!B:H,7,FALSE),"NO")</f>
        <v>2.9000000000000001E-2</v>
      </c>
      <c r="L1505" s="5">
        <f>IFERROR(VLOOKUP(Consulta1[[#This Row],[Pozo largo]],Controles!B:J,9,FALSE),"NO")</f>
        <v>0</v>
      </c>
    </row>
    <row r="1506" spans="2:12" x14ac:dyDescent="0.35">
      <c r="B1506" s="4" t="s">
        <v>2897</v>
      </c>
      <c r="C1506" s="4" t="s">
        <v>7231</v>
      </c>
      <c r="D1506" s="4" t="s">
        <v>5</v>
      </c>
      <c r="E1506" s="4" t="s">
        <v>24</v>
      </c>
      <c r="F1506" s="4" t="s">
        <v>31</v>
      </c>
      <c r="G1506" s="4" t="s">
        <v>8</v>
      </c>
      <c r="H1506" s="4" t="s">
        <v>33</v>
      </c>
      <c r="I1506" s="5" t="str">
        <f>IFERROR(VLOOKUP(Consulta1[[#This Row],[Pozo largo]],'Lista YPF'!$B$3:$C$358,2,FALSE),"NO")</f>
        <v>NO</v>
      </c>
      <c r="J1506" s="5" t="str">
        <f>IFERROR(VLOOKUP(Consulta1[[#This Row],[Pozo]],'Lista Oportunidades'!B:C,2,FALSE),"NO")</f>
        <v>NO</v>
      </c>
      <c r="K1506" s="5">
        <f>IFERROR(VLOOKUP(Consulta1[[#This Row],[Pozo largo]],Controles!B:H,7,FALSE),"NO")</f>
        <v>0</v>
      </c>
      <c r="L1506" s="5">
        <f>IFERROR(VLOOKUP(Consulta1[[#This Row],[Pozo largo]],Controles!B:J,9,FALSE),"NO")</f>
        <v>0</v>
      </c>
    </row>
    <row r="1507" spans="2:12" x14ac:dyDescent="0.35">
      <c r="B1507" s="4" t="s">
        <v>2899</v>
      </c>
      <c r="C1507" s="4" t="s">
        <v>7232</v>
      </c>
      <c r="D1507" s="4" t="s">
        <v>5</v>
      </c>
      <c r="E1507" s="4" t="s">
        <v>30</v>
      </c>
      <c r="F1507" s="4" t="s">
        <v>31</v>
      </c>
      <c r="G1507" s="4" t="s">
        <v>32</v>
      </c>
      <c r="H1507" s="4" t="s">
        <v>21</v>
      </c>
      <c r="I1507" s="5" t="str">
        <f>IFERROR(VLOOKUP(Consulta1[[#This Row],[Pozo largo]],'Lista YPF'!$B$3:$C$358,2,FALSE),"NO")</f>
        <v>NO</v>
      </c>
      <c r="J1507" s="5" t="str">
        <f>IFERROR(VLOOKUP(Consulta1[[#This Row],[Pozo]],'Lista Oportunidades'!B:C,2,FALSE),"NO")</f>
        <v>NO</v>
      </c>
      <c r="K1507" s="5" t="str">
        <f>IFERROR(VLOOKUP(Consulta1[[#This Row],[Pozo largo]],Controles!B:H,7,FALSE),"NO")</f>
        <v>NO</v>
      </c>
      <c r="L1507" s="5" t="str">
        <f>IFERROR(VLOOKUP(Consulta1[[#This Row],[Pozo largo]],Controles!B:J,9,FALSE),"NO")</f>
        <v>NO</v>
      </c>
    </row>
    <row r="1508" spans="2:12" x14ac:dyDescent="0.35">
      <c r="B1508" s="4" t="s">
        <v>2900</v>
      </c>
      <c r="C1508" s="4" t="s">
        <v>7233</v>
      </c>
      <c r="D1508" s="4" t="s">
        <v>5</v>
      </c>
      <c r="E1508" s="4" t="s">
        <v>6</v>
      </c>
      <c r="F1508" s="4" t="s">
        <v>28</v>
      </c>
      <c r="G1508" s="4" t="s">
        <v>8</v>
      </c>
      <c r="H1508" s="4" t="s">
        <v>74</v>
      </c>
      <c r="I1508" s="5" t="str">
        <f>IFERROR(VLOOKUP(Consulta1[[#This Row],[Pozo largo]],'Lista YPF'!$B$3:$C$358,2,FALSE),"NO")</f>
        <v>NO</v>
      </c>
      <c r="J1508" s="5" t="str">
        <f>IFERROR(VLOOKUP(Consulta1[[#This Row],[Pozo]],'Lista Oportunidades'!B:C,2,FALSE),"NO")</f>
        <v>NO</v>
      </c>
      <c r="K1508" s="5">
        <f>IFERROR(VLOOKUP(Consulta1[[#This Row],[Pozo largo]],Controles!B:H,7,FALSE),"NO")</f>
        <v>0</v>
      </c>
      <c r="L1508" s="5">
        <f>IFERROR(VLOOKUP(Consulta1[[#This Row],[Pozo largo]],Controles!B:J,9,FALSE),"NO")</f>
        <v>0</v>
      </c>
    </row>
    <row r="1509" spans="2:12" x14ac:dyDescent="0.35">
      <c r="B1509" s="4" t="s">
        <v>2902</v>
      </c>
      <c r="C1509" s="4" t="s">
        <v>7234</v>
      </c>
      <c r="D1509" s="4" t="s">
        <v>5</v>
      </c>
      <c r="E1509" s="4" t="s">
        <v>12</v>
      </c>
      <c r="F1509" s="4" t="s">
        <v>25</v>
      </c>
      <c r="G1509" s="4" t="s">
        <v>13</v>
      </c>
      <c r="H1509" s="4" t="s">
        <v>80</v>
      </c>
      <c r="I1509" s="5" t="str">
        <f>IFERROR(VLOOKUP(Consulta1[[#This Row],[Pozo largo]],'Lista YPF'!$B$3:$C$358,2,FALSE),"NO")</f>
        <v>NO</v>
      </c>
      <c r="J1509" s="5" t="str">
        <f>IFERROR(VLOOKUP(Consulta1[[#This Row],[Pozo]],'Lista Oportunidades'!B:C,2,FALSE),"NO")</f>
        <v>NO</v>
      </c>
      <c r="K1509" s="5">
        <f>IFERROR(VLOOKUP(Consulta1[[#This Row],[Pozo largo]],Controles!B:H,7,FALSE),"NO")</f>
        <v>0.192</v>
      </c>
      <c r="L1509" s="5">
        <f>IFERROR(VLOOKUP(Consulta1[[#This Row],[Pozo largo]],Controles!B:J,9,FALSE),"NO")</f>
        <v>0</v>
      </c>
    </row>
    <row r="1510" spans="2:12" x14ac:dyDescent="0.35">
      <c r="B1510" s="4" t="s">
        <v>2904</v>
      </c>
      <c r="C1510" s="4" t="s">
        <v>7235</v>
      </c>
      <c r="D1510" s="4" t="s">
        <v>5</v>
      </c>
      <c r="E1510" s="4" t="s">
        <v>309</v>
      </c>
      <c r="F1510" s="4" t="s">
        <v>31</v>
      </c>
      <c r="G1510" s="4" t="s">
        <v>5718</v>
      </c>
      <c r="H1510" s="4" t="s">
        <v>185</v>
      </c>
      <c r="I1510" s="5" t="str">
        <f>IFERROR(VLOOKUP(Consulta1[[#This Row],[Pozo largo]],'Lista YPF'!$B$3:$C$358,2,FALSE),"NO")</f>
        <v>En lista de Abandono</v>
      </c>
      <c r="J1510" s="5" t="str">
        <f>IFERROR(VLOOKUP(Consulta1[[#This Row],[Pozo]],'Lista Oportunidades'!B:C,2,FALSE),"NO")</f>
        <v>NO</v>
      </c>
      <c r="K1510" s="5" t="str">
        <f>IFERROR(VLOOKUP(Consulta1[[#This Row],[Pozo largo]],Controles!B:H,7,FALSE),"NO")</f>
        <v>NO</v>
      </c>
      <c r="L1510" s="5" t="str">
        <f>IFERROR(VLOOKUP(Consulta1[[#This Row],[Pozo largo]],Controles!B:J,9,FALSE),"NO")</f>
        <v>NO</v>
      </c>
    </row>
    <row r="1511" spans="2:12" x14ac:dyDescent="0.35">
      <c r="B1511" s="4" t="s">
        <v>2905</v>
      </c>
      <c r="C1511" s="4" t="s">
        <v>7236</v>
      </c>
      <c r="D1511" s="4" t="s">
        <v>5</v>
      </c>
      <c r="E1511" s="4" t="s">
        <v>24</v>
      </c>
      <c r="F1511" s="4" t="s">
        <v>31</v>
      </c>
      <c r="G1511" s="4" t="s">
        <v>8</v>
      </c>
      <c r="H1511" s="4" t="s">
        <v>185</v>
      </c>
      <c r="I1511" s="5" t="str">
        <f>IFERROR(VLOOKUP(Consulta1[[#This Row],[Pozo largo]],'Lista YPF'!$B$3:$C$358,2,FALSE),"NO")</f>
        <v>NO</v>
      </c>
      <c r="J1511" s="5" t="str">
        <f>IFERROR(VLOOKUP(Consulta1[[#This Row],[Pozo]],'Lista Oportunidades'!B:C,2,FALSE),"NO")</f>
        <v>NO</v>
      </c>
      <c r="K1511" s="5" t="str">
        <f>IFERROR(VLOOKUP(Consulta1[[#This Row],[Pozo largo]],Controles!B:H,7,FALSE),"NO")</f>
        <v>NO</v>
      </c>
      <c r="L1511" s="5" t="str">
        <f>IFERROR(VLOOKUP(Consulta1[[#This Row],[Pozo largo]],Controles!B:J,9,FALSE),"NO")</f>
        <v>NO</v>
      </c>
    </row>
    <row r="1512" spans="2:12" x14ac:dyDescent="0.35">
      <c r="B1512" s="4" t="s">
        <v>2906</v>
      </c>
      <c r="C1512" s="4" t="s">
        <v>7237</v>
      </c>
      <c r="D1512" s="4" t="s">
        <v>5</v>
      </c>
      <c r="E1512" s="4" t="s">
        <v>30</v>
      </c>
      <c r="F1512" s="4" t="s">
        <v>31</v>
      </c>
      <c r="G1512" s="4" t="s">
        <v>32</v>
      </c>
      <c r="H1512" s="4" t="s">
        <v>185</v>
      </c>
      <c r="I1512" s="5" t="str">
        <f>IFERROR(VLOOKUP(Consulta1[[#This Row],[Pozo largo]],'Lista YPF'!$B$3:$C$358,2,FALSE),"NO")</f>
        <v>NO</v>
      </c>
      <c r="J1512" s="5" t="str">
        <f>IFERROR(VLOOKUP(Consulta1[[#This Row],[Pozo]],'Lista Oportunidades'!B:C,2,FALSE),"NO")</f>
        <v>NO</v>
      </c>
      <c r="K1512" s="5" t="str">
        <f>IFERROR(VLOOKUP(Consulta1[[#This Row],[Pozo largo]],Controles!B:H,7,FALSE),"NO")</f>
        <v>NO</v>
      </c>
      <c r="L1512" s="5" t="str">
        <f>IFERROR(VLOOKUP(Consulta1[[#This Row],[Pozo largo]],Controles!B:J,9,FALSE),"NO")</f>
        <v>NO</v>
      </c>
    </row>
    <row r="1513" spans="2:12" x14ac:dyDescent="0.35">
      <c r="B1513" s="4" t="s">
        <v>2907</v>
      </c>
      <c r="C1513" s="4" t="s">
        <v>5729</v>
      </c>
      <c r="D1513" s="4" t="s">
        <v>5</v>
      </c>
      <c r="E1513" s="4" t="s">
        <v>12</v>
      </c>
      <c r="F1513" s="4" t="s">
        <v>28</v>
      </c>
      <c r="G1513" s="4" t="s">
        <v>13</v>
      </c>
      <c r="H1513" s="4" t="s">
        <v>260</v>
      </c>
      <c r="I1513" s="5" t="str">
        <f>IFERROR(VLOOKUP(Consulta1[[#This Row],[Pozo largo]],'Lista YPF'!$B$3:$C$358,2,FALSE),"NO")</f>
        <v>NO</v>
      </c>
      <c r="J1513" s="5" t="str">
        <f>IFERROR(VLOOKUP(Consulta1[[#This Row],[Pozo]],'Lista Oportunidades'!B:C,2,FALSE),"NO")</f>
        <v>Oportunidad</v>
      </c>
      <c r="K1513" s="5">
        <f>IFERROR(VLOOKUP(Consulta1[[#This Row],[Pozo largo]],Controles!B:H,7,FALSE),"NO")</f>
        <v>0</v>
      </c>
      <c r="L1513" s="5">
        <f>IFERROR(VLOOKUP(Consulta1[[#This Row],[Pozo largo]],Controles!B:J,9,FALSE),"NO")</f>
        <v>0</v>
      </c>
    </row>
    <row r="1514" spans="2:12" x14ac:dyDescent="0.35">
      <c r="B1514" s="4" t="s">
        <v>2909</v>
      </c>
      <c r="C1514" s="4" t="s">
        <v>7238</v>
      </c>
      <c r="D1514" s="4" t="s">
        <v>5</v>
      </c>
      <c r="E1514" s="4" t="s">
        <v>12</v>
      </c>
      <c r="F1514" s="4" t="s">
        <v>7</v>
      </c>
      <c r="G1514" s="4" t="s">
        <v>13</v>
      </c>
      <c r="H1514" s="4" t="s">
        <v>185</v>
      </c>
      <c r="I1514" s="5" t="str">
        <f>IFERROR(VLOOKUP(Consulta1[[#This Row],[Pozo largo]],'Lista YPF'!$B$3:$C$358,2,FALSE),"NO")</f>
        <v>NO</v>
      </c>
      <c r="J1514" s="5" t="str">
        <f>IFERROR(VLOOKUP(Consulta1[[#This Row],[Pozo]],'Lista Oportunidades'!B:C,2,FALSE),"NO")</f>
        <v>NO</v>
      </c>
      <c r="K1514" s="5">
        <f>IFERROR(VLOOKUP(Consulta1[[#This Row],[Pozo largo]],Controles!B:H,7,FALSE),"NO")</f>
        <v>2.1</v>
      </c>
      <c r="L1514" s="5">
        <f>IFERROR(VLOOKUP(Consulta1[[#This Row],[Pozo largo]],Controles!B:J,9,FALSE),"NO")</f>
        <v>0</v>
      </c>
    </row>
    <row r="1515" spans="2:12" x14ac:dyDescent="0.35">
      <c r="B1515" s="4" t="s">
        <v>2911</v>
      </c>
      <c r="C1515" s="4" t="s">
        <v>7239</v>
      </c>
      <c r="D1515" s="4" t="s">
        <v>5</v>
      </c>
      <c r="E1515" s="4" t="s">
        <v>30</v>
      </c>
      <c r="F1515" s="4" t="s">
        <v>31</v>
      </c>
      <c r="G1515" s="4" t="s">
        <v>32</v>
      </c>
      <c r="H1515" s="4" t="s">
        <v>91</v>
      </c>
      <c r="I1515" s="5" t="str">
        <f>IFERROR(VLOOKUP(Consulta1[[#This Row],[Pozo largo]],'Lista YPF'!$B$3:$C$358,2,FALSE),"NO")</f>
        <v>NO</v>
      </c>
      <c r="J1515" s="5" t="str">
        <f>IFERROR(VLOOKUP(Consulta1[[#This Row],[Pozo]],'Lista Oportunidades'!B:C,2,FALSE),"NO")</f>
        <v>NO</v>
      </c>
      <c r="K1515" s="5">
        <f>IFERROR(VLOOKUP(Consulta1[[#This Row],[Pozo largo]],Controles!B:H,7,FALSE),"NO")</f>
        <v>0.99</v>
      </c>
      <c r="L1515" s="5">
        <f>IFERROR(VLOOKUP(Consulta1[[#This Row],[Pozo largo]],Controles!B:J,9,FALSE),"NO")</f>
        <v>0</v>
      </c>
    </row>
    <row r="1516" spans="2:12" x14ac:dyDescent="0.35">
      <c r="B1516" s="4" t="s">
        <v>2913</v>
      </c>
      <c r="C1516" s="4" t="s">
        <v>7240</v>
      </c>
      <c r="D1516" s="4" t="s">
        <v>5</v>
      </c>
      <c r="E1516" s="4" t="s">
        <v>30</v>
      </c>
      <c r="F1516" s="4" t="s">
        <v>31</v>
      </c>
      <c r="G1516" s="4" t="s">
        <v>32</v>
      </c>
      <c r="H1516" s="4" t="s">
        <v>91</v>
      </c>
      <c r="I1516" s="5" t="str">
        <f>IFERROR(VLOOKUP(Consulta1[[#This Row],[Pozo largo]],'Lista YPF'!$B$3:$C$358,2,FALSE),"NO")</f>
        <v>NO</v>
      </c>
      <c r="J1516" s="5" t="str">
        <f>IFERROR(VLOOKUP(Consulta1[[#This Row],[Pozo]],'Lista Oportunidades'!B:C,2,FALSE),"NO")</f>
        <v>NO</v>
      </c>
      <c r="K1516" s="5">
        <f>IFERROR(VLOOKUP(Consulta1[[#This Row],[Pozo largo]],Controles!B:H,7,FALSE),"NO")</f>
        <v>0</v>
      </c>
      <c r="L1516" s="5">
        <f>IFERROR(VLOOKUP(Consulta1[[#This Row],[Pozo largo]],Controles!B:J,9,FALSE),"NO")</f>
        <v>0</v>
      </c>
    </row>
    <row r="1517" spans="2:12" x14ac:dyDescent="0.35">
      <c r="B1517" s="4" t="s">
        <v>2915</v>
      </c>
      <c r="C1517" s="4" t="s">
        <v>7241</v>
      </c>
      <c r="D1517" s="4" t="s">
        <v>5</v>
      </c>
      <c r="E1517" s="4" t="s">
        <v>12</v>
      </c>
      <c r="F1517" s="4" t="s">
        <v>28</v>
      </c>
      <c r="G1517" s="4" t="s">
        <v>13</v>
      </c>
      <c r="H1517" s="4" t="s">
        <v>86</v>
      </c>
      <c r="I1517" s="5" t="str">
        <f>IFERROR(VLOOKUP(Consulta1[[#This Row],[Pozo largo]],'Lista YPF'!$B$3:$C$358,2,FALSE),"NO")</f>
        <v>NO</v>
      </c>
      <c r="J1517" s="5" t="str">
        <f>IFERROR(VLOOKUP(Consulta1[[#This Row],[Pozo]],'Lista Oportunidades'!B:C,2,FALSE),"NO")</f>
        <v>NO</v>
      </c>
      <c r="K1517" s="5">
        <f>IFERROR(VLOOKUP(Consulta1[[#This Row],[Pozo largo]],Controles!B:H,7,FALSE),"NO")</f>
        <v>0</v>
      </c>
      <c r="L1517" s="5">
        <f>IFERROR(VLOOKUP(Consulta1[[#This Row],[Pozo largo]],Controles!B:J,9,FALSE),"NO")</f>
        <v>0</v>
      </c>
    </row>
    <row r="1518" spans="2:12" x14ac:dyDescent="0.35">
      <c r="B1518" s="4" t="s">
        <v>2917</v>
      </c>
      <c r="C1518" s="4" t="s">
        <v>7242</v>
      </c>
      <c r="D1518" s="4" t="s">
        <v>5</v>
      </c>
      <c r="E1518" s="4" t="s">
        <v>24</v>
      </c>
      <c r="F1518" s="4" t="s">
        <v>25</v>
      </c>
      <c r="G1518" s="4" t="s">
        <v>8</v>
      </c>
      <c r="H1518" s="4" t="s">
        <v>86</v>
      </c>
      <c r="I1518" s="5" t="str">
        <f>IFERROR(VLOOKUP(Consulta1[[#This Row],[Pozo largo]],'Lista YPF'!$B$3:$C$358,2,FALSE),"NO")</f>
        <v>NO</v>
      </c>
      <c r="J1518" s="5" t="str">
        <f>IFERROR(VLOOKUP(Consulta1[[#This Row],[Pozo]],'Lista Oportunidades'!B:C,2,FALSE),"NO")</f>
        <v>NO</v>
      </c>
      <c r="K1518" s="5">
        <f>IFERROR(VLOOKUP(Consulta1[[#This Row],[Pozo largo]],Controles!B:H,7,FALSE),"NO")</f>
        <v>9.6000000000000002E-2</v>
      </c>
      <c r="L1518" s="5">
        <f>IFERROR(VLOOKUP(Consulta1[[#This Row],[Pozo largo]],Controles!B:J,9,FALSE),"NO")</f>
        <v>0</v>
      </c>
    </row>
    <row r="1519" spans="2:12" x14ac:dyDescent="0.35">
      <c r="B1519" s="4" t="s">
        <v>2919</v>
      </c>
      <c r="C1519" s="4" t="s">
        <v>7243</v>
      </c>
      <c r="D1519" s="4" t="s">
        <v>5</v>
      </c>
      <c r="E1519" s="4" t="s">
        <v>24</v>
      </c>
      <c r="F1519" s="4" t="s">
        <v>25</v>
      </c>
      <c r="G1519" s="4" t="s">
        <v>8</v>
      </c>
      <c r="H1519" s="4" t="s">
        <v>86</v>
      </c>
      <c r="I1519" s="5" t="str">
        <f>IFERROR(VLOOKUP(Consulta1[[#This Row],[Pozo largo]],'Lista YPF'!$B$3:$C$358,2,FALSE),"NO")</f>
        <v>NO</v>
      </c>
      <c r="J1519" s="5" t="str">
        <f>IFERROR(VLOOKUP(Consulta1[[#This Row],[Pozo]],'Lista Oportunidades'!B:C,2,FALSE),"NO")</f>
        <v>NO</v>
      </c>
      <c r="K1519" s="5">
        <f>IFERROR(VLOOKUP(Consulta1[[#This Row],[Pozo largo]],Controles!B:H,7,FALSE),"NO")</f>
        <v>9.7000000000000003E-2</v>
      </c>
      <c r="L1519" s="5">
        <f>IFERROR(VLOOKUP(Consulta1[[#This Row],[Pozo largo]],Controles!B:J,9,FALSE),"NO")</f>
        <v>0</v>
      </c>
    </row>
    <row r="1520" spans="2:12" x14ac:dyDescent="0.35">
      <c r="B1520" s="4" t="s">
        <v>2921</v>
      </c>
      <c r="C1520" s="4" t="s">
        <v>7244</v>
      </c>
      <c r="D1520" s="4" t="s">
        <v>5</v>
      </c>
      <c r="E1520" s="4" t="s">
        <v>30</v>
      </c>
      <c r="F1520" s="4" t="s">
        <v>31</v>
      </c>
      <c r="G1520" s="4" t="s">
        <v>32</v>
      </c>
      <c r="H1520" s="4" t="s">
        <v>80</v>
      </c>
      <c r="I1520" s="5" t="str">
        <f>IFERROR(VLOOKUP(Consulta1[[#This Row],[Pozo largo]],'Lista YPF'!$B$3:$C$358,2,FALSE),"NO")</f>
        <v>NO</v>
      </c>
      <c r="J1520" s="5" t="str">
        <f>IFERROR(VLOOKUP(Consulta1[[#This Row],[Pozo]],'Lista Oportunidades'!B:C,2,FALSE),"NO")</f>
        <v>NO</v>
      </c>
      <c r="K1520" s="5">
        <f>IFERROR(VLOOKUP(Consulta1[[#This Row],[Pozo largo]],Controles!B:H,7,FALSE),"NO")</f>
        <v>0.27</v>
      </c>
      <c r="L1520" s="5">
        <f>IFERROR(VLOOKUP(Consulta1[[#This Row],[Pozo largo]],Controles!B:J,9,FALSE),"NO")</f>
        <v>0</v>
      </c>
    </row>
    <row r="1521" spans="2:12" x14ac:dyDescent="0.35">
      <c r="B1521" s="4" t="s">
        <v>2923</v>
      </c>
      <c r="C1521" s="4" t="s">
        <v>7245</v>
      </c>
      <c r="D1521" s="4" t="s">
        <v>5</v>
      </c>
      <c r="E1521" s="4" t="s">
        <v>12</v>
      </c>
      <c r="F1521" s="4" t="s">
        <v>7</v>
      </c>
      <c r="G1521" s="4" t="s">
        <v>13</v>
      </c>
      <c r="H1521" s="4" t="s">
        <v>71</v>
      </c>
      <c r="I1521" s="5" t="str">
        <f>IFERROR(VLOOKUP(Consulta1[[#This Row],[Pozo largo]],'Lista YPF'!$B$3:$C$358,2,FALSE),"NO")</f>
        <v>NO</v>
      </c>
      <c r="J1521" s="5" t="str">
        <f>IFERROR(VLOOKUP(Consulta1[[#This Row],[Pozo]],'Lista Oportunidades'!B:C,2,FALSE),"NO")</f>
        <v>NO</v>
      </c>
      <c r="K1521" s="5">
        <f>IFERROR(VLOOKUP(Consulta1[[#This Row],[Pozo largo]],Controles!B:H,7,FALSE),"NO")</f>
        <v>2</v>
      </c>
      <c r="L1521" s="5">
        <f>IFERROR(VLOOKUP(Consulta1[[#This Row],[Pozo largo]],Controles!B:J,9,FALSE),"NO")</f>
        <v>0</v>
      </c>
    </row>
    <row r="1522" spans="2:12" x14ac:dyDescent="0.35">
      <c r="B1522" s="4" t="s">
        <v>2925</v>
      </c>
      <c r="C1522" s="4" t="s">
        <v>7246</v>
      </c>
      <c r="D1522" s="4" t="s">
        <v>5</v>
      </c>
      <c r="E1522" s="4" t="s">
        <v>24</v>
      </c>
      <c r="F1522" s="4" t="s">
        <v>31</v>
      </c>
      <c r="G1522" s="4" t="s">
        <v>8</v>
      </c>
      <c r="H1522" s="4" t="s">
        <v>185</v>
      </c>
      <c r="I1522" s="5" t="str">
        <f>IFERROR(VLOOKUP(Consulta1[[#This Row],[Pozo largo]],'Lista YPF'!$B$3:$C$358,2,FALSE),"NO")</f>
        <v>NO</v>
      </c>
      <c r="J1522" s="5" t="str">
        <f>IFERROR(VLOOKUP(Consulta1[[#This Row],[Pozo]],'Lista Oportunidades'!B:C,2,FALSE),"NO")</f>
        <v>NO</v>
      </c>
      <c r="K1522" s="5" t="str">
        <f>IFERROR(VLOOKUP(Consulta1[[#This Row],[Pozo largo]],Controles!B:H,7,FALSE),"NO")</f>
        <v>NO</v>
      </c>
      <c r="L1522" s="5" t="str">
        <f>IFERROR(VLOOKUP(Consulta1[[#This Row],[Pozo largo]],Controles!B:J,9,FALSE),"NO")</f>
        <v>NO</v>
      </c>
    </row>
    <row r="1523" spans="2:12" x14ac:dyDescent="0.35">
      <c r="B1523" s="4" t="s">
        <v>2926</v>
      </c>
      <c r="C1523" s="4" t="s">
        <v>7247</v>
      </c>
      <c r="D1523" s="4" t="s">
        <v>5</v>
      </c>
      <c r="E1523" s="4" t="s">
        <v>24</v>
      </c>
      <c r="F1523" s="4" t="s">
        <v>31</v>
      </c>
      <c r="G1523" s="4" t="s">
        <v>8</v>
      </c>
      <c r="H1523" s="4" t="s">
        <v>185</v>
      </c>
      <c r="I1523" s="5" t="str">
        <f>IFERROR(VLOOKUP(Consulta1[[#This Row],[Pozo largo]],'Lista YPF'!$B$3:$C$358,2,FALSE),"NO")</f>
        <v>NO</v>
      </c>
      <c r="J1523" s="5" t="str">
        <f>IFERROR(VLOOKUP(Consulta1[[#This Row],[Pozo]],'Lista Oportunidades'!B:C,2,FALSE),"NO")</f>
        <v>NO</v>
      </c>
      <c r="K1523" s="5">
        <f>IFERROR(VLOOKUP(Consulta1[[#This Row],[Pozo largo]],Controles!B:H,7,FALSE),"NO")</f>
        <v>0</v>
      </c>
      <c r="L1523" s="5">
        <f>IFERROR(VLOOKUP(Consulta1[[#This Row],[Pozo largo]],Controles!B:J,9,FALSE),"NO")</f>
        <v>0</v>
      </c>
    </row>
    <row r="1524" spans="2:12" x14ac:dyDescent="0.35">
      <c r="B1524" s="4" t="s">
        <v>2928</v>
      </c>
      <c r="C1524" s="4" t="s">
        <v>7248</v>
      </c>
      <c r="D1524" s="4" t="s">
        <v>5</v>
      </c>
      <c r="E1524" s="4" t="s">
        <v>12</v>
      </c>
      <c r="F1524" s="4" t="s">
        <v>28</v>
      </c>
      <c r="G1524" s="4" t="s">
        <v>13</v>
      </c>
      <c r="H1524" s="4" t="s">
        <v>16</v>
      </c>
      <c r="I1524" s="5" t="str">
        <f>IFERROR(VLOOKUP(Consulta1[[#This Row],[Pozo largo]],'Lista YPF'!$B$3:$C$358,2,FALSE),"NO")</f>
        <v>NO</v>
      </c>
      <c r="J1524" s="5" t="str">
        <f>IFERROR(VLOOKUP(Consulta1[[#This Row],[Pozo]],'Lista Oportunidades'!B:C,2,FALSE),"NO")</f>
        <v>NO</v>
      </c>
      <c r="K1524" s="5">
        <f>IFERROR(VLOOKUP(Consulta1[[#This Row],[Pozo largo]],Controles!B:H,7,FALSE),"NO")</f>
        <v>0</v>
      </c>
      <c r="L1524" s="5">
        <f>IFERROR(VLOOKUP(Consulta1[[#This Row],[Pozo largo]],Controles!B:J,9,FALSE),"NO")</f>
        <v>0</v>
      </c>
    </row>
    <row r="1525" spans="2:12" x14ac:dyDescent="0.35">
      <c r="B1525" s="4" t="s">
        <v>2930</v>
      </c>
      <c r="C1525" s="4" t="s">
        <v>7249</v>
      </c>
      <c r="D1525" s="4" t="s">
        <v>5</v>
      </c>
      <c r="E1525" s="4" t="s">
        <v>2931</v>
      </c>
      <c r="F1525" s="4" t="s">
        <v>31</v>
      </c>
      <c r="G1525" s="4" t="s">
        <v>5718</v>
      </c>
      <c r="H1525" s="4" t="s">
        <v>74</v>
      </c>
      <c r="I1525" s="5" t="str">
        <f>IFERROR(VLOOKUP(Consulta1[[#This Row],[Pozo largo]],'Lista YPF'!$B$3:$C$358,2,FALSE),"NO")</f>
        <v>En lista de Abandono</v>
      </c>
      <c r="J1525" s="5" t="str">
        <f>IFERROR(VLOOKUP(Consulta1[[#This Row],[Pozo]],'Lista Oportunidades'!B:C,2,FALSE),"NO")</f>
        <v>NO</v>
      </c>
      <c r="K1525" s="5" t="str">
        <f>IFERROR(VLOOKUP(Consulta1[[#This Row],[Pozo largo]],Controles!B:H,7,FALSE),"NO")</f>
        <v>NO</v>
      </c>
      <c r="L1525" s="5" t="str">
        <f>IFERROR(VLOOKUP(Consulta1[[#This Row],[Pozo largo]],Controles!B:J,9,FALSE),"NO")</f>
        <v>NO</v>
      </c>
    </row>
    <row r="1526" spans="2:12" x14ac:dyDescent="0.35">
      <c r="B1526" s="4" t="s">
        <v>2932</v>
      </c>
      <c r="C1526" s="4" t="s">
        <v>7250</v>
      </c>
      <c r="D1526" s="4" t="s">
        <v>5</v>
      </c>
      <c r="E1526" s="4" t="s">
        <v>24</v>
      </c>
      <c r="F1526" s="4" t="s">
        <v>31</v>
      </c>
      <c r="G1526" s="4" t="s">
        <v>8</v>
      </c>
      <c r="H1526" s="4" t="s">
        <v>9</v>
      </c>
      <c r="I1526" s="5" t="str">
        <f>IFERROR(VLOOKUP(Consulta1[[#This Row],[Pozo largo]],'Lista YPF'!$B$3:$C$358,2,FALSE),"NO")</f>
        <v>NO</v>
      </c>
      <c r="J1526" s="5" t="str">
        <f>IFERROR(VLOOKUP(Consulta1[[#This Row],[Pozo]],'Lista Oportunidades'!B:C,2,FALSE),"NO")</f>
        <v>NO</v>
      </c>
      <c r="K1526" s="5" t="str">
        <f>IFERROR(VLOOKUP(Consulta1[[#This Row],[Pozo largo]],Controles!B:H,7,FALSE),"NO")</f>
        <v>NO</v>
      </c>
      <c r="L1526" s="5" t="str">
        <f>IFERROR(VLOOKUP(Consulta1[[#This Row],[Pozo largo]],Controles!B:J,9,FALSE),"NO")</f>
        <v>NO</v>
      </c>
    </row>
    <row r="1527" spans="2:12" x14ac:dyDescent="0.35">
      <c r="B1527" s="4" t="s">
        <v>2933</v>
      </c>
      <c r="C1527" s="4" t="s">
        <v>7251</v>
      </c>
      <c r="D1527" s="4" t="s">
        <v>5</v>
      </c>
      <c r="E1527" s="4" t="s">
        <v>30</v>
      </c>
      <c r="F1527" s="4" t="s">
        <v>31</v>
      </c>
      <c r="G1527" s="4" t="s">
        <v>32</v>
      </c>
      <c r="H1527" s="4" t="s">
        <v>36</v>
      </c>
      <c r="I1527" s="5" t="str">
        <f>IFERROR(VLOOKUP(Consulta1[[#This Row],[Pozo largo]],'Lista YPF'!$B$3:$C$358,2,FALSE),"NO")</f>
        <v>NO</v>
      </c>
      <c r="J1527" s="5" t="str">
        <f>IFERROR(VLOOKUP(Consulta1[[#This Row],[Pozo]],'Lista Oportunidades'!B:C,2,FALSE),"NO")</f>
        <v>NO</v>
      </c>
      <c r="K1527" s="5">
        <f>IFERROR(VLOOKUP(Consulta1[[#This Row],[Pozo largo]],Controles!B:H,7,FALSE),"NO")</f>
        <v>0.14200000000000002</v>
      </c>
      <c r="L1527" s="5">
        <f>IFERROR(VLOOKUP(Consulta1[[#This Row],[Pozo largo]],Controles!B:J,9,FALSE),"NO")</f>
        <v>0</v>
      </c>
    </row>
    <row r="1528" spans="2:12" x14ac:dyDescent="0.35">
      <c r="B1528" s="4" t="s">
        <v>2935</v>
      </c>
      <c r="C1528" s="4" t="s">
        <v>7252</v>
      </c>
      <c r="D1528" s="4" t="s">
        <v>5</v>
      </c>
      <c r="E1528" s="4" t="s">
        <v>12</v>
      </c>
      <c r="F1528" s="4" t="s">
        <v>25</v>
      </c>
      <c r="G1528" s="4" t="s">
        <v>13</v>
      </c>
      <c r="H1528" s="4" t="s">
        <v>254</v>
      </c>
      <c r="I1528" s="5" t="str">
        <f>IFERROR(VLOOKUP(Consulta1[[#This Row],[Pozo largo]],'Lista YPF'!$B$3:$C$358,2,FALSE),"NO")</f>
        <v>NO</v>
      </c>
      <c r="J1528" s="5" t="str">
        <f>IFERROR(VLOOKUP(Consulta1[[#This Row],[Pozo]],'Lista Oportunidades'!B:C,2,FALSE),"NO")</f>
        <v>NO</v>
      </c>
      <c r="K1528" s="5">
        <f>IFERROR(VLOOKUP(Consulta1[[#This Row],[Pozo largo]],Controles!B:H,7,FALSE),"NO")</f>
        <v>9.5000000000000001E-2</v>
      </c>
      <c r="L1528" s="5">
        <f>IFERROR(VLOOKUP(Consulta1[[#This Row],[Pozo largo]],Controles!B:J,9,FALSE),"NO")</f>
        <v>0</v>
      </c>
    </row>
    <row r="1529" spans="2:12" x14ac:dyDescent="0.35">
      <c r="B1529" s="4" t="s">
        <v>2937</v>
      </c>
      <c r="C1529" s="4" t="s">
        <v>7253</v>
      </c>
      <c r="D1529" s="4" t="s">
        <v>5</v>
      </c>
      <c r="E1529" s="4" t="s">
        <v>30</v>
      </c>
      <c r="F1529" s="4" t="s">
        <v>31</v>
      </c>
      <c r="G1529" s="4" t="s">
        <v>32</v>
      </c>
      <c r="H1529" s="4" t="s">
        <v>36</v>
      </c>
      <c r="I1529" s="5" t="str">
        <f>IFERROR(VLOOKUP(Consulta1[[#This Row],[Pozo largo]],'Lista YPF'!$B$3:$C$358,2,FALSE),"NO")</f>
        <v>NO</v>
      </c>
      <c r="J1529" s="5" t="str">
        <f>IFERROR(VLOOKUP(Consulta1[[#This Row],[Pozo]],'Lista Oportunidades'!B:C,2,FALSE),"NO")</f>
        <v>NO</v>
      </c>
      <c r="K1529" s="5">
        <f>IFERROR(VLOOKUP(Consulta1[[#This Row],[Pozo largo]],Controles!B:H,7,FALSE),"NO")</f>
        <v>0.97200000000000009</v>
      </c>
      <c r="L1529" s="5">
        <f>IFERROR(VLOOKUP(Consulta1[[#This Row],[Pozo largo]],Controles!B:J,9,FALSE),"NO")</f>
        <v>0</v>
      </c>
    </row>
    <row r="1530" spans="2:12" x14ac:dyDescent="0.35">
      <c r="B1530" s="4" t="s">
        <v>2939</v>
      </c>
      <c r="C1530" s="4" t="s">
        <v>7254</v>
      </c>
      <c r="D1530" s="4" t="s">
        <v>5</v>
      </c>
      <c r="E1530" s="4" t="s">
        <v>12</v>
      </c>
      <c r="F1530" s="4" t="s">
        <v>7</v>
      </c>
      <c r="G1530" s="4" t="s">
        <v>13</v>
      </c>
      <c r="H1530" s="4" t="s">
        <v>33</v>
      </c>
      <c r="I1530" s="5" t="str">
        <f>IFERROR(VLOOKUP(Consulta1[[#This Row],[Pozo largo]],'Lista YPF'!$B$3:$C$358,2,FALSE),"NO")</f>
        <v>NO</v>
      </c>
      <c r="J1530" s="5" t="str">
        <f>IFERROR(VLOOKUP(Consulta1[[#This Row],[Pozo]],'Lista Oportunidades'!B:C,2,FALSE),"NO")</f>
        <v>NO</v>
      </c>
      <c r="K1530" s="5">
        <f>IFERROR(VLOOKUP(Consulta1[[#This Row],[Pozo largo]],Controles!B:H,7,FALSE),"NO")</f>
        <v>1.19</v>
      </c>
      <c r="L1530" s="5">
        <f>IFERROR(VLOOKUP(Consulta1[[#This Row],[Pozo largo]],Controles!B:J,9,FALSE),"NO")</f>
        <v>0</v>
      </c>
    </row>
    <row r="1531" spans="2:12" x14ac:dyDescent="0.35">
      <c r="B1531" s="4" t="s">
        <v>2941</v>
      </c>
      <c r="C1531" s="4" t="s">
        <v>7255</v>
      </c>
      <c r="D1531" s="4" t="s">
        <v>5</v>
      </c>
      <c r="E1531" s="4" t="s">
        <v>12</v>
      </c>
      <c r="F1531" s="4" t="s">
        <v>25</v>
      </c>
      <c r="G1531" s="4" t="s">
        <v>13</v>
      </c>
      <c r="H1531" s="4" t="s">
        <v>33</v>
      </c>
      <c r="I1531" s="5" t="str">
        <f>IFERROR(VLOOKUP(Consulta1[[#This Row],[Pozo largo]],'Lista YPF'!$B$3:$C$358,2,FALSE),"NO")</f>
        <v>NO</v>
      </c>
      <c r="J1531" s="5" t="str">
        <f>IFERROR(VLOOKUP(Consulta1[[#This Row],[Pozo]],'Lista Oportunidades'!B:C,2,FALSE),"NO")</f>
        <v>NO</v>
      </c>
      <c r="K1531" s="5">
        <f>IFERROR(VLOOKUP(Consulta1[[#This Row],[Pozo largo]],Controles!B:H,7,FALSE),"NO")</f>
        <v>0.1</v>
      </c>
      <c r="L1531" s="5">
        <f>IFERROR(VLOOKUP(Consulta1[[#This Row],[Pozo largo]],Controles!B:J,9,FALSE),"NO")</f>
        <v>0</v>
      </c>
    </row>
    <row r="1532" spans="2:12" x14ac:dyDescent="0.35">
      <c r="B1532" s="4" t="s">
        <v>2943</v>
      </c>
      <c r="C1532" s="4" t="s">
        <v>7256</v>
      </c>
      <c r="D1532" s="4" t="s">
        <v>5</v>
      </c>
      <c r="E1532" s="4" t="s">
        <v>24</v>
      </c>
      <c r="F1532" s="4" t="s">
        <v>25</v>
      </c>
      <c r="G1532" s="4" t="s">
        <v>8</v>
      </c>
      <c r="H1532" s="4" t="s">
        <v>254</v>
      </c>
      <c r="I1532" s="5" t="str">
        <f>IFERROR(VLOOKUP(Consulta1[[#This Row],[Pozo largo]],'Lista YPF'!$B$3:$C$358,2,FALSE),"NO")</f>
        <v>NO</v>
      </c>
      <c r="J1532" s="5" t="str">
        <f>IFERROR(VLOOKUP(Consulta1[[#This Row],[Pozo]],'Lista Oportunidades'!B:C,2,FALSE),"NO")</f>
        <v>NO</v>
      </c>
      <c r="K1532" s="5">
        <f>IFERROR(VLOOKUP(Consulta1[[#This Row],[Pozo largo]],Controles!B:H,7,FALSE),"NO")</f>
        <v>2.9000000000000001E-2</v>
      </c>
      <c r="L1532" s="5">
        <f>IFERROR(VLOOKUP(Consulta1[[#This Row],[Pozo largo]],Controles!B:J,9,FALSE),"NO")</f>
        <v>0</v>
      </c>
    </row>
    <row r="1533" spans="2:12" x14ac:dyDescent="0.35">
      <c r="B1533" s="4" t="s">
        <v>2945</v>
      </c>
      <c r="C1533" s="4" t="s">
        <v>7257</v>
      </c>
      <c r="D1533" s="4" t="s">
        <v>5</v>
      </c>
      <c r="E1533" s="4" t="s">
        <v>30</v>
      </c>
      <c r="F1533" s="4" t="s">
        <v>31</v>
      </c>
      <c r="G1533" s="4" t="s">
        <v>32</v>
      </c>
      <c r="H1533" s="4" t="s">
        <v>86</v>
      </c>
      <c r="I1533" s="5" t="str">
        <f>IFERROR(VLOOKUP(Consulta1[[#This Row],[Pozo largo]],'Lista YPF'!$B$3:$C$358,2,FALSE),"NO")</f>
        <v>NO</v>
      </c>
      <c r="J1533" s="5" t="str">
        <f>IFERROR(VLOOKUP(Consulta1[[#This Row],[Pozo]],'Lista Oportunidades'!B:C,2,FALSE),"NO")</f>
        <v>NO</v>
      </c>
      <c r="K1533" s="5" t="str">
        <f>IFERROR(VLOOKUP(Consulta1[[#This Row],[Pozo largo]],Controles!B:H,7,FALSE),"NO")</f>
        <v>NO</v>
      </c>
      <c r="L1533" s="5" t="str">
        <f>IFERROR(VLOOKUP(Consulta1[[#This Row],[Pozo largo]],Controles!B:J,9,FALSE),"NO")</f>
        <v>NO</v>
      </c>
    </row>
    <row r="1534" spans="2:12" x14ac:dyDescent="0.35">
      <c r="B1534" s="4" t="s">
        <v>2946</v>
      </c>
      <c r="C1534" s="4" t="s">
        <v>7258</v>
      </c>
      <c r="D1534" s="4" t="s">
        <v>5</v>
      </c>
      <c r="E1534" s="4" t="s">
        <v>24</v>
      </c>
      <c r="F1534" s="4" t="s">
        <v>25</v>
      </c>
      <c r="G1534" s="4" t="s">
        <v>11387</v>
      </c>
      <c r="H1534" s="4" t="s">
        <v>91</v>
      </c>
      <c r="I1534" s="5" t="str">
        <f>IFERROR(VLOOKUP(Consulta1[[#This Row],[Pozo largo]],'Lista YPF'!$B$3:$C$358,2,FALSE),"NO")</f>
        <v>NO</v>
      </c>
      <c r="J1534" s="5" t="str">
        <f>IFERROR(VLOOKUP(Consulta1[[#This Row],[Pozo]],'Lista Oportunidades'!B:C,2,FALSE),"NO")</f>
        <v>NO</v>
      </c>
      <c r="K1534" s="5">
        <f>IFERROR(VLOOKUP(Consulta1[[#This Row],[Pozo largo]],Controles!B:H,7,FALSE),"NO")</f>
        <v>0.10400000000000001</v>
      </c>
      <c r="L1534" s="5" t="str">
        <f>IFERROR(VLOOKUP(Consulta1[[#This Row],[Pozo largo]],Controles!B:J,9,FALSE),"NO")</f>
        <v>Ultimo Año</v>
      </c>
    </row>
    <row r="1535" spans="2:12" x14ac:dyDescent="0.35">
      <c r="B1535" s="4" t="s">
        <v>2948</v>
      </c>
      <c r="C1535" s="4" t="s">
        <v>7259</v>
      </c>
      <c r="D1535" s="4" t="s">
        <v>5</v>
      </c>
      <c r="E1535" s="4" t="s">
        <v>24</v>
      </c>
      <c r="F1535" s="4" t="s">
        <v>25</v>
      </c>
      <c r="G1535" s="4" t="s">
        <v>8</v>
      </c>
      <c r="H1535" s="4" t="s">
        <v>91</v>
      </c>
      <c r="I1535" s="5" t="str">
        <f>IFERROR(VLOOKUP(Consulta1[[#This Row],[Pozo largo]],'Lista YPF'!$B$3:$C$358,2,FALSE),"NO")</f>
        <v>NO</v>
      </c>
      <c r="J1535" s="5" t="str">
        <f>IFERROR(VLOOKUP(Consulta1[[#This Row],[Pozo]],'Lista Oportunidades'!B:C,2,FALSE),"NO")</f>
        <v>NO</v>
      </c>
      <c r="K1535" s="5">
        <f>IFERROR(VLOOKUP(Consulta1[[#This Row],[Pozo largo]],Controles!B:H,7,FALSE),"NO")</f>
        <v>0.20400000000000001</v>
      </c>
      <c r="L1535" s="5">
        <f>IFERROR(VLOOKUP(Consulta1[[#This Row],[Pozo largo]],Controles!B:J,9,FALSE),"NO")</f>
        <v>0</v>
      </c>
    </row>
    <row r="1536" spans="2:12" x14ac:dyDescent="0.35">
      <c r="B1536" s="4" t="s">
        <v>2950</v>
      </c>
      <c r="C1536" s="4" t="s">
        <v>7260</v>
      </c>
      <c r="D1536" s="4" t="s">
        <v>5</v>
      </c>
      <c r="E1536" s="4" t="s">
        <v>2952</v>
      </c>
      <c r="F1536" s="4" t="s">
        <v>7</v>
      </c>
      <c r="G1536" s="4" t="s">
        <v>5718</v>
      </c>
      <c r="H1536" s="4" t="s">
        <v>71</v>
      </c>
      <c r="I1536" s="5" t="str">
        <f>IFERROR(VLOOKUP(Consulta1[[#This Row],[Pozo largo]],'Lista YPF'!$B$3:$C$358,2,FALSE),"NO")</f>
        <v>En lista de Abandono</v>
      </c>
      <c r="J1536" s="5" t="str">
        <f>IFERROR(VLOOKUP(Consulta1[[#This Row],[Pozo]],'Lista Oportunidades'!B:C,2,FALSE),"NO")</f>
        <v>NO</v>
      </c>
      <c r="K1536" s="5">
        <f>IFERROR(VLOOKUP(Consulta1[[#This Row],[Pozo largo]],Controles!B:H,7,FALSE),"NO")</f>
        <v>0.50800000000000001</v>
      </c>
      <c r="L1536" s="5">
        <f>IFERROR(VLOOKUP(Consulta1[[#This Row],[Pozo largo]],Controles!B:J,9,FALSE),"NO")</f>
        <v>0</v>
      </c>
    </row>
    <row r="1537" spans="2:12" x14ac:dyDescent="0.35">
      <c r="B1537" s="4" t="s">
        <v>2953</v>
      </c>
      <c r="C1537" s="4" t="s">
        <v>7261</v>
      </c>
      <c r="D1537" s="4" t="s">
        <v>5</v>
      </c>
      <c r="E1537" s="4" t="s">
        <v>57</v>
      </c>
      <c r="F1537" s="4" t="s">
        <v>7</v>
      </c>
      <c r="G1537" s="4" t="s">
        <v>11387</v>
      </c>
      <c r="H1537" s="4" t="s">
        <v>86</v>
      </c>
      <c r="I1537" s="5" t="str">
        <f>IFERROR(VLOOKUP(Consulta1[[#This Row],[Pozo largo]],'Lista YPF'!$B$3:$C$358,2,FALSE),"NO")</f>
        <v>NO</v>
      </c>
      <c r="J1537" s="5" t="str">
        <f>IFERROR(VLOOKUP(Consulta1[[#This Row],[Pozo]],'Lista Oportunidades'!B:C,2,FALSE),"NO")</f>
        <v>NO</v>
      </c>
      <c r="K1537" s="5">
        <f>IFERROR(VLOOKUP(Consulta1[[#This Row],[Pozo largo]],Controles!B:H,7,FALSE),"NO")</f>
        <v>0.6</v>
      </c>
      <c r="L1537" s="5" t="str">
        <f>IFERROR(VLOOKUP(Consulta1[[#This Row],[Pozo largo]],Controles!B:J,9,FALSE),"NO")</f>
        <v>Ultimo Año</v>
      </c>
    </row>
    <row r="1538" spans="2:12" x14ac:dyDescent="0.35">
      <c r="B1538" s="4" t="s">
        <v>2955</v>
      </c>
      <c r="C1538" s="4" t="s">
        <v>7262</v>
      </c>
      <c r="D1538" s="4" t="s">
        <v>5</v>
      </c>
      <c r="E1538" s="4" t="s">
        <v>12</v>
      </c>
      <c r="F1538" s="4" t="s">
        <v>7</v>
      </c>
      <c r="G1538" s="4" t="s">
        <v>13</v>
      </c>
      <c r="H1538" s="4" t="s">
        <v>9</v>
      </c>
      <c r="I1538" s="5" t="str">
        <f>IFERROR(VLOOKUP(Consulta1[[#This Row],[Pozo largo]],'Lista YPF'!$B$3:$C$358,2,FALSE),"NO")</f>
        <v>NO</v>
      </c>
      <c r="J1538" s="5" t="str">
        <f>IFERROR(VLOOKUP(Consulta1[[#This Row],[Pozo]],'Lista Oportunidades'!B:C,2,FALSE),"NO")</f>
        <v>NO</v>
      </c>
      <c r="K1538" s="5">
        <f>IFERROR(VLOOKUP(Consulta1[[#This Row],[Pozo largo]],Controles!B:H,7,FALSE),"NO")</f>
        <v>0.84</v>
      </c>
      <c r="L1538" s="5">
        <f>IFERROR(VLOOKUP(Consulta1[[#This Row],[Pozo largo]],Controles!B:J,9,FALSE),"NO")</f>
        <v>0</v>
      </c>
    </row>
    <row r="1539" spans="2:12" x14ac:dyDescent="0.35">
      <c r="B1539" s="4" t="s">
        <v>2957</v>
      </c>
      <c r="C1539" s="4" t="s">
        <v>7263</v>
      </c>
      <c r="D1539" s="4" t="s">
        <v>5</v>
      </c>
      <c r="E1539" s="4" t="s">
        <v>12</v>
      </c>
      <c r="F1539" s="4" t="s">
        <v>7</v>
      </c>
      <c r="G1539" s="4" t="s">
        <v>13</v>
      </c>
      <c r="H1539" s="4" t="s">
        <v>86</v>
      </c>
      <c r="I1539" s="5" t="str">
        <f>IFERROR(VLOOKUP(Consulta1[[#This Row],[Pozo largo]],'Lista YPF'!$B$3:$C$358,2,FALSE),"NO")</f>
        <v>NO</v>
      </c>
      <c r="J1539" s="5" t="str">
        <f>IFERROR(VLOOKUP(Consulta1[[#This Row],[Pozo]],'Lista Oportunidades'!B:C,2,FALSE),"NO")</f>
        <v>NO</v>
      </c>
      <c r="K1539" s="5">
        <f>IFERROR(VLOOKUP(Consulta1[[#This Row],[Pozo largo]],Controles!B:H,7,FALSE),"NO")</f>
        <v>1.3800000000000001</v>
      </c>
      <c r="L1539" s="5">
        <f>IFERROR(VLOOKUP(Consulta1[[#This Row],[Pozo largo]],Controles!B:J,9,FALSE),"NO")</f>
        <v>0</v>
      </c>
    </row>
    <row r="1540" spans="2:12" x14ac:dyDescent="0.35">
      <c r="B1540" s="4" t="s">
        <v>2959</v>
      </c>
      <c r="C1540" s="4" t="s">
        <v>7264</v>
      </c>
      <c r="D1540" s="4" t="s">
        <v>5</v>
      </c>
      <c r="E1540" s="4" t="s">
        <v>12</v>
      </c>
      <c r="F1540" s="4" t="s">
        <v>238</v>
      </c>
      <c r="G1540" s="4" t="s">
        <v>13</v>
      </c>
      <c r="H1540" s="4" t="s">
        <v>9</v>
      </c>
      <c r="I1540" s="5" t="str">
        <f>IFERROR(VLOOKUP(Consulta1[[#This Row],[Pozo largo]],'Lista YPF'!$B$3:$C$358,2,FALSE),"NO")</f>
        <v>NO</v>
      </c>
      <c r="J1540" s="5" t="str">
        <f>IFERROR(VLOOKUP(Consulta1[[#This Row],[Pozo]],'Lista Oportunidades'!B:C,2,FALSE),"NO")</f>
        <v>NO</v>
      </c>
      <c r="K1540" s="5">
        <f>IFERROR(VLOOKUP(Consulta1[[#This Row],[Pozo largo]],Controles!B:H,7,FALSE),"NO")</f>
        <v>1.03</v>
      </c>
      <c r="L1540" s="5">
        <f>IFERROR(VLOOKUP(Consulta1[[#This Row],[Pozo largo]],Controles!B:J,9,FALSE),"NO")</f>
        <v>0</v>
      </c>
    </row>
    <row r="1541" spans="2:12" x14ac:dyDescent="0.35">
      <c r="B1541" s="4" t="s">
        <v>2961</v>
      </c>
      <c r="C1541" s="4" t="s">
        <v>2962</v>
      </c>
      <c r="D1541" s="4" t="s">
        <v>5</v>
      </c>
      <c r="E1541" s="4" t="s">
        <v>24</v>
      </c>
      <c r="F1541" s="4" t="s">
        <v>31</v>
      </c>
      <c r="G1541" s="4" t="s">
        <v>8</v>
      </c>
      <c r="H1541" s="4" t="s">
        <v>21</v>
      </c>
      <c r="I1541" s="5" t="str">
        <f>IFERROR(VLOOKUP(Consulta1[[#This Row],[Pozo largo]],'Lista YPF'!$B$3:$C$358,2,FALSE),"NO")</f>
        <v>NO</v>
      </c>
      <c r="J1541" s="5" t="str">
        <f>IFERROR(VLOOKUP(Consulta1[[#This Row],[Pozo]],'Lista Oportunidades'!B:C,2,FALSE),"NO")</f>
        <v>NO</v>
      </c>
      <c r="K1541" s="5" t="str">
        <f>IFERROR(VLOOKUP(Consulta1[[#This Row],[Pozo largo]],Controles!B:H,7,FALSE),"NO")</f>
        <v>NO</v>
      </c>
      <c r="L1541" s="5" t="str">
        <f>IFERROR(VLOOKUP(Consulta1[[#This Row],[Pozo largo]],Controles!B:J,9,FALSE),"NO")</f>
        <v>NO</v>
      </c>
    </row>
    <row r="1542" spans="2:12" x14ac:dyDescent="0.35">
      <c r="B1542" s="4" t="s">
        <v>2963</v>
      </c>
      <c r="C1542" s="4" t="s">
        <v>7265</v>
      </c>
      <c r="D1542" s="4" t="s">
        <v>5</v>
      </c>
      <c r="E1542" s="4" t="s">
        <v>12</v>
      </c>
      <c r="F1542" s="4" t="s">
        <v>7</v>
      </c>
      <c r="G1542" s="4" t="s">
        <v>13</v>
      </c>
      <c r="H1542" s="4" t="s">
        <v>185</v>
      </c>
      <c r="I1542" s="5" t="str">
        <f>IFERROR(VLOOKUP(Consulta1[[#This Row],[Pozo largo]],'Lista YPF'!$B$3:$C$358,2,FALSE),"NO")</f>
        <v>NO</v>
      </c>
      <c r="J1542" s="5" t="str">
        <f>IFERROR(VLOOKUP(Consulta1[[#This Row],[Pozo]],'Lista Oportunidades'!B:C,2,FALSE),"NO")</f>
        <v>NO</v>
      </c>
      <c r="K1542" s="5">
        <f>IFERROR(VLOOKUP(Consulta1[[#This Row],[Pozo largo]],Controles!B:H,7,FALSE),"NO")</f>
        <v>6</v>
      </c>
      <c r="L1542" s="5">
        <f>IFERROR(VLOOKUP(Consulta1[[#This Row],[Pozo largo]],Controles!B:J,9,FALSE),"NO")</f>
        <v>0</v>
      </c>
    </row>
    <row r="1543" spans="2:12" x14ac:dyDescent="0.35">
      <c r="B1543" s="4" t="s">
        <v>2965</v>
      </c>
      <c r="C1543" s="4" t="s">
        <v>7266</v>
      </c>
      <c r="D1543" s="4" t="s">
        <v>5</v>
      </c>
      <c r="E1543" s="4" t="s">
        <v>12</v>
      </c>
      <c r="F1543" s="4" t="s">
        <v>7</v>
      </c>
      <c r="G1543" s="4" t="s">
        <v>13</v>
      </c>
      <c r="H1543" s="4" t="s">
        <v>185</v>
      </c>
      <c r="I1543" s="5" t="str">
        <f>IFERROR(VLOOKUP(Consulta1[[#This Row],[Pozo largo]],'Lista YPF'!$B$3:$C$358,2,FALSE),"NO")</f>
        <v>NO</v>
      </c>
      <c r="J1543" s="5" t="str">
        <f>IFERROR(VLOOKUP(Consulta1[[#This Row],[Pozo]],'Lista Oportunidades'!B:C,2,FALSE),"NO")</f>
        <v>NO</v>
      </c>
      <c r="K1543" s="5">
        <f>IFERROR(VLOOKUP(Consulta1[[#This Row],[Pozo largo]],Controles!B:H,7,FALSE),"NO")</f>
        <v>0.52500000000000002</v>
      </c>
      <c r="L1543" s="5">
        <f>IFERROR(VLOOKUP(Consulta1[[#This Row],[Pozo largo]],Controles!B:J,9,FALSE),"NO")</f>
        <v>0</v>
      </c>
    </row>
    <row r="1544" spans="2:12" x14ac:dyDescent="0.35">
      <c r="B1544" s="4" t="s">
        <v>2967</v>
      </c>
      <c r="C1544" s="4" t="s">
        <v>7267</v>
      </c>
      <c r="D1544" s="4" t="s">
        <v>5</v>
      </c>
      <c r="E1544" s="4" t="s">
        <v>12</v>
      </c>
      <c r="F1544" s="4" t="s">
        <v>7</v>
      </c>
      <c r="G1544" s="4" t="s">
        <v>13</v>
      </c>
      <c r="H1544" s="4" t="s">
        <v>21</v>
      </c>
      <c r="I1544" s="5" t="str">
        <f>IFERROR(VLOOKUP(Consulta1[[#This Row],[Pozo largo]],'Lista YPF'!$B$3:$C$358,2,FALSE),"NO")</f>
        <v>NO</v>
      </c>
      <c r="J1544" s="5" t="str">
        <f>IFERROR(VLOOKUP(Consulta1[[#This Row],[Pozo]],'Lista Oportunidades'!B:C,2,FALSE),"NO")</f>
        <v>NO</v>
      </c>
      <c r="K1544" s="5">
        <f>IFERROR(VLOOKUP(Consulta1[[#This Row],[Pozo largo]],Controles!B:H,7,FALSE),"NO")</f>
        <v>1.5</v>
      </c>
      <c r="L1544" s="5">
        <f>IFERROR(VLOOKUP(Consulta1[[#This Row],[Pozo largo]],Controles!B:J,9,FALSE),"NO")</f>
        <v>0</v>
      </c>
    </row>
    <row r="1545" spans="2:12" x14ac:dyDescent="0.35">
      <c r="B1545" s="4" t="s">
        <v>2969</v>
      </c>
      <c r="C1545" s="4" t="s">
        <v>7268</v>
      </c>
      <c r="D1545" s="4" t="s">
        <v>5</v>
      </c>
      <c r="E1545" s="4" t="s">
        <v>12</v>
      </c>
      <c r="F1545" s="4" t="s">
        <v>7</v>
      </c>
      <c r="G1545" s="4" t="s">
        <v>13</v>
      </c>
      <c r="H1545" s="4" t="s">
        <v>9</v>
      </c>
      <c r="I1545" s="5" t="str">
        <f>IFERROR(VLOOKUP(Consulta1[[#This Row],[Pozo largo]],'Lista YPF'!$B$3:$C$358,2,FALSE),"NO")</f>
        <v>NO</v>
      </c>
      <c r="J1545" s="5" t="str">
        <f>IFERROR(VLOOKUP(Consulta1[[#This Row],[Pozo]],'Lista Oportunidades'!B:C,2,FALSE),"NO")</f>
        <v>NO</v>
      </c>
      <c r="K1545" s="5">
        <f>IFERROR(VLOOKUP(Consulta1[[#This Row],[Pozo largo]],Controles!B:H,7,FALSE),"NO")</f>
        <v>0.88</v>
      </c>
      <c r="L1545" s="5">
        <f>IFERROR(VLOOKUP(Consulta1[[#This Row],[Pozo largo]],Controles!B:J,9,FALSE),"NO")</f>
        <v>0</v>
      </c>
    </row>
    <row r="1546" spans="2:12" x14ac:dyDescent="0.35">
      <c r="B1546" s="4" t="s">
        <v>2971</v>
      </c>
      <c r="C1546" s="4" t="s">
        <v>7269</v>
      </c>
      <c r="D1546" s="4" t="s">
        <v>5</v>
      </c>
      <c r="E1546" s="4" t="s">
        <v>12</v>
      </c>
      <c r="F1546" s="4" t="s">
        <v>7</v>
      </c>
      <c r="G1546" s="4" t="s">
        <v>13</v>
      </c>
      <c r="H1546" s="4" t="s">
        <v>9</v>
      </c>
      <c r="I1546" s="5" t="str">
        <f>IFERROR(VLOOKUP(Consulta1[[#This Row],[Pozo largo]],'Lista YPF'!$B$3:$C$358,2,FALSE),"NO")</f>
        <v>NO</v>
      </c>
      <c r="J1546" s="5" t="str">
        <f>IFERROR(VLOOKUP(Consulta1[[#This Row],[Pozo]],'Lista Oportunidades'!B:C,2,FALSE),"NO")</f>
        <v>NO</v>
      </c>
      <c r="K1546" s="5">
        <f>IFERROR(VLOOKUP(Consulta1[[#This Row],[Pozo largo]],Controles!B:H,7,FALSE),"NO")</f>
        <v>0.78</v>
      </c>
      <c r="L1546" s="5">
        <f>IFERROR(VLOOKUP(Consulta1[[#This Row],[Pozo largo]],Controles!B:J,9,FALSE),"NO")</f>
        <v>0</v>
      </c>
    </row>
    <row r="1547" spans="2:12" x14ac:dyDescent="0.35">
      <c r="B1547" s="4" t="s">
        <v>2973</v>
      </c>
      <c r="C1547" s="4" t="s">
        <v>7270</v>
      </c>
      <c r="D1547" s="4" t="s">
        <v>5</v>
      </c>
      <c r="E1547" s="4" t="s">
        <v>12</v>
      </c>
      <c r="F1547" s="4" t="s">
        <v>7</v>
      </c>
      <c r="G1547" s="4" t="s">
        <v>13</v>
      </c>
      <c r="H1547" s="4" t="s">
        <v>71</v>
      </c>
      <c r="I1547" s="5" t="str">
        <f>IFERROR(VLOOKUP(Consulta1[[#This Row],[Pozo largo]],'Lista YPF'!$B$3:$C$358,2,FALSE),"NO")</f>
        <v>NO</v>
      </c>
      <c r="J1547" s="5" t="str">
        <f>IFERROR(VLOOKUP(Consulta1[[#This Row],[Pozo]],'Lista Oportunidades'!B:C,2,FALSE),"NO")</f>
        <v>NO</v>
      </c>
      <c r="K1547" s="5">
        <f>IFERROR(VLOOKUP(Consulta1[[#This Row],[Pozo largo]],Controles!B:H,7,FALSE),"NO")</f>
        <v>0.82000000000000006</v>
      </c>
      <c r="L1547" s="5">
        <f>IFERROR(VLOOKUP(Consulta1[[#This Row],[Pozo largo]],Controles!B:J,9,FALSE),"NO")</f>
        <v>0</v>
      </c>
    </row>
    <row r="1548" spans="2:12" x14ac:dyDescent="0.35">
      <c r="B1548" s="4" t="s">
        <v>2975</v>
      </c>
      <c r="C1548" s="4" t="s">
        <v>7271</v>
      </c>
      <c r="D1548" s="4" t="s">
        <v>5</v>
      </c>
      <c r="E1548" s="4" t="s">
        <v>12</v>
      </c>
      <c r="F1548" s="4" t="s">
        <v>7</v>
      </c>
      <c r="G1548" s="4" t="s">
        <v>13</v>
      </c>
      <c r="H1548" s="4" t="s">
        <v>290</v>
      </c>
      <c r="I1548" s="5" t="str">
        <f>IFERROR(VLOOKUP(Consulta1[[#This Row],[Pozo largo]],'Lista YPF'!$B$3:$C$358,2,FALSE),"NO")</f>
        <v>NO</v>
      </c>
      <c r="J1548" s="5" t="str">
        <f>IFERROR(VLOOKUP(Consulta1[[#This Row],[Pozo]],'Lista Oportunidades'!B:C,2,FALSE),"NO")</f>
        <v>NO</v>
      </c>
      <c r="K1548" s="5">
        <f>IFERROR(VLOOKUP(Consulta1[[#This Row],[Pozo largo]],Controles!B:H,7,FALSE),"NO")</f>
        <v>3.12</v>
      </c>
      <c r="L1548" s="5">
        <f>IFERROR(VLOOKUP(Consulta1[[#This Row],[Pozo largo]],Controles!B:J,9,FALSE),"NO")</f>
        <v>0</v>
      </c>
    </row>
    <row r="1549" spans="2:12" x14ac:dyDescent="0.35">
      <c r="B1549" s="4" t="s">
        <v>2977</v>
      </c>
      <c r="C1549" s="4" t="s">
        <v>7272</v>
      </c>
      <c r="D1549" s="4" t="s">
        <v>5</v>
      </c>
      <c r="E1549" s="4" t="s">
        <v>24</v>
      </c>
      <c r="F1549" s="4" t="s">
        <v>7</v>
      </c>
      <c r="G1549" s="4" t="s">
        <v>11387</v>
      </c>
      <c r="H1549" s="4" t="s">
        <v>91</v>
      </c>
      <c r="I1549" s="5" t="str">
        <f>IFERROR(VLOOKUP(Consulta1[[#This Row],[Pozo largo]],'Lista YPF'!$B$3:$C$358,2,FALSE),"NO")</f>
        <v>NO</v>
      </c>
      <c r="J1549" s="5" t="str">
        <f>IFERROR(VLOOKUP(Consulta1[[#This Row],[Pozo]],'Lista Oportunidades'!B:C,2,FALSE),"NO")</f>
        <v>NO</v>
      </c>
      <c r="K1549" s="5">
        <f>IFERROR(VLOOKUP(Consulta1[[#This Row],[Pozo largo]],Controles!B:H,7,FALSE),"NO")</f>
        <v>1.32</v>
      </c>
      <c r="L1549" s="5" t="str">
        <f>IFERROR(VLOOKUP(Consulta1[[#This Row],[Pozo largo]],Controles!B:J,9,FALSE),"NO")</f>
        <v>Ultimo Año</v>
      </c>
    </row>
    <row r="1550" spans="2:12" x14ac:dyDescent="0.35">
      <c r="B1550" s="4" t="s">
        <v>2979</v>
      </c>
      <c r="C1550" s="4" t="s">
        <v>7273</v>
      </c>
      <c r="D1550" s="4" t="s">
        <v>5</v>
      </c>
      <c r="E1550" s="4" t="s">
        <v>57</v>
      </c>
      <c r="F1550" s="4" t="s">
        <v>31</v>
      </c>
      <c r="G1550" s="4" t="s">
        <v>5718</v>
      </c>
      <c r="H1550" s="4" t="s">
        <v>149</v>
      </c>
      <c r="I1550" s="5" t="str">
        <f>IFERROR(VLOOKUP(Consulta1[[#This Row],[Pozo largo]],'Lista YPF'!$B$3:$C$358,2,FALSE),"NO")</f>
        <v>En lista de Abandono</v>
      </c>
      <c r="J1550" s="5" t="str">
        <f>IFERROR(VLOOKUP(Consulta1[[#This Row],[Pozo]],'Lista Oportunidades'!B:C,2,FALSE),"NO")</f>
        <v>NO</v>
      </c>
      <c r="K1550" s="5" t="str">
        <f>IFERROR(VLOOKUP(Consulta1[[#This Row],[Pozo largo]],Controles!B:H,7,FALSE),"NO")</f>
        <v>NO</v>
      </c>
      <c r="L1550" s="5" t="str">
        <f>IFERROR(VLOOKUP(Consulta1[[#This Row],[Pozo largo]],Controles!B:J,9,FALSE),"NO")</f>
        <v>NO</v>
      </c>
    </row>
    <row r="1551" spans="2:12" x14ac:dyDescent="0.35">
      <c r="B1551" s="4" t="s">
        <v>2980</v>
      </c>
      <c r="C1551" s="4" t="s">
        <v>7274</v>
      </c>
      <c r="D1551" s="4" t="s">
        <v>5</v>
      </c>
      <c r="E1551" s="4" t="s">
        <v>30</v>
      </c>
      <c r="F1551" s="4" t="s">
        <v>31</v>
      </c>
      <c r="G1551" s="4" t="s">
        <v>32</v>
      </c>
      <c r="H1551" s="4" t="s">
        <v>91</v>
      </c>
      <c r="I1551" s="5" t="str">
        <f>IFERROR(VLOOKUP(Consulta1[[#This Row],[Pozo largo]],'Lista YPF'!$B$3:$C$358,2,FALSE),"NO")</f>
        <v>NO</v>
      </c>
      <c r="J1551" s="5" t="str">
        <f>IFERROR(VLOOKUP(Consulta1[[#This Row],[Pozo]],'Lista Oportunidades'!B:C,2,FALSE),"NO")</f>
        <v>NO</v>
      </c>
      <c r="K1551" s="5">
        <f>IFERROR(VLOOKUP(Consulta1[[#This Row],[Pozo largo]],Controles!B:H,7,FALSE),"NO")</f>
        <v>0.80500000000000005</v>
      </c>
      <c r="L1551" s="5">
        <f>IFERROR(VLOOKUP(Consulta1[[#This Row],[Pozo largo]],Controles!B:J,9,FALSE),"NO")</f>
        <v>0</v>
      </c>
    </row>
    <row r="1552" spans="2:12" x14ac:dyDescent="0.35">
      <c r="B1552" s="4" t="s">
        <v>2982</v>
      </c>
      <c r="C1552" s="4" t="s">
        <v>7275</v>
      </c>
      <c r="D1552" s="4" t="s">
        <v>5</v>
      </c>
      <c r="E1552" s="4" t="s">
        <v>12</v>
      </c>
      <c r="F1552" s="4" t="s">
        <v>7</v>
      </c>
      <c r="G1552" s="4" t="s">
        <v>13</v>
      </c>
      <c r="H1552" s="4" t="s">
        <v>86</v>
      </c>
      <c r="I1552" s="5" t="str">
        <f>IFERROR(VLOOKUP(Consulta1[[#This Row],[Pozo largo]],'Lista YPF'!$B$3:$C$358,2,FALSE),"NO")</f>
        <v>NO</v>
      </c>
      <c r="J1552" s="5" t="str">
        <f>IFERROR(VLOOKUP(Consulta1[[#This Row],[Pozo]],'Lista Oportunidades'!B:C,2,FALSE),"NO")</f>
        <v>NO</v>
      </c>
      <c r="K1552" s="5">
        <f>IFERROR(VLOOKUP(Consulta1[[#This Row],[Pozo largo]],Controles!B:H,7,FALSE),"NO")</f>
        <v>2.25</v>
      </c>
      <c r="L1552" s="5">
        <f>IFERROR(VLOOKUP(Consulta1[[#This Row],[Pozo largo]],Controles!B:J,9,FALSE),"NO")</f>
        <v>0</v>
      </c>
    </row>
    <row r="1553" spans="2:12" x14ac:dyDescent="0.35">
      <c r="B1553" s="4" t="s">
        <v>2984</v>
      </c>
      <c r="C1553" s="4" t="s">
        <v>7276</v>
      </c>
      <c r="D1553" s="4" t="s">
        <v>5</v>
      </c>
      <c r="E1553" s="4" t="s">
        <v>24</v>
      </c>
      <c r="F1553" s="4" t="s">
        <v>25</v>
      </c>
      <c r="G1553" s="4" t="s">
        <v>8</v>
      </c>
      <c r="H1553" s="4" t="s">
        <v>86</v>
      </c>
      <c r="I1553" s="5" t="str">
        <f>IFERROR(VLOOKUP(Consulta1[[#This Row],[Pozo largo]],'Lista YPF'!$B$3:$C$358,2,FALSE),"NO")</f>
        <v>NO</v>
      </c>
      <c r="J1553" s="5" t="str">
        <f>IFERROR(VLOOKUP(Consulta1[[#This Row],[Pozo]],'Lista Oportunidades'!B:C,2,FALSE),"NO")</f>
        <v>NO</v>
      </c>
      <c r="K1553" s="5">
        <f>IFERROR(VLOOKUP(Consulta1[[#This Row],[Pozo largo]],Controles!B:H,7,FALSE),"NO")</f>
        <v>0.38500000000000001</v>
      </c>
      <c r="L1553" s="5">
        <f>IFERROR(VLOOKUP(Consulta1[[#This Row],[Pozo largo]],Controles!B:J,9,FALSE),"NO")</f>
        <v>0</v>
      </c>
    </row>
    <row r="1554" spans="2:12" x14ac:dyDescent="0.35">
      <c r="B1554" s="4" t="s">
        <v>2986</v>
      </c>
      <c r="C1554" s="4" t="s">
        <v>7277</v>
      </c>
      <c r="D1554" s="4" t="s">
        <v>5</v>
      </c>
      <c r="E1554" s="4" t="s">
        <v>24</v>
      </c>
      <c r="F1554" s="4" t="s">
        <v>31</v>
      </c>
      <c r="G1554" s="4" t="s">
        <v>8</v>
      </c>
      <c r="H1554" s="4" t="s">
        <v>86</v>
      </c>
      <c r="I1554" s="5" t="str">
        <f>IFERROR(VLOOKUP(Consulta1[[#This Row],[Pozo largo]],'Lista YPF'!$B$3:$C$358,2,FALSE),"NO")</f>
        <v>NO</v>
      </c>
      <c r="J1554" s="5" t="str">
        <f>IFERROR(VLOOKUP(Consulta1[[#This Row],[Pozo]],'Lista Oportunidades'!B:C,2,FALSE),"NO")</f>
        <v>NO</v>
      </c>
      <c r="K1554" s="5">
        <f>IFERROR(VLOOKUP(Consulta1[[#This Row],[Pozo largo]],Controles!B:H,7,FALSE),"NO")</f>
        <v>0.11800000000000001</v>
      </c>
      <c r="L1554" s="5">
        <f>IFERROR(VLOOKUP(Consulta1[[#This Row],[Pozo largo]],Controles!B:J,9,FALSE),"NO")</f>
        <v>0</v>
      </c>
    </row>
    <row r="1555" spans="2:12" x14ac:dyDescent="0.35">
      <c r="B1555" s="4" t="s">
        <v>2988</v>
      </c>
      <c r="C1555" s="4" t="s">
        <v>7278</v>
      </c>
      <c r="D1555" s="4" t="s">
        <v>5</v>
      </c>
      <c r="E1555" s="4" t="s">
        <v>24</v>
      </c>
      <c r="F1555" s="4" t="s">
        <v>31</v>
      </c>
      <c r="G1555" s="4" t="s">
        <v>8</v>
      </c>
      <c r="H1555" s="4" t="s">
        <v>86</v>
      </c>
      <c r="I1555" s="5" t="str">
        <f>IFERROR(VLOOKUP(Consulta1[[#This Row],[Pozo largo]],'Lista YPF'!$B$3:$C$358,2,FALSE),"NO")</f>
        <v>NO</v>
      </c>
      <c r="J1555" s="5" t="str">
        <f>IFERROR(VLOOKUP(Consulta1[[#This Row],[Pozo]],'Lista Oportunidades'!B:C,2,FALSE),"NO")</f>
        <v>NO</v>
      </c>
      <c r="K1555" s="5">
        <f>IFERROR(VLOOKUP(Consulta1[[#This Row],[Pozo largo]],Controles!B:H,7,FALSE),"NO")</f>
        <v>0.94800000000000006</v>
      </c>
      <c r="L1555" s="5">
        <f>IFERROR(VLOOKUP(Consulta1[[#This Row],[Pozo largo]],Controles!B:J,9,FALSE),"NO")</f>
        <v>0</v>
      </c>
    </row>
    <row r="1556" spans="2:12" x14ac:dyDescent="0.35">
      <c r="B1556" s="4" t="s">
        <v>2990</v>
      </c>
      <c r="C1556" s="4" t="s">
        <v>7279</v>
      </c>
      <c r="D1556" s="4" t="s">
        <v>5</v>
      </c>
      <c r="E1556" s="4" t="s">
        <v>24</v>
      </c>
      <c r="F1556" s="4" t="s">
        <v>31</v>
      </c>
      <c r="G1556" s="4" t="s">
        <v>8</v>
      </c>
      <c r="H1556" s="4" t="s">
        <v>80</v>
      </c>
      <c r="I1556" s="5" t="str">
        <f>IFERROR(VLOOKUP(Consulta1[[#This Row],[Pozo largo]],'Lista YPF'!$B$3:$C$358,2,FALSE),"NO")</f>
        <v>NO</v>
      </c>
      <c r="J1556" s="5" t="str">
        <f>IFERROR(VLOOKUP(Consulta1[[#This Row],[Pozo]],'Lista Oportunidades'!B:C,2,FALSE),"NO")</f>
        <v>NO</v>
      </c>
      <c r="K1556" s="5">
        <f>IFERROR(VLOOKUP(Consulta1[[#This Row],[Pozo largo]],Controles!B:H,7,FALSE),"NO")</f>
        <v>0.58600000000000008</v>
      </c>
      <c r="L1556" s="5">
        <f>IFERROR(VLOOKUP(Consulta1[[#This Row],[Pozo largo]],Controles!B:J,9,FALSE),"NO")</f>
        <v>0</v>
      </c>
    </row>
    <row r="1557" spans="2:12" x14ac:dyDescent="0.35">
      <c r="B1557" s="4" t="s">
        <v>2992</v>
      </c>
      <c r="C1557" s="4" t="s">
        <v>7280</v>
      </c>
      <c r="D1557" s="4" t="s">
        <v>5</v>
      </c>
      <c r="E1557" s="4" t="s">
        <v>30</v>
      </c>
      <c r="F1557" s="4" t="s">
        <v>31</v>
      </c>
      <c r="G1557" s="4" t="s">
        <v>32</v>
      </c>
      <c r="H1557" s="4" t="s">
        <v>141</v>
      </c>
      <c r="I1557" s="5" t="str">
        <f>IFERROR(VLOOKUP(Consulta1[[#This Row],[Pozo largo]],'Lista YPF'!$B$3:$C$358,2,FALSE),"NO")</f>
        <v>NO</v>
      </c>
      <c r="J1557" s="5" t="str">
        <f>IFERROR(VLOOKUP(Consulta1[[#This Row],[Pozo]],'Lista Oportunidades'!B:C,2,FALSE),"NO")</f>
        <v>NO</v>
      </c>
      <c r="K1557" s="5">
        <f>IFERROR(VLOOKUP(Consulta1[[#This Row],[Pozo largo]],Controles!B:H,7,FALSE),"NO")</f>
        <v>0.5</v>
      </c>
      <c r="L1557" s="5">
        <f>IFERROR(VLOOKUP(Consulta1[[#This Row],[Pozo largo]],Controles!B:J,9,FALSE),"NO")</f>
        <v>0</v>
      </c>
    </row>
    <row r="1558" spans="2:12" x14ac:dyDescent="0.35">
      <c r="B1558" s="4" t="s">
        <v>2994</v>
      </c>
      <c r="C1558" s="4" t="s">
        <v>7281</v>
      </c>
      <c r="D1558" s="4" t="s">
        <v>5</v>
      </c>
      <c r="E1558" s="4" t="s">
        <v>24</v>
      </c>
      <c r="F1558" s="4" t="s">
        <v>31</v>
      </c>
      <c r="G1558" s="4" t="s">
        <v>8</v>
      </c>
      <c r="H1558" s="4" t="s">
        <v>71</v>
      </c>
      <c r="I1558" s="5" t="str">
        <f>IFERROR(VLOOKUP(Consulta1[[#This Row],[Pozo largo]],'Lista YPF'!$B$3:$C$358,2,FALSE),"NO")</f>
        <v>NO</v>
      </c>
      <c r="J1558" s="5" t="str">
        <f>IFERROR(VLOOKUP(Consulta1[[#This Row],[Pozo]],'Lista Oportunidades'!B:C,2,FALSE),"NO")</f>
        <v>NO</v>
      </c>
      <c r="K1558" s="5">
        <f>IFERROR(VLOOKUP(Consulta1[[#This Row],[Pozo largo]],Controles!B:H,7,FALSE),"NO")</f>
        <v>0.86</v>
      </c>
      <c r="L1558" s="5">
        <f>IFERROR(VLOOKUP(Consulta1[[#This Row],[Pozo largo]],Controles!B:J,9,FALSE),"NO")</f>
        <v>0</v>
      </c>
    </row>
    <row r="1559" spans="2:12" x14ac:dyDescent="0.35">
      <c r="B1559" s="4" t="s">
        <v>2996</v>
      </c>
      <c r="C1559" s="4" t="s">
        <v>7282</v>
      </c>
      <c r="D1559" s="4" t="s">
        <v>5</v>
      </c>
      <c r="E1559" s="4" t="s">
        <v>24</v>
      </c>
      <c r="F1559" s="4" t="s">
        <v>31</v>
      </c>
      <c r="G1559" s="4" t="s">
        <v>8</v>
      </c>
      <c r="H1559" s="4" t="s">
        <v>141</v>
      </c>
      <c r="I1559" s="5" t="str">
        <f>IFERROR(VLOOKUP(Consulta1[[#This Row],[Pozo largo]],'Lista YPF'!$B$3:$C$358,2,FALSE),"NO")</f>
        <v>NO</v>
      </c>
      <c r="J1559" s="5" t="str">
        <f>IFERROR(VLOOKUP(Consulta1[[#This Row],[Pozo]],'Lista Oportunidades'!B:C,2,FALSE),"NO")</f>
        <v>NO</v>
      </c>
      <c r="K1559" s="5" t="str">
        <f>IFERROR(VLOOKUP(Consulta1[[#This Row],[Pozo largo]],Controles!B:H,7,FALSE),"NO")</f>
        <v>NO</v>
      </c>
      <c r="L1559" s="5" t="str">
        <f>IFERROR(VLOOKUP(Consulta1[[#This Row],[Pozo largo]],Controles!B:J,9,FALSE),"NO")</f>
        <v>NO</v>
      </c>
    </row>
    <row r="1560" spans="2:12" x14ac:dyDescent="0.35">
      <c r="B1560" s="4" t="s">
        <v>2997</v>
      </c>
      <c r="C1560" s="4" t="s">
        <v>7283</v>
      </c>
      <c r="D1560" s="4" t="s">
        <v>5</v>
      </c>
      <c r="E1560" s="4" t="s">
        <v>30</v>
      </c>
      <c r="F1560" s="4" t="s">
        <v>31</v>
      </c>
      <c r="G1560" s="4" t="s">
        <v>32</v>
      </c>
      <c r="H1560" s="4" t="s">
        <v>91</v>
      </c>
      <c r="I1560" s="5" t="str">
        <f>IFERROR(VLOOKUP(Consulta1[[#This Row],[Pozo largo]],'Lista YPF'!$B$3:$C$358,2,FALSE),"NO")</f>
        <v>NO</v>
      </c>
      <c r="J1560" s="5" t="str">
        <f>IFERROR(VLOOKUP(Consulta1[[#This Row],[Pozo]],'Lista Oportunidades'!B:C,2,FALSE),"NO")</f>
        <v>NO</v>
      </c>
      <c r="K1560" s="5" t="str">
        <f>IFERROR(VLOOKUP(Consulta1[[#This Row],[Pozo largo]],Controles!B:H,7,FALSE),"NO")</f>
        <v>NO</v>
      </c>
      <c r="L1560" s="5" t="str">
        <f>IFERROR(VLOOKUP(Consulta1[[#This Row],[Pozo largo]],Controles!B:J,9,FALSE),"NO")</f>
        <v>NO</v>
      </c>
    </row>
    <row r="1561" spans="2:12" x14ac:dyDescent="0.35">
      <c r="B1561" s="4" t="s">
        <v>2998</v>
      </c>
      <c r="C1561" s="4" t="s">
        <v>7284</v>
      </c>
      <c r="D1561" s="4" t="s">
        <v>5</v>
      </c>
      <c r="E1561" s="4" t="s">
        <v>12</v>
      </c>
      <c r="F1561" s="4" t="s">
        <v>28</v>
      </c>
      <c r="G1561" s="4" t="s">
        <v>13</v>
      </c>
      <c r="H1561" s="4" t="s">
        <v>71</v>
      </c>
      <c r="I1561" s="5" t="str">
        <f>IFERROR(VLOOKUP(Consulta1[[#This Row],[Pozo largo]],'Lista YPF'!$B$3:$C$358,2,FALSE),"NO")</f>
        <v>NO</v>
      </c>
      <c r="J1561" s="5" t="str">
        <f>IFERROR(VLOOKUP(Consulta1[[#This Row],[Pozo]],'Lista Oportunidades'!B:C,2,FALSE),"NO")</f>
        <v>NO</v>
      </c>
      <c r="K1561" s="5">
        <f>IFERROR(VLOOKUP(Consulta1[[#This Row],[Pozo largo]],Controles!B:H,7,FALSE),"NO")</f>
        <v>0</v>
      </c>
      <c r="L1561" s="5">
        <f>IFERROR(VLOOKUP(Consulta1[[#This Row],[Pozo largo]],Controles!B:J,9,FALSE),"NO")</f>
        <v>0</v>
      </c>
    </row>
    <row r="1562" spans="2:12" x14ac:dyDescent="0.35">
      <c r="B1562" s="4" t="s">
        <v>3000</v>
      </c>
      <c r="C1562" s="4" t="s">
        <v>7285</v>
      </c>
      <c r="D1562" s="4" t="s">
        <v>5</v>
      </c>
      <c r="E1562" s="4" t="s">
        <v>12</v>
      </c>
      <c r="F1562" s="4" t="s">
        <v>7</v>
      </c>
      <c r="G1562" s="4" t="s">
        <v>13</v>
      </c>
      <c r="H1562" s="4" t="s">
        <v>149</v>
      </c>
      <c r="I1562" s="5" t="str">
        <f>IFERROR(VLOOKUP(Consulta1[[#This Row],[Pozo largo]],'Lista YPF'!$B$3:$C$358,2,FALSE),"NO")</f>
        <v>NO</v>
      </c>
      <c r="J1562" s="5" t="str">
        <f>IFERROR(VLOOKUP(Consulta1[[#This Row],[Pozo]],'Lista Oportunidades'!B:C,2,FALSE),"NO")</f>
        <v>NO</v>
      </c>
      <c r="K1562" s="5">
        <f>IFERROR(VLOOKUP(Consulta1[[#This Row],[Pozo largo]],Controles!B:H,7,FALSE),"NO")</f>
        <v>0.88</v>
      </c>
      <c r="L1562" s="5">
        <f>IFERROR(VLOOKUP(Consulta1[[#This Row],[Pozo largo]],Controles!B:J,9,FALSE),"NO")</f>
        <v>0</v>
      </c>
    </row>
    <row r="1563" spans="2:12" x14ac:dyDescent="0.35">
      <c r="B1563" s="4" t="s">
        <v>3002</v>
      </c>
      <c r="C1563" s="4" t="s">
        <v>7286</v>
      </c>
      <c r="D1563" s="4" t="s">
        <v>5</v>
      </c>
      <c r="E1563" s="4" t="s">
        <v>30</v>
      </c>
      <c r="F1563" s="4" t="s">
        <v>31</v>
      </c>
      <c r="G1563" s="4" t="s">
        <v>32</v>
      </c>
      <c r="H1563" s="4" t="s">
        <v>254</v>
      </c>
      <c r="I1563" s="5" t="str">
        <f>IFERROR(VLOOKUP(Consulta1[[#This Row],[Pozo largo]],'Lista YPF'!$B$3:$C$358,2,FALSE),"NO")</f>
        <v>NO</v>
      </c>
      <c r="J1563" s="5" t="str">
        <f>IFERROR(VLOOKUP(Consulta1[[#This Row],[Pozo]],'Lista Oportunidades'!B:C,2,FALSE),"NO")</f>
        <v>NO</v>
      </c>
      <c r="K1563" s="5" t="str">
        <f>IFERROR(VLOOKUP(Consulta1[[#This Row],[Pozo largo]],Controles!B:H,7,FALSE),"NO")</f>
        <v>NO</v>
      </c>
      <c r="L1563" s="5" t="str">
        <f>IFERROR(VLOOKUP(Consulta1[[#This Row],[Pozo largo]],Controles!B:J,9,FALSE),"NO")</f>
        <v>NO</v>
      </c>
    </row>
    <row r="1564" spans="2:12" x14ac:dyDescent="0.35">
      <c r="B1564" s="4" t="s">
        <v>3003</v>
      </c>
      <c r="C1564" s="4" t="s">
        <v>7287</v>
      </c>
      <c r="D1564" s="4" t="s">
        <v>5</v>
      </c>
      <c r="E1564" s="4" t="s">
        <v>6</v>
      </c>
      <c r="F1564" s="4" t="s">
        <v>31</v>
      </c>
      <c r="G1564" s="4" t="s">
        <v>8</v>
      </c>
      <c r="H1564" s="4" t="s">
        <v>9</v>
      </c>
      <c r="I1564" s="5" t="str">
        <f>IFERROR(VLOOKUP(Consulta1[[#This Row],[Pozo largo]],'Lista YPF'!$B$3:$C$358,2,FALSE),"NO")</f>
        <v>NO</v>
      </c>
      <c r="J1564" s="5" t="str">
        <f>IFERROR(VLOOKUP(Consulta1[[#This Row],[Pozo]],'Lista Oportunidades'!B:C,2,FALSE),"NO")</f>
        <v>NO</v>
      </c>
      <c r="K1564" s="5">
        <f>IFERROR(VLOOKUP(Consulta1[[#This Row],[Pozo largo]],Controles!B:H,7,FALSE),"NO")</f>
        <v>0</v>
      </c>
      <c r="L1564" s="5">
        <f>IFERROR(VLOOKUP(Consulta1[[#This Row],[Pozo largo]],Controles!B:J,9,FALSE),"NO")</f>
        <v>0</v>
      </c>
    </row>
    <row r="1565" spans="2:12" x14ac:dyDescent="0.35">
      <c r="B1565" s="4" t="s">
        <v>3005</v>
      </c>
      <c r="C1565" s="4" t="s">
        <v>7288</v>
      </c>
      <c r="D1565" s="4" t="s">
        <v>5</v>
      </c>
      <c r="E1565" s="4" t="s">
        <v>12</v>
      </c>
      <c r="F1565" s="4" t="s">
        <v>7</v>
      </c>
      <c r="G1565" s="4" t="s">
        <v>13</v>
      </c>
      <c r="H1565" s="4" t="s">
        <v>9</v>
      </c>
      <c r="I1565" s="5" t="str">
        <f>IFERROR(VLOOKUP(Consulta1[[#This Row],[Pozo largo]],'Lista YPF'!$B$3:$C$358,2,FALSE),"NO")</f>
        <v>NO</v>
      </c>
      <c r="J1565" s="5" t="str">
        <f>IFERROR(VLOOKUP(Consulta1[[#This Row],[Pozo]],'Lista Oportunidades'!B:C,2,FALSE),"NO")</f>
        <v>NO</v>
      </c>
      <c r="K1565" s="5">
        <f>IFERROR(VLOOKUP(Consulta1[[#This Row],[Pozo largo]],Controles!B:H,7,FALSE),"NO")</f>
        <v>1.8</v>
      </c>
      <c r="L1565" s="5">
        <f>IFERROR(VLOOKUP(Consulta1[[#This Row],[Pozo largo]],Controles!B:J,9,FALSE),"NO")</f>
        <v>0</v>
      </c>
    </row>
    <row r="1566" spans="2:12" x14ac:dyDescent="0.35">
      <c r="B1566" s="4" t="s">
        <v>3007</v>
      </c>
      <c r="C1566" s="4" t="s">
        <v>5750</v>
      </c>
      <c r="D1566" s="4" t="s">
        <v>5</v>
      </c>
      <c r="E1566" s="4" t="s">
        <v>6</v>
      </c>
      <c r="F1566" s="4" t="s">
        <v>238</v>
      </c>
      <c r="G1566" s="4" t="s">
        <v>8689</v>
      </c>
      <c r="H1566" s="4" t="s">
        <v>9</v>
      </c>
      <c r="I1566" s="5" t="str">
        <f>IFERROR(VLOOKUP(Consulta1[[#This Row],[Pozo largo]],'Lista YPF'!$B$3:$C$358,2,FALSE),"NO")</f>
        <v>NO</v>
      </c>
      <c r="J1566" s="5" t="str">
        <f>IFERROR(VLOOKUP(Consulta1[[#This Row],[Pozo]],'Lista Oportunidades'!B:C,2,FALSE),"NO")</f>
        <v>Oportunidad</v>
      </c>
      <c r="K1566" s="5">
        <f>IFERROR(VLOOKUP(Consulta1[[#This Row],[Pozo largo]],Controles!B:H,7,FALSE),"NO")</f>
        <v>3.88</v>
      </c>
      <c r="L1566" s="5" t="str">
        <f>IFERROR(VLOOKUP(Consulta1[[#This Row],[Pozo largo]],Controles!B:J,9,FALSE),"NO")</f>
        <v>Ultimos 6 meses</v>
      </c>
    </row>
    <row r="1567" spans="2:12" x14ac:dyDescent="0.35">
      <c r="B1567" s="4" t="s">
        <v>3009</v>
      </c>
      <c r="C1567" s="4" t="s">
        <v>7289</v>
      </c>
      <c r="D1567" s="4" t="s">
        <v>5</v>
      </c>
      <c r="E1567" s="4" t="s">
        <v>57</v>
      </c>
      <c r="F1567" s="4" t="s">
        <v>31</v>
      </c>
      <c r="G1567" s="4" t="s">
        <v>5718</v>
      </c>
      <c r="H1567" s="4" t="s">
        <v>21</v>
      </c>
      <c r="I1567" s="5" t="str">
        <f>IFERROR(VLOOKUP(Consulta1[[#This Row],[Pozo largo]],'Lista YPF'!$B$3:$C$358,2,FALSE),"NO")</f>
        <v>En lista de Abandono</v>
      </c>
      <c r="J1567" s="5" t="str">
        <f>IFERROR(VLOOKUP(Consulta1[[#This Row],[Pozo]],'Lista Oportunidades'!B:C,2,FALSE),"NO")</f>
        <v>NO</v>
      </c>
      <c r="K1567" s="5">
        <f>IFERROR(VLOOKUP(Consulta1[[#This Row],[Pozo largo]],Controles!B:H,7,FALSE),"NO")</f>
        <v>0.34</v>
      </c>
      <c r="L1567" s="5">
        <f>IFERROR(VLOOKUP(Consulta1[[#This Row],[Pozo largo]],Controles!B:J,9,FALSE),"NO")</f>
        <v>0</v>
      </c>
    </row>
    <row r="1568" spans="2:12" x14ac:dyDescent="0.35">
      <c r="B1568" s="4" t="s">
        <v>3011</v>
      </c>
      <c r="C1568" s="4" t="s">
        <v>7290</v>
      </c>
      <c r="D1568" s="4" t="s">
        <v>5</v>
      </c>
      <c r="E1568" s="4" t="s">
        <v>24</v>
      </c>
      <c r="F1568" s="4" t="s">
        <v>25</v>
      </c>
      <c r="G1568" s="4" t="s">
        <v>8</v>
      </c>
      <c r="H1568" s="4" t="s">
        <v>21</v>
      </c>
      <c r="I1568" s="5" t="str">
        <f>IFERROR(VLOOKUP(Consulta1[[#This Row],[Pozo largo]],'Lista YPF'!$B$3:$C$358,2,FALSE),"NO")</f>
        <v>NO</v>
      </c>
      <c r="J1568" s="5" t="str">
        <f>IFERROR(VLOOKUP(Consulta1[[#This Row],[Pozo]],'Lista Oportunidades'!B:C,2,FALSE),"NO")</f>
        <v>NO</v>
      </c>
      <c r="K1568" s="5">
        <f>IFERROR(VLOOKUP(Consulta1[[#This Row],[Pozo largo]],Controles!B:H,7,FALSE),"NO")</f>
        <v>2.9000000000000001E-2</v>
      </c>
      <c r="L1568" s="5">
        <f>IFERROR(VLOOKUP(Consulta1[[#This Row],[Pozo largo]],Controles!B:J,9,FALSE),"NO")</f>
        <v>0</v>
      </c>
    </row>
    <row r="1569" spans="2:12" x14ac:dyDescent="0.35">
      <c r="B1569" s="4" t="s">
        <v>3013</v>
      </c>
      <c r="C1569" s="4" t="s">
        <v>7291</v>
      </c>
      <c r="D1569" s="4" t="s">
        <v>5</v>
      </c>
      <c r="E1569" s="4" t="s">
        <v>30</v>
      </c>
      <c r="F1569" s="4" t="s">
        <v>31</v>
      </c>
      <c r="G1569" s="4" t="s">
        <v>32</v>
      </c>
      <c r="H1569" s="4" t="s">
        <v>21</v>
      </c>
      <c r="I1569" s="5" t="str">
        <f>IFERROR(VLOOKUP(Consulta1[[#This Row],[Pozo largo]],'Lista YPF'!$B$3:$C$358,2,FALSE),"NO")</f>
        <v>NO</v>
      </c>
      <c r="J1569" s="5" t="str">
        <f>IFERROR(VLOOKUP(Consulta1[[#This Row],[Pozo]],'Lista Oportunidades'!B:C,2,FALSE),"NO")</f>
        <v>NO</v>
      </c>
      <c r="K1569" s="5">
        <f>IFERROR(VLOOKUP(Consulta1[[#This Row],[Pozo largo]],Controles!B:H,7,FALSE),"NO")</f>
        <v>8.7799999999999994</v>
      </c>
      <c r="L1569" s="5">
        <f>IFERROR(VLOOKUP(Consulta1[[#This Row],[Pozo largo]],Controles!B:J,9,FALSE),"NO")</f>
        <v>0</v>
      </c>
    </row>
    <row r="1570" spans="2:12" x14ac:dyDescent="0.35">
      <c r="B1570" s="4" t="s">
        <v>3015</v>
      </c>
      <c r="C1570" s="4" t="s">
        <v>7292</v>
      </c>
      <c r="D1570" s="4" t="s">
        <v>5</v>
      </c>
      <c r="E1570" s="4" t="s">
        <v>12</v>
      </c>
      <c r="F1570" s="4" t="s">
        <v>25</v>
      </c>
      <c r="G1570" s="4" t="s">
        <v>13</v>
      </c>
      <c r="H1570" s="4" t="s">
        <v>21</v>
      </c>
      <c r="I1570" s="5" t="str">
        <f>IFERROR(VLOOKUP(Consulta1[[#This Row],[Pozo largo]],'Lista YPF'!$B$3:$C$358,2,FALSE),"NO")</f>
        <v>NO</v>
      </c>
      <c r="J1570" s="5" t="str">
        <f>IFERROR(VLOOKUP(Consulta1[[#This Row],[Pozo]],'Lista Oportunidades'!B:C,2,FALSE),"NO")</f>
        <v>NO</v>
      </c>
      <c r="K1570" s="5">
        <f>IFERROR(VLOOKUP(Consulta1[[#This Row],[Pozo largo]],Controles!B:H,7,FALSE),"NO")</f>
        <v>0.192</v>
      </c>
      <c r="L1570" s="5">
        <f>IFERROR(VLOOKUP(Consulta1[[#This Row],[Pozo largo]],Controles!B:J,9,FALSE),"NO")</f>
        <v>0</v>
      </c>
    </row>
    <row r="1571" spans="2:12" x14ac:dyDescent="0.35">
      <c r="B1571" s="4" t="s">
        <v>3017</v>
      </c>
      <c r="C1571" s="4" t="s">
        <v>7293</v>
      </c>
      <c r="D1571" s="4" t="s">
        <v>5</v>
      </c>
      <c r="E1571" s="4" t="s">
        <v>12</v>
      </c>
      <c r="F1571" s="4" t="s">
        <v>83</v>
      </c>
      <c r="G1571" s="4" t="s">
        <v>13</v>
      </c>
      <c r="H1571" s="4" t="s">
        <v>86</v>
      </c>
      <c r="I1571" s="5" t="str">
        <f>IFERROR(VLOOKUP(Consulta1[[#This Row],[Pozo largo]],'Lista YPF'!$B$3:$C$358,2,FALSE),"NO")</f>
        <v>NO</v>
      </c>
      <c r="J1571" s="5" t="str">
        <f>IFERROR(VLOOKUP(Consulta1[[#This Row],[Pozo]],'Lista Oportunidades'!B:C,2,FALSE),"NO")</f>
        <v>NO</v>
      </c>
      <c r="K1571" s="5">
        <f>IFERROR(VLOOKUP(Consulta1[[#This Row],[Pozo largo]],Controles!B:H,7,FALSE),"NO")</f>
        <v>0.114</v>
      </c>
      <c r="L1571" s="5">
        <f>IFERROR(VLOOKUP(Consulta1[[#This Row],[Pozo largo]],Controles!B:J,9,FALSE),"NO")</f>
        <v>0</v>
      </c>
    </row>
    <row r="1572" spans="2:12" x14ac:dyDescent="0.35">
      <c r="B1572" s="4" t="s">
        <v>3019</v>
      </c>
      <c r="C1572" s="4" t="s">
        <v>7294</v>
      </c>
      <c r="D1572" s="4" t="s">
        <v>5</v>
      </c>
      <c r="E1572" s="4" t="s">
        <v>30</v>
      </c>
      <c r="F1572" s="4" t="s">
        <v>31</v>
      </c>
      <c r="G1572" s="4" t="s">
        <v>32</v>
      </c>
      <c r="H1572" s="4" t="s">
        <v>36</v>
      </c>
      <c r="I1572" s="5" t="str">
        <f>IFERROR(VLOOKUP(Consulta1[[#This Row],[Pozo largo]],'Lista YPF'!$B$3:$C$358,2,FALSE),"NO")</f>
        <v>NO</v>
      </c>
      <c r="J1572" s="5" t="str">
        <f>IFERROR(VLOOKUP(Consulta1[[#This Row],[Pozo]],'Lista Oportunidades'!B:C,2,FALSE),"NO")</f>
        <v>NO</v>
      </c>
      <c r="K1572" s="5" t="str">
        <f>IFERROR(VLOOKUP(Consulta1[[#This Row],[Pozo largo]],Controles!B:H,7,FALSE),"NO")</f>
        <v>NO</v>
      </c>
      <c r="L1572" s="5" t="str">
        <f>IFERROR(VLOOKUP(Consulta1[[#This Row],[Pozo largo]],Controles!B:J,9,FALSE),"NO")</f>
        <v>NO</v>
      </c>
    </row>
    <row r="1573" spans="2:12" x14ac:dyDescent="0.35">
      <c r="B1573" s="4" t="s">
        <v>3020</v>
      </c>
      <c r="C1573" s="4" t="s">
        <v>7295</v>
      </c>
      <c r="D1573" s="4" t="s">
        <v>5</v>
      </c>
      <c r="E1573" s="4" t="s">
        <v>24</v>
      </c>
      <c r="F1573" s="4" t="s">
        <v>7</v>
      </c>
      <c r="G1573" s="4" t="s">
        <v>11387</v>
      </c>
      <c r="H1573" s="4" t="s">
        <v>86</v>
      </c>
      <c r="I1573" s="5" t="str">
        <f>IFERROR(VLOOKUP(Consulta1[[#This Row],[Pozo largo]],'Lista YPF'!$B$3:$C$358,2,FALSE),"NO")</f>
        <v>NO</v>
      </c>
      <c r="J1573" s="5" t="str">
        <f>IFERROR(VLOOKUP(Consulta1[[#This Row],[Pozo]],'Lista Oportunidades'!B:C,2,FALSE),"NO")</f>
        <v>NO</v>
      </c>
      <c r="K1573" s="5">
        <f>IFERROR(VLOOKUP(Consulta1[[#This Row],[Pozo largo]],Controles!B:H,7,FALSE),"NO")</f>
        <v>0.66500000000000004</v>
      </c>
      <c r="L1573" s="5" t="str">
        <f>IFERROR(VLOOKUP(Consulta1[[#This Row],[Pozo largo]],Controles!B:J,9,FALSE),"NO")</f>
        <v>Ultimo Año</v>
      </c>
    </row>
    <row r="1574" spans="2:12" x14ac:dyDescent="0.35">
      <c r="B1574" s="4" t="s">
        <v>3022</v>
      </c>
      <c r="C1574" s="4" t="s">
        <v>7296</v>
      </c>
      <c r="D1574" s="4" t="s">
        <v>5</v>
      </c>
      <c r="E1574" s="4" t="s">
        <v>12</v>
      </c>
      <c r="F1574" s="4" t="s">
        <v>7</v>
      </c>
      <c r="G1574" s="4" t="s">
        <v>13</v>
      </c>
      <c r="H1574" s="4" t="s">
        <v>185</v>
      </c>
      <c r="I1574" s="5" t="str">
        <f>IFERROR(VLOOKUP(Consulta1[[#This Row],[Pozo largo]],'Lista YPF'!$B$3:$C$358,2,FALSE),"NO")</f>
        <v>NO</v>
      </c>
      <c r="J1574" s="5" t="str">
        <f>IFERROR(VLOOKUP(Consulta1[[#This Row],[Pozo]],'Lista Oportunidades'!B:C,2,FALSE),"NO")</f>
        <v>NO</v>
      </c>
      <c r="K1574" s="5">
        <f>IFERROR(VLOOKUP(Consulta1[[#This Row],[Pozo largo]],Controles!B:H,7,FALSE),"NO")</f>
        <v>1.7870000000000001</v>
      </c>
      <c r="L1574" s="5">
        <f>IFERROR(VLOOKUP(Consulta1[[#This Row],[Pozo largo]],Controles!B:J,9,FALSE),"NO")</f>
        <v>0</v>
      </c>
    </row>
    <row r="1575" spans="2:12" x14ac:dyDescent="0.35">
      <c r="B1575" s="4" t="s">
        <v>3024</v>
      </c>
      <c r="C1575" s="4" t="s">
        <v>7297</v>
      </c>
      <c r="D1575" s="4" t="s">
        <v>5</v>
      </c>
      <c r="E1575" s="4" t="s">
        <v>30</v>
      </c>
      <c r="F1575" s="4" t="s">
        <v>31</v>
      </c>
      <c r="G1575" s="4" t="s">
        <v>32</v>
      </c>
      <c r="H1575" s="4" t="s">
        <v>185</v>
      </c>
      <c r="I1575" s="5" t="str">
        <f>IFERROR(VLOOKUP(Consulta1[[#This Row],[Pozo largo]],'Lista YPF'!$B$3:$C$358,2,FALSE),"NO")</f>
        <v>NO</v>
      </c>
      <c r="J1575" s="5" t="str">
        <f>IFERROR(VLOOKUP(Consulta1[[#This Row],[Pozo]],'Lista Oportunidades'!B:C,2,FALSE),"NO")</f>
        <v>NO</v>
      </c>
      <c r="K1575" s="5" t="str">
        <f>IFERROR(VLOOKUP(Consulta1[[#This Row],[Pozo largo]],Controles!B:H,7,FALSE),"NO")</f>
        <v>NO</v>
      </c>
      <c r="L1575" s="5" t="str">
        <f>IFERROR(VLOOKUP(Consulta1[[#This Row],[Pozo largo]],Controles!B:J,9,FALSE),"NO")</f>
        <v>NO</v>
      </c>
    </row>
    <row r="1576" spans="2:12" x14ac:dyDescent="0.35">
      <c r="B1576" s="4" t="s">
        <v>3025</v>
      </c>
      <c r="C1576" s="4" t="s">
        <v>7298</v>
      </c>
      <c r="D1576" s="4" t="s">
        <v>5</v>
      </c>
      <c r="E1576" s="4" t="s">
        <v>24</v>
      </c>
      <c r="F1576" s="4" t="s">
        <v>31</v>
      </c>
      <c r="G1576" s="4" t="s">
        <v>8</v>
      </c>
      <c r="H1576" s="4" t="s">
        <v>185</v>
      </c>
      <c r="I1576" s="5" t="str">
        <f>IFERROR(VLOOKUP(Consulta1[[#This Row],[Pozo largo]],'Lista YPF'!$B$3:$C$358,2,FALSE),"NO")</f>
        <v>NO</v>
      </c>
      <c r="J1576" s="5" t="str">
        <f>IFERROR(VLOOKUP(Consulta1[[#This Row],[Pozo]],'Lista Oportunidades'!B:C,2,FALSE),"NO")</f>
        <v>NO</v>
      </c>
      <c r="K1576" s="5">
        <f>IFERROR(VLOOKUP(Consulta1[[#This Row],[Pozo largo]],Controles!B:H,7,FALSE),"NO")</f>
        <v>0.92800000000000005</v>
      </c>
      <c r="L1576" s="5">
        <f>IFERROR(VLOOKUP(Consulta1[[#This Row],[Pozo largo]],Controles!B:J,9,FALSE),"NO")</f>
        <v>0</v>
      </c>
    </row>
    <row r="1577" spans="2:12" x14ac:dyDescent="0.35">
      <c r="B1577" s="4" t="s">
        <v>3027</v>
      </c>
      <c r="C1577" s="4" t="s">
        <v>7299</v>
      </c>
      <c r="D1577" s="4" t="s">
        <v>5</v>
      </c>
      <c r="E1577" s="4" t="s">
        <v>12</v>
      </c>
      <c r="F1577" s="4" t="s">
        <v>7</v>
      </c>
      <c r="G1577" s="4" t="s">
        <v>13</v>
      </c>
      <c r="H1577" s="4" t="s">
        <v>86</v>
      </c>
      <c r="I1577" s="5" t="str">
        <f>IFERROR(VLOOKUP(Consulta1[[#This Row],[Pozo largo]],'Lista YPF'!$B$3:$C$358,2,FALSE),"NO")</f>
        <v>NO</v>
      </c>
      <c r="J1577" s="5" t="str">
        <f>IFERROR(VLOOKUP(Consulta1[[#This Row],[Pozo]],'Lista Oportunidades'!B:C,2,FALSE),"NO")</f>
        <v>NO</v>
      </c>
      <c r="K1577" s="5">
        <f>IFERROR(VLOOKUP(Consulta1[[#This Row],[Pozo largo]],Controles!B:H,7,FALSE),"NO")</f>
        <v>0.9870000000000001</v>
      </c>
      <c r="L1577" s="5">
        <f>IFERROR(VLOOKUP(Consulta1[[#This Row],[Pozo largo]],Controles!B:J,9,FALSE),"NO")</f>
        <v>0</v>
      </c>
    </row>
    <row r="1578" spans="2:12" x14ac:dyDescent="0.35">
      <c r="B1578" s="4" t="s">
        <v>3029</v>
      </c>
      <c r="C1578" s="4" t="s">
        <v>7300</v>
      </c>
      <c r="D1578" s="4" t="s">
        <v>5</v>
      </c>
      <c r="E1578" s="4" t="s">
        <v>12</v>
      </c>
      <c r="F1578" s="4" t="s">
        <v>7</v>
      </c>
      <c r="G1578" s="4" t="s">
        <v>13</v>
      </c>
      <c r="H1578" s="4" t="s">
        <v>185</v>
      </c>
      <c r="I1578" s="5" t="str">
        <f>IFERROR(VLOOKUP(Consulta1[[#This Row],[Pozo largo]],'Lista YPF'!$B$3:$C$358,2,FALSE),"NO")</f>
        <v>NO</v>
      </c>
      <c r="J1578" s="5" t="str">
        <f>IFERROR(VLOOKUP(Consulta1[[#This Row],[Pozo]],'Lista Oportunidades'!B:C,2,FALSE),"NO")</f>
        <v>NO</v>
      </c>
      <c r="K1578" s="5">
        <f>IFERROR(VLOOKUP(Consulta1[[#This Row],[Pozo largo]],Controles!B:H,7,FALSE),"NO")</f>
        <v>2.82</v>
      </c>
      <c r="L1578" s="5">
        <f>IFERROR(VLOOKUP(Consulta1[[#This Row],[Pozo largo]],Controles!B:J,9,FALSE),"NO")</f>
        <v>0</v>
      </c>
    </row>
    <row r="1579" spans="2:12" x14ac:dyDescent="0.35">
      <c r="B1579" s="4" t="s">
        <v>3031</v>
      </c>
      <c r="C1579" s="4" t="s">
        <v>7301</v>
      </c>
      <c r="D1579" s="4" t="s">
        <v>5</v>
      </c>
      <c r="E1579" s="4" t="s">
        <v>12</v>
      </c>
      <c r="F1579" s="4" t="s">
        <v>7</v>
      </c>
      <c r="G1579" s="4" t="s">
        <v>13</v>
      </c>
      <c r="H1579" s="4" t="s">
        <v>86</v>
      </c>
      <c r="I1579" s="5" t="str">
        <f>IFERROR(VLOOKUP(Consulta1[[#This Row],[Pozo largo]],'Lista YPF'!$B$3:$C$358,2,FALSE),"NO")</f>
        <v>NO</v>
      </c>
      <c r="J1579" s="5" t="str">
        <f>IFERROR(VLOOKUP(Consulta1[[#This Row],[Pozo]],'Lista Oportunidades'!B:C,2,FALSE),"NO")</f>
        <v>NO</v>
      </c>
      <c r="K1579" s="5">
        <f>IFERROR(VLOOKUP(Consulta1[[#This Row],[Pozo largo]],Controles!B:H,7,FALSE),"NO")</f>
        <v>1.36</v>
      </c>
      <c r="L1579" s="5">
        <f>IFERROR(VLOOKUP(Consulta1[[#This Row],[Pozo largo]],Controles!B:J,9,FALSE),"NO")</f>
        <v>0</v>
      </c>
    </row>
    <row r="1580" spans="2:12" x14ac:dyDescent="0.35">
      <c r="B1580" s="4" t="s">
        <v>3033</v>
      </c>
      <c r="C1580" s="4" t="s">
        <v>7302</v>
      </c>
      <c r="D1580" s="4" t="s">
        <v>5</v>
      </c>
      <c r="E1580" s="4" t="s">
        <v>12</v>
      </c>
      <c r="F1580" s="4" t="s">
        <v>7</v>
      </c>
      <c r="G1580" s="4" t="s">
        <v>13</v>
      </c>
      <c r="H1580" s="4" t="s">
        <v>185</v>
      </c>
      <c r="I1580" s="5" t="str">
        <f>IFERROR(VLOOKUP(Consulta1[[#This Row],[Pozo largo]],'Lista YPF'!$B$3:$C$358,2,FALSE),"NO")</f>
        <v>NO</v>
      </c>
      <c r="J1580" s="5" t="str">
        <f>IFERROR(VLOOKUP(Consulta1[[#This Row],[Pozo]],'Lista Oportunidades'!B:C,2,FALSE),"NO")</f>
        <v>NO</v>
      </c>
      <c r="K1580" s="5">
        <f>IFERROR(VLOOKUP(Consulta1[[#This Row],[Pozo largo]],Controles!B:H,7,FALSE),"NO")</f>
        <v>0.752</v>
      </c>
      <c r="L1580" s="5">
        <f>IFERROR(VLOOKUP(Consulta1[[#This Row],[Pozo largo]],Controles!B:J,9,FALSE),"NO")</f>
        <v>0</v>
      </c>
    </row>
    <row r="1581" spans="2:12" x14ac:dyDescent="0.35">
      <c r="B1581" s="4" t="s">
        <v>3035</v>
      </c>
      <c r="C1581" s="4" t="s">
        <v>7303</v>
      </c>
      <c r="D1581" s="4" t="s">
        <v>5</v>
      </c>
      <c r="E1581" s="4" t="s">
        <v>12</v>
      </c>
      <c r="F1581" s="4" t="s">
        <v>25</v>
      </c>
      <c r="G1581" s="4" t="s">
        <v>13</v>
      </c>
      <c r="H1581" s="4" t="s">
        <v>185</v>
      </c>
      <c r="I1581" s="5" t="str">
        <f>IFERROR(VLOOKUP(Consulta1[[#This Row],[Pozo largo]],'Lista YPF'!$B$3:$C$358,2,FALSE),"NO")</f>
        <v>NO</v>
      </c>
      <c r="J1581" s="5" t="str">
        <f>IFERROR(VLOOKUP(Consulta1[[#This Row],[Pozo]],'Lista Oportunidades'!B:C,2,FALSE),"NO")</f>
        <v>NO</v>
      </c>
      <c r="K1581" s="5">
        <f>IFERROR(VLOOKUP(Consulta1[[#This Row],[Pozo largo]],Controles!B:H,7,FALSE),"NO")</f>
        <v>0.10400000000000001</v>
      </c>
      <c r="L1581" s="5">
        <f>IFERROR(VLOOKUP(Consulta1[[#This Row],[Pozo largo]],Controles!B:J,9,FALSE),"NO")</f>
        <v>0</v>
      </c>
    </row>
    <row r="1582" spans="2:12" x14ac:dyDescent="0.35">
      <c r="B1582" s="4" t="s">
        <v>3037</v>
      </c>
      <c r="C1582" s="4" t="s">
        <v>7304</v>
      </c>
      <c r="D1582" s="4" t="s">
        <v>5</v>
      </c>
      <c r="E1582" s="4" t="s">
        <v>6</v>
      </c>
      <c r="F1582" s="4" t="s">
        <v>25</v>
      </c>
      <c r="G1582" s="4" t="s">
        <v>11386</v>
      </c>
      <c r="H1582" s="4" t="s">
        <v>9</v>
      </c>
      <c r="I1582" s="5" t="str">
        <f>IFERROR(VLOOKUP(Consulta1[[#This Row],[Pozo largo]],'Lista YPF'!$B$3:$C$358,2,FALSE),"NO")</f>
        <v>NO</v>
      </c>
      <c r="J1582" s="5" t="str">
        <f>IFERROR(VLOOKUP(Consulta1[[#This Row],[Pozo]],'Lista Oportunidades'!B:C,2,FALSE),"NO")</f>
        <v>NO</v>
      </c>
      <c r="K1582" s="5">
        <f>IFERROR(VLOOKUP(Consulta1[[#This Row],[Pozo largo]],Controles!B:H,7,FALSE),"NO")</f>
        <v>9.6000000000000002E-2</v>
      </c>
      <c r="L1582" s="5" t="str">
        <f>IFERROR(VLOOKUP(Consulta1[[#This Row],[Pozo largo]],Controles!B:J,9,FALSE),"NO")</f>
        <v>Ultimos 6 meses</v>
      </c>
    </row>
    <row r="1583" spans="2:12" x14ac:dyDescent="0.35">
      <c r="B1583" s="4" t="s">
        <v>3039</v>
      </c>
      <c r="C1583" s="4" t="s">
        <v>7305</v>
      </c>
      <c r="D1583" s="4" t="s">
        <v>5</v>
      </c>
      <c r="E1583" s="4" t="s">
        <v>12</v>
      </c>
      <c r="F1583" s="4" t="s">
        <v>7</v>
      </c>
      <c r="G1583" s="4" t="s">
        <v>13</v>
      </c>
      <c r="H1583" s="4" t="s">
        <v>9</v>
      </c>
      <c r="I1583" s="5" t="str">
        <f>IFERROR(VLOOKUP(Consulta1[[#This Row],[Pozo largo]],'Lista YPF'!$B$3:$C$358,2,FALSE),"NO")</f>
        <v>NO</v>
      </c>
      <c r="J1583" s="5" t="str">
        <f>IFERROR(VLOOKUP(Consulta1[[#This Row],[Pozo]],'Lista Oportunidades'!B:C,2,FALSE),"NO")</f>
        <v>NO</v>
      </c>
      <c r="K1583" s="5">
        <f>IFERROR(VLOOKUP(Consulta1[[#This Row],[Pozo largo]],Controles!B:H,7,FALSE),"NO")</f>
        <v>0.42</v>
      </c>
      <c r="L1583" s="5">
        <f>IFERROR(VLOOKUP(Consulta1[[#This Row],[Pozo largo]],Controles!B:J,9,FALSE),"NO")</f>
        <v>0</v>
      </c>
    </row>
    <row r="1584" spans="2:12" x14ac:dyDescent="0.35">
      <c r="B1584" s="4" t="s">
        <v>3041</v>
      </c>
      <c r="C1584" s="4" t="s">
        <v>7306</v>
      </c>
      <c r="D1584" s="4" t="s">
        <v>5</v>
      </c>
      <c r="E1584" s="4" t="s">
        <v>6</v>
      </c>
      <c r="F1584" s="4" t="s">
        <v>7</v>
      </c>
      <c r="G1584" s="4" t="s">
        <v>5718</v>
      </c>
      <c r="H1584" s="4" t="s">
        <v>254</v>
      </c>
      <c r="I1584" s="5" t="str">
        <f>IFERROR(VLOOKUP(Consulta1[[#This Row],[Pozo largo]],'Lista YPF'!$B$3:$C$358,2,FALSE),"NO")</f>
        <v>En lista de Abandono</v>
      </c>
      <c r="J1584" s="5" t="str">
        <f>IFERROR(VLOOKUP(Consulta1[[#This Row],[Pozo]],'Lista Oportunidades'!B:C,2,FALSE),"NO")</f>
        <v>NO</v>
      </c>
      <c r="K1584" s="5">
        <f>IFERROR(VLOOKUP(Consulta1[[#This Row],[Pozo largo]],Controles!B:H,7,FALSE),"NO")</f>
        <v>0.24</v>
      </c>
      <c r="L1584" s="5">
        <f>IFERROR(VLOOKUP(Consulta1[[#This Row],[Pozo largo]],Controles!B:J,9,FALSE),"NO")</f>
        <v>0</v>
      </c>
    </row>
    <row r="1585" spans="2:12" x14ac:dyDescent="0.35">
      <c r="B1585" s="4" t="s">
        <v>3043</v>
      </c>
      <c r="C1585" s="4" t="s">
        <v>7307</v>
      </c>
      <c r="D1585" s="4" t="s">
        <v>5</v>
      </c>
      <c r="E1585" s="4" t="s">
        <v>12</v>
      </c>
      <c r="F1585" s="4" t="s">
        <v>7</v>
      </c>
      <c r="G1585" s="4" t="s">
        <v>13</v>
      </c>
      <c r="H1585" s="4" t="s">
        <v>71</v>
      </c>
      <c r="I1585" s="5" t="str">
        <f>IFERROR(VLOOKUP(Consulta1[[#This Row],[Pozo largo]],'Lista YPF'!$B$3:$C$358,2,FALSE),"NO")</f>
        <v>NO</v>
      </c>
      <c r="J1585" s="5" t="str">
        <f>IFERROR(VLOOKUP(Consulta1[[#This Row],[Pozo]],'Lista Oportunidades'!B:C,2,FALSE),"NO")</f>
        <v>NO</v>
      </c>
      <c r="K1585" s="5">
        <f>IFERROR(VLOOKUP(Consulta1[[#This Row],[Pozo largo]],Controles!B:H,7,FALSE),"NO")</f>
        <v>2.25</v>
      </c>
      <c r="L1585" s="5">
        <f>IFERROR(VLOOKUP(Consulta1[[#This Row],[Pozo largo]],Controles!B:J,9,FALSE),"NO")</f>
        <v>0</v>
      </c>
    </row>
    <row r="1586" spans="2:12" x14ac:dyDescent="0.35">
      <c r="B1586" s="4" t="s">
        <v>3045</v>
      </c>
      <c r="C1586" s="4" t="s">
        <v>7308</v>
      </c>
      <c r="D1586" s="4" t="s">
        <v>5</v>
      </c>
      <c r="E1586" s="4" t="s">
        <v>6</v>
      </c>
      <c r="F1586" s="4" t="s">
        <v>7</v>
      </c>
      <c r="G1586" s="4" t="s">
        <v>11385</v>
      </c>
      <c r="H1586" s="4" t="s">
        <v>36</v>
      </c>
      <c r="I1586" s="5" t="str">
        <f>IFERROR(VLOOKUP(Consulta1[[#This Row],[Pozo largo]],'Lista YPF'!$B$3:$C$358,2,FALSE),"NO")</f>
        <v>NO</v>
      </c>
      <c r="J1586" s="5" t="str">
        <f>IFERROR(VLOOKUP(Consulta1[[#This Row],[Pozo]],'Lista Oportunidades'!B:C,2,FALSE),"NO")</f>
        <v>NO</v>
      </c>
      <c r="K1586" s="5">
        <f>IFERROR(VLOOKUP(Consulta1[[#This Row],[Pozo largo]],Controles!B:H,7,FALSE),"NO")</f>
        <v>4.5600000000000005</v>
      </c>
      <c r="L1586" s="5" t="str">
        <f>IFERROR(VLOOKUP(Consulta1[[#This Row],[Pozo largo]],Controles!B:J,9,FALSE),"NO")</f>
        <v>Ultimos 6 meses</v>
      </c>
    </row>
    <row r="1587" spans="2:12" x14ac:dyDescent="0.35">
      <c r="B1587" s="4" t="s">
        <v>3047</v>
      </c>
      <c r="C1587" s="4" t="s">
        <v>7309</v>
      </c>
      <c r="D1587" s="4" t="s">
        <v>5</v>
      </c>
      <c r="E1587" s="4" t="s">
        <v>24</v>
      </c>
      <c r="F1587" s="4" t="s">
        <v>7</v>
      </c>
      <c r="G1587" s="4" t="s">
        <v>8</v>
      </c>
      <c r="H1587" s="4" t="s">
        <v>21</v>
      </c>
      <c r="I1587" s="5" t="str">
        <f>IFERROR(VLOOKUP(Consulta1[[#This Row],[Pozo largo]],'Lista YPF'!$B$3:$C$358,2,FALSE),"NO")</f>
        <v>NO</v>
      </c>
      <c r="J1587" s="5" t="str">
        <f>IFERROR(VLOOKUP(Consulta1[[#This Row],[Pozo]],'Lista Oportunidades'!B:C,2,FALSE),"NO")</f>
        <v>NO</v>
      </c>
      <c r="K1587" s="5">
        <f>IFERROR(VLOOKUP(Consulta1[[#This Row],[Pozo largo]],Controles!B:H,7,FALSE),"NO")</f>
        <v>0.9</v>
      </c>
      <c r="L1587" s="5">
        <f>IFERROR(VLOOKUP(Consulta1[[#This Row],[Pozo largo]],Controles!B:J,9,FALSE),"NO")</f>
        <v>0</v>
      </c>
    </row>
    <row r="1588" spans="2:12" x14ac:dyDescent="0.35">
      <c r="B1588" s="4" t="s">
        <v>3049</v>
      </c>
      <c r="C1588" s="4" t="s">
        <v>7310</v>
      </c>
      <c r="D1588" s="4" t="s">
        <v>5</v>
      </c>
      <c r="E1588" s="4" t="s">
        <v>24</v>
      </c>
      <c r="F1588" s="4" t="s">
        <v>25</v>
      </c>
      <c r="G1588" s="4" t="s">
        <v>8</v>
      </c>
      <c r="H1588" s="4" t="s">
        <v>36</v>
      </c>
      <c r="I1588" s="5" t="str">
        <f>IFERROR(VLOOKUP(Consulta1[[#This Row],[Pozo largo]],'Lista YPF'!$B$3:$C$358,2,FALSE),"NO")</f>
        <v>NO</v>
      </c>
      <c r="J1588" s="5" t="str">
        <f>IFERROR(VLOOKUP(Consulta1[[#This Row],[Pozo]],'Lista Oportunidades'!B:C,2,FALSE),"NO")</f>
        <v>NO</v>
      </c>
      <c r="K1588" s="5">
        <f>IFERROR(VLOOKUP(Consulta1[[#This Row],[Pozo largo]],Controles!B:H,7,FALSE),"NO")</f>
        <v>0.14400000000000002</v>
      </c>
      <c r="L1588" s="5">
        <f>IFERROR(VLOOKUP(Consulta1[[#This Row],[Pozo largo]],Controles!B:J,9,FALSE),"NO")</f>
        <v>0</v>
      </c>
    </row>
    <row r="1589" spans="2:12" x14ac:dyDescent="0.35">
      <c r="B1589" s="4" t="s">
        <v>3051</v>
      </c>
      <c r="C1589" s="4" t="s">
        <v>7311</v>
      </c>
      <c r="D1589" s="4" t="s">
        <v>5</v>
      </c>
      <c r="E1589" s="4" t="s">
        <v>12</v>
      </c>
      <c r="F1589" s="4" t="s">
        <v>7</v>
      </c>
      <c r="G1589" s="4" t="s">
        <v>13</v>
      </c>
      <c r="H1589" s="4" t="s">
        <v>36</v>
      </c>
      <c r="I1589" s="5" t="str">
        <f>IFERROR(VLOOKUP(Consulta1[[#This Row],[Pozo largo]],'Lista YPF'!$B$3:$C$358,2,FALSE),"NO")</f>
        <v>NO</v>
      </c>
      <c r="J1589" s="5" t="str">
        <f>IFERROR(VLOOKUP(Consulta1[[#This Row],[Pozo]],'Lista Oportunidades'!B:C,2,FALSE),"NO")</f>
        <v>NO</v>
      </c>
      <c r="K1589" s="5">
        <f>IFERROR(VLOOKUP(Consulta1[[#This Row],[Pozo largo]],Controles!B:H,7,FALSE),"NO")</f>
        <v>0.60099999999999998</v>
      </c>
      <c r="L1589" s="5">
        <f>IFERROR(VLOOKUP(Consulta1[[#This Row],[Pozo largo]],Controles!B:J,9,FALSE),"NO")</f>
        <v>0</v>
      </c>
    </row>
    <row r="1590" spans="2:12" x14ac:dyDescent="0.35">
      <c r="B1590" s="4" t="s">
        <v>3053</v>
      </c>
      <c r="C1590" s="4" t="s">
        <v>7312</v>
      </c>
      <c r="D1590" s="4" t="s">
        <v>5</v>
      </c>
      <c r="E1590" s="4" t="s">
        <v>6</v>
      </c>
      <c r="F1590" s="4" t="s">
        <v>7</v>
      </c>
      <c r="G1590" s="4" t="s">
        <v>11386</v>
      </c>
      <c r="H1590" s="4" t="s">
        <v>36</v>
      </c>
      <c r="I1590" s="5" t="str">
        <f>IFERROR(VLOOKUP(Consulta1[[#This Row],[Pozo largo]],'Lista YPF'!$B$3:$C$358,2,FALSE),"NO")</f>
        <v>NO</v>
      </c>
      <c r="J1590" s="5" t="str">
        <f>IFERROR(VLOOKUP(Consulta1[[#This Row],[Pozo]],'Lista Oportunidades'!B:C,2,FALSE),"NO")</f>
        <v>NO</v>
      </c>
      <c r="K1590" s="5">
        <f>IFERROR(VLOOKUP(Consulta1[[#This Row],[Pozo largo]],Controles!B:H,7,FALSE),"NO")</f>
        <v>1.21</v>
      </c>
      <c r="L1590" s="5" t="str">
        <f>IFERROR(VLOOKUP(Consulta1[[#This Row],[Pozo largo]],Controles!B:J,9,FALSE),"NO")</f>
        <v>Ultimos 6 meses</v>
      </c>
    </row>
    <row r="1591" spans="2:12" x14ac:dyDescent="0.35">
      <c r="B1591" s="4" t="s">
        <v>3055</v>
      </c>
      <c r="C1591" s="4" t="s">
        <v>7313</v>
      </c>
      <c r="D1591" s="4" t="s">
        <v>5</v>
      </c>
      <c r="E1591" s="4" t="s">
        <v>24</v>
      </c>
      <c r="F1591" s="4" t="s">
        <v>25</v>
      </c>
      <c r="G1591" s="4" t="s">
        <v>8</v>
      </c>
      <c r="H1591" s="4" t="s">
        <v>84</v>
      </c>
      <c r="I1591" s="5" t="str">
        <f>IFERROR(VLOOKUP(Consulta1[[#This Row],[Pozo largo]],'Lista YPF'!$B$3:$C$358,2,FALSE),"NO")</f>
        <v>NO</v>
      </c>
      <c r="J1591" s="5" t="str">
        <f>IFERROR(VLOOKUP(Consulta1[[#This Row],[Pozo]],'Lista Oportunidades'!B:C,2,FALSE),"NO")</f>
        <v>NO</v>
      </c>
      <c r="K1591" s="5">
        <f>IFERROR(VLOOKUP(Consulta1[[#This Row],[Pozo largo]],Controles!B:H,7,FALSE),"NO")</f>
        <v>0.188</v>
      </c>
      <c r="L1591" s="5">
        <f>IFERROR(VLOOKUP(Consulta1[[#This Row],[Pozo largo]],Controles!B:J,9,FALSE),"NO")</f>
        <v>0</v>
      </c>
    </row>
    <row r="1592" spans="2:12" x14ac:dyDescent="0.35">
      <c r="B1592" s="4" t="s">
        <v>3057</v>
      </c>
      <c r="C1592" s="4" t="s">
        <v>7314</v>
      </c>
      <c r="D1592" s="4" t="s">
        <v>5</v>
      </c>
      <c r="E1592" s="4" t="s">
        <v>30</v>
      </c>
      <c r="F1592" s="4" t="s">
        <v>31</v>
      </c>
      <c r="G1592" s="4" t="s">
        <v>32</v>
      </c>
      <c r="H1592" s="4" t="s">
        <v>86</v>
      </c>
      <c r="I1592" s="5" t="str">
        <f>IFERROR(VLOOKUP(Consulta1[[#This Row],[Pozo largo]],'Lista YPF'!$B$3:$C$358,2,FALSE),"NO")</f>
        <v>NO</v>
      </c>
      <c r="J1592" s="5" t="str">
        <f>IFERROR(VLOOKUP(Consulta1[[#This Row],[Pozo]],'Lista Oportunidades'!B:C,2,FALSE),"NO")</f>
        <v>NO</v>
      </c>
      <c r="K1592" s="5" t="str">
        <f>IFERROR(VLOOKUP(Consulta1[[#This Row],[Pozo largo]],Controles!B:H,7,FALSE),"NO")</f>
        <v>NO</v>
      </c>
      <c r="L1592" s="5" t="str">
        <f>IFERROR(VLOOKUP(Consulta1[[#This Row],[Pozo largo]],Controles!B:J,9,FALSE),"NO")</f>
        <v>NO</v>
      </c>
    </row>
    <row r="1593" spans="2:12" x14ac:dyDescent="0.35">
      <c r="B1593" s="4" t="s">
        <v>3058</v>
      </c>
      <c r="C1593" s="4" t="s">
        <v>7315</v>
      </c>
      <c r="D1593" s="4" t="s">
        <v>5</v>
      </c>
      <c r="E1593" s="4" t="s">
        <v>12</v>
      </c>
      <c r="F1593" s="4" t="s">
        <v>28</v>
      </c>
      <c r="G1593" s="4" t="s">
        <v>13</v>
      </c>
      <c r="H1593" s="4" t="s">
        <v>260</v>
      </c>
      <c r="I1593" s="5" t="str">
        <f>IFERROR(VLOOKUP(Consulta1[[#This Row],[Pozo largo]],'Lista YPF'!$B$3:$C$358,2,FALSE),"NO")</f>
        <v>NO</v>
      </c>
      <c r="J1593" s="5" t="str">
        <f>IFERROR(VLOOKUP(Consulta1[[#This Row],[Pozo]],'Lista Oportunidades'!B:C,2,FALSE),"NO")</f>
        <v>Oportunidad</v>
      </c>
      <c r="K1593" s="5">
        <f>IFERROR(VLOOKUP(Consulta1[[#This Row],[Pozo largo]],Controles!B:H,7,FALSE),"NO")</f>
        <v>0</v>
      </c>
      <c r="L1593" s="5">
        <f>IFERROR(VLOOKUP(Consulta1[[#This Row],[Pozo largo]],Controles!B:J,9,FALSE),"NO")</f>
        <v>0</v>
      </c>
    </row>
    <row r="1594" spans="2:12" x14ac:dyDescent="0.35">
      <c r="B1594" s="4" t="s">
        <v>3060</v>
      </c>
      <c r="C1594" s="4" t="s">
        <v>7316</v>
      </c>
      <c r="D1594" s="4" t="s">
        <v>5</v>
      </c>
      <c r="E1594" s="4" t="s">
        <v>24</v>
      </c>
      <c r="F1594" s="4" t="s">
        <v>25</v>
      </c>
      <c r="G1594" s="4" t="s">
        <v>8689</v>
      </c>
      <c r="H1594" s="4" t="s">
        <v>21</v>
      </c>
      <c r="I1594" s="5" t="str">
        <f>IFERROR(VLOOKUP(Consulta1[[#This Row],[Pozo largo]],'Lista YPF'!$B$3:$C$358,2,FALSE),"NO")</f>
        <v>NO</v>
      </c>
      <c r="J1594" s="5" t="str">
        <f>IFERROR(VLOOKUP(Consulta1[[#This Row],[Pozo]],'Lista Oportunidades'!B:C,2,FALSE),"NO")</f>
        <v>Oportunidad</v>
      </c>
      <c r="K1594" s="5">
        <f>IFERROR(VLOOKUP(Consulta1[[#This Row],[Pozo largo]],Controles!B:H,7,FALSE),"NO")</f>
        <v>1.9E-2</v>
      </c>
      <c r="L1594" s="5" t="str">
        <f>IFERROR(VLOOKUP(Consulta1[[#This Row],[Pozo largo]],Controles!B:J,9,FALSE),"NO")</f>
        <v>Ultimo Año</v>
      </c>
    </row>
    <row r="1595" spans="2:12" x14ac:dyDescent="0.35">
      <c r="B1595" s="4" t="s">
        <v>3062</v>
      </c>
      <c r="C1595" s="4" t="s">
        <v>7317</v>
      </c>
      <c r="D1595" s="4" t="s">
        <v>5</v>
      </c>
      <c r="E1595" s="4" t="s">
        <v>12</v>
      </c>
      <c r="F1595" s="4" t="s">
        <v>7</v>
      </c>
      <c r="G1595" s="4" t="s">
        <v>13</v>
      </c>
      <c r="H1595" s="4" t="s">
        <v>9</v>
      </c>
      <c r="I1595" s="5" t="str">
        <f>IFERROR(VLOOKUP(Consulta1[[#This Row],[Pozo largo]],'Lista YPF'!$B$3:$C$358,2,FALSE),"NO")</f>
        <v>NO</v>
      </c>
      <c r="J1595" s="5" t="str">
        <f>IFERROR(VLOOKUP(Consulta1[[#This Row],[Pozo]],'Lista Oportunidades'!B:C,2,FALSE),"NO")</f>
        <v>NO</v>
      </c>
      <c r="K1595" s="5">
        <f>IFERROR(VLOOKUP(Consulta1[[#This Row],[Pozo largo]],Controles!B:H,7,FALSE),"NO")</f>
        <v>1.05</v>
      </c>
      <c r="L1595" s="5">
        <f>IFERROR(VLOOKUP(Consulta1[[#This Row],[Pozo largo]],Controles!B:J,9,FALSE),"NO")</f>
        <v>0</v>
      </c>
    </row>
    <row r="1596" spans="2:12" x14ac:dyDescent="0.35">
      <c r="B1596" s="4" t="s">
        <v>3064</v>
      </c>
      <c r="C1596" s="4" t="s">
        <v>7318</v>
      </c>
      <c r="D1596" s="4" t="s">
        <v>5</v>
      </c>
      <c r="E1596" s="4" t="s">
        <v>12</v>
      </c>
      <c r="F1596" s="4" t="s">
        <v>7</v>
      </c>
      <c r="G1596" s="4" t="s">
        <v>13</v>
      </c>
      <c r="H1596" s="4" t="s">
        <v>185</v>
      </c>
      <c r="I1596" s="5" t="str">
        <f>IFERROR(VLOOKUP(Consulta1[[#This Row],[Pozo largo]],'Lista YPF'!$B$3:$C$358,2,FALSE),"NO")</f>
        <v>NO</v>
      </c>
      <c r="J1596" s="5" t="str">
        <f>IFERROR(VLOOKUP(Consulta1[[#This Row],[Pozo]],'Lista Oportunidades'!B:C,2,FALSE),"NO")</f>
        <v>NO</v>
      </c>
      <c r="K1596" s="5">
        <f>IFERROR(VLOOKUP(Consulta1[[#This Row],[Pozo largo]],Controles!B:H,7,FALSE),"NO")</f>
        <v>1.95</v>
      </c>
      <c r="L1596" s="5">
        <f>IFERROR(VLOOKUP(Consulta1[[#This Row],[Pozo largo]],Controles!B:J,9,FALSE),"NO")</f>
        <v>0</v>
      </c>
    </row>
    <row r="1597" spans="2:12" x14ac:dyDescent="0.35">
      <c r="B1597" s="4" t="s">
        <v>3066</v>
      </c>
      <c r="C1597" s="4" t="s">
        <v>7319</v>
      </c>
      <c r="D1597" s="4" t="s">
        <v>5</v>
      </c>
      <c r="E1597" s="4" t="s">
        <v>12</v>
      </c>
      <c r="F1597" s="4" t="s">
        <v>1151</v>
      </c>
      <c r="G1597" s="4" t="s">
        <v>13</v>
      </c>
      <c r="H1597" s="4" t="s">
        <v>84</v>
      </c>
      <c r="I1597" s="5" t="str">
        <f>IFERROR(VLOOKUP(Consulta1[[#This Row],[Pozo largo]],'Lista YPF'!$B$3:$C$358,2,FALSE),"NO")</f>
        <v>NO</v>
      </c>
      <c r="J1597" s="5" t="str">
        <f>IFERROR(VLOOKUP(Consulta1[[#This Row],[Pozo]],'Lista Oportunidades'!B:C,2,FALSE),"NO")</f>
        <v>NO</v>
      </c>
      <c r="K1597" s="5">
        <f>IFERROR(VLOOKUP(Consulta1[[#This Row],[Pozo largo]],Controles!B:H,7,FALSE),"NO")</f>
        <v>1.887</v>
      </c>
      <c r="L1597" s="5">
        <f>IFERROR(VLOOKUP(Consulta1[[#This Row],[Pozo largo]],Controles!B:J,9,FALSE),"NO")</f>
        <v>0</v>
      </c>
    </row>
    <row r="1598" spans="2:12" x14ac:dyDescent="0.35">
      <c r="B1598" s="4" t="s">
        <v>3068</v>
      </c>
      <c r="C1598" s="4" t="s">
        <v>7320</v>
      </c>
      <c r="D1598" s="4" t="s">
        <v>5</v>
      </c>
      <c r="E1598" s="4" t="s">
        <v>12</v>
      </c>
      <c r="F1598" s="4" t="s">
        <v>7</v>
      </c>
      <c r="G1598" s="4" t="s">
        <v>13</v>
      </c>
      <c r="H1598" s="4" t="s">
        <v>185</v>
      </c>
      <c r="I1598" s="5" t="str">
        <f>IFERROR(VLOOKUP(Consulta1[[#This Row],[Pozo largo]],'Lista YPF'!$B$3:$C$358,2,FALSE),"NO")</f>
        <v>NO</v>
      </c>
      <c r="J1598" s="5" t="str">
        <f>IFERROR(VLOOKUP(Consulta1[[#This Row],[Pozo]],'Lista Oportunidades'!B:C,2,FALSE),"NO")</f>
        <v>NO</v>
      </c>
      <c r="K1598" s="5">
        <f>IFERROR(VLOOKUP(Consulta1[[#This Row],[Pozo largo]],Controles!B:H,7,FALSE),"NO")</f>
        <v>0.66</v>
      </c>
      <c r="L1598" s="5">
        <f>IFERROR(VLOOKUP(Consulta1[[#This Row],[Pozo largo]],Controles!B:J,9,FALSE),"NO")</f>
        <v>0</v>
      </c>
    </row>
    <row r="1599" spans="2:12" x14ac:dyDescent="0.35">
      <c r="B1599" s="4" t="s">
        <v>3070</v>
      </c>
      <c r="C1599" s="4" t="s">
        <v>7321</v>
      </c>
      <c r="D1599" s="4" t="s">
        <v>5</v>
      </c>
      <c r="E1599" s="4" t="s">
        <v>12</v>
      </c>
      <c r="F1599" s="4" t="s">
        <v>25</v>
      </c>
      <c r="G1599" s="4" t="s">
        <v>13</v>
      </c>
      <c r="H1599" s="4" t="s">
        <v>21</v>
      </c>
      <c r="I1599" s="5" t="str">
        <f>IFERROR(VLOOKUP(Consulta1[[#This Row],[Pozo largo]],'Lista YPF'!$B$3:$C$358,2,FALSE),"NO")</f>
        <v>NO</v>
      </c>
      <c r="J1599" s="5" t="str">
        <f>IFERROR(VLOOKUP(Consulta1[[#This Row],[Pozo]],'Lista Oportunidades'!B:C,2,FALSE),"NO")</f>
        <v>NO</v>
      </c>
      <c r="K1599" s="5">
        <f>IFERROR(VLOOKUP(Consulta1[[#This Row],[Pozo largo]],Controles!B:H,7,FALSE),"NO")</f>
        <v>1.034</v>
      </c>
      <c r="L1599" s="5">
        <f>IFERROR(VLOOKUP(Consulta1[[#This Row],[Pozo largo]],Controles!B:J,9,FALSE),"NO")</f>
        <v>0</v>
      </c>
    </row>
    <row r="1600" spans="2:12" x14ac:dyDescent="0.35">
      <c r="B1600" s="4" t="s">
        <v>3072</v>
      </c>
      <c r="C1600" s="4" t="s">
        <v>7322</v>
      </c>
      <c r="D1600" s="4" t="s">
        <v>5</v>
      </c>
      <c r="E1600" s="4" t="s">
        <v>6</v>
      </c>
      <c r="F1600" s="4" t="s">
        <v>7</v>
      </c>
      <c r="G1600" s="4" t="s">
        <v>11386</v>
      </c>
      <c r="H1600" s="4" t="s">
        <v>86</v>
      </c>
      <c r="I1600" s="5" t="str">
        <f>IFERROR(VLOOKUP(Consulta1[[#This Row],[Pozo largo]],'Lista YPF'!$B$3:$C$358,2,FALSE),"NO")</f>
        <v>NO</v>
      </c>
      <c r="J1600" s="5" t="str">
        <f>IFERROR(VLOOKUP(Consulta1[[#This Row],[Pozo]],'Lista Oportunidades'!B:C,2,FALSE),"NO")</f>
        <v>NO</v>
      </c>
      <c r="K1600" s="5">
        <f>IFERROR(VLOOKUP(Consulta1[[#This Row],[Pozo largo]],Controles!B:H,7,FALSE),"NO")</f>
        <v>0.504</v>
      </c>
      <c r="L1600" s="5" t="str">
        <f>IFERROR(VLOOKUP(Consulta1[[#This Row],[Pozo largo]],Controles!B:J,9,FALSE),"NO")</f>
        <v>Ultimos 6 meses</v>
      </c>
    </row>
    <row r="1601" spans="2:12" x14ac:dyDescent="0.35">
      <c r="B1601" s="4" t="s">
        <v>3074</v>
      </c>
      <c r="C1601" s="4" t="s">
        <v>7323</v>
      </c>
      <c r="D1601" s="4" t="s">
        <v>5</v>
      </c>
      <c r="E1601" s="4" t="s">
        <v>12</v>
      </c>
      <c r="F1601" s="4" t="s">
        <v>7</v>
      </c>
      <c r="G1601" s="4" t="s">
        <v>13</v>
      </c>
      <c r="H1601" s="4" t="s">
        <v>185</v>
      </c>
      <c r="I1601" s="5" t="str">
        <f>IFERROR(VLOOKUP(Consulta1[[#This Row],[Pozo largo]],'Lista YPF'!$B$3:$C$358,2,FALSE),"NO")</f>
        <v>NO</v>
      </c>
      <c r="J1601" s="5" t="str">
        <f>IFERROR(VLOOKUP(Consulta1[[#This Row],[Pozo]],'Lista Oportunidades'!B:C,2,FALSE),"NO")</f>
        <v>NO</v>
      </c>
      <c r="K1601" s="5">
        <f>IFERROR(VLOOKUP(Consulta1[[#This Row],[Pozo largo]],Controles!B:H,7,FALSE),"NO")</f>
        <v>2.2000000000000002</v>
      </c>
      <c r="L1601" s="5">
        <f>IFERROR(VLOOKUP(Consulta1[[#This Row],[Pozo largo]],Controles!B:J,9,FALSE),"NO")</f>
        <v>0</v>
      </c>
    </row>
    <row r="1602" spans="2:12" x14ac:dyDescent="0.35">
      <c r="B1602" s="4" t="s">
        <v>3076</v>
      </c>
      <c r="C1602" s="4" t="s">
        <v>7324</v>
      </c>
      <c r="D1602" s="4" t="s">
        <v>5</v>
      </c>
      <c r="E1602" s="4" t="s">
        <v>24</v>
      </c>
      <c r="F1602" s="4" t="s">
        <v>7</v>
      </c>
      <c r="G1602" s="4" t="s">
        <v>11386</v>
      </c>
      <c r="H1602" s="4" t="s">
        <v>33</v>
      </c>
      <c r="I1602" s="5" t="str">
        <f>IFERROR(VLOOKUP(Consulta1[[#This Row],[Pozo largo]],'Lista YPF'!$B$3:$C$358,2,FALSE),"NO")</f>
        <v>NO</v>
      </c>
      <c r="J1602" s="5" t="str">
        <f>IFERROR(VLOOKUP(Consulta1[[#This Row],[Pozo]],'Lista Oportunidades'!B:C,2,FALSE),"NO")</f>
        <v>NO</v>
      </c>
      <c r="K1602" s="5">
        <f>IFERROR(VLOOKUP(Consulta1[[#This Row],[Pozo largo]],Controles!B:H,7,FALSE),"NO")</f>
        <v>0.501</v>
      </c>
      <c r="L1602" s="5" t="str">
        <f>IFERROR(VLOOKUP(Consulta1[[#This Row],[Pozo largo]],Controles!B:J,9,FALSE),"NO")</f>
        <v>Ultimos 6 meses</v>
      </c>
    </row>
    <row r="1603" spans="2:12" x14ac:dyDescent="0.35">
      <c r="B1603" s="4" t="s">
        <v>3078</v>
      </c>
      <c r="C1603" s="4" t="s">
        <v>7325</v>
      </c>
      <c r="D1603" s="4" t="s">
        <v>5</v>
      </c>
      <c r="E1603" s="4" t="s">
        <v>12</v>
      </c>
      <c r="F1603" s="4" t="s">
        <v>7</v>
      </c>
      <c r="G1603" s="4" t="s">
        <v>13</v>
      </c>
      <c r="H1603" s="4" t="s">
        <v>185</v>
      </c>
      <c r="I1603" s="5" t="str">
        <f>IFERROR(VLOOKUP(Consulta1[[#This Row],[Pozo largo]],'Lista YPF'!$B$3:$C$358,2,FALSE),"NO")</f>
        <v>NO</v>
      </c>
      <c r="J1603" s="5" t="str">
        <f>IFERROR(VLOOKUP(Consulta1[[#This Row],[Pozo]],'Lista Oportunidades'!B:C,2,FALSE),"NO")</f>
        <v>NO</v>
      </c>
      <c r="K1603" s="5">
        <f>IFERROR(VLOOKUP(Consulta1[[#This Row],[Pozo largo]],Controles!B:H,7,FALSE),"NO")</f>
        <v>2.85</v>
      </c>
      <c r="L1603" s="5">
        <f>IFERROR(VLOOKUP(Consulta1[[#This Row],[Pozo largo]],Controles!B:J,9,FALSE),"NO")</f>
        <v>0</v>
      </c>
    </row>
    <row r="1604" spans="2:12" x14ac:dyDescent="0.35">
      <c r="B1604" s="4" t="s">
        <v>3080</v>
      </c>
      <c r="C1604" s="4" t="s">
        <v>3081</v>
      </c>
      <c r="D1604" s="4" t="s">
        <v>5</v>
      </c>
      <c r="E1604" s="4" t="s">
        <v>12</v>
      </c>
      <c r="F1604" s="4" t="s">
        <v>7</v>
      </c>
      <c r="G1604" s="4" t="s">
        <v>13</v>
      </c>
      <c r="H1604" s="4" t="s">
        <v>149</v>
      </c>
      <c r="I1604" s="5" t="str">
        <f>IFERROR(VLOOKUP(Consulta1[[#This Row],[Pozo largo]],'Lista YPF'!$B$3:$C$358,2,FALSE),"NO")</f>
        <v>NO</v>
      </c>
      <c r="J1604" s="5" t="str">
        <f>IFERROR(VLOOKUP(Consulta1[[#This Row],[Pozo]],'Lista Oportunidades'!B:C,2,FALSE),"NO")</f>
        <v>NO</v>
      </c>
      <c r="K1604" s="5">
        <f>IFERROR(VLOOKUP(Consulta1[[#This Row],[Pozo largo]],Controles!B:H,7,FALSE),"NO")</f>
        <v>0.57700000000000007</v>
      </c>
      <c r="L1604" s="5">
        <f>IFERROR(VLOOKUP(Consulta1[[#This Row],[Pozo largo]],Controles!B:J,9,FALSE),"NO")</f>
        <v>0</v>
      </c>
    </row>
    <row r="1605" spans="2:12" x14ac:dyDescent="0.35">
      <c r="B1605" s="4" t="s">
        <v>3082</v>
      </c>
      <c r="C1605" s="4" t="s">
        <v>7326</v>
      </c>
      <c r="D1605" s="4" t="s">
        <v>5</v>
      </c>
      <c r="E1605" s="4" t="s">
        <v>12</v>
      </c>
      <c r="F1605" s="4" t="s">
        <v>25</v>
      </c>
      <c r="G1605" s="4" t="s">
        <v>13</v>
      </c>
      <c r="H1605" s="4" t="s">
        <v>33</v>
      </c>
      <c r="I1605" s="5" t="str">
        <f>IFERROR(VLOOKUP(Consulta1[[#This Row],[Pozo largo]],'Lista YPF'!$B$3:$C$358,2,FALSE),"NO")</f>
        <v>NO</v>
      </c>
      <c r="J1605" s="5" t="str">
        <f>IFERROR(VLOOKUP(Consulta1[[#This Row],[Pozo]],'Lista Oportunidades'!B:C,2,FALSE),"NO")</f>
        <v>NO</v>
      </c>
      <c r="K1605" s="5">
        <f>IFERROR(VLOOKUP(Consulta1[[#This Row],[Pozo largo]],Controles!B:H,7,FALSE),"NO")</f>
        <v>6.7000000000000004E-2</v>
      </c>
      <c r="L1605" s="5">
        <f>IFERROR(VLOOKUP(Consulta1[[#This Row],[Pozo largo]],Controles!B:J,9,FALSE),"NO")</f>
        <v>0</v>
      </c>
    </row>
    <row r="1606" spans="2:12" x14ac:dyDescent="0.35">
      <c r="B1606" s="4" t="s">
        <v>3084</v>
      </c>
      <c r="C1606" s="4" t="s">
        <v>7327</v>
      </c>
      <c r="D1606" s="4" t="s">
        <v>5</v>
      </c>
      <c r="E1606" s="4" t="s">
        <v>24</v>
      </c>
      <c r="F1606" s="4" t="s">
        <v>28</v>
      </c>
      <c r="G1606" s="4" t="s">
        <v>8</v>
      </c>
      <c r="H1606" s="4" t="s">
        <v>86</v>
      </c>
      <c r="I1606" s="5" t="str">
        <f>IFERROR(VLOOKUP(Consulta1[[#This Row],[Pozo largo]],'Lista YPF'!$B$3:$C$358,2,FALSE),"NO")</f>
        <v>NO</v>
      </c>
      <c r="J1606" s="5" t="str">
        <f>IFERROR(VLOOKUP(Consulta1[[#This Row],[Pozo]],'Lista Oportunidades'!B:C,2,FALSE),"NO")</f>
        <v>NO</v>
      </c>
      <c r="K1606" s="5">
        <f>IFERROR(VLOOKUP(Consulta1[[#This Row],[Pozo largo]],Controles!B:H,7,FALSE),"NO")</f>
        <v>0</v>
      </c>
      <c r="L1606" s="5">
        <f>IFERROR(VLOOKUP(Consulta1[[#This Row],[Pozo largo]],Controles!B:J,9,FALSE),"NO")</f>
        <v>0</v>
      </c>
    </row>
    <row r="1607" spans="2:12" x14ac:dyDescent="0.35">
      <c r="B1607" s="4" t="s">
        <v>3086</v>
      </c>
      <c r="C1607" s="4" t="s">
        <v>7328</v>
      </c>
      <c r="D1607" s="4" t="s">
        <v>5</v>
      </c>
      <c r="E1607" s="4" t="s">
        <v>24</v>
      </c>
      <c r="F1607" s="4" t="s">
        <v>25</v>
      </c>
      <c r="G1607" s="4" t="s">
        <v>8</v>
      </c>
      <c r="H1607" s="4" t="s">
        <v>86</v>
      </c>
      <c r="I1607" s="5" t="str">
        <f>IFERROR(VLOOKUP(Consulta1[[#This Row],[Pozo largo]],'Lista YPF'!$B$3:$C$358,2,FALSE),"NO")</f>
        <v>NO</v>
      </c>
      <c r="J1607" s="5" t="str">
        <f>IFERROR(VLOOKUP(Consulta1[[#This Row],[Pozo]],'Lista Oportunidades'!B:C,2,FALSE),"NO")</f>
        <v>NO</v>
      </c>
      <c r="K1607" s="5">
        <f>IFERROR(VLOOKUP(Consulta1[[#This Row],[Pozo largo]],Controles!B:H,7,FALSE),"NO")</f>
        <v>0.14500000000000002</v>
      </c>
      <c r="L1607" s="5">
        <f>IFERROR(VLOOKUP(Consulta1[[#This Row],[Pozo largo]],Controles!B:J,9,FALSE),"NO")</f>
        <v>0</v>
      </c>
    </row>
    <row r="1608" spans="2:12" x14ac:dyDescent="0.35">
      <c r="B1608" s="4" t="s">
        <v>3088</v>
      </c>
      <c r="C1608" s="4" t="s">
        <v>7329</v>
      </c>
      <c r="D1608" s="4" t="s">
        <v>5</v>
      </c>
      <c r="E1608" s="4" t="s">
        <v>12</v>
      </c>
      <c r="F1608" s="4" t="s">
        <v>28</v>
      </c>
      <c r="G1608" s="4" t="s">
        <v>13</v>
      </c>
      <c r="H1608" s="4" t="s">
        <v>86</v>
      </c>
      <c r="I1608" s="5" t="str">
        <f>IFERROR(VLOOKUP(Consulta1[[#This Row],[Pozo largo]],'Lista YPF'!$B$3:$C$358,2,FALSE),"NO")</f>
        <v>NO</v>
      </c>
      <c r="J1608" s="5" t="str">
        <f>IFERROR(VLOOKUP(Consulta1[[#This Row],[Pozo]],'Lista Oportunidades'!B:C,2,FALSE),"NO")</f>
        <v>NO</v>
      </c>
      <c r="K1608" s="5">
        <f>IFERROR(VLOOKUP(Consulta1[[#This Row],[Pozo largo]],Controles!B:H,7,FALSE),"NO")</f>
        <v>0</v>
      </c>
      <c r="L1608" s="5">
        <f>IFERROR(VLOOKUP(Consulta1[[#This Row],[Pozo largo]],Controles!B:J,9,FALSE),"NO")</f>
        <v>0</v>
      </c>
    </row>
    <row r="1609" spans="2:12" x14ac:dyDescent="0.35">
      <c r="B1609" s="4" t="s">
        <v>3090</v>
      </c>
      <c r="C1609" s="4" t="s">
        <v>7330</v>
      </c>
      <c r="D1609" s="4" t="s">
        <v>5</v>
      </c>
      <c r="E1609" s="4" t="s">
        <v>6</v>
      </c>
      <c r="F1609" s="4" t="s">
        <v>28</v>
      </c>
      <c r="G1609" s="4" t="s">
        <v>5718</v>
      </c>
      <c r="H1609" s="4" t="s">
        <v>86</v>
      </c>
      <c r="I1609" s="5" t="str">
        <f>IFERROR(VLOOKUP(Consulta1[[#This Row],[Pozo largo]],'Lista YPF'!$B$3:$C$358,2,FALSE),"NO")</f>
        <v>En lista de Abandono</v>
      </c>
      <c r="J1609" s="5" t="str">
        <f>IFERROR(VLOOKUP(Consulta1[[#This Row],[Pozo]],'Lista Oportunidades'!B:C,2,FALSE),"NO")</f>
        <v>NO</v>
      </c>
      <c r="K1609" s="5">
        <f>IFERROR(VLOOKUP(Consulta1[[#This Row],[Pozo largo]],Controles!B:H,7,FALSE),"NO")</f>
        <v>0</v>
      </c>
      <c r="L1609" s="5">
        <f>IFERROR(VLOOKUP(Consulta1[[#This Row],[Pozo largo]],Controles!B:J,9,FALSE),"NO")</f>
        <v>0</v>
      </c>
    </row>
    <row r="1610" spans="2:12" x14ac:dyDescent="0.35">
      <c r="B1610" s="4" t="s">
        <v>3092</v>
      </c>
      <c r="C1610" s="4" t="s">
        <v>7331</v>
      </c>
      <c r="D1610" s="4" t="s">
        <v>5</v>
      </c>
      <c r="E1610" s="4" t="s">
        <v>24</v>
      </c>
      <c r="F1610" s="4" t="s">
        <v>28</v>
      </c>
      <c r="G1610" s="4" t="s">
        <v>8</v>
      </c>
      <c r="H1610" s="4" t="s">
        <v>91</v>
      </c>
      <c r="I1610" s="5" t="str">
        <f>IFERROR(VLOOKUP(Consulta1[[#This Row],[Pozo largo]],'Lista YPF'!$B$3:$C$358,2,FALSE),"NO")</f>
        <v>NO</v>
      </c>
      <c r="J1610" s="5" t="str">
        <f>IFERROR(VLOOKUP(Consulta1[[#This Row],[Pozo]],'Lista Oportunidades'!B:C,2,FALSE),"NO")</f>
        <v>NO</v>
      </c>
      <c r="K1610" s="5">
        <f>IFERROR(VLOOKUP(Consulta1[[#This Row],[Pozo largo]],Controles!B:H,7,FALSE),"NO")</f>
        <v>0</v>
      </c>
      <c r="L1610" s="5">
        <f>IFERROR(VLOOKUP(Consulta1[[#This Row],[Pozo largo]],Controles!B:J,9,FALSE),"NO")</f>
        <v>0</v>
      </c>
    </row>
    <row r="1611" spans="2:12" x14ac:dyDescent="0.35">
      <c r="B1611" s="4" t="s">
        <v>3094</v>
      </c>
      <c r="C1611" s="4" t="s">
        <v>7332</v>
      </c>
      <c r="D1611" s="4" t="s">
        <v>5</v>
      </c>
      <c r="E1611" s="4" t="s">
        <v>12</v>
      </c>
      <c r="F1611" s="4" t="s">
        <v>28</v>
      </c>
      <c r="G1611" s="4" t="s">
        <v>13</v>
      </c>
      <c r="H1611" s="4" t="s">
        <v>86</v>
      </c>
      <c r="I1611" s="5" t="str">
        <f>IFERROR(VLOOKUP(Consulta1[[#This Row],[Pozo largo]],'Lista YPF'!$B$3:$C$358,2,FALSE),"NO")</f>
        <v>NO</v>
      </c>
      <c r="J1611" s="5" t="str">
        <f>IFERROR(VLOOKUP(Consulta1[[#This Row],[Pozo]],'Lista Oportunidades'!B:C,2,FALSE),"NO")</f>
        <v>NO</v>
      </c>
      <c r="K1611" s="5">
        <f>IFERROR(VLOOKUP(Consulta1[[#This Row],[Pozo largo]],Controles!B:H,7,FALSE),"NO")</f>
        <v>0</v>
      </c>
      <c r="L1611" s="5">
        <f>IFERROR(VLOOKUP(Consulta1[[#This Row],[Pozo largo]],Controles!B:J,9,FALSE),"NO")</f>
        <v>0</v>
      </c>
    </row>
    <row r="1612" spans="2:12" x14ac:dyDescent="0.35">
      <c r="B1612" s="4" t="s">
        <v>3096</v>
      </c>
      <c r="C1612" s="4" t="s">
        <v>7333</v>
      </c>
      <c r="D1612" s="4" t="s">
        <v>5</v>
      </c>
      <c r="E1612" s="4" t="s">
        <v>12</v>
      </c>
      <c r="F1612" s="4" t="s">
        <v>25</v>
      </c>
      <c r="G1612" s="4" t="s">
        <v>13</v>
      </c>
      <c r="H1612" s="4" t="s">
        <v>16</v>
      </c>
      <c r="I1612" s="5" t="str">
        <f>IFERROR(VLOOKUP(Consulta1[[#This Row],[Pozo largo]],'Lista YPF'!$B$3:$C$358,2,FALSE),"NO")</f>
        <v>NO</v>
      </c>
      <c r="J1612" s="5" t="str">
        <f>IFERROR(VLOOKUP(Consulta1[[#This Row],[Pozo]],'Lista Oportunidades'!B:C,2,FALSE),"NO")</f>
        <v>NO</v>
      </c>
      <c r="K1612" s="5">
        <f>IFERROR(VLOOKUP(Consulta1[[#This Row],[Pozo largo]],Controles!B:H,7,FALSE),"NO")</f>
        <v>0.27</v>
      </c>
      <c r="L1612" s="5">
        <f>IFERROR(VLOOKUP(Consulta1[[#This Row],[Pozo largo]],Controles!B:J,9,FALSE),"NO")</f>
        <v>0</v>
      </c>
    </row>
    <row r="1613" spans="2:12" x14ac:dyDescent="0.35">
      <c r="B1613" s="4" t="s">
        <v>3098</v>
      </c>
      <c r="C1613" s="4" t="s">
        <v>7334</v>
      </c>
      <c r="D1613" s="4" t="s">
        <v>5</v>
      </c>
      <c r="E1613" s="4" t="s">
        <v>24</v>
      </c>
      <c r="F1613" s="4" t="s">
        <v>31</v>
      </c>
      <c r="G1613" s="4" t="s">
        <v>8</v>
      </c>
      <c r="H1613" s="4" t="s">
        <v>71</v>
      </c>
      <c r="I1613" s="5" t="str">
        <f>IFERROR(VLOOKUP(Consulta1[[#This Row],[Pozo largo]],'Lista YPF'!$B$3:$C$358,2,FALSE),"NO")</f>
        <v>NO</v>
      </c>
      <c r="J1613" s="5" t="str">
        <f>IFERROR(VLOOKUP(Consulta1[[#This Row],[Pozo]],'Lista Oportunidades'!B:C,2,FALSE),"NO")</f>
        <v>NO</v>
      </c>
      <c r="K1613" s="5">
        <f>IFERROR(VLOOKUP(Consulta1[[#This Row],[Pozo largo]],Controles!B:H,7,FALSE),"NO")</f>
        <v>0.36</v>
      </c>
      <c r="L1613" s="5">
        <f>IFERROR(VLOOKUP(Consulta1[[#This Row],[Pozo largo]],Controles!B:J,9,FALSE),"NO")</f>
        <v>0</v>
      </c>
    </row>
    <row r="1614" spans="2:12" x14ac:dyDescent="0.35">
      <c r="B1614" s="4" t="s">
        <v>3100</v>
      </c>
      <c r="C1614" s="4" t="s">
        <v>7335</v>
      </c>
      <c r="D1614" s="4" t="s">
        <v>5</v>
      </c>
      <c r="E1614" s="4" t="s">
        <v>12</v>
      </c>
      <c r="F1614" s="4" t="s">
        <v>7</v>
      </c>
      <c r="G1614" s="4" t="s">
        <v>13</v>
      </c>
      <c r="H1614" s="4" t="s">
        <v>141</v>
      </c>
      <c r="I1614" s="5" t="str">
        <f>IFERROR(VLOOKUP(Consulta1[[#This Row],[Pozo largo]],'Lista YPF'!$B$3:$C$358,2,FALSE),"NO")</f>
        <v>NO</v>
      </c>
      <c r="J1614" s="5" t="str">
        <f>IFERROR(VLOOKUP(Consulta1[[#This Row],[Pozo]],'Lista Oportunidades'!B:C,2,FALSE),"NO")</f>
        <v>NO</v>
      </c>
      <c r="K1614" s="5">
        <f>IFERROR(VLOOKUP(Consulta1[[#This Row],[Pozo largo]],Controles!B:H,7,FALSE),"NO")</f>
        <v>1.7</v>
      </c>
      <c r="L1614" s="5">
        <f>IFERROR(VLOOKUP(Consulta1[[#This Row],[Pozo largo]],Controles!B:J,9,FALSE),"NO")</f>
        <v>0</v>
      </c>
    </row>
    <row r="1615" spans="2:12" x14ac:dyDescent="0.35">
      <c r="B1615" s="4" t="s">
        <v>3102</v>
      </c>
      <c r="C1615" s="4" t="s">
        <v>7336</v>
      </c>
      <c r="D1615" s="4" t="s">
        <v>5</v>
      </c>
      <c r="E1615" s="4" t="s">
        <v>12</v>
      </c>
      <c r="F1615" s="4" t="s">
        <v>7</v>
      </c>
      <c r="G1615" s="4" t="s">
        <v>13</v>
      </c>
      <c r="H1615" s="4" t="s">
        <v>185</v>
      </c>
      <c r="I1615" s="5" t="str">
        <f>IFERROR(VLOOKUP(Consulta1[[#This Row],[Pozo largo]],'Lista YPF'!$B$3:$C$358,2,FALSE),"NO")</f>
        <v>NO</v>
      </c>
      <c r="J1615" s="5" t="str">
        <f>IFERROR(VLOOKUP(Consulta1[[#This Row],[Pozo]],'Lista Oportunidades'!B:C,2,FALSE),"NO")</f>
        <v>NO</v>
      </c>
      <c r="K1615" s="5">
        <f>IFERROR(VLOOKUP(Consulta1[[#This Row],[Pozo largo]],Controles!B:H,7,FALSE),"NO")</f>
        <v>1</v>
      </c>
      <c r="L1615" s="5">
        <f>IFERROR(VLOOKUP(Consulta1[[#This Row],[Pozo largo]],Controles!B:J,9,FALSE),"NO")</f>
        <v>0</v>
      </c>
    </row>
    <row r="1616" spans="2:12" x14ac:dyDescent="0.35">
      <c r="B1616" s="4" t="s">
        <v>3104</v>
      </c>
      <c r="C1616" s="4" t="s">
        <v>7337</v>
      </c>
      <c r="D1616" s="4" t="s">
        <v>5</v>
      </c>
      <c r="E1616" s="4" t="s">
        <v>12</v>
      </c>
      <c r="F1616" s="4" t="s">
        <v>7</v>
      </c>
      <c r="G1616" s="4" t="s">
        <v>13</v>
      </c>
      <c r="H1616" s="4" t="s">
        <v>16</v>
      </c>
      <c r="I1616" s="5" t="str">
        <f>IFERROR(VLOOKUP(Consulta1[[#This Row],[Pozo largo]],'Lista YPF'!$B$3:$C$358,2,FALSE),"NO")</f>
        <v>NO</v>
      </c>
      <c r="J1616" s="5" t="str">
        <f>IFERROR(VLOOKUP(Consulta1[[#This Row],[Pozo]],'Lista Oportunidades'!B:C,2,FALSE),"NO")</f>
        <v>NO</v>
      </c>
      <c r="K1616" s="5">
        <f>IFERROR(VLOOKUP(Consulta1[[#This Row],[Pozo largo]],Controles!B:H,7,FALSE),"NO")</f>
        <v>1.6740000000000002</v>
      </c>
      <c r="L1616" s="5">
        <f>IFERROR(VLOOKUP(Consulta1[[#This Row],[Pozo largo]],Controles!B:J,9,FALSE),"NO")</f>
        <v>0</v>
      </c>
    </row>
    <row r="1617" spans="2:12" x14ac:dyDescent="0.35">
      <c r="B1617" s="4" t="s">
        <v>3106</v>
      </c>
      <c r="C1617" s="4" t="s">
        <v>7338</v>
      </c>
      <c r="D1617" s="4" t="s">
        <v>5</v>
      </c>
      <c r="E1617" s="4" t="s">
        <v>24</v>
      </c>
      <c r="F1617" s="4" t="s">
        <v>31</v>
      </c>
      <c r="G1617" s="4" t="s">
        <v>11385</v>
      </c>
      <c r="H1617" s="4" t="s">
        <v>66</v>
      </c>
      <c r="I1617" s="5" t="str">
        <f>IFERROR(VLOOKUP(Consulta1[[#This Row],[Pozo largo]],'Lista YPF'!$B$3:$C$358,2,FALSE),"NO")</f>
        <v>NO</v>
      </c>
      <c r="J1617" s="5" t="str">
        <f>IFERROR(VLOOKUP(Consulta1[[#This Row],[Pozo]],'Lista Oportunidades'!B:C,2,FALSE),"NO")</f>
        <v>NO</v>
      </c>
      <c r="K1617" s="5">
        <f>IFERROR(VLOOKUP(Consulta1[[#This Row],[Pozo largo]],Controles!B:H,7,FALSE),"NO")</f>
        <v>22.400000000000002</v>
      </c>
      <c r="L1617" s="5">
        <f>IFERROR(VLOOKUP(Consulta1[[#This Row],[Pozo largo]],Controles!B:J,9,FALSE),"NO")</f>
        <v>0</v>
      </c>
    </row>
    <row r="1618" spans="2:12" x14ac:dyDescent="0.35">
      <c r="B1618" s="4" t="s">
        <v>3108</v>
      </c>
      <c r="C1618" s="4" t="s">
        <v>7339</v>
      </c>
      <c r="D1618" s="4" t="s">
        <v>5</v>
      </c>
      <c r="E1618" s="4" t="s">
        <v>12</v>
      </c>
      <c r="F1618" s="4" t="s">
        <v>83</v>
      </c>
      <c r="G1618" s="4" t="s">
        <v>13</v>
      </c>
      <c r="H1618" s="4" t="s">
        <v>91</v>
      </c>
      <c r="I1618" s="5" t="str">
        <f>IFERROR(VLOOKUP(Consulta1[[#This Row],[Pozo largo]],'Lista YPF'!$B$3:$C$358,2,FALSE),"NO")</f>
        <v>NO</v>
      </c>
      <c r="J1618" s="5" t="str">
        <f>IFERROR(VLOOKUP(Consulta1[[#This Row],[Pozo]],'Lista Oportunidades'!B:C,2,FALSE),"NO")</f>
        <v>NO</v>
      </c>
      <c r="K1618" s="5">
        <f>IFERROR(VLOOKUP(Consulta1[[#This Row],[Pozo largo]],Controles!B:H,7,FALSE),"NO")</f>
        <v>0.71500000000000008</v>
      </c>
      <c r="L1618" s="5">
        <f>IFERROR(VLOOKUP(Consulta1[[#This Row],[Pozo largo]],Controles!B:J,9,FALSE),"NO")</f>
        <v>0</v>
      </c>
    </row>
    <row r="1619" spans="2:12" x14ac:dyDescent="0.35">
      <c r="B1619" s="4" t="s">
        <v>3110</v>
      </c>
      <c r="C1619" s="4" t="s">
        <v>7340</v>
      </c>
      <c r="D1619" s="4" t="s">
        <v>5</v>
      </c>
      <c r="E1619" s="4" t="s">
        <v>6</v>
      </c>
      <c r="F1619" s="4" t="s">
        <v>238</v>
      </c>
      <c r="G1619" s="4" t="s">
        <v>5718</v>
      </c>
      <c r="H1619" s="4" t="s">
        <v>86</v>
      </c>
      <c r="I1619" s="5" t="str">
        <f>IFERROR(VLOOKUP(Consulta1[[#This Row],[Pozo largo]],'Lista YPF'!$B$3:$C$358,2,FALSE),"NO")</f>
        <v>En lista de Abandono</v>
      </c>
      <c r="J1619" s="5" t="str">
        <f>IFERROR(VLOOKUP(Consulta1[[#This Row],[Pozo]],'Lista Oportunidades'!B:C,2,FALSE),"NO")</f>
        <v>NO</v>
      </c>
      <c r="K1619" s="5">
        <f>IFERROR(VLOOKUP(Consulta1[[#This Row],[Pozo largo]],Controles!B:H,7,FALSE),"NO")</f>
        <v>0.22500000000000001</v>
      </c>
      <c r="L1619" s="5">
        <f>IFERROR(VLOOKUP(Consulta1[[#This Row],[Pozo largo]],Controles!B:J,9,FALSE),"NO")</f>
        <v>0</v>
      </c>
    </row>
    <row r="1620" spans="2:12" x14ac:dyDescent="0.35">
      <c r="B1620" s="4" t="s">
        <v>3112</v>
      </c>
      <c r="C1620" s="4" t="s">
        <v>7341</v>
      </c>
      <c r="D1620" s="4" t="s">
        <v>5</v>
      </c>
      <c r="E1620" s="4" t="s">
        <v>12</v>
      </c>
      <c r="F1620" s="4" t="s">
        <v>28</v>
      </c>
      <c r="G1620" s="4" t="s">
        <v>13</v>
      </c>
      <c r="H1620" s="4" t="s">
        <v>84</v>
      </c>
      <c r="I1620" s="5" t="str">
        <f>IFERROR(VLOOKUP(Consulta1[[#This Row],[Pozo largo]],'Lista YPF'!$B$3:$C$358,2,FALSE),"NO")</f>
        <v>NO</v>
      </c>
      <c r="J1620" s="5" t="str">
        <f>IFERROR(VLOOKUP(Consulta1[[#This Row],[Pozo]],'Lista Oportunidades'!B:C,2,FALSE),"NO")</f>
        <v>NO</v>
      </c>
      <c r="K1620" s="5">
        <f>IFERROR(VLOOKUP(Consulta1[[#This Row],[Pozo largo]],Controles!B:H,7,FALSE),"NO")</f>
        <v>0</v>
      </c>
      <c r="L1620" s="5">
        <f>IFERROR(VLOOKUP(Consulta1[[#This Row],[Pozo largo]],Controles!B:J,9,FALSE),"NO")</f>
        <v>0</v>
      </c>
    </row>
    <row r="1621" spans="2:12" x14ac:dyDescent="0.35">
      <c r="B1621" s="4" t="s">
        <v>3114</v>
      </c>
      <c r="C1621" s="4" t="s">
        <v>7342</v>
      </c>
      <c r="D1621" s="4" t="s">
        <v>5</v>
      </c>
      <c r="E1621" s="4" t="s">
        <v>30</v>
      </c>
      <c r="F1621" s="4" t="s">
        <v>31</v>
      </c>
      <c r="G1621" s="4" t="s">
        <v>32</v>
      </c>
      <c r="H1621" s="4" t="s">
        <v>91</v>
      </c>
      <c r="I1621" s="5" t="str">
        <f>IFERROR(VLOOKUP(Consulta1[[#This Row],[Pozo largo]],'Lista YPF'!$B$3:$C$358,2,FALSE),"NO")</f>
        <v>NO</v>
      </c>
      <c r="J1621" s="5" t="str">
        <f>IFERROR(VLOOKUP(Consulta1[[#This Row],[Pozo]],'Lista Oportunidades'!B:C,2,FALSE),"NO")</f>
        <v>NO</v>
      </c>
      <c r="K1621" s="5">
        <f>IFERROR(VLOOKUP(Consulta1[[#This Row],[Pozo largo]],Controles!B:H,7,FALSE),"NO")</f>
        <v>0.68</v>
      </c>
      <c r="L1621" s="5">
        <f>IFERROR(VLOOKUP(Consulta1[[#This Row],[Pozo largo]],Controles!B:J,9,FALSE),"NO")</f>
        <v>0</v>
      </c>
    </row>
    <row r="1622" spans="2:12" x14ac:dyDescent="0.35">
      <c r="B1622" s="4" t="s">
        <v>3116</v>
      </c>
      <c r="C1622" s="4" t="s">
        <v>7343</v>
      </c>
      <c r="D1622" s="4" t="s">
        <v>5</v>
      </c>
      <c r="E1622" s="4" t="s">
        <v>12</v>
      </c>
      <c r="F1622" s="4" t="s">
        <v>7</v>
      </c>
      <c r="G1622" s="4" t="s">
        <v>13</v>
      </c>
      <c r="H1622" s="4" t="s">
        <v>86</v>
      </c>
      <c r="I1622" s="5" t="str">
        <f>IFERROR(VLOOKUP(Consulta1[[#This Row],[Pozo largo]],'Lista YPF'!$B$3:$C$358,2,FALSE),"NO")</f>
        <v>NO</v>
      </c>
      <c r="J1622" s="5" t="str">
        <f>IFERROR(VLOOKUP(Consulta1[[#This Row],[Pozo]],'Lista Oportunidades'!B:C,2,FALSE),"NO")</f>
        <v>NO</v>
      </c>
      <c r="K1622" s="5">
        <f>IFERROR(VLOOKUP(Consulta1[[#This Row],[Pozo largo]],Controles!B:H,7,FALSE),"NO")</f>
        <v>0.88</v>
      </c>
      <c r="L1622" s="5">
        <f>IFERROR(VLOOKUP(Consulta1[[#This Row],[Pozo largo]],Controles!B:J,9,FALSE),"NO")</f>
        <v>0</v>
      </c>
    </row>
    <row r="1623" spans="2:12" x14ac:dyDescent="0.35">
      <c r="B1623" s="4" t="s">
        <v>3118</v>
      </c>
      <c r="C1623" s="4" t="s">
        <v>7344</v>
      </c>
      <c r="D1623" s="4" t="s">
        <v>5</v>
      </c>
      <c r="E1623" s="4" t="s">
        <v>30</v>
      </c>
      <c r="F1623" s="4" t="s">
        <v>31</v>
      </c>
      <c r="G1623" s="4" t="s">
        <v>32</v>
      </c>
      <c r="H1623" s="4" t="s">
        <v>71</v>
      </c>
      <c r="I1623" s="5" t="str">
        <f>IFERROR(VLOOKUP(Consulta1[[#This Row],[Pozo largo]],'Lista YPF'!$B$3:$C$358,2,FALSE),"NO")</f>
        <v>NO</v>
      </c>
      <c r="J1623" s="5" t="str">
        <f>IFERROR(VLOOKUP(Consulta1[[#This Row],[Pozo]],'Lista Oportunidades'!B:C,2,FALSE),"NO")</f>
        <v>NO</v>
      </c>
      <c r="K1623" s="5" t="str">
        <f>IFERROR(VLOOKUP(Consulta1[[#This Row],[Pozo largo]],Controles!B:H,7,FALSE),"NO")</f>
        <v>NO</v>
      </c>
      <c r="L1623" s="5" t="str">
        <f>IFERROR(VLOOKUP(Consulta1[[#This Row],[Pozo largo]],Controles!B:J,9,FALSE),"NO")</f>
        <v>NO</v>
      </c>
    </row>
    <row r="1624" spans="2:12" x14ac:dyDescent="0.35">
      <c r="B1624" s="4" t="s">
        <v>3119</v>
      </c>
      <c r="C1624" s="4" t="s">
        <v>7345</v>
      </c>
      <c r="D1624" s="4" t="s">
        <v>5</v>
      </c>
      <c r="E1624" s="4" t="s">
        <v>12</v>
      </c>
      <c r="F1624" s="4" t="s">
        <v>28</v>
      </c>
      <c r="G1624" s="4" t="s">
        <v>13</v>
      </c>
      <c r="H1624" s="4" t="s">
        <v>71</v>
      </c>
      <c r="I1624" s="5" t="str">
        <f>IFERROR(VLOOKUP(Consulta1[[#This Row],[Pozo largo]],'Lista YPF'!$B$3:$C$358,2,FALSE),"NO")</f>
        <v>NO</v>
      </c>
      <c r="J1624" s="5" t="str">
        <f>IFERROR(VLOOKUP(Consulta1[[#This Row],[Pozo]],'Lista Oportunidades'!B:C,2,FALSE),"NO")</f>
        <v>NO</v>
      </c>
      <c r="K1624" s="5">
        <f>IFERROR(VLOOKUP(Consulta1[[#This Row],[Pozo largo]],Controles!B:H,7,FALSE),"NO")</f>
        <v>0</v>
      </c>
      <c r="L1624" s="5">
        <f>IFERROR(VLOOKUP(Consulta1[[#This Row],[Pozo largo]],Controles!B:J,9,FALSE),"NO")</f>
        <v>0</v>
      </c>
    </row>
    <row r="1625" spans="2:12" x14ac:dyDescent="0.35">
      <c r="B1625" s="4" t="s">
        <v>3121</v>
      </c>
      <c r="C1625" s="4" t="s">
        <v>7346</v>
      </c>
      <c r="D1625" s="4" t="s">
        <v>5</v>
      </c>
      <c r="E1625" s="4" t="s">
        <v>12</v>
      </c>
      <c r="F1625" s="4" t="s">
        <v>28</v>
      </c>
      <c r="G1625" s="4" t="s">
        <v>13</v>
      </c>
      <c r="H1625" s="4" t="s">
        <v>141</v>
      </c>
      <c r="I1625" s="5" t="str">
        <f>IFERROR(VLOOKUP(Consulta1[[#This Row],[Pozo largo]],'Lista YPF'!$B$3:$C$358,2,FALSE),"NO")</f>
        <v>NO</v>
      </c>
      <c r="J1625" s="5" t="str">
        <f>IFERROR(VLOOKUP(Consulta1[[#This Row],[Pozo]],'Lista Oportunidades'!B:C,2,FALSE),"NO")</f>
        <v>NO</v>
      </c>
      <c r="K1625" s="5">
        <f>IFERROR(VLOOKUP(Consulta1[[#This Row],[Pozo largo]],Controles!B:H,7,FALSE),"NO")</f>
        <v>0</v>
      </c>
      <c r="L1625" s="5">
        <f>IFERROR(VLOOKUP(Consulta1[[#This Row],[Pozo largo]],Controles!B:J,9,FALSE),"NO")</f>
        <v>0</v>
      </c>
    </row>
    <row r="1626" spans="2:12" x14ac:dyDescent="0.35">
      <c r="B1626" s="4" t="s">
        <v>3123</v>
      </c>
      <c r="C1626" s="4" t="s">
        <v>7347</v>
      </c>
      <c r="D1626" s="4" t="s">
        <v>5</v>
      </c>
      <c r="E1626" s="4" t="s">
        <v>12</v>
      </c>
      <c r="F1626" s="4" t="s">
        <v>7</v>
      </c>
      <c r="G1626" s="4" t="s">
        <v>13</v>
      </c>
      <c r="H1626" s="4" t="s">
        <v>71</v>
      </c>
      <c r="I1626" s="5" t="str">
        <f>IFERROR(VLOOKUP(Consulta1[[#This Row],[Pozo largo]],'Lista YPF'!$B$3:$C$358,2,FALSE),"NO")</f>
        <v>NO</v>
      </c>
      <c r="J1626" s="5" t="str">
        <f>IFERROR(VLOOKUP(Consulta1[[#This Row],[Pozo]],'Lista Oportunidades'!B:C,2,FALSE),"NO")</f>
        <v>NO</v>
      </c>
      <c r="K1626" s="5">
        <f>IFERROR(VLOOKUP(Consulta1[[#This Row],[Pozo largo]],Controles!B:H,7,FALSE),"NO")</f>
        <v>2.4</v>
      </c>
      <c r="L1626" s="5">
        <f>IFERROR(VLOOKUP(Consulta1[[#This Row],[Pozo largo]],Controles!B:J,9,FALSE),"NO")</f>
        <v>0</v>
      </c>
    </row>
    <row r="1627" spans="2:12" x14ac:dyDescent="0.35">
      <c r="B1627" s="4" t="s">
        <v>3125</v>
      </c>
      <c r="C1627" s="4" t="s">
        <v>7348</v>
      </c>
      <c r="D1627" s="4" t="s">
        <v>5</v>
      </c>
      <c r="E1627" s="4" t="s">
        <v>30</v>
      </c>
      <c r="F1627" s="4" t="s">
        <v>31</v>
      </c>
      <c r="G1627" s="4" t="s">
        <v>32</v>
      </c>
      <c r="H1627" s="4" t="s">
        <v>185</v>
      </c>
      <c r="I1627" s="5" t="str">
        <f>IFERROR(VLOOKUP(Consulta1[[#This Row],[Pozo largo]],'Lista YPF'!$B$3:$C$358,2,FALSE),"NO")</f>
        <v>NO</v>
      </c>
      <c r="J1627" s="5" t="str">
        <f>IFERROR(VLOOKUP(Consulta1[[#This Row],[Pozo]],'Lista Oportunidades'!B:C,2,FALSE),"NO")</f>
        <v>NO</v>
      </c>
      <c r="K1627" s="5" t="str">
        <f>IFERROR(VLOOKUP(Consulta1[[#This Row],[Pozo largo]],Controles!B:H,7,FALSE),"NO")</f>
        <v>NO</v>
      </c>
      <c r="L1627" s="5" t="str">
        <f>IFERROR(VLOOKUP(Consulta1[[#This Row],[Pozo largo]],Controles!B:J,9,FALSE),"NO")</f>
        <v>NO</v>
      </c>
    </row>
    <row r="1628" spans="2:12" x14ac:dyDescent="0.35">
      <c r="B1628" s="4" t="s">
        <v>3126</v>
      </c>
      <c r="C1628" s="4" t="s">
        <v>7349</v>
      </c>
      <c r="D1628" s="4" t="s">
        <v>5</v>
      </c>
      <c r="E1628" s="4" t="s">
        <v>6</v>
      </c>
      <c r="F1628" s="4" t="s">
        <v>28</v>
      </c>
      <c r="G1628" s="4" t="s">
        <v>5718</v>
      </c>
      <c r="H1628" s="4" t="s">
        <v>185</v>
      </c>
      <c r="I1628" s="5" t="str">
        <f>IFERROR(VLOOKUP(Consulta1[[#This Row],[Pozo largo]],'Lista YPF'!$B$3:$C$358,2,FALSE),"NO")</f>
        <v>En lista de Abandono</v>
      </c>
      <c r="J1628" s="5" t="str">
        <f>IFERROR(VLOOKUP(Consulta1[[#This Row],[Pozo]],'Lista Oportunidades'!B:C,2,FALSE),"NO")</f>
        <v>NO</v>
      </c>
      <c r="K1628" s="5">
        <f>IFERROR(VLOOKUP(Consulta1[[#This Row],[Pozo largo]],Controles!B:H,7,FALSE),"NO")</f>
        <v>0</v>
      </c>
      <c r="L1628" s="5">
        <f>IFERROR(VLOOKUP(Consulta1[[#This Row],[Pozo largo]],Controles!B:J,9,FALSE),"NO")</f>
        <v>0</v>
      </c>
    </row>
    <row r="1629" spans="2:12" x14ac:dyDescent="0.35">
      <c r="B1629" s="4" t="s">
        <v>3128</v>
      </c>
      <c r="C1629" s="4" t="s">
        <v>7350</v>
      </c>
      <c r="D1629" s="4" t="s">
        <v>5</v>
      </c>
      <c r="E1629" s="4" t="s">
        <v>12</v>
      </c>
      <c r="F1629" s="4" t="s">
        <v>7</v>
      </c>
      <c r="G1629" s="4" t="s">
        <v>13</v>
      </c>
      <c r="H1629" s="4" t="s">
        <v>16</v>
      </c>
      <c r="I1629" s="5" t="str">
        <f>IFERROR(VLOOKUP(Consulta1[[#This Row],[Pozo largo]],'Lista YPF'!$B$3:$C$358,2,FALSE),"NO")</f>
        <v>NO</v>
      </c>
      <c r="J1629" s="5" t="str">
        <f>IFERROR(VLOOKUP(Consulta1[[#This Row],[Pozo]],'Lista Oportunidades'!B:C,2,FALSE),"NO")</f>
        <v>NO</v>
      </c>
      <c r="K1629" s="5">
        <f>IFERROR(VLOOKUP(Consulta1[[#This Row],[Pozo largo]],Controles!B:H,7,FALSE),"NO")</f>
        <v>3.2550000000000003</v>
      </c>
      <c r="L1629" s="5">
        <f>IFERROR(VLOOKUP(Consulta1[[#This Row],[Pozo largo]],Controles!B:J,9,FALSE),"NO")</f>
        <v>0</v>
      </c>
    </row>
    <row r="1630" spans="2:12" x14ac:dyDescent="0.35">
      <c r="B1630" s="4" t="s">
        <v>3130</v>
      </c>
      <c r="C1630" s="4" t="s">
        <v>7351</v>
      </c>
      <c r="D1630" s="4" t="s">
        <v>5</v>
      </c>
      <c r="E1630" s="4" t="s">
        <v>6</v>
      </c>
      <c r="F1630" s="4" t="s">
        <v>7</v>
      </c>
      <c r="G1630" s="4" t="s">
        <v>5718</v>
      </c>
      <c r="H1630" s="4" t="s">
        <v>74</v>
      </c>
      <c r="I1630" s="5" t="str">
        <f>IFERROR(VLOOKUP(Consulta1[[#This Row],[Pozo largo]],'Lista YPF'!$B$3:$C$358,2,FALSE),"NO")</f>
        <v>En lista de Abandono</v>
      </c>
      <c r="J1630" s="5" t="str">
        <f>IFERROR(VLOOKUP(Consulta1[[#This Row],[Pozo]],'Lista Oportunidades'!B:C,2,FALSE),"NO")</f>
        <v>NO</v>
      </c>
      <c r="K1630" s="5">
        <f>IFERROR(VLOOKUP(Consulta1[[#This Row],[Pozo largo]],Controles!B:H,7,FALSE),"NO")</f>
        <v>0.84</v>
      </c>
      <c r="L1630" s="5">
        <f>IFERROR(VLOOKUP(Consulta1[[#This Row],[Pozo largo]],Controles!B:J,9,FALSE),"NO")</f>
        <v>0</v>
      </c>
    </row>
    <row r="1631" spans="2:12" x14ac:dyDescent="0.35">
      <c r="B1631" s="4" t="s">
        <v>3132</v>
      </c>
      <c r="C1631" s="4" t="s">
        <v>7352</v>
      </c>
      <c r="D1631" s="4" t="s">
        <v>5</v>
      </c>
      <c r="E1631" s="4" t="s">
        <v>6</v>
      </c>
      <c r="F1631" s="4" t="s">
        <v>7</v>
      </c>
      <c r="G1631" s="4" t="s">
        <v>11387</v>
      </c>
      <c r="H1631" s="4" t="s">
        <v>71</v>
      </c>
      <c r="I1631" s="5" t="str">
        <f>IFERROR(VLOOKUP(Consulta1[[#This Row],[Pozo largo]],'Lista YPF'!$B$3:$C$358,2,FALSE),"NO")</f>
        <v>NO</v>
      </c>
      <c r="J1631" s="5" t="str">
        <f>IFERROR(VLOOKUP(Consulta1[[#This Row],[Pozo]],'Lista Oportunidades'!B:C,2,FALSE),"NO")</f>
        <v>NO</v>
      </c>
      <c r="K1631" s="5">
        <f>IFERROR(VLOOKUP(Consulta1[[#This Row],[Pozo largo]],Controles!B:H,7,FALSE),"NO")</f>
        <v>7.0000000000000007E-2</v>
      </c>
      <c r="L1631" s="5" t="str">
        <f>IFERROR(VLOOKUP(Consulta1[[#This Row],[Pozo largo]],Controles!B:J,9,FALSE),"NO")</f>
        <v>Ultimo Año</v>
      </c>
    </row>
    <row r="1632" spans="2:12" x14ac:dyDescent="0.35">
      <c r="B1632" s="4" t="s">
        <v>3134</v>
      </c>
      <c r="C1632" s="4" t="s">
        <v>7353</v>
      </c>
      <c r="D1632" s="4" t="s">
        <v>5</v>
      </c>
      <c r="E1632" s="4" t="s">
        <v>12</v>
      </c>
      <c r="F1632" s="4" t="s">
        <v>7</v>
      </c>
      <c r="G1632" s="4" t="s">
        <v>13</v>
      </c>
      <c r="H1632" s="4" t="s">
        <v>9</v>
      </c>
      <c r="I1632" s="5" t="str">
        <f>IFERROR(VLOOKUP(Consulta1[[#This Row],[Pozo largo]],'Lista YPF'!$B$3:$C$358,2,FALSE),"NO")</f>
        <v>NO</v>
      </c>
      <c r="J1632" s="5" t="str">
        <f>IFERROR(VLOOKUP(Consulta1[[#This Row],[Pozo]],'Lista Oportunidades'!B:C,2,FALSE),"NO")</f>
        <v>NO</v>
      </c>
      <c r="K1632" s="5">
        <f>IFERROR(VLOOKUP(Consulta1[[#This Row],[Pozo largo]],Controles!B:H,7,FALSE),"NO")</f>
        <v>1.2</v>
      </c>
      <c r="L1632" s="5">
        <f>IFERROR(VLOOKUP(Consulta1[[#This Row],[Pozo largo]],Controles!B:J,9,FALSE),"NO")</f>
        <v>0</v>
      </c>
    </row>
    <row r="1633" spans="2:12" x14ac:dyDescent="0.35">
      <c r="B1633" s="4" t="s">
        <v>3136</v>
      </c>
      <c r="C1633" s="4" t="s">
        <v>7354</v>
      </c>
      <c r="D1633" s="4" t="s">
        <v>5</v>
      </c>
      <c r="E1633" s="4" t="s">
        <v>6</v>
      </c>
      <c r="F1633" s="4" t="s">
        <v>7</v>
      </c>
      <c r="G1633" s="4" t="s">
        <v>8689</v>
      </c>
      <c r="H1633" s="4" t="s">
        <v>9</v>
      </c>
      <c r="I1633" s="5" t="str">
        <f>IFERROR(VLOOKUP(Consulta1[[#This Row],[Pozo largo]],'Lista YPF'!$B$3:$C$358,2,FALSE),"NO")</f>
        <v>NO</v>
      </c>
      <c r="J1633" s="5" t="str">
        <f>IFERROR(VLOOKUP(Consulta1[[#This Row],[Pozo]],'Lista Oportunidades'!B:C,2,FALSE),"NO")</f>
        <v>Oportunidad</v>
      </c>
      <c r="K1633" s="5">
        <f>IFERROR(VLOOKUP(Consulta1[[#This Row],[Pozo largo]],Controles!B:H,7,FALSE),"NO")</f>
        <v>1.0780000000000001</v>
      </c>
      <c r="L1633" s="5" t="str">
        <f>IFERROR(VLOOKUP(Consulta1[[#This Row],[Pozo largo]],Controles!B:J,9,FALSE),"NO")</f>
        <v>Ultimos 6 meses</v>
      </c>
    </row>
    <row r="1634" spans="2:12" x14ac:dyDescent="0.35">
      <c r="B1634" s="4" t="s">
        <v>3138</v>
      </c>
      <c r="C1634" s="4" t="s">
        <v>7355</v>
      </c>
      <c r="D1634" s="4" t="s">
        <v>5</v>
      </c>
      <c r="E1634" s="4" t="s">
        <v>24</v>
      </c>
      <c r="F1634" s="4" t="s">
        <v>31</v>
      </c>
      <c r="G1634" s="4" t="s">
        <v>8</v>
      </c>
      <c r="H1634" s="4" t="s">
        <v>185</v>
      </c>
      <c r="I1634" s="5" t="str">
        <f>IFERROR(VLOOKUP(Consulta1[[#This Row],[Pozo largo]],'Lista YPF'!$B$3:$C$358,2,FALSE),"NO")</f>
        <v>NO</v>
      </c>
      <c r="J1634" s="5" t="str">
        <f>IFERROR(VLOOKUP(Consulta1[[#This Row],[Pozo]],'Lista Oportunidades'!B:C,2,FALSE),"NO")</f>
        <v>NO</v>
      </c>
      <c r="K1634" s="5" t="str">
        <f>IFERROR(VLOOKUP(Consulta1[[#This Row],[Pozo largo]],Controles!B:H,7,FALSE),"NO")</f>
        <v>NO</v>
      </c>
      <c r="L1634" s="5" t="str">
        <f>IFERROR(VLOOKUP(Consulta1[[#This Row],[Pozo largo]],Controles!B:J,9,FALSE),"NO")</f>
        <v>NO</v>
      </c>
    </row>
    <row r="1635" spans="2:12" x14ac:dyDescent="0.35">
      <c r="B1635" s="4" t="s">
        <v>3139</v>
      </c>
      <c r="C1635" s="4" t="s">
        <v>7356</v>
      </c>
      <c r="D1635" s="4" t="s">
        <v>5</v>
      </c>
      <c r="E1635" s="4" t="s">
        <v>6</v>
      </c>
      <c r="F1635" s="4" t="s">
        <v>7</v>
      </c>
      <c r="G1635" s="4" t="s">
        <v>5718</v>
      </c>
      <c r="H1635" s="4" t="s">
        <v>9</v>
      </c>
      <c r="I1635" s="5" t="str">
        <f>IFERROR(VLOOKUP(Consulta1[[#This Row],[Pozo largo]],'Lista YPF'!$B$3:$C$358,2,FALSE),"NO")</f>
        <v>En lista de Abandono</v>
      </c>
      <c r="J1635" s="5" t="str">
        <f>IFERROR(VLOOKUP(Consulta1[[#This Row],[Pozo]],'Lista Oportunidades'!B:C,2,FALSE),"NO")</f>
        <v>NO</v>
      </c>
      <c r="K1635" s="5">
        <f>IFERROR(VLOOKUP(Consulta1[[#This Row],[Pozo largo]],Controles!B:H,7,FALSE),"NO")</f>
        <v>0.47000000000000003</v>
      </c>
      <c r="L1635" s="5">
        <f>IFERROR(VLOOKUP(Consulta1[[#This Row],[Pozo largo]],Controles!B:J,9,FALSE),"NO")</f>
        <v>0</v>
      </c>
    </row>
    <row r="1636" spans="2:12" x14ac:dyDescent="0.35">
      <c r="B1636" s="4" t="s">
        <v>3141</v>
      </c>
      <c r="C1636" s="4" t="s">
        <v>7357</v>
      </c>
      <c r="D1636" s="4" t="s">
        <v>5</v>
      </c>
      <c r="E1636" s="4" t="s">
        <v>24</v>
      </c>
      <c r="F1636" s="4" t="s">
        <v>7</v>
      </c>
      <c r="G1636" s="4" t="s">
        <v>8</v>
      </c>
      <c r="H1636" s="4" t="s">
        <v>86</v>
      </c>
      <c r="I1636" s="5" t="str">
        <f>IFERROR(VLOOKUP(Consulta1[[#This Row],[Pozo largo]],'Lista YPF'!$B$3:$C$358,2,FALSE),"NO")</f>
        <v>NO</v>
      </c>
      <c r="J1636" s="5" t="str">
        <f>IFERROR(VLOOKUP(Consulta1[[#This Row],[Pozo]],'Lista Oportunidades'!B:C,2,FALSE),"NO")</f>
        <v>NO</v>
      </c>
      <c r="K1636" s="5">
        <f>IFERROR(VLOOKUP(Consulta1[[#This Row],[Pozo largo]],Controles!B:H,7,FALSE),"NO")</f>
        <v>0.52</v>
      </c>
      <c r="L1636" s="5">
        <f>IFERROR(VLOOKUP(Consulta1[[#This Row],[Pozo largo]],Controles!B:J,9,FALSE),"NO")</f>
        <v>0</v>
      </c>
    </row>
    <row r="1637" spans="2:12" x14ac:dyDescent="0.35">
      <c r="B1637" s="4" t="s">
        <v>3143</v>
      </c>
      <c r="C1637" s="4" t="s">
        <v>7358</v>
      </c>
      <c r="D1637" s="4" t="s">
        <v>5</v>
      </c>
      <c r="E1637" s="4" t="s">
        <v>6</v>
      </c>
      <c r="F1637" s="4" t="s">
        <v>7</v>
      </c>
      <c r="G1637" s="4" t="s">
        <v>5718</v>
      </c>
      <c r="H1637" s="4" t="s">
        <v>86</v>
      </c>
      <c r="I1637" s="5" t="str">
        <f>IFERROR(VLOOKUP(Consulta1[[#This Row],[Pozo largo]],'Lista YPF'!$B$3:$C$358,2,FALSE),"NO")</f>
        <v>En lista de Abandono</v>
      </c>
      <c r="J1637" s="5" t="str">
        <f>IFERROR(VLOOKUP(Consulta1[[#This Row],[Pozo]],'Lista Oportunidades'!B:C,2,FALSE),"NO")</f>
        <v>NO</v>
      </c>
      <c r="K1637" s="5">
        <f>IFERROR(VLOOKUP(Consulta1[[#This Row],[Pozo largo]],Controles!B:H,7,FALSE),"NO")</f>
        <v>0.21200000000000002</v>
      </c>
      <c r="L1637" s="5" t="str">
        <f>IFERROR(VLOOKUP(Consulta1[[#This Row],[Pozo largo]],Controles!B:J,9,FALSE),"NO")</f>
        <v>Ultimo Año</v>
      </c>
    </row>
    <row r="1638" spans="2:12" x14ac:dyDescent="0.35">
      <c r="B1638" s="4" t="s">
        <v>3145</v>
      </c>
      <c r="C1638" s="4" t="s">
        <v>7359</v>
      </c>
      <c r="D1638" s="4" t="s">
        <v>5</v>
      </c>
      <c r="E1638" s="4" t="s">
        <v>12</v>
      </c>
      <c r="F1638" s="4" t="s">
        <v>28</v>
      </c>
      <c r="G1638" s="4" t="s">
        <v>13</v>
      </c>
      <c r="H1638" s="4" t="s">
        <v>9</v>
      </c>
      <c r="I1638" s="5" t="str">
        <f>IFERROR(VLOOKUP(Consulta1[[#This Row],[Pozo largo]],'Lista YPF'!$B$3:$C$358,2,FALSE),"NO")</f>
        <v>NO</v>
      </c>
      <c r="J1638" s="5" t="str">
        <f>IFERROR(VLOOKUP(Consulta1[[#This Row],[Pozo]],'Lista Oportunidades'!B:C,2,FALSE),"NO")</f>
        <v>NO</v>
      </c>
      <c r="K1638" s="5">
        <f>IFERROR(VLOOKUP(Consulta1[[#This Row],[Pozo largo]],Controles!B:H,7,FALSE),"NO")</f>
        <v>0</v>
      </c>
      <c r="L1638" s="5">
        <f>IFERROR(VLOOKUP(Consulta1[[#This Row],[Pozo largo]],Controles!B:J,9,FALSE),"NO")</f>
        <v>0</v>
      </c>
    </row>
    <row r="1639" spans="2:12" x14ac:dyDescent="0.35">
      <c r="B1639" s="4" t="s">
        <v>3147</v>
      </c>
      <c r="C1639" s="4" t="s">
        <v>7360</v>
      </c>
      <c r="D1639" s="4" t="s">
        <v>5</v>
      </c>
      <c r="E1639" s="4" t="s">
        <v>12</v>
      </c>
      <c r="F1639" s="4" t="s">
        <v>7</v>
      </c>
      <c r="G1639" s="4" t="s">
        <v>13</v>
      </c>
      <c r="H1639" s="4" t="s">
        <v>80</v>
      </c>
      <c r="I1639" s="5" t="str">
        <f>IFERROR(VLOOKUP(Consulta1[[#This Row],[Pozo largo]],'Lista YPF'!$B$3:$C$358,2,FALSE),"NO")</f>
        <v>NO</v>
      </c>
      <c r="J1639" s="5" t="str">
        <f>IFERROR(VLOOKUP(Consulta1[[#This Row],[Pozo]],'Lista Oportunidades'!B:C,2,FALSE),"NO")</f>
        <v>NO</v>
      </c>
      <c r="K1639" s="5">
        <f>IFERROR(VLOOKUP(Consulta1[[#This Row],[Pozo largo]],Controles!B:H,7,FALSE),"NO")</f>
        <v>0.93600000000000005</v>
      </c>
      <c r="L1639" s="5">
        <f>IFERROR(VLOOKUP(Consulta1[[#This Row],[Pozo largo]],Controles!B:J,9,FALSE),"NO")</f>
        <v>0</v>
      </c>
    </row>
    <row r="1640" spans="2:12" x14ac:dyDescent="0.35">
      <c r="B1640" s="4" t="s">
        <v>3149</v>
      </c>
      <c r="C1640" s="4" t="s">
        <v>7361</v>
      </c>
      <c r="D1640" s="4" t="s">
        <v>5</v>
      </c>
      <c r="E1640" s="4" t="s">
        <v>12</v>
      </c>
      <c r="F1640" s="4" t="s">
        <v>28</v>
      </c>
      <c r="G1640" s="4" t="s">
        <v>13</v>
      </c>
      <c r="H1640" s="4" t="s">
        <v>21</v>
      </c>
      <c r="I1640" s="5" t="str">
        <f>IFERROR(VLOOKUP(Consulta1[[#This Row],[Pozo largo]],'Lista YPF'!$B$3:$C$358,2,FALSE),"NO")</f>
        <v>NO</v>
      </c>
      <c r="J1640" s="5" t="str">
        <f>IFERROR(VLOOKUP(Consulta1[[#This Row],[Pozo]],'Lista Oportunidades'!B:C,2,FALSE),"NO")</f>
        <v>NO</v>
      </c>
      <c r="K1640" s="5">
        <f>IFERROR(VLOOKUP(Consulta1[[#This Row],[Pozo largo]],Controles!B:H,7,FALSE),"NO")</f>
        <v>0</v>
      </c>
      <c r="L1640" s="5">
        <f>IFERROR(VLOOKUP(Consulta1[[#This Row],[Pozo largo]],Controles!B:J,9,FALSE),"NO")</f>
        <v>0</v>
      </c>
    </row>
    <row r="1641" spans="2:12" x14ac:dyDescent="0.35">
      <c r="B1641" s="4" t="s">
        <v>3151</v>
      </c>
      <c r="C1641" s="4" t="s">
        <v>7362</v>
      </c>
      <c r="D1641" s="4" t="s">
        <v>5</v>
      </c>
      <c r="E1641" s="4" t="s">
        <v>57</v>
      </c>
      <c r="F1641" s="4" t="s">
        <v>7</v>
      </c>
      <c r="G1641" s="4" t="s">
        <v>8</v>
      </c>
      <c r="H1641" s="4" t="s">
        <v>185</v>
      </c>
      <c r="I1641" s="5" t="str">
        <f>IFERROR(VLOOKUP(Consulta1[[#This Row],[Pozo largo]],'Lista YPF'!$B$3:$C$358,2,FALSE),"NO")</f>
        <v>NO</v>
      </c>
      <c r="J1641" s="5" t="str">
        <f>IFERROR(VLOOKUP(Consulta1[[#This Row],[Pozo]],'Lista Oportunidades'!B:C,2,FALSE),"NO")</f>
        <v>NO</v>
      </c>
      <c r="K1641" s="5">
        <f>IFERROR(VLOOKUP(Consulta1[[#This Row],[Pozo largo]],Controles!B:H,7,FALSE),"NO")</f>
        <v>8.7000000000000008E-2</v>
      </c>
      <c r="L1641" s="5">
        <f>IFERROR(VLOOKUP(Consulta1[[#This Row],[Pozo largo]],Controles!B:J,9,FALSE),"NO")</f>
        <v>0</v>
      </c>
    </row>
    <row r="1642" spans="2:12" x14ac:dyDescent="0.35">
      <c r="B1642" s="4" t="s">
        <v>3153</v>
      </c>
      <c r="C1642" s="4" t="s">
        <v>7363</v>
      </c>
      <c r="D1642" s="4" t="s">
        <v>5</v>
      </c>
      <c r="E1642" s="4" t="s">
        <v>12</v>
      </c>
      <c r="F1642" s="4" t="s">
        <v>28</v>
      </c>
      <c r="G1642" s="4" t="s">
        <v>13</v>
      </c>
      <c r="H1642" s="4" t="s">
        <v>9</v>
      </c>
      <c r="I1642" s="5" t="str">
        <f>IFERROR(VLOOKUP(Consulta1[[#This Row],[Pozo largo]],'Lista YPF'!$B$3:$C$358,2,FALSE),"NO")</f>
        <v>NO</v>
      </c>
      <c r="J1642" s="5" t="str">
        <f>IFERROR(VLOOKUP(Consulta1[[#This Row],[Pozo]],'Lista Oportunidades'!B:C,2,FALSE),"NO")</f>
        <v>NO</v>
      </c>
      <c r="K1642" s="5">
        <f>IFERROR(VLOOKUP(Consulta1[[#This Row],[Pozo largo]],Controles!B:H,7,FALSE),"NO")</f>
        <v>0</v>
      </c>
      <c r="L1642" s="5">
        <f>IFERROR(VLOOKUP(Consulta1[[#This Row],[Pozo largo]],Controles!B:J,9,FALSE),"NO")</f>
        <v>0</v>
      </c>
    </row>
    <row r="1643" spans="2:12" x14ac:dyDescent="0.35">
      <c r="B1643" s="4" t="s">
        <v>3155</v>
      </c>
      <c r="C1643" s="4" t="s">
        <v>7364</v>
      </c>
      <c r="D1643" s="4" t="s">
        <v>5</v>
      </c>
      <c r="E1643" s="4" t="s">
        <v>12</v>
      </c>
      <c r="F1643" s="4" t="s">
        <v>7</v>
      </c>
      <c r="G1643" s="4" t="s">
        <v>13</v>
      </c>
      <c r="H1643" s="4" t="s">
        <v>86</v>
      </c>
      <c r="I1643" s="5" t="str">
        <f>IFERROR(VLOOKUP(Consulta1[[#This Row],[Pozo largo]],'Lista YPF'!$B$3:$C$358,2,FALSE),"NO")</f>
        <v>NO</v>
      </c>
      <c r="J1643" s="5" t="str">
        <f>IFERROR(VLOOKUP(Consulta1[[#This Row],[Pozo]],'Lista Oportunidades'!B:C,2,FALSE),"NO")</f>
        <v>NO</v>
      </c>
      <c r="K1643" s="5">
        <f>IFERROR(VLOOKUP(Consulta1[[#This Row],[Pozo largo]],Controles!B:H,7,FALSE),"NO")</f>
        <v>0.9</v>
      </c>
      <c r="L1643" s="5">
        <f>IFERROR(VLOOKUP(Consulta1[[#This Row],[Pozo largo]],Controles!B:J,9,FALSE),"NO")</f>
        <v>0</v>
      </c>
    </row>
    <row r="1644" spans="2:12" x14ac:dyDescent="0.35">
      <c r="B1644" s="4" t="s">
        <v>3157</v>
      </c>
      <c r="C1644" s="4" t="s">
        <v>7365</v>
      </c>
      <c r="D1644" s="4" t="s">
        <v>5</v>
      </c>
      <c r="E1644" s="4" t="s">
        <v>12</v>
      </c>
      <c r="F1644" s="4" t="s">
        <v>7</v>
      </c>
      <c r="G1644" s="4" t="s">
        <v>13</v>
      </c>
      <c r="H1644" s="4" t="s">
        <v>185</v>
      </c>
      <c r="I1644" s="5" t="str">
        <f>IFERROR(VLOOKUP(Consulta1[[#This Row],[Pozo largo]],'Lista YPF'!$B$3:$C$358,2,FALSE),"NO")</f>
        <v>NO</v>
      </c>
      <c r="J1644" s="5" t="str">
        <f>IFERROR(VLOOKUP(Consulta1[[#This Row],[Pozo]],'Lista Oportunidades'!B:C,2,FALSE),"NO")</f>
        <v>NO</v>
      </c>
      <c r="K1644" s="5">
        <f>IFERROR(VLOOKUP(Consulta1[[#This Row],[Pozo largo]],Controles!B:H,7,FALSE),"NO")</f>
        <v>0.875</v>
      </c>
      <c r="L1644" s="5">
        <f>IFERROR(VLOOKUP(Consulta1[[#This Row],[Pozo largo]],Controles!B:J,9,FALSE),"NO")</f>
        <v>0</v>
      </c>
    </row>
    <row r="1645" spans="2:12" x14ac:dyDescent="0.35">
      <c r="B1645" s="4" t="s">
        <v>3159</v>
      </c>
      <c r="C1645" s="4" t="s">
        <v>7366</v>
      </c>
      <c r="D1645" s="4" t="s">
        <v>5</v>
      </c>
      <c r="E1645" s="4" t="s">
        <v>12</v>
      </c>
      <c r="F1645" s="4" t="s">
        <v>7</v>
      </c>
      <c r="G1645" s="4" t="s">
        <v>13</v>
      </c>
      <c r="H1645" s="4" t="s">
        <v>254</v>
      </c>
      <c r="I1645" s="5" t="str">
        <f>IFERROR(VLOOKUP(Consulta1[[#This Row],[Pozo largo]],'Lista YPF'!$B$3:$C$358,2,FALSE),"NO")</f>
        <v>NO</v>
      </c>
      <c r="J1645" s="5" t="str">
        <f>IFERROR(VLOOKUP(Consulta1[[#This Row],[Pozo]],'Lista Oportunidades'!B:C,2,FALSE),"NO")</f>
        <v>NO</v>
      </c>
      <c r="K1645" s="5">
        <f>IFERROR(VLOOKUP(Consulta1[[#This Row],[Pozo largo]],Controles!B:H,7,FALSE),"NO")</f>
        <v>0.72</v>
      </c>
      <c r="L1645" s="5">
        <f>IFERROR(VLOOKUP(Consulta1[[#This Row],[Pozo largo]],Controles!B:J,9,FALSE),"NO")</f>
        <v>0</v>
      </c>
    </row>
    <row r="1646" spans="2:12" x14ac:dyDescent="0.35">
      <c r="B1646" s="4" t="s">
        <v>3161</v>
      </c>
      <c r="C1646" s="4" t="s">
        <v>7367</v>
      </c>
      <c r="D1646" s="4" t="s">
        <v>5</v>
      </c>
      <c r="E1646" s="4" t="s">
        <v>6</v>
      </c>
      <c r="F1646" s="4" t="s">
        <v>28</v>
      </c>
      <c r="G1646" s="4" t="s">
        <v>5718</v>
      </c>
      <c r="H1646" s="4" t="s">
        <v>254</v>
      </c>
      <c r="I1646" s="5" t="str">
        <f>IFERROR(VLOOKUP(Consulta1[[#This Row],[Pozo largo]],'Lista YPF'!$B$3:$C$358,2,FALSE),"NO")</f>
        <v>En lista de Abandono</v>
      </c>
      <c r="J1646" s="5" t="str">
        <f>IFERROR(VLOOKUP(Consulta1[[#This Row],[Pozo]],'Lista Oportunidades'!B:C,2,FALSE),"NO")</f>
        <v>NO</v>
      </c>
      <c r="K1646" s="5">
        <f>IFERROR(VLOOKUP(Consulta1[[#This Row],[Pozo largo]],Controles!B:H,7,FALSE),"NO")</f>
        <v>0</v>
      </c>
      <c r="L1646" s="5">
        <f>IFERROR(VLOOKUP(Consulta1[[#This Row],[Pozo largo]],Controles!B:J,9,FALSE),"NO")</f>
        <v>0</v>
      </c>
    </row>
    <row r="1647" spans="2:12" x14ac:dyDescent="0.35">
      <c r="B1647" s="4" t="s">
        <v>3163</v>
      </c>
      <c r="C1647" s="4" t="s">
        <v>7368</v>
      </c>
      <c r="D1647" s="4" t="s">
        <v>5</v>
      </c>
      <c r="E1647" s="4" t="s">
        <v>12</v>
      </c>
      <c r="F1647" s="4" t="s">
        <v>7</v>
      </c>
      <c r="G1647" s="4" t="s">
        <v>13</v>
      </c>
      <c r="H1647" s="4" t="s">
        <v>185</v>
      </c>
      <c r="I1647" s="5" t="str">
        <f>IFERROR(VLOOKUP(Consulta1[[#This Row],[Pozo largo]],'Lista YPF'!$B$3:$C$358,2,FALSE),"NO")</f>
        <v>NO</v>
      </c>
      <c r="J1647" s="5" t="str">
        <f>IFERROR(VLOOKUP(Consulta1[[#This Row],[Pozo]],'Lista Oportunidades'!B:C,2,FALSE),"NO")</f>
        <v>NO</v>
      </c>
      <c r="K1647" s="5">
        <f>IFERROR(VLOOKUP(Consulta1[[#This Row],[Pozo largo]],Controles!B:H,7,FALSE),"NO")</f>
        <v>0.36</v>
      </c>
      <c r="L1647" s="5">
        <f>IFERROR(VLOOKUP(Consulta1[[#This Row],[Pozo largo]],Controles!B:J,9,FALSE),"NO")</f>
        <v>0</v>
      </c>
    </row>
    <row r="1648" spans="2:12" x14ac:dyDescent="0.35">
      <c r="B1648" s="4" t="s">
        <v>3165</v>
      </c>
      <c r="C1648" s="4" t="s">
        <v>7369</v>
      </c>
      <c r="D1648" s="4" t="s">
        <v>5</v>
      </c>
      <c r="E1648" s="4" t="s">
        <v>12</v>
      </c>
      <c r="F1648" s="4" t="s">
        <v>7</v>
      </c>
      <c r="G1648" s="4" t="s">
        <v>13</v>
      </c>
      <c r="H1648" s="4" t="s">
        <v>86</v>
      </c>
      <c r="I1648" s="5" t="str">
        <f>IFERROR(VLOOKUP(Consulta1[[#This Row],[Pozo largo]],'Lista YPF'!$B$3:$C$358,2,FALSE),"NO")</f>
        <v>NO</v>
      </c>
      <c r="J1648" s="5" t="str">
        <f>IFERROR(VLOOKUP(Consulta1[[#This Row],[Pozo]],'Lista Oportunidades'!B:C,2,FALSE),"NO")</f>
        <v>NO</v>
      </c>
      <c r="K1648" s="5">
        <f>IFERROR(VLOOKUP(Consulta1[[#This Row],[Pozo largo]],Controles!B:H,7,FALSE),"NO")</f>
        <v>0.56800000000000006</v>
      </c>
      <c r="L1648" s="5">
        <f>IFERROR(VLOOKUP(Consulta1[[#This Row],[Pozo largo]],Controles!B:J,9,FALSE),"NO")</f>
        <v>0</v>
      </c>
    </row>
    <row r="1649" spans="2:12" x14ac:dyDescent="0.35">
      <c r="B1649" s="4" t="s">
        <v>3167</v>
      </c>
      <c r="C1649" s="4" t="s">
        <v>7370</v>
      </c>
      <c r="D1649" s="4" t="s">
        <v>5</v>
      </c>
      <c r="E1649" s="4" t="s">
        <v>12</v>
      </c>
      <c r="F1649" s="4" t="s">
        <v>25</v>
      </c>
      <c r="G1649" s="4" t="s">
        <v>13</v>
      </c>
      <c r="H1649" s="4" t="s">
        <v>16</v>
      </c>
      <c r="I1649" s="5" t="str">
        <f>IFERROR(VLOOKUP(Consulta1[[#This Row],[Pozo largo]],'Lista YPF'!$B$3:$C$358,2,FALSE),"NO")</f>
        <v>NO</v>
      </c>
      <c r="J1649" s="5" t="str">
        <f>IFERROR(VLOOKUP(Consulta1[[#This Row],[Pozo]],'Lista Oportunidades'!B:C,2,FALSE),"NO")</f>
        <v>NO</v>
      </c>
      <c r="K1649" s="5">
        <f>IFERROR(VLOOKUP(Consulta1[[#This Row],[Pozo largo]],Controles!B:H,7,FALSE),"NO")</f>
        <v>0.48</v>
      </c>
      <c r="L1649" s="5">
        <f>IFERROR(VLOOKUP(Consulta1[[#This Row],[Pozo largo]],Controles!B:J,9,FALSE),"NO")</f>
        <v>0</v>
      </c>
    </row>
    <row r="1650" spans="2:12" x14ac:dyDescent="0.35">
      <c r="B1650" s="4" t="s">
        <v>3169</v>
      </c>
      <c r="C1650" s="4" t="s">
        <v>7371</v>
      </c>
      <c r="D1650" s="4" t="s">
        <v>5</v>
      </c>
      <c r="E1650" s="4" t="s">
        <v>12</v>
      </c>
      <c r="F1650" s="4" t="s">
        <v>7</v>
      </c>
      <c r="G1650" s="4" t="s">
        <v>13</v>
      </c>
      <c r="H1650" s="4" t="s">
        <v>86</v>
      </c>
      <c r="I1650" s="5" t="str">
        <f>IFERROR(VLOOKUP(Consulta1[[#This Row],[Pozo largo]],'Lista YPF'!$B$3:$C$358,2,FALSE),"NO")</f>
        <v>NO</v>
      </c>
      <c r="J1650" s="5" t="str">
        <f>IFERROR(VLOOKUP(Consulta1[[#This Row],[Pozo]],'Lista Oportunidades'!B:C,2,FALSE),"NO")</f>
        <v>NO</v>
      </c>
      <c r="K1650" s="5">
        <f>IFERROR(VLOOKUP(Consulta1[[#This Row],[Pozo largo]],Controles!B:H,7,FALSE),"NO")</f>
        <v>0.55500000000000005</v>
      </c>
      <c r="L1650" s="5">
        <f>IFERROR(VLOOKUP(Consulta1[[#This Row],[Pozo largo]],Controles!B:J,9,FALSE),"NO")</f>
        <v>0</v>
      </c>
    </row>
    <row r="1651" spans="2:12" x14ac:dyDescent="0.35">
      <c r="B1651" s="4" t="s">
        <v>3171</v>
      </c>
      <c r="C1651" s="4" t="s">
        <v>7372</v>
      </c>
      <c r="D1651" s="4" t="s">
        <v>5</v>
      </c>
      <c r="E1651" s="4" t="s">
        <v>12</v>
      </c>
      <c r="F1651" s="4" t="s">
        <v>83</v>
      </c>
      <c r="G1651" s="4" t="s">
        <v>13</v>
      </c>
      <c r="H1651" s="4" t="s">
        <v>16</v>
      </c>
      <c r="I1651" s="5" t="str">
        <f>IFERROR(VLOOKUP(Consulta1[[#This Row],[Pozo largo]],'Lista YPF'!$B$3:$C$358,2,FALSE),"NO")</f>
        <v>NO</v>
      </c>
      <c r="J1651" s="5" t="str">
        <f>IFERROR(VLOOKUP(Consulta1[[#This Row],[Pozo]],'Lista Oportunidades'!B:C,2,FALSE),"NO")</f>
        <v>NO</v>
      </c>
      <c r="K1651" s="5">
        <f>IFERROR(VLOOKUP(Consulta1[[#This Row],[Pozo largo]],Controles!B:H,7,FALSE),"NO")</f>
        <v>3.72</v>
      </c>
      <c r="L1651" s="5">
        <f>IFERROR(VLOOKUP(Consulta1[[#This Row],[Pozo largo]],Controles!B:J,9,FALSE),"NO")</f>
        <v>0</v>
      </c>
    </row>
    <row r="1652" spans="2:12" x14ac:dyDescent="0.35">
      <c r="B1652" s="4" t="s">
        <v>3173</v>
      </c>
      <c r="C1652" s="4" t="s">
        <v>7373</v>
      </c>
      <c r="D1652" s="4" t="s">
        <v>5</v>
      </c>
      <c r="E1652" s="4" t="s">
        <v>24</v>
      </c>
      <c r="F1652" s="4" t="s">
        <v>7</v>
      </c>
      <c r="G1652" s="4" t="s">
        <v>8</v>
      </c>
      <c r="H1652" s="4" t="s">
        <v>9</v>
      </c>
      <c r="I1652" s="5" t="str">
        <f>IFERROR(VLOOKUP(Consulta1[[#This Row],[Pozo largo]],'Lista YPF'!$B$3:$C$358,2,FALSE),"NO")</f>
        <v>NO</v>
      </c>
      <c r="J1652" s="5" t="str">
        <f>IFERROR(VLOOKUP(Consulta1[[#This Row],[Pozo]],'Lista Oportunidades'!B:C,2,FALSE),"NO")</f>
        <v>NO</v>
      </c>
      <c r="K1652" s="5">
        <f>IFERROR(VLOOKUP(Consulta1[[#This Row],[Pozo largo]],Controles!B:H,7,FALSE),"NO")</f>
        <v>1.17</v>
      </c>
      <c r="L1652" s="5">
        <f>IFERROR(VLOOKUP(Consulta1[[#This Row],[Pozo largo]],Controles!B:J,9,FALSE),"NO")</f>
        <v>0</v>
      </c>
    </row>
    <row r="1653" spans="2:12" x14ac:dyDescent="0.35">
      <c r="B1653" s="4" t="s">
        <v>3175</v>
      </c>
      <c r="C1653" s="4" t="s">
        <v>7374</v>
      </c>
      <c r="D1653" s="4" t="s">
        <v>5</v>
      </c>
      <c r="E1653" s="4" t="s">
        <v>12</v>
      </c>
      <c r="F1653" s="4" t="s">
        <v>7</v>
      </c>
      <c r="G1653" s="4" t="s">
        <v>13</v>
      </c>
      <c r="H1653" s="4" t="s">
        <v>33</v>
      </c>
      <c r="I1653" s="5" t="str">
        <f>IFERROR(VLOOKUP(Consulta1[[#This Row],[Pozo largo]],'Lista YPF'!$B$3:$C$358,2,FALSE),"NO")</f>
        <v>NO</v>
      </c>
      <c r="J1653" s="5" t="str">
        <f>IFERROR(VLOOKUP(Consulta1[[#This Row],[Pozo]],'Lista Oportunidades'!B:C,2,FALSE),"NO")</f>
        <v>NO</v>
      </c>
      <c r="K1653" s="5">
        <f>IFERROR(VLOOKUP(Consulta1[[#This Row],[Pozo largo]],Controles!B:H,7,FALSE),"NO")</f>
        <v>4.7E-2</v>
      </c>
      <c r="L1653" s="5">
        <f>IFERROR(VLOOKUP(Consulta1[[#This Row],[Pozo largo]],Controles!B:J,9,FALSE),"NO")</f>
        <v>0</v>
      </c>
    </row>
    <row r="1654" spans="2:12" x14ac:dyDescent="0.35">
      <c r="B1654" s="4" t="s">
        <v>3177</v>
      </c>
      <c r="C1654" s="4" t="s">
        <v>7375</v>
      </c>
      <c r="D1654" s="4" t="s">
        <v>5</v>
      </c>
      <c r="E1654" s="4" t="s">
        <v>12</v>
      </c>
      <c r="F1654" s="4" t="s">
        <v>7</v>
      </c>
      <c r="G1654" s="4" t="s">
        <v>13</v>
      </c>
      <c r="H1654" s="4" t="s">
        <v>9</v>
      </c>
      <c r="I1654" s="5" t="str">
        <f>IFERROR(VLOOKUP(Consulta1[[#This Row],[Pozo largo]],'Lista YPF'!$B$3:$C$358,2,FALSE),"NO")</f>
        <v>NO</v>
      </c>
      <c r="J1654" s="5" t="str">
        <f>IFERROR(VLOOKUP(Consulta1[[#This Row],[Pozo]],'Lista Oportunidades'!B:C,2,FALSE),"NO")</f>
        <v>NO</v>
      </c>
      <c r="K1654" s="5">
        <f>IFERROR(VLOOKUP(Consulta1[[#This Row],[Pozo largo]],Controles!B:H,7,FALSE),"NO")</f>
        <v>1.1500000000000001</v>
      </c>
      <c r="L1654" s="5">
        <f>IFERROR(VLOOKUP(Consulta1[[#This Row],[Pozo largo]],Controles!B:J,9,FALSE),"NO")</f>
        <v>0</v>
      </c>
    </row>
    <row r="1655" spans="2:12" x14ac:dyDescent="0.35">
      <c r="B1655" s="4" t="s">
        <v>3179</v>
      </c>
      <c r="C1655" s="4" t="s">
        <v>7376</v>
      </c>
      <c r="D1655" s="4" t="s">
        <v>5</v>
      </c>
      <c r="E1655" s="4" t="s">
        <v>12</v>
      </c>
      <c r="F1655" s="4" t="s">
        <v>7</v>
      </c>
      <c r="G1655" s="4" t="s">
        <v>13</v>
      </c>
      <c r="H1655" s="4" t="s">
        <v>185</v>
      </c>
      <c r="I1655" s="5" t="str">
        <f>IFERROR(VLOOKUP(Consulta1[[#This Row],[Pozo largo]],'Lista YPF'!$B$3:$C$358,2,FALSE),"NO")</f>
        <v>NO</v>
      </c>
      <c r="J1655" s="5" t="str">
        <f>IFERROR(VLOOKUP(Consulta1[[#This Row],[Pozo]],'Lista Oportunidades'!B:C,2,FALSE),"NO")</f>
        <v>NO</v>
      </c>
      <c r="K1655" s="5">
        <f>IFERROR(VLOOKUP(Consulta1[[#This Row],[Pozo largo]],Controles!B:H,7,FALSE),"NO")</f>
        <v>2.4</v>
      </c>
      <c r="L1655" s="5">
        <f>IFERROR(VLOOKUP(Consulta1[[#This Row],[Pozo largo]],Controles!B:J,9,FALSE),"NO")</f>
        <v>0</v>
      </c>
    </row>
    <row r="1656" spans="2:12" x14ac:dyDescent="0.35">
      <c r="B1656" s="4" t="s">
        <v>3181</v>
      </c>
      <c r="C1656" s="4" t="s">
        <v>7377</v>
      </c>
      <c r="D1656" s="4" t="s">
        <v>5</v>
      </c>
      <c r="E1656" s="4" t="s">
        <v>12</v>
      </c>
      <c r="F1656" s="4" t="s">
        <v>7</v>
      </c>
      <c r="G1656" s="4" t="s">
        <v>13</v>
      </c>
      <c r="H1656" s="4" t="s">
        <v>80</v>
      </c>
      <c r="I1656" s="5" t="str">
        <f>IFERROR(VLOOKUP(Consulta1[[#This Row],[Pozo largo]],'Lista YPF'!$B$3:$C$358,2,FALSE),"NO")</f>
        <v>NO</v>
      </c>
      <c r="J1656" s="5" t="str">
        <f>IFERROR(VLOOKUP(Consulta1[[#This Row],[Pozo]],'Lista Oportunidades'!B:C,2,FALSE),"NO")</f>
        <v>NO</v>
      </c>
      <c r="K1656" s="5">
        <f>IFERROR(VLOOKUP(Consulta1[[#This Row],[Pozo largo]],Controles!B:H,7,FALSE),"NO")</f>
        <v>0.39</v>
      </c>
      <c r="L1656" s="5">
        <f>IFERROR(VLOOKUP(Consulta1[[#This Row],[Pozo largo]],Controles!B:J,9,FALSE),"NO")</f>
        <v>0</v>
      </c>
    </row>
    <row r="1657" spans="2:12" x14ac:dyDescent="0.35">
      <c r="B1657" s="4" t="s">
        <v>3183</v>
      </c>
      <c r="C1657" s="4" t="s">
        <v>7378</v>
      </c>
      <c r="D1657" s="4" t="s">
        <v>5</v>
      </c>
      <c r="E1657" s="4" t="s">
        <v>12</v>
      </c>
      <c r="F1657" s="4" t="s">
        <v>7</v>
      </c>
      <c r="G1657" s="4" t="s">
        <v>13</v>
      </c>
      <c r="H1657" s="4" t="s">
        <v>185</v>
      </c>
      <c r="I1657" s="5" t="str">
        <f>IFERROR(VLOOKUP(Consulta1[[#This Row],[Pozo largo]],'Lista YPF'!$B$3:$C$358,2,FALSE),"NO")</f>
        <v>NO</v>
      </c>
      <c r="J1657" s="5" t="str">
        <f>IFERROR(VLOOKUP(Consulta1[[#This Row],[Pozo]],'Lista Oportunidades'!B:C,2,FALSE),"NO")</f>
        <v>NO</v>
      </c>
      <c r="K1657" s="5">
        <f>IFERROR(VLOOKUP(Consulta1[[#This Row],[Pozo largo]],Controles!B:H,7,FALSE),"NO")</f>
        <v>0.33900000000000002</v>
      </c>
      <c r="L1657" s="5">
        <f>IFERROR(VLOOKUP(Consulta1[[#This Row],[Pozo largo]],Controles!B:J,9,FALSE),"NO")</f>
        <v>0</v>
      </c>
    </row>
    <row r="1658" spans="2:12" x14ac:dyDescent="0.35">
      <c r="B1658" s="4" t="s">
        <v>3185</v>
      </c>
      <c r="C1658" s="4" t="s">
        <v>5731</v>
      </c>
      <c r="D1658" s="4" t="s">
        <v>5</v>
      </c>
      <c r="E1658" s="4" t="s">
        <v>24</v>
      </c>
      <c r="F1658" s="4" t="s">
        <v>7</v>
      </c>
      <c r="G1658" s="4" t="s">
        <v>8689</v>
      </c>
      <c r="H1658" s="4" t="s">
        <v>21</v>
      </c>
      <c r="I1658" s="5" t="str">
        <f>IFERROR(VLOOKUP(Consulta1[[#This Row],[Pozo largo]],'Lista YPF'!$B$3:$C$358,2,FALSE),"NO")</f>
        <v>NO</v>
      </c>
      <c r="J1658" s="5" t="str">
        <f>IFERROR(VLOOKUP(Consulta1[[#This Row],[Pozo]],'Lista Oportunidades'!B:C,2,FALSE),"NO")</f>
        <v>Oportunidad</v>
      </c>
      <c r="K1658" s="5">
        <f>IFERROR(VLOOKUP(Consulta1[[#This Row],[Pozo largo]],Controles!B:H,7,FALSE),"NO")</f>
        <v>0.88</v>
      </c>
      <c r="L1658" s="5">
        <f>IFERROR(VLOOKUP(Consulta1[[#This Row],[Pozo largo]],Controles!B:J,9,FALSE),"NO")</f>
        <v>0</v>
      </c>
    </row>
    <row r="1659" spans="2:12" x14ac:dyDescent="0.35">
      <c r="B1659" s="4" t="s">
        <v>3187</v>
      </c>
      <c r="C1659" s="4" t="s">
        <v>7379</v>
      </c>
      <c r="D1659" s="4" t="s">
        <v>5</v>
      </c>
      <c r="E1659" s="4" t="s">
        <v>12</v>
      </c>
      <c r="F1659" s="4" t="s">
        <v>7</v>
      </c>
      <c r="G1659" s="4" t="s">
        <v>13</v>
      </c>
      <c r="H1659" s="4" t="s">
        <v>185</v>
      </c>
      <c r="I1659" s="5" t="str">
        <f>IFERROR(VLOOKUP(Consulta1[[#This Row],[Pozo largo]],'Lista YPF'!$B$3:$C$358,2,FALSE),"NO")</f>
        <v>NO</v>
      </c>
      <c r="J1659" s="5" t="str">
        <f>IFERROR(VLOOKUP(Consulta1[[#This Row],[Pozo]],'Lista Oportunidades'!B:C,2,FALSE),"NO")</f>
        <v>NO</v>
      </c>
      <c r="K1659" s="5">
        <f>IFERROR(VLOOKUP(Consulta1[[#This Row],[Pozo largo]],Controles!B:H,7,FALSE),"NO")</f>
        <v>0.92700000000000005</v>
      </c>
      <c r="L1659" s="5">
        <f>IFERROR(VLOOKUP(Consulta1[[#This Row],[Pozo largo]],Controles!B:J,9,FALSE),"NO")</f>
        <v>0</v>
      </c>
    </row>
    <row r="1660" spans="2:12" x14ac:dyDescent="0.35">
      <c r="B1660" s="4" t="s">
        <v>3189</v>
      </c>
      <c r="C1660" s="4" t="s">
        <v>7380</v>
      </c>
      <c r="D1660" s="4" t="s">
        <v>5</v>
      </c>
      <c r="E1660" s="4" t="s">
        <v>12</v>
      </c>
      <c r="F1660" s="4" t="s">
        <v>7</v>
      </c>
      <c r="G1660" s="4" t="s">
        <v>13</v>
      </c>
      <c r="H1660" s="4" t="s">
        <v>185</v>
      </c>
      <c r="I1660" s="5" t="str">
        <f>IFERROR(VLOOKUP(Consulta1[[#This Row],[Pozo largo]],'Lista YPF'!$B$3:$C$358,2,FALSE),"NO")</f>
        <v>NO</v>
      </c>
      <c r="J1660" s="5" t="str">
        <f>IFERROR(VLOOKUP(Consulta1[[#This Row],[Pozo]],'Lista Oportunidades'!B:C,2,FALSE),"NO")</f>
        <v>NO</v>
      </c>
      <c r="K1660" s="5">
        <f>IFERROR(VLOOKUP(Consulta1[[#This Row],[Pozo largo]],Controles!B:H,7,FALSE),"NO")</f>
        <v>1.95</v>
      </c>
      <c r="L1660" s="5">
        <f>IFERROR(VLOOKUP(Consulta1[[#This Row],[Pozo largo]],Controles!B:J,9,FALSE),"NO")</f>
        <v>0</v>
      </c>
    </row>
    <row r="1661" spans="2:12" x14ac:dyDescent="0.35">
      <c r="B1661" s="4" t="s">
        <v>3191</v>
      </c>
      <c r="C1661" s="4" t="s">
        <v>7381</v>
      </c>
      <c r="D1661" s="4" t="s">
        <v>5</v>
      </c>
      <c r="E1661" s="4" t="s">
        <v>12</v>
      </c>
      <c r="F1661" s="4" t="s">
        <v>7</v>
      </c>
      <c r="G1661" s="4" t="s">
        <v>13</v>
      </c>
      <c r="H1661" s="4" t="s">
        <v>185</v>
      </c>
      <c r="I1661" s="5" t="str">
        <f>IFERROR(VLOOKUP(Consulta1[[#This Row],[Pozo largo]],'Lista YPF'!$B$3:$C$358,2,FALSE),"NO")</f>
        <v>NO</v>
      </c>
      <c r="J1661" s="5" t="str">
        <f>IFERROR(VLOOKUP(Consulta1[[#This Row],[Pozo]],'Lista Oportunidades'!B:C,2,FALSE),"NO")</f>
        <v>NO</v>
      </c>
      <c r="K1661" s="5">
        <f>IFERROR(VLOOKUP(Consulta1[[#This Row],[Pozo largo]],Controles!B:H,7,FALSE),"NO")</f>
        <v>0.66</v>
      </c>
      <c r="L1661" s="5">
        <f>IFERROR(VLOOKUP(Consulta1[[#This Row],[Pozo largo]],Controles!B:J,9,FALSE),"NO")</f>
        <v>0</v>
      </c>
    </row>
    <row r="1662" spans="2:12" x14ac:dyDescent="0.35">
      <c r="B1662" s="4" t="s">
        <v>3193</v>
      </c>
      <c r="C1662" s="4" t="s">
        <v>7382</v>
      </c>
      <c r="D1662" s="4" t="s">
        <v>5</v>
      </c>
      <c r="E1662" s="4" t="s">
        <v>12</v>
      </c>
      <c r="F1662" s="4" t="s">
        <v>7</v>
      </c>
      <c r="G1662" s="4" t="s">
        <v>13</v>
      </c>
      <c r="H1662" s="4" t="s">
        <v>9</v>
      </c>
      <c r="I1662" s="5" t="str">
        <f>IFERROR(VLOOKUP(Consulta1[[#This Row],[Pozo largo]],'Lista YPF'!$B$3:$C$358,2,FALSE),"NO")</f>
        <v>NO</v>
      </c>
      <c r="J1662" s="5" t="str">
        <f>IFERROR(VLOOKUP(Consulta1[[#This Row],[Pozo]],'Lista Oportunidades'!B:C,2,FALSE),"NO")</f>
        <v>NO</v>
      </c>
      <c r="K1662" s="5">
        <f>IFERROR(VLOOKUP(Consulta1[[#This Row],[Pozo largo]],Controles!B:H,7,FALSE),"NO")</f>
        <v>0.96</v>
      </c>
      <c r="L1662" s="5">
        <f>IFERROR(VLOOKUP(Consulta1[[#This Row],[Pozo largo]],Controles!B:J,9,FALSE),"NO")</f>
        <v>0</v>
      </c>
    </row>
    <row r="1663" spans="2:12" x14ac:dyDescent="0.35">
      <c r="B1663" s="4" t="s">
        <v>3195</v>
      </c>
      <c r="C1663" s="4" t="s">
        <v>7383</v>
      </c>
      <c r="D1663" s="4" t="s">
        <v>5</v>
      </c>
      <c r="E1663" s="4" t="s">
        <v>12</v>
      </c>
      <c r="F1663" s="4" t="s">
        <v>7</v>
      </c>
      <c r="G1663" s="4" t="s">
        <v>13</v>
      </c>
      <c r="H1663" s="4" t="s">
        <v>185</v>
      </c>
      <c r="I1663" s="5" t="str">
        <f>IFERROR(VLOOKUP(Consulta1[[#This Row],[Pozo largo]],'Lista YPF'!$B$3:$C$358,2,FALSE),"NO")</f>
        <v>NO</v>
      </c>
      <c r="J1663" s="5" t="str">
        <f>IFERROR(VLOOKUP(Consulta1[[#This Row],[Pozo]],'Lista Oportunidades'!B:C,2,FALSE),"NO")</f>
        <v>NO</v>
      </c>
      <c r="K1663" s="5">
        <f>IFERROR(VLOOKUP(Consulta1[[#This Row],[Pozo largo]],Controles!B:H,7,FALSE),"NO")</f>
        <v>1.32</v>
      </c>
      <c r="L1663" s="5">
        <f>IFERROR(VLOOKUP(Consulta1[[#This Row],[Pozo largo]],Controles!B:J,9,FALSE),"NO")</f>
        <v>0</v>
      </c>
    </row>
    <row r="1664" spans="2:12" x14ac:dyDescent="0.35">
      <c r="B1664" s="4" t="s">
        <v>3197</v>
      </c>
      <c r="C1664" s="4" t="s">
        <v>7384</v>
      </c>
      <c r="D1664" s="4" t="s">
        <v>5</v>
      </c>
      <c r="E1664" s="4" t="s">
        <v>12</v>
      </c>
      <c r="F1664" s="4" t="s">
        <v>7</v>
      </c>
      <c r="G1664" s="4" t="s">
        <v>13</v>
      </c>
      <c r="H1664" s="4" t="s">
        <v>74</v>
      </c>
      <c r="I1664" s="5" t="str">
        <f>IFERROR(VLOOKUP(Consulta1[[#This Row],[Pozo largo]],'Lista YPF'!$B$3:$C$358,2,FALSE),"NO")</f>
        <v>NO</v>
      </c>
      <c r="J1664" s="5" t="str">
        <f>IFERROR(VLOOKUP(Consulta1[[#This Row],[Pozo]],'Lista Oportunidades'!B:C,2,FALSE),"NO")</f>
        <v>NO</v>
      </c>
      <c r="K1664" s="5">
        <f>IFERROR(VLOOKUP(Consulta1[[#This Row],[Pozo largo]],Controles!B:H,7,FALSE),"NO")</f>
        <v>1.625</v>
      </c>
      <c r="L1664" s="5">
        <f>IFERROR(VLOOKUP(Consulta1[[#This Row],[Pozo largo]],Controles!B:J,9,FALSE),"NO")</f>
        <v>0</v>
      </c>
    </row>
    <row r="1665" spans="2:12" x14ac:dyDescent="0.35">
      <c r="B1665" s="4" t="s">
        <v>3199</v>
      </c>
      <c r="C1665" s="4" t="s">
        <v>7385</v>
      </c>
      <c r="D1665" s="4" t="s">
        <v>5</v>
      </c>
      <c r="E1665" s="4" t="s">
        <v>57</v>
      </c>
      <c r="F1665" s="4" t="s">
        <v>25</v>
      </c>
      <c r="G1665" s="4" t="s">
        <v>5718</v>
      </c>
      <c r="H1665" s="4" t="s">
        <v>21</v>
      </c>
      <c r="I1665" s="5" t="str">
        <f>IFERROR(VLOOKUP(Consulta1[[#This Row],[Pozo largo]],'Lista YPF'!$B$3:$C$358,2,FALSE),"NO")</f>
        <v>En lista de Abandono</v>
      </c>
      <c r="J1665" s="5" t="str">
        <f>IFERROR(VLOOKUP(Consulta1[[#This Row],[Pozo]],'Lista Oportunidades'!B:C,2,FALSE),"NO")</f>
        <v>NO</v>
      </c>
      <c r="K1665" s="5">
        <f>IFERROR(VLOOKUP(Consulta1[[#This Row],[Pozo largo]],Controles!B:H,7,FALSE),"NO")</f>
        <v>0.21400000000000002</v>
      </c>
      <c r="L1665" s="5">
        <f>IFERROR(VLOOKUP(Consulta1[[#This Row],[Pozo largo]],Controles!B:J,9,FALSE),"NO")</f>
        <v>0</v>
      </c>
    </row>
    <row r="1666" spans="2:12" x14ac:dyDescent="0.35">
      <c r="B1666" s="4" t="s">
        <v>3201</v>
      </c>
      <c r="C1666" s="4" t="s">
        <v>7386</v>
      </c>
      <c r="D1666" s="4" t="s">
        <v>5</v>
      </c>
      <c r="E1666" s="4" t="s">
        <v>12</v>
      </c>
      <c r="F1666" s="4" t="s">
        <v>238</v>
      </c>
      <c r="G1666" s="4" t="s">
        <v>13</v>
      </c>
      <c r="H1666" s="4" t="s">
        <v>185</v>
      </c>
      <c r="I1666" s="5" t="str">
        <f>IFERROR(VLOOKUP(Consulta1[[#This Row],[Pozo largo]],'Lista YPF'!$B$3:$C$358,2,FALSE),"NO")</f>
        <v>NO</v>
      </c>
      <c r="J1666" s="5" t="str">
        <f>IFERROR(VLOOKUP(Consulta1[[#This Row],[Pozo]],'Lista Oportunidades'!B:C,2,FALSE),"NO")</f>
        <v>NO</v>
      </c>
      <c r="K1666" s="5">
        <f>IFERROR(VLOOKUP(Consulta1[[#This Row],[Pozo largo]],Controles!B:H,7,FALSE),"NO")</f>
        <v>1.86</v>
      </c>
      <c r="L1666" s="5">
        <f>IFERROR(VLOOKUP(Consulta1[[#This Row],[Pozo largo]],Controles!B:J,9,FALSE),"NO")</f>
        <v>0</v>
      </c>
    </row>
    <row r="1667" spans="2:12" x14ac:dyDescent="0.35">
      <c r="B1667" s="4" t="s">
        <v>3203</v>
      </c>
      <c r="C1667" s="4" t="s">
        <v>7387</v>
      </c>
      <c r="D1667" s="4" t="s">
        <v>5</v>
      </c>
      <c r="E1667" s="4" t="s">
        <v>12</v>
      </c>
      <c r="F1667" s="4" t="s">
        <v>7</v>
      </c>
      <c r="G1667" s="4" t="s">
        <v>13</v>
      </c>
      <c r="H1667" s="4" t="s">
        <v>71</v>
      </c>
      <c r="I1667" s="5" t="str">
        <f>IFERROR(VLOOKUP(Consulta1[[#This Row],[Pozo largo]],'Lista YPF'!$B$3:$C$358,2,FALSE),"NO")</f>
        <v>NO</v>
      </c>
      <c r="J1667" s="5" t="str">
        <f>IFERROR(VLOOKUP(Consulta1[[#This Row],[Pozo]],'Lista Oportunidades'!B:C,2,FALSE),"NO")</f>
        <v>NO</v>
      </c>
      <c r="K1667" s="5">
        <f>IFERROR(VLOOKUP(Consulta1[[#This Row],[Pozo largo]],Controles!B:H,7,FALSE),"NO")</f>
        <v>1.2</v>
      </c>
      <c r="L1667" s="5">
        <f>IFERROR(VLOOKUP(Consulta1[[#This Row],[Pozo largo]],Controles!B:J,9,FALSE),"NO")</f>
        <v>0</v>
      </c>
    </row>
    <row r="1668" spans="2:12" x14ac:dyDescent="0.35">
      <c r="B1668" s="4" t="s">
        <v>3205</v>
      </c>
      <c r="C1668" s="4" t="s">
        <v>7388</v>
      </c>
      <c r="D1668" s="4" t="s">
        <v>5</v>
      </c>
      <c r="E1668" s="4" t="s">
        <v>12</v>
      </c>
      <c r="F1668" s="4" t="s">
        <v>7</v>
      </c>
      <c r="G1668" s="4" t="s">
        <v>13</v>
      </c>
      <c r="H1668" s="4" t="s">
        <v>9</v>
      </c>
      <c r="I1668" s="5" t="str">
        <f>IFERROR(VLOOKUP(Consulta1[[#This Row],[Pozo largo]],'Lista YPF'!$B$3:$C$358,2,FALSE),"NO")</f>
        <v>NO</v>
      </c>
      <c r="J1668" s="5" t="str">
        <f>IFERROR(VLOOKUP(Consulta1[[#This Row],[Pozo]],'Lista Oportunidades'!B:C,2,FALSE),"NO")</f>
        <v>NO</v>
      </c>
      <c r="K1668" s="5">
        <f>IFERROR(VLOOKUP(Consulta1[[#This Row],[Pozo largo]],Controles!B:H,7,FALSE),"NO")</f>
        <v>0.42</v>
      </c>
      <c r="L1668" s="5">
        <f>IFERROR(VLOOKUP(Consulta1[[#This Row],[Pozo largo]],Controles!B:J,9,FALSE),"NO")</f>
        <v>0</v>
      </c>
    </row>
    <row r="1669" spans="2:12" x14ac:dyDescent="0.35">
      <c r="B1669" s="4" t="s">
        <v>3207</v>
      </c>
      <c r="C1669" s="4" t="s">
        <v>7389</v>
      </c>
      <c r="D1669" s="4" t="s">
        <v>5</v>
      </c>
      <c r="E1669" s="4" t="s">
        <v>12</v>
      </c>
      <c r="F1669" s="4" t="s">
        <v>7</v>
      </c>
      <c r="G1669" s="4" t="s">
        <v>13</v>
      </c>
      <c r="H1669" s="4" t="s">
        <v>9</v>
      </c>
      <c r="I1669" s="5" t="str">
        <f>IFERROR(VLOOKUP(Consulta1[[#This Row],[Pozo largo]],'Lista YPF'!$B$3:$C$358,2,FALSE),"NO")</f>
        <v>NO</v>
      </c>
      <c r="J1669" s="5" t="str">
        <f>IFERROR(VLOOKUP(Consulta1[[#This Row],[Pozo]],'Lista Oportunidades'!B:C,2,FALSE),"NO")</f>
        <v>NO</v>
      </c>
      <c r="K1669" s="5">
        <f>IFERROR(VLOOKUP(Consulta1[[#This Row],[Pozo largo]],Controles!B:H,7,FALSE),"NO")</f>
        <v>2.09</v>
      </c>
      <c r="L1669" s="5">
        <f>IFERROR(VLOOKUP(Consulta1[[#This Row],[Pozo largo]],Controles!B:J,9,FALSE),"NO")</f>
        <v>0</v>
      </c>
    </row>
    <row r="1670" spans="2:12" x14ac:dyDescent="0.35">
      <c r="B1670" s="4" t="s">
        <v>3209</v>
      </c>
      <c r="C1670" s="4" t="s">
        <v>7390</v>
      </c>
      <c r="D1670" s="4" t="s">
        <v>5</v>
      </c>
      <c r="E1670" s="4" t="s">
        <v>12</v>
      </c>
      <c r="F1670" s="4" t="s">
        <v>7</v>
      </c>
      <c r="G1670" s="4" t="s">
        <v>13</v>
      </c>
      <c r="H1670" s="4" t="s">
        <v>74</v>
      </c>
      <c r="I1670" s="5" t="str">
        <f>IFERROR(VLOOKUP(Consulta1[[#This Row],[Pozo largo]],'Lista YPF'!$B$3:$C$358,2,FALSE),"NO")</f>
        <v>NO</v>
      </c>
      <c r="J1670" s="5" t="str">
        <f>IFERROR(VLOOKUP(Consulta1[[#This Row],[Pozo]],'Lista Oportunidades'!B:C,2,FALSE),"NO")</f>
        <v>NO</v>
      </c>
      <c r="K1670" s="5">
        <f>IFERROR(VLOOKUP(Consulta1[[#This Row],[Pozo largo]],Controles!B:H,7,FALSE),"NO")</f>
        <v>2.64</v>
      </c>
      <c r="L1670" s="5">
        <f>IFERROR(VLOOKUP(Consulta1[[#This Row],[Pozo largo]],Controles!B:J,9,FALSE),"NO")</f>
        <v>0</v>
      </c>
    </row>
    <row r="1671" spans="2:12" x14ac:dyDescent="0.35">
      <c r="B1671" s="4" t="s">
        <v>3211</v>
      </c>
      <c r="C1671" s="4" t="s">
        <v>7391</v>
      </c>
      <c r="D1671" s="4" t="s">
        <v>5</v>
      </c>
      <c r="E1671" s="4" t="s">
        <v>12</v>
      </c>
      <c r="F1671" s="4" t="s">
        <v>7</v>
      </c>
      <c r="G1671" s="4" t="s">
        <v>13</v>
      </c>
      <c r="H1671" s="4" t="s">
        <v>71</v>
      </c>
      <c r="I1671" s="5" t="str">
        <f>IFERROR(VLOOKUP(Consulta1[[#This Row],[Pozo largo]],'Lista YPF'!$B$3:$C$358,2,FALSE),"NO")</f>
        <v>NO</v>
      </c>
      <c r="J1671" s="5" t="str">
        <f>IFERROR(VLOOKUP(Consulta1[[#This Row],[Pozo]],'Lista Oportunidades'!B:C,2,FALSE),"NO")</f>
        <v>NO</v>
      </c>
      <c r="K1671" s="5">
        <f>IFERROR(VLOOKUP(Consulta1[[#This Row],[Pozo largo]],Controles!B:H,7,FALSE),"NO")</f>
        <v>2.7</v>
      </c>
      <c r="L1671" s="5">
        <f>IFERROR(VLOOKUP(Consulta1[[#This Row],[Pozo largo]],Controles!B:J,9,FALSE),"NO")</f>
        <v>0</v>
      </c>
    </row>
    <row r="1672" spans="2:12" x14ac:dyDescent="0.35">
      <c r="B1672" s="4" t="s">
        <v>3213</v>
      </c>
      <c r="C1672" s="4" t="s">
        <v>7392</v>
      </c>
      <c r="D1672" s="4" t="s">
        <v>5</v>
      </c>
      <c r="E1672" s="4" t="s">
        <v>12</v>
      </c>
      <c r="F1672" s="4" t="s">
        <v>83</v>
      </c>
      <c r="G1672" s="4" t="s">
        <v>13</v>
      </c>
      <c r="H1672" s="4" t="s">
        <v>260</v>
      </c>
      <c r="I1672" s="5" t="str">
        <f>IFERROR(VLOOKUP(Consulta1[[#This Row],[Pozo largo]],'Lista YPF'!$B$3:$C$358,2,FALSE),"NO")</f>
        <v>NO</v>
      </c>
      <c r="J1672" s="5" t="str">
        <f>IFERROR(VLOOKUP(Consulta1[[#This Row],[Pozo]],'Lista Oportunidades'!B:C,2,FALSE),"NO")</f>
        <v>NO</v>
      </c>
      <c r="K1672" s="5">
        <f>IFERROR(VLOOKUP(Consulta1[[#This Row],[Pozo largo]],Controles!B:H,7,FALSE),"NO")</f>
        <v>3.61</v>
      </c>
      <c r="L1672" s="5">
        <f>IFERROR(VLOOKUP(Consulta1[[#This Row],[Pozo largo]],Controles!B:J,9,FALSE),"NO")</f>
        <v>0</v>
      </c>
    </row>
    <row r="1673" spans="2:12" x14ac:dyDescent="0.35">
      <c r="B1673" s="4" t="s">
        <v>3215</v>
      </c>
      <c r="C1673" s="4" t="s">
        <v>7393</v>
      </c>
      <c r="D1673" s="4" t="s">
        <v>5</v>
      </c>
      <c r="E1673" s="4" t="s">
        <v>24</v>
      </c>
      <c r="F1673" s="4" t="s">
        <v>25</v>
      </c>
      <c r="G1673" s="4" t="s">
        <v>8</v>
      </c>
      <c r="H1673" s="4" t="s">
        <v>86</v>
      </c>
      <c r="I1673" s="5" t="str">
        <f>IFERROR(VLOOKUP(Consulta1[[#This Row],[Pozo largo]],'Lista YPF'!$B$3:$C$358,2,FALSE),"NO")</f>
        <v>NO</v>
      </c>
      <c r="J1673" s="5" t="str">
        <f>IFERROR(VLOOKUP(Consulta1[[#This Row],[Pozo]],'Lista Oportunidades'!B:C,2,FALSE),"NO")</f>
        <v>NO</v>
      </c>
      <c r="K1673" s="5">
        <f>IFERROR(VLOOKUP(Consulta1[[#This Row],[Pozo largo]],Controles!B:H,7,FALSE),"NO")</f>
        <v>0.11600000000000001</v>
      </c>
      <c r="L1673" s="5">
        <f>IFERROR(VLOOKUP(Consulta1[[#This Row],[Pozo largo]],Controles!B:J,9,FALSE),"NO")</f>
        <v>0</v>
      </c>
    </row>
    <row r="1674" spans="2:12" x14ac:dyDescent="0.35">
      <c r="B1674" s="4" t="s">
        <v>3217</v>
      </c>
      <c r="C1674" s="4" t="s">
        <v>7394</v>
      </c>
      <c r="D1674" s="4" t="s">
        <v>5</v>
      </c>
      <c r="E1674" s="4" t="s">
        <v>30</v>
      </c>
      <c r="F1674" s="4" t="s">
        <v>31</v>
      </c>
      <c r="G1674" s="4" t="s">
        <v>32</v>
      </c>
      <c r="H1674" s="4" t="s">
        <v>80</v>
      </c>
      <c r="I1674" s="5" t="str">
        <f>IFERROR(VLOOKUP(Consulta1[[#This Row],[Pozo largo]],'Lista YPF'!$B$3:$C$358,2,FALSE),"NO")</f>
        <v>NO</v>
      </c>
      <c r="J1674" s="5" t="str">
        <f>IFERROR(VLOOKUP(Consulta1[[#This Row],[Pozo]],'Lista Oportunidades'!B:C,2,FALSE),"NO")</f>
        <v>NO</v>
      </c>
      <c r="K1674" s="5" t="str">
        <f>IFERROR(VLOOKUP(Consulta1[[#This Row],[Pozo largo]],Controles!B:H,7,FALSE),"NO")</f>
        <v>NO</v>
      </c>
      <c r="L1674" s="5" t="str">
        <f>IFERROR(VLOOKUP(Consulta1[[#This Row],[Pozo largo]],Controles!B:J,9,FALSE),"NO")</f>
        <v>NO</v>
      </c>
    </row>
    <row r="1675" spans="2:12" x14ac:dyDescent="0.35">
      <c r="B1675" s="4" t="s">
        <v>3218</v>
      </c>
      <c r="C1675" s="4" t="s">
        <v>7395</v>
      </c>
      <c r="D1675" s="4" t="s">
        <v>5</v>
      </c>
      <c r="E1675" s="4" t="s">
        <v>24</v>
      </c>
      <c r="F1675" s="4" t="s">
        <v>7</v>
      </c>
      <c r="G1675" s="4" t="s">
        <v>8</v>
      </c>
      <c r="H1675" s="4" t="s">
        <v>16</v>
      </c>
      <c r="I1675" s="5" t="str">
        <f>IFERROR(VLOOKUP(Consulta1[[#This Row],[Pozo largo]],'Lista YPF'!$B$3:$C$358,2,FALSE),"NO")</f>
        <v>NO</v>
      </c>
      <c r="J1675" s="5" t="str">
        <f>IFERROR(VLOOKUP(Consulta1[[#This Row],[Pozo]],'Lista Oportunidades'!B:C,2,FALSE),"NO")</f>
        <v>NO</v>
      </c>
      <c r="K1675" s="5">
        <f>IFERROR(VLOOKUP(Consulta1[[#This Row],[Pozo largo]],Controles!B:H,7,FALSE),"NO")</f>
        <v>0.61299999999999999</v>
      </c>
      <c r="L1675" s="5">
        <f>IFERROR(VLOOKUP(Consulta1[[#This Row],[Pozo largo]],Controles!B:J,9,FALSE),"NO")</f>
        <v>0</v>
      </c>
    </row>
    <row r="1676" spans="2:12" x14ac:dyDescent="0.35">
      <c r="B1676" s="4" t="s">
        <v>3220</v>
      </c>
      <c r="C1676" s="4" t="s">
        <v>7396</v>
      </c>
      <c r="D1676" s="4" t="s">
        <v>5</v>
      </c>
      <c r="E1676" s="4" t="s">
        <v>12</v>
      </c>
      <c r="F1676" s="4" t="s">
        <v>7</v>
      </c>
      <c r="G1676" s="4" t="s">
        <v>13</v>
      </c>
      <c r="H1676" s="4" t="s">
        <v>141</v>
      </c>
      <c r="I1676" s="5" t="str">
        <f>IFERROR(VLOOKUP(Consulta1[[#This Row],[Pozo largo]],'Lista YPF'!$B$3:$C$358,2,FALSE),"NO")</f>
        <v>NO</v>
      </c>
      <c r="J1676" s="5" t="str">
        <f>IFERROR(VLOOKUP(Consulta1[[#This Row],[Pozo]],'Lista Oportunidades'!B:C,2,FALSE),"NO")</f>
        <v>NO</v>
      </c>
      <c r="K1676" s="5">
        <f>IFERROR(VLOOKUP(Consulta1[[#This Row],[Pozo largo]],Controles!B:H,7,FALSE),"NO")</f>
        <v>2.625</v>
      </c>
      <c r="L1676" s="5">
        <f>IFERROR(VLOOKUP(Consulta1[[#This Row],[Pozo largo]],Controles!B:J,9,FALSE),"NO")</f>
        <v>0</v>
      </c>
    </row>
    <row r="1677" spans="2:12" x14ac:dyDescent="0.35">
      <c r="B1677" s="4" t="s">
        <v>3222</v>
      </c>
      <c r="C1677" s="4" t="s">
        <v>7397</v>
      </c>
      <c r="D1677" s="4" t="s">
        <v>5</v>
      </c>
      <c r="E1677" s="4" t="s">
        <v>12</v>
      </c>
      <c r="F1677" s="4" t="s">
        <v>7</v>
      </c>
      <c r="G1677" s="4" t="s">
        <v>13</v>
      </c>
      <c r="H1677" s="4" t="s">
        <v>77</v>
      </c>
      <c r="I1677" s="5" t="str">
        <f>IFERROR(VLOOKUP(Consulta1[[#This Row],[Pozo largo]],'Lista YPF'!$B$3:$C$358,2,FALSE),"NO")</f>
        <v>NO</v>
      </c>
      <c r="J1677" s="5" t="str">
        <f>IFERROR(VLOOKUP(Consulta1[[#This Row],[Pozo]],'Lista Oportunidades'!B:C,2,FALSE),"NO")</f>
        <v>NO</v>
      </c>
      <c r="K1677" s="5">
        <f>IFERROR(VLOOKUP(Consulta1[[#This Row],[Pozo largo]],Controles!B:H,7,FALSE),"NO")</f>
        <v>1.512</v>
      </c>
      <c r="L1677" s="5">
        <f>IFERROR(VLOOKUP(Consulta1[[#This Row],[Pozo largo]],Controles!B:J,9,FALSE),"NO")</f>
        <v>0</v>
      </c>
    </row>
    <row r="1678" spans="2:12" x14ac:dyDescent="0.35">
      <c r="B1678" s="4" t="s">
        <v>3224</v>
      </c>
      <c r="C1678" s="4" t="s">
        <v>7398</v>
      </c>
      <c r="D1678" s="4" t="s">
        <v>5</v>
      </c>
      <c r="E1678" s="4" t="s">
        <v>12</v>
      </c>
      <c r="F1678" s="4" t="s">
        <v>7</v>
      </c>
      <c r="G1678" s="4" t="s">
        <v>13</v>
      </c>
      <c r="H1678" s="4" t="s">
        <v>71</v>
      </c>
      <c r="I1678" s="5" t="str">
        <f>IFERROR(VLOOKUP(Consulta1[[#This Row],[Pozo largo]],'Lista YPF'!$B$3:$C$358,2,FALSE),"NO")</f>
        <v>NO</v>
      </c>
      <c r="J1678" s="5" t="str">
        <f>IFERROR(VLOOKUP(Consulta1[[#This Row],[Pozo]],'Lista Oportunidades'!B:C,2,FALSE),"NO")</f>
        <v>NO</v>
      </c>
      <c r="K1678" s="5">
        <f>IFERROR(VLOOKUP(Consulta1[[#This Row],[Pozo largo]],Controles!B:H,7,FALSE),"NO")</f>
        <v>1.28</v>
      </c>
      <c r="L1678" s="5">
        <f>IFERROR(VLOOKUP(Consulta1[[#This Row],[Pozo largo]],Controles!B:J,9,FALSE),"NO")</f>
        <v>0</v>
      </c>
    </row>
    <row r="1679" spans="2:12" x14ac:dyDescent="0.35">
      <c r="B1679" s="4" t="s">
        <v>3226</v>
      </c>
      <c r="C1679" s="4" t="s">
        <v>7399</v>
      </c>
      <c r="D1679" s="4" t="s">
        <v>5</v>
      </c>
      <c r="E1679" s="4" t="s">
        <v>12</v>
      </c>
      <c r="F1679" s="4" t="s">
        <v>7</v>
      </c>
      <c r="G1679" s="4" t="s">
        <v>13</v>
      </c>
      <c r="H1679" s="4" t="s">
        <v>71</v>
      </c>
      <c r="I1679" s="5" t="str">
        <f>IFERROR(VLOOKUP(Consulta1[[#This Row],[Pozo largo]],'Lista YPF'!$B$3:$C$358,2,FALSE),"NO")</f>
        <v>NO</v>
      </c>
      <c r="J1679" s="5" t="str">
        <f>IFERROR(VLOOKUP(Consulta1[[#This Row],[Pozo]],'Lista Oportunidades'!B:C,2,FALSE),"NO")</f>
        <v>NO</v>
      </c>
      <c r="K1679" s="5">
        <f>IFERROR(VLOOKUP(Consulta1[[#This Row],[Pozo largo]],Controles!B:H,7,FALSE),"NO")</f>
        <v>0.64</v>
      </c>
      <c r="L1679" s="5">
        <f>IFERROR(VLOOKUP(Consulta1[[#This Row],[Pozo largo]],Controles!B:J,9,FALSE),"NO")</f>
        <v>0</v>
      </c>
    </row>
    <row r="1680" spans="2:12" x14ac:dyDescent="0.35">
      <c r="B1680" s="4" t="s">
        <v>3228</v>
      </c>
      <c r="C1680" s="4" t="s">
        <v>7400</v>
      </c>
      <c r="D1680" s="4" t="s">
        <v>5</v>
      </c>
      <c r="E1680" s="4" t="s">
        <v>12</v>
      </c>
      <c r="F1680" s="4" t="s">
        <v>7</v>
      </c>
      <c r="G1680" s="4" t="s">
        <v>13</v>
      </c>
      <c r="H1680" s="4" t="s">
        <v>149</v>
      </c>
      <c r="I1680" s="5" t="str">
        <f>IFERROR(VLOOKUP(Consulta1[[#This Row],[Pozo largo]],'Lista YPF'!$B$3:$C$358,2,FALSE),"NO")</f>
        <v>NO</v>
      </c>
      <c r="J1680" s="5" t="str">
        <f>IFERROR(VLOOKUP(Consulta1[[#This Row],[Pozo]],'Lista Oportunidades'!B:C,2,FALSE),"NO")</f>
        <v>NO</v>
      </c>
      <c r="K1680" s="5">
        <f>IFERROR(VLOOKUP(Consulta1[[#This Row],[Pozo largo]],Controles!B:H,7,FALSE),"NO")</f>
        <v>0.9</v>
      </c>
      <c r="L1680" s="5">
        <f>IFERROR(VLOOKUP(Consulta1[[#This Row],[Pozo largo]],Controles!B:J,9,FALSE),"NO")</f>
        <v>0</v>
      </c>
    </row>
    <row r="1681" spans="2:12" x14ac:dyDescent="0.35">
      <c r="B1681" s="4" t="s">
        <v>3230</v>
      </c>
      <c r="C1681" s="4" t="s">
        <v>7401</v>
      </c>
      <c r="D1681" s="4" t="s">
        <v>5</v>
      </c>
      <c r="E1681" s="4" t="s">
        <v>12</v>
      </c>
      <c r="F1681" s="4" t="s">
        <v>7</v>
      </c>
      <c r="G1681" s="4" t="s">
        <v>13</v>
      </c>
      <c r="H1681" s="4" t="s">
        <v>9</v>
      </c>
      <c r="I1681" s="5" t="str">
        <f>IFERROR(VLOOKUP(Consulta1[[#This Row],[Pozo largo]],'Lista YPF'!$B$3:$C$358,2,FALSE),"NO")</f>
        <v>NO</v>
      </c>
      <c r="J1681" s="5" t="str">
        <f>IFERROR(VLOOKUP(Consulta1[[#This Row],[Pozo]],'Lista Oportunidades'!B:C,2,FALSE),"NO")</f>
        <v>NO</v>
      </c>
      <c r="K1681" s="5">
        <f>IFERROR(VLOOKUP(Consulta1[[#This Row],[Pozo largo]],Controles!B:H,7,FALSE),"NO")</f>
        <v>2.88</v>
      </c>
      <c r="L1681" s="5">
        <f>IFERROR(VLOOKUP(Consulta1[[#This Row],[Pozo largo]],Controles!B:J,9,FALSE),"NO")</f>
        <v>0</v>
      </c>
    </row>
    <row r="1682" spans="2:12" x14ac:dyDescent="0.35">
      <c r="B1682" s="4" t="s">
        <v>3232</v>
      </c>
      <c r="C1682" s="4" t="s">
        <v>7402</v>
      </c>
      <c r="D1682" s="4" t="s">
        <v>5</v>
      </c>
      <c r="E1682" s="4" t="s">
        <v>12</v>
      </c>
      <c r="F1682" s="4" t="s">
        <v>7</v>
      </c>
      <c r="G1682" s="4" t="s">
        <v>13</v>
      </c>
      <c r="H1682" s="4" t="s">
        <v>9</v>
      </c>
      <c r="I1682" s="5" t="str">
        <f>IFERROR(VLOOKUP(Consulta1[[#This Row],[Pozo largo]],'Lista YPF'!$B$3:$C$358,2,FALSE),"NO")</f>
        <v>NO</v>
      </c>
      <c r="J1682" s="5" t="str">
        <f>IFERROR(VLOOKUP(Consulta1[[#This Row],[Pozo]],'Lista Oportunidades'!B:C,2,FALSE),"NO")</f>
        <v>NO</v>
      </c>
      <c r="K1682" s="5">
        <f>IFERROR(VLOOKUP(Consulta1[[#This Row],[Pozo largo]],Controles!B:H,7,FALSE),"NO")</f>
        <v>0.8</v>
      </c>
      <c r="L1682" s="5">
        <f>IFERROR(VLOOKUP(Consulta1[[#This Row],[Pozo largo]],Controles!B:J,9,FALSE),"NO")</f>
        <v>0</v>
      </c>
    </row>
    <row r="1683" spans="2:12" x14ac:dyDescent="0.35">
      <c r="B1683" s="4" t="s">
        <v>3234</v>
      </c>
      <c r="C1683" s="4" t="s">
        <v>7403</v>
      </c>
      <c r="D1683" s="4" t="s">
        <v>5</v>
      </c>
      <c r="E1683" s="4" t="s">
        <v>12</v>
      </c>
      <c r="F1683" s="4" t="s">
        <v>7</v>
      </c>
      <c r="G1683" s="4" t="s">
        <v>13</v>
      </c>
      <c r="H1683" s="4" t="s">
        <v>9</v>
      </c>
      <c r="I1683" s="5" t="str">
        <f>IFERROR(VLOOKUP(Consulta1[[#This Row],[Pozo largo]],'Lista YPF'!$B$3:$C$358,2,FALSE),"NO")</f>
        <v>NO</v>
      </c>
      <c r="J1683" s="5" t="str">
        <f>IFERROR(VLOOKUP(Consulta1[[#This Row],[Pozo]],'Lista Oportunidades'!B:C,2,FALSE),"NO")</f>
        <v>NO</v>
      </c>
      <c r="K1683" s="5">
        <f>IFERROR(VLOOKUP(Consulta1[[#This Row],[Pozo largo]],Controles!B:H,7,FALSE),"NO")</f>
        <v>2.835</v>
      </c>
      <c r="L1683" s="5">
        <f>IFERROR(VLOOKUP(Consulta1[[#This Row],[Pozo largo]],Controles!B:J,9,FALSE),"NO")</f>
        <v>0</v>
      </c>
    </row>
    <row r="1684" spans="2:12" x14ac:dyDescent="0.35">
      <c r="B1684" s="4" t="s">
        <v>3236</v>
      </c>
      <c r="C1684" s="4" t="s">
        <v>7404</v>
      </c>
      <c r="D1684" s="4" t="s">
        <v>5</v>
      </c>
      <c r="E1684" s="4" t="s">
        <v>6</v>
      </c>
      <c r="F1684" s="4" t="s">
        <v>28</v>
      </c>
      <c r="G1684" s="4" t="s">
        <v>5718</v>
      </c>
      <c r="H1684" s="4" t="s">
        <v>9</v>
      </c>
      <c r="I1684" s="5" t="str">
        <f>IFERROR(VLOOKUP(Consulta1[[#This Row],[Pozo largo]],'Lista YPF'!$B$3:$C$358,2,FALSE),"NO")</f>
        <v>En lista de Abandono</v>
      </c>
      <c r="J1684" s="5" t="str">
        <f>IFERROR(VLOOKUP(Consulta1[[#This Row],[Pozo]],'Lista Oportunidades'!B:C,2,FALSE),"NO")</f>
        <v>NO</v>
      </c>
      <c r="K1684" s="5">
        <f>IFERROR(VLOOKUP(Consulta1[[#This Row],[Pozo largo]],Controles!B:H,7,FALSE),"NO")</f>
        <v>0</v>
      </c>
      <c r="L1684" s="5">
        <f>IFERROR(VLOOKUP(Consulta1[[#This Row],[Pozo largo]],Controles!B:J,9,FALSE),"NO")</f>
        <v>0</v>
      </c>
    </row>
    <row r="1685" spans="2:12" x14ac:dyDescent="0.35">
      <c r="B1685" s="4" t="s">
        <v>3238</v>
      </c>
      <c r="C1685" s="4" t="s">
        <v>7405</v>
      </c>
      <c r="D1685" s="4" t="s">
        <v>5</v>
      </c>
      <c r="E1685" s="4" t="s">
        <v>12</v>
      </c>
      <c r="F1685" s="4" t="s">
        <v>28</v>
      </c>
      <c r="G1685" s="4" t="s">
        <v>13</v>
      </c>
      <c r="H1685" s="4" t="s">
        <v>21</v>
      </c>
      <c r="I1685" s="5" t="str">
        <f>IFERROR(VLOOKUP(Consulta1[[#This Row],[Pozo largo]],'Lista YPF'!$B$3:$C$358,2,FALSE),"NO")</f>
        <v>NO</v>
      </c>
      <c r="J1685" s="5" t="str">
        <f>IFERROR(VLOOKUP(Consulta1[[#This Row],[Pozo]],'Lista Oportunidades'!B:C,2,FALSE),"NO")</f>
        <v>NO</v>
      </c>
      <c r="K1685" s="5">
        <f>IFERROR(VLOOKUP(Consulta1[[#This Row],[Pozo largo]],Controles!B:H,7,FALSE),"NO")</f>
        <v>0</v>
      </c>
      <c r="L1685" s="5">
        <f>IFERROR(VLOOKUP(Consulta1[[#This Row],[Pozo largo]],Controles!B:J,9,FALSE),"NO")</f>
        <v>0</v>
      </c>
    </row>
    <row r="1686" spans="2:12" x14ac:dyDescent="0.35">
      <c r="B1686" s="4" t="s">
        <v>3240</v>
      </c>
      <c r="C1686" s="4" t="s">
        <v>7406</v>
      </c>
      <c r="D1686" s="4" t="s">
        <v>5</v>
      </c>
      <c r="E1686" s="4" t="s">
        <v>12</v>
      </c>
      <c r="F1686" s="4" t="s">
        <v>7</v>
      </c>
      <c r="G1686" s="4" t="s">
        <v>13</v>
      </c>
      <c r="H1686" s="4" t="s">
        <v>21</v>
      </c>
      <c r="I1686" s="5" t="str">
        <f>IFERROR(VLOOKUP(Consulta1[[#This Row],[Pozo largo]],'Lista YPF'!$B$3:$C$358,2,FALSE),"NO")</f>
        <v>NO</v>
      </c>
      <c r="J1686" s="5" t="str">
        <f>IFERROR(VLOOKUP(Consulta1[[#This Row],[Pozo]],'Lista Oportunidades'!B:C,2,FALSE),"NO")</f>
        <v>NO</v>
      </c>
      <c r="K1686" s="5">
        <f>IFERROR(VLOOKUP(Consulta1[[#This Row],[Pozo largo]],Controles!B:H,7,FALSE),"NO")</f>
        <v>1.2</v>
      </c>
      <c r="L1686" s="5">
        <f>IFERROR(VLOOKUP(Consulta1[[#This Row],[Pozo largo]],Controles!B:J,9,FALSE),"NO")</f>
        <v>0</v>
      </c>
    </row>
    <row r="1687" spans="2:12" x14ac:dyDescent="0.35">
      <c r="B1687" s="4" t="s">
        <v>3242</v>
      </c>
      <c r="C1687" s="4" t="s">
        <v>7407</v>
      </c>
      <c r="D1687" s="4" t="s">
        <v>5</v>
      </c>
      <c r="E1687" s="4" t="s">
        <v>12</v>
      </c>
      <c r="F1687" s="4" t="s">
        <v>28</v>
      </c>
      <c r="G1687" s="4" t="s">
        <v>13</v>
      </c>
      <c r="H1687" s="4" t="s">
        <v>21</v>
      </c>
      <c r="I1687" s="5" t="str">
        <f>IFERROR(VLOOKUP(Consulta1[[#This Row],[Pozo largo]],'Lista YPF'!$B$3:$C$358,2,FALSE),"NO")</f>
        <v>NO</v>
      </c>
      <c r="J1687" s="5" t="str">
        <f>IFERROR(VLOOKUP(Consulta1[[#This Row],[Pozo]],'Lista Oportunidades'!B:C,2,FALSE),"NO")</f>
        <v>NO</v>
      </c>
      <c r="K1687" s="5">
        <f>IFERROR(VLOOKUP(Consulta1[[#This Row],[Pozo largo]],Controles!B:H,7,FALSE),"NO")</f>
        <v>0</v>
      </c>
      <c r="L1687" s="5">
        <f>IFERROR(VLOOKUP(Consulta1[[#This Row],[Pozo largo]],Controles!B:J,9,FALSE),"NO")</f>
        <v>0</v>
      </c>
    </row>
    <row r="1688" spans="2:12" x14ac:dyDescent="0.35">
      <c r="B1688" s="4" t="s">
        <v>3244</v>
      </c>
      <c r="C1688" s="4" t="s">
        <v>7408</v>
      </c>
      <c r="D1688" s="4" t="s">
        <v>5</v>
      </c>
      <c r="E1688" s="4" t="s">
        <v>30</v>
      </c>
      <c r="F1688" s="4" t="s">
        <v>31</v>
      </c>
      <c r="G1688" s="4" t="s">
        <v>32</v>
      </c>
      <c r="H1688" s="4" t="s">
        <v>80</v>
      </c>
      <c r="I1688" s="5" t="str">
        <f>IFERROR(VLOOKUP(Consulta1[[#This Row],[Pozo largo]],'Lista YPF'!$B$3:$C$358,2,FALSE),"NO")</f>
        <v>NO</v>
      </c>
      <c r="J1688" s="5" t="str">
        <f>IFERROR(VLOOKUP(Consulta1[[#This Row],[Pozo]],'Lista Oportunidades'!B:C,2,FALSE),"NO")</f>
        <v>NO</v>
      </c>
      <c r="K1688" s="5">
        <f>IFERROR(VLOOKUP(Consulta1[[#This Row],[Pozo largo]],Controles!B:H,7,FALSE),"NO")</f>
        <v>8.900000000000001E-2</v>
      </c>
      <c r="L1688" s="5">
        <f>IFERROR(VLOOKUP(Consulta1[[#This Row],[Pozo largo]],Controles!B:J,9,FALSE),"NO")</f>
        <v>0</v>
      </c>
    </row>
    <row r="1689" spans="2:12" x14ac:dyDescent="0.35">
      <c r="B1689" s="4" t="s">
        <v>3246</v>
      </c>
      <c r="C1689" s="4" t="s">
        <v>7409</v>
      </c>
      <c r="D1689" s="4" t="s">
        <v>5</v>
      </c>
      <c r="E1689" s="4" t="s">
        <v>12</v>
      </c>
      <c r="F1689" s="4" t="s">
        <v>28</v>
      </c>
      <c r="G1689" s="4" t="s">
        <v>13</v>
      </c>
      <c r="H1689" s="4" t="s">
        <v>80</v>
      </c>
      <c r="I1689" s="5" t="str">
        <f>IFERROR(VLOOKUP(Consulta1[[#This Row],[Pozo largo]],'Lista YPF'!$B$3:$C$358,2,FALSE),"NO")</f>
        <v>NO</v>
      </c>
      <c r="J1689" s="5" t="str">
        <f>IFERROR(VLOOKUP(Consulta1[[#This Row],[Pozo]],'Lista Oportunidades'!B:C,2,FALSE),"NO")</f>
        <v>NO</v>
      </c>
      <c r="K1689" s="5">
        <f>IFERROR(VLOOKUP(Consulta1[[#This Row],[Pozo largo]],Controles!B:H,7,FALSE),"NO")</f>
        <v>0</v>
      </c>
      <c r="L1689" s="5">
        <f>IFERROR(VLOOKUP(Consulta1[[#This Row],[Pozo largo]],Controles!B:J,9,FALSE),"NO")</f>
        <v>0</v>
      </c>
    </row>
    <row r="1690" spans="2:12" x14ac:dyDescent="0.35">
      <c r="B1690" s="4" t="s">
        <v>3248</v>
      </c>
      <c r="C1690" s="4" t="s">
        <v>7410</v>
      </c>
      <c r="D1690" s="4" t="s">
        <v>5</v>
      </c>
      <c r="E1690" s="4" t="s">
        <v>430</v>
      </c>
      <c r="F1690" s="4" t="s">
        <v>7</v>
      </c>
      <c r="G1690" s="4" t="s">
        <v>5718</v>
      </c>
      <c r="H1690" s="4" t="s">
        <v>86</v>
      </c>
      <c r="I1690" s="5" t="str">
        <f>IFERROR(VLOOKUP(Consulta1[[#This Row],[Pozo largo]],'Lista YPF'!$B$3:$C$358,2,FALSE),"NO")</f>
        <v>En lista de Abandono</v>
      </c>
      <c r="J1690" s="5" t="str">
        <f>IFERROR(VLOOKUP(Consulta1[[#This Row],[Pozo]],'Lista Oportunidades'!B:C,2,FALSE),"NO")</f>
        <v>NO</v>
      </c>
      <c r="K1690" s="5">
        <f>IFERROR(VLOOKUP(Consulta1[[#This Row],[Pozo largo]],Controles!B:H,7,FALSE),"NO")</f>
        <v>0.47500000000000003</v>
      </c>
      <c r="L1690" s="5">
        <f>IFERROR(VLOOKUP(Consulta1[[#This Row],[Pozo largo]],Controles!B:J,9,FALSE),"NO")</f>
        <v>0</v>
      </c>
    </row>
    <row r="1691" spans="2:12" x14ac:dyDescent="0.35">
      <c r="B1691" s="4" t="s">
        <v>3250</v>
      </c>
      <c r="C1691" s="4" t="s">
        <v>7411</v>
      </c>
      <c r="D1691" s="4" t="s">
        <v>5</v>
      </c>
      <c r="E1691" s="4" t="s">
        <v>24</v>
      </c>
      <c r="F1691" s="4" t="s">
        <v>7</v>
      </c>
      <c r="G1691" s="4" t="s">
        <v>8</v>
      </c>
      <c r="H1691" s="4" t="s">
        <v>86</v>
      </c>
      <c r="I1691" s="5" t="str">
        <f>IFERROR(VLOOKUP(Consulta1[[#This Row],[Pozo largo]],'Lista YPF'!$B$3:$C$358,2,FALSE),"NO")</f>
        <v>NO</v>
      </c>
      <c r="J1691" s="5" t="str">
        <f>IFERROR(VLOOKUP(Consulta1[[#This Row],[Pozo]],'Lista Oportunidades'!B:C,2,FALSE),"NO")</f>
        <v>NO</v>
      </c>
      <c r="K1691" s="5">
        <f>IFERROR(VLOOKUP(Consulta1[[#This Row],[Pozo largo]],Controles!B:H,7,FALSE),"NO")</f>
        <v>8.5000000000000006E-2</v>
      </c>
      <c r="L1691" s="5">
        <f>IFERROR(VLOOKUP(Consulta1[[#This Row],[Pozo largo]],Controles!B:J,9,FALSE),"NO")</f>
        <v>0</v>
      </c>
    </row>
    <row r="1692" spans="2:12" x14ac:dyDescent="0.35">
      <c r="B1692" s="4" t="s">
        <v>3252</v>
      </c>
      <c r="C1692" s="4" t="s">
        <v>7412</v>
      </c>
      <c r="D1692" s="4" t="s">
        <v>5</v>
      </c>
      <c r="E1692" s="4" t="s">
        <v>57</v>
      </c>
      <c r="F1692" s="4" t="s">
        <v>31</v>
      </c>
      <c r="G1692" s="4" t="s">
        <v>11387</v>
      </c>
      <c r="H1692" s="4" t="s">
        <v>86</v>
      </c>
      <c r="I1692" s="5" t="str">
        <f>IFERROR(VLOOKUP(Consulta1[[#This Row],[Pozo largo]],'Lista YPF'!$B$3:$C$358,2,FALSE),"NO")</f>
        <v>NO</v>
      </c>
      <c r="J1692" s="5" t="str">
        <f>IFERROR(VLOOKUP(Consulta1[[#This Row],[Pozo]],'Lista Oportunidades'!B:C,2,FALSE),"NO")</f>
        <v>NO</v>
      </c>
      <c r="K1692" s="5">
        <f>IFERROR(VLOOKUP(Consulta1[[#This Row],[Pozo largo]],Controles!B:H,7,FALSE),"NO")</f>
        <v>0.42</v>
      </c>
      <c r="L1692" s="5" t="str">
        <f>IFERROR(VLOOKUP(Consulta1[[#This Row],[Pozo largo]],Controles!B:J,9,FALSE),"NO")</f>
        <v>Ultimo Año</v>
      </c>
    </row>
    <row r="1693" spans="2:12" x14ac:dyDescent="0.35">
      <c r="B1693" s="4" t="s">
        <v>3254</v>
      </c>
      <c r="C1693" s="4" t="s">
        <v>7413</v>
      </c>
      <c r="D1693" s="4" t="s">
        <v>5</v>
      </c>
      <c r="E1693" s="4" t="s">
        <v>12</v>
      </c>
      <c r="F1693" s="4" t="s">
        <v>25</v>
      </c>
      <c r="G1693" s="4" t="s">
        <v>13</v>
      </c>
      <c r="H1693" s="4" t="s">
        <v>84</v>
      </c>
      <c r="I1693" s="5" t="str">
        <f>IFERROR(VLOOKUP(Consulta1[[#This Row],[Pozo largo]],'Lista YPF'!$B$3:$C$358,2,FALSE),"NO")</f>
        <v>NO</v>
      </c>
      <c r="J1693" s="5" t="str">
        <f>IFERROR(VLOOKUP(Consulta1[[#This Row],[Pozo]],'Lista Oportunidades'!B:C,2,FALSE),"NO")</f>
        <v>NO</v>
      </c>
      <c r="K1693" s="5">
        <f>IFERROR(VLOOKUP(Consulta1[[#This Row],[Pozo largo]],Controles!B:H,7,FALSE),"NO")</f>
        <v>0.10400000000000001</v>
      </c>
      <c r="L1693" s="5">
        <f>IFERROR(VLOOKUP(Consulta1[[#This Row],[Pozo largo]],Controles!B:J,9,FALSE),"NO")</f>
        <v>0</v>
      </c>
    </row>
    <row r="1694" spans="2:12" x14ac:dyDescent="0.35">
      <c r="B1694" s="4" t="s">
        <v>3256</v>
      </c>
      <c r="C1694" s="4" t="s">
        <v>7414</v>
      </c>
      <c r="D1694" s="4" t="s">
        <v>5</v>
      </c>
      <c r="E1694" s="4" t="s">
        <v>12</v>
      </c>
      <c r="F1694" s="4" t="s">
        <v>7</v>
      </c>
      <c r="G1694" s="4" t="s">
        <v>13</v>
      </c>
      <c r="H1694" s="4" t="s">
        <v>86</v>
      </c>
      <c r="I1694" s="5" t="str">
        <f>IFERROR(VLOOKUP(Consulta1[[#This Row],[Pozo largo]],'Lista YPF'!$B$3:$C$358,2,FALSE),"NO")</f>
        <v>NO</v>
      </c>
      <c r="J1694" s="5" t="str">
        <f>IFERROR(VLOOKUP(Consulta1[[#This Row],[Pozo]],'Lista Oportunidades'!B:C,2,FALSE),"NO")</f>
        <v>NO</v>
      </c>
      <c r="K1694" s="5">
        <f>IFERROR(VLOOKUP(Consulta1[[#This Row],[Pozo largo]],Controles!B:H,7,FALSE),"NO")</f>
        <v>7.0000000000000007E-2</v>
      </c>
      <c r="L1694" s="5">
        <f>IFERROR(VLOOKUP(Consulta1[[#This Row],[Pozo largo]],Controles!B:J,9,FALSE),"NO")</f>
        <v>0</v>
      </c>
    </row>
    <row r="1695" spans="2:12" x14ac:dyDescent="0.35">
      <c r="B1695" s="4" t="s">
        <v>3258</v>
      </c>
      <c r="C1695" s="4" t="s">
        <v>7415</v>
      </c>
      <c r="D1695" s="4" t="s">
        <v>5</v>
      </c>
      <c r="E1695" s="4" t="s">
        <v>6</v>
      </c>
      <c r="F1695" s="4" t="s">
        <v>28</v>
      </c>
      <c r="G1695" s="4" t="s">
        <v>5718</v>
      </c>
      <c r="H1695" s="4" t="s">
        <v>86</v>
      </c>
      <c r="I1695" s="5" t="str">
        <f>IFERROR(VLOOKUP(Consulta1[[#This Row],[Pozo largo]],'Lista YPF'!$B$3:$C$358,2,FALSE),"NO")</f>
        <v>En lista de Abandono</v>
      </c>
      <c r="J1695" s="5" t="str">
        <f>IFERROR(VLOOKUP(Consulta1[[#This Row],[Pozo]],'Lista Oportunidades'!B:C,2,FALSE),"NO")</f>
        <v>NO</v>
      </c>
      <c r="K1695" s="5">
        <f>IFERROR(VLOOKUP(Consulta1[[#This Row],[Pozo largo]],Controles!B:H,7,FALSE),"NO")</f>
        <v>0</v>
      </c>
      <c r="L1695" s="5">
        <f>IFERROR(VLOOKUP(Consulta1[[#This Row],[Pozo largo]],Controles!B:J,9,FALSE),"NO")</f>
        <v>0</v>
      </c>
    </row>
    <row r="1696" spans="2:12" x14ac:dyDescent="0.35">
      <c r="B1696" s="4" t="s">
        <v>3260</v>
      </c>
      <c r="C1696" s="4" t="s">
        <v>7416</v>
      </c>
      <c r="D1696" s="4" t="s">
        <v>5</v>
      </c>
      <c r="E1696" s="4" t="s">
        <v>12</v>
      </c>
      <c r="F1696" s="4" t="s">
        <v>7</v>
      </c>
      <c r="G1696" s="4" t="s">
        <v>13</v>
      </c>
      <c r="H1696" s="4" t="s">
        <v>71</v>
      </c>
      <c r="I1696" s="5" t="str">
        <f>IFERROR(VLOOKUP(Consulta1[[#This Row],[Pozo largo]],'Lista YPF'!$B$3:$C$358,2,FALSE),"NO")</f>
        <v>NO</v>
      </c>
      <c r="J1696" s="5" t="str">
        <f>IFERROR(VLOOKUP(Consulta1[[#This Row],[Pozo]],'Lista Oportunidades'!B:C,2,FALSE),"NO")</f>
        <v>NO</v>
      </c>
      <c r="K1696" s="5">
        <f>IFERROR(VLOOKUP(Consulta1[[#This Row],[Pozo largo]],Controles!B:H,7,FALSE),"NO")</f>
        <v>0.84</v>
      </c>
      <c r="L1696" s="5">
        <f>IFERROR(VLOOKUP(Consulta1[[#This Row],[Pozo largo]],Controles!B:J,9,FALSE),"NO")</f>
        <v>0</v>
      </c>
    </row>
    <row r="1697" spans="2:12" x14ac:dyDescent="0.35">
      <c r="B1697" s="4" t="s">
        <v>3262</v>
      </c>
      <c r="C1697" s="4" t="s">
        <v>7417</v>
      </c>
      <c r="D1697" s="4" t="s">
        <v>5</v>
      </c>
      <c r="E1697" s="4" t="s">
        <v>12</v>
      </c>
      <c r="F1697" s="4" t="s">
        <v>7</v>
      </c>
      <c r="G1697" s="4" t="s">
        <v>13</v>
      </c>
      <c r="H1697" s="4" t="s">
        <v>185</v>
      </c>
      <c r="I1697" s="5" t="str">
        <f>IFERROR(VLOOKUP(Consulta1[[#This Row],[Pozo largo]],'Lista YPF'!$B$3:$C$358,2,FALSE),"NO")</f>
        <v>NO</v>
      </c>
      <c r="J1697" s="5" t="str">
        <f>IFERROR(VLOOKUP(Consulta1[[#This Row],[Pozo]],'Lista Oportunidades'!B:C,2,FALSE),"NO")</f>
        <v>NO</v>
      </c>
      <c r="K1697" s="5">
        <f>IFERROR(VLOOKUP(Consulta1[[#This Row],[Pozo largo]],Controles!B:H,7,FALSE),"NO")</f>
        <v>0.52</v>
      </c>
      <c r="L1697" s="5">
        <f>IFERROR(VLOOKUP(Consulta1[[#This Row],[Pozo largo]],Controles!B:J,9,FALSE),"NO")</f>
        <v>0</v>
      </c>
    </row>
    <row r="1698" spans="2:12" x14ac:dyDescent="0.35">
      <c r="B1698" s="4" t="s">
        <v>3264</v>
      </c>
      <c r="C1698" s="4" t="s">
        <v>7418</v>
      </c>
      <c r="D1698" s="4" t="s">
        <v>5</v>
      </c>
      <c r="E1698" s="4" t="s">
        <v>12</v>
      </c>
      <c r="F1698" s="4" t="s">
        <v>25</v>
      </c>
      <c r="G1698" s="4" t="s">
        <v>13</v>
      </c>
      <c r="H1698" s="4" t="s">
        <v>185</v>
      </c>
      <c r="I1698" s="5" t="str">
        <f>IFERROR(VLOOKUP(Consulta1[[#This Row],[Pozo largo]],'Lista YPF'!$B$3:$C$358,2,FALSE),"NO")</f>
        <v>NO</v>
      </c>
      <c r="J1698" s="5" t="str">
        <f>IFERROR(VLOOKUP(Consulta1[[#This Row],[Pozo]],'Lista Oportunidades'!B:C,2,FALSE),"NO")</f>
        <v>NO</v>
      </c>
      <c r="K1698" s="5">
        <f>IFERROR(VLOOKUP(Consulta1[[#This Row],[Pozo largo]],Controles!B:H,7,FALSE),"NO")</f>
        <v>0.10400000000000001</v>
      </c>
      <c r="L1698" s="5">
        <f>IFERROR(VLOOKUP(Consulta1[[#This Row],[Pozo largo]],Controles!B:J,9,FALSE),"NO")</f>
        <v>0</v>
      </c>
    </row>
    <row r="1699" spans="2:12" x14ac:dyDescent="0.35">
      <c r="B1699" s="4" t="s">
        <v>3266</v>
      </c>
      <c r="C1699" s="4" t="s">
        <v>7419</v>
      </c>
      <c r="D1699" s="4" t="s">
        <v>5</v>
      </c>
      <c r="E1699" s="4" t="s">
        <v>12</v>
      </c>
      <c r="F1699" s="4" t="s">
        <v>7</v>
      </c>
      <c r="G1699" s="4" t="s">
        <v>13</v>
      </c>
      <c r="H1699" s="4" t="s">
        <v>141</v>
      </c>
      <c r="I1699" s="5" t="str">
        <f>IFERROR(VLOOKUP(Consulta1[[#This Row],[Pozo largo]],'Lista YPF'!$B$3:$C$358,2,FALSE),"NO")</f>
        <v>NO</v>
      </c>
      <c r="J1699" s="5" t="str">
        <f>IFERROR(VLOOKUP(Consulta1[[#This Row],[Pozo]],'Lista Oportunidades'!B:C,2,FALSE),"NO")</f>
        <v>NO</v>
      </c>
      <c r="K1699" s="5">
        <f>IFERROR(VLOOKUP(Consulta1[[#This Row],[Pozo largo]],Controles!B:H,7,FALSE),"NO")</f>
        <v>2.1</v>
      </c>
      <c r="L1699" s="5">
        <f>IFERROR(VLOOKUP(Consulta1[[#This Row],[Pozo largo]],Controles!B:J,9,FALSE),"NO")</f>
        <v>0</v>
      </c>
    </row>
    <row r="1700" spans="2:12" x14ac:dyDescent="0.35">
      <c r="B1700" s="4" t="s">
        <v>3268</v>
      </c>
      <c r="C1700" s="4" t="s">
        <v>7420</v>
      </c>
      <c r="D1700" s="4" t="s">
        <v>5</v>
      </c>
      <c r="E1700" s="4" t="s">
        <v>12</v>
      </c>
      <c r="F1700" s="4" t="s">
        <v>7</v>
      </c>
      <c r="G1700" s="4" t="s">
        <v>13</v>
      </c>
      <c r="H1700" s="4" t="s">
        <v>71</v>
      </c>
      <c r="I1700" s="5" t="str">
        <f>IFERROR(VLOOKUP(Consulta1[[#This Row],[Pozo largo]],'Lista YPF'!$B$3:$C$358,2,FALSE),"NO")</f>
        <v>NO</v>
      </c>
      <c r="J1700" s="5" t="str">
        <f>IFERROR(VLOOKUP(Consulta1[[#This Row],[Pozo]],'Lista Oportunidades'!B:C,2,FALSE),"NO")</f>
        <v>NO</v>
      </c>
      <c r="K1700" s="5">
        <f>IFERROR(VLOOKUP(Consulta1[[#This Row],[Pozo largo]],Controles!B:H,7,FALSE),"NO")</f>
        <v>1.1000000000000001</v>
      </c>
      <c r="L1700" s="5">
        <f>IFERROR(VLOOKUP(Consulta1[[#This Row],[Pozo largo]],Controles!B:J,9,FALSE),"NO")</f>
        <v>0</v>
      </c>
    </row>
    <row r="1701" spans="2:12" x14ac:dyDescent="0.35">
      <c r="B1701" s="4" t="s">
        <v>3270</v>
      </c>
      <c r="C1701" s="4" t="s">
        <v>7421</v>
      </c>
      <c r="D1701" s="4" t="s">
        <v>5</v>
      </c>
      <c r="E1701" s="4" t="s">
        <v>24</v>
      </c>
      <c r="F1701" s="4" t="s">
        <v>31</v>
      </c>
      <c r="G1701" s="4" t="s">
        <v>8</v>
      </c>
      <c r="H1701" s="4" t="s">
        <v>185</v>
      </c>
      <c r="I1701" s="5" t="str">
        <f>IFERROR(VLOOKUP(Consulta1[[#This Row],[Pozo largo]],'Lista YPF'!$B$3:$C$358,2,FALSE),"NO")</f>
        <v>NO</v>
      </c>
      <c r="J1701" s="5" t="str">
        <f>IFERROR(VLOOKUP(Consulta1[[#This Row],[Pozo]],'Lista Oportunidades'!B:C,2,FALSE),"NO")</f>
        <v>NO</v>
      </c>
      <c r="K1701" s="5">
        <f>IFERROR(VLOOKUP(Consulta1[[#This Row],[Pozo largo]],Controles!B:H,7,FALSE),"NO")</f>
        <v>0.64</v>
      </c>
      <c r="L1701" s="5">
        <f>IFERROR(VLOOKUP(Consulta1[[#This Row],[Pozo largo]],Controles!B:J,9,FALSE),"NO")</f>
        <v>0</v>
      </c>
    </row>
    <row r="1702" spans="2:12" x14ac:dyDescent="0.35">
      <c r="B1702" s="4" t="s">
        <v>3272</v>
      </c>
      <c r="C1702" s="4" t="s">
        <v>7422</v>
      </c>
      <c r="D1702" s="4" t="s">
        <v>5</v>
      </c>
      <c r="E1702" s="4" t="s">
        <v>12</v>
      </c>
      <c r="F1702" s="4" t="s">
        <v>238</v>
      </c>
      <c r="G1702" s="4" t="s">
        <v>13</v>
      </c>
      <c r="H1702" s="4" t="s">
        <v>141</v>
      </c>
      <c r="I1702" s="5" t="str">
        <f>IFERROR(VLOOKUP(Consulta1[[#This Row],[Pozo largo]],'Lista YPF'!$B$3:$C$358,2,FALSE),"NO")</f>
        <v>NO</v>
      </c>
      <c r="J1702" s="5" t="str">
        <f>IFERROR(VLOOKUP(Consulta1[[#This Row],[Pozo]],'Lista Oportunidades'!B:C,2,FALSE),"NO")</f>
        <v>NO</v>
      </c>
      <c r="K1702" s="5">
        <f>IFERROR(VLOOKUP(Consulta1[[#This Row],[Pozo largo]],Controles!B:H,7,FALSE),"NO")</f>
        <v>1.375</v>
      </c>
      <c r="L1702" s="5">
        <f>IFERROR(VLOOKUP(Consulta1[[#This Row],[Pozo largo]],Controles!B:J,9,FALSE),"NO")</f>
        <v>0</v>
      </c>
    </row>
    <row r="1703" spans="2:12" x14ac:dyDescent="0.35">
      <c r="B1703" s="4" t="s">
        <v>3274</v>
      </c>
      <c r="C1703" s="4" t="s">
        <v>7423</v>
      </c>
      <c r="D1703" s="4" t="s">
        <v>5</v>
      </c>
      <c r="E1703" s="4" t="s">
        <v>12</v>
      </c>
      <c r="F1703" s="4" t="s">
        <v>7</v>
      </c>
      <c r="G1703" s="4" t="s">
        <v>13</v>
      </c>
      <c r="H1703" s="4" t="s">
        <v>185</v>
      </c>
      <c r="I1703" s="5" t="str">
        <f>IFERROR(VLOOKUP(Consulta1[[#This Row],[Pozo largo]],'Lista YPF'!$B$3:$C$358,2,FALSE),"NO")</f>
        <v>NO</v>
      </c>
      <c r="J1703" s="5" t="str">
        <f>IFERROR(VLOOKUP(Consulta1[[#This Row],[Pozo]],'Lista Oportunidades'!B:C,2,FALSE),"NO")</f>
        <v>NO</v>
      </c>
      <c r="K1703" s="5">
        <f>IFERROR(VLOOKUP(Consulta1[[#This Row],[Pozo largo]],Controles!B:H,7,FALSE),"NO")</f>
        <v>1.798</v>
      </c>
      <c r="L1703" s="5">
        <f>IFERROR(VLOOKUP(Consulta1[[#This Row],[Pozo largo]],Controles!B:J,9,FALSE),"NO")</f>
        <v>0</v>
      </c>
    </row>
    <row r="1704" spans="2:12" x14ac:dyDescent="0.35">
      <c r="B1704" s="4" t="s">
        <v>3276</v>
      </c>
      <c r="C1704" s="4" t="s">
        <v>7424</v>
      </c>
      <c r="D1704" s="4" t="s">
        <v>5</v>
      </c>
      <c r="E1704" s="4" t="s">
        <v>30</v>
      </c>
      <c r="F1704" s="4" t="s">
        <v>31</v>
      </c>
      <c r="G1704" s="4" t="s">
        <v>32</v>
      </c>
      <c r="H1704" s="4" t="s">
        <v>80</v>
      </c>
      <c r="I1704" s="5" t="str">
        <f>IFERROR(VLOOKUP(Consulta1[[#This Row],[Pozo largo]],'Lista YPF'!$B$3:$C$358,2,FALSE),"NO")</f>
        <v>NO</v>
      </c>
      <c r="J1704" s="5" t="str">
        <f>IFERROR(VLOOKUP(Consulta1[[#This Row],[Pozo]],'Lista Oportunidades'!B:C,2,FALSE),"NO")</f>
        <v>NO</v>
      </c>
      <c r="K1704" s="5">
        <f>IFERROR(VLOOKUP(Consulta1[[#This Row],[Pozo largo]],Controles!B:H,7,FALSE),"NO")</f>
        <v>0.08</v>
      </c>
      <c r="L1704" s="5">
        <f>IFERROR(VLOOKUP(Consulta1[[#This Row],[Pozo largo]],Controles!B:J,9,FALSE),"NO")</f>
        <v>0</v>
      </c>
    </row>
    <row r="1705" spans="2:12" x14ac:dyDescent="0.35">
      <c r="B1705" s="4" t="s">
        <v>3278</v>
      </c>
      <c r="C1705" s="4" t="s">
        <v>7425</v>
      </c>
      <c r="D1705" s="4" t="s">
        <v>5</v>
      </c>
      <c r="E1705" s="4" t="s">
        <v>24</v>
      </c>
      <c r="F1705" s="4" t="s">
        <v>28</v>
      </c>
      <c r="G1705" s="4" t="s">
        <v>8</v>
      </c>
      <c r="H1705" s="4" t="s">
        <v>71</v>
      </c>
      <c r="I1705" s="5" t="str">
        <f>IFERROR(VLOOKUP(Consulta1[[#This Row],[Pozo largo]],'Lista YPF'!$B$3:$C$358,2,FALSE),"NO")</f>
        <v>NO</v>
      </c>
      <c r="J1705" s="5" t="str">
        <f>IFERROR(VLOOKUP(Consulta1[[#This Row],[Pozo]],'Lista Oportunidades'!B:C,2,FALSE),"NO")</f>
        <v>NO</v>
      </c>
      <c r="K1705" s="5">
        <f>IFERROR(VLOOKUP(Consulta1[[#This Row],[Pozo largo]],Controles!B:H,7,FALSE),"NO")</f>
        <v>0</v>
      </c>
      <c r="L1705" s="5">
        <f>IFERROR(VLOOKUP(Consulta1[[#This Row],[Pozo largo]],Controles!B:J,9,FALSE),"NO")</f>
        <v>0</v>
      </c>
    </row>
    <row r="1706" spans="2:12" x14ac:dyDescent="0.35">
      <c r="B1706" s="4" t="s">
        <v>3280</v>
      </c>
      <c r="C1706" s="4" t="s">
        <v>7426</v>
      </c>
      <c r="D1706" s="4" t="s">
        <v>5</v>
      </c>
      <c r="E1706" s="4" t="s">
        <v>12</v>
      </c>
      <c r="F1706" s="4" t="s">
        <v>7</v>
      </c>
      <c r="G1706" s="4" t="s">
        <v>13</v>
      </c>
      <c r="H1706" s="4" t="s">
        <v>33</v>
      </c>
      <c r="I1706" s="5" t="str">
        <f>IFERROR(VLOOKUP(Consulta1[[#This Row],[Pozo largo]],'Lista YPF'!$B$3:$C$358,2,FALSE),"NO")</f>
        <v>NO</v>
      </c>
      <c r="J1706" s="5" t="str">
        <f>IFERROR(VLOOKUP(Consulta1[[#This Row],[Pozo]],'Lista Oportunidades'!B:C,2,FALSE),"NO")</f>
        <v>NO</v>
      </c>
      <c r="K1706" s="5">
        <f>IFERROR(VLOOKUP(Consulta1[[#This Row],[Pozo largo]],Controles!B:H,7,FALSE),"NO")</f>
        <v>1.109</v>
      </c>
      <c r="L1706" s="5">
        <f>IFERROR(VLOOKUP(Consulta1[[#This Row],[Pozo largo]],Controles!B:J,9,FALSE),"NO")</f>
        <v>0</v>
      </c>
    </row>
    <row r="1707" spans="2:12" x14ac:dyDescent="0.35">
      <c r="B1707" s="4" t="s">
        <v>3282</v>
      </c>
      <c r="C1707" s="4" t="s">
        <v>7427</v>
      </c>
      <c r="D1707" s="4" t="s">
        <v>5</v>
      </c>
      <c r="E1707" s="4" t="s">
        <v>6</v>
      </c>
      <c r="F1707" s="4" t="s">
        <v>31</v>
      </c>
      <c r="G1707" s="4" t="s">
        <v>5718</v>
      </c>
      <c r="H1707" s="4" t="s">
        <v>21</v>
      </c>
      <c r="I1707" s="5" t="str">
        <f>IFERROR(VLOOKUP(Consulta1[[#This Row],[Pozo largo]],'Lista YPF'!$B$3:$C$358,2,FALSE),"NO")</f>
        <v>En lista de Abandono</v>
      </c>
      <c r="J1707" s="5" t="str">
        <f>IFERROR(VLOOKUP(Consulta1[[#This Row],[Pozo]],'Lista Oportunidades'!B:C,2,FALSE),"NO")</f>
        <v>NO</v>
      </c>
      <c r="K1707" s="5">
        <f>IFERROR(VLOOKUP(Consulta1[[#This Row],[Pozo largo]],Controles!B:H,7,FALSE),"NO")</f>
        <v>0.68500000000000005</v>
      </c>
      <c r="L1707" s="5">
        <f>IFERROR(VLOOKUP(Consulta1[[#This Row],[Pozo largo]],Controles!B:J,9,FALSE),"NO")</f>
        <v>0</v>
      </c>
    </row>
    <row r="1708" spans="2:12" x14ac:dyDescent="0.35">
      <c r="B1708" s="4" t="s">
        <v>3284</v>
      </c>
      <c r="C1708" s="4" t="s">
        <v>7428</v>
      </c>
      <c r="D1708" s="4" t="s">
        <v>5</v>
      </c>
      <c r="E1708" s="4" t="s">
        <v>12</v>
      </c>
      <c r="F1708" s="4" t="s">
        <v>7</v>
      </c>
      <c r="G1708" s="4" t="s">
        <v>13</v>
      </c>
      <c r="H1708" s="4" t="s">
        <v>21</v>
      </c>
      <c r="I1708" s="5" t="str">
        <f>IFERROR(VLOOKUP(Consulta1[[#This Row],[Pozo largo]],'Lista YPF'!$B$3:$C$358,2,FALSE),"NO")</f>
        <v>NO</v>
      </c>
      <c r="J1708" s="5" t="str">
        <f>IFERROR(VLOOKUP(Consulta1[[#This Row],[Pozo]],'Lista Oportunidades'!B:C,2,FALSE),"NO")</f>
        <v>NO</v>
      </c>
      <c r="K1708" s="5">
        <f>IFERROR(VLOOKUP(Consulta1[[#This Row],[Pozo largo]],Controles!B:H,7,FALSE),"NO")</f>
        <v>0.78</v>
      </c>
      <c r="L1708" s="5">
        <f>IFERROR(VLOOKUP(Consulta1[[#This Row],[Pozo largo]],Controles!B:J,9,FALSE),"NO")</f>
        <v>0</v>
      </c>
    </row>
    <row r="1709" spans="2:12" x14ac:dyDescent="0.35">
      <c r="B1709" s="4" t="s">
        <v>3286</v>
      </c>
      <c r="C1709" s="4" t="s">
        <v>7429</v>
      </c>
      <c r="D1709" s="4" t="s">
        <v>5</v>
      </c>
      <c r="E1709" s="4" t="s">
        <v>430</v>
      </c>
      <c r="F1709" s="4" t="s">
        <v>7</v>
      </c>
      <c r="G1709" s="4" t="s">
        <v>5718</v>
      </c>
      <c r="H1709" s="4" t="s">
        <v>33</v>
      </c>
      <c r="I1709" s="5" t="str">
        <f>IFERROR(VLOOKUP(Consulta1[[#This Row],[Pozo largo]],'Lista YPF'!$B$3:$C$358,2,FALSE),"NO")</f>
        <v>En lista de Abandono</v>
      </c>
      <c r="J1709" s="5" t="str">
        <f>IFERROR(VLOOKUP(Consulta1[[#This Row],[Pozo]],'Lista Oportunidades'!B:C,2,FALSE),"NO")</f>
        <v>NO</v>
      </c>
      <c r="K1709" s="5">
        <f>IFERROR(VLOOKUP(Consulta1[[#This Row],[Pozo largo]],Controles!B:H,7,FALSE),"NO")</f>
        <v>0.45</v>
      </c>
      <c r="L1709" s="5">
        <f>IFERROR(VLOOKUP(Consulta1[[#This Row],[Pozo largo]],Controles!B:J,9,FALSE),"NO")</f>
        <v>0</v>
      </c>
    </row>
    <row r="1710" spans="2:12" x14ac:dyDescent="0.35">
      <c r="B1710" s="4" t="s">
        <v>3288</v>
      </c>
      <c r="C1710" s="4" t="s">
        <v>7430</v>
      </c>
      <c r="D1710" s="4" t="s">
        <v>5</v>
      </c>
      <c r="E1710" s="4" t="s">
        <v>30</v>
      </c>
      <c r="F1710" s="4" t="s">
        <v>31</v>
      </c>
      <c r="G1710" s="4" t="s">
        <v>32</v>
      </c>
      <c r="H1710" s="4" t="s">
        <v>141</v>
      </c>
      <c r="I1710" s="5" t="str">
        <f>IFERROR(VLOOKUP(Consulta1[[#This Row],[Pozo largo]],'Lista YPF'!$B$3:$C$358,2,FALSE),"NO")</f>
        <v>NO</v>
      </c>
      <c r="J1710" s="5" t="str">
        <f>IFERROR(VLOOKUP(Consulta1[[#This Row],[Pozo]],'Lista Oportunidades'!B:C,2,FALSE),"NO")</f>
        <v>NO</v>
      </c>
      <c r="K1710" s="5" t="str">
        <f>IFERROR(VLOOKUP(Consulta1[[#This Row],[Pozo largo]],Controles!B:H,7,FALSE),"NO")</f>
        <v>NO</v>
      </c>
      <c r="L1710" s="5" t="str">
        <f>IFERROR(VLOOKUP(Consulta1[[#This Row],[Pozo largo]],Controles!B:J,9,FALSE),"NO")</f>
        <v>NO</v>
      </c>
    </row>
    <row r="1711" spans="2:12" x14ac:dyDescent="0.35">
      <c r="B1711" s="4" t="s">
        <v>3289</v>
      </c>
      <c r="C1711" s="4" t="s">
        <v>7431</v>
      </c>
      <c r="D1711" s="4" t="s">
        <v>5</v>
      </c>
      <c r="E1711" s="4" t="s">
        <v>24</v>
      </c>
      <c r="F1711" s="4" t="s">
        <v>31</v>
      </c>
      <c r="G1711" s="4" t="s">
        <v>8</v>
      </c>
      <c r="H1711" s="4" t="s">
        <v>9</v>
      </c>
      <c r="I1711" s="5" t="str">
        <f>IFERROR(VLOOKUP(Consulta1[[#This Row],[Pozo largo]],'Lista YPF'!$B$3:$C$358,2,FALSE),"NO")</f>
        <v>NO</v>
      </c>
      <c r="J1711" s="5" t="str">
        <f>IFERROR(VLOOKUP(Consulta1[[#This Row],[Pozo]],'Lista Oportunidades'!B:C,2,FALSE),"NO")</f>
        <v>NO</v>
      </c>
      <c r="K1711" s="5">
        <f>IFERROR(VLOOKUP(Consulta1[[#This Row],[Pozo largo]],Controles!B:H,7,FALSE),"NO")</f>
        <v>0.74</v>
      </c>
      <c r="L1711" s="5">
        <f>IFERROR(VLOOKUP(Consulta1[[#This Row],[Pozo largo]],Controles!B:J,9,FALSE),"NO")</f>
        <v>0</v>
      </c>
    </row>
    <row r="1712" spans="2:12" x14ac:dyDescent="0.35">
      <c r="B1712" s="4" t="s">
        <v>3291</v>
      </c>
      <c r="C1712" s="4" t="s">
        <v>7432</v>
      </c>
      <c r="D1712" s="4" t="s">
        <v>5</v>
      </c>
      <c r="E1712" s="4" t="s">
        <v>6</v>
      </c>
      <c r="F1712" s="4" t="s">
        <v>7</v>
      </c>
      <c r="G1712" s="4" t="s">
        <v>5718</v>
      </c>
      <c r="H1712" s="4" t="s">
        <v>71</v>
      </c>
      <c r="I1712" s="5" t="str">
        <f>IFERROR(VLOOKUP(Consulta1[[#This Row],[Pozo largo]],'Lista YPF'!$B$3:$C$358,2,FALSE),"NO")</f>
        <v>En lista de Abandono</v>
      </c>
      <c r="J1712" s="5" t="str">
        <f>IFERROR(VLOOKUP(Consulta1[[#This Row],[Pozo]],'Lista Oportunidades'!B:C,2,FALSE),"NO")</f>
        <v>NO</v>
      </c>
      <c r="K1712" s="5">
        <f>IFERROR(VLOOKUP(Consulta1[[#This Row],[Pozo largo]],Controles!B:H,7,FALSE),"NO")</f>
        <v>0.26500000000000001</v>
      </c>
      <c r="L1712" s="5">
        <f>IFERROR(VLOOKUP(Consulta1[[#This Row],[Pozo largo]],Controles!B:J,9,FALSE),"NO")</f>
        <v>0</v>
      </c>
    </row>
    <row r="1713" spans="2:12" x14ac:dyDescent="0.35">
      <c r="B1713" s="4" t="s">
        <v>3293</v>
      </c>
      <c r="C1713" s="4" t="s">
        <v>7433</v>
      </c>
      <c r="D1713" s="4" t="s">
        <v>5</v>
      </c>
      <c r="E1713" s="4" t="s">
        <v>12</v>
      </c>
      <c r="F1713" s="4" t="s">
        <v>7</v>
      </c>
      <c r="G1713" s="4" t="s">
        <v>13</v>
      </c>
      <c r="H1713" s="4" t="s">
        <v>71</v>
      </c>
      <c r="I1713" s="5" t="str">
        <f>IFERROR(VLOOKUP(Consulta1[[#This Row],[Pozo largo]],'Lista YPF'!$B$3:$C$358,2,FALSE),"NO")</f>
        <v>NO</v>
      </c>
      <c r="J1713" s="5" t="str">
        <f>IFERROR(VLOOKUP(Consulta1[[#This Row],[Pozo]],'Lista Oportunidades'!B:C,2,FALSE),"NO")</f>
        <v>NO</v>
      </c>
      <c r="K1713" s="5">
        <f>IFERROR(VLOOKUP(Consulta1[[#This Row],[Pozo largo]],Controles!B:H,7,FALSE),"NO")</f>
        <v>0.70000000000000007</v>
      </c>
      <c r="L1713" s="5">
        <f>IFERROR(VLOOKUP(Consulta1[[#This Row],[Pozo largo]],Controles!B:J,9,FALSE),"NO")</f>
        <v>0</v>
      </c>
    </row>
    <row r="1714" spans="2:12" x14ac:dyDescent="0.35">
      <c r="B1714" s="4" t="s">
        <v>3295</v>
      </c>
      <c r="C1714" s="4" t="s">
        <v>7434</v>
      </c>
      <c r="D1714" s="4" t="s">
        <v>5</v>
      </c>
      <c r="E1714" s="4" t="s">
        <v>6</v>
      </c>
      <c r="F1714" s="4" t="s">
        <v>7</v>
      </c>
      <c r="G1714" s="4" t="s">
        <v>5718</v>
      </c>
      <c r="H1714" s="4" t="s">
        <v>71</v>
      </c>
      <c r="I1714" s="5" t="str">
        <f>IFERROR(VLOOKUP(Consulta1[[#This Row],[Pozo largo]],'Lista YPF'!$B$3:$C$358,2,FALSE),"NO")</f>
        <v>En lista de Abandono</v>
      </c>
      <c r="J1714" s="5" t="str">
        <f>IFERROR(VLOOKUP(Consulta1[[#This Row],[Pozo]],'Lista Oportunidades'!B:C,2,FALSE),"NO")</f>
        <v>NO</v>
      </c>
      <c r="K1714" s="5">
        <f>IFERROR(VLOOKUP(Consulta1[[#This Row],[Pozo largo]],Controles!B:H,7,FALSE),"NO")</f>
        <v>0.39</v>
      </c>
      <c r="L1714" s="5">
        <f>IFERROR(VLOOKUP(Consulta1[[#This Row],[Pozo largo]],Controles!B:J,9,FALSE),"NO")</f>
        <v>0</v>
      </c>
    </row>
    <row r="1715" spans="2:12" x14ac:dyDescent="0.35">
      <c r="B1715" s="4" t="s">
        <v>3297</v>
      </c>
      <c r="C1715" s="4" t="s">
        <v>7435</v>
      </c>
      <c r="D1715" s="4" t="s">
        <v>5</v>
      </c>
      <c r="E1715" s="4" t="s">
        <v>24</v>
      </c>
      <c r="F1715" s="4" t="s">
        <v>31</v>
      </c>
      <c r="G1715" s="4" t="s">
        <v>8</v>
      </c>
      <c r="H1715" s="4" t="s">
        <v>71</v>
      </c>
      <c r="I1715" s="5" t="str">
        <f>IFERROR(VLOOKUP(Consulta1[[#This Row],[Pozo largo]],'Lista YPF'!$B$3:$C$358,2,FALSE),"NO")</f>
        <v>NO</v>
      </c>
      <c r="J1715" s="5" t="str">
        <f>IFERROR(VLOOKUP(Consulta1[[#This Row],[Pozo]],'Lista Oportunidades'!B:C,2,FALSE),"NO")</f>
        <v>NO</v>
      </c>
      <c r="K1715" s="5" t="str">
        <f>IFERROR(VLOOKUP(Consulta1[[#This Row],[Pozo largo]],Controles!B:H,7,FALSE),"NO")</f>
        <v>NO</v>
      </c>
      <c r="L1715" s="5" t="str">
        <f>IFERROR(VLOOKUP(Consulta1[[#This Row],[Pozo largo]],Controles!B:J,9,FALSE),"NO")</f>
        <v>NO</v>
      </c>
    </row>
    <row r="1716" spans="2:12" x14ac:dyDescent="0.35">
      <c r="B1716" s="4" t="s">
        <v>3298</v>
      </c>
      <c r="C1716" s="4" t="s">
        <v>7436</v>
      </c>
      <c r="D1716" s="4" t="s">
        <v>5</v>
      </c>
      <c r="E1716" s="4" t="s">
        <v>12</v>
      </c>
      <c r="F1716" s="4" t="s">
        <v>7</v>
      </c>
      <c r="G1716" s="4" t="s">
        <v>13</v>
      </c>
      <c r="H1716" s="4" t="s">
        <v>9</v>
      </c>
      <c r="I1716" s="5" t="str">
        <f>IFERROR(VLOOKUP(Consulta1[[#This Row],[Pozo largo]],'Lista YPF'!$B$3:$C$358,2,FALSE),"NO")</f>
        <v>NO</v>
      </c>
      <c r="J1716" s="5" t="str">
        <f>IFERROR(VLOOKUP(Consulta1[[#This Row],[Pozo]],'Lista Oportunidades'!B:C,2,FALSE),"NO")</f>
        <v>NO</v>
      </c>
      <c r="K1716" s="5">
        <f>IFERROR(VLOOKUP(Consulta1[[#This Row],[Pozo largo]],Controles!B:H,7,FALSE),"NO")</f>
        <v>0.99</v>
      </c>
      <c r="L1716" s="5">
        <f>IFERROR(VLOOKUP(Consulta1[[#This Row],[Pozo largo]],Controles!B:J,9,FALSE),"NO")</f>
        <v>0</v>
      </c>
    </row>
    <row r="1717" spans="2:12" x14ac:dyDescent="0.35">
      <c r="B1717" s="4" t="s">
        <v>3300</v>
      </c>
      <c r="C1717" s="4" t="s">
        <v>7437</v>
      </c>
      <c r="D1717" s="4" t="s">
        <v>5</v>
      </c>
      <c r="E1717" s="4" t="s">
        <v>12</v>
      </c>
      <c r="F1717" s="4" t="s">
        <v>28</v>
      </c>
      <c r="G1717" s="4" t="s">
        <v>13</v>
      </c>
      <c r="H1717" s="4" t="s">
        <v>21</v>
      </c>
      <c r="I1717" s="5" t="str">
        <f>IFERROR(VLOOKUP(Consulta1[[#This Row],[Pozo largo]],'Lista YPF'!$B$3:$C$358,2,FALSE),"NO")</f>
        <v>NO</v>
      </c>
      <c r="J1717" s="5" t="str">
        <f>IFERROR(VLOOKUP(Consulta1[[#This Row],[Pozo]],'Lista Oportunidades'!B:C,2,FALSE),"NO")</f>
        <v>NO</v>
      </c>
      <c r="K1717" s="5">
        <f>IFERROR(VLOOKUP(Consulta1[[#This Row],[Pozo largo]],Controles!B:H,7,FALSE),"NO")</f>
        <v>0</v>
      </c>
      <c r="L1717" s="5">
        <f>IFERROR(VLOOKUP(Consulta1[[#This Row],[Pozo largo]],Controles!B:J,9,FALSE),"NO")</f>
        <v>0</v>
      </c>
    </row>
    <row r="1718" spans="2:12" x14ac:dyDescent="0.35">
      <c r="B1718" s="4" t="s">
        <v>3302</v>
      </c>
      <c r="C1718" s="4" t="s">
        <v>7438</v>
      </c>
      <c r="D1718" s="4" t="s">
        <v>5</v>
      </c>
      <c r="E1718" s="4" t="s">
        <v>6</v>
      </c>
      <c r="F1718" s="4" t="s">
        <v>31</v>
      </c>
      <c r="G1718" s="4" t="s">
        <v>5718</v>
      </c>
      <c r="H1718" s="4" t="s">
        <v>21</v>
      </c>
      <c r="I1718" s="5" t="str">
        <f>IFERROR(VLOOKUP(Consulta1[[#This Row],[Pozo largo]],'Lista YPF'!$B$3:$C$358,2,FALSE),"NO")</f>
        <v>En lista de Abandono</v>
      </c>
      <c r="J1718" s="5" t="str">
        <f>IFERROR(VLOOKUP(Consulta1[[#This Row],[Pozo]],'Lista Oportunidades'!B:C,2,FALSE),"NO")</f>
        <v>NO</v>
      </c>
      <c r="K1718" s="5">
        <f>IFERROR(VLOOKUP(Consulta1[[#This Row],[Pozo largo]],Controles!B:H,7,FALSE),"NO")</f>
        <v>1.32</v>
      </c>
      <c r="L1718" s="5">
        <f>IFERROR(VLOOKUP(Consulta1[[#This Row],[Pozo largo]],Controles!B:J,9,FALSE),"NO")</f>
        <v>0</v>
      </c>
    </row>
    <row r="1719" spans="2:12" x14ac:dyDescent="0.35">
      <c r="B1719" s="4" t="s">
        <v>3304</v>
      </c>
      <c r="C1719" s="4" t="s">
        <v>7439</v>
      </c>
      <c r="D1719" s="4" t="s">
        <v>5</v>
      </c>
      <c r="E1719" s="4" t="s">
        <v>24</v>
      </c>
      <c r="F1719" s="4" t="s">
        <v>28</v>
      </c>
      <c r="G1719" s="4" t="s">
        <v>8</v>
      </c>
      <c r="H1719" s="4" t="s">
        <v>21</v>
      </c>
      <c r="I1719" s="5" t="str">
        <f>IFERROR(VLOOKUP(Consulta1[[#This Row],[Pozo largo]],'Lista YPF'!$B$3:$C$358,2,FALSE),"NO")</f>
        <v>NO</v>
      </c>
      <c r="J1719" s="5" t="str">
        <f>IFERROR(VLOOKUP(Consulta1[[#This Row],[Pozo]],'Lista Oportunidades'!B:C,2,FALSE),"NO")</f>
        <v>NO</v>
      </c>
      <c r="K1719" s="5">
        <f>IFERROR(VLOOKUP(Consulta1[[#This Row],[Pozo largo]],Controles!B:H,7,FALSE),"NO")</f>
        <v>0</v>
      </c>
      <c r="L1719" s="5">
        <f>IFERROR(VLOOKUP(Consulta1[[#This Row],[Pozo largo]],Controles!B:J,9,FALSE),"NO")</f>
        <v>0</v>
      </c>
    </row>
    <row r="1720" spans="2:12" x14ac:dyDescent="0.35">
      <c r="B1720" s="4" t="s">
        <v>3306</v>
      </c>
      <c r="C1720" s="4" t="s">
        <v>7440</v>
      </c>
      <c r="D1720" s="4" t="s">
        <v>5</v>
      </c>
      <c r="E1720" s="4" t="s">
        <v>6</v>
      </c>
      <c r="F1720" s="4" t="s">
        <v>7</v>
      </c>
      <c r="G1720" s="4" t="s">
        <v>5718</v>
      </c>
      <c r="H1720" s="4" t="s">
        <v>21</v>
      </c>
      <c r="I1720" s="5" t="str">
        <f>IFERROR(VLOOKUP(Consulta1[[#This Row],[Pozo largo]],'Lista YPF'!$B$3:$C$358,2,FALSE),"NO")</f>
        <v>En lista de Abandono</v>
      </c>
      <c r="J1720" s="5" t="str">
        <f>IFERROR(VLOOKUP(Consulta1[[#This Row],[Pozo]],'Lista Oportunidades'!B:C,2,FALSE),"NO")</f>
        <v>NO</v>
      </c>
      <c r="K1720" s="5">
        <f>IFERROR(VLOOKUP(Consulta1[[#This Row],[Pozo largo]],Controles!B:H,7,FALSE),"NO")</f>
        <v>0.48</v>
      </c>
      <c r="L1720" s="5">
        <f>IFERROR(VLOOKUP(Consulta1[[#This Row],[Pozo largo]],Controles!B:J,9,FALSE),"NO")</f>
        <v>0</v>
      </c>
    </row>
    <row r="1721" spans="2:12" x14ac:dyDescent="0.35">
      <c r="B1721" s="4" t="s">
        <v>3308</v>
      </c>
      <c r="C1721" s="4" t="s">
        <v>7441</v>
      </c>
      <c r="D1721" s="4" t="s">
        <v>5</v>
      </c>
      <c r="E1721" s="4" t="s">
        <v>12</v>
      </c>
      <c r="F1721" s="4" t="s">
        <v>28</v>
      </c>
      <c r="G1721" s="4" t="s">
        <v>13</v>
      </c>
      <c r="H1721" s="4" t="s">
        <v>21</v>
      </c>
      <c r="I1721" s="5" t="str">
        <f>IFERROR(VLOOKUP(Consulta1[[#This Row],[Pozo largo]],'Lista YPF'!$B$3:$C$358,2,FALSE),"NO")</f>
        <v>NO</v>
      </c>
      <c r="J1721" s="5" t="str">
        <f>IFERROR(VLOOKUP(Consulta1[[#This Row],[Pozo]],'Lista Oportunidades'!B:C,2,FALSE),"NO")</f>
        <v>NO</v>
      </c>
      <c r="K1721" s="5">
        <f>IFERROR(VLOOKUP(Consulta1[[#This Row],[Pozo largo]],Controles!B:H,7,FALSE),"NO")</f>
        <v>0</v>
      </c>
      <c r="L1721" s="5">
        <f>IFERROR(VLOOKUP(Consulta1[[#This Row],[Pozo largo]],Controles!B:J,9,FALSE),"NO")</f>
        <v>0</v>
      </c>
    </row>
    <row r="1722" spans="2:12" x14ac:dyDescent="0.35">
      <c r="B1722" s="4" t="s">
        <v>3310</v>
      </c>
      <c r="C1722" s="4" t="s">
        <v>7442</v>
      </c>
      <c r="D1722" s="4" t="s">
        <v>5</v>
      </c>
      <c r="E1722" s="4" t="s">
        <v>24</v>
      </c>
      <c r="F1722" s="4" t="s">
        <v>31</v>
      </c>
      <c r="G1722" s="4" t="s">
        <v>8</v>
      </c>
      <c r="H1722" s="4" t="s">
        <v>21</v>
      </c>
      <c r="I1722" s="5" t="str">
        <f>IFERROR(VLOOKUP(Consulta1[[#This Row],[Pozo largo]],'Lista YPF'!$B$3:$C$358,2,FALSE),"NO")</f>
        <v>NO</v>
      </c>
      <c r="J1722" s="5" t="str">
        <f>IFERROR(VLOOKUP(Consulta1[[#This Row],[Pozo]],'Lista Oportunidades'!B:C,2,FALSE),"NO")</f>
        <v>NO</v>
      </c>
      <c r="K1722" s="5">
        <f>IFERROR(VLOOKUP(Consulta1[[#This Row],[Pozo largo]],Controles!B:H,7,FALSE),"NO")</f>
        <v>0.69700000000000006</v>
      </c>
      <c r="L1722" s="5">
        <f>IFERROR(VLOOKUP(Consulta1[[#This Row],[Pozo largo]],Controles!B:J,9,FALSE),"NO")</f>
        <v>0</v>
      </c>
    </row>
    <row r="1723" spans="2:12" x14ac:dyDescent="0.35">
      <c r="B1723" s="4" t="s">
        <v>3312</v>
      </c>
      <c r="C1723" s="4" t="s">
        <v>7443</v>
      </c>
      <c r="D1723" s="4" t="s">
        <v>5</v>
      </c>
      <c r="E1723" s="4" t="s">
        <v>12</v>
      </c>
      <c r="F1723" s="4" t="s">
        <v>25</v>
      </c>
      <c r="G1723" s="4" t="s">
        <v>13</v>
      </c>
      <c r="H1723" s="4" t="s">
        <v>21</v>
      </c>
      <c r="I1723" s="5" t="str">
        <f>IFERROR(VLOOKUP(Consulta1[[#This Row],[Pozo largo]],'Lista YPF'!$B$3:$C$358,2,FALSE),"NO")</f>
        <v>NO</v>
      </c>
      <c r="J1723" s="5" t="str">
        <f>IFERROR(VLOOKUP(Consulta1[[#This Row],[Pozo]],'Lista Oportunidades'!B:C,2,FALSE),"NO")</f>
        <v>NO</v>
      </c>
      <c r="K1723" s="5">
        <f>IFERROR(VLOOKUP(Consulta1[[#This Row],[Pozo largo]],Controles!B:H,7,FALSE),"NO")</f>
        <v>9.5000000000000001E-2</v>
      </c>
      <c r="L1723" s="5">
        <f>IFERROR(VLOOKUP(Consulta1[[#This Row],[Pozo largo]],Controles!B:J,9,FALSE),"NO")</f>
        <v>0</v>
      </c>
    </row>
    <row r="1724" spans="2:12" x14ac:dyDescent="0.35">
      <c r="B1724" s="4" t="s">
        <v>3314</v>
      </c>
      <c r="C1724" s="4" t="s">
        <v>7444</v>
      </c>
      <c r="D1724" s="4" t="s">
        <v>5</v>
      </c>
      <c r="E1724" s="4" t="s">
        <v>6</v>
      </c>
      <c r="F1724" s="4" t="s">
        <v>7</v>
      </c>
      <c r="G1724" s="4" t="s">
        <v>5718</v>
      </c>
      <c r="H1724" s="4" t="s">
        <v>33</v>
      </c>
      <c r="I1724" s="5" t="str">
        <f>IFERROR(VLOOKUP(Consulta1[[#This Row],[Pozo largo]],'Lista YPF'!$B$3:$C$358,2,FALSE),"NO")</f>
        <v>En lista de Abandono</v>
      </c>
      <c r="J1724" s="5" t="str">
        <f>IFERROR(VLOOKUP(Consulta1[[#This Row],[Pozo]],'Lista Oportunidades'!B:C,2,FALSE),"NO")</f>
        <v>NO</v>
      </c>
      <c r="K1724" s="5">
        <f>IFERROR(VLOOKUP(Consulta1[[#This Row],[Pozo largo]],Controles!B:H,7,FALSE),"NO")</f>
        <v>1.98</v>
      </c>
      <c r="L1724" s="5">
        <f>IFERROR(VLOOKUP(Consulta1[[#This Row],[Pozo largo]],Controles!B:J,9,FALSE),"NO")</f>
        <v>0</v>
      </c>
    </row>
    <row r="1725" spans="2:12" x14ac:dyDescent="0.35">
      <c r="B1725" s="4" t="s">
        <v>3316</v>
      </c>
      <c r="C1725" s="4" t="s">
        <v>7445</v>
      </c>
      <c r="D1725" s="4" t="s">
        <v>5</v>
      </c>
      <c r="E1725" s="4" t="s">
        <v>12</v>
      </c>
      <c r="F1725" s="4" t="s">
        <v>7</v>
      </c>
      <c r="G1725" s="4" t="s">
        <v>13</v>
      </c>
      <c r="H1725" s="4" t="s">
        <v>33</v>
      </c>
      <c r="I1725" s="5" t="str">
        <f>IFERROR(VLOOKUP(Consulta1[[#This Row],[Pozo largo]],'Lista YPF'!$B$3:$C$358,2,FALSE),"NO")</f>
        <v>NO</v>
      </c>
      <c r="J1725" s="5" t="str">
        <f>IFERROR(VLOOKUP(Consulta1[[#This Row],[Pozo]],'Lista Oportunidades'!B:C,2,FALSE),"NO")</f>
        <v>NO</v>
      </c>
      <c r="K1725" s="5">
        <f>IFERROR(VLOOKUP(Consulta1[[#This Row],[Pozo largo]],Controles!B:H,7,FALSE),"NO")</f>
        <v>1.53</v>
      </c>
      <c r="L1725" s="5">
        <f>IFERROR(VLOOKUP(Consulta1[[#This Row],[Pozo largo]],Controles!B:J,9,FALSE),"NO")</f>
        <v>0</v>
      </c>
    </row>
    <row r="1726" spans="2:12" x14ac:dyDescent="0.35">
      <c r="B1726" s="4" t="s">
        <v>3318</v>
      </c>
      <c r="C1726" s="4" t="s">
        <v>7446</v>
      </c>
      <c r="D1726" s="4" t="s">
        <v>5</v>
      </c>
      <c r="E1726" s="4" t="s">
        <v>57</v>
      </c>
      <c r="F1726" s="4" t="s">
        <v>28</v>
      </c>
      <c r="G1726" s="4" t="s">
        <v>5718</v>
      </c>
      <c r="H1726" s="4" t="s">
        <v>254</v>
      </c>
      <c r="I1726" s="5" t="str">
        <f>IFERROR(VLOOKUP(Consulta1[[#This Row],[Pozo largo]],'Lista YPF'!$B$3:$C$358,2,FALSE),"NO")</f>
        <v>En lista de Abandono</v>
      </c>
      <c r="J1726" s="5" t="str">
        <f>IFERROR(VLOOKUP(Consulta1[[#This Row],[Pozo]],'Lista Oportunidades'!B:C,2,FALSE),"NO")</f>
        <v>NO</v>
      </c>
      <c r="K1726" s="5">
        <f>IFERROR(VLOOKUP(Consulta1[[#This Row],[Pozo largo]],Controles!B:H,7,FALSE),"NO")</f>
        <v>0</v>
      </c>
      <c r="L1726" s="5">
        <f>IFERROR(VLOOKUP(Consulta1[[#This Row],[Pozo largo]],Controles!B:J,9,FALSE),"NO")</f>
        <v>0</v>
      </c>
    </row>
    <row r="1727" spans="2:12" x14ac:dyDescent="0.35">
      <c r="B1727" s="4" t="s">
        <v>3320</v>
      </c>
      <c r="C1727" s="4" t="s">
        <v>7447</v>
      </c>
      <c r="D1727" s="4" t="s">
        <v>5</v>
      </c>
      <c r="E1727" s="4" t="s">
        <v>57</v>
      </c>
      <c r="F1727" s="4" t="s">
        <v>7</v>
      </c>
      <c r="G1727" s="4" t="s">
        <v>5718</v>
      </c>
      <c r="H1727" s="4" t="s">
        <v>21</v>
      </c>
      <c r="I1727" s="5" t="str">
        <f>IFERROR(VLOOKUP(Consulta1[[#This Row],[Pozo largo]],'Lista YPF'!$B$3:$C$358,2,FALSE),"NO")</f>
        <v>En lista de Abandono</v>
      </c>
      <c r="J1727" s="5" t="str">
        <f>IFERROR(VLOOKUP(Consulta1[[#This Row],[Pozo]],'Lista Oportunidades'!B:C,2,FALSE),"NO")</f>
        <v>NO</v>
      </c>
      <c r="K1727" s="5">
        <f>IFERROR(VLOOKUP(Consulta1[[#This Row],[Pozo largo]],Controles!B:H,7,FALSE),"NO")</f>
        <v>0</v>
      </c>
      <c r="L1727" s="5">
        <f>IFERROR(VLOOKUP(Consulta1[[#This Row],[Pozo largo]],Controles!B:J,9,FALSE),"NO")</f>
        <v>0</v>
      </c>
    </row>
    <row r="1728" spans="2:12" x14ac:dyDescent="0.35">
      <c r="B1728" s="4" t="s">
        <v>3322</v>
      </c>
      <c r="C1728" s="4" t="s">
        <v>7448</v>
      </c>
      <c r="D1728" s="4" t="s">
        <v>5</v>
      </c>
      <c r="E1728" s="4" t="s">
        <v>57</v>
      </c>
      <c r="F1728" s="4" t="s">
        <v>7</v>
      </c>
      <c r="G1728" s="4" t="s">
        <v>5718</v>
      </c>
      <c r="H1728" s="4" t="s">
        <v>33</v>
      </c>
      <c r="I1728" s="5" t="str">
        <f>IFERROR(VLOOKUP(Consulta1[[#This Row],[Pozo largo]],'Lista YPF'!$B$3:$C$358,2,FALSE),"NO")</f>
        <v>En lista de Abandono</v>
      </c>
      <c r="J1728" s="5" t="str">
        <f>IFERROR(VLOOKUP(Consulta1[[#This Row],[Pozo]],'Lista Oportunidades'!B:C,2,FALSE),"NO")</f>
        <v>NO</v>
      </c>
      <c r="K1728" s="5">
        <f>IFERROR(VLOOKUP(Consulta1[[#This Row],[Pozo largo]],Controles!B:H,7,FALSE),"NO")</f>
        <v>0.312</v>
      </c>
      <c r="L1728" s="5">
        <f>IFERROR(VLOOKUP(Consulta1[[#This Row],[Pozo largo]],Controles!B:J,9,FALSE),"NO")</f>
        <v>0</v>
      </c>
    </row>
    <row r="1729" spans="2:12" x14ac:dyDescent="0.35">
      <c r="B1729" s="4" t="s">
        <v>3324</v>
      </c>
      <c r="C1729" s="4" t="s">
        <v>7449</v>
      </c>
      <c r="D1729" s="4" t="s">
        <v>5</v>
      </c>
      <c r="E1729" s="4" t="s">
        <v>12</v>
      </c>
      <c r="F1729" s="4" t="s">
        <v>7</v>
      </c>
      <c r="G1729" s="4" t="s">
        <v>13</v>
      </c>
      <c r="H1729" s="4" t="s">
        <v>9</v>
      </c>
      <c r="I1729" s="5" t="str">
        <f>IFERROR(VLOOKUP(Consulta1[[#This Row],[Pozo largo]],'Lista YPF'!$B$3:$C$358,2,FALSE),"NO")</f>
        <v>NO</v>
      </c>
      <c r="J1729" s="5" t="str">
        <f>IFERROR(VLOOKUP(Consulta1[[#This Row],[Pozo]],'Lista Oportunidades'!B:C,2,FALSE),"NO")</f>
        <v>NO</v>
      </c>
      <c r="K1729" s="5">
        <f>IFERROR(VLOOKUP(Consulta1[[#This Row],[Pozo largo]],Controles!B:H,7,FALSE),"NO")</f>
        <v>1.02</v>
      </c>
      <c r="L1729" s="5">
        <f>IFERROR(VLOOKUP(Consulta1[[#This Row],[Pozo largo]],Controles!B:J,9,FALSE),"NO")</f>
        <v>0</v>
      </c>
    </row>
    <row r="1730" spans="2:12" x14ac:dyDescent="0.35">
      <c r="B1730" s="4" t="s">
        <v>3326</v>
      </c>
      <c r="C1730" s="4" t="s">
        <v>5749</v>
      </c>
      <c r="D1730" s="4" t="s">
        <v>5</v>
      </c>
      <c r="E1730" s="4" t="s">
        <v>12</v>
      </c>
      <c r="F1730" s="4" t="s">
        <v>25</v>
      </c>
      <c r="G1730" s="4" t="s">
        <v>13</v>
      </c>
      <c r="H1730" s="4" t="s">
        <v>36</v>
      </c>
      <c r="I1730" s="5" t="str">
        <f>IFERROR(VLOOKUP(Consulta1[[#This Row],[Pozo largo]],'Lista YPF'!$B$3:$C$358,2,FALSE),"NO")</f>
        <v>NO</v>
      </c>
      <c r="J1730" s="5" t="str">
        <f>IFERROR(VLOOKUP(Consulta1[[#This Row],[Pozo]],'Lista Oportunidades'!B:C,2,FALSE),"NO")</f>
        <v>Oportunidad</v>
      </c>
      <c r="K1730" s="5">
        <f>IFERROR(VLOOKUP(Consulta1[[#This Row],[Pozo largo]],Controles!B:H,7,FALSE),"NO")</f>
        <v>0.192</v>
      </c>
      <c r="L1730" s="5">
        <f>IFERROR(VLOOKUP(Consulta1[[#This Row],[Pozo largo]],Controles!B:J,9,FALSE),"NO")</f>
        <v>0</v>
      </c>
    </row>
    <row r="1731" spans="2:12" x14ac:dyDescent="0.35">
      <c r="B1731" s="4" t="s">
        <v>3328</v>
      </c>
      <c r="C1731" s="4" t="s">
        <v>7450</v>
      </c>
      <c r="D1731" s="4" t="s">
        <v>5</v>
      </c>
      <c r="E1731" s="4" t="s">
        <v>30</v>
      </c>
      <c r="F1731" s="4" t="s">
        <v>31</v>
      </c>
      <c r="G1731" s="4" t="s">
        <v>32</v>
      </c>
      <c r="H1731" s="4" t="s">
        <v>21</v>
      </c>
      <c r="I1731" s="5" t="str">
        <f>IFERROR(VLOOKUP(Consulta1[[#This Row],[Pozo largo]],'Lista YPF'!$B$3:$C$358,2,FALSE),"NO")</f>
        <v>NO</v>
      </c>
      <c r="J1731" s="5" t="str">
        <f>IFERROR(VLOOKUP(Consulta1[[#This Row],[Pozo]],'Lista Oportunidades'!B:C,2,FALSE),"NO")</f>
        <v>NO</v>
      </c>
      <c r="K1731" s="5" t="str">
        <f>IFERROR(VLOOKUP(Consulta1[[#This Row],[Pozo largo]],Controles!B:H,7,FALSE),"NO")</f>
        <v>NO</v>
      </c>
      <c r="L1731" s="5" t="str">
        <f>IFERROR(VLOOKUP(Consulta1[[#This Row],[Pozo largo]],Controles!B:J,9,FALSE),"NO")</f>
        <v>NO</v>
      </c>
    </row>
    <row r="1732" spans="2:12" x14ac:dyDescent="0.35">
      <c r="B1732" s="4" t="s">
        <v>3329</v>
      </c>
      <c r="C1732" s="4" t="s">
        <v>7451</v>
      </c>
      <c r="D1732" s="4" t="s">
        <v>5</v>
      </c>
      <c r="E1732" s="4" t="s">
        <v>12</v>
      </c>
      <c r="F1732" s="4" t="s">
        <v>7</v>
      </c>
      <c r="G1732" s="4" t="s">
        <v>13</v>
      </c>
      <c r="H1732" s="4" t="s">
        <v>254</v>
      </c>
      <c r="I1732" s="5" t="str">
        <f>IFERROR(VLOOKUP(Consulta1[[#This Row],[Pozo largo]],'Lista YPF'!$B$3:$C$358,2,FALSE),"NO")</f>
        <v>NO</v>
      </c>
      <c r="J1732" s="5" t="str">
        <f>IFERROR(VLOOKUP(Consulta1[[#This Row],[Pozo]],'Lista Oportunidades'!B:C,2,FALSE),"NO")</f>
        <v>NO</v>
      </c>
      <c r="K1732" s="5">
        <f>IFERROR(VLOOKUP(Consulta1[[#This Row],[Pozo largo]],Controles!B:H,7,FALSE),"NO")</f>
        <v>0.95000000000000007</v>
      </c>
      <c r="L1732" s="5">
        <f>IFERROR(VLOOKUP(Consulta1[[#This Row],[Pozo largo]],Controles!B:J,9,FALSE),"NO")</f>
        <v>0</v>
      </c>
    </row>
    <row r="1733" spans="2:12" x14ac:dyDescent="0.35">
      <c r="B1733" s="4" t="s">
        <v>3331</v>
      </c>
      <c r="C1733" s="4" t="s">
        <v>7452</v>
      </c>
      <c r="D1733" s="4" t="s">
        <v>5</v>
      </c>
      <c r="E1733" s="4" t="s">
        <v>12</v>
      </c>
      <c r="F1733" s="4" t="s">
        <v>7</v>
      </c>
      <c r="G1733" s="4" t="s">
        <v>13</v>
      </c>
      <c r="H1733" s="4" t="s">
        <v>33</v>
      </c>
      <c r="I1733" s="5" t="str">
        <f>IFERROR(VLOOKUP(Consulta1[[#This Row],[Pozo largo]],'Lista YPF'!$B$3:$C$358,2,FALSE),"NO")</f>
        <v>NO</v>
      </c>
      <c r="J1733" s="5" t="str">
        <f>IFERROR(VLOOKUP(Consulta1[[#This Row],[Pozo]],'Lista Oportunidades'!B:C,2,FALSE),"NO")</f>
        <v>NO</v>
      </c>
      <c r="K1733" s="5">
        <f>IFERROR(VLOOKUP(Consulta1[[#This Row],[Pozo largo]],Controles!B:H,7,FALSE),"NO")</f>
        <v>0.48900000000000005</v>
      </c>
      <c r="L1733" s="5">
        <f>IFERROR(VLOOKUP(Consulta1[[#This Row],[Pozo largo]],Controles!B:J,9,FALSE),"NO")</f>
        <v>0</v>
      </c>
    </row>
    <row r="1734" spans="2:12" x14ac:dyDescent="0.35">
      <c r="B1734" s="4" t="s">
        <v>3333</v>
      </c>
      <c r="C1734" s="4" t="s">
        <v>7453</v>
      </c>
      <c r="D1734" s="4" t="s">
        <v>5</v>
      </c>
      <c r="E1734" s="4" t="s">
        <v>12</v>
      </c>
      <c r="F1734" s="4" t="s">
        <v>238</v>
      </c>
      <c r="G1734" s="4" t="s">
        <v>13</v>
      </c>
      <c r="H1734" s="4" t="s">
        <v>21</v>
      </c>
      <c r="I1734" s="5" t="str">
        <f>IFERROR(VLOOKUP(Consulta1[[#This Row],[Pozo largo]],'Lista YPF'!$B$3:$C$358,2,FALSE),"NO")</f>
        <v>NO</v>
      </c>
      <c r="J1734" s="5" t="str">
        <f>IFERROR(VLOOKUP(Consulta1[[#This Row],[Pozo]],'Lista Oportunidades'!B:C,2,FALSE),"NO")</f>
        <v>NO</v>
      </c>
      <c r="K1734" s="5">
        <f>IFERROR(VLOOKUP(Consulta1[[#This Row],[Pozo largo]],Controles!B:H,7,FALSE),"NO")</f>
        <v>0.96</v>
      </c>
      <c r="L1734" s="5">
        <f>IFERROR(VLOOKUP(Consulta1[[#This Row],[Pozo largo]],Controles!B:J,9,FALSE),"NO")</f>
        <v>0</v>
      </c>
    </row>
    <row r="1735" spans="2:12" x14ac:dyDescent="0.35">
      <c r="B1735" s="4" t="s">
        <v>3335</v>
      </c>
      <c r="C1735" s="4" t="s">
        <v>7454</v>
      </c>
      <c r="D1735" s="4" t="s">
        <v>5</v>
      </c>
      <c r="E1735" s="4" t="s">
        <v>430</v>
      </c>
      <c r="F1735" s="4" t="s">
        <v>7</v>
      </c>
      <c r="G1735" s="4" t="s">
        <v>5718</v>
      </c>
      <c r="H1735" s="4" t="s">
        <v>33</v>
      </c>
      <c r="I1735" s="5" t="str">
        <f>IFERROR(VLOOKUP(Consulta1[[#This Row],[Pozo largo]],'Lista YPF'!$B$3:$C$358,2,FALSE),"NO")</f>
        <v>En lista de Abandono</v>
      </c>
      <c r="J1735" s="5" t="str">
        <f>IFERROR(VLOOKUP(Consulta1[[#This Row],[Pozo]],'Lista Oportunidades'!B:C,2,FALSE),"NO")</f>
        <v>NO</v>
      </c>
      <c r="K1735" s="5">
        <f>IFERROR(VLOOKUP(Consulta1[[#This Row],[Pozo largo]],Controles!B:H,7,FALSE),"NO")</f>
        <v>0.2</v>
      </c>
      <c r="L1735" s="5">
        <f>IFERROR(VLOOKUP(Consulta1[[#This Row],[Pozo largo]],Controles!B:J,9,FALSE),"NO")</f>
        <v>0</v>
      </c>
    </row>
    <row r="1736" spans="2:12" x14ac:dyDescent="0.35">
      <c r="B1736" s="4" t="s">
        <v>3337</v>
      </c>
      <c r="C1736" s="4" t="s">
        <v>7455</v>
      </c>
      <c r="D1736" s="4" t="s">
        <v>5</v>
      </c>
      <c r="E1736" s="4" t="s">
        <v>12</v>
      </c>
      <c r="F1736" s="4" t="s">
        <v>7</v>
      </c>
      <c r="G1736" s="4" t="s">
        <v>13</v>
      </c>
      <c r="H1736" s="4" t="s">
        <v>33</v>
      </c>
      <c r="I1736" s="5" t="str">
        <f>IFERROR(VLOOKUP(Consulta1[[#This Row],[Pozo largo]],'Lista YPF'!$B$3:$C$358,2,FALSE),"NO")</f>
        <v>NO</v>
      </c>
      <c r="J1736" s="5" t="str">
        <f>IFERROR(VLOOKUP(Consulta1[[#This Row],[Pozo]],'Lista Oportunidades'!B:C,2,FALSE),"NO")</f>
        <v>NO</v>
      </c>
      <c r="K1736" s="5">
        <f>IFERROR(VLOOKUP(Consulta1[[#This Row],[Pozo largo]],Controles!B:H,7,FALSE),"NO")</f>
        <v>0.1</v>
      </c>
      <c r="L1736" s="5">
        <f>IFERROR(VLOOKUP(Consulta1[[#This Row],[Pozo largo]],Controles!B:J,9,FALSE),"NO")</f>
        <v>0</v>
      </c>
    </row>
    <row r="1737" spans="2:12" x14ac:dyDescent="0.35">
      <c r="B1737" s="4" t="s">
        <v>3339</v>
      </c>
      <c r="C1737" s="4" t="s">
        <v>7456</v>
      </c>
      <c r="D1737" s="4" t="s">
        <v>5</v>
      </c>
      <c r="E1737" s="4" t="s">
        <v>30</v>
      </c>
      <c r="F1737" s="4" t="s">
        <v>31</v>
      </c>
      <c r="G1737" s="4" t="s">
        <v>32</v>
      </c>
      <c r="H1737" s="4" t="s">
        <v>86</v>
      </c>
      <c r="I1737" s="5" t="str">
        <f>IFERROR(VLOOKUP(Consulta1[[#This Row],[Pozo largo]],'Lista YPF'!$B$3:$C$358,2,FALSE),"NO")</f>
        <v>NO</v>
      </c>
      <c r="J1737" s="5" t="str">
        <f>IFERROR(VLOOKUP(Consulta1[[#This Row],[Pozo]],'Lista Oportunidades'!B:C,2,FALSE),"NO")</f>
        <v>NO</v>
      </c>
      <c r="K1737" s="5" t="str">
        <f>IFERROR(VLOOKUP(Consulta1[[#This Row],[Pozo largo]],Controles!B:H,7,FALSE),"NO")</f>
        <v>NO</v>
      </c>
      <c r="L1737" s="5" t="str">
        <f>IFERROR(VLOOKUP(Consulta1[[#This Row],[Pozo largo]],Controles!B:J,9,FALSE),"NO")</f>
        <v>NO</v>
      </c>
    </row>
    <row r="1738" spans="2:12" x14ac:dyDescent="0.35">
      <c r="B1738" s="4" t="s">
        <v>3340</v>
      </c>
      <c r="C1738" s="4" t="s">
        <v>7457</v>
      </c>
      <c r="D1738" s="4" t="s">
        <v>5</v>
      </c>
      <c r="E1738" s="4" t="s">
        <v>12</v>
      </c>
      <c r="F1738" s="4" t="s">
        <v>7</v>
      </c>
      <c r="G1738" s="4" t="s">
        <v>13</v>
      </c>
      <c r="H1738" s="4" t="s">
        <v>33</v>
      </c>
      <c r="I1738" s="5" t="str">
        <f>IFERROR(VLOOKUP(Consulta1[[#This Row],[Pozo largo]],'Lista YPF'!$B$3:$C$358,2,FALSE),"NO")</f>
        <v>NO</v>
      </c>
      <c r="J1738" s="5" t="str">
        <f>IFERROR(VLOOKUP(Consulta1[[#This Row],[Pozo]],'Lista Oportunidades'!B:C,2,FALSE),"NO")</f>
        <v>NO</v>
      </c>
      <c r="K1738" s="5">
        <f>IFERROR(VLOOKUP(Consulta1[[#This Row],[Pozo largo]],Controles!B:H,7,FALSE),"NO")</f>
        <v>1.7050000000000001</v>
      </c>
      <c r="L1738" s="5">
        <f>IFERROR(VLOOKUP(Consulta1[[#This Row],[Pozo largo]],Controles!B:J,9,FALSE),"NO")</f>
        <v>0</v>
      </c>
    </row>
    <row r="1739" spans="2:12" x14ac:dyDescent="0.35">
      <c r="B1739" s="4" t="s">
        <v>3342</v>
      </c>
      <c r="C1739" s="4" t="s">
        <v>7458</v>
      </c>
      <c r="D1739" s="4" t="s">
        <v>5</v>
      </c>
      <c r="E1739" s="4" t="s">
        <v>24</v>
      </c>
      <c r="F1739" s="4" t="s">
        <v>25</v>
      </c>
      <c r="G1739" s="4" t="s">
        <v>8</v>
      </c>
      <c r="H1739" s="4" t="s">
        <v>91</v>
      </c>
      <c r="I1739" s="5" t="str">
        <f>IFERROR(VLOOKUP(Consulta1[[#This Row],[Pozo largo]],'Lista YPF'!$B$3:$C$358,2,FALSE),"NO")</f>
        <v>NO</v>
      </c>
      <c r="J1739" s="5" t="str">
        <f>IFERROR(VLOOKUP(Consulta1[[#This Row],[Pozo]],'Lista Oportunidades'!B:C,2,FALSE),"NO")</f>
        <v>NO</v>
      </c>
      <c r="K1739" s="5">
        <f>IFERROR(VLOOKUP(Consulta1[[#This Row],[Pozo largo]],Controles!B:H,7,FALSE),"NO")</f>
        <v>9.4E-2</v>
      </c>
      <c r="L1739" s="5">
        <f>IFERROR(VLOOKUP(Consulta1[[#This Row],[Pozo largo]],Controles!B:J,9,FALSE),"NO")</f>
        <v>0</v>
      </c>
    </row>
    <row r="1740" spans="2:12" x14ac:dyDescent="0.35">
      <c r="B1740" s="4" t="s">
        <v>3344</v>
      </c>
      <c r="C1740" s="4" t="s">
        <v>7459</v>
      </c>
      <c r="D1740" s="4" t="s">
        <v>5</v>
      </c>
      <c r="E1740" s="4" t="s">
        <v>30</v>
      </c>
      <c r="F1740" s="4" t="s">
        <v>31</v>
      </c>
      <c r="G1740" s="4" t="s">
        <v>32</v>
      </c>
      <c r="H1740" s="4" t="s">
        <v>86</v>
      </c>
      <c r="I1740" s="5" t="str">
        <f>IFERROR(VLOOKUP(Consulta1[[#This Row],[Pozo largo]],'Lista YPF'!$B$3:$C$358,2,FALSE),"NO")</f>
        <v>NO</v>
      </c>
      <c r="J1740" s="5" t="str">
        <f>IFERROR(VLOOKUP(Consulta1[[#This Row],[Pozo]],'Lista Oportunidades'!B:C,2,FALSE),"NO")</f>
        <v>NO</v>
      </c>
      <c r="K1740" s="5" t="str">
        <f>IFERROR(VLOOKUP(Consulta1[[#This Row],[Pozo largo]],Controles!B:H,7,FALSE),"NO")</f>
        <v>NO</v>
      </c>
      <c r="L1740" s="5" t="str">
        <f>IFERROR(VLOOKUP(Consulta1[[#This Row],[Pozo largo]],Controles!B:J,9,FALSE),"NO")</f>
        <v>NO</v>
      </c>
    </row>
    <row r="1741" spans="2:12" x14ac:dyDescent="0.35">
      <c r="B1741" s="4" t="s">
        <v>3345</v>
      </c>
      <c r="C1741" s="4" t="s">
        <v>7460</v>
      </c>
      <c r="D1741" s="4" t="s">
        <v>5</v>
      </c>
      <c r="E1741" s="4" t="s">
        <v>30</v>
      </c>
      <c r="F1741" s="4" t="s">
        <v>31</v>
      </c>
      <c r="G1741" s="4" t="s">
        <v>32</v>
      </c>
      <c r="H1741" s="4" t="s">
        <v>36</v>
      </c>
      <c r="I1741" s="5" t="str">
        <f>IFERROR(VLOOKUP(Consulta1[[#This Row],[Pozo largo]],'Lista YPF'!$B$3:$C$358,2,FALSE),"NO")</f>
        <v>NO</v>
      </c>
      <c r="J1741" s="5" t="str">
        <f>IFERROR(VLOOKUP(Consulta1[[#This Row],[Pozo]],'Lista Oportunidades'!B:C,2,FALSE),"NO")</f>
        <v>NO</v>
      </c>
      <c r="K1741" s="5" t="str">
        <f>IFERROR(VLOOKUP(Consulta1[[#This Row],[Pozo largo]],Controles!B:H,7,FALSE),"NO")</f>
        <v>NO</v>
      </c>
      <c r="L1741" s="5" t="str">
        <f>IFERROR(VLOOKUP(Consulta1[[#This Row],[Pozo largo]],Controles!B:J,9,FALSE),"NO")</f>
        <v>NO</v>
      </c>
    </row>
    <row r="1742" spans="2:12" x14ac:dyDescent="0.35">
      <c r="B1742" s="4" t="s">
        <v>3346</v>
      </c>
      <c r="C1742" s="4" t="s">
        <v>7461</v>
      </c>
      <c r="D1742" s="4" t="s">
        <v>5</v>
      </c>
      <c r="E1742" s="4" t="s">
        <v>24</v>
      </c>
      <c r="F1742" s="4" t="s">
        <v>31</v>
      </c>
      <c r="G1742" s="4" t="s">
        <v>8</v>
      </c>
      <c r="H1742" s="4" t="s">
        <v>21</v>
      </c>
      <c r="I1742" s="5" t="str">
        <f>IFERROR(VLOOKUP(Consulta1[[#This Row],[Pozo largo]],'Lista YPF'!$B$3:$C$358,2,FALSE),"NO")</f>
        <v>NO</v>
      </c>
      <c r="J1742" s="5" t="str">
        <f>IFERROR(VLOOKUP(Consulta1[[#This Row],[Pozo]],'Lista Oportunidades'!B:C,2,FALSE),"NO")</f>
        <v>NO</v>
      </c>
      <c r="K1742" s="5">
        <f>IFERROR(VLOOKUP(Consulta1[[#This Row],[Pozo largo]],Controles!B:H,7,FALSE),"NO")</f>
        <v>1.052</v>
      </c>
      <c r="L1742" s="5">
        <f>IFERROR(VLOOKUP(Consulta1[[#This Row],[Pozo largo]],Controles!B:J,9,FALSE),"NO")</f>
        <v>0</v>
      </c>
    </row>
    <row r="1743" spans="2:12" x14ac:dyDescent="0.35">
      <c r="B1743" s="4" t="s">
        <v>3348</v>
      </c>
      <c r="C1743" s="4" t="s">
        <v>7462</v>
      </c>
      <c r="D1743" s="4" t="s">
        <v>5</v>
      </c>
      <c r="E1743" s="4" t="s">
        <v>30</v>
      </c>
      <c r="F1743" s="4" t="s">
        <v>31</v>
      </c>
      <c r="G1743" s="4" t="s">
        <v>32</v>
      </c>
      <c r="H1743" s="4" t="s">
        <v>77</v>
      </c>
      <c r="I1743" s="5" t="str">
        <f>IFERROR(VLOOKUP(Consulta1[[#This Row],[Pozo largo]],'Lista YPF'!$B$3:$C$358,2,FALSE),"NO")</f>
        <v>NO</v>
      </c>
      <c r="J1743" s="5" t="str">
        <f>IFERROR(VLOOKUP(Consulta1[[#This Row],[Pozo]],'Lista Oportunidades'!B:C,2,FALSE),"NO")</f>
        <v>NO</v>
      </c>
      <c r="K1743" s="5" t="str">
        <f>IFERROR(VLOOKUP(Consulta1[[#This Row],[Pozo largo]],Controles!B:H,7,FALSE),"NO")</f>
        <v>NO</v>
      </c>
      <c r="L1743" s="5" t="str">
        <f>IFERROR(VLOOKUP(Consulta1[[#This Row],[Pozo largo]],Controles!B:J,9,FALSE),"NO")</f>
        <v>NO</v>
      </c>
    </row>
    <row r="1744" spans="2:12" x14ac:dyDescent="0.35">
      <c r="B1744" s="4" t="s">
        <v>3349</v>
      </c>
      <c r="C1744" s="4" t="s">
        <v>7463</v>
      </c>
      <c r="D1744" s="4" t="s">
        <v>5</v>
      </c>
      <c r="E1744" s="4" t="s">
        <v>57</v>
      </c>
      <c r="F1744" s="4" t="s">
        <v>28</v>
      </c>
      <c r="G1744" s="4" t="s">
        <v>5718</v>
      </c>
      <c r="H1744" s="4" t="s">
        <v>149</v>
      </c>
      <c r="I1744" s="5" t="str">
        <f>IFERROR(VLOOKUP(Consulta1[[#This Row],[Pozo largo]],'Lista YPF'!$B$3:$C$358,2,FALSE),"NO")</f>
        <v>En lista de Abandono</v>
      </c>
      <c r="J1744" s="5" t="str">
        <f>IFERROR(VLOOKUP(Consulta1[[#This Row],[Pozo]],'Lista Oportunidades'!B:C,2,FALSE),"NO")</f>
        <v>NO</v>
      </c>
      <c r="K1744" s="5">
        <f>IFERROR(VLOOKUP(Consulta1[[#This Row],[Pozo largo]],Controles!B:H,7,FALSE),"NO")</f>
        <v>0</v>
      </c>
      <c r="L1744" s="5">
        <f>IFERROR(VLOOKUP(Consulta1[[#This Row],[Pozo largo]],Controles!B:J,9,FALSE),"NO")</f>
        <v>0</v>
      </c>
    </row>
    <row r="1745" spans="2:12" x14ac:dyDescent="0.35">
      <c r="B1745" s="4" t="s">
        <v>3351</v>
      </c>
      <c r="C1745" s="4" t="s">
        <v>7464</v>
      </c>
      <c r="D1745" s="4" t="s">
        <v>5</v>
      </c>
      <c r="E1745" s="4" t="s">
        <v>24</v>
      </c>
      <c r="F1745" s="4" t="s">
        <v>7</v>
      </c>
      <c r="G1745" s="4" t="s">
        <v>8</v>
      </c>
      <c r="H1745" s="4" t="s">
        <v>9</v>
      </c>
      <c r="I1745" s="5" t="str">
        <f>IFERROR(VLOOKUP(Consulta1[[#This Row],[Pozo largo]],'Lista YPF'!$B$3:$C$358,2,FALSE),"NO")</f>
        <v>NO</v>
      </c>
      <c r="J1745" s="5" t="str">
        <f>IFERROR(VLOOKUP(Consulta1[[#This Row],[Pozo]],'Lista Oportunidades'!B:C,2,FALSE),"NO")</f>
        <v>NO</v>
      </c>
      <c r="K1745" s="5">
        <f>IFERROR(VLOOKUP(Consulta1[[#This Row],[Pozo largo]],Controles!B:H,7,FALSE),"NO")</f>
        <v>0.25</v>
      </c>
      <c r="L1745" s="5">
        <f>IFERROR(VLOOKUP(Consulta1[[#This Row],[Pozo largo]],Controles!B:J,9,FALSE),"NO")</f>
        <v>0</v>
      </c>
    </row>
    <row r="1746" spans="2:12" x14ac:dyDescent="0.35">
      <c r="B1746" s="4" t="s">
        <v>3353</v>
      </c>
      <c r="C1746" s="4" t="s">
        <v>7465</v>
      </c>
      <c r="D1746" s="4" t="s">
        <v>5</v>
      </c>
      <c r="E1746" s="4" t="s">
        <v>12</v>
      </c>
      <c r="F1746" s="4" t="s">
        <v>7</v>
      </c>
      <c r="G1746" s="4" t="s">
        <v>13</v>
      </c>
      <c r="H1746" s="4" t="s">
        <v>149</v>
      </c>
      <c r="I1746" s="5" t="str">
        <f>IFERROR(VLOOKUP(Consulta1[[#This Row],[Pozo largo]],'Lista YPF'!$B$3:$C$358,2,FALSE),"NO")</f>
        <v>NO</v>
      </c>
      <c r="J1746" s="5" t="str">
        <f>IFERROR(VLOOKUP(Consulta1[[#This Row],[Pozo]],'Lista Oportunidades'!B:C,2,FALSE),"NO")</f>
        <v>NO</v>
      </c>
      <c r="K1746" s="5">
        <f>IFERROR(VLOOKUP(Consulta1[[#This Row],[Pozo largo]],Controles!B:H,7,FALSE),"NO")</f>
        <v>2</v>
      </c>
      <c r="L1746" s="5">
        <f>IFERROR(VLOOKUP(Consulta1[[#This Row],[Pozo largo]],Controles!B:J,9,FALSE),"NO")</f>
        <v>0</v>
      </c>
    </row>
    <row r="1747" spans="2:12" x14ac:dyDescent="0.35">
      <c r="B1747" s="4" t="s">
        <v>3355</v>
      </c>
      <c r="C1747" s="4" t="s">
        <v>7466</v>
      </c>
      <c r="D1747" s="4" t="s">
        <v>5</v>
      </c>
      <c r="E1747" s="4" t="s">
        <v>12</v>
      </c>
      <c r="F1747" s="4" t="s">
        <v>7</v>
      </c>
      <c r="G1747" s="4" t="s">
        <v>13</v>
      </c>
      <c r="H1747" s="4" t="s">
        <v>21</v>
      </c>
      <c r="I1747" s="5" t="str">
        <f>IFERROR(VLOOKUP(Consulta1[[#This Row],[Pozo largo]],'Lista YPF'!$B$3:$C$358,2,FALSE),"NO")</f>
        <v>NO</v>
      </c>
      <c r="J1747" s="5" t="str">
        <f>IFERROR(VLOOKUP(Consulta1[[#This Row],[Pozo]],'Lista Oportunidades'!B:C,2,FALSE),"NO")</f>
        <v>NO</v>
      </c>
      <c r="K1747" s="5">
        <f>IFERROR(VLOOKUP(Consulta1[[#This Row],[Pozo largo]],Controles!B:H,7,FALSE),"NO")</f>
        <v>1.2</v>
      </c>
      <c r="L1747" s="5">
        <f>IFERROR(VLOOKUP(Consulta1[[#This Row],[Pozo largo]],Controles!B:J,9,FALSE),"NO")</f>
        <v>0</v>
      </c>
    </row>
    <row r="1748" spans="2:12" x14ac:dyDescent="0.35">
      <c r="B1748" s="4" t="s">
        <v>3357</v>
      </c>
      <c r="C1748" s="4" t="s">
        <v>7467</v>
      </c>
      <c r="D1748" s="4" t="s">
        <v>5</v>
      </c>
      <c r="E1748" s="4" t="s">
        <v>24</v>
      </c>
      <c r="F1748" s="4" t="s">
        <v>31</v>
      </c>
      <c r="G1748" s="4" t="s">
        <v>8</v>
      </c>
      <c r="H1748" s="4" t="s">
        <v>9</v>
      </c>
      <c r="I1748" s="5" t="str">
        <f>IFERROR(VLOOKUP(Consulta1[[#This Row],[Pozo largo]],'Lista YPF'!$B$3:$C$358,2,FALSE),"NO")</f>
        <v>NO</v>
      </c>
      <c r="J1748" s="5" t="str">
        <f>IFERROR(VLOOKUP(Consulta1[[#This Row],[Pozo]],'Lista Oportunidades'!B:C,2,FALSE),"NO")</f>
        <v>NO</v>
      </c>
      <c r="K1748" s="5">
        <f>IFERROR(VLOOKUP(Consulta1[[#This Row],[Pozo largo]],Controles!B:H,7,FALSE),"NO")</f>
        <v>0.33600000000000002</v>
      </c>
      <c r="L1748" s="5">
        <f>IFERROR(VLOOKUP(Consulta1[[#This Row],[Pozo largo]],Controles!B:J,9,FALSE),"NO")</f>
        <v>0</v>
      </c>
    </row>
    <row r="1749" spans="2:12" x14ac:dyDescent="0.35">
      <c r="B1749" s="4" t="s">
        <v>3359</v>
      </c>
      <c r="C1749" s="4" t="s">
        <v>7468</v>
      </c>
      <c r="D1749" s="4" t="s">
        <v>5</v>
      </c>
      <c r="E1749" s="4" t="s">
        <v>30</v>
      </c>
      <c r="F1749" s="4" t="s">
        <v>31</v>
      </c>
      <c r="G1749" s="4" t="s">
        <v>32</v>
      </c>
      <c r="H1749" s="4" t="s">
        <v>9</v>
      </c>
      <c r="I1749" s="5" t="str">
        <f>IFERROR(VLOOKUP(Consulta1[[#This Row],[Pozo largo]],'Lista YPF'!$B$3:$C$358,2,FALSE),"NO")</f>
        <v>NO</v>
      </c>
      <c r="J1749" s="5" t="str">
        <f>IFERROR(VLOOKUP(Consulta1[[#This Row],[Pozo]],'Lista Oportunidades'!B:C,2,FALSE),"NO")</f>
        <v>NO</v>
      </c>
      <c r="K1749" s="5" t="str">
        <f>IFERROR(VLOOKUP(Consulta1[[#This Row],[Pozo largo]],Controles!B:H,7,FALSE),"NO")</f>
        <v>NO</v>
      </c>
      <c r="L1749" s="5" t="str">
        <f>IFERROR(VLOOKUP(Consulta1[[#This Row],[Pozo largo]],Controles!B:J,9,FALSE),"NO")</f>
        <v>NO</v>
      </c>
    </row>
    <row r="1750" spans="2:12" x14ac:dyDescent="0.35">
      <c r="B1750" s="4" t="s">
        <v>3360</v>
      </c>
      <c r="C1750" s="4" t="s">
        <v>7469</v>
      </c>
      <c r="D1750" s="4" t="s">
        <v>5</v>
      </c>
      <c r="E1750" s="4" t="s">
        <v>30</v>
      </c>
      <c r="F1750" s="4" t="s">
        <v>31</v>
      </c>
      <c r="G1750" s="4" t="s">
        <v>32</v>
      </c>
      <c r="H1750" s="4" t="s">
        <v>80</v>
      </c>
      <c r="I1750" s="5" t="str">
        <f>IFERROR(VLOOKUP(Consulta1[[#This Row],[Pozo largo]],'Lista YPF'!$B$3:$C$358,2,FALSE),"NO")</f>
        <v>NO</v>
      </c>
      <c r="J1750" s="5" t="str">
        <f>IFERROR(VLOOKUP(Consulta1[[#This Row],[Pozo]],'Lista Oportunidades'!B:C,2,FALSE),"NO")</f>
        <v>NO</v>
      </c>
      <c r="K1750" s="5" t="str">
        <f>IFERROR(VLOOKUP(Consulta1[[#This Row],[Pozo largo]],Controles!B:H,7,FALSE),"NO")</f>
        <v>NO</v>
      </c>
      <c r="L1750" s="5" t="str">
        <f>IFERROR(VLOOKUP(Consulta1[[#This Row],[Pozo largo]],Controles!B:J,9,FALSE),"NO")</f>
        <v>NO</v>
      </c>
    </row>
    <row r="1751" spans="2:12" x14ac:dyDescent="0.35">
      <c r="B1751" s="4" t="s">
        <v>3361</v>
      </c>
      <c r="C1751" s="4" t="s">
        <v>7470</v>
      </c>
      <c r="D1751" s="4" t="s">
        <v>5</v>
      </c>
      <c r="E1751" s="4" t="s">
        <v>24</v>
      </c>
      <c r="F1751" s="4" t="s">
        <v>25</v>
      </c>
      <c r="G1751" s="4" t="s">
        <v>8</v>
      </c>
      <c r="H1751" s="4" t="s">
        <v>86</v>
      </c>
      <c r="I1751" s="5" t="str">
        <f>IFERROR(VLOOKUP(Consulta1[[#This Row],[Pozo largo]],'Lista YPF'!$B$3:$C$358,2,FALSE),"NO")</f>
        <v>NO</v>
      </c>
      <c r="J1751" s="5" t="str">
        <f>IFERROR(VLOOKUP(Consulta1[[#This Row],[Pozo]],'Lista Oportunidades'!B:C,2,FALSE),"NO")</f>
        <v>NO</v>
      </c>
      <c r="K1751" s="5">
        <f>IFERROR(VLOOKUP(Consulta1[[#This Row],[Pozo largo]],Controles!B:H,7,FALSE),"NO")</f>
        <v>0.216</v>
      </c>
      <c r="L1751" s="5">
        <f>IFERROR(VLOOKUP(Consulta1[[#This Row],[Pozo largo]],Controles!B:J,9,FALSE),"NO")</f>
        <v>0</v>
      </c>
    </row>
    <row r="1752" spans="2:12" x14ac:dyDescent="0.35">
      <c r="B1752" s="4" t="s">
        <v>3363</v>
      </c>
      <c r="C1752" s="4" t="s">
        <v>7471</v>
      </c>
      <c r="D1752" s="4" t="s">
        <v>5</v>
      </c>
      <c r="E1752" s="4" t="s">
        <v>24</v>
      </c>
      <c r="F1752" s="4" t="s">
        <v>31</v>
      </c>
      <c r="G1752" s="4" t="s">
        <v>8</v>
      </c>
      <c r="H1752" s="4" t="s">
        <v>149</v>
      </c>
      <c r="I1752" s="5" t="str">
        <f>IFERROR(VLOOKUP(Consulta1[[#This Row],[Pozo largo]],'Lista YPF'!$B$3:$C$358,2,FALSE),"NO")</f>
        <v>NO</v>
      </c>
      <c r="J1752" s="5" t="str">
        <f>IFERROR(VLOOKUP(Consulta1[[#This Row],[Pozo]],'Lista Oportunidades'!B:C,2,FALSE),"NO")</f>
        <v>NO</v>
      </c>
      <c r="K1752" s="5" t="str">
        <f>IFERROR(VLOOKUP(Consulta1[[#This Row],[Pozo largo]],Controles!B:H,7,FALSE),"NO")</f>
        <v>NO</v>
      </c>
      <c r="L1752" s="5" t="str">
        <f>IFERROR(VLOOKUP(Consulta1[[#This Row],[Pozo largo]],Controles!B:J,9,FALSE),"NO")</f>
        <v>NO</v>
      </c>
    </row>
    <row r="1753" spans="2:12" x14ac:dyDescent="0.35">
      <c r="B1753" s="4" t="s">
        <v>3364</v>
      </c>
      <c r="C1753" s="4" t="s">
        <v>7472</v>
      </c>
      <c r="D1753" s="4" t="s">
        <v>5</v>
      </c>
      <c r="E1753" s="4" t="s">
        <v>12</v>
      </c>
      <c r="F1753" s="4" t="s">
        <v>7</v>
      </c>
      <c r="G1753" s="4" t="s">
        <v>13</v>
      </c>
      <c r="H1753" s="4" t="s">
        <v>86</v>
      </c>
      <c r="I1753" s="5" t="str">
        <f>IFERROR(VLOOKUP(Consulta1[[#This Row],[Pozo largo]],'Lista YPF'!$B$3:$C$358,2,FALSE),"NO")</f>
        <v>NO</v>
      </c>
      <c r="J1753" s="5" t="str">
        <f>IFERROR(VLOOKUP(Consulta1[[#This Row],[Pozo]],'Lista Oportunidades'!B:C,2,FALSE),"NO")</f>
        <v>NO</v>
      </c>
      <c r="K1753" s="5">
        <f>IFERROR(VLOOKUP(Consulta1[[#This Row],[Pozo largo]],Controles!B:H,7,FALSE),"NO")</f>
        <v>0.92</v>
      </c>
      <c r="L1753" s="5">
        <f>IFERROR(VLOOKUP(Consulta1[[#This Row],[Pozo largo]],Controles!B:J,9,FALSE),"NO")</f>
        <v>0</v>
      </c>
    </row>
    <row r="1754" spans="2:12" x14ac:dyDescent="0.35">
      <c r="B1754" s="4" t="s">
        <v>3366</v>
      </c>
      <c r="C1754" s="4" t="s">
        <v>7473</v>
      </c>
      <c r="D1754" s="4" t="s">
        <v>5</v>
      </c>
      <c r="E1754" s="4" t="s">
        <v>30</v>
      </c>
      <c r="F1754" s="4" t="s">
        <v>31</v>
      </c>
      <c r="G1754" s="4" t="s">
        <v>32</v>
      </c>
      <c r="H1754" s="4" t="s">
        <v>80</v>
      </c>
      <c r="I1754" s="5" t="str">
        <f>IFERROR(VLOOKUP(Consulta1[[#This Row],[Pozo largo]],'Lista YPF'!$B$3:$C$358,2,FALSE),"NO")</f>
        <v>NO</v>
      </c>
      <c r="J1754" s="5" t="str">
        <f>IFERROR(VLOOKUP(Consulta1[[#This Row],[Pozo]],'Lista Oportunidades'!B:C,2,FALSE),"NO")</f>
        <v>NO</v>
      </c>
      <c r="K1754" s="5" t="str">
        <f>IFERROR(VLOOKUP(Consulta1[[#This Row],[Pozo largo]],Controles!B:H,7,FALSE),"NO")</f>
        <v>NO</v>
      </c>
      <c r="L1754" s="5" t="str">
        <f>IFERROR(VLOOKUP(Consulta1[[#This Row],[Pozo largo]],Controles!B:J,9,FALSE),"NO")</f>
        <v>NO</v>
      </c>
    </row>
    <row r="1755" spans="2:12" x14ac:dyDescent="0.35">
      <c r="B1755" s="4" t="s">
        <v>3367</v>
      </c>
      <c r="C1755" s="4" t="s">
        <v>7474</v>
      </c>
      <c r="D1755" s="4" t="s">
        <v>5</v>
      </c>
      <c r="E1755" s="4" t="s">
        <v>12</v>
      </c>
      <c r="F1755" s="4" t="s">
        <v>28</v>
      </c>
      <c r="G1755" s="4" t="s">
        <v>13</v>
      </c>
      <c r="H1755" s="4" t="s">
        <v>84</v>
      </c>
      <c r="I1755" s="5" t="str">
        <f>IFERROR(VLOOKUP(Consulta1[[#This Row],[Pozo largo]],'Lista YPF'!$B$3:$C$358,2,FALSE),"NO")</f>
        <v>NO</v>
      </c>
      <c r="J1755" s="5" t="str">
        <f>IFERROR(VLOOKUP(Consulta1[[#This Row],[Pozo]],'Lista Oportunidades'!B:C,2,FALSE),"NO")</f>
        <v>NO</v>
      </c>
      <c r="K1755" s="5">
        <f>IFERROR(VLOOKUP(Consulta1[[#This Row],[Pozo largo]],Controles!B:H,7,FALSE),"NO")</f>
        <v>0</v>
      </c>
      <c r="L1755" s="5">
        <f>IFERROR(VLOOKUP(Consulta1[[#This Row],[Pozo largo]],Controles!B:J,9,FALSE),"NO")</f>
        <v>0</v>
      </c>
    </row>
    <row r="1756" spans="2:12" x14ac:dyDescent="0.35">
      <c r="B1756" s="4" t="s">
        <v>3369</v>
      </c>
      <c r="C1756" s="4" t="s">
        <v>7475</v>
      </c>
      <c r="D1756" s="4" t="s">
        <v>5</v>
      </c>
      <c r="E1756" s="4" t="s">
        <v>30</v>
      </c>
      <c r="F1756" s="4" t="s">
        <v>31</v>
      </c>
      <c r="G1756" s="4" t="s">
        <v>32</v>
      </c>
      <c r="H1756" s="4" t="s">
        <v>86</v>
      </c>
      <c r="I1756" s="5" t="str">
        <f>IFERROR(VLOOKUP(Consulta1[[#This Row],[Pozo largo]],'Lista YPF'!$B$3:$C$358,2,FALSE),"NO")</f>
        <v>NO</v>
      </c>
      <c r="J1756" s="5" t="str">
        <f>IFERROR(VLOOKUP(Consulta1[[#This Row],[Pozo]],'Lista Oportunidades'!B:C,2,FALSE),"NO")</f>
        <v>NO</v>
      </c>
      <c r="K1756" s="5">
        <f>IFERROR(VLOOKUP(Consulta1[[#This Row],[Pozo largo]],Controles!B:H,7,FALSE),"NO")</f>
        <v>0</v>
      </c>
      <c r="L1756" s="5">
        <f>IFERROR(VLOOKUP(Consulta1[[#This Row],[Pozo largo]],Controles!B:J,9,FALSE),"NO")</f>
        <v>0</v>
      </c>
    </row>
    <row r="1757" spans="2:12" x14ac:dyDescent="0.35">
      <c r="B1757" s="4" t="s">
        <v>3371</v>
      </c>
      <c r="C1757" s="4" t="s">
        <v>7476</v>
      </c>
      <c r="D1757" s="4" t="s">
        <v>5</v>
      </c>
      <c r="E1757" s="4" t="s">
        <v>12</v>
      </c>
      <c r="F1757" s="4" t="s">
        <v>25</v>
      </c>
      <c r="G1757" s="4" t="s">
        <v>13</v>
      </c>
      <c r="H1757" s="4" t="s">
        <v>86</v>
      </c>
      <c r="I1757" s="5" t="str">
        <f>IFERROR(VLOOKUP(Consulta1[[#This Row],[Pozo largo]],'Lista YPF'!$B$3:$C$358,2,FALSE),"NO")</f>
        <v>NO</v>
      </c>
      <c r="J1757" s="5" t="str">
        <f>IFERROR(VLOOKUP(Consulta1[[#This Row],[Pozo]],'Lista Oportunidades'!B:C,2,FALSE),"NO")</f>
        <v>NO</v>
      </c>
      <c r="K1757" s="5">
        <f>IFERROR(VLOOKUP(Consulta1[[#This Row],[Pozo largo]],Controles!B:H,7,FALSE),"NO")</f>
        <v>0.154</v>
      </c>
      <c r="L1757" s="5">
        <f>IFERROR(VLOOKUP(Consulta1[[#This Row],[Pozo largo]],Controles!B:J,9,FALSE),"NO")</f>
        <v>0</v>
      </c>
    </row>
    <row r="1758" spans="2:12" x14ac:dyDescent="0.35">
      <c r="B1758" s="4" t="s">
        <v>3373</v>
      </c>
      <c r="C1758" s="4" t="s">
        <v>7477</v>
      </c>
      <c r="D1758" s="4" t="s">
        <v>5</v>
      </c>
      <c r="E1758" s="4" t="s">
        <v>12</v>
      </c>
      <c r="F1758" s="4" t="s">
        <v>7</v>
      </c>
      <c r="G1758" s="4" t="s">
        <v>13</v>
      </c>
      <c r="H1758" s="4" t="s">
        <v>86</v>
      </c>
      <c r="I1758" s="5" t="str">
        <f>IFERROR(VLOOKUP(Consulta1[[#This Row],[Pozo largo]],'Lista YPF'!$B$3:$C$358,2,FALSE),"NO")</f>
        <v>NO</v>
      </c>
      <c r="J1758" s="5" t="str">
        <f>IFERROR(VLOOKUP(Consulta1[[#This Row],[Pozo]],'Lista Oportunidades'!B:C,2,FALSE),"NO")</f>
        <v>NO</v>
      </c>
      <c r="K1758" s="5">
        <f>IFERROR(VLOOKUP(Consulta1[[#This Row],[Pozo largo]],Controles!B:H,7,FALSE),"NO")</f>
        <v>0.70000000000000007</v>
      </c>
      <c r="L1758" s="5">
        <f>IFERROR(VLOOKUP(Consulta1[[#This Row],[Pozo largo]],Controles!B:J,9,FALSE),"NO")</f>
        <v>0</v>
      </c>
    </row>
    <row r="1759" spans="2:12" x14ac:dyDescent="0.35">
      <c r="B1759" s="4" t="s">
        <v>3375</v>
      </c>
      <c r="C1759" s="4" t="s">
        <v>5742</v>
      </c>
      <c r="D1759" s="4" t="s">
        <v>5</v>
      </c>
      <c r="E1759" s="4" t="s">
        <v>6</v>
      </c>
      <c r="F1759" s="4" t="s">
        <v>83</v>
      </c>
      <c r="G1759" s="4" t="s">
        <v>8689</v>
      </c>
      <c r="H1759" s="4" t="s">
        <v>16</v>
      </c>
      <c r="I1759" s="5" t="str">
        <f>IFERROR(VLOOKUP(Consulta1[[#This Row],[Pozo largo]],'Lista YPF'!$B$3:$C$358,2,FALSE),"NO")</f>
        <v>NO</v>
      </c>
      <c r="J1759" s="5" t="str">
        <f>IFERROR(VLOOKUP(Consulta1[[#This Row],[Pozo]],'Lista Oportunidades'!B:C,2,FALSE),"NO")</f>
        <v>Oportunidad</v>
      </c>
      <c r="K1759" s="5">
        <f>IFERROR(VLOOKUP(Consulta1[[#This Row],[Pozo largo]],Controles!B:H,7,FALSE),"NO")</f>
        <v>1.022</v>
      </c>
      <c r="L1759" s="5" t="str">
        <f>IFERROR(VLOOKUP(Consulta1[[#This Row],[Pozo largo]],Controles!B:J,9,FALSE),"NO")</f>
        <v>Ultimo Año</v>
      </c>
    </row>
    <row r="1760" spans="2:12" x14ac:dyDescent="0.35">
      <c r="B1760" s="4" t="s">
        <v>3377</v>
      </c>
      <c r="C1760" s="4" t="s">
        <v>7478</v>
      </c>
      <c r="D1760" s="4" t="s">
        <v>5</v>
      </c>
      <c r="E1760" s="4" t="s">
        <v>24</v>
      </c>
      <c r="F1760" s="4" t="s">
        <v>31</v>
      </c>
      <c r="G1760" s="4" t="s">
        <v>8</v>
      </c>
      <c r="H1760" s="4" t="s">
        <v>71</v>
      </c>
      <c r="I1760" s="5" t="str">
        <f>IFERROR(VLOOKUP(Consulta1[[#This Row],[Pozo largo]],'Lista YPF'!$B$3:$C$358,2,FALSE),"NO")</f>
        <v>NO</v>
      </c>
      <c r="J1760" s="5" t="str">
        <f>IFERROR(VLOOKUP(Consulta1[[#This Row],[Pozo]],'Lista Oportunidades'!B:C,2,FALSE),"NO")</f>
        <v>NO</v>
      </c>
      <c r="K1760" s="5">
        <f>IFERROR(VLOOKUP(Consulta1[[#This Row],[Pozo largo]],Controles!B:H,7,FALSE),"NO")</f>
        <v>0.65400000000000003</v>
      </c>
      <c r="L1760" s="5">
        <f>IFERROR(VLOOKUP(Consulta1[[#This Row],[Pozo largo]],Controles!B:J,9,FALSE),"NO")</f>
        <v>0</v>
      </c>
    </row>
    <row r="1761" spans="2:12" x14ac:dyDescent="0.35">
      <c r="B1761" s="4" t="s">
        <v>3379</v>
      </c>
      <c r="C1761" s="4" t="s">
        <v>7479</v>
      </c>
      <c r="D1761" s="4" t="s">
        <v>5</v>
      </c>
      <c r="E1761" s="4" t="s">
        <v>12</v>
      </c>
      <c r="F1761" s="4" t="s">
        <v>7</v>
      </c>
      <c r="G1761" s="4" t="s">
        <v>13</v>
      </c>
      <c r="H1761" s="4" t="s">
        <v>141</v>
      </c>
      <c r="I1761" s="5" t="str">
        <f>IFERROR(VLOOKUP(Consulta1[[#This Row],[Pozo largo]],'Lista YPF'!$B$3:$C$358,2,FALSE),"NO")</f>
        <v>NO</v>
      </c>
      <c r="J1761" s="5" t="str">
        <f>IFERROR(VLOOKUP(Consulta1[[#This Row],[Pozo]],'Lista Oportunidades'!B:C,2,FALSE),"NO")</f>
        <v>NO</v>
      </c>
      <c r="K1761" s="5">
        <f>IFERROR(VLOOKUP(Consulta1[[#This Row],[Pozo largo]],Controles!B:H,7,FALSE),"NO")</f>
        <v>2.16</v>
      </c>
      <c r="L1761" s="5">
        <f>IFERROR(VLOOKUP(Consulta1[[#This Row],[Pozo largo]],Controles!B:J,9,FALSE),"NO")</f>
        <v>0</v>
      </c>
    </row>
    <row r="1762" spans="2:12" x14ac:dyDescent="0.35">
      <c r="B1762" s="4" t="s">
        <v>3381</v>
      </c>
      <c r="C1762" s="4" t="s">
        <v>7480</v>
      </c>
      <c r="D1762" s="4" t="s">
        <v>5</v>
      </c>
      <c r="E1762" s="4" t="s">
        <v>24</v>
      </c>
      <c r="F1762" s="4" t="s">
        <v>31</v>
      </c>
      <c r="G1762" s="4" t="s">
        <v>8</v>
      </c>
      <c r="H1762" s="4" t="s">
        <v>71</v>
      </c>
      <c r="I1762" s="5" t="str">
        <f>IFERROR(VLOOKUP(Consulta1[[#This Row],[Pozo largo]],'Lista YPF'!$B$3:$C$358,2,FALSE),"NO")</f>
        <v>NO</v>
      </c>
      <c r="J1762" s="5" t="str">
        <f>IFERROR(VLOOKUP(Consulta1[[#This Row],[Pozo]],'Lista Oportunidades'!B:C,2,FALSE),"NO")</f>
        <v>NO</v>
      </c>
      <c r="K1762" s="5">
        <f>IFERROR(VLOOKUP(Consulta1[[#This Row],[Pozo largo]],Controles!B:H,7,FALSE),"NO")</f>
        <v>0.04</v>
      </c>
      <c r="L1762" s="5">
        <f>IFERROR(VLOOKUP(Consulta1[[#This Row],[Pozo largo]],Controles!B:J,9,FALSE),"NO")</f>
        <v>0</v>
      </c>
    </row>
    <row r="1763" spans="2:12" x14ac:dyDescent="0.35">
      <c r="B1763" s="4" t="s">
        <v>3383</v>
      </c>
      <c r="C1763" s="4" t="s">
        <v>7481</v>
      </c>
      <c r="D1763" s="4" t="s">
        <v>5</v>
      </c>
      <c r="E1763" s="4" t="s">
        <v>24</v>
      </c>
      <c r="F1763" s="4" t="s">
        <v>31</v>
      </c>
      <c r="G1763" s="4" t="s">
        <v>8</v>
      </c>
      <c r="H1763" s="4" t="s">
        <v>71</v>
      </c>
      <c r="I1763" s="5" t="str">
        <f>IFERROR(VLOOKUP(Consulta1[[#This Row],[Pozo largo]],'Lista YPF'!$B$3:$C$358,2,FALSE),"NO")</f>
        <v>NO</v>
      </c>
      <c r="J1763" s="5" t="str">
        <f>IFERROR(VLOOKUP(Consulta1[[#This Row],[Pozo]],'Lista Oportunidades'!B:C,2,FALSE),"NO")</f>
        <v>NO</v>
      </c>
      <c r="K1763" s="5">
        <f>IFERROR(VLOOKUP(Consulta1[[#This Row],[Pozo largo]],Controles!B:H,7,FALSE),"NO")</f>
        <v>0.64600000000000002</v>
      </c>
      <c r="L1763" s="5">
        <f>IFERROR(VLOOKUP(Consulta1[[#This Row],[Pozo largo]],Controles!B:J,9,FALSE),"NO")</f>
        <v>0</v>
      </c>
    </row>
    <row r="1764" spans="2:12" x14ac:dyDescent="0.35">
      <c r="B1764" s="4" t="s">
        <v>3385</v>
      </c>
      <c r="C1764" s="4" t="s">
        <v>7482</v>
      </c>
      <c r="D1764" s="4" t="s">
        <v>5</v>
      </c>
      <c r="E1764" s="4" t="s">
        <v>6</v>
      </c>
      <c r="F1764" s="4" t="s">
        <v>7</v>
      </c>
      <c r="G1764" s="4" t="s">
        <v>5718</v>
      </c>
      <c r="H1764" s="4" t="s">
        <v>146</v>
      </c>
      <c r="I1764" s="5" t="str">
        <f>IFERROR(VLOOKUP(Consulta1[[#This Row],[Pozo largo]],'Lista YPF'!$B$3:$C$358,2,FALSE),"NO")</f>
        <v>En lista de Abandono</v>
      </c>
      <c r="J1764" s="5" t="str">
        <f>IFERROR(VLOOKUP(Consulta1[[#This Row],[Pozo]],'Lista Oportunidades'!B:C,2,FALSE),"NO")</f>
        <v>NO</v>
      </c>
      <c r="K1764" s="5">
        <f>IFERROR(VLOOKUP(Consulta1[[#This Row],[Pozo largo]],Controles!B:H,7,FALSE),"NO")</f>
        <v>1.232</v>
      </c>
      <c r="L1764" s="5">
        <f>IFERROR(VLOOKUP(Consulta1[[#This Row],[Pozo largo]],Controles!B:J,9,FALSE),"NO")</f>
        <v>0</v>
      </c>
    </row>
    <row r="1765" spans="2:12" x14ac:dyDescent="0.35">
      <c r="B1765" s="4" t="s">
        <v>3387</v>
      </c>
      <c r="C1765" s="4" t="s">
        <v>7483</v>
      </c>
      <c r="D1765" s="4" t="s">
        <v>5</v>
      </c>
      <c r="E1765" s="4" t="s">
        <v>12</v>
      </c>
      <c r="F1765" s="4" t="s">
        <v>7</v>
      </c>
      <c r="G1765" s="4" t="s">
        <v>13</v>
      </c>
      <c r="H1765" s="4" t="s">
        <v>66</v>
      </c>
      <c r="I1765" s="5" t="str">
        <f>IFERROR(VLOOKUP(Consulta1[[#This Row],[Pozo largo]],'Lista YPF'!$B$3:$C$358,2,FALSE),"NO")</f>
        <v>NO</v>
      </c>
      <c r="J1765" s="5" t="str">
        <f>IFERROR(VLOOKUP(Consulta1[[#This Row],[Pozo]],'Lista Oportunidades'!B:C,2,FALSE),"NO")</f>
        <v>NO</v>
      </c>
      <c r="K1765" s="5">
        <f>IFERROR(VLOOKUP(Consulta1[[#This Row],[Pozo largo]],Controles!B:H,7,FALSE),"NO")</f>
        <v>1.97</v>
      </c>
      <c r="L1765" s="5">
        <f>IFERROR(VLOOKUP(Consulta1[[#This Row],[Pozo largo]],Controles!B:J,9,FALSE),"NO")</f>
        <v>0</v>
      </c>
    </row>
    <row r="1766" spans="2:12" x14ac:dyDescent="0.35">
      <c r="B1766" s="4" t="s">
        <v>3389</v>
      </c>
      <c r="C1766" s="4" t="s">
        <v>7484</v>
      </c>
      <c r="D1766" s="4" t="s">
        <v>5</v>
      </c>
      <c r="E1766" s="4" t="s">
        <v>30</v>
      </c>
      <c r="F1766" s="4" t="s">
        <v>31</v>
      </c>
      <c r="G1766" s="4" t="s">
        <v>32</v>
      </c>
      <c r="H1766" s="4" t="s">
        <v>91</v>
      </c>
      <c r="I1766" s="5" t="str">
        <f>IFERROR(VLOOKUP(Consulta1[[#This Row],[Pozo largo]],'Lista YPF'!$B$3:$C$358,2,FALSE),"NO")</f>
        <v>NO</v>
      </c>
      <c r="J1766" s="5" t="str">
        <f>IFERROR(VLOOKUP(Consulta1[[#This Row],[Pozo]],'Lista Oportunidades'!B:C,2,FALSE),"NO")</f>
        <v>NO</v>
      </c>
      <c r="K1766" s="5" t="str">
        <f>IFERROR(VLOOKUP(Consulta1[[#This Row],[Pozo largo]],Controles!B:H,7,FALSE),"NO")</f>
        <v>NO</v>
      </c>
      <c r="L1766" s="5" t="str">
        <f>IFERROR(VLOOKUP(Consulta1[[#This Row],[Pozo largo]],Controles!B:J,9,FALSE),"NO")</f>
        <v>NO</v>
      </c>
    </row>
    <row r="1767" spans="2:12" x14ac:dyDescent="0.35">
      <c r="B1767" s="4" t="s">
        <v>3390</v>
      </c>
      <c r="C1767" s="4" t="s">
        <v>7485</v>
      </c>
      <c r="D1767" s="4" t="s">
        <v>5</v>
      </c>
      <c r="E1767" s="4" t="s">
        <v>57</v>
      </c>
      <c r="F1767" s="4" t="s">
        <v>31</v>
      </c>
      <c r="G1767" s="4" t="s">
        <v>11386</v>
      </c>
      <c r="H1767" s="4" t="s">
        <v>71</v>
      </c>
      <c r="I1767" s="5" t="str">
        <f>IFERROR(VLOOKUP(Consulta1[[#This Row],[Pozo largo]],'Lista YPF'!$B$3:$C$358,2,FALSE),"NO")</f>
        <v>NO</v>
      </c>
      <c r="J1767" s="5" t="str">
        <f>IFERROR(VLOOKUP(Consulta1[[#This Row],[Pozo]],'Lista Oportunidades'!B:C,2,FALSE),"NO")</f>
        <v>NO</v>
      </c>
      <c r="K1767" s="5">
        <f>IFERROR(VLOOKUP(Consulta1[[#This Row],[Pozo largo]],Controles!B:H,7,FALSE),"NO")</f>
        <v>0.9</v>
      </c>
      <c r="L1767" s="5" t="str">
        <f>IFERROR(VLOOKUP(Consulta1[[#This Row],[Pozo largo]],Controles!B:J,9,FALSE),"NO")</f>
        <v>Ultimos 6 meses</v>
      </c>
    </row>
    <row r="1768" spans="2:12" x14ac:dyDescent="0.35">
      <c r="B1768" s="4" t="s">
        <v>3392</v>
      </c>
      <c r="C1768" s="4" t="s">
        <v>7486</v>
      </c>
      <c r="D1768" s="4" t="s">
        <v>5</v>
      </c>
      <c r="E1768" s="4" t="s">
        <v>24</v>
      </c>
      <c r="F1768" s="4" t="s">
        <v>31</v>
      </c>
      <c r="G1768" s="4" t="s">
        <v>8</v>
      </c>
      <c r="H1768" s="4" t="s">
        <v>149</v>
      </c>
      <c r="I1768" s="5" t="str">
        <f>IFERROR(VLOOKUP(Consulta1[[#This Row],[Pozo largo]],'Lista YPF'!$B$3:$C$358,2,FALSE),"NO")</f>
        <v>NO</v>
      </c>
      <c r="J1768" s="5" t="str">
        <f>IFERROR(VLOOKUP(Consulta1[[#This Row],[Pozo]],'Lista Oportunidades'!B:C,2,FALSE),"NO")</f>
        <v>NO</v>
      </c>
      <c r="K1768" s="5" t="str">
        <f>IFERROR(VLOOKUP(Consulta1[[#This Row],[Pozo largo]],Controles!B:H,7,FALSE),"NO")</f>
        <v>NO</v>
      </c>
      <c r="L1768" s="5" t="str">
        <f>IFERROR(VLOOKUP(Consulta1[[#This Row],[Pozo largo]],Controles!B:J,9,FALSE),"NO")</f>
        <v>NO</v>
      </c>
    </row>
    <row r="1769" spans="2:12" x14ac:dyDescent="0.35">
      <c r="B1769" s="4" t="s">
        <v>3393</v>
      </c>
      <c r="C1769" s="4" t="s">
        <v>7487</v>
      </c>
      <c r="D1769" s="4" t="s">
        <v>5</v>
      </c>
      <c r="E1769" s="4" t="s">
        <v>12</v>
      </c>
      <c r="F1769" s="4" t="s">
        <v>25</v>
      </c>
      <c r="G1769" s="4" t="s">
        <v>13</v>
      </c>
      <c r="H1769" s="4" t="s">
        <v>149</v>
      </c>
      <c r="I1769" s="5" t="str">
        <f>IFERROR(VLOOKUP(Consulta1[[#This Row],[Pozo largo]],'Lista YPF'!$B$3:$C$358,2,FALSE),"NO")</f>
        <v>NO</v>
      </c>
      <c r="J1769" s="5" t="str">
        <f>IFERROR(VLOOKUP(Consulta1[[#This Row],[Pozo]],'Lista Oportunidades'!B:C,2,FALSE),"NO")</f>
        <v>NO</v>
      </c>
      <c r="K1769" s="5">
        <f>IFERROR(VLOOKUP(Consulta1[[#This Row],[Pozo largo]],Controles!B:H,7,FALSE),"NO")</f>
        <v>0.125</v>
      </c>
      <c r="L1769" s="5">
        <f>IFERROR(VLOOKUP(Consulta1[[#This Row],[Pozo largo]],Controles!B:J,9,FALSE),"NO")</f>
        <v>0</v>
      </c>
    </row>
    <row r="1770" spans="2:12" x14ac:dyDescent="0.35">
      <c r="B1770" s="4" t="s">
        <v>3395</v>
      </c>
      <c r="C1770" s="4" t="s">
        <v>7488</v>
      </c>
      <c r="D1770" s="4" t="s">
        <v>5</v>
      </c>
      <c r="E1770" s="4" t="s">
        <v>12</v>
      </c>
      <c r="F1770" s="4" t="s">
        <v>7</v>
      </c>
      <c r="G1770" s="4" t="s">
        <v>13</v>
      </c>
      <c r="H1770" s="4" t="s">
        <v>21</v>
      </c>
      <c r="I1770" s="5" t="str">
        <f>IFERROR(VLOOKUP(Consulta1[[#This Row],[Pozo largo]],'Lista YPF'!$B$3:$C$358,2,FALSE),"NO")</f>
        <v>NO</v>
      </c>
      <c r="J1770" s="5" t="str">
        <f>IFERROR(VLOOKUP(Consulta1[[#This Row],[Pozo]],'Lista Oportunidades'!B:C,2,FALSE),"NO")</f>
        <v>NO</v>
      </c>
      <c r="K1770" s="5">
        <f>IFERROR(VLOOKUP(Consulta1[[#This Row],[Pozo largo]],Controles!B:H,7,FALSE),"NO")</f>
        <v>0.497</v>
      </c>
      <c r="L1770" s="5">
        <f>IFERROR(VLOOKUP(Consulta1[[#This Row],[Pozo largo]],Controles!B:J,9,FALSE),"NO")</f>
        <v>0</v>
      </c>
    </row>
    <row r="1771" spans="2:12" x14ac:dyDescent="0.35">
      <c r="B1771" s="4" t="s">
        <v>3397</v>
      </c>
      <c r="C1771" s="4" t="s">
        <v>7489</v>
      </c>
      <c r="D1771" s="4" t="s">
        <v>5</v>
      </c>
      <c r="E1771" s="4" t="s">
        <v>12</v>
      </c>
      <c r="F1771" s="4" t="s">
        <v>28</v>
      </c>
      <c r="G1771" s="4" t="s">
        <v>13</v>
      </c>
      <c r="H1771" s="4" t="s">
        <v>21</v>
      </c>
      <c r="I1771" s="5" t="str">
        <f>IFERROR(VLOOKUP(Consulta1[[#This Row],[Pozo largo]],'Lista YPF'!$B$3:$C$358,2,FALSE),"NO")</f>
        <v>NO</v>
      </c>
      <c r="J1771" s="5" t="str">
        <f>IFERROR(VLOOKUP(Consulta1[[#This Row],[Pozo]],'Lista Oportunidades'!B:C,2,FALSE),"NO")</f>
        <v>NO</v>
      </c>
      <c r="K1771" s="5">
        <f>IFERROR(VLOOKUP(Consulta1[[#This Row],[Pozo largo]],Controles!B:H,7,FALSE),"NO")</f>
        <v>0</v>
      </c>
      <c r="L1771" s="5">
        <f>IFERROR(VLOOKUP(Consulta1[[#This Row],[Pozo largo]],Controles!B:J,9,FALSE),"NO")</f>
        <v>0</v>
      </c>
    </row>
    <row r="1772" spans="2:12" x14ac:dyDescent="0.35">
      <c r="B1772" s="4" t="s">
        <v>3399</v>
      </c>
      <c r="C1772" s="4" t="s">
        <v>7490</v>
      </c>
      <c r="D1772" s="4" t="s">
        <v>5</v>
      </c>
      <c r="E1772" s="4" t="s">
        <v>12</v>
      </c>
      <c r="F1772" s="4" t="s">
        <v>7</v>
      </c>
      <c r="G1772" s="4" t="s">
        <v>13</v>
      </c>
      <c r="H1772" s="4" t="s">
        <v>33</v>
      </c>
      <c r="I1772" s="5" t="str">
        <f>IFERROR(VLOOKUP(Consulta1[[#This Row],[Pozo largo]],'Lista YPF'!$B$3:$C$358,2,FALSE),"NO")</f>
        <v>NO</v>
      </c>
      <c r="J1772" s="5" t="str">
        <f>IFERROR(VLOOKUP(Consulta1[[#This Row],[Pozo]],'Lista Oportunidades'!B:C,2,FALSE),"NO")</f>
        <v>NO</v>
      </c>
      <c r="K1772" s="5">
        <f>IFERROR(VLOOKUP(Consulta1[[#This Row],[Pozo largo]],Controles!B:H,7,FALSE),"NO")</f>
        <v>1.5640000000000001</v>
      </c>
      <c r="L1772" s="5">
        <f>IFERROR(VLOOKUP(Consulta1[[#This Row],[Pozo largo]],Controles!B:J,9,FALSE),"NO")</f>
        <v>0</v>
      </c>
    </row>
    <row r="1773" spans="2:12" x14ac:dyDescent="0.35">
      <c r="B1773" s="4" t="s">
        <v>3401</v>
      </c>
      <c r="C1773" s="4" t="s">
        <v>7491</v>
      </c>
      <c r="D1773" s="4" t="s">
        <v>5</v>
      </c>
      <c r="E1773" s="4" t="s">
        <v>12</v>
      </c>
      <c r="F1773" s="4" t="s">
        <v>28</v>
      </c>
      <c r="G1773" s="4" t="s">
        <v>13</v>
      </c>
      <c r="H1773" s="4" t="s">
        <v>21</v>
      </c>
      <c r="I1773" s="5" t="str">
        <f>IFERROR(VLOOKUP(Consulta1[[#This Row],[Pozo largo]],'Lista YPF'!$B$3:$C$358,2,FALSE),"NO")</f>
        <v>NO</v>
      </c>
      <c r="J1773" s="5" t="str">
        <f>IFERROR(VLOOKUP(Consulta1[[#This Row],[Pozo]],'Lista Oportunidades'!B:C,2,FALSE),"NO")</f>
        <v>NO</v>
      </c>
      <c r="K1773" s="5">
        <f>IFERROR(VLOOKUP(Consulta1[[#This Row],[Pozo largo]],Controles!B:H,7,FALSE),"NO")</f>
        <v>0</v>
      </c>
      <c r="L1773" s="5">
        <f>IFERROR(VLOOKUP(Consulta1[[#This Row],[Pozo largo]],Controles!B:J,9,FALSE),"NO")</f>
        <v>0</v>
      </c>
    </row>
    <row r="1774" spans="2:12" x14ac:dyDescent="0.35">
      <c r="B1774" s="4" t="s">
        <v>3403</v>
      </c>
      <c r="C1774" s="4" t="s">
        <v>7492</v>
      </c>
      <c r="D1774" s="4" t="s">
        <v>5</v>
      </c>
      <c r="E1774" s="4" t="s">
        <v>6</v>
      </c>
      <c r="F1774" s="4" t="s">
        <v>28</v>
      </c>
      <c r="G1774" s="4" t="s">
        <v>8</v>
      </c>
      <c r="H1774" s="4" t="s">
        <v>33</v>
      </c>
      <c r="I1774" s="5" t="str">
        <f>IFERROR(VLOOKUP(Consulta1[[#This Row],[Pozo largo]],'Lista YPF'!$B$3:$C$358,2,FALSE),"NO")</f>
        <v>NO</v>
      </c>
      <c r="J1774" s="5" t="str">
        <f>IFERROR(VLOOKUP(Consulta1[[#This Row],[Pozo]],'Lista Oportunidades'!B:C,2,FALSE),"NO")</f>
        <v>NO</v>
      </c>
      <c r="K1774" s="5">
        <f>IFERROR(VLOOKUP(Consulta1[[#This Row],[Pozo largo]],Controles!B:H,7,FALSE),"NO")</f>
        <v>0</v>
      </c>
      <c r="L1774" s="5">
        <f>IFERROR(VLOOKUP(Consulta1[[#This Row],[Pozo largo]],Controles!B:J,9,FALSE),"NO")</f>
        <v>0</v>
      </c>
    </row>
    <row r="1775" spans="2:12" x14ac:dyDescent="0.35">
      <c r="B1775" s="4" t="s">
        <v>3405</v>
      </c>
      <c r="C1775" s="4" t="s">
        <v>7493</v>
      </c>
      <c r="D1775" s="4" t="s">
        <v>5</v>
      </c>
      <c r="E1775" s="4" t="s">
        <v>12</v>
      </c>
      <c r="F1775" s="4" t="s">
        <v>7</v>
      </c>
      <c r="G1775" s="4" t="s">
        <v>13</v>
      </c>
      <c r="H1775" s="4" t="s">
        <v>33</v>
      </c>
      <c r="I1775" s="5" t="str">
        <f>IFERROR(VLOOKUP(Consulta1[[#This Row],[Pozo largo]],'Lista YPF'!$B$3:$C$358,2,FALSE),"NO")</f>
        <v>NO</v>
      </c>
      <c r="J1775" s="5" t="str">
        <f>IFERROR(VLOOKUP(Consulta1[[#This Row],[Pozo]],'Lista Oportunidades'!B:C,2,FALSE),"NO")</f>
        <v>NO</v>
      </c>
      <c r="K1775" s="5">
        <f>IFERROR(VLOOKUP(Consulta1[[#This Row],[Pozo largo]],Controles!B:H,7,FALSE),"NO")</f>
        <v>0.73499999999999999</v>
      </c>
      <c r="L1775" s="5">
        <f>IFERROR(VLOOKUP(Consulta1[[#This Row],[Pozo largo]],Controles!B:J,9,FALSE),"NO")</f>
        <v>0</v>
      </c>
    </row>
    <row r="1776" spans="2:12" x14ac:dyDescent="0.35">
      <c r="B1776" s="4" t="s">
        <v>3407</v>
      </c>
      <c r="C1776" s="4" t="s">
        <v>7494</v>
      </c>
      <c r="D1776" s="4" t="s">
        <v>5</v>
      </c>
      <c r="E1776" s="4" t="s">
        <v>57</v>
      </c>
      <c r="F1776" s="4" t="s">
        <v>31</v>
      </c>
      <c r="G1776" s="4" t="s">
        <v>5718</v>
      </c>
      <c r="H1776" s="4" t="s">
        <v>33</v>
      </c>
      <c r="I1776" s="5" t="str">
        <f>IFERROR(VLOOKUP(Consulta1[[#This Row],[Pozo largo]],'Lista YPF'!$B$3:$C$358,2,FALSE),"NO")</f>
        <v>En lista de Abandono</v>
      </c>
      <c r="J1776" s="5" t="str">
        <f>IFERROR(VLOOKUP(Consulta1[[#This Row],[Pozo]],'Lista Oportunidades'!B:C,2,FALSE),"NO")</f>
        <v>NO</v>
      </c>
      <c r="K1776" s="5">
        <f>IFERROR(VLOOKUP(Consulta1[[#This Row],[Pozo largo]],Controles!B:H,7,FALSE),"NO")</f>
        <v>0</v>
      </c>
      <c r="L1776" s="5">
        <f>IFERROR(VLOOKUP(Consulta1[[#This Row],[Pozo largo]],Controles!B:J,9,FALSE),"NO")</f>
        <v>0</v>
      </c>
    </row>
    <row r="1777" spans="2:12" x14ac:dyDescent="0.35">
      <c r="B1777" s="4" t="s">
        <v>3409</v>
      </c>
      <c r="C1777" s="4" t="s">
        <v>7495</v>
      </c>
      <c r="D1777" s="4" t="s">
        <v>5</v>
      </c>
      <c r="E1777" s="4" t="s">
        <v>57</v>
      </c>
      <c r="F1777" s="4" t="s">
        <v>31</v>
      </c>
      <c r="G1777" s="4" t="s">
        <v>5718</v>
      </c>
      <c r="H1777" s="4" t="s">
        <v>254</v>
      </c>
      <c r="I1777" s="5" t="str">
        <f>IFERROR(VLOOKUP(Consulta1[[#This Row],[Pozo largo]],'Lista YPF'!$B$3:$C$358,2,FALSE),"NO")</f>
        <v>En lista de Abandono</v>
      </c>
      <c r="J1777" s="5" t="str">
        <f>IFERROR(VLOOKUP(Consulta1[[#This Row],[Pozo]],'Lista Oportunidades'!B:C,2,FALSE),"NO")</f>
        <v>NO</v>
      </c>
      <c r="K1777" s="5">
        <f>IFERROR(VLOOKUP(Consulta1[[#This Row],[Pozo largo]],Controles!B:H,7,FALSE),"NO")</f>
        <v>0.04</v>
      </c>
      <c r="L1777" s="5">
        <f>IFERROR(VLOOKUP(Consulta1[[#This Row],[Pozo largo]],Controles!B:J,9,FALSE),"NO")</f>
        <v>0</v>
      </c>
    </row>
    <row r="1778" spans="2:12" x14ac:dyDescent="0.35">
      <c r="B1778" s="4" t="s">
        <v>3411</v>
      </c>
      <c r="C1778" s="4" t="s">
        <v>7496</v>
      </c>
      <c r="D1778" s="4" t="s">
        <v>5</v>
      </c>
      <c r="E1778" s="4" t="s">
        <v>24</v>
      </c>
      <c r="F1778" s="4" t="s">
        <v>7</v>
      </c>
      <c r="G1778" s="4" t="s">
        <v>8</v>
      </c>
      <c r="H1778" s="4" t="s">
        <v>36</v>
      </c>
      <c r="I1778" s="5" t="str">
        <f>IFERROR(VLOOKUP(Consulta1[[#This Row],[Pozo largo]],'Lista YPF'!$B$3:$C$358,2,FALSE),"NO")</f>
        <v>NO</v>
      </c>
      <c r="J1778" s="5" t="str">
        <f>IFERROR(VLOOKUP(Consulta1[[#This Row],[Pozo]],'Lista Oportunidades'!B:C,2,FALSE),"NO")</f>
        <v>NO</v>
      </c>
      <c r="K1778" s="5">
        <f>IFERROR(VLOOKUP(Consulta1[[#This Row],[Pozo largo]],Controles!B:H,7,FALSE),"NO")</f>
        <v>1.3340000000000001</v>
      </c>
      <c r="L1778" s="5">
        <f>IFERROR(VLOOKUP(Consulta1[[#This Row],[Pozo largo]],Controles!B:J,9,FALSE),"NO")</f>
        <v>0</v>
      </c>
    </row>
    <row r="1779" spans="2:12" x14ac:dyDescent="0.35">
      <c r="B1779" s="4" t="s">
        <v>3413</v>
      </c>
      <c r="C1779" s="4" t="s">
        <v>7497</v>
      </c>
      <c r="D1779" s="4" t="s">
        <v>5</v>
      </c>
      <c r="E1779" s="4" t="s">
        <v>24</v>
      </c>
      <c r="F1779" s="4" t="s">
        <v>25</v>
      </c>
      <c r="G1779" s="4" t="s">
        <v>8</v>
      </c>
      <c r="H1779" s="4" t="s">
        <v>80</v>
      </c>
      <c r="I1779" s="5" t="str">
        <f>IFERROR(VLOOKUP(Consulta1[[#This Row],[Pozo largo]],'Lista YPF'!$B$3:$C$358,2,FALSE),"NO")</f>
        <v>NO</v>
      </c>
      <c r="J1779" s="5" t="str">
        <f>IFERROR(VLOOKUP(Consulta1[[#This Row],[Pozo]],'Lista Oportunidades'!B:C,2,FALSE),"NO")</f>
        <v>NO</v>
      </c>
      <c r="K1779" s="5">
        <f>IFERROR(VLOOKUP(Consulta1[[#This Row],[Pozo largo]],Controles!B:H,7,FALSE),"NO")</f>
        <v>3.9E-2</v>
      </c>
      <c r="L1779" s="5">
        <f>IFERROR(VLOOKUP(Consulta1[[#This Row],[Pozo largo]],Controles!B:J,9,FALSE),"NO")</f>
        <v>0</v>
      </c>
    </row>
    <row r="1780" spans="2:12" x14ac:dyDescent="0.35">
      <c r="B1780" s="4" t="s">
        <v>3415</v>
      </c>
      <c r="C1780" s="4" t="s">
        <v>7498</v>
      </c>
      <c r="D1780" s="4" t="s">
        <v>5</v>
      </c>
      <c r="E1780" s="4" t="s">
        <v>30</v>
      </c>
      <c r="F1780" s="4" t="s">
        <v>31</v>
      </c>
      <c r="G1780" s="4" t="s">
        <v>32</v>
      </c>
      <c r="H1780" s="4" t="s">
        <v>91</v>
      </c>
      <c r="I1780" s="5" t="str">
        <f>IFERROR(VLOOKUP(Consulta1[[#This Row],[Pozo largo]],'Lista YPF'!$B$3:$C$358,2,FALSE),"NO")</f>
        <v>NO</v>
      </c>
      <c r="J1780" s="5" t="str">
        <f>IFERROR(VLOOKUP(Consulta1[[#This Row],[Pozo]],'Lista Oportunidades'!B:C,2,FALSE),"NO")</f>
        <v>NO</v>
      </c>
      <c r="K1780" s="5" t="str">
        <f>IFERROR(VLOOKUP(Consulta1[[#This Row],[Pozo largo]],Controles!B:H,7,FALSE),"NO")</f>
        <v>NO</v>
      </c>
      <c r="L1780" s="5" t="str">
        <f>IFERROR(VLOOKUP(Consulta1[[#This Row],[Pozo largo]],Controles!B:J,9,FALSE),"NO")</f>
        <v>NO</v>
      </c>
    </row>
    <row r="1781" spans="2:12" x14ac:dyDescent="0.35">
      <c r="B1781" s="4" t="s">
        <v>3416</v>
      </c>
      <c r="C1781" s="4" t="s">
        <v>7499</v>
      </c>
      <c r="D1781" s="4" t="s">
        <v>5</v>
      </c>
      <c r="E1781" s="4" t="s">
        <v>30</v>
      </c>
      <c r="F1781" s="4" t="s">
        <v>31</v>
      </c>
      <c r="G1781" s="4" t="s">
        <v>32</v>
      </c>
      <c r="H1781" s="4" t="s">
        <v>80</v>
      </c>
      <c r="I1781" s="5" t="str">
        <f>IFERROR(VLOOKUP(Consulta1[[#This Row],[Pozo largo]],'Lista YPF'!$B$3:$C$358,2,FALSE),"NO")</f>
        <v>NO</v>
      </c>
      <c r="J1781" s="5" t="str">
        <f>IFERROR(VLOOKUP(Consulta1[[#This Row],[Pozo]],'Lista Oportunidades'!B:C,2,FALSE),"NO")</f>
        <v>NO</v>
      </c>
      <c r="K1781" s="5">
        <f>IFERROR(VLOOKUP(Consulta1[[#This Row],[Pozo largo]],Controles!B:H,7,FALSE),"NO")</f>
        <v>0</v>
      </c>
      <c r="L1781" s="5">
        <f>IFERROR(VLOOKUP(Consulta1[[#This Row],[Pozo largo]],Controles!B:J,9,FALSE),"NO")</f>
        <v>0</v>
      </c>
    </row>
    <row r="1782" spans="2:12" x14ac:dyDescent="0.35">
      <c r="B1782" s="4" t="s">
        <v>3418</v>
      </c>
      <c r="C1782" s="4" t="s">
        <v>7500</v>
      </c>
      <c r="D1782" s="4" t="s">
        <v>5</v>
      </c>
      <c r="E1782" s="4" t="s">
        <v>12</v>
      </c>
      <c r="F1782" s="4" t="s">
        <v>25</v>
      </c>
      <c r="G1782" s="4" t="s">
        <v>13</v>
      </c>
      <c r="H1782" s="4" t="s">
        <v>86</v>
      </c>
      <c r="I1782" s="5" t="str">
        <f>IFERROR(VLOOKUP(Consulta1[[#This Row],[Pozo largo]],'Lista YPF'!$B$3:$C$358,2,FALSE),"NO")</f>
        <v>NO</v>
      </c>
      <c r="J1782" s="5" t="str">
        <f>IFERROR(VLOOKUP(Consulta1[[#This Row],[Pozo]],'Lista Oportunidades'!B:C,2,FALSE),"NO")</f>
        <v>NO</v>
      </c>
      <c r="K1782" s="5">
        <f>IFERROR(VLOOKUP(Consulta1[[#This Row],[Pozo largo]],Controles!B:H,7,FALSE),"NO")</f>
        <v>0.159</v>
      </c>
      <c r="L1782" s="5">
        <f>IFERROR(VLOOKUP(Consulta1[[#This Row],[Pozo largo]],Controles!B:J,9,FALSE),"NO")</f>
        <v>0</v>
      </c>
    </row>
    <row r="1783" spans="2:12" x14ac:dyDescent="0.35">
      <c r="B1783" s="4" t="s">
        <v>3420</v>
      </c>
      <c r="C1783" s="4" t="s">
        <v>7501</v>
      </c>
      <c r="D1783" s="4" t="s">
        <v>5</v>
      </c>
      <c r="E1783" s="4" t="s">
        <v>24</v>
      </c>
      <c r="F1783" s="4" t="s">
        <v>25</v>
      </c>
      <c r="G1783" s="4" t="s">
        <v>8</v>
      </c>
      <c r="H1783" s="4" t="s">
        <v>86</v>
      </c>
      <c r="I1783" s="5" t="str">
        <f>IFERROR(VLOOKUP(Consulta1[[#This Row],[Pozo largo]],'Lista YPF'!$B$3:$C$358,2,FALSE),"NO")</f>
        <v>NO</v>
      </c>
      <c r="J1783" s="5" t="str">
        <f>IFERROR(VLOOKUP(Consulta1[[#This Row],[Pozo]],'Lista Oportunidades'!B:C,2,FALSE),"NO")</f>
        <v>NO</v>
      </c>
      <c r="K1783" s="5">
        <f>IFERROR(VLOOKUP(Consulta1[[#This Row],[Pozo largo]],Controles!B:H,7,FALSE),"NO")</f>
        <v>0.42400000000000004</v>
      </c>
      <c r="L1783" s="5">
        <f>IFERROR(VLOOKUP(Consulta1[[#This Row],[Pozo largo]],Controles!B:J,9,FALSE),"NO")</f>
        <v>0</v>
      </c>
    </row>
    <row r="1784" spans="2:12" x14ac:dyDescent="0.35">
      <c r="B1784" s="4" t="s">
        <v>3422</v>
      </c>
      <c r="C1784" s="4" t="s">
        <v>7502</v>
      </c>
      <c r="D1784" s="4" t="s">
        <v>5</v>
      </c>
      <c r="E1784" s="4" t="s">
        <v>57</v>
      </c>
      <c r="F1784" s="4" t="s">
        <v>28</v>
      </c>
      <c r="G1784" s="4" t="s">
        <v>5718</v>
      </c>
      <c r="H1784" s="4" t="s">
        <v>86</v>
      </c>
      <c r="I1784" s="5" t="str">
        <f>IFERROR(VLOOKUP(Consulta1[[#This Row],[Pozo largo]],'Lista YPF'!$B$3:$C$358,2,FALSE),"NO")</f>
        <v>En lista de Abandono</v>
      </c>
      <c r="J1784" s="5" t="str">
        <f>IFERROR(VLOOKUP(Consulta1[[#This Row],[Pozo]],'Lista Oportunidades'!B:C,2,FALSE),"NO")</f>
        <v>NO</v>
      </c>
      <c r="K1784" s="5">
        <f>IFERROR(VLOOKUP(Consulta1[[#This Row],[Pozo largo]],Controles!B:H,7,FALSE),"NO")</f>
        <v>0</v>
      </c>
      <c r="L1784" s="5">
        <f>IFERROR(VLOOKUP(Consulta1[[#This Row],[Pozo largo]],Controles!B:J,9,FALSE),"NO")</f>
        <v>0</v>
      </c>
    </row>
    <row r="1785" spans="2:12" x14ac:dyDescent="0.35">
      <c r="B1785" s="4" t="s">
        <v>3424</v>
      </c>
      <c r="C1785" s="4" t="s">
        <v>5721</v>
      </c>
      <c r="D1785" s="4" t="s">
        <v>5</v>
      </c>
      <c r="E1785" s="4" t="s">
        <v>12</v>
      </c>
      <c r="F1785" s="4" t="s">
        <v>28</v>
      </c>
      <c r="G1785" s="4" t="s">
        <v>13</v>
      </c>
      <c r="H1785" s="4" t="s">
        <v>84</v>
      </c>
      <c r="I1785" s="5" t="str">
        <f>IFERROR(VLOOKUP(Consulta1[[#This Row],[Pozo largo]],'Lista YPF'!$B$3:$C$358,2,FALSE),"NO")</f>
        <v>NO</v>
      </c>
      <c r="J1785" s="5" t="str">
        <f>IFERROR(VLOOKUP(Consulta1[[#This Row],[Pozo]],'Lista Oportunidades'!B:C,2,FALSE),"NO")</f>
        <v>Oportunidad</v>
      </c>
      <c r="K1785" s="5">
        <f>IFERROR(VLOOKUP(Consulta1[[#This Row],[Pozo largo]],Controles!B:H,7,FALSE),"NO")</f>
        <v>0</v>
      </c>
      <c r="L1785" s="5">
        <f>IFERROR(VLOOKUP(Consulta1[[#This Row],[Pozo largo]],Controles!B:J,9,FALSE),"NO")</f>
        <v>0</v>
      </c>
    </row>
    <row r="1786" spans="2:12" x14ac:dyDescent="0.35">
      <c r="B1786" s="4" t="s">
        <v>3426</v>
      </c>
      <c r="C1786" s="4" t="s">
        <v>7503</v>
      </c>
      <c r="D1786" s="4" t="s">
        <v>5</v>
      </c>
      <c r="E1786" s="4" t="s">
        <v>30</v>
      </c>
      <c r="F1786" s="4" t="s">
        <v>31</v>
      </c>
      <c r="G1786" s="4" t="s">
        <v>32</v>
      </c>
      <c r="H1786" s="4" t="s">
        <v>80</v>
      </c>
      <c r="I1786" s="5" t="str">
        <f>IFERROR(VLOOKUP(Consulta1[[#This Row],[Pozo largo]],'Lista YPF'!$B$3:$C$358,2,FALSE),"NO")</f>
        <v>NO</v>
      </c>
      <c r="J1786" s="5" t="str">
        <f>IFERROR(VLOOKUP(Consulta1[[#This Row],[Pozo]],'Lista Oportunidades'!B:C,2,FALSE),"NO")</f>
        <v>NO</v>
      </c>
      <c r="K1786" s="5">
        <f>IFERROR(VLOOKUP(Consulta1[[#This Row],[Pozo largo]],Controles!B:H,7,FALSE),"NO")</f>
        <v>0</v>
      </c>
      <c r="L1786" s="5">
        <f>IFERROR(VLOOKUP(Consulta1[[#This Row],[Pozo largo]],Controles!B:J,9,FALSE),"NO")</f>
        <v>0</v>
      </c>
    </row>
    <row r="1787" spans="2:12" x14ac:dyDescent="0.35">
      <c r="B1787" s="4" t="s">
        <v>3428</v>
      </c>
      <c r="C1787" s="4" t="s">
        <v>7504</v>
      </c>
      <c r="D1787" s="4" t="s">
        <v>5</v>
      </c>
      <c r="E1787" s="4" t="s">
        <v>24</v>
      </c>
      <c r="F1787" s="4" t="s">
        <v>31</v>
      </c>
      <c r="G1787" s="4" t="s">
        <v>8</v>
      </c>
      <c r="H1787" s="4" t="s">
        <v>185</v>
      </c>
      <c r="I1787" s="5" t="str">
        <f>IFERROR(VLOOKUP(Consulta1[[#This Row],[Pozo largo]],'Lista YPF'!$B$3:$C$358,2,FALSE),"NO")</f>
        <v>NO</v>
      </c>
      <c r="J1787" s="5" t="str">
        <f>IFERROR(VLOOKUP(Consulta1[[#This Row],[Pozo]],'Lista Oportunidades'!B:C,2,FALSE),"NO")</f>
        <v>NO</v>
      </c>
      <c r="K1787" s="5">
        <f>IFERROR(VLOOKUP(Consulta1[[#This Row],[Pozo largo]],Controles!B:H,7,FALSE),"NO")</f>
        <v>0.21100000000000002</v>
      </c>
      <c r="L1787" s="5">
        <f>IFERROR(VLOOKUP(Consulta1[[#This Row],[Pozo largo]],Controles!B:J,9,FALSE),"NO")</f>
        <v>0</v>
      </c>
    </row>
    <row r="1788" spans="2:12" x14ac:dyDescent="0.35">
      <c r="B1788" s="4" t="s">
        <v>3430</v>
      </c>
      <c r="C1788" s="4" t="s">
        <v>7505</v>
      </c>
      <c r="D1788" s="4" t="s">
        <v>5</v>
      </c>
      <c r="E1788" s="4" t="s">
        <v>6</v>
      </c>
      <c r="F1788" s="4" t="s">
        <v>28</v>
      </c>
      <c r="G1788" s="4" t="s">
        <v>5718</v>
      </c>
      <c r="H1788" s="4" t="s">
        <v>185</v>
      </c>
      <c r="I1788" s="5" t="str">
        <f>IFERROR(VLOOKUP(Consulta1[[#This Row],[Pozo largo]],'Lista YPF'!$B$3:$C$358,2,FALSE),"NO")</f>
        <v>En lista de Abandono</v>
      </c>
      <c r="J1788" s="5" t="str">
        <f>IFERROR(VLOOKUP(Consulta1[[#This Row],[Pozo]],'Lista Oportunidades'!B:C,2,FALSE),"NO")</f>
        <v>NO</v>
      </c>
      <c r="K1788" s="5">
        <f>IFERROR(VLOOKUP(Consulta1[[#This Row],[Pozo largo]],Controles!B:H,7,FALSE),"NO")</f>
        <v>0</v>
      </c>
      <c r="L1788" s="5">
        <f>IFERROR(VLOOKUP(Consulta1[[#This Row],[Pozo largo]],Controles!B:J,9,FALSE),"NO")</f>
        <v>0</v>
      </c>
    </row>
    <row r="1789" spans="2:12" x14ac:dyDescent="0.35">
      <c r="B1789" s="4" t="s">
        <v>3432</v>
      </c>
      <c r="C1789" s="4" t="s">
        <v>7506</v>
      </c>
      <c r="D1789" s="4" t="s">
        <v>5</v>
      </c>
      <c r="E1789" s="4" t="s">
        <v>12</v>
      </c>
      <c r="F1789" s="4" t="s">
        <v>28</v>
      </c>
      <c r="G1789" s="4" t="s">
        <v>13</v>
      </c>
      <c r="H1789" s="4" t="s">
        <v>66</v>
      </c>
      <c r="I1789" s="5" t="str">
        <f>IFERROR(VLOOKUP(Consulta1[[#This Row],[Pozo largo]],'Lista YPF'!$B$3:$C$358,2,FALSE),"NO")</f>
        <v>NO</v>
      </c>
      <c r="J1789" s="5" t="str">
        <f>IFERROR(VLOOKUP(Consulta1[[#This Row],[Pozo]],'Lista Oportunidades'!B:C,2,FALSE),"NO")</f>
        <v>NO</v>
      </c>
      <c r="K1789" s="5">
        <f>IFERROR(VLOOKUP(Consulta1[[#This Row],[Pozo largo]],Controles!B:H,7,FALSE),"NO")</f>
        <v>0</v>
      </c>
      <c r="L1789" s="5">
        <f>IFERROR(VLOOKUP(Consulta1[[#This Row],[Pozo largo]],Controles!B:J,9,FALSE),"NO")</f>
        <v>0</v>
      </c>
    </row>
    <row r="1790" spans="2:12" x14ac:dyDescent="0.35">
      <c r="B1790" s="4" t="s">
        <v>3434</v>
      </c>
      <c r="C1790" s="4" t="s">
        <v>7507</v>
      </c>
      <c r="D1790" s="4" t="s">
        <v>5</v>
      </c>
      <c r="E1790" s="4" t="s">
        <v>24</v>
      </c>
      <c r="F1790" s="4" t="s">
        <v>7</v>
      </c>
      <c r="G1790" s="4" t="s">
        <v>8</v>
      </c>
      <c r="H1790" s="4" t="s">
        <v>71</v>
      </c>
      <c r="I1790" s="5" t="str">
        <f>IFERROR(VLOOKUP(Consulta1[[#This Row],[Pozo largo]],'Lista YPF'!$B$3:$C$358,2,FALSE),"NO")</f>
        <v>NO</v>
      </c>
      <c r="J1790" s="5" t="str">
        <f>IFERROR(VLOOKUP(Consulta1[[#This Row],[Pozo]],'Lista Oportunidades'!B:C,2,FALSE),"NO")</f>
        <v>NO</v>
      </c>
      <c r="K1790" s="5">
        <f>IFERROR(VLOOKUP(Consulta1[[#This Row],[Pozo largo]],Controles!B:H,7,FALSE),"NO")</f>
        <v>0.28999999999999998</v>
      </c>
      <c r="L1790" s="5">
        <f>IFERROR(VLOOKUP(Consulta1[[#This Row],[Pozo largo]],Controles!B:J,9,FALSE),"NO")</f>
        <v>0</v>
      </c>
    </row>
    <row r="1791" spans="2:12" x14ac:dyDescent="0.35">
      <c r="B1791" s="4" t="s">
        <v>3436</v>
      </c>
      <c r="C1791" s="4" t="s">
        <v>7508</v>
      </c>
      <c r="D1791" s="4" t="s">
        <v>5</v>
      </c>
      <c r="E1791" s="4" t="s">
        <v>12</v>
      </c>
      <c r="F1791" s="4" t="s">
        <v>25</v>
      </c>
      <c r="G1791" s="4" t="s">
        <v>13</v>
      </c>
      <c r="H1791" s="4" t="s">
        <v>9</v>
      </c>
      <c r="I1791" s="5" t="str">
        <f>IFERROR(VLOOKUP(Consulta1[[#This Row],[Pozo largo]],'Lista YPF'!$B$3:$C$358,2,FALSE),"NO")</f>
        <v>NO</v>
      </c>
      <c r="J1791" s="5" t="str">
        <f>IFERROR(VLOOKUP(Consulta1[[#This Row],[Pozo]],'Lista Oportunidades'!B:C,2,FALSE),"NO")</f>
        <v>NO</v>
      </c>
      <c r="K1791" s="5">
        <f>IFERROR(VLOOKUP(Consulta1[[#This Row],[Pozo largo]],Controles!B:H,7,FALSE),"NO")</f>
        <v>9.6000000000000002E-2</v>
      </c>
      <c r="L1791" s="5">
        <f>IFERROR(VLOOKUP(Consulta1[[#This Row],[Pozo largo]],Controles!B:J,9,FALSE),"NO")</f>
        <v>0</v>
      </c>
    </row>
    <row r="1792" spans="2:12" x14ac:dyDescent="0.35">
      <c r="B1792" s="4" t="s">
        <v>3438</v>
      </c>
      <c r="C1792" s="4" t="s">
        <v>7509</v>
      </c>
      <c r="D1792" s="4" t="s">
        <v>5</v>
      </c>
      <c r="E1792" s="4" t="s">
        <v>12</v>
      </c>
      <c r="F1792" s="4" t="s">
        <v>28</v>
      </c>
      <c r="G1792" s="4" t="s">
        <v>13</v>
      </c>
      <c r="H1792" s="4" t="s">
        <v>33</v>
      </c>
      <c r="I1792" s="5" t="str">
        <f>IFERROR(VLOOKUP(Consulta1[[#This Row],[Pozo largo]],'Lista YPF'!$B$3:$C$358,2,FALSE),"NO")</f>
        <v>NO</v>
      </c>
      <c r="J1792" s="5" t="str">
        <f>IFERROR(VLOOKUP(Consulta1[[#This Row],[Pozo]],'Lista Oportunidades'!B:C,2,FALSE),"NO")</f>
        <v>NO</v>
      </c>
      <c r="K1792" s="5">
        <f>IFERROR(VLOOKUP(Consulta1[[#This Row],[Pozo largo]],Controles!B:H,7,FALSE),"NO")</f>
        <v>0</v>
      </c>
      <c r="L1792" s="5">
        <f>IFERROR(VLOOKUP(Consulta1[[#This Row],[Pozo largo]],Controles!B:J,9,FALSE),"NO")</f>
        <v>0</v>
      </c>
    </row>
    <row r="1793" spans="2:12" x14ac:dyDescent="0.35">
      <c r="B1793" s="4" t="s">
        <v>3440</v>
      </c>
      <c r="C1793" s="4" t="s">
        <v>7510</v>
      </c>
      <c r="D1793" s="4" t="s">
        <v>5</v>
      </c>
      <c r="E1793" s="4" t="s">
        <v>12</v>
      </c>
      <c r="F1793" s="4" t="s">
        <v>25</v>
      </c>
      <c r="G1793" s="4" t="s">
        <v>13</v>
      </c>
      <c r="H1793" s="4" t="s">
        <v>21</v>
      </c>
      <c r="I1793" s="5" t="str">
        <f>IFERROR(VLOOKUP(Consulta1[[#This Row],[Pozo largo]],'Lista YPF'!$B$3:$C$358,2,FALSE),"NO")</f>
        <v>NO</v>
      </c>
      <c r="J1793" s="5" t="str">
        <f>IFERROR(VLOOKUP(Consulta1[[#This Row],[Pozo]],'Lista Oportunidades'!B:C,2,FALSE),"NO")</f>
        <v>NO</v>
      </c>
      <c r="K1793" s="5">
        <f>IFERROR(VLOOKUP(Consulta1[[#This Row],[Pozo largo]],Controles!B:H,7,FALSE),"NO")</f>
        <v>2.9000000000000001E-2</v>
      </c>
      <c r="L1793" s="5">
        <f>IFERROR(VLOOKUP(Consulta1[[#This Row],[Pozo largo]],Controles!B:J,9,FALSE),"NO")</f>
        <v>0</v>
      </c>
    </row>
    <row r="1794" spans="2:12" x14ac:dyDescent="0.35">
      <c r="B1794" s="4" t="s">
        <v>3442</v>
      </c>
      <c r="C1794" s="4" t="s">
        <v>5751</v>
      </c>
      <c r="D1794" s="4" t="s">
        <v>5</v>
      </c>
      <c r="E1794" s="4" t="s">
        <v>6</v>
      </c>
      <c r="F1794" s="4" t="s">
        <v>7</v>
      </c>
      <c r="G1794" s="4" t="s">
        <v>8689</v>
      </c>
      <c r="H1794" s="4" t="s">
        <v>36</v>
      </c>
      <c r="I1794" s="5" t="str">
        <f>IFERROR(VLOOKUP(Consulta1[[#This Row],[Pozo largo]],'Lista YPF'!$B$3:$C$358,2,FALSE),"NO")</f>
        <v>NO</v>
      </c>
      <c r="J1794" s="5" t="str">
        <f>IFERROR(VLOOKUP(Consulta1[[#This Row],[Pozo]],'Lista Oportunidades'!B:C,2,FALSE),"NO")</f>
        <v>Oportunidad</v>
      </c>
      <c r="K1794" s="5">
        <f>IFERROR(VLOOKUP(Consulta1[[#This Row],[Pozo largo]],Controles!B:H,7,FALSE),"NO")</f>
        <v>4.6000000000000005</v>
      </c>
      <c r="L1794" s="5" t="str">
        <f>IFERROR(VLOOKUP(Consulta1[[#This Row],[Pozo largo]],Controles!B:J,9,FALSE),"NO")</f>
        <v>Ultimos 6 meses</v>
      </c>
    </row>
    <row r="1795" spans="2:12" x14ac:dyDescent="0.35">
      <c r="B1795" s="4" t="s">
        <v>3444</v>
      </c>
      <c r="C1795" s="4" t="s">
        <v>7511</v>
      </c>
      <c r="D1795" s="4" t="s">
        <v>5</v>
      </c>
      <c r="E1795" s="4" t="s">
        <v>24</v>
      </c>
      <c r="F1795" s="4" t="s">
        <v>31</v>
      </c>
      <c r="G1795" s="4" t="s">
        <v>8</v>
      </c>
      <c r="H1795" s="4" t="s">
        <v>36</v>
      </c>
      <c r="I1795" s="5" t="str">
        <f>IFERROR(VLOOKUP(Consulta1[[#This Row],[Pozo largo]],'Lista YPF'!$B$3:$C$358,2,FALSE),"NO")</f>
        <v>NO</v>
      </c>
      <c r="J1795" s="5" t="str">
        <f>IFERROR(VLOOKUP(Consulta1[[#This Row],[Pozo]],'Lista Oportunidades'!B:C,2,FALSE),"NO")</f>
        <v>NO</v>
      </c>
      <c r="K1795" s="5">
        <f>IFERROR(VLOOKUP(Consulta1[[#This Row],[Pozo largo]],Controles!B:H,7,FALSE),"NO")</f>
        <v>0.13800000000000001</v>
      </c>
      <c r="L1795" s="5">
        <f>IFERROR(VLOOKUP(Consulta1[[#This Row],[Pozo largo]],Controles!B:J,9,FALSE),"NO")</f>
        <v>0</v>
      </c>
    </row>
    <row r="1796" spans="2:12" x14ac:dyDescent="0.35">
      <c r="B1796" s="4" t="s">
        <v>3446</v>
      </c>
      <c r="C1796" s="4" t="s">
        <v>7512</v>
      </c>
      <c r="D1796" s="4" t="s">
        <v>5</v>
      </c>
      <c r="E1796" s="4" t="s">
        <v>12</v>
      </c>
      <c r="F1796" s="4" t="s">
        <v>7</v>
      </c>
      <c r="G1796" s="4" t="s">
        <v>13</v>
      </c>
      <c r="H1796" s="4" t="s">
        <v>149</v>
      </c>
      <c r="I1796" s="5" t="str">
        <f>IFERROR(VLOOKUP(Consulta1[[#This Row],[Pozo largo]],'Lista YPF'!$B$3:$C$358,2,FALSE),"NO")</f>
        <v>NO</v>
      </c>
      <c r="J1796" s="5" t="str">
        <f>IFERROR(VLOOKUP(Consulta1[[#This Row],[Pozo]],'Lista Oportunidades'!B:C,2,FALSE),"NO")</f>
        <v>NO</v>
      </c>
      <c r="K1796" s="5">
        <f>IFERROR(VLOOKUP(Consulta1[[#This Row],[Pozo largo]],Controles!B:H,7,FALSE),"NO")</f>
        <v>0.45</v>
      </c>
      <c r="L1796" s="5">
        <f>IFERROR(VLOOKUP(Consulta1[[#This Row],[Pozo largo]],Controles!B:J,9,FALSE),"NO")</f>
        <v>0</v>
      </c>
    </row>
    <row r="1797" spans="2:12" x14ac:dyDescent="0.35">
      <c r="B1797" s="4" t="s">
        <v>3448</v>
      </c>
      <c r="C1797" s="4" t="s">
        <v>7513</v>
      </c>
      <c r="D1797" s="4" t="s">
        <v>5</v>
      </c>
      <c r="E1797" s="4" t="s">
        <v>24</v>
      </c>
      <c r="F1797" s="4" t="s">
        <v>28</v>
      </c>
      <c r="G1797" s="4" t="s">
        <v>8</v>
      </c>
      <c r="H1797" s="4" t="s">
        <v>21</v>
      </c>
      <c r="I1797" s="5" t="str">
        <f>IFERROR(VLOOKUP(Consulta1[[#This Row],[Pozo largo]],'Lista YPF'!$B$3:$C$358,2,FALSE),"NO")</f>
        <v>NO</v>
      </c>
      <c r="J1797" s="5" t="str">
        <f>IFERROR(VLOOKUP(Consulta1[[#This Row],[Pozo]],'Lista Oportunidades'!B:C,2,FALSE),"NO")</f>
        <v>NO</v>
      </c>
      <c r="K1797" s="5">
        <f>IFERROR(VLOOKUP(Consulta1[[#This Row],[Pozo largo]],Controles!B:H,7,FALSE),"NO")</f>
        <v>0</v>
      </c>
      <c r="L1797" s="5">
        <f>IFERROR(VLOOKUP(Consulta1[[#This Row],[Pozo largo]],Controles!B:J,9,FALSE),"NO")</f>
        <v>0</v>
      </c>
    </row>
    <row r="1798" spans="2:12" x14ac:dyDescent="0.35">
      <c r="B1798" s="4" t="s">
        <v>3450</v>
      </c>
      <c r="C1798" s="4" t="s">
        <v>7514</v>
      </c>
      <c r="D1798" s="4" t="s">
        <v>5</v>
      </c>
      <c r="E1798" s="4" t="s">
        <v>57</v>
      </c>
      <c r="F1798" s="4" t="s">
        <v>7</v>
      </c>
      <c r="G1798" s="4" t="s">
        <v>5718</v>
      </c>
      <c r="H1798" s="4" t="s">
        <v>36</v>
      </c>
      <c r="I1798" s="5" t="str">
        <f>IFERROR(VLOOKUP(Consulta1[[#This Row],[Pozo largo]],'Lista YPF'!$B$3:$C$358,2,FALSE),"NO")</f>
        <v>En lista de Abandono</v>
      </c>
      <c r="J1798" s="5" t="str">
        <f>IFERROR(VLOOKUP(Consulta1[[#This Row],[Pozo]],'Lista Oportunidades'!B:C,2,FALSE),"NO")</f>
        <v>NO</v>
      </c>
      <c r="K1798" s="5">
        <f>IFERROR(VLOOKUP(Consulta1[[#This Row],[Pozo largo]],Controles!B:H,7,FALSE),"NO")</f>
        <v>1.5</v>
      </c>
      <c r="L1798" s="5">
        <f>IFERROR(VLOOKUP(Consulta1[[#This Row],[Pozo largo]],Controles!B:J,9,FALSE),"NO")</f>
        <v>0</v>
      </c>
    </row>
    <row r="1799" spans="2:12" x14ac:dyDescent="0.35">
      <c r="B1799" s="4" t="s">
        <v>3452</v>
      </c>
      <c r="C1799" s="4" t="s">
        <v>7515</v>
      </c>
      <c r="D1799" s="4" t="s">
        <v>5</v>
      </c>
      <c r="E1799" s="4" t="s">
        <v>12</v>
      </c>
      <c r="F1799" s="4" t="s">
        <v>25</v>
      </c>
      <c r="G1799" s="4" t="s">
        <v>13</v>
      </c>
      <c r="H1799" s="4" t="s">
        <v>36</v>
      </c>
      <c r="I1799" s="5" t="str">
        <f>IFERROR(VLOOKUP(Consulta1[[#This Row],[Pozo largo]],'Lista YPF'!$B$3:$C$358,2,FALSE),"NO")</f>
        <v>NO</v>
      </c>
      <c r="J1799" s="5" t="str">
        <f>IFERROR(VLOOKUP(Consulta1[[#This Row],[Pozo]],'Lista Oportunidades'!B:C,2,FALSE),"NO")</f>
        <v>NO</v>
      </c>
      <c r="K1799" s="5">
        <f>IFERROR(VLOOKUP(Consulta1[[#This Row],[Pozo largo]],Controles!B:H,7,FALSE),"NO")</f>
        <v>9.5000000000000001E-2</v>
      </c>
      <c r="L1799" s="5">
        <f>IFERROR(VLOOKUP(Consulta1[[#This Row],[Pozo largo]],Controles!B:J,9,FALSE),"NO")</f>
        <v>0</v>
      </c>
    </row>
    <row r="1800" spans="2:12" x14ac:dyDescent="0.35">
      <c r="B1800" s="4" t="s">
        <v>3454</v>
      </c>
      <c r="C1800" s="4" t="s">
        <v>7516</v>
      </c>
      <c r="D1800" s="4" t="s">
        <v>5</v>
      </c>
      <c r="E1800" s="4" t="s">
        <v>30</v>
      </c>
      <c r="F1800" s="4" t="s">
        <v>31</v>
      </c>
      <c r="G1800" s="4" t="s">
        <v>32</v>
      </c>
      <c r="H1800" s="4" t="s">
        <v>33</v>
      </c>
      <c r="I1800" s="5" t="str">
        <f>IFERROR(VLOOKUP(Consulta1[[#This Row],[Pozo largo]],'Lista YPF'!$B$3:$C$358,2,FALSE),"NO")</f>
        <v>NO</v>
      </c>
      <c r="J1800" s="5" t="str">
        <f>IFERROR(VLOOKUP(Consulta1[[#This Row],[Pozo]],'Lista Oportunidades'!B:C,2,FALSE),"NO")</f>
        <v>NO</v>
      </c>
      <c r="K1800" s="5" t="str">
        <f>IFERROR(VLOOKUP(Consulta1[[#This Row],[Pozo largo]],Controles!B:H,7,FALSE),"NO")</f>
        <v>NO</v>
      </c>
      <c r="L1800" s="5" t="str">
        <f>IFERROR(VLOOKUP(Consulta1[[#This Row],[Pozo largo]],Controles!B:J,9,FALSE),"NO")</f>
        <v>NO</v>
      </c>
    </row>
    <row r="1801" spans="2:12" x14ac:dyDescent="0.35">
      <c r="B1801" s="4" t="s">
        <v>3455</v>
      </c>
      <c r="C1801" s="4" t="s">
        <v>7517</v>
      </c>
      <c r="D1801" s="4" t="s">
        <v>5</v>
      </c>
      <c r="E1801" s="4" t="s">
        <v>12</v>
      </c>
      <c r="F1801" s="4" t="s">
        <v>83</v>
      </c>
      <c r="G1801" s="4" t="s">
        <v>13</v>
      </c>
      <c r="H1801" s="4" t="s">
        <v>86</v>
      </c>
      <c r="I1801" s="5" t="str">
        <f>IFERROR(VLOOKUP(Consulta1[[#This Row],[Pozo largo]],'Lista YPF'!$B$3:$C$358,2,FALSE),"NO")</f>
        <v>NO</v>
      </c>
      <c r="J1801" s="5" t="str">
        <f>IFERROR(VLOOKUP(Consulta1[[#This Row],[Pozo]],'Lista Oportunidades'!B:C,2,FALSE),"NO")</f>
        <v>NO</v>
      </c>
      <c r="K1801" s="5">
        <f>IFERROR(VLOOKUP(Consulta1[[#This Row],[Pozo largo]],Controles!B:H,7,FALSE),"NO")</f>
        <v>0.32800000000000001</v>
      </c>
      <c r="L1801" s="5">
        <f>IFERROR(VLOOKUP(Consulta1[[#This Row],[Pozo largo]],Controles!B:J,9,FALSE),"NO")</f>
        <v>0</v>
      </c>
    </row>
    <row r="1802" spans="2:12" x14ac:dyDescent="0.35">
      <c r="B1802" s="4" t="s">
        <v>3457</v>
      </c>
      <c r="C1802" s="4" t="s">
        <v>7518</v>
      </c>
      <c r="D1802" s="4" t="s">
        <v>5</v>
      </c>
      <c r="E1802" s="4" t="s">
        <v>12</v>
      </c>
      <c r="F1802" s="4" t="s">
        <v>28</v>
      </c>
      <c r="G1802" s="4" t="s">
        <v>13</v>
      </c>
      <c r="H1802" s="4" t="s">
        <v>84</v>
      </c>
      <c r="I1802" s="5" t="str">
        <f>IFERROR(VLOOKUP(Consulta1[[#This Row],[Pozo largo]],'Lista YPF'!$B$3:$C$358,2,FALSE),"NO")</f>
        <v>NO</v>
      </c>
      <c r="J1802" s="5" t="str">
        <f>IFERROR(VLOOKUP(Consulta1[[#This Row],[Pozo]],'Lista Oportunidades'!B:C,2,FALSE),"NO")</f>
        <v>NO</v>
      </c>
      <c r="K1802" s="5">
        <f>IFERROR(VLOOKUP(Consulta1[[#This Row],[Pozo largo]],Controles!B:H,7,FALSE),"NO")</f>
        <v>0</v>
      </c>
      <c r="L1802" s="5">
        <f>IFERROR(VLOOKUP(Consulta1[[#This Row],[Pozo largo]],Controles!B:J,9,FALSE),"NO")</f>
        <v>0</v>
      </c>
    </row>
    <row r="1803" spans="2:12" x14ac:dyDescent="0.35">
      <c r="B1803" s="4" t="s">
        <v>3459</v>
      </c>
      <c r="C1803" s="4" t="s">
        <v>7519</v>
      </c>
      <c r="D1803" s="4" t="s">
        <v>5</v>
      </c>
      <c r="E1803" s="4" t="s">
        <v>30</v>
      </c>
      <c r="F1803" s="4" t="s">
        <v>31</v>
      </c>
      <c r="G1803" s="4" t="s">
        <v>32</v>
      </c>
      <c r="H1803" s="4" t="s">
        <v>185</v>
      </c>
      <c r="I1803" s="5" t="str">
        <f>IFERROR(VLOOKUP(Consulta1[[#This Row],[Pozo largo]],'Lista YPF'!$B$3:$C$358,2,FALSE),"NO")</f>
        <v>NO</v>
      </c>
      <c r="J1803" s="5" t="str">
        <f>IFERROR(VLOOKUP(Consulta1[[#This Row],[Pozo]],'Lista Oportunidades'!B:C,2,FALSE),"NO")</f>
        <v>NO</v>
      </c>
      <c r="K1803" s="5" t="str">
        <f>IFERROR(VLOOKUP(Consulta1[[#This Row],[Pozo largo]],Controles!B:H,7,FALSE),"NO")</f>
        <v>NO</v>
      </c>
      <c r="L1803" s="5" t="str">
        <f>IFERROR(VLOOKUP(Consulta1[[#This Row],[Pozo largo]],Controles!B:J,9,FALSE),"NO")</f>
        <v>NO</v>
      </c>
    </row>
    <row r="1804" spans="2:12" x14ac:dyDescent="0.35">
      <c r="B1804" s="4" t="s">
        <v>3460</v>
      </c>
      <c r="C1804" s="4" t="s">
        <v>7520</v>
      </c>
      <c r="D1804" s="4" t="s">
        <v>5</v>
      </c>
      <c r="E1804" s="4" t="s">
        <v>30</v>
      </c>
      <c r="F1804" s="4" t="s">
        <v>31</v>
      </c>
      <c r="G1804" s="4" t="s">
        <v>32</v>
      </c>
      <c r="H1804" s="4" t="s">
        <v>66</v>
      </c>
      <c r="I1804" s="5" t="str">
        <f>IFERROR(VLOOKUP(Consulta1[[#This Row],[Pozo largo]],'Lista YPF'!$B$3:$C$358,2,FALSE),"NO")</f>
        <v>NO</v>
      </c>
      <c r="J1804" s="5" t="str">
        <f>IFERROR(VLOOKUP(Consulta1[[#This Row],[Pozo]],'Lista Oportunidades'!B:C,2,FALSE),"NO")</f>
        <v>NO</v>
      </c>
      <c r="K1804" s="5">
        <f>IFERROR(VLOOKUP(Consulta1[[#This Row],[Pozo largo]],Controles!B:H,7,FALSE),"NO")</f>
        <v>4.9000000000000002E-2</v>
      </c>
      <c r="L1804" s="5">
        <f>IFERROR(VLOOKUP(Consulta1[[#This Row],[Pozo largo]],Controles!B:J,9,FALSE),"NO")</f>
        <v>0</v>
      </c>
    </row>
    <row r="1805" spans="2:12" x14ac:dyDescent="0.35">
      <c r="B1805" s="4" t="s">
        <v>3462</v>
      </c>
      <c r="C1805" s="4" t="s">
        <v>7521</v>
      </c>
      <c r="D1805" s="4" t="s">
        <v>5</v>
      </c>
      <c r="E1805" s="4" t="s">
        <v>24</v>
      </c>
      <c r="F1805" s="4" t="s">
        <v>25</v>
      </c>
      <c r="G1805" s="4" t="s">
        <v>8</v>
      </c>
      <c r="H1805" s="4" t="s">
        <v>91</v>
      </c>
      <c r="I1805" s="5" t="str">
        <f>IFERROR(VLOOKUP(Consulta1[[#This Row],[Pozo largo]],'Lista YPF'!$B$3:$C$358,2,FALSE),"NO")</f>
        <v>NO</v>
      </c>
      <c r="J1805" s="5" t="str">
        <f>IFERROR(VLOOKUP(Consulta1[[#This Row],[Pozo]],'Lista Oportunidades'!B:C,2,FALSE),"NO")</f>
        <v>NO</v>
      </c>
      <c r="K1805" s="5">
        <f>IFERROR(VLOOKUP(Consulta1[[#This Row],[Pozo largo]],Controles!B:H,7,FALSE),"NO")</f>
        <v>0.32400000000000001</v>
      </c>
      <c r="L1805" s="5">
        <f>IFERROR(VLOOKUP(Consulta1[[#This Row],[Pozo largo]],Controles!B:J,9,FALSE),"NO")</f>
        <v>0</v>
      </c>
    </row>
    <row r="1806" spans="2:12" x14ac:dyDescent="0.35">
      <c r="B1806" s="4" t="s">
        <v>3464</v>
      </c>
      <c r="C1806" s="4" t="s">
        <v>7522</v>
      </c>
      <c r="D1806" s="4" t="s">
        <v>5</v>
      </c>
      <c r="E1806" s="4" t="s">
        <v>12</v>
      </c>
      <c r="F1806" s="4" t="s">
        <v>7</v>
      </c>
      <c r="G1806" s="4" t="s">
        <v>13</v>
      </c>
      <c r="H1806" s="4" t="s">
        <v>80</v>
      </c>
      <c r="I1806" s="5" t="str">
        <f>IFERROR(VLOOKUP(Consulta1[[#This Row],[Pozo largo]],'Lista YPF'!$B$3:$C$358,2,FALSE),"NO")</f>
        <v>NO</v>
      </c>
      <c r="J1806" s="5" t="str">
        <f>IFERROR(VLOOKUP(Consulta1[[#This Row],[Pozo]],'Lista Oportunidades'!B:C,2,FALSE),"NO")</f>
        <v>NO</v>
      </c>
      <c r="K1806" s="5">
        <f>IFERROR(VLOOKUP(Consulta1[[#This Row],[Pozo largo]],Controles!B:H,7,FALSE),"NO")</f>
        <v>1.0090000000000001</v>
      </c>
      <c r="L1806" s="5">
        <f>IFERROR(VLOOKUP(Consulta1[[#This Row],[Pozo largo]],Controles!B:J,9,FALSE),"NO")</f>
        <v>0</v>
      </c>
    </row>
    <row r="1807" spans="2:12" x14ac:dyDescent="0.35">
      <c r="B1807" s="4" t="s">
        <v>3466</v>
      </c>
      <c r="C1807" s="4" t="s">
        <v>7523</v>
      </c>
      <c r="D1807" s="4" t="s">
        <v>5</v>
      </c>
      <c r="E1807" s="4" t="s">
        <v>24</v>
      </c>
      <c r="F1807" s="4" t="s">
        <v>25</v>
      </c>
      <c r="G1807" s="4" t="s">
        <v>8</v>
      </c>
      <c r="H1807" s="4" t="s">
        <v>21</v>
      </c>
      <c r="I1807" s="5" t="str">
        <f>IFERROR(VLOOKUP(Consulta1[[#This Row],[Pozo largo]],'Lista YPF'!$B$3:$C$358,2,FALSE),"NO")</f>
        <v>NO</v>
      </c>
      <c r="J1807" s="5" t="str">
        <f>IFERROR(VLOOKUP(Consulta1[[#This Row],[Pozo]],'Lista Oportunidades'!B:C,2,FALSE),"NO")</f>
        <v>NO</v>
      </c>
      <c r="K1807" s="5">
        <f>IFERROR(VLOOKUP(Consulta1[[#This Row],[Pozo largo]],Controles!B:H,7,FALSE),"NO")</f>
        <v>0.5</v>
      </c>
      <c r="L1807" s="5">
        <f>IFERROR(VLOOKUP(Consulta1[[#This Row],[Pozo largo]],Controles!B:J,9,FALSE),"NO")</f>
        <v>0</v>
      </c>
    </row>
    <row r="1808" spans="2:12" x14ac:dyDescent="0.35">
      <c r="B1808" s="4" t="s">
        <v>3468</v>
      </c>
      <c r="C1808" s="4" t="s">
        <v>7524</v>
      </c>
      <c r="D1808" s="4" t="s">
        <v>5</v>
      </c>
      <c r="E1808" s="4" t="s">
        <v>24</v>
      </c>
      <c r="F1808" s="4" t="s">
        <v>25</v>
      </c>
      <c r="G1808" s="4" t="s">
        <v>8</v>
      </c>
      <c r="H1808" s="4" t="s">
        <v>91</v>
      </c>
      <c r="I1808" s="5" t="str">
        <f>IFERROR(VLOOKUP(Consulta1[[#This Row],[Pozo largo]],'Lista YPF'!$B$3:$C$358,2,FALSE),"NO")</f>
        <v>NO</v>
      </c>
      <c r="J1808" s="5" t="str">
        <f>IFERROR(VLOOKUP(Consulta1[[#This Row],[Pozo]],'Lista Oportunidades'!B:C,2,FALSE),"NO")</f>
        <v>NO</v>
      </c>
      <c r="K1808" s="5">
        <f>IFERROR(VLOOKUP(Consulta1[[#This Row],[Pozo largo]],Controles!B:H,7,FALSE),"NO")</f>
        <v>0.188</v>
      </c>
      <c r="L1808" s="5">
        <f>IFERROR(VLOOKUP(Consulta1[[#This Row],[Pozo largo]],Controles!B:J,9,FALSE),"NO")</f>
        <v>0</v>
      </c>
    </row>
    <row r="1809" spans="2:12" x14ac:dyDescent="0.35">
      <c r="B1809" s="4" t="s">
        <v>3470</v>
      </c>
      <c r="C1809" s="4" t="s">
        <v>7525</v>
      </c>
      <c r="D1809" s="4" t="s">
        <v>5</v>
      </c>
      <c r="E1809" s="4" t="s">
        <v>12</v>
      </c>
      <c r="F1809" s="4" t="s">
        <v>7</v>
      </c>
      <c r="G1809" s="4" t="s">
        <v>13</v>
      </c>
      <c r="H1809" s="4" t="s">
        <v>21</v>
      </c>
      <c r="I1809" s="5" t="str">
        <f>IFERROR(VLOOKUP(Consulta1[[#This Row],[Pozo largo]],'Lista YPF'!$B$3:$C$358,2,FALSE),"NO")</f>
        <v>NO</v>
      </c>
      <c r="J1809" s="5" t="str">
        <f>IFERROR(VLOOKUP(Consulta1[[#This Row],[Pozo]],'Lista Oportunidades'!B:C,2,FALSE),"NO")</f>
        <v>NO</v>
      </c>
      <c r="K1809" s="5">
        <f>IFERROR(VLOOKUP(Consulta1[[#This Row],[Pozo largo]],Controles!B:H,7,FALSE),"NO")</f>
        <v>3.52</v>
      </c>
      <c r="L1809" s="5">
        <f>IFERROR(VLOOKUP(Consulta1[[#This Row],[Pozo largo]],Controles!B:J,9,FALSE),"NO")</f>
        <v>0</v>
      </c>
    </row>
    <row r="1810" spans="2:12" x14ac:dyDescent="0.35">
      <c r="B1810" s="4" t="s">
        <v>3472</v>
      </c>
      <c r="C1810" s="4" t="s">
        <v>7526</v>
      </c>
      <c r="D1810" s="4" t="s">
        <v>5</v>
      </c>
      <c r="E1810" s="4" t="s">
        <v>12</v>
      </c>
      <c r="F1810" s="4" t="s">
        <v>7</v>
      </c>
      <c r="G1810" s="4" t="s">
        <v>13</v>
      </c>
      <c r="H1810" s="4" t="s">
        <v>9</v>
      </c>
      <c r="I1810" s="5" t="str">
        <f>IFERROR(VLOOKUP(Consulta1[[#This Row],[Pozo largo]],'Lista YPF'!$B$3:$C$358,2,FALSE),"NO")</f>
        <v>NO</v>
      </c>
      <c r="J1810" s="5" t="str">
        <f>IFERROR(VLOOKUP(Consulta1[[#This Row],[Pozo]],'Lista Oportunidades'!B:C,2,FALSE),"NO")</f>
        <v>NO</v>
      </c>
      <c r="K1810" s="5">
        <f>IFERROR(VLOOKUP(Consulta1[[#This Row],[Pozo largo]],Controles!B:H,7,FALSE),"NO")</f>
        <v>0.4</v>
      </c>
      <c r="L1810" s="5">
        <f>IFERROR(VLOOKUP(Consulta1[[#This Row],[Pozo largo]],Controles!B:J,9,FALSE),"NO")</f>
        <v>0</v>
      </c>
    </row>
    <row r="1811" spans="2:12" x14ac:dyDescent="0.35">
      <c r="B1811" s="4" t="s">
        <v>3474</v>
      </c>
      <c r="C1811" s="4" t="s">
        <v>7527</v>
      </c>
      <c r="D1811" s="4" t="s">
        <v>5</v>
      </c>
      <c r="E1811" s="4" t="s">
        <v>57</v>
      </c>
      <c r="F1811" s="4" t="s">
        <v>7</v>
      </c>
      <c r="G1811" s="4" t="s">
        <v>11386</v>
      </c>
      <c r="H1811" s="4" t="s">
        <v>185</v>
      </c>
      <c r="I1811" s="5" t="str">
        <f>IFERROR(VLOOKUP(Consulta1[[#This Row],[Pozo largo]],'Lista YPF'!$B$3:$C$358,2,FALSE),"NO")</f>
        <v>NO</v>
      </c>
      <c r="J1811" s="5" t="str">
        <f>IFERROR(VLOOKUP(Consulta1[[#This Row],[Pozo]],'Lista Oportunidades'!B:C,2,FALSE),"NO")</f>
        <v>NO</v>
      </c>
      <c r="K1811" s="5">
        <f>IFERROR(VLOOKUP(Consulta1[[#This Row],[Pozo largo]],Controles!B:H,7,FALSE),"NO")</f>
        <v>0.44</v>
      </c>
      <c r="L1811" s="5" t="str">
        <f>IFERROR(VLOOKUP(Consulta1[[#This Row],[Pozo largo]],Controles!B:J,9,FALSE),"NO")</f>
        <v>Ultimos 6 meses</v>
      </c>
    </row>
    <row r="1812" spans="2:12" x14ac:dyDescent="0.35">
      <c r="B1812" s="4" t="s">
        <v>3476</v>
      </c>
      <c r="C1812" s="4" t="s">
        <v>7528</v>
      </c>
      <c r="D1812" s="4" t="s">
        <v>5</v>
      </c>
      <c r="E1812" s="4" t="s">
        <v>6</v>
      </c>
      <c r="F1812" s="4" t="s">
        <v>28</v>
      </c>
      <c r="G1812" s="4" t="s">
        <v>5718</v>
      </c>
      <c r="H1812" s="4" t="s">
        <v>185</v>
      </c>
      <c r="I1812" s="5" t="str">
        <f>IFERROR(VLOOKUP(Consulta1[[#This Row],[Pozo largo]],'Lista YPF'!$B$3:$C$358,2,FALSE),"NO")</f>
        <v>En lista de Abandono</v>
      </c>
      <c r="J1812" s="5" t="str">
        <f>IFERROR(VLOOKUP(Consulta1[[#This Row],[Pozo]],'Lista Oportunidades'!B:C,2,FALSE),"NO")</f>
        <v>NO</v>
      </c>
      <c r="K1812" s="5">
        <f>IFERROR(VLOOKUP(Consulta1[[#This Row],[Pozo largo]],Controles!B:H,7,FALSE),"NO")</f>
        <v>0</v>
      </c>
      <c r="L1812" s="5">
        <f>IFERROR(VLOOKUP(Consulta1[[#This Row],[Pozo largo]],Controles!B:J,9,FALSE),"NO")</f>
        <v>0</v>
      </c>
    </row>
    <row r="1813" spans="2:12" x14ac:dyDescent="0.35">
      <c r="B1813" s="4" t="s">
        <v>3478</v>
      </c>
      <c r="C1813" s="4" t="s">
        <v>7529</v>
      </c>
      <c r="D1813" s="4" t="s">
        <v>5</v>
      </c>
      <c r="E1813" s="4" t="s">
        <v>6</v>
      </c>
      <c r="F1813" s="4" t="s">
        <v>7</v>
      </c>
      <c r="G1813" s="4" t="s">
        <v>5718</v>
      </c>
      <c r="H1813" s="4" t="s">
        <v>9</v>
      </c>
      <c r="I1813" s="5" t="str">
        <f>IFERROR(VLOOKUP(Consulta1[[#This Row],[Pozo largo]],'Lista YPF'!$B$3:$C$358,2,FALSE),"NO")</f>
        <v>En lista de Abandono</v>
      </c>
      <c r="J1813" s="5" t="str">
        <f>IFERROR(VLOOKUP(Consulta1[[#This Row],[Pozo]],'Lista Oportunidades'!B:C,2,FALSE),"NO")</f>
        <v>NO</v>
      </c>
      <c r="K1813" s="5">
        <f>IFERROR(VLOOKUP(Consulta1[[#This Row],[Pozo largo]],Controles!B:H,7,FALSE),"NO")</f>
        <v>0.13</v>
      </c>
      <c r="L1813" s="5">
        <f>IFERROR(VLOOKUP(Consulta1[[#This Row],[Pozo largo]],Controles!B:J,9,FALSE),"NO")</f>
        <v>0</v>
      </c>
    </row>
    <row r="1814" spans="2:12" x14ac:dyDescent="0.35">
      <c r="B1814" s="4" t="s">
        <v>3480</v>
      </c>
      <c r="C1814" s="4" t="s">
        <v>7530</v>
      </c>
      <c r="D1814" s="4" t="s">
        <v>5</v>
      </c>
      <c r="E1814" s="4" t="s">
        <v>57</v>
      </c>
      <c r="F1814" s="4" t="s">
        <v>7</v>
      </c>
      <c r="G1814" s="4" t="s">
        <v>5718</v>
      </c>
      <c r="H1814" s="4" t="s">
        <v>254</v>
      </c>
      <c r="I1814" s="5" t="str">
        <f>IFERROR(VLOOKUP(Consulta1[[#This Row],[Pozo largo]],'Lista YPF'!$B$3:$C$358,2,FALSE),"NO")</f>
        <v>En lista de Abandono</v>
      </c>
      <c r="J1814" s="5" t="str">
        <f>IFERROR(VLOOKUP(Consulta1[[#This Row],[Pozo]],'Lista Oportunidades'!B:C,2,FALSE),"NO")</f>
        <v>NO</v>
      </c>
      <c r="K1814" s="5">
        <f>IFERROR(VLOOKUP(Consulta1[[#This Row],[Pozo largo]],Controles!B:H,7,FALSE),"NO")</f>
        <v>0.215</v>
      </c>
      <c r="L1814" s="5">
        <f>IFERROR(VLOOKUP(Consulta1[[#This Row],[Pozo largo]],Controles!B:J,9,FALSE),"NO")</f>
        <v>0</v>
      </c>
    </row>
    <row r="1815" spans="2:12" x14ac:dyDescent="0.35">
      <c r="B1815" s="4" t="s">
        <v>3482</v>
      </c>
      <c r="C1815" s="4" t="s">
        <v>7531</v>
      </c>
      <c r="D1815" s="4" t="s">
        <v>5</v>
      </c>
      <c r="E1815" s="4" t="s">
        <v>12</v>
      </c>
      <c r="F1815" s="4" t="s">
        <v>7</v>
      </c>
      <c r="G1815" s="4" t="s">
        <v>13</v>
      </c>
      <c r="H1815" s="4" t="s">
        <v>185</v>
      </c>
      <c r="I1815" s="5" t="str">
        <f>IFERROR(VLOOKUP(Consulta1[[#This Row],[Pozo largo]],'Lista YPF'!$B$3:$C$358,2,FALSE),"NO")</f>
        <v>NO</v>
      </c>
      <c r="J1815" s="5" t="str">
        <f>IFERROR(VLOOKUP(Consulta1[[#This Row],[Pozo]],'Lista Oportunidades'!B:C,2,FALSE),"NO")</f>
        <v>NO</v>
      </c>
      <c r="K1815" s="5">
        <f>IFERROR(VLOOKUP(Consulta1[[#This Row],[Pozo largo]],Controles!B:H,7,FALSE),"NO")</f>
        <v>0.90800000000000003</v>
      </c>
      <c r="L1815" s="5">
        <f>IFERROR(VLOOKUP(Consulta1[[#This Row],[Pozo largo]],Controles!B:J,9,FALSE),"NO")</f>
        <v>0</v>
      </c>
    </row>
    <row r="1816" spans="2:12" x14ac:dyDescent="0.35">
      <c r="B1816" s="4" t="s">
        <v>3484</v>
      </c>
      <c r="C1816" s="4" t="s">
        <v>7532</v>
      </c>
      <c r="D1816" s="4" t="s">
        <v>5</v>
      </c>
      <c r="E1816" s="4" t="s">
        <v>12</v>
      </c>
      <c r="F1816" s="4" t="s">
        <v>7</v>
      </c>
      <c r="G1816" s="4" t="s">
        <v>13</v>
      </c>
      <c r="H1816" s="4" t="s">
        <v>91</v>
      </c>
      <c r="I1816" s="5" t="str">
        <f>IFERROR(VLOOKUP(Consulta1[[#This Row],[Pozo largo]],'Lista YPF'!$B$3:$C$358,2,FALSE),"NO")</f>
        <v>NO</v>
      </c>
      <c r="J1816" s="5" t="str">
        <f>IFERROR(VLOOKUP(Consulta1[[#This Row],[Pozo]],'Lista Oportunidades'!B:C,2,FALSE),"NO")</f>
        <v>NO</v>
      </c>
      <c r="K1816" s="5">
        <f>IFERROR(VLOOKUP(Consulta1[[#This Row],[Pozo largo]],Controles!B:H,7,FALSE),"NO")</f>
        <v>0.91600000000000004</v>
      </c>
      <c r="L1816" s="5">
        <f>IFERROR(VLOOKUP(Consulta1[[#This Row],[Pozo largo]],Controles!B:J,9,FALSE),"NO")</f>
        <v>0</v>
      </c>
    </row>
    <row r="1817" spans="2:12" x14ac:dyDescent="0.35">
      <c r="B1817" s="4" t="s">
        <v>3486</v>
      </c>
      <c r="C1817" s="4" t="s">
        <v>7533</v>
      </c>
      <c r="D1817" s="4" t="s">
        <v>5</v>
      </c>
      <c r="E1817" s="4" t="s">
        <v>12</v>
      </c>
      <c r="F1817" s="4" t="s">
        <v>7</v>
      </c>
      <c r="G1817" s="4" t="s">
        <v>13</v>
      </c>
      <c r="H1817" s="4" t="s">
        <v>185</v>
      </c>
      <c r="I1817" s="5" t="str">
        <f>IFERROR(VLOOKUP(Consulta1[[#This Row],[Pozo largo]],'Lista YPF'!$B$3:$C$358,2,FALSE),"NO")</f>
        <v>NO</v>
      </c>
      <c r="J1817" s="5" t="str">
        <f>IFERROR(VLOOKUP(Consulta1[[#This Row],[Pozo]],'Lista Oportunidades'!B:C,2,FALSE),"NO")</f>
        <v>NO</v>
      </c>
      <c r="K1817" s="5">
        <f>IFERROR(VLOOKUP(Consulta1[[#This Row],[Pozo largo]],Controles!B:H,7,FALSE),"NO")</f>
        <v>7.400000000000001E-2</v>
      </c>
      <c r="L1817" s="5">
        <f>IFERROR(VLOOKUP(Consulta1[[#This Row],[Pozo largo]],Controles!B:J,9,FALSE),"NO")</f>
        <v>0</v>
      </c>
    </row>
    <row r="1818" spans="2:12" x14ac:dyDescent="0.35">
      <c r="B1818" s="4" t="s">
        <v>3488</v>
      </c>
      <c r="C1818" s="4" t="s">
        <v>7534</v>
      </c>
      <c r="D1818" s="4" t="s">
        <v>5</v>
      </c>
      <c r="E1818" s="4" t="s">
        <v>24</v>
      </c>
      <c r="F1818" s="4" t="s">
        <v>25</v>
      </c>
      <c r="G1818" s="4" t="s">
        <v>11387</v>
      </c>
      <c r="H1818" s="4" t="s">
        <v>21</v>
      </c>
      <c r="I1818" s="5" t="str">
        <f>IFERROR(VLOOKUP(Consulta1[[#This Row],[Pozo largo]],'Lista YPF'!$B$3:$C$358,2,FALSE),"NO")</f>
        <v>NO</v>
      </c>
      <c r="J1818" s="5" t="str">
        <f>IFERROR(VLOOKUP(Consulta1[[#This Row],[Pozo]],'Lista Oportunidades'!B:C,2,FALSE),"NO")</f>
        <v>NO</v>
      </c>
      <c r="K1818" s="5">
        <f>IFERROR(VLOOKUP(Consulta1[[#This Row],[Pozo largo]],Controles!B:H,7,FALSE),"NO")</f>
        <v>1.9E-2</v>
      </c>
      <c r="L1818" s="5" t="str">
        <f>IFERROR(VLOOKUP(Consulta1[[#This Row],[Pozo largo]],Controles!B:J,9,FALSE),"NO")</f>
        <v>Ultimo Año</v>
      </c>
    </row>
    <row r="1819" spans="2:12" x14ac:dyDescent="0.35">
      <c r="B1819" s="4" t="s">
        <v>3490</v>
      </c>
      <c r="C1819" s="4" t="s">
        <v>7535</v>
      </c>
      <c r="D1819" s="4" t="s">
        <v>5</v>
      </c>
      <c r="E1819" s="4" t="s">
        <v>12</v>
      </c>
      <c r="F1819" s="4" t="s">
        <v>7</v>
      </c>
      <c r="G1819" s="4" t="s">
        <v>13</v>
      </c>
      <c r="H1819" s="4" t="s">
        <v>9</v>
      </c>
      <c r="I1819" s="5" t="str">
        <f>IFERROR(VLOOKUP(Consulta1[[#This Row],[Pozo largo]],'Lista YPF'!$B$3:$C$358,2,FALSE),"NO")</f>
        <v>NO</v>
      </c>
      <c r="J1819" s="5" t="str">
        <f>IFERROR(VLOOKUP(Consulta1[[#This Row],[Pozo]],'Lista Oportunidades'!B:C,2,FALSE),"NO")</f>
        <v>NO</v>
      </c>
      <c r="K1819" s="5">
        <f>IFERROR(VLOOKUP(Consulta1[[#This Row],[Pozo largo]],Controles!B:H,7,FALSE),"NO")</f>
        <v>4.42</v>
      </c>
      <c r="L1819" s="5">
        <f>IFERROR(VLOOKUP(Consulta1[[#This Row],[Pozo largo]],Controles!B:J,9,FALSE),"NO")</f>
        <v>0</v>
      </c>
    </row>
    <row r="1820" spans="2:12" x14ac:dyDescent="0.35">
      <c r="B1820" s="4" t="s">
        <v>3492</v>
      </c>
      <c r="C1820" s="4" t="s">
        <v>7536</v>
      </c>
      <c r="D1820" s="4" t="s">
        <v>5</v>
      </c>
      <c r="E1820" s="4" t="s">
        <v>6</v>
      </c>
      <c r="F1820" s="4" t="s">
        <v>28</v>
      </c>
      <c r="G1820" s="4" t="s">
        <v>5718</v>
      </c>
      <c r="H1820" s="4" t="s">
        <v>9</v>
      </c>
      <c r="I1820" s="5" t="str">
        <f>IFERROR(VLOOKUP(Consulta1[[#This Row],[Pozo largo]],'Lista YPF'!$B$3:$C$358,2,FALSE),"NO")</f>
        <v>En lista de Abandono</v>
      </c>
      <c r="J1820" s="5" t="str">
        <f>IFERROR(VLOOKUP(Consulta1[[#This Row],[Pozo]],'Lista Oportunidades'!B:C,2,FALSE),"NO")</f>
        <v>NO</v>
      </c>
      <c r="K1820" s="5">
        <f>IFERROR(VLOOKUP(Consulta1[[#This Row],[Pozo largo]],Controles!B:H,7,FALSE),"NO")</f>
        <v>0</v>
      </c>
      <c r="L1820" s="5" t="str">
        <f>IFERROR(VLOOKUP(Consulta1[[#This Row],[Pozo largo]],Controles!B:J,9,FALSE),"NO")</f>
        <v>Ultimo Año</v>
      </c>
    </row>
    <row r="1821" spans="2:12" x14ac:dyDescent="0.35">
      <c r="B1821" s="4" t="s">
        <v>3494</v>
      </c>
      <c r="C1821" s="4" t="s">
        <v>7537</v>
      </c>
      <c r="D1821" s="4" t="s">
        <v>5</v>
      </c>
      <c r="E1821" s="4" t="s">
        <v>12</v>
      </c>
      <c r="F1821" s="4" t="s">
        <v>25</v>
      </c>
      <c r="G1821" s="4" t="s">
        <v>13</v>
      </c>
      <c r="H1821" s="4" t="s">
        <v>86</v>
      </c>
      <c r="I1821" s="5" t="str">
        <f>IFERROR(VLOOKUP(Consulta1[[#This Row],[Pozo largo]],'Lista YPF'!$B$3:$C$358,2,FALSE),"NO")</f>
        <v>NO</v>
      </c>
      <c r="J1821" s="5" t="str">
        <f>IFERROR(VLOOKUP(Consulta1[[#This Row],[Pozo]],'Lista Oportunidades'!B:C,2,FALSE),"NO")</f>
        <v>NO</v>
      </c>
      <c r="K1821" s="5">
        <f>IFERROR(VLOOKUP(Consulta1[[#This Row],[Pozo largo]],Controles!B:H,7,FALSE),"NO")</f>
        <v>1.1180000000000001</v>
      </c>
      <c r="L1821" s="5">
        <f>IFERROR(VLOOKUP(Consulta1[[#This Row],[Pozo largo]],Controles!B:J,9,FALSE),"NO")</f>
        <v>0</v>
      </c>
    </row>
    <row r="1822" spans="2:12" x14ac:dyDescent="0.35">
      <c r="B1822" s="4" t="s">
        <v>3496</v>
      </c>
      <c r="C1822" s="4" t="s">
        <v>7538</v>
      </c>
      <c r="D1822" s="4" t="s">
        <v>5</v>
      </c>
      <c r="E1822" s="4" t="s">
        <v>30</v>
      </c>
      <c r="F1822" s="4" t="s">
        <v>31</v>
      </c>
      <c r="G1822" s="4" t="s">
        <v>32</v>
      </c>
      <c r="H1822" s="4" t="s">
        <v>80</v>
      </c>
      <c r="I1822" s="5" t="str">
        <f>IFERROR(VLOOKUP(Consulta1[[#This Row],[Pozo largo]],'Lista YPF'!$B$3:$C$358,2,FALSE),"NO")</f>
        <v>NO</v>
      </c>
      <c r="J1822" s="5" t="str">
        <f>IFERROR(VLOOKUP(Consulta1[[#This Row],[Pozo]],'Lista Oportunidades'!B:C,2,FALSE),"NO")</f>
        <v>NO</v>
      </c>
      <c r="K1822" s="5" t="str">
        <f>IFERROR(VLOOKUP(Consulta1[[#This Row],[Pozo largo]],Controles!B:H,7,FALSE),"NO")</f>
        <v>NO</v>
      </c>
      <c r="L1822" s="5" t="str">
        <f>IFERROR(VLOOKUP(Consulta1[[#This Row],[Pozo largo]],Controles!B:J,9,FALSE),"NO")</f>
        <v>NO</v>
      </c>
    </row>
    <row r="1823" spans="2:12" x14ac:dyDescent="0.35">
      <c r="B1823" s="4" t="s">
        <v>3497</v>
      </c>
      <c r="C1823" s="4" t="s">
        <v>7539</v>
      </c>
      <c r="D1823" s="4" t="s">
        <v>5</v>
      </c>
      <c r="E1823" s="4" t="s">
        <v>6</v>
      </c>
      <c r="F1823" s="4" t="s">
        <v>7</v>
      </c>
      <c r="G1823" s="4" t="s">
        <v>5718</v>
      </c>
      <c r="H1823" s="4" t="s">
        <v>36</v>
      </c>
      <c r="I1823" s="5" t="str">
        <f>IFERROR(VLOOKUP(Consulta1[[#This Row],[Pozo largo]],'Lista YPF'!$B$3:$C$358,2,FALSE),"NO")</f>
        <v>En lista de Abandono</v>
      </c>
      <c r="J1823" s="5" t="str">
        <f>IFERROR(VLOOKUP(Consulta1[[#This Row],[Pozo]],'Lista Oportunidades'!B:C,2,FALSE),"NO")</f>
        <v>NO</v>
      </c>
      <c r="K1823" s="5">
        <f>IFERROR(VLOOKUP(Consulta1[[#This Row],[Pozo largo]],Controles!B:H,7,FALSE),"NO")</f>
        <v>0.80600000000000005</v>
      </c>
      <c r="L1823" s="5">
        <f>IFERROR(VLOOKUP(Consulta1[[#This Row],[Pozo largo]],Controles!B:J,9,FALSE),"NO")</f>
        <v>0</v>
      </c>
    </row>
    <row r="1824" spans="2:12" x14ac:dyDescent="0.35">
      <c r="B1824" s="4" t="s">
        <v>3499</v>
      </c>
      <c r="C1824" s="4" t="s">
        <v>7540</v>
      </c>
      <c r="D1824" s="4" t="s">
        <v>5</v>
      </c>
      <c r="E1824" s="4" t="s">
        <v>12</v>
      </c>
      <c r="F1824" s="4" t="s">
        <v>7</v>
      </c>
      <c r="G1824" s="4" t="s">
        <v>13</v>
      </c>
      <c r="H1824" s="4" t="s">
        <v>185</v>
      </c>
      <c r="I1824" s="5" t="str">
        <f>IFERROR(VLOOKUP(Consulta1[[#This Row],[Pozo largo]],'Lista YPF'!$B$3:$C$358,2,FALSE),"NO")</f>
        <v>NO</v>
      </c>
      <c r="J1824" s="5" t="str">
        <f>IFERROR(VLOOKUP(Consulta1[[#This Row],[Pozo]],'Lista Oportunidades'!B:C,2,FALSE),"NO")</f>
        <v>NO</v>
      </c>
      <c r="K1824" s="5">
        <f>IFERROR(VLOOKUP(Consulta1[[#This Row],[Pozo largo]],Controles!B:H,7,FALSE),"NO")</f>
        <v>0.8</v>
      </c>
      <c r="L1824" s="5">
        <f>IFERROR(VLOOKUP(Consulta1[[#This Row],[Pozo largo]],Controles!B:J,9,FALSE),"NO")</f>
        <v>0</v>
      </c>
    </row>
    <row r="1825" spans="2:12" x14ac:dyDescent="0.35">
      <c r="B1825" s="4" t="s">
        <v>3501</v>
      </c>
      <c r="C1825" s="4" t="s">
        <v>7541</v>
      </c>
      <c r="D1825" s="4" t="s">
        <v>5</v>
      </c>
      <c r="E1825" s="4" t="s">
        <v>12</v>
      </c>
      <c r="F1825" s="4" t="s">
        <v>7</v>
      </c>
      <c r="G1825" s="4" t="s">
        <v>13</v>
      </c>
      <c r="H1825" s="4" t="s">
        <v>9</v>
      </c>
      <c r="I1825" s="5" t="str">
        <f>IFERROR(VLOOKUP(Consulta1[[#This Row],[Pozo largo]],'Lista YPF'!$B$3:$C$358,2,FALSE),"NO")</f>
        <v>NO</v>
      </c>
      <c r="J1825" s="5" t="str">
        <f>IFERROR(VLOOKUP(Consulta1[[#This Row],[Pozo]],'Lista Oportunidades'!B:C,2,FALSE),"NO")</f>
        <v>NO</v>
      </c>
      <c r="K1825" s="5">
        <f>IFERROR(VLOOKUP(Consulta1[[#This Row],[Pozo largo]],Controles!B:H,7,FALSE),"NO")</f>
        <v>0.58500000000000008</v>
      </c>
      <c r="L1825" s="5">
        <f>IFERROR(VLOOKUP(Consulta1[[#This Row],[Pozo largo]],Controles!B:J,9,FALSE),"NO")</f>
        <v>0</v>
      </c>
    </row>
    <row r="1826" spans="2:12" x14ac:dyDescent="0.35">
      <c r="B1826" s="4" t="s">
        <v>3503</v>
      </c>
      <c r="C1826" s="4" t="s">
        <v>7542</v>
      </c>
      <c r="D1826" s="4" t="s">
        <v>5</v>
      </c>
      <c r="E1826" s="4" t="s">
        <v>12</v>
      </c>
      <c r="F1826" s="4" t="s">
        <v>28</v>
      </c>
      <c r="G1826" s="4" t="s">
        <v>13</v>
      </c>
      <c r="H1826" s="4" t="s">
        <v>254</v>
      </c>
      <c r="I1826" s="5" t="str">
        <f>IFERROR(VLOOKUP(Consulta1[[#This Row],[Pozo largo]],'Lista YPF'!$B$3:$C$358,2,FALSE),"NO")</f>
        <v>NO</v>
      </c>
      <c r="J1826" s="5" t="str">
        <f>IFERROR(VLOOKUP(Consulta1[[#This Row],[Pozo]],'Lista Oportunidades'!B:C,2,FALSE),"NO")</f>
        <v>NO</v>
      </c>
      <c r="K1826" s="5">
        <f>IFERROR(VLOOKUP(Consulta1[[#This Row],[Pozo largo]],Controles!B:H,7,FALSE),"NO")</f>
        <v>0</v>
      </c>
      <c r="L1826" s="5">
        <f>IFERROR(VLOOKUP(Consulta1[[#This Row],[Pozo largo]],Controles!B:J,9,FALSE),"NO")</f>
        <v>0</v>
      </c>
    </row>
    <row r="1827" spans="2:12" x14ac:dyDescent="0.35">
      <c r="B1827" s="4" t="s">
        <v>3505</v>
      </c>
      <c r="C1827" s="4" t="s">
        <v>7543</v>
      </c>
      <c r="D1827" s="4" t="s">
        <v>5</v>
      </c>
      <c r="E1827" s="4" t="s">
        <v>12</v>
      </c>
      <c r="F1827" s="4" t="s">
        <v>7</v>
      </c>
      <c r="G1827" s="4" t="s">
        <v>13</v>
      </c>
      <c r="H1827" s="4" t="s">
        <v>254</v>
      </c>
      <c r="I1827" s="5" t="str">
        <f>IFERROR(VLOOKUP(Consulta1[[#This Row],[Pozo largo]],'Lista YPF'!$B$3:$C$358,2,FALSE),"NO")</f>
        <v>NO</v>
      </c>
      <c r="J1827" s="5" t="str">
        <f>IFERROR(VLOOKUP(Consulta1[[#This Row],[Pozo]],'Lista Oportunidades'!B:C,2,FALSE),"NO")</f>
        <v>NO</v>
      </c>
      <c r="K1827" s="5">
        <f>IFERROR(VLOOKUP(Consulta1[[#This Row],[Pozo largo]],Controles!B:H,7,FALSE),"NO")</f>
        <v>0.13500000000000001</v>
      </c>
      <c r="L1827" s="5">
        <f>IFERROR(VLOOKUP(Consulta1[[#This Row],[Pozo largo]],Controles!B:J,9,FALSE),"NO")</f>
        <v>0</v>
      </c>
    </row>
    <row r="1828" spans="2:12" x14ac:dyDescent="0.35">
      <c r="B1828" s="4" t="s">
        <v>3507</v>
      </c>
      <c r="C1828" s="4" t="s">
        <v>7544</v>
      </c>
      <c r="D1828" s="4" t="s">
        <v>5</v>
      </c>
      <c r="E1828" s="4" t="s">
        <v>12</v>
      </c>
      <c r="F1828" s="4" t="s">
        <v>7</v>
      </c>
      <c r="G1828" s="4" t="s">
        <v>13</v>
      </c>
      <c r="H1828" s="4" t="s">
        <v>185</v>
      </c>
      <c r="I1828" s="5" t="str">
        <f>IFERROR(VLOOKUP(Consulta1[[#This Row],[Pozo largo]],'Lista YPF'!$B$3:$C$358,2,FALSE),"NO")</f>
        <v>NO</v>
      </c>
      <c r="J1828" s="5" t="str">
        <f>IFERROR(VLOOKUP(Consulta1[[#This Row],[Pozo]],'Lista Oportunidades'!B:C,2,FALSE),"NO")</f>
        <v>NO</v>
      </c>
      <c r="K1828" s="5">
        <f>IFERROR(VLOOKUP(Consulta1[[#This Row],[Pozo largo]],Controles!B:H,7,FALSE),"NO")</f>
        <v>0.56000000000000005</v>
      </c>
      <c r="L1828" s="5">
        <f>IFERROR(VLOOKUP(Consulta1[[#This Row],[Pozo largo]],Controles!B:J,9,FALSE),"NO")</f>
        <v>0</v>
      </c>
    </row>
    <row r="1829" spans="2:12" x14ac:dyDescent="0.35">
      <c r="B1829" s="4" t="s">
        <v>3509</v>
      </c>
      <c r="C1829" s="4" t="s">
        <v>7545</v>
      </c>
      <c r="D1829" s="4" t="s">
        <v>5</v>
      </c>
      <c r="E1829" s="4" t="s">
        <v>6</v>
      </c>
      <c r="F1829" s="4" t="s">
        <v>7</v>
      </c>
      <c r="G1829" s="4" t="s">
        <v>5718</v>
      </c>
      <c r="H1829" s="4" t="s">
        <v>9</v>
      </c>
      <c r="I1829" s="5" t="str">
        <f>IFERROR(VLOOKUP(Consulta1[[#This Row],[Pozo largo]],'Lista YPF'!$B$3:$C$358,2,FALSE),"NO")</f>
        <v>En lista de Abandono</v>
      </c>
      <c r="J1829" s="5" t="str">
        <f>IFERROR(VLOOKUP(Consulta1[[#This Row],[Pozo]],'Lista Oportunidades'!B:C,2,FALSE),"NO")</f>
        <v>NO</v>
      </c>
      <c r="K1829" s="5">
        <f>IFERROR(VLOOKUP(Consulta1[[#This Row],[Pozo largo]],Controles!B:H,7,FALSE),"NO")</f>
        <v>5.1450000000000005</v>
      </c>
      <c r="L1829" s="5">
        <f>IFERROR(VLOOKUP(Consulta1[[#This Row],[Pozo largo]],Controles!B:J,9,FALSE),"NO")</f>
        <v>0</v>
      </c>
    </row>
    <row r="1830" spans="2:12" x14ac:dyDescent="0.35">
      <c r="B1830" s="4" t="s">
        <v>3511</v>
      </c>
      <c r="C1830" s="4" t="s">
        <v>7546</v>
      </c>
      <c r="D1830" s="4" t="s">
        <v>5</v>
      </c>
      <c r="E1830" s="4" t="s">
        <v>12</v>
      </c>
      <c r="F1830" s="4" t="s">
        <v>7</v>
      </c>
      <c r="G1830" s="4" t="s">
        <v>13</v>
      </c>
      <c r="H1830" s="4" t="s">
        <v>9</v>
      </c>
      <c r="I1830" s="5" t="str">
        <f>IFERROR(VLOOKUP(Consulta1[[#This Row],[Pozo largo]],'Lista YPF'!$B$3:$C$358,2,FALSE),"NO")</f>
        <v>NO</v>
      </c>
      <c r="J1830" s="5" t="str">
        <f>IFERROR(VLOOKUP(Consulta1[[#This Row],[Pozo]],'Lista Oportunidades'!B:C,2,FALSE),"NO")</f>
        <v>NO</v>
      </c>
      <c r="K1830" s="5">
        <f>IFERROR(VLOOKUP(Consulta1[[#This Row],[Pozo largo]],Controles!B:H,7,FALSE),"NO")</f>
        <v>1.1000000000000001</v>
      </c>
      <c r="L1830" s="5">
        <f>IFERROR(VLOOKUP(Consulta1[[#This Row],[Pozo largo]],Controles!B:J,9,FALSE),"NO")</f>
        <v>0</v>
      </c>
    </row>
    <row r="1831" spans="2:12" x14ac:dyDescent="0.35">
      <c r="B1831" s="4" t="s">
        <v>3513</v>
      </c>
      <c r="C1831" s="4" t="s">
        <v>7547</v>
      </c>
      <c r="D1831" s="4" t="s">
        <v>5</v>
      </c>
      <c r="E1831" s="4" t="s">
        <v>30</v>
      </c>
      <c r="F1831" s="4" t="s">
        <v>31</v>
      </c>
      <c r="G1831" s="4" t="s">
        <v>32</v>
      </c>
      <c r="H1831" s="4" t="s">
        <v>86</v>
      </c>
      <c r="I1831" s="5" t="str">
        <f>IFERROR(VLOOKUP(Consulta1[[#This Row],[Pozo largo]],'Lista YPF'!$B$3:$C$358,2,FALSE),"NO")</f>
        <v>NO</v>
      </c>
      <c r="J1831" s="5" t="str">
        <f>IFERROR(VLOOKUP(Consulta1[[#This Row],[Pozo]],'Lista Oportunidades'!B:C,2,FALSE),"NO")</f>
        <v>NO</v>
      </c>
      <c r="K1831" s="5">
        <f>IFERROR(VLOOKUP(Consulta1[[#This Row],[Pozo largo]],Controles!B:H,7,FALSE),"NO")</f>
        <v>0</v>
      </c>
      <c r="L1831" s="5">
        <f>IFERROR(VLOOKUP(Consulta1[[#This Row],[Pozo largo]],Controles!B:J,9,FALSE),"NO")</f>
        <v>0</v>
      </c>
    </row>
    <row r="1832" spans="2:12" x14ac:dyDescent="0.35">
      <c r="B1832" s="4" t="s">
        <v>3515</v>
      </c>
      <c r="C1832" s="4" t="s">
        <v>7548</v>
      </c>
      <c r="D1832" s="4" t="s">
        <v>5</v>
      </c>
      <c r="E1832" s="4" t="s">
        <v>30</v>
      </c>
      <c r="F1832" s="4" t="s">
        <v>31</v>
      </c>
      <c r="G1832" s="4" t="s">
        <v>32</v>
      </c>
      <c r="H1832" s="4" t="s">
        <v>149</v>
      </c>
      <c r="I1832" s="5" t="str">
        <f>IFERROR(VLOOKUP(Consulta1[[#This Row],[Pozo largo]],'Lista YPF'!$B$3:$C$358,2,FALSE),"NO")</f>
        <v>NO</v>
      </c>
      <c r="J1832" s="5" t="str">
        <f>IFERROR(VLOOKUP(Consulta1[[#This Row],[Pozo]],'Lista Oportunidades'!B:C,2,FALSE),"NO")</f>
        <v>NO</v>
      </c>
      <c r="K1832" s="5" t="str">
        <f>IFERROR(VLOOKUP(Consulta1[[#This Row],[Pozo largo]],Controles!B:H,7,FALSE),"NO")</f>
        <v>NO</v>
      </c>
      <c r="L1832" s="5" t="str">
        <f>IFERROR(VLOOKUP(Consulta1[[#This Row],[Pozo largo]],Controles!B:J,9,FALSE),"NO")</f>
        <v>NO</v>
      </c>
    </row>
    <row r="1833" spans="2:12" x14ac:dyDescent="0.35">
      <c r="B1833" s="4" t="s">
        <v>3516</v>
      </c>
      <c r="C1833" s="4" t="s">
        <v>7549</v>
      </c>
      <c r="D1833" s="4" t="s">
        <v>5</v>
      </c>
      <c r="E1833" s="4" t="s">
        <v>30</v>
      </c>
      <c r="F1833" s="4" t="s">
        <v>31</v>
      </c>
      <c r="G1833" s="4" t="s">
        <v>32</v>
      </c>
      <c r="H1833" s="4" t="s">
        <v>91</v>
      </c>
      <c r="I1833" s="5" t="str">
        <f>IFERROR(VLOOKUP(Consulta1[[#This Row],[Pozo largo]],'Lista YPF'!$B$3:$C$358,2,FALSE),"NO")</f>
        <v>NO</v>
      </c>
      <c r="J1833" s="5" t="str">
        <f>IFERROR(VLOOKUP(Consulta1[[#This Row],[Pozo]],'Lista Oportunidades'!B:C,2,FALSE),"NO")</f>
        <v>NO</v>
      </c>
      <c r="K1833" s="5" t="str">
        <f>IFERROR(VLOOKUP(Consulta1[[#This Row],[Pozo largo]],Controles!B:H,7,FALSE),"NO")</f>
        <v>NO</v>
      </c>
      <c r="L1833" s="5" t="str">
        <f>IFERROR(VLOOKUP(Consulta1[[#This Row],[Pozo largo]],Controles!B:J,9,FALSE),"NO")</f>
        <v>NO</v>
      </c>
    </row>
    <row r="1834" spans="2:12" x14ac:dyDescent="0.35">
      <c r="B1834" s="4" t="s">
        <v>3517</v>
      </c>
      <c r="C1834" s="4" t="s">
        <v>7550</v>
      </c>
      <c r="D1834" s="4" t="s">
        <v>5</v>
      </c>
      <c r="E1834" s="4" t="s">
        <v>30</v>
      </c>
      <c r="F1834" s="4" t="s">
        <v>31</v>
      </c>
      <c r="G1834" s="4" t="s">
        <v>32</v>
      </c>
      <c r="H1834" s="4" t="s">
        <v>80</v>
      </c>
      <c r="I1834" s="5" t="str">
        <f>IFERROR(VLOOKUP(Consulta1[[#This Row],[Pozo largo]],'Lista YPF'!$B$3:$C$358,2,FALSE),"NO")</f>
        <v>NO</v>
      </c>
      <c r="J1834" s="5" t="str">
        <f>IFERROR(VLOOKUP(Consulta1[[#This Row],[Pozo]],'Lista Oportunidades'!B:C,2,FALSE),"NO")</f>
        <v>NO</v>
      </c>
      <c r="K1834" s="5" t="str">
        <f>IFERROR(VLOOKUP(Consulta1[[#This Row],[Pozo largo]],Controles!B:H,7,FALSE),"NO")</f>
        <v>NO</v>
      </c>
      <c r="L1834" s="5" t="str">
        <f>IFERROR(VLOOKUP(Consulta1[[#This Row],[Pozo largo]],Controles!B:J,9,FALSE),"NO")</f>
        <v>NO</v>
      </c>
    </row>
    <row r="1835" spans="2:12" x14ac:dyDescent="0.35">
      <c r="B1835" s="4" t="s">
        <v>3518</v>
      </c>
      <c r="C1835" s="4" t="s">
        <v>7551</v>
      </c>
      <c r="D1835" s="4" t="s">
        <v>5</v>
      </c>
      <c r="E1835" s="4" t="s">
        <v>24</v>
      </c>
      <c r="F1835" s="4" t="s">
        <v>31</v>
      </c>
      <c r="G1835" s="4" t="s">
        <v>8</v>
      </c>
      <c r="H1835" s="4" t="s">
        <v>71</v>
      </c>
      <c r="I1835" s="5" t="str">
        <f>IFERROR(VLOOKUP(Consulta1[[#This Row],[Pozo largo]],'Lista YPF'!$B$3:$C$358,2,FALSE),"NO")</f>
        <v>NO</v>
      </c>
      <c r="J1835" s="5" t="str">
        <f>IFERROR(VLOOKUP(Consulta1[[#This Row],[Pozo]],'Lista Oportunidades'!B:C,2,FALSE),"NO")</f>
        <v>NO</v>
      </c>
      <c r="K1835" s="5" t="str">
        <f>IFERROR(VLOOKUP(Consulta1[[#This Row],[Pozo largo]],Controles!B:H,7,FALSE),"NO")</f>
        <v>NO</v>
      </c>
      <c r="L1835" s="5" t="str">
        <f>IFERROR(VLOOKUP(Consulta1[[#This Row],[Pozo largo]],Controles!B:J,9,FALSE),"NO")</f>
        <v>NO</v>
      </c>
    </row>
    <row r="1836" spans="2:12" x14ac:dyDescent="0.35">
      <c r="B1836" s="4" t="s">
        <v>3519</v>
      </c>
      <c r="C1836" s="4" t="s">
        <v>7552</v>
      </c>
      <c r="D1836" s="4" t="s">
        <v>5</v>
      </c>
      <c r="E1836" s="4" t="s">
        <v>12</v>
      </c>
      <c r="F1836" s="4" t="s">
        <v>7</v>
      </c>
      <c r="G1836" s="4" t="s">
        <v>13</v>
      </c>
      <c r="H1836" s="4" t="s">
        <v>185</v>
      </c>
      <c r="I1836" s="5" t="str">
        <f>IFERROR(VLOOKUP(Consulta1[[#This Row],[Pozo largo]],'Lista YPF'!$B$3:$C$358,2,FALSE),"NO")</f>
        <v>NO</v>
      </c>
      <c r="J1836" s="5" t="str">
        <f>IFERROR(VLOOKUP(Consulta1[[#This Row],[Pozo]],'Lista Oportunidades'!B:C,2,FALSE),"NO")</f>
        <v>NO</v>
      </c>
      <c r="K1836" s="5">
        <f>IFERROR(VLOOKUP(Consulta1[[#This Row],[Pozo largo]],Controles!B:H,7,FALSE),"NO")</f>
        <v>1.83</v>
      </c>
      <c r="L1836" s="5">
        <f>IFERROR(VLOOKUP(Consulta1[[#This Row],[Pozo largo]],Controles!B:J,9,FALSE),"NO")</f>
        <v>0</v>
      </c>
    </row>
    <row r="1837" spans="2:12" x14ac:dyDescent="0.35">
      <c r="B1837" s="4" t="s">
        <v>3521</v>
      </c>
      <c r="C1837" s="4" t="s">
        <v>7553</v>
      </c>
      <c r="D1837" s="4" t="s">
        <v>5</v>
      </c>
      <c r="E1837" s="4" t="s">
        <v>24</v>
      </c>
      <c r="F1837" s="4" t="s">
        <v>25</v>
      </c>
      <c r="G1837" s="4" t="s">
        <v>8</v>
      </c>
      <c r="H1837" s="4" t="s">
        <v>21</v>
      </c>
      <c r="I1837" s="5" t="str">
        <f>IFERROR(VLOOKUP(Consulta1[[#This Row],[Pozo largo]],'Lista YPF'!$B$3:$C$358,2,FALSE),"NO")</f>
        <v>NO</v>
      </c>
      <c r="J1837" s="5" t="str">
        <f>IFERROR(VLOOKUP(Consulta1[[#This Row],[Pozo]],'Lista Oportunidades'!B:C,2,FALSE),"NO")</f>
        <v>NO</v>
      </c>
      <c r="K1837" s="5">
        <f>IFERROR(VLOOKUP(Consulta1[[#This Row],[Pozo largo]],Controles!B:H,7,FALSE),"NO")</f>
        <v>6.7000000000000004E-2</v>
      </c>
      <c r="L1837" s="5">
        <f>IFERROR(VLOOKUP(Consulta1[[#This Row],[Pozo largo]],Controles!B:J,9,FALSE),"NO")</f>
        <v>0</v>
      </c>
    </row>
    <row r="1838" spans="2:12" x14ac:dyDescent="0.35">
      <c r="B1838" s="4" t="s">
        <v>3523</v>
      </c>
      <c r="C1838" s="4" t="s">
        <v>7554</v>
      </c>
      <c r="D1838" s="4" t="s">
        <v>5</v>
      </c>
      <c r="E1838" s="4" t="s">
        <v>12</v>
      </c>
      <c r="F1838" s="4" t="s">
        <v>28</v>
      </c>
      <c r="G1838" s="4" t="s">
        <v>13</v>
      </c>
      <c r="H1838" s="4" t="s">
        <v>21</v>
      </c>
      <c r="I1838" s="5" t="str">
        <f>IFERROR(VLOOKUP(Consulta1[[#This Row],[Pozo largo]],'Lista YPF'!$B$3:$C$358,2,FALSE),"NO")</f>
        <v>NO</v>
      </c>
      <c r="J1838" s="5" t="str">
        <f>IFERROR(VLOOKUP(Consulta1[[#This Row],[Pozo]],'Lista Oportunidades'!B:C,2,FALSE),"NO")</f>
        <v>NO</v>
      </c>
      <c r="K1838" s="5">
        <f>IFERROR(VLOOKUP(Consulta1[[#This Row],[Pozo largo]],Controles!B:H,7,FALSE),"NO")</f>
        <v>0</v>
      </c>
      <c r="L1838" s="5">
        <f>IFERROR(VLOOKUP(Consulta1[[#This Row],[Pozo largo]],Controles!B:J,9,FALSE),"NO")</f>
        <v>0</v>
      </c>
    </row>
    <row r="1839" spans="2:12" x14ac:dyDescent="0.35">
      <c r="B1839" s="4" t="s">
        <v>3525</v>
      </c>
      <c r="C1839" s="4" t="s">
        <v>7555</v>
      </c>
      <c r="D1839" s="4" t="s">
        <v>5</v>
      </c>
      <c r="E1839" s="4" t="s">
        <v>12</v>
      </c>
      <c r="F1839" s="4" t="s">
        <v>7</v>
      </c>
      <c r="G1839" s="4" t="s">
        <v>13</v>
      </c>
      <c r="H1839" s="4" t="s">
        <v>91</v>
      </c>
      <c r="I1839" s="5" t="str">
        <f>IFERROR(VLOOKUP(Consulta1[[#This Row],[Pozo largo]],'Lista YPF'!$B$3:$C$358,2,FALSE),"NO")</f>
        <v>NO</v>
      </c>
      <c r="J1839" s="5" t="str">
        <f>IFERROR(VLOOKUP(Consulta1[[#This Row],[Pozo]],'Lista Oportunidades'!B:C,2,FALSE),"NO")</f>
        <v>NO</v>
      </c>
      <c r="K1839" s="5">
        <f>IFERROR(VLOOKUP(Consulta1[[#This Row],[Pozo largo]],Controles!B:H,7,FALSE),"NO")</f>
        <v>0.75</v>
      </c>
      <c r="L1839" s="5">
        <f>IFERROR(VLOOKUP(Consulta1[[#This Row],[Pozo largo]],Controles!B:J,9,FALSE),"NO")</f>
        <v>0</v>
      </c>
    </row>
    <row r="1840" spans="2:12" x14ac:dyDescent="0.35">
      <c r="B1840" s="4" t="s">
        <v>3527</v>
      </c>
      <c r="C1840" s="4" t="s">
        <v>7556</v>
      </c>
      <c r="D1840" s="4" t="s">
        <v>5</v>
      </c>
      <c r="E1840" s="4" t="s">
        <v>12</v>
      </c>
      <c r="F1840" s="4" t="s">
        <v>28</v>
      </c>
      <c r="G1840" s="4" t="s">
        <v>13</v>
      </c>
      <c r="H1840" s="4" t="s">
        <v>9</v>
      </c>
      <c r="I1840" s="5" t="str">
        <f>IFERROR(VLOOKUP(Consulta1[[#This Row],[Pozo largo]],'Lista YPF'!$B$3:$C$358,2,FALSE),"NO")</f>
        <v>NO</v>
      </c>
      <c r="J1840" s="5" t="str">
        <f>IFERROR(VLOOKUP(Consulta1[[#This Row],[Pozo]],'Lista Oportunidades'!B:C,2,FALSE),"NO")</f>
        <v>NO</v>
      </c>
      <c r="K1840" s="5">
        <f>IFERROR(VLOOKUP(Consulta1[[#This Row],[Pozo largo]],Controles!B:H,7,FALSE),"NO")</f>
        <v>0</v>
      </c>
      <c r="L1840" s="5">
        <f>IFERROR(VLOOKUP(Consulta1[[#This Row],[Pozo largo]],Controles!B:J,9,FALSE),"NO")</f>
        <v>0</v>
      </c>
    </row>
    <row r="1841" spans="2:12" x14ac:dyDescent="0.35">
      <c r="B1841" s="4" t="s">
        <v>3529</v>
      </c>
      <c r="C1841" s="4" t="s">
        <v>7557</v>
      </c>
      <c r="D1841" s="4" t="s">
        <v>5</v>
      </c>
      <c r="E1841" s="4" t="s">
        <v>12</v>
      </c>
      <c r="F1841" s="4" t="s">
        <v>7</v>
      </c>
      <c r="G1841" s="4" t="s">
        <v>13</v>
      </c>
      <c r="H1841" s="4" t="s">
        <v>74</v>
      </c>
      <c r="I1841" s="5" t="str">
        <f>IFERROR(VLOOKUP(Consulta1[[#This Row],[Pozo largo]],'Lista YPF'!$B$3:$C$358,2,FALSE),"NO")</f>
        <v>NO</v>
      </c>
      <c r="J1841" s="5" t="str">
        <f>IFERROR(VLOOKUP(Consulta1[[#This Row],[Pozo]],'Lista Oportunidades'!B:C,2,FALSE),"NO")</f>
        <v>NO</v>
      </c>
      <c r="K1841" s="5">
        <f>IFERROR(VLOOKUP(Consulta1[[#This Row],[Pozo largo]],Controles!B:H,7,FALSE),"NO")</f>
        <v>1.26</v>
      </c>
      <c r="L1841" s="5">
        <f>IFERROR(VLOOKUP(Consulta1[[#This Row],[Pozo largo]],Controles!B:J,9,FALSE),"NO")</f>
        <v>0</v>
      </c>
    </row>
    <row r="1842" spans="2:12" x14ac:dyDescent="0.35">
      <c r="B1842" s="4" t="s">
        <v>3531</v>
      </c>
      <c r="C1842" s="4" t="s">
        <v>7558</v>
      </c>
      <c r="D1842" s="4" t="s">
        <v>5</v>
      </c>
      <c r="E1842" s="4" t="s">
        <v>12</v>
      </c>
      <c r="F1842" s="4" t="s">
        <v>28</v>
      </c>
      <c r="G1842" s="4" t="s">
        <v>13</v>
      </c>
      <c r="H1842" s="4" t="s">
        <v>185</v>
      </c>
      <c r="I1842" s="5" t="str">
        <f>IFERROR(VLOOKUP(Consulta1[[#This Row],[Pozo largo]],'Lista YPF'!$B$3:$C$358,2,FALSE),"NO")</f>
        <v>NO</v>
      </c>
      <c r="J1842" s="5" t="str">
        <f>IFERROR(VLOOKUP(Consulta1[[#This Row],[Pozo]],'Lista Oportunidades'!B:C,2,FALSE),"NO")</f>
        <v>NO</v>
      </c>
      <c r="K1842" s="5">
        <f>IFERROR(VLOOKUP(Consulta1[[#This Row],[Pozo largo]],Controles!B:H,7,FALSE),"NO")</f>
        <v>0</v>
      </c>
      <c r="L1842" s="5">
        <f>IFERROR(VLOOKUP(Consulta1[[#This Row],[Pozo largo]],Controles!B:J,9,FALSE),"NO")</f>
        <v>0</v>
      </c>
    </row>
    <row r="1843" spans="2:12" x14ac:dyDescent="0.35">
      <c r="B1843" s="4" t="s">
        <v>3533</v>
      </c>
      <c r="C1843" s="4" t="s">
        <v>7559</v>
      </c>
      <c r="D1843" s="4" t="s">
        <v>5</v>
      </c>
      <c r="E1843" s="4" t="s">
        <v>24</v>
      </c>
      <c r="F1843" s="4" t="s">
        <v>25</v>
      </c>
      <c r="G1843" s="4" t="s">
        <v>8</v>
      </c>
      <c r="H1843" s="4" t="s">
        <v>86</v>
      </c>
      <c r="I1843" s="5" t="str">
        <f>IFERROR(VLOOKUP(Consulta1[[#This Row],[Pozo largo]],'Lista YPF'!$B$3:$C$358,2,FALSE),"NO")</f>
        <v>NO</v>
      </c>
      <c r="J1843" s="5" t="str">
        <f>IFERROR(VLOOKUP(Consulta1[[#This Row],[Pozo]],'Lista Oportunidades'!B:C,2,FALSE),"NO")</f>
        <v>NO</v>
      </c>
      <c r="K1843" s="5">
        <f>IFERROR(VLOOKUP(Consulta1[[#This Row],[Pozo largo]],Controles!B:H,7,FALSE),"NO")</f>
        <v>0.193</v>
      </c>
      <c r="L1843" s="5">
        <f>IFERROR(VLOOKUP(Consulta1[[#This Row],[Pozo largo]],Controles!B:J,9,FALSE),"NO")</f>
        <v>0</v>
      </c>
    </row>
    <row r="1844" spans="2:12" x14ac:dyDescent="0.35">
      <c r="B1844" s="4" t="s">
        <v>3535</v>
      </c>
      <c r="C1844" s="4" t="s">
        <v>7560</v>
      </c>
      <c r="D1844" s="4" t="s">
        <v>5</v>
      </c>
      <c r="E1844" s="4" t="s">
        <v>12</v>
      </c>
      <c r="F1844" s="4" t="s">
        <v>7</v>
      </c>
      <c r="G1844" s="4" t="s">
        <v>13</v>
      </c>
      <c r="H1844" s="4" t="s">
        <v>16</v>
      </c>
      <c r="I1844" s="5" t="str">
        <f>IFERROR(VLOOKUP(Consulta1[[#This Row],[Pozo largo]],'Lista YPF'!$B$3:$C$358,2,FALSE),"NO")</f>
        <v>NO</v>
      </c>
      <c r="J1844" s="5" t="str">
        <f>IFERROR(VLOOKUP(Consulta1[[#This Row],[Pozo]],'Lista Oportunidades'!B:C,2,FALSE),"NO")</f>
        <v>NO</v>
      </c>
      <c r="K1844" s="5">
        <f>IFERROR(VLOOKUP(Consulta1[[#This Row],[Pozo largo]],Controles!B:H,7,FALSE),"NO")</f>
        <v>1.5</v>
      </c>
      <c r="L1844" s="5">
        <f>IFERROR(VLOOKUP(Consulta1[[#This Row],[Pozo largo]],Controles!B:J,9,FALSE),"NO")</f>
        <v>0</v>
      </c>
    </row>
    <row r="1845" spans="2:12" x14ac:dyDescent="0.35">
      <c r="B1845" s="4" t="s">
        <v>3537</v>
      </c>
      <c r="C1845" s="4" t="s">
        <v>7561</v>
      </c>
      <c r="D1845" s="4" t="s">
        <v>5</v>
      </c>
      <c r="E1845" s="4" t="s">
        <v>24</v>
      </c>
      <c r="F1845" s="4" t="s">
        <v>31</v>
      </c>
      <c r="G1845" s="4" t="s">
        <v>8</v>
      </c>
      <c r="H1845" s="4" t="s">
        <v>66</v>
      </c>
      <c r="I1845" s="5" t="str">
        <f>IFERROR(VLOOKUP(Consulta1[[#This Row],[Pozo largo]],'Lista YPF'!$B$3:$C$358,2,FALSE),"NO")</f>
        <v>NO</v>
      </c>
      <c r="J1845" s="5" t="str">
        <f>IFERROR(VLOOKUP(Consulta1[[#This Row],[Pozo]],'Lista Oportunidades'!B:C,2,FALSE),"NO")</f>
        <v>NO</v>
      </c>
      <c r="K1845" s="5" t="str">
        <f>IFERROR(VLOOKUP(Consulta1[[#This Row],[Pozo largo]],Controles!B:H,7,FALSE),"NO")</f>
        <v>NO</v>
      </c>
      <c r="L1845" s="5" t="str">
        <f>IFERROR(VLOOKUP(Consulta1[[#This Row],[Pozo largo]],Controles!B:J,9,FALSE),"NO")</f>
        <v>NO</v>
      </c>
    </row>
    <row r="1846" spans="2:12" x14ac:dyDescent="0.35">
      <c r="B1846" s="4" t="s">
        <v>3538</v>
      </c>
      <c r="C1846" s="4" t="s">
        <v>7562</v>
      </c>
      <c r="D1846" s="4" t="s">
        <v>5</v>
      </c>
      <c r="E1846" s="4" t="s">
        <v>12</v>
      </c>
      <c r="F1846" s="4" t="s">
        <v>28</v>
      </c>
      <c r="G1846" s="4" t="s">
        <v>13</v>
      </c>
      <c r="H1846" s="4" t="s">
        <v>86</v>
      </c>
      <c r="I1846" s="5" t="str">
        <f>IFERROR(VLOOKUP(Consulta1[[#This Row],[Pozo largo]],'Lista YPF'!$B$3:$C$358,2,FALSE),"NO")</f>
        <v>NO</v>
      </c>
      <c r="J1846" s="5" t="str">
        <f>IFERROR(VLOOKUP(Consulta1[[#This Row],[Pozo]],'Lista Oportunidades'!B:C,2,FALSE),"NO")</f>
        <v>NO</v>
      </c>
      <c r="K1846" s="5">
        <f>IFERROR(VLOOKUP(Consulta1[[#This Row],[Pozo largo]],Controles!B:H,7,FALSE),"NO")</f>
        <v>0</v>
      </c>
      <c r="L1846" s="5">
        <f>IFERROR(VLOOKUP(Consulta1[[#This Row],[Pozo largo]],Controles!B:J,9,FALSE),"NO")</f>
        <v>0</v>
      </c>
    </row>
    <row r="1847" spans="2:12" x14ac:dyDescent="0.35">
      <c r="B1847" s="4" t="s">
        <v>3540</v>
      </c>
      <c r="C1847" s="4" t="s">
        <v>7563</v>
      </c>
      <c r="D1847" s="4" t="s">
        <v>5</v>
      </c>
      <c r="E1847" s="4" t="s">
        <v>12</v>
      </c>
      <c r="F1847" s="4" t="s">
        <v>7</v>
      </c>
      <c r="G1847" s="4" t="s">
        <v>13</v>
      </c>
      <c r="H1847" s="4" t="s">
        <v>84</v>
      </c>
      <c r="I1847" s="5" t="str">
        <f>IFERROR(VLOOKUP(Consulta1[[#This Row],[Pozo largo]],'Lista YPF'!$B$3:$C$358,2,FALSE),"NO")</f>
        <v>NO</v>
      </c>
      <c r="J1847" s="5" t="str">
        <f>IFERROR(VLOOKUP(Consulta1[[#This Row],[Pozo]],'Lista Oportunidades'!B:C,2,FALSE),"NO")</f>
        <v>NO</v>
      </c>
      <c r="K1847" s="5">
        <f>IFERROR(VLOOKUP(Consulta1[[#This Row],[Pozo largo]],Controles!B:H,7,FALSE),"NO")</f>
        <v>6.0280000000000005</v>
      </c>
      <c r="L1847" s="5">
        <f>IFERROR(VLOOKUP(Consulta1[[#This Row],[Pozo largo]],Controles!B:J,9,FALSE),"NO")</f>
        <v>0</v>
      </c>
    </row>
    <row r="1848" spans="2:12" x14ac:dyDescent="0.35">
      <c r="B1848" s="4" t="s">
        <v>3542</v>
      </c>
      <c r="C1848" s="4" t="s">
        <v>7564</v>
      </c>
      <c r="D1848" s="4" t="s">
        <v>5</v>
      </c>
      <c r="E1848" s="4" t="s">
        <v>30</v>
      </c>
      <c r="F1848" s="4" t="s">
        <v>31</v>
      </c>
      <c r="G1848" s="4" t="s">
        <v>32</v>
      </c>
      <c r="H1848" s="4" t="s">
        <v>80</v>
      </c>
      <c r="I1848" s="5" t="str">
        <f>IFERROR(VLOOKUP(Consulta1[[#This Row],[Pozo largo]],'Lista YPF'!$B$3:$C$358,2,FALSE),"NO")</f>
        <v>NO</v>
      </c>
      <c r="J1848" s="5" t="str">
        <f>IFERROR(VLOOKUP(Consulta1[[#This Row],[Pozo]],'Lista Oportunidades'!B:C,2,FALSE),"NO")</f>
        <v>NO</v>
      </c>
      <c r="K1848" s="5">
        <f>IFERROR(VLOOKUP(Consulta1[[#This Row],[Pozo largo]],Controles!B:H,7,FALSE),"NO")</f>
        <v>0</v>
      </c>
      <c r="L1848" s="5">
        <f>IFERROR(VLOOKUP(Consulta1[[#This Row],[Pozo largo]],Controles!B:J,9,FALSE),"NO")</f>
        <v>0</v>
      </c>
    </row>
    <row r="1849" spans="2:12" x14ac:dyDescent="0.35">
      <c r="B1849" s="4" t="s">
        <v>3544</v>
      </c>
      <c r="C1849" s="4" t="s">
        <v>7565</v>
      </c>
      <c r="D1849" s="4" t="s">
        <v>5</v>
      </c>
      <c r="E1849" s="4" t="s">
        <v>30</v>
      </c>
      <c r="F1849" s="4" t="s">
        <v>31</v>
      </c>
      <c r="G1849" s="4" t="s">
        <v>32</v>
      </c>
      <c r="H1849" s="4" t="s">
        <v>185</v>
      </c>
      <c r="I1849" s="5" t="str">
        <f>IFERROR(VLOOKUP(Consulta1[[#This Row],[Pozo largo]],'Lista YPF'!$B$3:$C$358,2,FALSE),"NO")</f>
        <v>NO</v>
      </c>
      <c r="J1849" s="5" t="str">
        <f>IFERROR(VLOOKUP(Consulta1[[#This Row],[Pozo]],'Lista Oportunidades'!B:C,2,FALSE),"NO")</f>
        <v>NO</v>
      </c>
      <c r="K1849" s="5">
        <f>IFERROR(VLOOKUP(Consulta1[[#This Row],[Pozo largo]],Controles!B:H,7,FALSE),"NO")</f>
        <v>0.442</v>
      </c>
      <c r="L1849" s="5">
        <f>IFERROR(VLOOKUP(Consulta1[[#This Row],[Pozo largo]],Controles!B:J,9,FALSE),"NO")</f>
        <v>0</v>
      </c>
    </row>
    <row r="1850" spans="2:12" x14ac:dyDescent="0.35">
      <c r="B1850" s="4" t="s">
        <v>3546</v>
      </c>
      <c r="C1850" s="4" t="s">
        <v>7566</v>
      </c>
      <c r="D1850" s="4" t="s">
        <v>5</v>
      </c>
      <c r="E1850" s="4" t="s">
        <v>24</v>
      </c>
      <c r="F1850" s="4" t="s">
        <v>31</v>
      </c>
      <c r="G1850" s="4" t="s">
        <v>8</v>
      </c>
      <c r="H1850" s="4" t="s">
        <v>185</v>
      </c>
      <c r="I1850" s="5" t="str">
        <f>IFERROR(VLOOKUP(Consulta1[[#This Row],[Pozo largo]],'Lista YPF'!$B$3:$C$358,2,FALSE),"NO")</f>
        <v>NO</v>
      </c>
      <c r="J1850" s="5" t="str">
        <f>IFERROR(VLOOKUP(Consulta1[[#This Row],[Pozo]],'Lista Oportunidades'!B:C,2,FALSE),"NO")</f>
        <v>NO</v>
      </c>
      <c r="K1850" s="5" t="str">
        <f>IFERROR(VLOOKUP(Consulta1[[#This Row],[Pozo largo]],Controles!B:H,7,FALSE),"NO")</f>
        <v>NO</v>
      </c>
      <c r="L1850" s="5" t="str">
        <f>IFERROR(VLOOKUP(Consulta1[[#This Row],[Pozo largo]],Controles!B:J,9,FALSE),"NO")</f>
        <v>NO</v>
      </c>
    </row>
    <row r="1851" spans="2:12" x14ac:dyDescent="0.35">
      <c r="B1851" s="4" t="s">
        <v>3547</v>
      </c>
      <c r="C1851" s="4" t="s">
        <v>7567</v>
      </c>
      <c r="D1851" s="4" t="s">
        <v>5</v>
      </c>
      <c r="E1851" s="4" t="s">
        <v>30</v>
      </c>
      <c r="F1851" s="4" t="s">
        <v>31</v>
      </c>
      <c r="G1851" s="4" t="s">
        <v>32</v>
      </c>
      <c r="H1851" s="4" t="s">
        <v>80</v>
      </c>
      <c r="I1851" s="5" t="str">
        <f>IFERROR(VLOOKUP(Consulta1[[#This Row],[Pozo largo]],'Lista YPF'!$B$3:$C$358,2,FALSE),"NO")</f>
        <v>NO</v>
      </c>
      <c r="J1851" s="5" t="str">
        <f>IFERROR(VLOOKUP(Consulta1[[#This Row],[Pozo]],'Lista Oportunidades'!B:C,2,FALSE),"NO")</f>
        <v>NO</v>
      </c>
      <c r="K1851" s="5" t="str">
        <f>IFERROR(VLOOKUP(Consulta1[[#This Row],[Pozo largo]],Controles!B:H,7,FALSE),"NO")</f>
        <v>NO</v>
      </c>
      <c r="L1851" s="5" t="str">
        <f>IFERROR(VLOOKUP(Consulta1[[#This Row],[Pozo largo]],Controles!B:J,9,FALSE),"NO")</f>
        <v>NO</v>
      </c>
    </row>
    <row r="1852" spans="2:12" x14ac:dyDescent="0.35">
      <c r="B1852" s="4" t="s">
        <v>3548</v>
      </c>
      <c r="C1852" s="4" t="s">
        <v>7568</v>
      </c>
      <c r="D1852" s="4" t="s">
        <v>5</v>
      </c>
      <c r="E1852" s="4" t="s">
        <v>30</v>
      </c>
      <c r="F1852" s="4" t="s">
        <v>31</v>
      </c>
      <c r="G1852" s="4" t="s">
        <v>32</v>
      </c>
      <c r="H1852" s="4" t="s">
        <v>86</v>
      </c>
      <c r="I1852" s="5" t="str">
        <f>IFERROR(VLOOKUP(Consulta1[[#This Row],[Pozo largo]],'Lista YPF'!$B$3:$C$358,2,FALSE),"NO")</f>
        <v>NO</v>
      </c>
      <c r="J1852" s="5" t="str">
        <f>IFERROR(VLOOKUP(Consulta1[[#This Row],[Pozo]],'Lista Oportunidades'!B:C,2,FALSE),"NO")</f>
        <v>NO</v>
      </c>
      <c r="K1852" s="5" t="str">
        <f>IFERROR(VLOOKUP(Consulta1[[#This Row],[Pozo largo]],Controles!B:H,7,FALSE),"NO")</f>
        <v>NO</v>
      </c>
      <c r="L1852" s="5" t="str">
        <f>IFERROR(VLOOKUP(Consulta1[[#This Row],[Pozo largo]],Controles!B:J,9,FALSE),"NO")</f>
        <v>NO</v>
      </c>
    </row>
    <row r="1853" spans="2:12" x14ac:dyDescent="0.35">
      <c r="B1853" s="4" t="s">
        <v>3549</v>
      </c>
      <c r="C1853" s="4" t="s">
        <v>7569</v>
      </c>
      <c r="D1853" s="4" t="s">
        <v>5</v>
      </c>
      <c r="E1853" s="4" t="s">
        <v>30</v>
      </c>
      <c r="F1853" s="4" t="s">
        <v>31</v>
      </c>
      <c r="G1853" s="4" t="s">
        <v>32</v>
      </c>
      <c r="H1853" s="4" t="s">
        <v>91</v>
      </c>
      <c r="I1853" s="5" t="str">
        <f>IFERROR(VLOOKUP(Consulta1[[#This Row],[Pozo largo]],'Lista YPF'!$B$3:$C$358,2,FALSE),"NO")</f>
        <v>NO</v>
      </c>
      <c r="J1853" s="5" t="str">
        <f>IFERROR(VLOOKUP(Consulta1[[#This Row],[Pozo]],'Lista Oportunidades'!B:C,2,FALSE),"NO")</f>
        <v>NO</v>
      </c>
      <c r="K1853" s="5" t="str">
        <f>IFERROR(VLOOKUP(Consulta1[[#This Row],[Pozo largo]],Controles!B:H,7,FALSE),"NO")</f>
        <v>NO</v>
      </c>
      <c r="L1853" s="5" t="str">
        <f>IFERROR(VLOOKUP(Consulta1[[#This Row],[Pozo largo]],Controles!B:J,9,FALSE),"NO")</f>
        <v>NO</v>
      </c>
    </row>
    <row r="1854" spans="2:12" x14ac:dyDescent="0.35">
      <c r="B1854" s="4" t="s">
        <v>3550</v>
      </c>
      <c r="C1854" s="4" t="s">
        <v>7570</v>
      </c>
      <c r="D1854" s="4" t="s">
        <v>5</v>
      </c>
      <c r="E1854" s="4" t="s">
        <v>12</v>
      </c>
      <c r="F1854" s="4" t="s">
        <v>25</v>
      </c>
      <c r="G1854" s="4" t="s">
        <v>13</v>
      </c>
      <c r="H1854" s="4" t="s">
        <v>86</v>
      </c>
      <c r="I1854" s="5" t="str">
        <f>IFERROR(VLOOKUP(Consulta1[[#This Row],[Pozo largo]],'Lista YPF'!$B$3:$C$358,2,FALSE),"NO")</f>
        <v>NO</v>
      </c>
      <c r="J1854" s="5" t="str">
        <f>IFERROR(VLOOKUP(Consulta1[[#This Row],[Pozo]],'Lista Oportunidades'!B:C,2,FALSE),"NO")</f>
        <v>NO</v>
      </c>
      <c r="K1854" s="5">
        <f>IFERROR(VLOOKUP(Consulta1[[#This Row],[Pozo largo]],Controles!B:H,7,FALSE),"NO")</f>
        <v>0.114</v>
      </c>
      <c r="L1854" s="5">
        <f>IFERROR(VLOOKUP(Consulta1[[#This Row],[Pozo largo]],Controles!B:J,9,FALSE),"NO")</f>
        <v>0</v>
      </c>
    </row>
    <row r="1855" spans="2:12" x14ac:dyDescent="0.35">
      <c r="B1855" s="4" t="s">
        <v>3552</v>
      </c>
      <c r="C1855" s="4" t="s">
        <v>7571</v>
      </c>
      <c r="D1855" s="4" t="s">
        <v>5</v>
      </c>
      <c r="E1855" s="4" t="s">
        <v>24</v>
      </c>
      <c r="F1855" s="4" t="s">
        <v>25</v>
      </c>
      <c r="G1855" s="4" t="s">
        <v>8</v>
      </c>
      <c r="H1855" s="4" t="s">
        <v>86</v>
      </c>
      <c r="I1855" s="5" t="str">
        <f>IFERROR(VLOOKUP(Consulta1[[#This Row],[Pozo largo]],'Lista YPF'!$B$3:$C$358,2,FALSE),"NO")</f>
        <v>NO</v>
      </c>
      <c r="J1855" s="5" t="str">
        <f>IFERROR(VLOOKUP(Consulta1[[#This Row],[Pozo]],'Lista Oportunidades'!B:C,2,FALSE),"NO")</f>
        <v>NO</v>
      </c>
      <c r="K1855" s="5">
        <f>IFERROR(VLOOKUP(Consulta1[[#This Row],[Pozo largo]],Controles!B:H,7,FALSE),"NO")</f>
        <v>0.17900000000000002</v>
      </c>
      <c r="L1855" s="5">
        <f>IFERROR(VLOOKUP(Consulta1[[#This Row],[Pozo largo]],Controles!B:J,9,FALSE),"NO")</f>
        <v>0</v>
      </c>
    </row>
    <row r="1856" spans="2:12" x14ac:dyDescent="0.35">
      <c r="B1856" s="4" t="s">
        <v>3554</v>
      </c>
      <c r="C1856" s="4" t="s">
        <v>7572</v>
      </c>
      <c r="D1856" s="4" t="s">
        <v>5</v>
      </c>
      <c r="E1856" s="4" t="s">
        <v>24</v>
      </c>
      <c r="F1856" s="4" t="s">
        <v>7</v>
      </c>
      <c r="G1856" s="4" t="s">
        <v>8</v>
      </c>
      <c r="H1856" s="4" t="s">
        <v>86</v>
      </c>
      <c r="I1856" s="5" t="str">
        <f>IFERROR(VLOOKUP(Consulta1[[#This Row],[Pozo largo]],'Lista YPF'!$B$3:$C$358,2,FALSE),"NO")</f>
        <v>NO</v>
      </c>
      <c r="J1856" s="5" t="str">
        <f>IFERROR(VLOOKUP(Consulta1[[#This Row],[Pozo]],'Lista Oportunidades'!B:C,2,FALSE),"NO")</f>
        <v>NO</v>
      </c>
      <c r="K1856" s="5">
        <f>IFERROR(VLOOKUP(Consulta1[[#This Row],[Pozo largo]],Controles!B:H,7,FALSE),"NO")</f>
        <v>0.32400000000000001</v>
      </c>
      <c r="L1856" s="5">
        <f>IFERROR(VLOOKUP(Consulta1[[#This Row],[Pozo largo]],Controles!B:J,9,FALSE),"NO")</f>
        <v>0</v>
      </c>
    </row>
    <row r="1857" spans="2:12" x14ac:dyDescent="0.35">
      <c r="B1857" s="4" t="s">
        <v>3556</v>
      </c>
      <c r="C1857" s="4" t="s">
        <v>7573</v>
      </c>
      <c r="D1857" s="4" t="s">
        <v>5</v>
      </c>
      <c r="E1857" s="4" t="s">
        <v>24</v>
      </c>
      <c r="F1857" s="4" t="s">
        <v>7</v>
      </c>
      <c r="G1857" s="4" t="s">
        <v>8</v>
      </c>
      <c r="H1857" s="4" t="s">
        <v>86</v>
      </c>
      <c r="I1857" s="5" t="str">
        <f>IFERROR(VLOOKUP(Consulta1[[#This Row],[Pozo largo]],'Lista YPF'!$B$3:$C$358,2,FALSE),"NO")</f>
        <v>NO</v>
      </c>
      <c r="J1857" s="5" t="str">
        <f>IFERROR(VLOOKUP(Consulta1[[#This Row],[Pozo]],'Lista Oportunidades'!B:C,2,FALSE),"NO")</f>
        <v>NO</v>
      </c>
      <c r="K1857" s="5">
        <f>IFERROR(VLOOKUP(Consulta1[[#This Row],[Pozo largo]],Controles!B:H,7,FALSE),"NO")</f>
        <v>0.29899999999999999</v>
      </c>
      <c r="L1857" s="5">
        <f>IFERROR(VLOOKUP(Consulta1[[#This Row],[Pozo largo]],Controles!B:J,9,FALSE),"NO")</f>
        <v>0</v>
      </c>
    </row>
    <row r="1858" spans="2:12" x14ac:dyDescent="0.35">
      <c r="B1858" s="4" t="s">
        <v>3558</v>
      </c>
      <c r="C1858" s="4" t="s">
        <v>7574</v>
      </c>
      <c r="D1858" s="4" t="s">
        <v>5</v>
      </c>
      <c r="E1858" s="4" t="s">
        <v>12</v>
      </c>
      <c r="F1858" s="4" t="s">
        <v>7</v>
      </c>
      <c r="G1858" s="4" t="s">
        <v>13</v>
      </c>
      <c r="H1858" s="4" t="s">
        <v>254</v>
      </c>
      <c r="I1858" s="5" t="str">
        <f>IFERROR(VLOOKUP(Consulta1[[#This Row],[Pozo largo]],'Lista YPF'!$B$3:$C$358,2,FALSE),"NO")</f>
        <v>NO</v>
      </c>
      <c r="J1858" s="5" t="str">
        <f>IFERROR(VLOOKUP(Consulta1[[#This Row],[Pozo]],'Lista Oportunidades'!B:C,2,FALSE),"NO")</f>
        <v>NO</v>
      </c>
      <c r="K1858" s="5">
        <f>IFERROR(VLOOKUP(Consulta1[[#This Row],[Pozo largo]],Controles!B:H,7,FALSE),"NO")</f>
        <v>2.4700000000000002</v>
      </c>
      <c r="L1858" s="5">
        <f>IFERROR(VLOOKUP(Consulta1[[#This Row],[Pozo largo]],Controles!B:J,9,FALSE),"NO")</f>
        <v>0</v>
      </c>
    </row>
    <row r="1859" spans="2:12" x14ac:dyDescent="0.35">
      <c r="B1859" s="4" t="s">
        <v>3560</v>
      </c>
      <c r="C1859" s="4" t="s">
        <v>7575</v>
      </c>
      <c r="D1859" s="4" t="s">
        <v>5</v>
      </c>
      <c r="E1859" s="4" t="s">
        <v>12</v>
      </c>
      <c r="F1859" s="4" t="s">
        <v>7</v>
      </c>
      <c r="G1859" s="4" t="s">
        <v>13</v>
      </c>
      <c r="H1859" s="4" t="s">
        <v>74</v>
      </c>
      <c r="I1859" s="5" t="str">
        <f>IFERROR(VLOOKUP(Consulta1[[#This Row],[Pozo largo]],'Lista YPF'!$B$3:$C$358,2,FALSE),"NO")</f>
        <v>NO</v>
      </c>
      <c r="J1859" s="5" t="str">
        <f>IFERROR(VLOOKUP(Consulta1[[#This Row],[Pozo]],'Lista Oportunidades'!B:C,2,FALSE),"NO")</f>
        <v>NO</v>
      </c>
      <c r="K1859" s="5">
        <f>IFERROR(VLOOKUP(Consulta1[[#This Row],[Pozo largo]],Controles!B:H,7,FALSE),"NO")</f>
        <v>1.6500000000000001</v>
      </c>
      <c r="L1859" s="5">
        <f>IFERROR(VLOOKUP(Consulta1[[#This Row],[Pozo largo]],Controles!B:J,9,FALSE),"NO")</f>
        <v>0</v>
      </c>
    </row>
    <row r="1860" spans="2:12" x14ac:dyDescent="0.35">
      <c r="B1860" s="4" t="s">
        <v>3562</v>
      </c>
      <c r="C1860" s="4" t="s">
        <v>7576</v>
      </c>
      <c r="D1860" s="4" t="s">
        <v>5</v>
      </c>
      <c r="E1860" s="4" t="s">
        <v>12</v>
      </c>
      <c r="F1860" s="4" t="s">
        <v>7</v>
      </c>
      <c r="G1860" s="4" t="s">
        <v>13</v>
      </c>
      <c r="H1860" s="4" t="s">
        <v>91</v>
      </c>
      <c r="I1860" s="5" t="str">
        <f>IFERROR(VLOOKUP(Consulta1[[#This Row],[Pozo largo]],'Lista YPF'!$B$3:$C$358,2,FALSE),"NO")</f>
        <v>NO</v>
      </c>
      <c r="J1860" s="5" t="str">
        <f>IFERROR(VLOOKUP(Consulta1[[#This Row],[Pozo]],'Lista Oportunidades'!B:C,2,FALSE),"NO")</f>
        <v>NO</v>
      </c>
      <c r="K1860" s="5">
        <f>IFERROR(VLOOKUP(Consulta1[[#This Row],[Pozo largo]],Controles!B:H,7,FALSE),"NO")</f>
        <v>0.85</v>
      </c>
      <c r="L1860" s="5">
        <f>IFERROR(VLOOKUP(Consulta1[[#This Row],[Pozo largo]],Controles!B:J,9,FALSE),"NO")</f>
        <v>0</v>
      </c>
    </row>
    <row r="1861" spans="2:12" x14ac:dyDescent="0.35">
      <c r="B1861" s="4" t="s">
        <v>3564</v>
      </c>
      <c r="C1861" s="4" t="s">
        <v>7577</v>
      </c>
      <c r="D1861" s="4" t="s">
        <v>5</v>
      </c>
      <c r="E1861" s="4" t="s">
        <v>12</v>
      </c>
      <c r="F1861" s="4" t="s">
        <v>7</v>
      </c>
      <c r="G1861" s="4" t="s">
        <v>13</v>
      </c>
      <c r="H1861" s="4" t="s">
        <v>86</v>
      </c>
      <c r="I1861" s="5" t="str">
        <f>IFERROR(VLOOKUP(Consulta1[[#This Row],[Pozo largo]],'Lista YPF'!$B$3:$C$358,2,FALSE),"NO")</f>
        <v>NO</v>
      </c>
      <c r="J1861" s="5" t="str">
        <f>IFERROR(VLOOKUP(Consulta1[[#This Row],[Pozo]],'Lista Oportunidades'!B:C,2,FALSE),"NO")</f>
        <v>NO</v>
      </c>
      <c r="K1861" s="5">
        <f>IFERROR(VLOOKUP(Consulta1[[#This Row],[Pozo largo]],Controles!B:H,7,FALSE),"NO")</f>
        <v>0.9</v>
      </c>
      <c r="L1861" s="5">
        <f>IFERROR(VLOOKUP(Consulta1[[#This Row],[Pozo largo]],Controles!B:J,9,FALSE),"NO")</f>
        <v>0</v>
      </c>
    </row>
    <row r="1862" spans="2:12" x14ac:dyDescent="0.35">
      <c r="B1862" s="4" t="s">
        <v>3566</v>
      </c>
      <c r="C1862" s="4" t="s">
        <v>7578</v>
      </c>
      <c r="D1862" s="4" t="s">
        <v>5</v>
      </c>
      <c r="E1862" s="4" t="s">
        <v>12</v>
      </c>
      <c r="F1862" s="4" t="s">
        <v>238</v>
      </c>
      <c r="G1862" s="4" t="s">
        <v>13</v>
      </c>
      <c r="H1862" s="4" t="s">
        <v>9</v>
      </c>
      <c r="I1862" s="5" t="str">
        <f>IFERROR(VLOOKUP(Consulta1[[#This Row],[Pozo largo]],'Lista YPF'!$B$3:$C$358,2,FALSE),"NO")</f>
        <v>NO</v>
      </c>
      <c r="J1862" s="5" t="str">
        <f>IFERROR(VLOOKUP(Consulta1[[#This Row],[Pozo]],'Lista Oportunidades'!B:C,2,FALSE),"NO")</f>
        <v>NO</v>
      </c>
      <c r="K1862" s="5">
        <f>IFERROR(VLOOKUP(Consulta1[[#This Row],[Pozo largo]],Controles!B:H,7,FALSE),"NO")</f>
        <v>0.97500000000000009</v>
      </c>
      <c r="L1862" s="5">
        <f>IFERROR(VLOOKUP(Consulta1[[#This Row],[Pozo largo]],Controles!B:J,9,FALSE),"NO")</f>
        <v>0</v>
      </c>
    </row>
    <row r="1863" spans="2:12" x14ac:dyDescent="0.35">
      <c r="B1863" s="4" t="s">
        <v>3568</v>
      </c>
      <c r="C1863" s="4" t="s">
        <v>7579</v>
      </c>
      <c r="D1863" s="4" t="s">
        <v>5</v>
      </c>
      <c r="E1863" s="4" t="s">
        <v>12</v>
      </c>
      <c r="F1863" s="4" t="s">
        <v>7</v>
      </c>
      <c r="G1863" s="4" t="s">
        <v>13</v>
      </c>
      <c r="H1863" s="4" t="s">
        <v>9</v>
      </c>
      <c r="I1863" s="5" t="str">
        <f>IFERROR(VLOOKUP(Consulta1[[#This Row],[Pozo largo]],'Lista YPF'!$B$3:$C$358,2,FALSE),"NO")</f>
        <v>NO</v>
      </c>
      <c r="J1863" s="5" t="str">
        <f>IFERROR(VLOOKUP(Consulta1[[#This Row],[Pozo]],'Lista Oportunidades'!B:C,2,FALSE),"NO")</f>
        <v>NO</v>
      </c>
      <c r="K1863" s="5">
        <f>IFERROR(VLOOKUP(Consulta1[[#This Row],[Pozo largo]],Controles!B:H,7,FALSE),"NO")</f>
        <v>0.6</v>
      </c>
      <c r="L1863" s="5">
        <f>IFERROR(VLOOKUP(Consulta1[[#This Row],[Pozo largo]],Controles!B:J,9,FALSE),"NO")</f>
        <v>0</v>
      </c>
    </row>
    <row r="1864" spans="2:12" x14ac:dyDescent="0.35">
      <c r="B1864" s="4" t="s">
        <v>3570</v>
      </c>
      <c r="C1864" s="4" t="s">
        <v>5722</v>
      </c>
      <c r="D1864" s="4" t="s">
        <v>5</v>
      </c>
      <c r="E1864" s="4" t="s">
        <v>12</v>
      </c>
      <c r="F1864" s="4" t="s">
        <v>7</v>
      </c>
      <c r="G1864" s="4" t="s">
        <v>13</v>
      </c>
      <c r="H1864" s="4" t="s">
        <v>9</v>
      </c>
      <c r="I1864" s="5" t="str">
        <f>IFERROR(VLOOKUP(Consulta1[[#This Row],[Pozo largo]],'Lista YPF'!$B$3:$C$358,2,FALSE),"NO")</f>
        <v>NO</v>
      </c>
      <c r="J1864" s="5" t="str">
        <f>IFERROR(VLOOKUP(Consulta1[[#This Row],[Pozo]],'Lista Oportunidades'!B:C,2,FALSE),"NO")</f>
        <v>Oportunidad</v>
      </c>
      <c r="K1864" s="5">
        <f>IFERROR(VLOOKUP(Consulta1[[#This Row],[Pozo largo]],Controles!B:H,7,FALSE),"NO")</f>
        <v>0.8</v>
      </c>
      <c r="L1864" s="5">
        <f>IFERROR(VLOOKUP(Consulta1[[#This Row],[Pozo largo]],Controles!B:J,9,FALSE),"NO")</f>
        <v>0</v>
      </c>
    </row>
    <row r="1865" spans="2:12" x14ac:dyDescent="0.35">
      <c r="B1865" s="4" t="s">
        <v>3572</v>
      </c>
      <c r="C1865" s="4" t="s">
        <v>7580</v>
      </c>
      <c r="D1865" s="4" t="s">
        <v>5</v>
      </c>
      <c r="E1865" s="4" t="s">
        <v>12</v>
      </c>
      <c r="F1865" s="4" t="s">
        <v>7</v>
      </c>
      <c r="G1865" s="4" t="s">
        <v>13</v>
      </c>
      <c r="H1865" s="4" t="s">
        <v>9</v>
      </c>
      <c r="I1865" s="5" t="str">
        <f>IFERROR(VLOOKUP(Consulta1[[#This Row],[Pozo largo]],'Lista YPF'!$B$3:$C$358,2,FALSE),"NO")</f>
        <v>NO</v>
      </c>
      <c r="J1865" s="5" t="str">
        <f>IFERROR(VLOOKUP(Consulta1[[#This Row],[Pozo]],'Lista Oportunidades'!B:C,2,FALSE),"NO")</f>
        <v>NO</v>
      </c>
      <c r="K1865" s="5">
        <f>IFERROR(VLOOKUP(Consulta1[[#This Row],[Pozo largo]],Controles!B:H,7,FALSE),"NO")</f>
        <v>1</v>
      </c>
      <c r="L1865" s="5">
        <f>IFERROR(VLOOKUP(Consulta1[[#This Row],[Pozo largo]],Controles!B:J,9,FALSE),"NO")</f>
        <v>0</v>
      </c>
    </row>
    <row r="1866" spans="2:12" x14ac:dyDescent="0.35">
      <c r="B1866" s="4" t="s">
        <v>3574</v>
      </c>
      <c r="C1866" s="4" t="s">
        <v>7581</v>
      </c>
      <c r="D1866" s="4" t="s">
        <v>5</v>
      </c>
      <c r="E1866" s="4" t="s">
        <v>12</v>
      </c>
      <c r="F1866" s="4" t="s">
        <v>7</v>
      </c>
      <c r="G1866" s="4" t="s">
        <v>13</v>
      </c>
      <c r="H1866" s="4" t="s">
        <v>33</v>
      </c>
      <c r="I1866" s="5" t="str">
        <f>IFERROR(VLOOKUP(Consulta1[[#This Row],[Pozo largo]],'Lista YPF'!$B$3:$C$358,2,FALSE),"NO")</f>
        <v>NO</v>
      </c>
      <c r="J1866" s="5" t="str">
        <f>IFERROR(VLOOKUP(Consulta1[[#This Row],[Pozo]],'Lista Oportunidades'!B:C,2,FALSE),"NO")</f>
        <v>NO</v>
      </c>
      <c r="K1866" s="5">
        <f>IFERROR(VLOOKUP(Consulta1[[#This Row],[Pozo largo]],Controles!B:H,7,FALSE),"NO")</f>
        <v>6.6000000000000003E-2</v>
      </c>
      <c r="L1866" s="5">
        <f>IFERROR(VLOOKUP(Consulta1[[#This Row],[Pozo largo]],Controles!B:J,9,FALSE),"NO")</f>
        <v>0</v>
      </c>
    </row>
    <row r="1867" spans="2:12" x14ac:dyDescent="0.35">
      <c r="B1867" s="4" t="s">
        <v>3576</v>
      </c>
      <c r="C1867" s="4" t="s">
        <v>7582</v>
      </c>
      <c r="D1867" s="4" t="s">
        <v>5</v>
      </c>
      <c r="E1867" s="4" t="s">
        <v>12</v>
      </c>
      <c r="F1867" s="4" t="s">
        <v>7</v>
      </c>
      <c r="G1867" s="4" t="s">
        <v>13</v>
      </c>
      <c r="H1867" s="4" t="s">
        <v>80</v>
      </c>
      <c r="I1867" s="5" t="str">
        <f>IFERROR(VLOOKUP(Consulta1[[#This Row],[Pozo largo]],'Lista YPF'!$B$3:$C$358,2,FALSE),"NO")</f>
        <v>NO</v>
      </c>
      <c r="J1867" s="5" t="str">
        <f>IFERROR(VLOOKUP(Consulta1[[#This Row],[Pozo]],'Lista Oportunidades'!B:C,2,FALSE),"NO")</f>
        <v>NO</v>
      </c>
      <c r="K1867" s="5">
        <f>IFERROR(VLOOKUP(Consulta1[[#This Row],[Pozo largo]],Controles!B:H,7,FALSE),"NO")</f>
        <v>0.8</v>
      </c>
      <c r="L1867" s="5">
        <f>IFERROR(VLOOKUP(Consulta1[[#This Row],[Pozo largo]],Controles!B:J,9,FALSE),"NO")</f>
        <v>0</v>
      </c>
    </row>
    <row r="1868" spans="2:12" x14ac:dyDescent="0.35">
      <c r="B1868" s="4" t="s">
        <v>3578</v>
      </c>
      <c r="C1868" s="4" t="s">
        <v>7583</v>
      </c>
      <c r="D1868" s="4" t="s">
        <v>5</v>
      </c>
      <c r="E1868" s="4" t="s">
        <v>30</v>
      </c>
      <c r="F1868" s="4" t="s">
        <v>31</v>
      </c>
      <c r="G1868" s="4" t="s">
        <v>32</v>
      </c>
      <c r="H1868" s="4" t="s">
        <v>21</v>
      </c>
      <c r="I1868" s="5" t="str">
        <f>IFERROR(VLOOKUP(Consulta1[[#This Row],[Pozo largo]],'Lista YPF'!$B$3:$C$358,2,FALSE),"NO")</f>
        <v>NO</v>
      </c>
      <c r="J1868" s="5" t="str">
        <f>IFERROR(VLOOKUP(Consulta1[[#This Row],[Pozo]],'Lista Oportunidades'!B:C,2,FALSE),"NO")</f>
        <v>NO</v>
      </c>
      <c r="K1868" s="5">
        <f>IFERROR(VLOOKUP(Consulta1[[#This Row],[Pozo largo]],Controles!B:H,7,FALSE),"NO")</f>
        <v>0.14800000000000002</v>
      </c>
      <c r="L1868" s="5">
        <f>IFERROR(VLOOKUP(Consulta1[[#This Row],[Pozo largo]],Controles!B:J,9,FALSE),"NO")</f>
        <v>0</v>
      </c>
    </row>
    <row r="1869" spans="2:12" x14ac:dyDescent="0.35">
      <c r="B1869" s="4" t="s">
        <v>3580</v>
      </c>
      <c r="C1869" s="4" t="s">
        <v>7584</v>
      </c>
      <c r="D1869" s="4" t="s">
        <v>5</v>
      </c>
      <c r="E1869" s="4" t="s">
        <v>12</v>
      </c>
      <c r="F1869" s="4" t="s">
        <v>28</v>
      </c>
      <c r="G1869" s="4" t="s">
        <v>13</v>
      </c>
      <c r="H1869" s="4" t="s">
        <v>185</v>
      </c>
      <c r="I1869" s="5" t="str">
        <f>IFERROR(VLOOKUP(Consulta1[[#This Row],[Pozo largo]],'Lista YPF'!$B$3:$C$358,2,FALSE),"NO")</f>
        <v>NO</v>
      </c>
      <c r="J1869" s="5" t="str">
        <f>IFERROR(VLOOKUP(Consulta1[[#This Row],[Pozo]],'Lista Oportunidades'!B:C,2,FALSE),"NO")</f>
        <v>NO</v>
      </c>
      <c r="K1869" s="5">
        <f>IFERROR(VLOOKUP(Consulta1[[#This Row],[Pozo largo]],Controles!B:H,7,FALSE),"NO")</f>
        <v>0</v>
      </c>
      <c r="L1869" s="5">
        <f>IFERROR(VLOOKUP(Consulta1[[#This Row],[Pozo largo]],Controles!B:J,9,FALSE),"NO")</f>
        <v>0</v>
      </c>
    </row>
    <row r="1870" spans="2:12" x14ac:dyDescent="0.35">
      <c r="B1870" s="4" t="s">
        <v>3582</v>
      </c>
      <c r="C1870" s="4" t="s">
        <v>7585</v>
      </c>
      <c r="D1870" s="4" t="s">
        <v>5</v>
      </c>
      <c r="E1870" s="4" t="s">
        <v>12</v>
      </c>
      <c r="F1870" s="4" t="s">
        <v>7</v>
      </c>
      <c r="G1870" s="4" t="s">
        <v>13</v>
      </c>
      <c r="H1870" s="4" t="s">
        <v>185</v>
      </c>
      <c r="I1870" s="5" t="str">
        <f>IFERROR(VLOOKUP(Consulta1[[#This Row],[Pozo largo]],'Lista YPF'!$B$3:$C$358,2,FALSE),"NO")</f>
        <v>NO</v>
      </c>
      <c r="J1870" s="5" t="str">
        <f>IFERROR(VLOOKUP(Consulta1[[#This Row],[Pozo]],'Lista Oportunidades'!B:C,2,FALSE),"NO")</f>
        <v>NO</v>
      </c>
      <c r="K1870" s="5">
        <f>IFERROR(VLOOKUP(Consulta1[[#This Row],[Pozo largo]],Controles!B:H,7,FALSE),"NO")</f>
        <v>1.05</v>
      </c>
      <c r="L1870" s="5">
        <f>IFERROR(VLOOKUP(Consulta1[[#This Row],[Pozo largo]],Controles!B:J,9,FALSE),"NO")</f>
        <v>0</v>
      </c>
    </row>
    <row r="1871" spans="2:12" x14ac:dyDescent="0.35">
      <c r="B1871" s="4" t="s">
        <v>3584</v>
      </c>
      <c r="C1871" s="4" t="s">
        <v>7586</v>
      </c>
      <c r="D1871" s="4" t="s">
        <v>5</v>
      </c>
      <c r="E1871" s="4" t="s">
        <v>12</v>
      </c>
      <c r="F1871" s="4" t="s">
        <v>7</v>
      </c>
      <c r="G1871" s="4" t="s">
        <v>13</v>
      </c>
      <c r="H1871" s="4" t="s">
        <v>9</v>
      </c>
      <c r="I1871" s="5" t="str">
        <f>IFERROR(VLOOKUP(Consulta1[[#This Row],[Pozo largo]],'Lista YPF'!$B$3:$C$358,2,FALSE),"NO")</f>
        <v>NO</v>
      </c>
      <c r="J1871" s="5" t="str">
        <f>IFERROR(VLOOKUP(Consulta1[[#This Row],[Pozo]],'Lista Oportunidades'!B:C,2,FALSE),"NO")</f>
        <v>NO</v>
      </c>
      <c r="K1871" s="5">
        <f>IFERROR(VLOOKUP(Consulta1[[#This Row],[Pozo largo]],Controles!B:H,7,FALSE),"NO")</f>
        <v>0.42</v>
      </c>
      <c r="L1871" s="5">
        <f>IFERROR(VLOOKUP(Consulta1[[#This Row],[Pozo largo]],Controles!B:J,9,FALSE),"NO")</f>
        <v>0</v>
      </c>
    </row>
    <row r="1872" spans="2:12" x14ac:dyDescent="0.35">
      <c r="B1872" s="4" t="s">
        <v>3586</v>
      </c>
      <c r="C1872" s="4" t="s">
        <v>7587</v>
      </c>
      <c r="D1872" s="4" t="s">
        <v>5</v>
      </c>
      <c r="E1872" s="4" t="s">
        <v>24</v>
      </c>
      <c r="F1872" s="4" t="s">
        <v>7</v>
      </c>
      <c r="G1872" s="4" t="s">
        <v>8</v>
      </c>
      <c r="H1872" s="4" t="s">
        <v>9</v>
      </c>
      <c r="I1872" s="5" t="str">
        <f>IFERROR(VLOOKUP(Consulta1[[#This Row],[Pozo largo]],'Lista YPF'!$B$3:$C$358,2,FALSE),"NO")</f>
        <v>NO</v>
      </c>
      <c r="J1872" s="5" t="str">
        <f>IFERROR(VLOOKUP(Consulta1[[#This Row],[Pozo]],'Lista Oportunidades'!B:C,2,FALSE),"NO")</f>
        <v>NO</v>
      </c>
      <c r="K1872" s="5">
        <f>IFERROR(VLOOKUP(Consulta1[[#This Row],[Pozo largo]],Controles!B:H,7,FALSE),"NO")</f>
        <v>0.8</v>
      </c>
      <c r="L1872" s="5">
        <f>IFERROR(VLOOKUP(Consulta1[[#This Row],[Pozo largo]],Controles!B:J,9,FALSE),"NO")</f>
        <v>0</v>
      </c>
    </row>
    <row r="1873" spans="2:12" x14ac:dyDescent="0.35">
      <c r="B1873" s="4" t="s">
        <v>3588</v>
      </c>
      <c r="C1873" s="4" t="s">
        <v>7588</v>
      </c>
      <c r="D1873" s="4" t="s">
        <v>5</v>
      </c>
      <c r="E1873" s="4" t="s">
        <v>12</v>
      </c>
      <c r="F1873" s="4" t="s">
        <v>7</v>
      </c>
      <c r="G1873" s="4" t="s">
        <v>13</v>
      </c>
      <c r="H1873" s="4" t="s">
        <v>86</v>
      </c>
      <c r="I1873" s="5" t="str">
        <f>IFERROR(VLOOKUP(Consulta1[[#This Row],[Pozo largo]],'Lista YPF'!$B$3:$C$358,2,FALSE),"NO")</f>
        <v>NO</v>
      </c>
      <c r="J1873" s="5" t="str">
        <f>IFERROR(VLOOKUP(Consulta1[[#This Row],[Pozo]],'Lista Oportunidades'!B:C,2,FALSE),"NO")</f>
        <v>NO</v>
      </c>
      <c r="K1873" s="5">
        <f>IFERROR(VLOOKUP(Consulta1[[#This Row],[Pozo largo]],Controles!B:H,7,FALSE),"NO")</f>
        <v>1.1400000000000001</v>
      </c>
      <c r="L1873" s="5">
        <f>IFERROR(VLOOKUP(Consulta1[[#This Row],[Pozo largo]],Controles!B:J,9,FALSE),"NO")</f>
        <v>0</v>
      </c>
    </row>
    <row r="1874" spans="2:12" x14ac:dyDescent="0.35">
      <c r="B1874" s="4" t="s">
        <v>3590</v>
      </c>
      <c r="C1874" s="4" t="s">
        <v>7589</v>
      </c>
      <c r="D1874" s="4" t="s">
        <v>5</v>
      </c>
      <c r="E1874" s="4" t="s">
        <v>12</v>
      </c>
      <c r="F1874" s="4" t="s">
        <v>238</v>
      </c>
      <c r="G1874" s="4" t="s">
        <v>13</v>
      </c>
      <c r="H1874" s="4" t="s">
        <v>21</v>
      </c>
      <c r="I1874" s="5" t="str">
        <f>IFERROR(VLOOKUP(Consulta1[[#This Row],[Pozo largo]],'Lista YPF'!$B$3:$C$358,2,FALSE),"NO")</f>
        <v>NO</v>
      </c>
      <c r="J1874" s="5" t="str">
        <f>IFERROR(VLOOKUP(Consulta1[[#This Row],[Pozo]],'Lista Oportunidades'!B:C,2,FALSE),"NO")</f>
        <v>NO</v>
      </c>
      <c r="K1874" s="5">
        <f>IFERROR(VLOOKUP(Consulta1[[#This Row],[Pozo largo]],Controles!B:H,7,FALSE),"NO")</f>
        <v>1.5270000000000001</v>
      </c>
      <c r="L1874" s="5">
        <f>IFERROR(VLOOKUP(Consulta1[[#This Row],[Pozo largo]],Controles!B:J,9,FALSE),"NO")</f>
        <v>0</v>
      </c>
    </row>
    <row r="1875" spans="2:12" x14ac:dyDescent="0.35">
      <c r="B1875" s="4" t="s">
        <v>3592</v>
      </c>
      <c r="C1875" s="4" t="s">
        <v>7590</v>
      </c>
      <c r="D1875" s="4" t="s">
        <v>5</v>
      </c>
      <c r="E1875" s="4" t="s">
        <v>57</v>
      </c>
      <c r="F1875" s="4" t="s">
        <v>7</v>
      </c>
      <c r="G1875" s="4" t="s">
        <v>5718</v>
      </c>
      <c r="H1875" s="4" t="s">
        <v>21</v>
      </c>
      <c r="I1875" s="5" t="str">
        <f>IFERROR(VLOOKUP(Consulta1[[#This Row],[Pozo largo]],'Lista YPF'!$B$3:$C$358,2,FALSE),"NO")</f>
        <v>En lista de Abandono</v>
      </c>
      <c r="J1875" s="5" t="str">
        <f>IFERROR(VLOOKUP(Consulta1[[#This Row],[Pozo]],'Lista Oportunidades'!B:C,2,FALSE),"NO")</f>
        <v>NO</v>
      </c>
      <c r="K1875" s="5">
        <f>IFERROR(VLOOKUP(Consulta1[[#This Row],[Pozo largo]],Controles!B:H,7,FALSE),"NO")</f>
        <v>0.9</v>
      </c>
      <c r="L1875" s="5">
        <f>IFERROR(VLOOKUP(Consulta1[[#This Row],[Pozo largo]],Controles!B:J,9,FALSE),"NO")</f>
        <v>0</v>
      </c>
    </row>
    <row r="1876" spans="2:12" x14ac:dyDescent="0.35">
      <c r="B1876" s="4" t="s">
        <v>3594</v>
      </c>
      <c r="C1876" s="4" t="s">
        <v>7591</v>
      </c>
      <c r="D1876" s="4" t="s">
        <v>5</v>
      </c>
      <c r="E1876" s="4" t="s">
        <v>12</v>
      </c>
      <c r="F1876" s="4" t="s">
        <v>7</v>
      </c>
      <c r="G1876" s="4" t="s">
        <v>13</v>
      </c>
      <c r="H1876" s="4" t="s">
        <v>185</v>
      </c>
      <c r="I1876" s="5" t="str">
        <f>IFERROR(VLOOKUP(Consulta1[[#This Row],[Pozo largo]],'Lista YPF'!$B$3:$C$358,2,FALSE),"NO")</f>
        <v>NO</v>
      </c>
      <c r="J1876" s="5" t="str">
        <f>IFERROR(VLOOKUP(Consulta1[[#This Row],[Pozo]],'Lista Oportunidades'!B:C,2,FALSE),"NO")</f>
        <v>NO</v>
      </c>
      <c r="K1876" s="5">
        <f>IFERROR(VLOOKUP(Consulta1[[#This Row],[Pozo largo]],Controles!B:H,7,FALSE),"NO")</f>
        <v>0.45</v>
      </c>
      <c r="L1876" s="5">
        <f>IFERROR(VLOOKUP(Consulta1[[#This Row],[Pozo largo]],Controles!B:J,9,FALSE),"NO")</f>
        <v>0</v>
      </c>
    </row>
    <row r="1877" spans="2:12" x14ac:dyDescent="0.35">
      <c r="B1877" s="4" t="s">
        <v>3596</v>
      </c>
      <c r="C1877" s="4" t="s">
        <v>7592</v>
      </c>
      <c r="D1877" s="4" t="s">
        <v>5</v>
      </c>
      <c r="E1877" s="4" t="s">
        <v>12</v>
      </c>
      <c r="F1877" s="4" t="s">
        <v>7</v>
      </c>
      <c r="G1877" s="4" t="s">
        <v>13</v>
      </c>
      <c r="H1877" s="4" t="s">
        <v>254</v>
      </c>
      <c r="I1877" s="5" t="str">
        <f>IFERROR(VLOOKUP(Consulta1[[#This Row],[Pozo largo]],'Lista YPF'!$B$3:$C$358,2,FALSE),"NO")</f>
        <v>NO</v>
      </c>
      <c r="J1877" s="5" t="str">
        <f>IFERROR(VLOOKUP(Consulta1[[#This Row],[Pozo]],'Lista Oportunidades'!B:C,2,FALSE),"NO")</f>
        <v>NO</v>
      </c>
      <c r="K1877" s="5">
        <f>IFERROR(VLOOKUP(Consulta1[[#This Row],[Pozo largo]],Controles!B:H,7,FALSE),"NO")</f>
        <v>1.54</v>
      </c>
      <c r="L1877" s="5">
        <f>IFERROR(VLOOKUP(Consulta1[[#This Row],[Pozo largo]],Controles!B:J,9,FALSE),"NO")</f>
        <v>0</v>
      </c>
    </row>
    <row r="1878" spans="2:12" x14ac:dyDescent="0.35">
      <c r="B1878" s="4" t="s">
        <v>3598</v>
      </c>
      <c r="C1878" s="4" t="s">
        <v>7593</v>
      </c>
      <c r="D1878" s="4" t="s">
        <v>5</v>
      </c>
      <c r="E1878" s="4" t="s">
        <v>57</v>
      </c>
      <c r="F1878" s="4" t="s">
        <v>7</v>
      </c>
      <c r="G1878" s="4" t="s">
        <v>5718</v>
      </c>
      <c r="H1878" s="4" t="s">
        <v>33</v>
      </c>
      <c r="I1878" s="5" t="str">
        <f>IFERROR(VLOOKUP(Consulta1[[#This Row],[Pozo largo]],'Lista YPF'!$B$3:$C$358,2,FALSE),"NO")</f>
        <v>En lista de Abandono</v>
      </c>
      <c r="J1878" s="5" t="str">
        <f>IFERROR(VLOOKUP(Consulta1[[#This Row],[Pozo]],'Lista Oportunidades'!B:C,2,FALSE),"NO")</f>
        <v>NO</v>
      </c>
      <c r="K1878" s="5">
        <f>IFERROR(VLOOKUP(Consulta1[[#This Row],[Pozo largo]],Controles!B:H,7,FALSE),"NO")</f>
        <v>0.47500000000000003</v>
      </c>
      <c r="L1878" s="5">
        <f>IFERROR(VLOOKUP(Consulta1[[#This Row],[Pozo largo]],Controles!B:J,9,FALSE),"NO")</f>
        <v>0</v>
      </c>
    </row>
    <row r="1879" spans="2:12" x14ac:dyDescent="0.35">
      <c r="B1879" s="4" t="s">
        <v>3600</v>
      </c>
      <c r="C1879" s="4" t="s">
        <v>7594</v>
      </c>
      <c r="D1879" s="4" t="s">
        <v>5</v>
      </c>
      <c r="E1879" s="4" t="s">
        <v>57</v>
      </c>
      <c r="F1879" s="4" t="s">
        <v>7</v>
      </c>
      <c r="G1879" s="4" t="s">
        <v>5718</v>
      </c>
      <c r="H1879" s="4" t="s">
        <v>33</v>
      </c>
      <c r="I1879" s="5" t="str">
        <f>IFERROR(VLOOKUP(Consulta1[[#This Row],[Pozo largo]],'Lista YPF'!$B$3:$C$358,2,FALSE),"NO")</f>
        <v>En lista de Abandono</v>
      </c>
      <c r="J1879" s="5" t="str">
        <f>IFERROR(VLOOKUP(Consulta1[[#This Row],[Pozo]],'Lista Oportunidades'!B:C,2,FALSE),"NO")</f>
        <v>NO</v>
      </c>
      <c r="K1879" s="5">
        <f>IFERROR(VLOOKUP(Consulta1[[#This Row],[Pozo largo]],Controles!B:H,7,FALSE),"NO")</f>
        <v>0.58800000000000008</v>
      </c>
      <c r="L1879" s="5">
        <f>IFERROR(VLOOKUP(Consulta1[[#This Row],[Pozo largo]],Controles!B:J,9,FALSE),"NO")</f>
        <v>0</v>
      </c>
    </row>
    <row r="1880" spans="2:12" x14ac:dyDescent="0.35">
      <c r="B1880" s="4" t="s">
        <v>3602</v>
      </c>
      <c r="C1880" s="4" t="s">
        <v>7595</v>
      </c>
      <c r="D1880" s="4" t="s">
        <v>5</v>
      </c>
      <c r="E1880" s="4" t="s">
        <v>12</v>
      </c>
      <c r="F1880" s="4" t="s">
        <v>7</v>
      </c>
      <c r="G1880" s="4" t="s">
        <v>13</v>
      </c>
      <c r="H1880" s="4" t="s">
        <v>149</v>
      </c>
      <c r="I1880" s="5" t="str">
        <f>IFERROR(VLOOKUP(Consulta1[[#This Row],[Pozo largo]],'Lista YPF'!$B$3:$C$358,2,FALSE),"NO")</f>
        <v>NO</v>
      </c>
      <c r="J1880" s="5" t="str">
        <f>IFERROR(VLOOKUP(Consulta1[[#This Row],[Pozo]],'Lista Oportunidades'!B:C,2,FALSE),"NO")</f>
        <v>NO</v>
      </c>
      <c r="K1880" s="5">
        <f>IFERROR(VLOOKUP(Consulta1[[#This Row],[Pozo largo]],Controles!B:H,7,FALSE),"NO")</f>
        <v>0.70000000000000007</v>
      </c>
      <c r="L1880" s="5">
        <f>IFERROR(VLOOKUP(Consulta1[[#This Row],[Pozo largo]],Controles!B:J,9,FALSE),"NO")</f>
        <v>0</v>
      </c>
    </row>
    <row r="1881" spans="2:12" x14ac:dyDescent="0.35">
      <c r="B1881" s="4" t="s">
        <v>3604</v>
      </c>
      <c r="C1881" s="4" t="s">
        <v>7596</v>
      </c>
      <c r="D1881" s="4" t="s">
        <v>5</v>
      </c>
      <c r="E1881" s="4" t="s">
        <v>30</v>
      </c>
      <c r="F1881" s="4" t="s">
        <v>31</v>
      </c>
      <c r="G1881" s="4" t="s">
        <v>32</v>
      </c>
      <c r="H1881" s="4" t="s">
        <v>141</v>
      </c>
      <c r="I1881" s="5" t="str">
        <f>IFERROR(VLOOKUP(Consulta1[[#This Row],[Pozo largo]],'Lista YPF'!$B$3:$C$358,2,FALSE),"NO")</f>
        <v>NO</v>
      </c>
      <c r="J1881" s="5" t="str">
        <f>IFERROR(VLOOKUP(Consulta1[[#This Row],[Pozo]],'Lista Oportunidades'!B:C,2,FALSE),"NO")</f>
        <v>NO</v>
      </c>
      <c r="K1881" s="5" t="str">
        <f>IFERROR(VLOOKUP(Consulta1[[#This Row],[Pozo largo]],Controles!B:H,7,FALSE),"NO")</f>
        <v>NO</v>
      </c>
      <c r="L1881" s="5" t="str">
        <f>IFERROR(VLOOKUP(Consulta1[[#This Row],[Pozo largo]],Controles!B:J,9,FALSE),"NO")</f>
        <v>NO</v>
      </c>
    </row>
    <row r="1882" spans="2:12" x14ac:dyDescent="0.35">
      <c r="B1882" s="4" t="s">
        <v>3605</v>
      </c>
      <c r="C1882" s="4" t="s">
        <v>7597</v>
      </c>
      <c r="D1882" s="4" t="s">
        <v>5</v>
      </c>
      <c r="E1882" s="4" t="s">
        <v>12</v>
      </c>
      <c r="F1882" s="4" t="s">
        <v>7</v>
      </c>
      <c r="G1882" s="4" t="s">
        <v>13</v>
      </c>
      <c r="H1882" s="4" t="s">
        <v>86</v>
      </c>
      <c r="I1882" s="5" t="str">
        <f>IFERROR(VLOOKUP(Consulta1[[#This Row],[Pozo largo]],'Lista YPF'!$B$3:$C$358,2,FALSE),"NO")</f>
        <v>NO</v>
      </c>
      <c r="J1882" s="5" t="str">
        <f>IFERROR(VLOOKUP(Consulta1[[#This Row],[Pozo]],'Lista Oportunidades'!B:C,2,FALSE),"NO")</f>
        <v>NO</v>
      </c>
      <c r="K1882" s="5">
        <f>IFERROR(VLOOKUP(Consulta1[[#This Row],[Pozo largo]],Controles!B:H,7,FALSE),"NO")</f>
        <v>1.4080000000000001</v>
      </c>
      <c r="L1882" s="5">
        <f>IFERROR(VLOOKUP(Consulta1[[#This Row],[Pozo largo]],Controles!B:J,9,FALSE),"NO")</f>
        <v>0</v>
      </c>
    </row>
    <row r="1883" spans="2:12" x14ac:dyDescent="0.35">
      <c r="B1883" s="4" t="s">
        <v>3607</v>
      </c>
      <c r="C1883" s="4" t="s">
        <v>7598</v>
      </c>
      <c r="D1883" s="4" t="s">
        <v>5</v>
      </c>
      <c r="E1883" s="4" t="s">
        <v>12</v>
      </c>
      <c r="F1883" s="4" t="s">
        <v>7</v>
      </c>
      <c r="G1883" s="4" t="s">
        <v>13</v>
      </c>
      <c r="H1883" s="4" t="s">
        <v>86</v>
      </c>
      <c r="I1883" s="5" t="str">
        <f>IFERROR(VLOOKUP(Consulta1[[#This Row],[Pozo largo]],'Lista YPF'!$B$3:$C$358,2,FALSE),"NO")</f>
        <v>NO</v>
      </c>
      <c r="J1883" s="5" t="str">
        <f>IFERROR(VLOOKUP(Consulta1[[#This Row],[Pozo]],'Lista Oportunidades'!B:C,2,FALSE),"NO")</f>
        <v>NO</v>
      </c>
      <c r="K1883" s="5">
        <f>IFERROR(VLOOKUP(Consulta1[[#This Row],[Pozo largo]],Controles!B:H,7,FALSE),"NO")</f>
        <v>0.75</v>
      </c>
      <c r="L1883" s="5">
        <f>IFERROR(VLOOKUP(Consulta1[[#This Row],[Pozo largo]],Controles!B:J,9,FALSE),"NO")</f>
        <v>0</v>
      </c>
    </row>
    <row r="1884" spans="2:12" x14ac:dyDescent="0.35">
      <c r="B1884" s="4" t="s">
        <v>3609</v>
      </c>
      <c r="C1884" s="4" t="s">
        <v>7599</v>
      </c>
      <c r="D1884" s="4" t="s">
        <v>5</v>
      </c>
      <c r="E1884" s="4" t="s">
        <v>12</v>
      </c>
      <c r="F1884" s="4" t="s">
        <v>25</v>
      </c>
      <c r="G1884" s="4" t="s">
        <v>13</v>
      </c>
      <c r="H1884" s="4" t="s">
        <v>86</v>
      </c>
      <c r="I1884" s="5" t="str">
        <f>IFERROR(VLOOKUP(Consulta1[[#This Row],[Pozo largo]],'Lista YPF'!$B$3:$C$358,2,FALSE),"NO")</f>
        <v>NO</v>
      </c>
      <c r="J1884" s="5" t="str">
        <f>IFERROR(VLOOKUP(Consulta1[[#This Row],[Pozo]],'Lista Oportunidades'!B:C,2,FALSE),"NO")</f>
        <v>NO</v>
      </c>
      <c r="K1884" s="5">
        <f>IFERROR(VLOOKUP(Consulta1[[#This Row],[Pozo largo]],Controles!B:H,7,FALSE),"NO")</f>
        <v>0.19</v>
      </c>
      <c r="L1884" s="5">
        <f>IFERROR(VLOOKUP(Consulta1[[#This Row],[Pozo largo]],Controles!B:J,9,FALSE),"NO")</f>
        <v>0</v>
      </c>
    </row>
    <row r="1885" spans="2:12" x14ac:dyDescent="0.35">
      <c r="B1885" s="4" t="s">
        <v>3611</v>
      </c>
      <c r="C1885" s="4" t="s">
        <v>7600</v>
      </c>
      <c r="D1885" s="4" t="s">
        <v>5</v>
      </c>
      <c r="E1885" s="4" t="s">
        <v>12</v>
      </c>
      <c r="F1885" s="4" t="s">
        <v>28</v>
      </c>
      <c r="G1885" s="4" t="s">
        <v>13</v>
      </c>
      <c r="H1885" s="4" t="s">
        <v>185</v>
      </c>
      <c r="I1885" s="5" t="str">
        <f>IFERROR(VLOOKUP(Consulta1[[#This Row],[Pozo largo]],'Lista YPF'!$B$3:$C$358,2,FALSE),"NO")</f>
        <v>NO</v>
      </c>
      <c r="J1885" s="5" t="str">
        <f>IFERROR(VLOOKUP(Consulta1[[#This Row],[Pozo]],'Lista Oportunidades'!B:C,2,FALSE),"NO")</f>
        <v>NO</v>
      </c>
      <c r="K1885" s="5">
        <f>IFERROR(VLOOKUP(Consulta1[[#This Row],[Pozo largo]],Controles!B:H,7,FALSE),"NO")</f>
        <v>0</v>
      </c>
      <c r="L1885" s="5">
        <f>IFERROR(VLOOKUP(Consulta1[[#This Row],[Pozo largo]],Controles!B:J,9,FALSE),"NO")</f>
        <v>0</v>
      </c>
    </row>
    <row r="1886" spans="2:12" x14ac:dyDescent="0.35">
      <c r="B1886" s="4" t="s">
        <v>3613</v>
      </c>
      <c r="C1886" s="4" t="s">
        <v>7601</v>
      </c>
      <c r="D1886" s="4" t="s">
        <v>5</v>
      </c>
      <c r="E1886" s="4" t="s">
        <v>12</v>
      </c>
      <c r="F1886" s="4" t="s">
        <v>7</v>
      </c>
      <c r="G1886" s="4" t="s">
        <v>13</v>
      </c>
      <c r="H1886" s="4" t="s">
        <v>9</v>
      </c>
      <c r="I1886" s="5" t="str">
        <f>IFERROR(VLOOKUP(Consulta1[[#This Row],[Pozo largo]],'Lista YPF'!$B$3:$C$358,2,FALSE),"NO")</f>
        <v>NO</v>
      </c>
      <c r="J1886" s="5" t="str">
        <f>IFERROR(VLOOKUP(Consulta1[[#This Row],[Pozo]],'Lista Oportunidades'!B:C,2,FALSE),"NO")</f>
        <v>NO</v>
      </c>
      <c r="K1886" s="5">
        <f>IFERROR(VLOOKUP(Consulta1[[#This Row],[Pozo largo]],Controles!B:H,7,FALSE),"NO")</f>
        <v>1.4000000000000001</v>
      </c>
      <c r="L1886" s="5">
        <f>IFERROR(VLOOKUP(Consulta1[[#This Row],[Pozo largo]],Controles!B:J,9,FALSE),"NO")</f>
        <v>0</v>
      </c>
    </row>
    <row r="1887" spans="2:12" x14ac:dyDescent="0.35">
      <c r="B1887" s="4" t="s">
        <v>3615</v>
      </c>
      <c r="C1887" s="4" t="s">
        <v>7602</v>
      </c>
      <c r="D1887" s="4" t="s">
        <v>5</v>
      </c>
      <c r="E1887" s="4" t="s">
        <v>12</v>
      </c>
      <c r="F1887" s="4" t="s">
        <v>7</v>
      </c>
      <c r="G1887" s="4" t="s">
        <v>13</v>
      </c>
      <c r="H1887" s="4" t="s">
        <v>9</v>
      </c>
      <c r="I1887" s="5" t="str">
        <f>IFERROR(VLOOKUP(Consulta1[[#This Row],[Pozo largo]],'Lista YPF'!$B$3:$C$358,2,FALSE),"NO")</f>
        <v>NO</v>
      </c>
      <c r="J1887" s="5" t="str">
        <f>IFERROR(VLOOKUP(Consulta1[[#This Row],[Pozo]],'Lista Oportunidades'!B:C,2,FALSE),"NO")</f>
        <v>NO</v>
      </c>
      <c r="K1887" s="5">
        <f>IFERROR(VLOOKUP(Consulta1[[#This Row],[Pozo largo]],Controles!B:H,7,FALSE),"NO")</f>
        <v>0.6</v>
      </c>
      <c r="L1887" s="5">
        <f>IFERROR(VLOOKUP(Consulta1[[#This Row],[Pozo largo]],Controles!B:J,9,FALSE),"NO")</f>
        <v>0</v>
      </c>
    </row>
    <row r="1888" spans="2:12" x14ac:dyDescent="0.35">
      <c r="B1888" s="4" t="s">
        <v>3617</v>
      </c>
      <c r="C1888" s="4" t="s">
        <v>7603</v>
      </c>
      <c r="D1888" s="4" t="s">
        <v>5</v>
      </c>
      <c r="E1888" s="4" t="s">
        <v>12</v>
      </c>
      <c r="F1888" s="4" t="s">
        <v>7</v>
      </c>
      <c r="G1888" s="4" t="s">
        <v>13</v>
      </c>
      <c r="H1888" s="4" t="s">
        <v>185</v>
      </c>
      <c r="I1888" s="5" t="str">
        <f>IFERROR(VLOOKUP(Consulta1[[#This Row],[Pozo largo]],'Lista YPF'!$B$3:$C$358,2,FALSE),"NO")</f>
        <v>NO</v>
      </c>
      <c r="J1888" s="5" t="str">
        <f>IFERROR(VLOOKUP(Consulta1[[#This Row],[Pozo]],'Lista Oportunidades'!B:C,2,FALSE),"NO")</f>
        <v>NO</v>
      </c>
      <c r="K1888" s="5">
        <f>IFERROR(VLOOKUP(Consulta1[[#This Row],[Pozo largo]],Controles!B:H,7,FALSE),"NO")</f>
        <v>0.93600000000000005</v>
      </c>
      <c r="L1888" s="5">
        <f>IFERROR(VLOOKUP(Consulta1[[#This Row],[Pozo largo]],Controles!B:J,9,FALSE),"NO")</f>
        <v>0</v>
      </c>
    </row>
    <row r="1889" spans="2:12" x14ac:dyDescent="0.35">
      <c r="B1889" s="4" t="s">
        <v>3619</v>
      </c>
      <c r="C1889" s="4" t="s">
        <v>7604</v>
      </c>
      <c r="D1889" s="4" t="s">
        <v>5</v>
      </c>
      <c r="E1889" s="4" t="s">
        <v>12</v>
      </c>
      <c r="F1889" s="4" t="s">
        <v>7</v>
      </c>
      <c r="G1889" s="4" t="s">
        <v>13</v>
      </c>
      <c r="H1889" s="4" t="s">
        <v>9</v>
      </c>
      <c r="I1889" s="5" t="str">
        <f>IFERROR(VLOOKUP(Consulta1[[#This Row],[Pozo largo]],'Lista YPF'!$B$3:$C$358,2,FALSE),"NO")</f>
        <v>NO</v>
      </c>
      <c r="J1889" s="5" t="str">
        <f>IFERROR(VLOOKUP(Consulta1[[#This Row],[Pozo]],'Lista Oportunidades'!B:C,2,FALSE),"NO")</f>
        <v>NO</v>
      </c>
      <c r="K1889" s="5">
        <f>IFERROR(VLOOKUP(Consulta1[[#This Row],[Pozo largo]],Controles!B:H,7,FALSE),"NO")</f>
        <v>2.25</v>
      </c>
      <c r="L1889" s="5">
        <f>IFERROR(VLOOKUP(Consulta1[[#This Row],[Pozo largo]],Controles!B:J,9,FALSE),"NO")</f>
        <v>0</v>
      </c>
    </row>
    <row r="1890" spans="2:12" x14ac:dyDescent="0.35">
      <c r="B1890" s="4" t="s">
        <v>3621</v>
      </c>
      <c r="C1890" s="4" t="s">
        <v>7605</v>
      </c>
      <c r="D1890" s="4" t="s">
        <v>5</v>
      </c>
      <c r="E1890" s="4" t="s">
        <v>12</v>
      </c>
      <c r="F1890" s="4" t="s">
        <v>7</v>
      </c>
      <c r="G1890" s="4" t="s">
        <v>13</v>
      </c>
      <c r="H1890" s="4" t="s">
        <v>9</v>
      </c>
      <c r="I1890" s="5" t="str">
        <f>IFERROR(VLOOKUP(Consulta1[[#This Row],[Pozo largo]],'Lista YPF'!$B$3:$C$358,2,FALSE),"NO")</f>
        <v>NO</v>
      </c>
      <c r="J1890" s="5" t="str">
        <f>IFERROR(VLOOKUP(Consulta1[[#This Row],[Pozo]],'Lista Oportunidades'!B:C,2,FALSE),"NO")</f>
        <v>NO</v>
      </c>
      <c r="K1890" s="5">
        <f>IFERROR(VLOOKUP(Consulta1[[#This Row],[Pozo largo]],Controles!B:H,7,FALSE),"NO")</f>
        <v>1.1000000000000001</v>
      </c>
      <c r="L1890" s="5">
        <f>IFERROR(VLOOKUP(Consulta1[[#This Row],[Pozo largo]],Controles!B:J,9,FALSE),"NO")</f>
        <v>0</v>
      </c>
    </row>
    <row r="1891" spans="2:12" x14ac:dyDescent="0.35">
      <c r="B1891" s="4" t="s">
        <v>3623</v>
      </c>
      <c r="C1891" s="4" t="s">
        <v>7606</v>
      </c>
      <c r="D1891" s="4" t="s">
        <v>5</v>
      </c>
      <c r="E1891" s="4" t="s">
        <v>12</v>
      </c>
      <c r="F1891" s="4" t="s">
        <v>7</v>
      </c>
      <c r="G1891" s="4" t="s">
        <v>13</v>
      </c>
      <c r="H1891" s="4" t="s">
        <v>185</v>
      </c>
      <c r="I1891" s="5" t="str">
        <f>IFERROR(VLOOKUP(Consulta1[[#This Row],[Pozo largo]],'Lista YPF'!$B$3:$C$358,2,FALSE),"NO")</f>
        <v>NO</v>
      </c>
      <c r="J1891" s="5" t="str">
        <f>IFERROR(VLOOKUP(Consulta1[[#This Row],[Pozo]],'Lista Oportunidades'!B:C,2,FALSE),"NO")</f>
        <v>NO</v>
      </c>
      <c r="K1891" s="5">
        <f>IFERROR(VLOOKUP(Consulta1[[#This Row],[Pozo largo]],Controles!B:H,7,FALSE),"NO")</f>
        <v>1.35</v>
      </c>
      <c r="L1891" s="5">
        <f>IFERROR(VLOOKUP(Consulta1[[#This Row],[Pozo largo]],Controles!B:J,9,FALSE),"NO")</f>
        <v>0</v>
      </c>
    </row>
    <row r="1892" spans="2:12" x14ac:dyDescent="0.35">
      <c r="B1892" s="4" t="s">
        <v>3625</v>
      </c>
      <c r="C1892" s="4" t="s">
        <v>7607</v>
      </c>
      <c r="D1892" s="4" t="s">
        <v>5</v>
      </c>
      <c r="E1892" s="4" t="s">
        <v>12</v>
      </c>
      <c r="F1892" s="4" t="s">
        <v>28</v>
      </c>
      <c r="G1892" s="4" t="s">
        <v>13</v>
      </c>
      <c r="H1892" s="4" t="s">
        <v>185</v>
      </c>
      <c r="I1892" s="5" t="str">
        <f>IFERROR(VLOOKUP(Consulta1[[#This Row],[Pozo largo]],'Lista YPF'!$B$3:$C$358,2,FALSE),"NO")</f>
        <v>NO</v>
      </c>
      <c r="J1892" s="5" t="str">
        <f>IFERROR(VLOOKUP(Consulta1[[#This Row],[Pozo]],'Lista Oportunidades'!B:C,2,FALSE),"NO")</f>
        <v>NO</v>
      </c>
      <c r="K1892" s="5">
        <f>IFERROR(VLOOKUP(Consulta1[[#This Row],[Pozo largo]],Controles!B:H,7,FALSE),"NO")</f>
        <v>0</v>
      </c>
      <c r="L1892" s="5">
        <f>IFERROR(VLOOKUP(Consulta1[[#This Row],[Pozo largo]],Controles!B:J,9,FALSE),"NO")</f>
        <v>0</v>
      </c>
    </row>
    <row r="1893" spans="2:12" x14ac:dyDescent="0.35">
      <c r="B1893" s="4" t="s">
        <v>3627</v>
      </c>
      <c r="C1893" s="4" t="s">
        <v>7608</v>
      </c>
      <c r="D1893" s="4" t="s">
        <v>5</v>
      </c>
      <c r="E1893" s="4" t="s">
        <v>12</v>
      </c>
      <c r="F1893" s="4" t="s">
        <v>25</v>
      </c>
      <c r="G1893" s="4" t="s">
        <v>13</v>
      </c>
      <c r="H1893" s="4" t="s">
        <v>254</v>
      </c>
      <c r="I1893" s="5" t="str">
        <f>IFERROR(VLOOKUP(Consulta1[[#This Row],[Pozo largo]],'Lista YPF'!$B$3:$C$358,2,FALSE),"NO")</f>
        <v>NO</v>
      </c>
      <c r="J1893" s="5" t="str">
        <f>IFERROR(VLOOKUP(Consulta1[[#This Row],[Pozo]],'Lista Oportunidades'!B:C,2,FALSE),"NO")</f>
        <v>NO</v>
      </c>
      <c r="K1893" s="5">
        <f>IFERROR(VLOOKUP(Consulta1[[#This Row],[Pozo largo]],Controles!B:H,7,FALSE),"NO")</f>
        <v>9.6000000000000002E-2</v>
      </c>
      <c r="L1893" s="5">
        <f>IFERROR(VLOOKUP(Consulta1[[#This Row],[Pozo largo]],Controles!B:J,9,FALSE),"NO")</f>
        <v>0</v>
      </c>
    </row>
    <row r="1894" spans="2:12" x14ac:dyDescent="0.35">
      <c r="B1894" s="4" t="s">
        <v>3629</v>
      </c>
      <c r="C1894" s="4" t="s">
        <v>7609</v>
      </c>
      <c r="D1894" s="4" t="s">
        <v>5</v>
      </c>
      <c r="E1894" s="4" t="s">
        <v>12</v>
      </c>
      <c r="F1894" s="4" t="s">
        <v>7</v>
      </c>
      <c r="G1894" s="4" t="s">
        <v>13</v>
      </c>
      <c r="H1894" s="4" t="s">
        <v>21</v>
      </c>
      <c r="I1894" s="5" t="str">
        <f>IFERROR(VLOOKUP(Consulta1[[#This Row],[Pozo largo]],'Lista YPF'!$B$3:$C$358,2,FALSE),"NO")</f>
        <v>NO</v>
      </c>
      <c r="J1894" s="5" t="str">
        <f>IFERROR(VLOOKUP(Consulta1[[#This Row],[Pozo]],'Lista Oportunidades'!B:C,2,FALSE),"NO")</f>
        <v>NO</v>
      </c>
      <c r="K1894" s="5">
        <f>IFERROR(VLOOKUP(Consulta1[[#This Row],[Pozo largo]],Controles!B:H,7,FALSE),"NO")</f>
        <v>1.6500000000000001</v>
      </c>
      <c r="L1894" s="5">
        <f>IFERROR(VLOOKUP(Consulta1[[#This Row],[Pozo largo]],Controles!B:J,9,FALSE),"NO")</f>
        <v>0</v>
      </c>
    </row>
    <row r="1895" spans="2:12" x14ac:dyDescent="0.35">
      <c r="B1895" s="4" t="s">
        <v>3631</v>
      </c>
      <c r="C1895" s="4" t="s">
        <v>7610</v>
      </c>
      <c r="D1895" s="4" t="s">
        <v>5</v>
      </c>
      <c r="E1895" s="4" t="s">
        <v>12</v>
      </c>
      <c r="F1895" s="4" t="s">
        <v>7</v>
      </c>
      <c r="G1895" s="4" t="s">
        <v>13</v>
      </c>
      <c r="H1895" s="4" t="s">
        <v>86</v>
      </c>
      <c r="I1895" s="5" t="str">
        <f>IFERROR(VLOOKUP(Consulta1[[#This Row],[Pozo largo]],'Lista YPF'!$B$3:$C$358,2,FALSE),"NO")</f>
        <v>NO</v>
      </c>
      <c r="J1895" s="5" t="str">
        <f>IFERROR(VLOOKUP(Consulta1[[#This Row],[Pozo]],'Lista Oportunidades'!B:C,2,FALSE),"NO")</f>
        <v>NO</v>
      </c>
      <c r="K1895" s="5">
        <f>IFERROR(VLOOKUP(Consulta1[[#This Row],[Pozo largo]],Controles!B:H,7,FALSE),"NO")</f>
        <v>1.2070000000000001</v>
      </c>
      <c r="L1895" s="5">
        <f>IFERROR(VLOOKUP(Consulta1[[#This Row],[Pozo largo]],Controles!B:J,9,FALSE),"NO")</f>
        <v>0</v>
      </c>
    </row>
    <row r="1896" spans="2:12" x14ac:dyDescent="0.35">
      <c r="B1896" s="4" t="s">
        <v>3633</v>
      </c>
      <c r="C1896" s="4" t="s">
        <v>7611</v>
      </c>
      <c r="D1896" s="4" t="s">
        <v>5</v>
      </c>
      <c r="E1896" s="4" t="s">
        <v>12</v>
      </c>
      <c r="F1896" s="4" t="s">
        <v>7</v>
      </c>
      <c r="G1896" s="4" t="s">
        <v>13</v>
      </c>
      <c r="H1896" s="4" t="s">
        <v>36</v>
      </c>
      <c r="I1896" s="5" t="str">
        <f>IFERROR(VLOOKUP(Consulta1[[#This Row],[Pozo largo]],'Lista YPF'!$B$3:$C$358,2,FALSE),"NO")</f>
        <v>NO</v>
      </c>
      <c r="J1896" s="5" t="str">
        <f>IFERROR(VLOOKUP(Consulta1[[#This Row],[Pozo]],'Lista Oportunidades'!B:C,2,FALSE),"NO")</f>
        <v>NO</v>
      </c>
      <c r="K1896" s="5">
        <f>IFERROR(VLOOKUP(Consulta1[[#This Row],[Pozo largo]],Controles!B:H,7,FALSE),"NO")</f>
        <v>1.458</v>
      </c>
      <c r="L1896" s="5">
        <f>IFERROR(VLOOKUP(Consulta1[[#This Row],[Pozo largo]],Controles!B:J,9,FALSE),"NO")</f>
        <v>0</v>
      </c>
    </row>
    <row r="1897" spans="2:12" x14ac:dyDescent="0.35">
      <c r="B1897" s="4" t="s">
        <v>3635</v>
      </c>
      <c r="C1897" s="4" t="s">
        <v>7612</v>
      </c>
      <c r="D1897" s="4" t="s">
        <v>5</v>
      </c>
      <c r="E1897" s="4" t="s">
        <v>24</v>
      </c>
      <c r="F1897" s="4" t="s">
        <v>25</v>
      </c>
      <c r="G1897" s="4" t="s">
        <v>8</v>
      </c>
      <c r="H1897" s="4" t="s">
        <v>21</v>
      </c>
      <c r="I1897" s="5" t="str">
        <f>IFERROR(VLOOKUP(Consulta1[[#This Row],[Pozo largo]],'Lista YPF'!$B$3:$C$358,2,FALSE),"NO")</f>
        <v>NO</v>
      </c>
      <c r="J1897" s="5" t="str">
        <f>IFERROR(VLOOKUP(Consulta1[[#This Row],[Pozo]],'Lista Oportunidades'!B:C,2,FALSE),"NO")</f>
        <v>NO</v>
      </c>
      <c r="K1897" s="5">
        <f>IFERROR(VLOOKUP(Consulta1[[#This Row],[Pozo largo]],Controles!B:H,7,FALSE),"NO")</f>
        <v>0</v>
      </c>
      <c r="L1897" s="5">
        <f>IFERROR(VLOOKUP(Consulta1[[#This Row],[Pozo largo]],Controles!B:J,9,FALSE),"NO")</f>
        <v>0</v>
      </c>
    </row>
    <row r="1898" spans="2:12" x14ac:dyDescent="0.35">
      <c r="B1898" s="4" t="s">
        <v>3637</v>
      </c>
      <c r="C1898" s="4" t="s">
        <v>7613</v>
      </c>
      <c r="D1898" s="4" t="s">
        <v>5</v>
      </c>
      <c r="E1898" s="4" t="s">
        <v>430</v>
      </c>
      <c r="F1898" s="4" t="s">
        <v>7</v>
      </c>
      <c r="G1898" s="4" t="s">
        <v>5718</v>
      </c>
      <c r="H1898" s="4" t="s">
        <v>33</v>
      </c>
      <c r="I1898" s="5" t="str">
        <f>IFERROR(VLOOKUP(Consulta1[[#This Row],[Pozo largo]],'Lista YPF'!$B$3:$C$358,2,FALSE),"NO")</f>
        <v>En lista de Abandono</v>
      </c>
      <c r="J1898" s="5" t="str">
        <f>IFERROR(VLOOKUP(Consulta1[[#This Row],[Pozo]],'Lista Oportunidades'!B:C,2,FALSE),"NO")</f>
        <v>NO</v>
      </c>
      <c r="K1898" s="5">
        <f>IFERROR(VLOOKUP(Consulta1[[#This Row],[Pozo largo]],Controles!B:H,7,FALSE),"NO")</f>
        <v>0.04</v>
      </c>
      <c r="L1898" s="5">
        <f>IFERROR(VLOOKUP(Consulta1[[#This Row],[Pozo largo]],Controles!B:J,9,FALSE),"NO")</f>
        <v>0</v>
      </c>
    </row>
    <row r="1899" spans="2:12" x14ac:dyDescent="0.35">
      <c r="B1899" s="4" t="s">
        <v>3639</v>
      </c>
      <c r="C1899" s="4" t="s">
        <v>7614</v>
      </c>
      <c r="D1899" s="4" t="s">
        <v>5</v>
      </c>
      <c r="E1899" s="4" t="s">
        <v>12</v>
      </c>
      <c r="F1899" s="4" t="s">
        <v>7</v>
      </c>
      <c r="G1899" s="4" t="s">
        <v>13</v>
      </c>
      <c r="H1899" s="4" t="s">
        <v>185</v>
      </c>
      <c r="I1899" s="5" t="str">
        <f>IFERROR(VLOOKUP(Consulta1[[#This Row],[Pozo largo]],'Lista YPF'!$B$3:$C$358,2,FALSE),"NO")</f>
        <v>NO</v>
      </c>
      <c r="J1899" s="5" t="str">
        <f>IFERROR(VLOOKUP(Consulta1[[#This Row],[Pozo]],'Lista Oportunidades'!B:C,2,FALSE),"NO")</f>
        <v>NO</v>
      </c>
      <c r="K1899" s="5">
        <f>IFERROR(VLOOKUP(Consulta1[[#This Row],[Pozo largo]],Controles!B:H,7,FALSE),"NO")</f>
        <v>1.732</v>
      </c>
      <c r="L1899" s="5">
        <f>IFERROR(VLOOKUP(Consulta1[[#This Row],[Pozo largo]],Controles!B:J,9,FALSE),"NO")</f>
        <v>0</v>
      </c>
    </row>
    <row r="1900" spans="2:12" x14ac:dyDescent="0.35">
      <c r="B1900" s="4" t="s">
        <v>3641</v>
      </c>
      <c r="C1900" s="4" t="s">
        <v>7615</v>
      </c>
      <c r="D1900" s="4" t="s">
        <v>5</v>
      </c>
      <c r="E1900" s="4" t="s">
        <v>12</v>
      </c>
      <c r="F1900" s="4" t="s">
        <v>7</v>
      </c>
      <c r="G1900" s="4" t="s">
        <v>13</v>
      </c>
      <c r="H1900" s="4" t="s">
        <v>84</v>
      </c>
      <c r="I1900" s="5" t="str">
        <f>IFERROR(VLOOKUP(Consulta1[[#This Row],[Pozo largo]],'Lista YPF'!$B$3:$C$358,2,FALSE),"NO")</f>
        <v>NO</v>
      </c>
      <c r="J1900" s="5" t="str">
        <f>IFERROR(VLOOKUP(Consulta1[[#This Row],[Pozo]],'Lista Oportunidades'!B:C,2,FALSE),"NO")</f>
        <v>NO</v>
      </c>
      <c r="K1900" s="5">
        <f>IFERROR(VLOOKUP(Consulta1[[#This Row],[Pozo largo]],Controles!B:H,7,FALSE),"NO")</f>
        <v>1.8</v>
      </c>
      <c r="L1900" s="5">
        <f>IFERROR(VLOOKUP(Consulta1[[#This Row],[Pozo largo]],Controles!B:J,9,FALSE),"NO")</f>
        <v>0</v>
      </c>
    </row>
    <row r="1901" spans="2:12" x14ac:dyDescent="0.35">
      <c r="B1901" s="4" t="s">
        <v>3643</v>
      </c>
      <c r="C1901" s="4" t="s">
        <v>7616</v>
      </c>
      <c r="D1901" s="4" t="s">
        <v>5</v>
      </c>
      <c r="E1901" s="4" t="s">
        <v>12</v>
      </c>
      <c r="F1901" s="4" t="s">
        <v>7</v>
      </c>
      <c r="G1901" s="4" t="s">
        <v>13</v>
      </c>
      <c r="H1901" s="4" t="s">
        <v>21</v>
      </c>
      <c r="I1901" s="5" t="str">
        <f>IFERROR(VLOOKUP(Consulta1[[#This Row],[Pozo largo]],'Lista YPF'!$B$3:$C$358,2,FALSE),"NO")</f>
        <v>NO</v>
      </c>
      <c r="J1901" s="5" t="str">
        <f>IFERROR(VLOOKUP(Consulta1[[#This Row],[Pozo]],'Lista Oportunidades'!B:C,2,FALSE),"NO")</f>
        <v>NO</v>
      </c>
      <c r="K1901" s="5">
        <f>IFERROR(VLOOKUP(Consulta1[[#This Row],[Pozo largo]],Controles!B:H,7,FALSE),"NO")</f>
        <v>0.65600000000000003</v>
      </c>
      <c r="L1901" s="5">
        <f>IFERROR(VLOOKUP(Consulta1[[#This Row],[Pozo largo]],Controles!B:J,9,FALSE),"NO")</f>
        <v>0</v>
      </c>
    </row>
    <row r="1902" spans="2:12" x14ac:dyDescent="0.35">
      <c r="B1902" s="4" t="s">
        <v>3645</v>
      </c>
      <c r="C1902" s="4" t="s">
        <v>7617</v>
      </c>
      <c r="D1902" s="4" t="s">
        <v>5</v>
      </c>
      <c r="E1902" s="4" t="s">
        <v>24</v>
      </c>
      <c r="F1902" s="4" t="s">
        <v>25</v>
      </c>
      <c r="G1902" s="4" t="s">
        <v>8</v>
      </c>
      <c r="H1902" s="4" t="s">
        <v>91</v>
      </c>
      <c r="I1902" s="5" t="str">
        <f>IFERROR(VLOOKUP(Consulta1[[#This Row],[Pozo largo]],'Lista YPF'!$B$3:$C$358,2,FALSE),"NO")</f>
        <v>NO</v>
      </c>
      <c r="J1902" s="5" t="str">
        <f>IFERROR(VLOOKUP(Consulta1[[#This Row],[Pozo]],'Lista Oportunidades'!B:C,2,FALSE),"NO")</f>
        <v>NO</v>
      </c>
      <c r="K1902" s="5">
        <f>IFERROR(VLOOKUP(Consulta1[[#This Row],[Pozo largo]],Controles!B:H,7,FALSE),"NO")</f>
        <v>4.9000000000000002E-2</v>
      </c>
      <c r="L1902" s="5">
        <f>IFERROR(VLOOKUP(Consulta1[[#This Row],[Pozo largo]],Controles!B:J,9,FALSE),"NO")</f>
        <v>0</v>
      </c>
    </row>
    <row r="1903" spans="2:12" x14ac:dyDescent="0.35">
      <c r="B1903" s="4" t="s">
        <v>3647</v>
      </c>
      <c r="C1903" s="4" t="s">
        <v>7618</v>
      </c>
      <c r="D1903" s="4" t="s">
        <v>5</v>
      </c>
      <c r="E1903" s="4" t="s">
        <v>12</v>
      </c>
      <c r="F1903" s="4" t="s">
        <v>28</v>
      </c>
      <c r="G1903" s="4" t="s">
        <v>13</v>
      </c>
      <c r="H1903" s="4" t="s">
        <v>86</v>
      </c>
      <c r="I1903" s="5" t="str">
        <f>IFERROR(VLOOKUP(Consulta1[[#This Row],[Pozo largo]],'Lista YPF'!$B$3:$C$358,2,FALSE),"NO")</f>
        <v>NO</v>
      </c>
      <c r="J1903" s="5" t="str">
        <f>IFERROR(VLOOKUP(Consulta1[[#This Row],[Pozo]],'Lista Oportunidades'!B:C,2,FALSE),"NO")</f>
        <v>NO</v>
      </c>
      <c r="K1903" s="5">
        <f>IFERROR(VLOOKUP(Consulta1[[#This Row],[Pozo largo]],Controles!B:H,7,FALSE),"NO")</f>
        <v>0</v>
      </c>
      <c r="L1903" s="5">
        <f>IFERROR(VLOOKUP(Consulta1[[#This Row],[Pozo largo]],Controles!B:J,9,FALSE),"NO")</f>
        <v>0</v>
      </c>
    </row>
    <row r="1904" spans="2:12" x14ac:dyDescent="0.35">
      <c r="B1904" s="4" t="s">
        <v>3649</v>
      </c>
      <c r="C1904" s="4" t="s">
        <v>7619</v>
      </c>
      <c r="D1904" s="4" t="s">
        <v>5</v>
      </c>
      <c r="E1904" s="4" t="s">
        <v>24</v>
      </c>
      <c r="F1904" s="4" t="s">
        <v>25</v>
      </c>
      <c r="G1904" s="4" t="s">
        <v>8</v>
      </c>
      <c r="H1904" s="4" t="s">
        <v>86</v>
      </c>
      <c r="I1904" s="5" t="str">
        <f>IFERROR(VLOOKUP(Consulta1[[#This Row],[Pozo largo]],'Lista YPF'!$B$3:$C$358,2,FALSE),"NO")</f>
        <v>NO</v>
      </c>
      <c r="J1904" s="5" t="str">
        <f>IFERROR(VLOOKUP(Consulta1[[#This Row],[Pozo]],'Lista Oportunidades'!B:C,2,FALSE),"NO")</f>
        <v>NO</v>
      </c>
      <c r="K1904" s="5">
        <f>IFERROR(VLOOKUP(Consulta1[[#This Row],[Pozo largo]],Controles!B:H,7,FALSE),"NO")</f>
        <v>8.900000000000001E-2</v>
      </c>
      <c r="L1904" s="5">
        <f>IFERROR(VLOOKUP(Consulta1[[#This Row],[Pozo largo]],Controles!B:J,9,FALSE),"NO")</f>
        <v>0</v>
      </c>
    </row>
    <row r="1905" spans="2:12" x14ac:dyDescent="0.35">
      <c r="B1905" s="4" t="s">
        <v>3651</v>
      </c>
      <c r="C1905" s="4" t="s">
        <v>7620</v>
      </c>
      <c r="D1905" s="4" t="s">
        <v>5</v>
      </c>
      <c r="E1905" s="4" t="s">
        <v>12</v>
      </c>
      <c r="F1905" s="4" t="s">
        <v>25</v>
      </c>
      <c r="G1905" s="4" t="s">
        <v>13</v>
      </c>
      <c r="H1905" s="4" t="s">
        <v>86</v>
      </c>
      <c r="I1905" s="5" t="str">
        <f>IFERROR(VLOOKUP(Consulta1[[#This Row],[Pozo largo]],'Lista YPF'!$B$3:$C$358,2,FALSE),"NO")</f>
        <v>NO</v>
      </c>
      <c r="J1905" s="5" t="str">
        <f>IFERROR(VLOOKUP(Consulta1[[#This Row],[Pozo]],'Lista Oportunidades'!B:C,2,FALSE),"NO")</f>
        <v>NO</v>
      </c>
      <c r="K1905" s="5">
        <f>IFERROR(VLOOKUP(Consulta1[[#This Row],[Pozo largo]],Controles!B:H,7,FALSE),"NO")</f>
        <v>0.114</v>
      </c>
      <c r="L1905" s="5">
        <f>IFERROR(VLOOKUP(Consulta1[[#This Row],[Pozo largo]],Controles!B:J,9,FALSE),"NO")</f>
        <v>0</v>
      </c>
    </row>
    <row r="1906" spans="2:12" x14ac:dyDescent="0.35">
      <c r="B1906" s="4" t="s">
        <v>3653</v>
      </c>
      <c r="C1906" s="4" t="s">
        <v>7621</v>
      </c>
      <c r="D1906" s="4" t="s">
        <v>5</v>
      </c>
      <c r="E1906" s="4" t="s">
        <v>12</v>
      </c>
      <c r="F1906" s="4" t="s">
        <v>7</v>
      </c>
      <c r="G1906" s="4" t="s">
        <v>13</v>
      </c>
      <c r="H1906" s="4" t="s">
        <v>86</v>
      </c>
      <c r="I1906" s="5" t="str">
        <f>IFERROR(VLOOKUP(Consulta1[[#This Row],[Pozo largo]],'Lista YPF'!$B$3:$C$358,2,FALSE),"NO")</f>
        <v>NO</v>
      </c>
      <c r="J1906" s="5" t="str">
        <f>IFERROR(VLOOKUP(Consulta1[[#This Row],[Pozo]],'Lista Oportunidades'!B:C,2,FALSE),"NO")</f>
        <v>NO</v>
      </c>
      <c r="K1906" s="5">
        <f>IFERROR(VLOOKUP(Consulta1[[#This Row],[Pozo largo]],Controles!B:H,7,FALSE),"NO")</f>
        <v>0.65</v>
      </c>
      <c r="L1906" s="5">
        <f>IFERROR(VLOOKUP(Consulta1[[#This Row],[Pozo largo]],Controles!B:J,9,FALSE),"NO")</f>
        <v>0</v>
      </c>
    </row>
    <row r="1907" spans="2:12" x14ac:dyDescent="0.35">
      <c r="B1907" s="4" t="s">
        <v>3655</v>
      </c>
      <c r="C1907" s="4" t="s">
        <v>5741</v>
      </c>
      <c r="D1907" s="4" t="s">
        <v>5</v>
      </c>
      <c r="E1907" s="4" t="s">
        <v>6</v>
      </c>
      <c r="F1907" s="4" t="s">
        <v>83</v>
      </c>
      <c r="G1907" s="4" t="s">
        <v>8689</v>
      </c>
      <c r="H1907" s="4" t="s">
        <v>86</v>
      </c>
      <c r="I1907" s="5" t="str">
        <f>IFERROR(VLOOKUP(Consulta1[[#This Row],[Pozo largo]],'Lista YPF'!$B$3:$C$358,2,FALSE),"NO")</f>
        <v>NO</v>
      </c>
      <c r="J1907" s="5" t="str">
        <f>IFERROR(VLOOKUP(Consulta1[[#This Row],[Pozo]],'Lista Oportunidades'!B:C,2,FALSE),"NO")</f>
        <v>Oportunidad</v>
      </c>
      <c r="K1907" s="5">
        <f>IFERROR(VLOOKUP(Consulta1[[#This Row],[Pozo largo]],Controles!B:H,7,FALSE),"NO")</f>
        <v>1.45</v>
      </c>
      <c r="L1907" s="5">
        <f>IFERROR(VLOOKUP(Consulta1[[#This Row],[Pozo largo]],Controles!B:J,9,FALSE),"NO")</f>
        <v>0</v>
      </c>
    </row>
    <row r="1908" spans="2:12" x14ac:dyDescent="0.35">
      <c r="B1908" s="4" t="s">
        <v>3657</v>
      </c>
      <c r="C1908" s="4" t="s">
        <v>7622</v>
      </c>
      <c r="D1908" s="4" t="s">
        <v>5</v>
      </c>
      <c r="E1908" s="4" t="s">
        <v>6</v>
      </c>
      <c r="F1908" s="4" t="s">
        <v>28</v>
      </c>
      <c r="G1908" s="4" t="s">
        <v>5718</v>
      </c>
      <c r="H1908" s="4" t="s">
        <v>146</v>
      </c>
      <c r="I1908" s="5" t="str">
        <f>IFERROR(VLOOKUP(Consulta1[[#This Row],[Pozo largo]],'Lista YPF'!$B$3:$C$358,2,FALSE),"NO")</f>
        <v>En lista de Abandono</v>
      </c>
      <c r="J1908" s="5" t="str">
        <f>IFERROR(VLOOKUP(Consulta1[[#This Row],[Pozo]],'Lista Oportunidades'!B:C,2,FALSE),"NO")</f>
        <v>NO</v>
      </c>
      <c r="K1908" s="5">
        <f>IFERROR(VLOOKUP(Consulta1[[#This Row],[Pozo largo]],Controles!B:H,7,FALSE),"NO")</f>
        <v>0</v>
      </c>
      <c r="L1908" s="5">
        <f>IFERROR(VLOOKUP(Consulta1[[#This Row],[Pozo largo]],Controles!B:J,9,FALSE),"NO")</f>
        <v>0</v>
      </c>
    </row>
    <row r="1909" spans="2:12" x14ac:dyDescent="0.35">
      <c r="B1909" s="4" t="s">
        <v>3659</v>
      </c>
      <c r="C1909" s="4" t="s">
        <v>7623</v>
      </c>
      <c r="D1909" s="4" t="s">
        <v>5</v>
      </c>
      <c r="E1909" s="4" t="s">
        <v>6</v>
      </c>
      <c r="F1909" s="4" t="s">
        <v>28</v>
      </c>
      <c r="G1909" s="4" t="s">
        <v>8</v>
      </c>
      <c r="H1909" s="4" t="s">
        <v>71</v>
      </c>
      <c r="I1909" s="5" t="str">
        <f>IFERROR(VLOOKUP(Consulta1[[#This Row],[Pozo largo]],'Lista YPF'!$B$3:$C$358,2,FALSE),"NO")</f>
        <v>NO</v>
      </c>
      <c r="J1909" s="5" t="str">
        <f>IFERROR(VLOOKUP(Consulta1[[#This Row],[Pozo]],'Lista Oportunidades'!B:C,2,FALSE),"NO")</f>
        <v>NO</v>
      </c>
      <c r="K1909" s="5">
        <f>IFERROR(VLOOKUP(Consulta1[[#This Row],[Pozo largo]],Controles!B:H,7,FALSE),"NO")</f>
        <v>0</v>
      </c>
      <c r="L1909" s="5">
        <f>IFERROR(VLOOKUP(Consulta1[[#This Row],[Pozo largo]],Controles!B:J,9,FALSE),"NO")</f>
        <v>0</v>
      </c>
    </row>
    <row r="1910" spans="2:12" x14ac:dyDescent="0.35">
      <c r="B1910" s="4" t="s">
        <v>3661</v>
      </c>
      <c r="C1910" s="4" t="s">
        <v>7624</v>
      </c>
      <c r="D1910" s="4" t="s">
        <v>5</v>
      </c>
      <c r="E1910" s="4" t="s">
        <v>2952</v>
      </c>
      <c r="F1910" s="4" t="s">
        <v>7</v>
      </c>
      <c r="G1910" s="4" t="s">
        <v>5718</v>
      </c>
      <c r="H1910" s="4" t="s">
        <v>71</v>
      </c>
      <c r="I1910" s="5" t="str">
        <f>IFERROR(VLOOKUP(Consulta1[[#This Row],[Pozo largo]],'Lista YPF'!$B$3:$C$358,2,FALSE),"NO")</f>
        <v>En lista de Abandono</v>
      </c>
      <c r="J1910" s="5" t="str">
        <f>IFERROR(VLOOKUP(Consulta1[[#This Row],[Pozo]],'Lista Oportunidades'!B:C,2,FALSE),"NO")</f>
        <v>NO</v>
      </c>
      <c r="K1910" s="5">
        <f>IFERROR(VLOOKUP(Consulta1[[#This Row],[Pozo largo]],Controles!B:H,7,FALSE),"NO")</f>
        <v>2.4E-2</v>
      </c>
      <c r="L1910" s="5">
        <f>IFERROR(VLOOKUP(Consulta1[[#This Row],[Pozo largo]],Controles!B:J,9,FALSE),"NO")</f>
        <v>0</v>
      </c>
    </row>
    <row r="1911" spans="2:12" x14ac:dyDescent="0.35">
      <c r="B1911" s="4" t="s">
        <v>3663</v>
      </c>
      <c r="C1911" s="4" t="s">
        <v>7625</v>
      </c>
      <c r="D1911" s="4" t="s">
        <v>5</v>
      </c>
      <c r="E1911" s="4" t="s">
        <v>12</v>
      </c>
      <c r="F1911" s="4" t="s">
        <v>238</v>
      </c>
      <c r="G1911" s="4" t="s">
        <v>13</v>
      </c>
      <c r="H1911" s="4" t="s">
        <v>141</v>
      </c>
      <c r="I1911" s="5" t="str">
        <f>IFERROR(VLOOKUP(Consulta1[[#This Row],[Pozo largo]],'Lista YPF'!$B$3:$C$358,2,FALSE),"NO")</f>
        <v>NO</v>
      </c>
      <c r="J1911" s="5" t="str">
        <f>IFERROR(VLOOKUP(Consulta1[[#This Row],[Pozo]],'Lista Oportunidades'!B:C,2,FALSE),"NO")</f>
        <v>NO</v>
      </c>
      <c r="K1911" s="5">
        <f>IFERROR(VLOOKUP(Consulta1[[#This Row],[Pozo largo]],Controles!B:H,7,FALSE),"NO")</f>
        <v>1.7</v>
      </c>
      <c r="L1911" s="5">
        <f>IFERROR(VLOOKUP(Consulta1[[#This Row],[Pozo largo]],Controles!B:J,9,FALSE),"NO")</f>
        <v>0</v>
      </c>
    </row>
    <row r="1912" spans="2:12" x14ac:dyDescent="0.35">
      <c r="B1912" s="4" t="s">
        <v>3665</v>
      </c>
      <c r="C1912" s="4" t="s">
        <v>7626</v>
      </c>
      <c r="D1912" s="4" t="s">
        <v>5</v>
      </c>
      <c r="E1912" s="4" t="s">
        <v>6</v>
      </c>
      <c r="F1912" s="4" t="s">
        <v>7</v>
      </c>
      <c r="G1912" s="4" t="s">
        <v>11385</v>
      </c>
      <c r="H1912" s="4" t="s">
        <v>260</v>
      </c>
      <c r="I1912" s="5" t="str">
        <f>IFERROR(VLOOKUP(Consulta1[[#This Row],[Pozo largo]],'Lista YPF'!$B$3:$C$358,2,FALSE),"NO")</f>
        <v>NO</v>
      </c>
      <c r="J1912" s="5" t="str">
        <f>IFERROR(VLOOKUP(Consulta1[[#This Row],[Pozo]],'Lista Oportunidades'!B:C,2,FALSE),"NO")</f>
        <v>NO</v>
      </c>
      <c r="K1912" s="5">
        <f>IFERROR(VLOOKUP(Consulta1[[#This Row],[Pozo largo]],Controles!B:H,7,FALSE),"NO")</f>
        <v>3.2040000000000002</v>
      </c>
      <c r="L1912" s="5">
        <f>IFERROR(VLOOKUP(Consulta1[[#This Row],[Pozo largo]],Controles!B:J,9,FALSE),"NO")</f>
        <v>0</v>
      </c>
    </row>
    <row r="1913" spans="2:12" x14ac:dyDescent="0.35">
      <c r="B1913" s="4" t="s">
        <v>3667</v>
      </c>
      <c r="C1913" s="4" t="s">
        <v>7627</v>
      </c>
      <c r="D1913" s="4" t="s">
        <v>5</v>
      </c>
      <c r="E1913" s="4" t="s">
        <v>30</v>
      </c>
      <c r="F1913" s="4" t="s">
        <v>31</v>
      </c>
      <c r="G1913" s="4" t="s">
        <v>32</v>
      </c>
      <c r="H1913" s="4" t="s">
        <v>185</v>
      </c>
      <c r="I1913" s="5" t="str">
        <f>IFERROR(VLOOKUP(Consulta1[[#This Row],[Pozo largo]],'Lista YPF'!$B$3:$C$358,2,FALSE),"NO")</f>
        <v>NO</v>
      </c>
      <c r="J1913" s="5" t="str">
        <f>IFERROR(VLOOKUP(Consulta1[[#This Row],[Pozo]],'Lista Oportunidades'!B:C,2,FALSE),"NO")</f>
        <v>NO</v>
      </c>
      <c r="K1913" s="5" t="str">
        <f>IFERROR(VLOOKUP(Consulta1[[#This Row],[Pozo largo]],Controles!B:H,7,FALSE),"NO")</f>
        <v>NO</v>
      </c>
      <c r="L1913" s="5" t="str">
        <f>IFERROR(VLOOKUP(Consulta1[[#This Row],[Pozo largo]],Controles!B:J,9,FALSE),"NO")</f>
        <v>NO</v>
      </c>
    </row>
    <row r="1914" spans="2:12" x14ac:dyDescent="0.35">
      <c r="B1914" s="4" t="s">
        <v>3668</v>
      </c>
      <c r="C1914" s="4" t="s">
        <v>7628</v>
      </c>
      <c r="D1914" s="4" t="s">
        <v>5</v>
      </c>
      <c r="E1914" s="4" t="s">
        <v>30</v>
      </c>
      <c r="F1914" s="4" t="s">
        <v>31</v>
      </c>
      <c r="G1914" s="4" t="s">
        <v>32</v>
      </c>
      <c r="H1914" s="4" t="s">
        <v>77</v>
      </c>
      <c r="I1914" s="5" t="str">
        <f>IFERROR(VLOOKUP(Consulta1[[#This Row],[Pozo largo]],'Lista YPF'!$B$3:$C$358,2,FALSE),"NO")</f>
        <v>NO</v>
      </c>
      <c r="J1914" s="5" t="str">
        <f>IFERROR(VLOOKUP(Consulta1[[#This Row],[Pozo]],'Lista Oportunidades'!B:C,2,FALSE),"NO")</f>
        <v>NO</v>
      </c>
      <c r="K1914" s="5" t="str">
        <f>IFERROR(VLOOKUP(Consulta1[[#This Row],[Pozo largo]],Controles!B:H,7,FALSE),"NO")</f>
        <v>NO</v>
      </c>
      <c r="L1914" s="5" t="str">
        <f>IFERROR(VLOOKUP(Consulta1[[#This Row],[Pozo largo]],Controles!B:J,9,FALSE),"NO")</f>
        <v>NO</v>
      </c>
    </row>
    <row r="1915" spans="2:12" x14ac:dyDescent="0.35">
      <c r="B1915" s="4" t="s">
        <v>3669</v>
      </c>
      <c r="C1915" s="4" t="s">
        <v>7629</v>
      </c>
      <c r="D1915" s="4" t="s">
        <v>5</v>
      </c>
      <c r="E1915" s="4" t="s">
        <v>12</v>
      </c>
      <c r="F1915" s="4" t="s">
        <v>7</v>
      </c>
      <c r="G1915" s="4" t="s">
        <v>13</v>
      </c>
      <c r="H1915" s="4" t="s">
        <v>66</v>
      </c>
      <c r="I1915" s="5" t="str">
        <f>IFERROR(VLOOKUP(Consulta1[[#This Row],[Pozo largo]],'Lista YPF'!$B$3:$C$358,2,FALSE),"NO")</f>
        <v>NO</v>
      </c>
      <c r="J1915" s="5" t="str">
        <f>IFERROR(VLOOKUP(Consulta1[[#This Row],[Pozo]],'Lista Oportunidades'!B:C,2,FALSE),"NO")</f>
        <v>NO</v>
      </c>
      <c r="K1915" s="5">
        <f>IFERROR(VLOOKUP(Consulta1[[#This Row],[Pozo largo]],Controles!B:H,7,FALSE),"NO")</f>
        <v>2.8160000000000003</v>
      </c>
      <c r="L1915" s="5">
        <f>IFERROR(VLOOKUP(Consulta1[[#This Row],[Pozo largo]],Controles!B:J,9,FALSE),"NO")</f>
        <v>0</v>
      </c>
    </row>
    <row r="1916" spans="2:12" x14ac:dyDescent="0.35">
      <c r="B1916" s="4" t="s">
        <v>3671</v>
      </c>
      <c r="C1916" s="4" t="s">
        <v>7630</v>
      </c>
      <c r="D1916" s="4" t="s">
        <v>5</v>
      </c>
      <c r="E1916" s="4" t="s">
        <v>24</v>
      </c>
      <c r="F1916" s="4" t="s">
        <v>31</v>
      </c>
      <c r="G1916" s="4" t="s">
        <v>8</v>
      </c>
      <c r="H1916" s="4" t="s">
        <v>149</v>
      </c>
      <c r="I1916" s="5" t="str">
        <f>IFERROR(VLOOKUP(Consulta1[[#This Row],[Pozo largo]],'Lista YPF'!$B$3:$C$358,2,FALSE),"NO")</f>
        <v>NO</v>
      </c>
      <c r="J1916" s="5" t="str">
        <f>IFERROR(VLOOKUP(Consulta1[[#This Row],[Pozo]],'Lista Oportunidades'!B:C,2,FALSE),"NO")</f>
        <v>NO</v>
      </c>
      <c r="K1916" s="5" t="str">
        <f>IFERROR(VLOOKUP(Consulta1[[#This Row],[Pozo largo]],Controles!B:H,7,FALSE),"NO")</f>
        <v>NO</v>
      </c>
      <c r="L1916" s="5" t="str">
        <f>IFERROR(VLOOKUP(Consulta1[[#This Row],[Pozo largo]],Controles!B:J,9,FALSE),"NO")</f>
        <v>NO</v>
      </c>
    </row>
    <row r="1917" spans="2:12" x14ac:dyDescent="0.35">
      <c r="B1917" s="4" t="s">
        <v>3672</v>
      </c>
      <c r="C1917" s="4" t="s">
        <v>7631</v>
      </c>
      <c r="D1917" s="4" t="s">
        <v>5</v>
      </c>
      <c r="E1917" s="4" t="s">
        <v>30</v>
      </c>
      <c r="F1917" s="4" t="s">
        <v>31</v>
      </c>
      <c r="G1917" s="4" t="s">
        <v>32</v>
      </c>
      <c r="H1917" s="4" t="s">
        <v>149</v>
      </c>
      <c r="I1917" s="5" t="str">
        <f>IFERROR(VLOOKUP(Consulta1[[#This Row],[Pozo largo]],'Lista YPF'!$B$3:$C$358,2,FALSE),"NO")</f>
        <v>NO</v>
      </c>
      <c r="J1917" s="5" t="str">
        <f>IFERROR(VLOOKUP(Consulta1[[#This Row],[Pozo]],'Lista Oportunidades'!B:C,2,FALSE),"NO")</f>
        <v>NO</v>
      </c>
      <c r="K1917" s="5" t="str">
        <f>IFERROR(VLOOKUP(Consulta1[[#This Row],[Pozo largo]],Controles!B:H,7,FALSE),"NO")</f>
        <v>NO</v>
      </c>
      <c r="L1917" s="5" t="str">
        <f>IFERROR(VLOOKUP(Consulta1[[#This Row],[Pozo largo]],Controles!B:J,9,FALSE),"NO")</f>
        <v>NO</v>
      </c>
    </row>
    <row r="1918" spans="2:12" x14ac:dyDescent="0.35">
      <c r="B1918" s="4" t="s">
        <v>3673</v>
      </c>
      <c r="C1918" s="4" t="s">
        <v>7632</v>
      </c>
      <c r="D1918" s="4" t="s">
        <v>5</v>
      </c>
      <c r="E1918" s="4" t="s">
        <v>12</v>
      </c>
      <c r="F1918" s="4" t="s">
        <v>7</v>
      </c>
      <c r="G1918" s="4" t="s">
        <v>13</v>
      </c>
      <c r="H1918" s="4" t="s">
        <v>33</v>
      </c>
      <c r="I1918" s="5" t="str">
        <f>IFERROR(VLOOKUP(Consulta1[[#This Row],[Pozo largo]],'Lista YPF'!$B$3:$C$358,2,FALSE),"NO")</f>
        <v>NO</v>
      </c>
      <c r="J1918" s="5" t="str">
        <f>IFERROR(VLOOKUP(Consulta1[[#This Row],[Pozo]],'Lista Oportunidades'!B:C,2,FALSE),"NO")</f>
        <v>NO</v>
      </c>
      <c r="K1918" s="5">
        <f>IFERROR(VLOOKUP(Consulta1[[#This Row],[Pozo largo]],Controles!B:H,7,FALSE),"NO")</f>
        <v>1.2450000000000001</v>
      </c>
      <c r="L1918" s="5">
        <f>IFERROR(VLOOKUP(Consulta1[[#This Row],[Pozo largo]],Controles!B:J,9,FALSE),"NO")</f>
        <v>0</v>
      </c>
    </row>
    <row r="1919" spans="2:12" x14ac:dyDescent="0.35">
      <c r="B1919" s="4" t="s">
        <v>3675</v>
      </c>
      <c r="C1919" s="4" t="s">
        <v>7633</v>
      </c>
      <c r="D1919" s="4" t="s">
        <v>5</v>
      </c>
      <c r="E1919" s="4" t="s">
        <v>24</v>
      </c>
      <c r="F1919" s="4" t="s">
        <v>28</v>
      </c>
      <c r="G1919" s="4" t="s">
        <v>8</v>
      </c>
      <c r="H1919" s="4" t="s">
        <v>36</v>
      </c>
      <c r="I1919" s="5" t="str">
        <f>IFERROR(VLOOKUP(Consulta1[[#This Row],[Pozo largo]],'Lista YPF'!$B$3:$C$358,2,FALSE),"NO")</f>
        <v>NO</v>
      </c>
      <c r="J1919" s="5" t="str">
        <f>IFERROR(VLOOKUP(Consulta1[[#This Row],[Pozo]],'Lista Oportunidades'!B:C,2,FALSE),"NO")</f>
        <v>NO</v>
      </c>
      <c r="K1919" s="5">
        <f>IFERROR(VLOOKUP(Consulta1[[#This Row],[Pozo largo]],Controles!B:H,7,FALSE),"NO")</f>
        <v>0</v>
      </c>
      <c r="L1919" s="5">
        <f>IFERROR(VLOOKUP(Consulta1[[#This Row],[Pozo largo]],Controles!B:J,9,FALSE),"NO")</f>
        <v>0</v>
      </c>
    </row>
    <row r="1920" spans="2:12" x14ac:dyDescent="0.35">
      <c r="B1920" s="4" t="s">
        <v>3677</v>
      </c>
      <c r="C1920" s="4" t="s">
        <v>7634</v>
      </c>
      <c r="D1920" s="4" t="s">
        <v>5</v>
      </c>
      <c r="E1920" s="4" t="s">
        <v>12</v>
      </c>
      <c r="F1920" s="4" t="s">
        <v>7</v>
      </c>
      <c r="G1920" s="4" t="s">
        <v>13</v>
      </c>
      <c r="H1920" s="4" t="s">
        <v>21</v>
      </c>
      <c r="I1920" s="5" t="str">
        <f>IFERROR(VLOOKUP(Consulta1[[#This Row],[Pozo largo]],'Lista YPF'!$B$3:$C$358,2,FALSE),"NO")</f>
        <v>NO</v>
      </c>
      <c r="J1920" s="5" t="str">
        <f>IFERROR(VLOOKUP(Consulta1[[#This Row],[Pozo]],'Lista Oportunidades'!B:C,2,FALSE),"NO")</f>
        <v>NO</v>
      </c>
      <c r="K1920" s="5">
        <f>IFERROR(VLOOKUP(Consulta1[[#This Row],[Pozo largo]],Controles!B:H,7,FALSE),"NO")</f>
        <v>3</v>
      </c>
      <c r="L1920" s="5">
        <f>IFERROR(VLOOKUP(Consulta1[[#This Row],[Pozo largo]],Controles!B:J,9,FALSE),"NO")</f>
        <v>0</v>
      </c>
    </row>
    <row r="1921" spans="2:12" x14ac:dyDescent="0.35">
      <c r="B1921" s="4" t="s">
        <v>3679</v>
      </c>
      <c r="C1921" s="4" t="s">
        <v>7635</v>
      </c>
      <c r="D1921" s="4" t="s">
        <v>5</v>
      </c>
      <c r="E1921" s="4" t="s">
        <v>12</v>
      </c>
      <c r="F1921" s="4" t="s">
        <v>7</v>
      </c>
      <c r="G1921" s="4" t="s">
        <v>13</v>
      </c>
      <c r="H1921" s="4" t="s">
        <v>254</v>
      </c>
      <c r="I1921" s="5" t="str">
        <f>IFERROR(VLOOKUP(Consulta1[[#This Row],[Pozo largo]],'Lista YPF'!$B$3:$C$358,2,FALSE),"NO")</f>
        <v>NO</v>
      </c>
      <c r="J1921" s="5" t="str">
        <f>IFERROR(VLOOKUP(Consulta1[[#This Row],[Pozo]],'Lista Oportunidades'!B:C,2,FALSE),"NO")</f>
        <v>NO</v>
      </c>
      <c r="K1921" s="5">
        <f>IFERROR(VLOOKUP(Consulta1[[#This Row],[Pozo largo]],Controles!B:H,7,FALSE),"NO")</f>
        <v>1.19</v>
      </c>
      <c r="L1921" s="5">
        <f>IFERROR(VLOOKUP(Consulta1[[#This Row],[Pozo largo]],Controles!B:J,9,FALSE),"NO")</f>
        <v>0</v>
      </c>
    </row>
    <row r="1922" spans="2:12" x14ac:dyDescent="0.35">
      <c r="B1922" s="4" t="s">
        <v>3681</v>
      </c>
      <c r="C1922" s="4" t="s">
        <v>7636</v>
      </c>
      <c r="D1922" s="4" t="s">
        <v>5</v>
      </c>
      <c r="E1922" s="4" t="s">
        <v>12</v>
      </c>
      <c r="F1922" s="4" t="s">
        <v>7</v>
      </c>
      <c r="G1922" s="4" t="s">
        <v>13</v>
      </c>
      <c r="H1922" s="4" t="s">
        <v>33</v>
      </c>
      <c r="I1922" s="5" t="str">
        <f>IFERROR(VLOOKUP(Consulta1[[#This Row],[Pozo largo]],'Lista YPF'!$B$3:$C$358,2,FALSE),"NO")</f>
        <v>NO</v>
      </c>
      <c r="J1922" s="5" t="str">
        <f>IFERROR(VLOOKUP(Consulta1[[#This Row],[Pozo]],'Lista Oportunidades'!B:C,2,FALSE),"NO")</f>
        <v>NO</v>
      </c>
      <c r="K1922" s="5">
        <f>IFERROR(VLOOKUP(Consulta1[[#This Row],[Pozo largo]],Controles!B:H,7,FALSE),"NO")</f>
        <v>0.32300000000000001</v>
      </c>
      <c r="L1922" s="5">
        <f>IFERROR(VLOOKUP(Consulta1[[#This Row],[Pozo largo]],Controles!B:J,9,FALSE),"NO")</f>
        <v>0</v>
      </c>
    </row>
    <row r="1923" spans="2:12" x14ac:dyDescent="0.35">
      <c r="B1923" s="4" t="s">
        <v>3683</v>
      </c>
      <c r="C1923" s="4" t="s">
        <v>7637</v>
      </c>
      <c r="D1923" s="4" t="s">
        <v>5</v>
      </c>
      <c r="E1923" s="4" t="s">
        <v>194</v>
      </c>
      <c r="F1923" s="4" t="s">
        <v>25</v>
      </c>
      <c r="G1923" s="4" t="s">
        <v>5718</v>
      </c>
      <c r="H1923" s="4" t="s">
        <v>33</v>
      </c>
      <c r="I1923" s="5" t="str">
        <f>IFERROR(VLOOKUP(Consulta1[[#This Row],[Pozo largo]],'Lista YPF'!$B$3:$C$358,2,FALSE),"NO")</f>
        <v>En lista de Abandono</v>
      </c>
      <c r="J1923" s="5" t="str">
        <f>IFERROR(VLOOKUP(Consulta1[[#This Row],[Pozo]],'Lista Oportunidades'!B:C,2,FALSE),"NO")</f>
        <v>NO</v>
      </c>
      <c r="K1923" s="5">
        <f>IFERROR(VLOOKUP(Consulta1[[#This Row],[Pozo largo]],Controles!B:H,7,FALSE),"NO")</f>
        <v>0.28800000000000003</v>
      </c>
      <c r="L1923" s="5">
        <f>IFERROR(VLOOKUP(Consulta1[[#This Row],[Pozo largo]],Controles!B:J,9,FALSE),"NO")</f>
        <v>0</v>
      </c>
    </row>
    <row r="1924" spans="2:12" x14ac:dyDescent="0.35">
      <c r="B1924" s="4" t="s">
        <v>3685</v>
      </c>
      <c r="C1924" s="4" t="s">
        <v>7638</v>
      </c>
      <c r="D1924" s="4" t="s">
        <v>5</v>
      </c>
      <c r="E1924" s="4" t="s">
        <v>24</v>
      </c>
      <c r="F1924" s="4" t="s">
        <v>25</v>
      </c>
      <c r="G1924" s="4" t="s">
        <v>8</v>
      </c>
      <c r="H1924" s="4" t="s">
        <v>91</v>
      </c>
      <c r="I1924" s="5" t="str">
        <f>IFERROR(VLOOKUP(Consulta1[[#This Row],[Pozo largo]],'Lista YPF'!$B$3:$C$358,2,FALSE),"NO")</f>
        <v>NO</v>
      </c>
      <c r="J1924" s="5" t="str">
        <f>IFERROR(VLOOKUP(Consulta1[[#This Row],[Pozo]],'Lista Oportunidades'!B:C,2,FALSE),"NO")</f>
        <v>NO</v>
      </c>
      <c r="K1924" s="5">
        <f>IFERROR(VLOOKUP(Consulta1[[#This Row],[Pozo largo]],Controles!B:H,7,FALSE),"NO")</f>
        <v>0.188</v>
      </c>
      <c r="L1924" s="5">
        <f>IFERROR(VLOOKUP(Consulta1[[#This Row],[Pozo largo]],Controles!B:J,9,FALSE),"NO")</f>
        <v>0</v>
      </c>
    </row>
    <row r="1925" spans="2:12" x14ac:dyDescent="0.35">
      <c r="B1925" s="4" t="s">
        <v>3687</v>
      </c>
      <c r="C1925" s="4" t="s">
        <v>7639</v>
      </c>
      <c r="D1925" s="4" t="s">
        <v>5</v>
      </c>
      <c r="E1925" s="4" t="s">
        <v>12</v>
      </c>
      <c r="F1925" s="4" t="s">
        <v>7</v>
      </c>
      <c r="G1925" s="4" t="s">
        <v>13</v>
      </c>
      <c r="H1925" s="4" t="s">
        <v>9</v>
      </c>
      <c r="I1925" s="5" t="str">
        <f>IFERROR(VLOOKUP(Consulta1[[#This Row],[Pozo largo]],'Lista YPF'!$B$3:$C$358,2,FALSE),"NO")</f>
        <v>NO</v>
      </c>
      <c r="J1925" s="5" t="str">
        <f>IFERROR(VLOOKUP(Consulta1[[#This Row],[Pozo]],'Lista Oportunidades'!B:C,2,FALSE),"NO")</f>
        <v>NO</v>
      </c>
      <c r="K1925" s="5">
        <f>IFERROR(VLOOKUP(Consulta1[[#This Row],[Pozo largo]],Controles!B:H,7,FALSE),"NO")</f>
        <v>2.4</v>
      </c>
      <c r="L1925" s="5">
        <f>IFERROR(VLOOKUP(Consulta1[[#This Row],[Pozo largo]],Controles!B:J,9,FALSE),"NO")</f>
        <v>0</v>
      </c>
    </row>
    <row r="1926" spans="2:12" x14ac:dyDescent="0.35">
      <c r="B1926" s="4" t="s">
        <v>3689</v>
      </c>
      <c r="C1926" s="4" t="s">
        <v>7640</v>
      </c>
      <c r="D1926" s="4" t="s">
        <v>5</v>
      </c>
      <c r="E1926" s="4" t="s">
        <v>12</v>
      </c>
      <c r="F1926" s="4" t="s">
        <v>7</v>
      </c>
      <c r="G1926" s="4" t="s">
        <v>13</v>
      </c>
      <c r="H1926" s="4" t="s">
        <v>9</v>
      </c>
      <c r="I1926" s="5" t="str">
        <f>IFERROR(VLOOKUP(Consulta1[[#This Row],[Pozo largo]],'Lista YPF'!$B$3:$C$358,2,FALSE),"NO")</f>
        <v>NO</v>
      </c>
      <c r="J1926" s="5" t="str">
        <f>IFERROR(VLOOKUP(Consulta1[[#This Row],[Pozo]],'Lista Oportunidades'!B:C,2,FALSE),"NO")</f>
        <v>NO</v>
      </c>
      <c r="K1926" s="5">
        <f>IFERROR(VLOOKUP(Consulta1[[#This Row],[Pozo largo]],Controles!B:H,7,FALSE),"NO")</f>
        <v>1.044</v>
      </c>
      <c r="L1926" s="5">
        <f>IFERROR(VLOOKUP(Consulta1[[#This Row],[Pozo largo]],Controles!B:J,9,FALSE),"NO")</f>
        <v>0</v>
      </c>
    </row>
    <row r="1927" spans="2:12" x14ac:dyDescent="0.35">
      <c r="B1927" s="4" t="s">
        <v>3691</v>
      </c>
      <c r="C1927" s="4" t="s">
        <v>7641</v>
      </c>
      <c r="D1927" s="4" t="s">
        <v>5</v>
      </c>
      <c r="E1927" s="4" t="s">
        <v>24</v>
      </c>
      <c r="F1927" s="4" t="s">
        <v>7</v>
      </c>
      <c r="G1927" s="4" t="s">
        <v>8</v>
      </c>
      <c r="H1927" s="4" t="s">
        <v>86</v>
      </c>
      <c r="I1927" s="5" t="str">
        <f>IFERROR(VLOOKUP(Consulta1[[#This Row],[Pozo largo]],'Lista YPF'!$B$3:$C$358,2,FALSE),"NO")</f>
        <v>NO</v>
      </c>
      <c r="J1927" s="5" t="str">
        <f>IFERROR(VLOOKUP(Consulta1[[#This Row],[Pozo]],'Lista Oportunidades'!B:C,2,FALSE),"NO")</f>
        <v>NO</v>
      </c>
      <c r="K1927" s="5">
        <f>IFERROR(VLOOKUP(Consulta1[[#This Row],[Pozo largo]],Controles!B:H,7,FALSE),"NO")</f>
        <v>0.8</v>
      </c>
      <c r="L1927" s="5">
        <f>IFERROR(VLOOKUP(Consulta1[[#This Row],[Pozo largo]],Controles!B:J,9,FALSE),"NO")</f>
        <v>0</v>
      </c>
    </row>
    <row r="1928" spans="2:12" x14ac:dyDescent="0.35">
      <c r="B1928" s="4" t="s">
        <v>3693</v>
      </c>
      <c r="C1928" s="4" t="s">
        <v>7642</v>
      </c>
      <c r="D1928" s="4" t="s">
        <v>5</v>
      </c>
      <c r="E1928" s="4" t="s">
        <v>24</v>
      </c>
      <c r="F1928" s="4" t="s">
        <v>25</v>
      </c>
      <c r="G1928" s="4" t="s">
        <v>11386</v>
      </c>
      <c r="H1928" s="4" t="s">
        <v>21</v>
      </c>
      <c r="I1928" s="5" t="str">
        <f>IFERROR(VLOOKUP(Consulta1[[#This Row],[Pozo largo]],'Lista YPF'!$B$3:$C$358,2,FALSE),"NO")</f>
        <v>NO</v>
      </c>
      <c r="J1928" s="5" t="str">
        <f>IFERROR(VLOOKUP(Consulta1[[#This Row],[Pozo]],'Lista Oportunidades'!B:C,2,FALSE),"NO")</f>
        <v>NO</v>
      </c>
      <c r="K1928" s="5">
        <f>IFERROR(VLOOKUP(Consulta1[[#This Row],[Pozo largo]],Controles!B:H,7,FALSE),"NO")</f>
        <v>0.01</v>
      </c>
      <c r="L1928" s="5" t="str">
        <f>IFERROR(VLOOKUP(Consulta1[[#This Row],[Pozo largo]],Controles!B:J,9,FALSE),"NO")</f>
        <v>Ultimos 6 meses</v>
      </c>
    </row>
    <row r="1929" spans="2:12" x14ac:dyDescent="0.35">
      <c r="B1929" s="4" t="s">
        <v>3695</v>
      </c>
      <c r="C1929" s="4" t="s">
        <v>7643</v>
      </c>
      <c r="D1929" s="4" t="s">
        <v>5</v>
      </c>
      <c r="E1929" s="4" t="s">
        <v>6</v>
      </c>
      <c r="F1929" s="4" t="s">
        <v>7</v>
      </c>
      <c r="G1929" s="4" t="s">
        <v>11386</v>
      </c>
      <c r="H1929" s="4" t="s">
        <v>9</v>
      </c>
      <c r="I1929" s="5" t="str">
        <f>IFERROR(VLOOKUP(Consulta1[[#This Row],[Pozo largo]],'Lista YPF'!$B$3:$C$358,2,FALSE),"NO")</f>
        <v>NO</v>
      </c>
      <c r="J1929" s="5" t="str">
        <f>IFERROR(VLOOKUP(Consulta1[[#This Row],[Pozo]],'Lista Oportunidades'!B:C,2,FALSE),"NO")</f>
        <v>NO</v>
      </c>
      <c r="K1929" s="5">
        <f>IFERROR(VLOOKUP(Consulta1[[#This Row],[Pozo largo]],Controles!B:H,7,FALSE),"NO")</f>
        <v>1</v>
      </c>
      <c r="L1929" s="5" t="str">
        <f>IFERROR(VLOOKUP(Consulta1[[#This Row],[Pozo largo]],Controles!B:J,9,FALSE),"NO")</f>
        <v>Ultimos 6 meses</v>
      </c>
    </row>
    <row r="1930" spans="2:12" x14ac:dyDescent="0.35">
      <c r="B1930" s="4" t="s">
        <v>3697</v>
      </c>
      <c r="C1930" s="4" t="s">
        <v>7644</v>
      </c>
      <c r="D1930" s="4" t="s">
        <v>5</v>
      </c>
      <c r="E1930" s="4" t="s">
        <v>57</v>
      </c>
      <c r="F1930" s="4" t="s">
        <v>7</v>
      </c>
      <c r="G1930" s="4" t="s">
        <v>8</v>
      </c>
      <c r="H1930" s="4" t="s">
        <v>185</v>
      </c>
      <c r="I1930" s="5" t="str">
        <f>IFERROR(VLOOKUP(Consulta1[[#This Row],[Pozo largo]],'Lista YPF'!$B$3:$C$358,2,FALSE),"NO")</f>
        <v>NO</v>
      </c>
      <c r="J1930" s="5" t="str">
        <f>IFERROR(VLOOKUP(Consulta1[[#This Row],[Pozo]],'Lista Oportunidades'!B:C,2,FALSE),"NO")</f>
        <v>NO</v>
      </c>
      <c r="K1930" s="5">
        <f>IFERROR(VLOOKUP(Consulta1[[#This Row],[Pozo largo]],Controles!B:H,7,FALSE),"NO")</f>
        <v>0.4</v>
      </c>
      <c r="L1930" s="5">
        <f>IFERROR(VLOOKUP(Consulta1[[#This Row],[Pozo largo]],Controles!B:J,9,FALSE),"NO")</f>
        <v>0</v>
      </c>
    </row>
    <row r="1931" spans="2:12" x14ac:dyDescent="0.35">
      <c r="B1931" s="4" t="s">
        <v>3699</v>
      </c>
      <c r="C1931" s="4" t="s">
        <v>7645</v>
      </c>
      <c r="D1931" s="4" t="s">
        <v>5</v>
      </c>
      <c r="E1931" s="4" t="s">
        <v>12</v>
      </c>
      <c r="F1931" s="4" t="s">
        <v>7</v>
      </c>
      <c r="G1931" s="4" t="s">
        <v>13</v>
      </c>
      <c r="H1931" s="4" t="s">
        <v>21</v>
      </c>
      <c r="I1931" s="5" t="str">
        <f>IFERROR(VLOOKUP(Consulta1[[#This Row],[Pozo largo]],'Lista YPF'!$B$3:$C$358,2,FALSE),"NO")</f>
        <v>NO</v>
      </c>
      <c r="J1931" s="5" t="str">
        <f>IFERROR(VLOOKUP(Consulta1[[#This Row],[Pozo]],'Lista Oportunidades'!B:C,2,FALSE),"NO")</f>
        <v>NO</v>
      </c>
      <c r="K1931" s="5">
        <f>IFERROR(VLOOKUP(Consulta1[[#This Row],[Pozo largo]],Controles!B:H,7,FALSE),"NO")</f>
        <v>2.125</v>
      </c>
      <c r="L1931" s="5">
        <f>IFERROR(VLOOKUP(Consulta1[[#This Row],[Pozo largo]],Controles!B:J,9,FALSE),"NO")</f>
        <v>0</v>
      </c>
    </row>
    <row r="1932" spans="2:12" x14ac:dyDescent="0.35">
      <c r="B1932" s="4" t="s">
        <v>3701</v>
      </c>
      <c r="C1932" s="4" t="s">
        <v>7646</v>
      </c>
      <c r="D1932" s="4" t="s">
        <v>5</v>
      </c>
      <c r="E1932" s="4" t="s">
        <v>24</v>
      </c>
      <c r="F1932" s="4" t="s">
        <v>7</v>
      </c>
      <c r="G1932" s="4" t="s">
        <v>11386</v>
      </c>
      <c r="H1932" s="4" t="s">
        <v>21</v>
      </c>
      <c r="I1932" s="5" t="str">
        <f>IFERROR(VLOOKUP(Consulta1[[#This Row],[Pozo largo]],'Lista YPF'!$B$3:$C$358,2,FALSE),"NO")</f>
        <v>NO</v>
      </c>
      <c r="J1932" s="5" t="str">
        <f>IFERROR(VLOOKUP(Consulta1[[#This Row],[Pozo]],'Lista Oportunidades'!B:C,2,FALSE),"NO")</f>
        <v>NO</v>
      </c>
      <c r="K1932" s="5">
        <f>IFERROR(VLOOKUP(Consulta1[[#This Row],[Pozo largo]],Controles!B:H,7,FALSE),"NO")</f>
        <v>0.3</v>
      </c>
      <c r="L1932" s="5" t="str">
        <f>IFERROR(VLOOKUP(Consulta1[[#This Row],[Pozo largo]],Controles!B:J,9,FALSE),"NO")</f>
        <v>Ultimos 6 meses</v>
      </c>
    </row>
    <row r="1933" spans="2:12" x14ac:dyDescent="0.35">
      <c r="B1933" s="4" t="s">
        <v>3703</v>
      </c>
      <c r="C1933" s="4" t="s">
        <v>5725</v>
      </c>
      <c r="D1933" s="4" t="s">
        <v>5</v>
      </c>
      <c r="E1933" s="4" t="s">
        <v>12</v>
      </c>
      <c r="F1933" s="4" t="s">
        <v>7</v>
      </c>
      <c r="G1933" s="4" t="s">
        <v>13</v>
      </c>
      <c r="H1933" s="4" t="s">
        <v>185</v>
      </c>
      <c r="I1933" s="5" t="str">
        <f>IFERROR(VLOOKUP(Consulta1[[#This Row],[Pozo largo]],'Lista YPF'!$B$3:$C$358,2,FALSE),"NO")</f>
        <v>NO</v>
      </c>
      <c r="J1933" s="5" t="str">
        <f>IFERROR(VLOOKUP(Consulta1[[#This Row],[Pozo]],'Lista Oportunidades'!B:C,2,FALSE),"NO")</f>
        <v>Oportunidad</v>
      </c>
      <c r="K1933" s="5">
        <f>IFERROR(VLOOKUP(Consulta1[[#This Row],[Pozo largo]],Controles!B:H,7,FALSE),"NO")</f>
        <v>0.73799999999999999</v>
      </c>
      <c r="L1933" s="5">
        <f>IFERROR(VLOOKUP(Consulta1[[#This Row],[Pozo largo]],Controles!B:J,9,FALSE),"NO")</f>
        <v>0</v>
      </c>
    </row>
    <row r="1934" spans="2:12" x14ac:dyDescent="0.35">
      <c r="B1934" s="4" t="s">
        <v>3705</v>
      </c>
      <c r="C1934" s="4" t="s">
        <v>7647</v>
      </c>
      <c r="D1934" s="4" t="s">
        <v>5</v>
      </c>
      <c r="E1934" s="4" t="s">
        <v>12</v>
      </c>
      <c r="F1934" s="4" t="s">
        <v>7</v>
      </c>
      <c r="G1934" s="4" t="s">
        <v>13</v>
      </c>
      <c r="H1934" s="4" t="s">
        <v>21</v>
      </c>
      <c r="I1934" s="5" t="str">
        <f>IFERROR(VLOOKUP(Consulta1[[#This Row],[Pozo largo]],'Lista YPF'!$B$3:$C$358,2,FALSE),"NO")</f>
        <v>NO</v>
      </c>
      <c r="J1934" s="5" t="str">
        <f>IFERROR(VLOOKUP(Consulta1[[#This Row],[Pozo]],'Lista Oportunidades'!B:C,2,FALSE),"NO")</f>
        <v>NO</v>
      </c>
      <c r="K1934" s="5">
        <f>IFERROR(VLOOKUP(Consulta1[[#This Row],[Pozo largo]],Controles!B:H,7,FALSE),"NO")</f>
        <v>0.629</v>
      </c>
      <c r="L1934" s="5">
        <f>IFERROR(VLOOKUP(Consulta1[[#This Row],[Pozo largo]],Controles!B:J,9,FALSE),"NO")</f>
        <v>0</v>
      </c>
    </row>
    <row r="1935" spans="2:12" x14ac:dyDescent="0.35">
      <c r="B1935" s="4" t="s">
        <v>3707</v>
      </c>
      <c r="C1935" s="4" t="s">
        <v>7648</v>
      </c>
      <c r="D1935" s="4" t="s">
        <v>5</v>
      </c>
      <c r="E1935" s="4" t="s">
        <v>12</v>
      </c>
      <c r="F1935" s="4" t="s">
        <v>7</v>
      </c>
      <c r="G1935" s="4" t="s">
        <v>13</v>
      </c>
      <c r="H1935" s="4" t="s">
        <v>9</v>
      </c>
      <c r="I1935" s="5" t="str">
        <f>IFERROR(VLOOKUP(Consulta1[[#This Row],[Pozo largo]],'Lista YPF'!$B$3:$C$358,2,FALSE),"NO")</f>
        <v>NO</v>
      </c>
      <c r="J1935" s="5" t="str">
        <f>IFERROR(VLOOKUP(Consulta1[[#This Row],[Pozo]],'Lista Oportunidades'!B:C,2,FALSE),"NO")</f>
        <v>NO</v>
      </c>
      <c r="K1935" s="5">
        <f>IFERROR(VLOOKUP(Consulta1[[#This Row],[Pozo largo]],Controles!B:H,7,FALSE),"NO")</f>
        <v>3.5</v>
      </c>
      <c r="L1935" s="5">
        <f>IFERROR(VLOOKUP(Consulta1[[#This Row],[Pozo largo]],Controles!B:J,9,FALSE),"NO")</f>
        <v>0</v>
      </c>
    </row>
    <row r="1936" spans="2:12" x14ac:dyDescent="0.35">
      <c r="B1936" s="4" t="s">
        <v>3709</v>
      </c>
      <c r="C1936" s="4" t="s">
        <v>7649</v>
      </c>
      <c r="D1936" s="4" t="s">
        <v>5</v>
      </c>
      <c r="E1936" s="4" t="s">
        <v>24</v>
      </c>
      <c r="F1936" s="4" t="s">
        <v>31</v>
      </c>
      <c r="G1936" s="4" t="s">
        <v>8</v>
      </c>
      <c r="H1936" s="4" t="s">
        <v>21</v>
      </c>
      <c r="I1936" s="5" t="str">
        <f>IFERROR(VLOOKUP(Consulta1[[#This Row],[Pozo largo]],'Lista YPF'!$B$3:$C$358,2,FALSE),"NO")</f>
        <v>NO</v>
      </c>
      <c r="J1936" s="5" t="str">
        <f>IFERROR(VLOOKUP(Consulta1[[#This Row],[Pozo]],'Lista Oportunidades'!B:C,2,FALSE),"NO")</f>
        <v>NO</v>
      </c>
      <c r="K1936" s="5">
        <f>IFERROR(VLOOKUP(Consulta1[[#This Row],[Pozo largo]],Controles!B:H,7,FALSE),"NO")</f>
        <v>0.6</v>
      </c>
      <c r="L1936" s="5">
        <f>IFERROR(VLOOKUP(Consulta1[[#This Row],[Pozo largo]],Controles!B:J,9,FALSE),"NO")</f>
        <v>0</v>
      </c>
    </row>
    <row r="1937" spans="2:12" x14ac:dyDescent="0.35">
      <c r="B1937" s="4" t="s">
        <v>3711</v>
      </c>
      <c r="C1937" s="4" t="s">
        <v>7650</v>
      </c>
      <c r="D1937" s="4" t="s">
        <v>5</v>
      </c>
      <c r="E1937" s="4" t="s">
        <v>6</v>
      </c>
      <c r="F1937" s="4" t="s">
        <v>28</v>
      </c>
      <c r="G1937" s="4" t="s">
        <v>5718</v>
      </c>
      <c r="H1937" s="4" t="s">
        <v>91</v>
      </c>
      <c r="I1937" s="5" t="str">
        <f>IFERROR(VLOOKUP(Consulta1[[#This Row],[Pozo largo]],'Lista YPF'!$B$3:$C$358,2,FALSE),"NO")</f>
        <v>En lista de Abandono</v>
      </c>
      <c r="J1937" s="5" t="str">
        <f>IFERROR(VLOOKUP(Consulta1[[#This Row],[Pozo]],'Lista Oportunidades'!B:C,2,FALSE),"NO")</f>
        <v>NO</v>
      </c>
      <c r="K1937" s="5">
        <f>IFERROR(VLOOKUP(Consulta1[[#This Row],[Pozo largo]],Controles!B:H,7,FALSE),"NO")</f>
        <v>0</v>
      </c>
      <c r="L1937" s="5">
        <f>IFERROR(VLOOKUP(Consulta1[[#This Row],[Pozo largo]],Controles!B:J,9,FALSE),"NO")</f>
        <v>0</v>
      </c>
    </row>
    <row r="1938" spans="2:12" x14ac:dyDescent="0.35">
      <c r="B1938" s="4" t="s">
        <v>3713</v>
      </c>
      <c r="C1938" s="4" t="s">
        <v>7651</v>
      </c>
      <c r="D1938" s="4" t="s">
        <v>5</v>
      </c>
      <c r="E1938" s="4" t="s">
        <v>12</v>
      </c>
      <c r="F1938" s="4" t="s">
        <v>28</v>
      </c>
      <c r="G1938" s="4" t="s">
        <v>13</v>
      </c>
      <c r="H1938" s="4" t="s">
        <v>91</v>
      </c>
      <c r="I1938" s="5" t="str">
        <f>IFERROR(VLOOKUP(Consulta1[[#This Row],[Pozo largo]],'Lista YPF'!$B$3:$C$358,2,FALSE),"NO")</f>
        <v>NO</v>
      </c>
      <c r="J1938" s="5" t="str">
        <f>IFERROR(VLOOKUP(Consulta1[[#This Row],[Pozo]],'Lista Oportunidades'!B:C,2,FALSE),"NO")</f>
        <v>NO</v>
      </c>
      <c r="K1938" s="5">
        <f>IFERROR(VLOOKUP(Consulta1[[#This Row],[Pozo largo]],Controles!B:H,7,FALSE),"NO")</f>
        <v>0</v>
      </c>
      <c r="L1938" s="5">
        <f>IFERROR(VLOOKUP(Consulta1[[#This Row],[Pozo largo]],Controles!B:J,9,FALSE),"NO")</f>
        <v>0</v>
      </c>
    </row>
    <row r="1939" spans="2:12" x14ac:dyDescent="0.35">
      <c r="B1939" s="4" t="s">
        <v>3715</v>
      </c>
      <c r="C1939" s="4" t="s">
        <v>7652</v>
      </c>
      <c r="D1939" s="4" t="s">
        <v>5</v>
      </c>
      <c r="E1939" s="4" t="s">
        <v>30</v>
      </c>
      <c r="F1939" s="4" t="s">
        <v>31</v>
      </c>
      <c r="G1939" s="4" t="s">
        <v>32</v>
      </c>
      <c r="H1939" s="4" t="s">
        <v>91</v>
      </c>
      <c r="I1939" s="5" t="str">
        <f>IFERROR(VLOOKUP(Consulta1[[#This Row],[Pozo largo]],'Lista YPF'!$B$3:$C$358,2,FALSE),"NO")</f>
        <v>NO</v>
      </c>
      <c r="J1939" s="5" t="str">
        <f>IFERROR(VLOOKUP(Consulta1[[#This Row],[Pozo]],'Lista Oportunidades'!B:C,2,FALSE),"NO")</f>
        <v>NO</v>
      </c>
      <c r="K1939" s="5">
        <f>IFERROR(VLOOKUP(Consulta1[[#This Row],[Pozo largo]],Controles!B:H,7,FALSE),"NO")</f>
        <v>0.18</v>
      </c>
      <c r="L1939" s="5">
        <f>IFERROR(VLOOKUP(Consulta1[[#This Row],[Pozo largo]],Controles!B:J,9,FALSE),"NO")</f>
        <v>0</v>
      </c>
    </row>
    <row r="1940" spans="2:12" x14ac:dyDescent="0.35">
      <c r="B1940" s="4" t="s">
        <v>3717</v>
      </c>
      <c r="C1940" s="4" t="s">
        <v>7653</v>
      </c>
      <c r="D1940" s="4" t="s">
        <v>5</v>
      </c>
      <c r="E1940" s="4" t="s">
        <v>30</v>
      </c>
      <c r="F1940" s="4" t="s">
        <v>31</v>
      </c>
      <c r="G1940" s="4" t="s">
        <v>32</v>
      </c>
      <c r="H1940" s="4" t="s">
        <v>80</v>
      </c>
      <c r="I1940" s="5" t="str">
        <f>IFERROR(VLOOKUP(Consulta1[[#This Row],[Pozo largo]],'Lista YPF'!$B$3:$C$358,2,FALSE),"NO")</f>
        <v>NO</v>
      </c>
      <c r="J1940" s="5" t="str">
        <f>IFERROR(VLOOKUP(Consulta1[[#This Row],[Pozo]],'Lista Oportunidades'!B:C,2,FALSE),"NO")</f>
        <v>NO</v>
      </c>
      <c r="K1940" s="5">
        <f>IFERROR(VLOOKUP(Consulta1[[#This Row],[Pozo largo]],Controles!B:H,7,FALSE),"NO")</f>
        <v>0.49500000000000005</v>
      </c>
      <c r="L1940" s="5">
        <f>IFERROR(VLOOKUP(Consulta1[[#This Row],[Pozo largo]],Controles!B:J,9,FALSE),"NO")</f>
        <v>0</v>
      </c>
    </row>
    <row r="1941" spans="2:12" x14ac:dyDescent="0.35">
      <c r="B1941" s="4" t="s">
        <v>3719</v>
      </c>
      <c r="C1941" s="4" t="s">
        <v>7654</v>
      </c>
      <c r="D1941" s="4" t="s">
        <v>5</v>
      </c>
      <c r="E1941" s="4" t="s">
        <v>12</v>
      </c>
      <c r="F1941" s="4" t="s">
        <v>7</v>
      </c>
      <c r="G1941" s="4" t="s">
        <v>13</v>
      </c>
      <c r="H1941" s="4" t="s">
        <v>86</v>
      </c>
      <c r="I1941" s="5" t="str">
        <f>IFERROR(VLOOKUP(Consulta1[[#This Row],[Pozo largo]],'Lista YPF'!$B$3:$C$358,2,FALSE),"NO")</f>
        <v>NO</v>
      </c>
      <c r="J1941" s="5" t="str">
        <f>IFERROR(VLOOKUP(Consulta1[[#This Row],[Pozo]],'Lista Oportunidades'!B:C,2,FALSE),"NO")</f>
        <v>NO</v>
      </c>
      <c r="K1941" s="5">
        <f>IFERROR(VLOOKUP(Consulta1[[#This Row],[Pozo largo]],Controles!B:H,7,FALSE),"NO")</f>
        <v>1.6</v>
      </c>
      <c r="L1941" s="5">
        <f>IFERROR(VLOOKUP(Consulta1[[#This Row],[Pozo largo]],Controles!B:J,9,FALSE),"NO")</f>
        <v>0</v>
      </c>
    </row>
    <row r="1942" spans="2:12" x14ac:dyDescent="0.35">
      <c r="B1942" s="4" t="s">
        <v>3721</v>
      </c>
      <c r="C1942" s="4" t="s">
        <v>7655</v>
      </c>
      <c r="D1942" s="4" t="s">
        <v>5</v>
      </c>
      <c r="E1942" s="4" t="s">
        <v>12</v>
      </c>
      <c r="F1942" s="4" t="s">
        <v>25</v>
      </c>
      <c r="G1942" s="4" t="s">
        <v>13</v>
      </c>
      <c r="H1942" s="4" t="s">
        <v>86</v>
      </c>
      <c r="I1942" s="5" t="str">
        <f>IFERROR(VLOOKUP(Consulta1[[#This Row],[Pozo largo]],'Lista YPF'!$B$3:$C$358,2,FALSE),"NO")</f>
        <v>NO</v>
      </c>
      <c r="J1942" s="5" t="str">
        <f>IFERROR(VLOOKUP(Consulta1[[#This Row],[Pozo]],'Lista Oportunidades'!B:C,2,FALSE),"NO")</f>
        <v>NO</v>
      </c>
      <c r="K1942" s="5">
        <f>IFERROR(VLOOKUP(Consulta1[[#This Row],[Pozo largo]],Controles!B:H,7,FALSE),"NO")</f>
        <v>0.161</v>
      </c>
      <c r="L1942" s="5">
        <f>IFERROR(VLOOKUP(Consulta1[[#This Row],[Pozo largo]],Controles!B:J,9,FALSE),"NO")</f>
        <v>0</v>
      </c>
    </row>
    <row r="1943" spans="2:12" x14ac:dyDescent="0.35">
      <c r="B1943" s="4" t="s">
        <v>3723</v>
      </c>
      <c r="C1943" s="4" t="s">
        <v>7656</v>
      </c>
      <c r="D1943" s="4" t="s">
        <v>5</v>
      </c>
      <c r="E1943" s="4" t="s">
        <v>30</v>
      </c>
      <c r="F1943" s="4" t="s">
        <v>31</v>
      </c>
      <c r="G1943" s="4" t="s">
        <v>32</v>
      </c>
      <c r="H1943" s="4" t="s">
        <v>86</v>
      </c>
      <c r="I1943" s="5" t="str">
        <f>IFERROR(VLOOKUP(Consulta1[[#This Row],[Pozo largo]],'Lista YPF'!$B$3:$C$358,2,FALSE),"NO")</f>
        <v>NO</v>
      </c>
      <c r="J1943" s="5" t="str">
        <f>IFERROR(VLOOKUP(Consulta1[[#This Row],[Pozo]],'Lista Oportunidades'!B:C,2,FALSE),"NO")</f>
        <v>NO</v>
      </c>
      <c r="K1943" s="5">
        <f>IFERROR(VLOOKUP(Consulta1[[#This Row],[Pozo largo]],Controles!B:H,7,FALSE),"NO")</f>
        <v>0.26100000000000001</v>
      </c>
      <c r="L1943" s="5">
        <f>IFERROR(VLOOKUP(Consulta1[[#This Row],[Pozo largo]],Controles!B:J,9,FALSE),"NO")</f>
        <v>0</v>
      </c>
    </row>
    <row r="1944" spans="2:12" x14ac:dyDescent="0.35">
      <c r="B1944" s="4" t="s">
        <v>3725</v>
      </c>
      <c r="C1944" s="4" t="s">
        <v>7657</v>
      </c>
      <c r="D1944" s="4" t="s">
        <v>5</v>
      </c>
      <c r="E1944" s="4" t="s">
        <v>12</v>
      </c>
      <c r="F1944" s="4" t="s">
        <v>7</v>
      </c>
      <c r="G1944" s="4" t="s">
        <v>13</v>
      </c>
      <c r="H1944" s="4" t="s">
        <v>71</v>
      </c>
      <c r="I1944" s="5" t="str">
        <f>IFERROR(VLOOKUP(Consulta1[[#This Row],[Pozo largo]],'Lista YPF'!$B$3:$C$358,2,FALSE),"NO")</f>
        <v>NO</v>
      </c>
      <c r="J1944" s="5" t="str">
        <f>IFERROR(VLOOKUP(Consulta1[[#This Row],[Pozo]],'Lista Oportunidades'!B:C,2,FALSE),"NO")</f>
        <v>NO</v>
      </c>
      <c r="K1944" s="5">
        <f>IFERROR(VLOOKUP(Consulta1[[#This Row],[Pozo largo]],Controles!B:H,7,FALSE),"NO")</f>
        <v>0.70000000000000007</v>
      </c>
      <c r="L1944" s="5">
        <f>IFERROR(VLOOKUP(Consulta1[[#This Row],[Pozo largo]],Controles!B:J,9,FALSE),"NO")</f>
        <v>0</v>
      </c>
    </row>
    <row r="1945" spans="2:12" x14ac:dyDescent="0.35">
      <c r="B1945" s="4" t="s">
        <v>3727</v>
      </c>
      <c r="C1945" s="4" t="s">
        <v>7658</v>
      </c>
      <c r="D1945" s="4" t="s">
        <v>5</v>
      </c>
      <c r="E1945" s="4" t="s">
        <v>12</v>
      </c>
      <c r="F1945" s="4" t="s">
        <v>7</v>
      </c>
      <c r="G1945" s="4" t="s">
        <v>13</v>
      </c>
      <c r="H1945" s="4" t="s">
        <v>185</v>
      </c>
      <c r="I1945" s="5" t="str">
        <f>IFERROR(VLOOKUP(Consulta1[[#This Row],[Pozo largo]],'Lista YPF'!$B$3:$C$358,2,FALSE),"NO")</f>
        <v>NO</v>
      </c>
      <c r="J1945" s="5" t="str">
        <f>IFERROR(VLOOKUP(Consulta1[[#This Row],[Pozo]],'Lista Oportunidades'!B:C,2,FALSE),"NO")</f>
        <v>NO</v>
      </c>
      <c r="K1945" s="5">
        <f>IFERROR(VLOOKUP(Consulta1[[#This Row],[Pozo largo]],Controles!B:H,7,FALSE),"NO")</f>
        <v>0.5</v>
      </c>
      <c r="L1945" s="5">
        <f>IFERROR(VLOOKUP(Consulta1[[#This Row],[Pozo largo]],Controles!B:J,9,FALSE),"NO")</f>
        <v>0</v>
      </c>
    </row>
    <row r="1946" spans="2:12" x14ac:dyDescent="0.35">
      <c r="B1946" s="4" t="s">
        <v>3729</v>
      </c>
      <c r="C1946" s="4" t="s">
        <v>7659</v>
      </c>
      <c r="D1946" s="4" t="s">
        <v>5</v>
      </c>
      <c r="E1946" s="4" t="s">
        <v>24</v>
      </c>
      <c r="F1946" s="4" t="s">
        <v>31</v>
      </c>
      <c r="G1946" s="4" t="s">
        <v>8</v>
      </c>
      <c r="H1946" s="4" t="s">
        <v>141</v>
      </c>
      <c r="I1946" s="5" t="str">
        <f>IFERROR(VLOOKUP(Consulta1[[#This Row],[Pozo largo]],'Lista YPF'!$B$3:$C$358,2,FALSE),"NO")</f>
        <v>NO</v>
      </c>
      <c r="J1946" s="5" t="str">
        <f>IFERROR(VLOOKUP(Consulta1[[#This Row],[Pozo]],'Lista Oportunidades'!B:C,2,FALSE),"NO")</f>
        <v>NO</v>
      </c>
      <c r="K1946" s="5" t="str">
        <f>IFERROR(VLOOKUP(Consulta1[[#This Row],[Pozo largo]],Controles!B:H,7,FALSE),"NO")</f>
        <v>NO</v>
      </c>
      <c r="L1946" s="5" t="str">
        <f>IFERROR(VLOOKUP(Consulta1[[#This Row],[Pozo largo]],Controles!B:J,9,FALSE),"NO")</f>
        <v>NO</v>
      </c>
    </row>
    <row r="1947" spans="2:12" x14ac:dyDescent="0.35">
      <c r="B1947" s="4" t="s">
        <v>3730</v>
      </c>
      <c r="C1947" s="4" t="s">
        <v>7660</v>
      </c>
      <c r="D1947" s="4" t="s">
        <v>5</v>
      </c>
      <c r="E1947" s="4" t="s">
        <v>12</v>
      </c>
      <c r="F1947" s="4" t="s">
        <v>7</v>
      </c>
      <c r="G1947" s="4" t="s">
        <v>13</v>
      </c>
      <c r="H1947" s="4" t="s">
        <v>185</v>
      </c>
      <c r="I1947" s="5" t="str">
        <f>IFERROR(VLOOKUP(Consulta1[[#This Row],[Pozo largo]],'Lista YPF'!$B$3:$C$358,2,FALSE),"NO")</f>
        <v>NO</v>
      </c>
      <c r="J1947" s="5" t="str">
        <f>IFERROR(VLOOKUP(Consulta1[[#This Row],[Pozo]],'Lista Oportunidades'!B:C,2,FALSE),"NO")</f>
        <v>NO</v>
      </c>
      <c r="K1947" s="5">
        <f>IFERROR(VLOOKUP(Consulta1[[#This Row],[Pozo largo]],Controles!B:H,7,FALSE),"NO")</f>
        <v>1.3860000000000001</v>
      </c>
      <c r="L1947" s="5">
        <f>IFERROR(VLOOKUP(Consulta1[[#This Row],[Pozo largo]],Controles!B:J,9,FALSE),"NO")</f>
        <v>0</v>
      </c>
    </row>
    <row r="1948" spans="2:12" x14ac:dyDescent="0.35">
      <c r="B1948" s="4" t="s">
        <v>3732</v>
      </c>
      <c r="C1948" s="4" t="s">
        <v>7661</v>
      </c>
      <c r="D1948" s="4" t="s">
        <v>5</v>
      </c>
      <c r="E1948" s="4" t="s">
        <v>6</v>
      </c>
      <c r="F1948" s="4" t="s">
        <v>31</v>
      </c>
      <c r="G1948" s="4" t="s">
        <v>5718</v>
      </c>
      <c r="H1948" s="4" t="s">
        <v>21</v>
      </c>
      <c r="I1948" s="5" t="str">
        <f>IFERROR(VLOOKUP(Consulta1[[#This Row],[Pozo largo]],'Lista YPF'!$B$3:$C$358,2,FALSE),"NO")</f>
        <v>En lista de Abandono</v>
      </c>
      <c r="J1948" s="5" t="str">
        <f>IFERROR(VLOOKUP(Consulta1[[#This Row],[Pozo]],'Lista Oportunidades'!B:C,2,FALSE),"NO")</f>
        <v>NO</v>
      </c>
      <c r="K1948" s="5">
        <f>IFERROR(VLOOKUP(Consulta1[[#This Row],[Pozo largo]],Controles!B:H,7,FALSE),"NO")</f>
        <v>0.34900000000000003</v>
      </c>
      <c r="L1948" s="5">
        <f>IFERROR(VLOOKUP(Consulta1[[#This Row],[Pozo largo]],Controles!B:J,9,FALSE),"NO")</f>
        <v>0</v>
      </c>
    </row>
    <row r="1949" spans="2:12" x14ac:dyDescent="0.35">
      <c r="B1949" s="4" t="s">
        <v>3734</v>
      </c>
      <c r="C1949" s="4" t="s">
        <v>7662</v>
      </c>
      <c r="D1949" s="4" t="s">
        <v>5</v>
      </c>
      <c r="E1949" s="4" t="s">
        <v>826</v>
      </c>
      <c r="F1949" s="4" t="s">
        <v>28</v>
      </c>
      <c r="G1949" s="4" t="s">
        <v>5718</v>
      </c>
      <c r="H1949" s="4" t="s">
        <v>80</v>
      </c>
      <c r="I1949" s="5" t="str">
        <f>IFERROR(VLOOKUP(Consulta1[[#This Row],[Pozo largo]],'Lista YPF'!$B$3:$C$358,2,FALSE),"NO")</f>
        <v>En lista de Abandono</v>
      </c>
      <c r="J1949" s="5" t="str">
        <f>IFERROR(VLOOKUP(Consulta1[[#This Row],[Pozo]],'Lista Oportunidades'!B:C,2,FALSE),"NO")</f>
        <v>NO</v>
      </c>
      <c r="K1949" s="5">
        <f>IFERROR(VLOOKUP(Consulta1[[#This Row],[Pozo largo]],Controles!B:H,7,FALSE),"NO")</f>
        <v>0</v>
      </c>
      <c r="L1949" s="5">
        <f>IFERROR(VLOOKUP(Consulta1[[#This Row],[Pozo largo]],Controles!B:J,9,FALSE),"NO")</f>
        <v>0</v>
      </c>
    </row>
    <row r="1950" spans="2:12" x14ac:dyDescent="0.35">
      <c r="B1950" s="4" t="s">
        <v>3736</v>
      </c>
      <c r="C1950" s="4" t="s">
        <v>7663</v>
      </c>
      <c r="D1950" s="4" t="s">
        <v>5</v>
      </c>
      <c r="E1950" s="4" t="s">
        <v>57</v>
      </c>
      <c r="F1950" s="4" t="s">
        <v>31</v>
      </c>
      <c r="G1950" s="4" t="s">
        <v>11387</v>
      </c>
      <c r="H1950" s="4" t="s">
        <v>86</v>
      </c>
      <c r="I1950" s="5" t="str">
        <f>IFERROR(VLOOKUP(Consulta1[[#This Row],[Pozo largo]],'Lista YPF'!$B$3:$C$358,2,FALSE),"NO")</f>
        <v>NO</v>
      </c>
      <c r="J1950" s="5" t="str">
        <f>IFERROR(VLOOKUP(Consulta1[[#This Row],[Pozo]],'Lista Oportunidades'!B:C,2,FALSE),"NO")</f>
        <v>NO</v>
      </c>
      <c r="K1950" s="5">
        <f>IFERROR(VLOOKUP(Consulta1[[#This Row],[Pozo largo]],Controles!B:H,7,FALSE),"NO")</f>
        <v>1.0290000000000001</v>
      </c>
      <c r="L1950" s="5" t="str">
        <f>IFERROR(VLOOKUP(Consulta1[[#This Row],[Pozo largo]],Controles!B:J,9,FALSE),"NO")</f>
        <v>Ultimo Año</v>
      </c>
    </row>
    <row r="1951" spans="2:12" x14ac:dyDescent="0.35">
      <c r="B1951" s="4" t="s">
        <v>3738</v>
      </c>
      <c r="C1951" s="4" t="s">
        <v>7664</v>
      </c>
      <c r="D1951" s="4" t="s">
        <v>5</v>
      </c>
      <c r="E1951" s="4" t="s">
        <v>12</v>
      </c>
      <c r="F1951" s="4" t="s">
        <v>7</v>
      </c>
      <c r="G1951" s="4" t="s">
        <v>13</v>
      </c>
      <c r="H1951" s="4" t="s">
        <v>86</v>
      </c>
      <c r="I1951" s="5" t="str">
        <f>IFERROR(VLOOKUP(Consulta1[[#This Row],[Pozo largo]],'Lista YPF'!$B$3:$C$358,2,FALSE),"NO")</f>
        <v>NO</v>
      </c>
      <c r="J1951" s="5" t="str">
        <f>IFERROR(VLOOKUP(Consulta1[[#This Row],[Pozo]],'Lista Oportunidades'!B:C,2,FALSE),"NO")</f>
        <v>NO</v>
      </c>
      <c r="K1951" s="5">
        <f>IFERROR(VLOOKUP(Consulta1[[#This Row],[Pozo largo]],Controles!B:H,7,FALSE),"NO")</f>
        <v>1.2</v>
      </c>
      <c r="L1951" s="5">
        <f>IFERROR(VLOOKUP(Consulta1[[#This Row],[Pozo largo]],Controles!B:J,9,FALSE),"NO")</f>
        <v>0</v>
      </c>
    </row>
    <row r="1952" spans="2:12" x14ac:dyDescent="0.35">
      <c r="B1952" s="4" t="s">
        <v>3740</v>
      </c>
      <c r="C1952" s="4" t="s">
        <v>7665</v>
      </c>
      <c r="D1952" s="4" t="s">
        <v>5</v>
      </c>
      <c r="E1952" s="4" t="s">
        <v>30</v>
      </c>
      <c r="F1952" s="4" t="s">
        <v>31</v>
      </c>
      <c r="G1952" s="4" t="s">
        <v>32</v>
      </c>
      <c r="H1952" s="4" t="s">
        <v>86</v>
      </c>
      <c r="I1952" s="5" t="str">
        <f>IFERROR(VLOOKUP(Consulta1[[#This Row],[Pozo largo]],'Lista YPF'!$B$3:$C$358,2,FALSE),"NO")</f>
        <v>NO</v>
      </c>
      <c r="J1952" s="5" t="str">
        <f>IFERROR(VLOOKUP(Consulta1[[#This Row],[Pozo]],'Lista Oportunidades'!B:C,2,FALSE),"NO")</f>
        <v>NO</v>
      </c>
      <c r="K1952" s="5" t="str">
        <f>IFERROR(VLOOKUP(Consulta1[[#This Row],[Pozo largo]],Controles!B:H,7,FALSE),"NO")</f>
        <v>NO</v>
      </c>
      <c r="L1952" s="5" t="str">
        <f>IFERROR(VLOOKUP(Consulta1[[#This Row],[Pozo largo]],Controles!B:J,9,FALSE),"NO")</f>
        <v>NO</v>
      </c>
    </row>
    <row r="1953" spans="2:12" x14ac:dyDescent="0.35">
      <c r="B1953" s="4" t="s">
        <v>3741</v>
      </c>
      <c r="C1953" s="4" t="s">
        <v>7666</v>
      </c>
      <c r="D1953" s="4" t="s">
        <v>5</v>
      </c>
      <c r="E1953" s="4" t="s">
        <v>12</v>
      </c>
      <c r="F1953" s="4" t="s">
        <v>28</v>
      </c>
      <c r="G1953" s="4" t="s">
        <v>13</v>
      </c>
      <c r="H1953" s="4" t="s">
        <v>80</v>
      </c>
      <c r="I1953" s="5" t="str">
        <f>IFERROR(VLOOKUP(Consulta1[[#This Row],[Pozo largo]],'Lista YPF'!$B$3:$C$358,2,FALSE),"NO")</f>
        <v>NO</v>
      </c>
      <c r="J1953" s="5" t="str">
        <f>IFERROR(VLOOKUP(Consulta1[[#This Row],[Pozo]],'Lista Oportunidades'!B:C,2,FALSE),"NO")</f>
        <v>NO</v>
      </c>
      <c r="K1953" s="5">
        <f>IFERROR(VLOOKUP(Consulta1[[#This Row],[Pozo largo]],Controles!B:H,7,FALSE),"NO")</f>
        <v>0</v>
      </c>
      <c r="L1953" s="5">
        <f>IFERROR(VLOOKUP(Consulta1[[#This Row],[Pozo largo]],Controles!B:J,9,FALSE),"NO")</f>
        <v>0</v>
      </c>
    </row>
    <row r="1954" spans="2:12" x14ac:dyDescent="0.35">
      <c r="B1954" s="4" t="s">
        <v>3743</v>
      </c>
      <c r="C1954" s="4" t="s">
        <v>7667</v>
      </c>
      <c r="D1954" s="4" t="s">
        <v>5</v>
      </c>
      <c r="E1954" s="4" t="s">
        <v>12</v>
      </c>
      <c r="F1954" s="4" t="s">
        <v>25</v>
      </c>
      <c r="G1954" s="4" t="s">
        <v>13</v>
      </c>
      <c r="H1954" s="4" t="s">
        <v>86</v>
      </c>
      <c r="I1954" s="5" t="str">
        <f>IFERROR(VLOOKUP(Consulta1[[#This Row],[Pozo largo]],'Lista YPF'!$B$3:$C$358,2,FALSE),"NO")</f>
        <v>NO</v>
      </c>
      <c r="J1954" s="5" t="str">
        <f>IFERROR(VLOOKUP(Consulta1[[#This Row],[Pozo]],'Lista Oportunidades'!B:C,2,FALSE),"NO")</f>
        <v>NO</v>
      </c>
      <c r="K1954" s="5">
        <f>IFERROR(VLOOKUP(Consulta1[[#This Row],[Pozo largo]],Controles!B:H,7,FALSE),"NO")</f>
        <v>0.19</v>
      </c>
      <c r="L1954" s="5">
        <f>IFERROR(VLOOKUP(Consulta1[[#This Row],[Pozo largo]],Controles!B:J,9,FALSE),"NO")</f>
        <v>0</v>
      </c>
    </row>
    <row r="1955" spans="2:12" x14ac:dyDescent="0.35">
      <c r="B1955" s="4" t="s">
        <v>3745</v>
      </c>
      <c r="C1955" s="4" t="s">
        <v>7668</v>
      </c>
      <c r="D1955" s="4" t="s">
        <v>5</v>
      </c>
      <c r="E1955" s="4" t="s">
        <v>12</v>
      </c>
      <c r="F1955" s="4" t="s">
        <v>7</v>
      </c>
      <c r="G1955" s="4" t="s">
        <v>13</v>
      </c>
      <c r="H1955" s="4" t="s">
        <v>86</v>
      </c>
      <c r="I1955" s="5" t="str">
        <f>IFERROR(VLOOKUP(Consulta1[[#This Row],[Pozo largo]],'Lista YPF'!$B$3:$C$358,2,FALSE),"NO")</f>
        <v>NO</v>
      </c>
      <c r="J1955" s="5" t="str">
        <f>IFERROR(VLOOKUP(Consulta1[[#This Row],[Pozo]],'Lista Oportunidades'!B:C,2,FALSE),"NO")</f>
        <v>NO</v>
      </c>
      <c r="K1955" s="5">
        <f>IFERROR(VLOOKUP(Consulta1[[#This Row],[Pozo largo]],Controles!B:H,7,FALSE),"NO")</f>
        <v>1.3170000000000002</v>
      </c>
      <c r="L1955" s="5">
        <f>IFERROR(VLOOKUP(Consulta1[[#This Row],[Pozo largo]],Controles!B:J,9,FALSE),"NO")</f>
        <v>0</v>
      </c>
    </row>
    <row r="1956" spans="2:12" x14ac:dyDescent="0.35">
      <c r="B1956" s="4" t="s">
        <v>3747</v>
      </c>
      <c r="C1956" s="4" t="s">
        <v>7669</v>
      </c>
      <c r="D1956" s="4" t="s">
        <v>5</v>
      </c>
      <c r="E1956" s="4" t="s">
        <v>12</v>
      </c>
      <c r="F1956" s="4" t="s">
        <v>25</v>
      </c>
      <c r="G1956" s="4" t="s">
        <v>13</v>
      </c>
      <c r="H1956" s="4" t="s">
        <v>86</v>
      </c>
      <c r="I1956" s="5" t="str">
        <f>IFERROR(VLOOKUP(Consulta1[[#This Row],[Pozo largo]],'Lista YPF'!$B$3:$C$358,2,FALSE),"NO")</f>
        <v>NO</v>
      </c>
      <c r="J1956" s="5" t="str">
        <f>IFERROR(VLOOKUP(Consulta1[[#This Row],[Pozo]],'Lista Oportunidades'!B:C,2,FALSE),"NO")</f>
        <v>NO</v>
      </c>
      <c r="K1956" s="5">
        <f>IFERROR(VLOOKUP(Consulta1[[#This Row],[Pozo largo]],Controles!B:H,7,FALSE),"NO")</f>
        <v>0.17300000000000001</v>
      </c>
      <c r="L1956" s="5">
        <f>IFERROR(VLOOKUP(Consulta1[[#This Row],[Pozo largo]],Controles!B:J,9,FALSE),"NO")</f>
        <v>0</v>
      </c>
    </row>
    <row r="1957" spans="2:12" x14ac:dyDescent="0.35">
      <c r="B1957" s="4" t="s">
        <v>3749</v>
      </c>
      <c r="C1957" s="4" t="s">
        <v>7670</v>
      </c>
      <c r="D1957" s="4" t="s">
        <v>5</v>
      </c>
      <c r="E1957" s="4" t="s">
        <v>24</v>
      </c>
      <c r="F1957" s="4" t="s">
        <v>31</v>
      </c>
      <c r="G1957" s="4" t="s">
        <v>8</v>
      </c>
      <c r="H1957" s="4" t="s">
        <v>86</v>
      </c>
      <c r="I1957" s="5" t="str">
        <f>IFERROR(VLOOKUP(Consulta1[[#This Row],[Pozo largo]],'Lista YPF'!$B$3:$C$358,2,FALSE),"NO")</f>
        <v>NO</v>
      </c>
      <c r="J1957" s="5" t="str">
        <f>IFERROR(VLOOKUP(Consulta1[[#This Row],[Pozo]],'Lista Oportunidades'!B:C,2,FALSE),"NO")</f>
        <v>NO</v>
      </c>
      <c r="K1957" s="5" t="str">
        <f>IFERROR(VLOOKUP(Consulta1[[#This Row],[Pozo largo]],Controles!B:H,7,FALSE),"NO")</f>
        <v>NO</v>
      </c>
      <c r="L1957" s="5" t="str">
        <f>IFERROR(VLOOKUP(Consulta1[[#This Row],[Pozo largo]],Controles!B:J,9,FALSE),"NO")</f>
        <v>NO</v>
      </c>
    </row>
    <row r="1958" spans="2:12" x14ac:dyDescent="0.35">
      <c r="B1958" s="4" t="s">
        <v>3750</v>
      </c>
      <c r="C1958" s="4" t="s">
        <v>7671</v>
      </c>
      <c r="D1958" s="4" t="s">
        <v>5</v>
      </c>
      <c r="E1958" s="4" t="s">
        <v>57</v>
      </c>
      <c r="F1958" s="4" t="s">
        <v>31</v>
      </c>
      <c r="G1958" s="4" t="s">
        <v>11385</v>
      </c>
      <c r="H1958" s="4" t="s">
        <v>86</v>
      </c>
      <c r="I1958" s="5" t="str">
        <f>IFERROR(VLOOKUP(Consulta1[[#This Row],[Pozo largo]],'Lista YPF'!$B$3:$C$358,2,FALSE),"NO")</f>
        <v>NO</v>
      </c>
      <c r="J1958" s="5" t="str">
        <f>IFERROR(VLOOKUP(Consulta1[[#This Row],[Pozo]],'Lista Oportunidades'!B:C,2,FALSE),"NO")</f>
        <v>NO</v>
      </c>
      <c r="K1958" s="5">
        <f>IFERROR(VLOOKUP(Consulta1[[#This Row],[Pozo largo]],Controles!B:H,7,FALSE),"NO")</f>
        <v>1.5</v>
      </c>
      <c r="L1958" s="5" t="str">
        <f>IFERROR(VLOOKUP(Consulta1[[#This Row],[Pozo largo]],Controles!B:J,9,FALSE),"NO")</f>
        <v>Ultimo Año</v>
      </c>
    </row>
    <row r="1959" spans="2:12" x14ac:dyDescent="0.35">
      <c r="B1959" s="4" t="s">
        <v>3752</v>
      </c>
      <c r="C1959" s="4" t="s">
        <v>7672</v>
      </c>
      <c r="D1959" s="4" t="s">
        <v>5</v>
      </c>
      <c r="E1959" s="4" t="s">
        <v>30</v>
      </c>
      <c r="F1959" s="4" t="s">
        <v>31</v>
      </c>
      <c r="G1959" s="4" t="s">
        <v>32</v>
      </c>
      <c r="H1959" s="4" t="s">
        <v>86</v>
      </c>
      <c r="I1959" s="5" t="str">
        <f>IFERROR(VLOOKUP(Consulta1[[#This Row],[Pozo largo]],'Lista YPF'!$B$3:$C$358,2,FALSE),"NO")</f>
        <v>NO</v>
      </c>
      <c r="J1959" s="5" t="str">
        <f>IFERROR(VLOOKUP(Consulta1[[#This Row],[Pozo]],'Lista Oportunidades'!B:C,2,FALSE),"NO")</f>
        <v>NO</v>
      </c>
      <c r="K1959" s="5">
        <f>IFERROR(VLOOKUP(Consulta1[[#This Row],[Pozo largo]],Controles!B:H,7,FALSE),"NO")</f>
        <v>0.57999999999999996</v>
      </c>
      <c r="L1959" s="5">
        <f>IFERROR(VLOOKUP(Consulta1[[#This Row],[Pozo largo]],Controles!B:J,9,FALSE),"NO")</f>
        <v>0</v>
      </c>
    </row>
    <row r="1960" spans="2:12" x14ac:dyDescent="0.35">
      <c r="B1960" s="4" t="s">
        <v>3754</v>
      </c>
      <c r="C1960" s="4" t="s">
        <v>7673</v>
      </c>
      <c r="D1960" s="4" t="s">
        <v>5</v>
      </c>
      <c r="E1960" s="4" t="s">
        <v>12</v>
      </c>
      <c r="F1960" s="4" t="s">
        <v>25</v>
      </c>
      <c r="G1960" s="4" t="s">
        <v>13</v>
      </c>
      <c r="H1960" s="4" t="s">
        <v>86</v>
      </c>
      <c r="I1960" s="5" t="str">
        <f>IFERROR(VLOOKUP(Consulta1[[#This Row],[Pozo largo]],'Lista YPF'!$B$3:$C$358,2,FALSE),"NO")</f>
        <v>NO</v>
      </c>
      <c r="J1960" s="5" t="str">
        <f>IFERROR(VLOOKUP(Consulta1[[#This Row],[Pozo]],'Lista Oportunidades'!B:C,2,FALSE),"NO")</f>
        <v>NO</v>
      </c>
      <c r="K1960" s="5">
        <f>IFERROR(VLOOKUP(Consulta1[[#This Row],[Pozo largo]],Controles!B:H,7,FALSE),"NO")</f>
        <v>0.18</v>
      </c>
      <c r="L1960" s="5">
        <f>IFERROR(VLOOKUP(Consulta1[[#This Row],[Pozo largo]],Controles!B:J,9,FALSE),"NO")</f>
        <v>0</v>
      </c>
    </row>
    <row r="1961" spans="2:12" x14ac:dyDescent="0.35">
      <c r="B1961" s="4" t="s">
        <v>3756</v>
      </c>
      <c r="C1961" s="4" t="s">
        <v>7674</v>
      </c>
      <c r="D1961" s="4" t="s">
        <v>5</v>
      </c>
      <c r="E1961" s="4" t="s">
        <v>24</v>
      </c>
      <c r="F1961" s="4" t="s">
        <v>31</v>
      </c>
      <c r="G1961" s="4" t="s">
        <v>8</v>
      </c>
      <c r="H1961" s="4" t="s">
        <v>185</v>
      </c>
      <c r="I1961" s="5" t="str">
        <f>IFERROR(VLOOKUP(Consulta1[[#This Row],[Pozo largo]],'Lista YPF'!$B$3:$C$358,2,FALSE),"NO")</f>
        <v>NO</v>
      </c>
      <c r="J1961" s="5" t="str">
        <f>IFERROR(VLOOKUP(Consulta1[[#This Row],[Pozo]],'Lista Oportunidades'!B:C,2,FALSE),"NO")</f>
        <v>NO</v>
      </c>
      <c r="K1961" s="5" t="str">
        <f>IFERROR(VLOOKUP(Consulta1[[#This Row],[Pozo largo]],Controles!B:H,7,FALSE),"NO")</f>
        <v>NO</v>
      </c>
      <c r="L1961" s="5" t="str">
        <f>IFERROR(VLOOKUP(Consulta1[[#This Row],[Pozo largo]],Controles!B:J,9,FALSE),"NO")</f>
        <v>NO</v>
      </c>
    </row>
    <row r="1962" spans="2:12" x14ac:dyDescent="0.35">
      <c r="B1962" s="4" t="s">
        <v>3757</v>
      </c>
      <c r="C1962" s="4" t="s">
        <v>7675</v>
      </c>
      <c r="D1962" s="4" t="s">
        <v>5</v>
      </c>
      <c r="E1962" s="4" t="s">
        <v>24</v>
      </c>
      <c r="F1962" s="4" t="s">
        <v>31</v>
      </c>
      <c r="G1962" s="4" t="s">
        <v>8</v>
      </c>
      <c r="H1962" s="4" t="s">
        <v>141</v>
      </c>
      <c r="I1962" s="5" t="str">
        <f>IFERROR(VLOOKUP(Consulta1[[#This Row],[Pozo largo]],'Lista YPF'!$B$3:$C$358,2,FALSE),"NO")</f>
        <v>NO</v>
      </c>
      <c r="J1962" s="5" t="str">
        <f>IFERROR(VLOOKUP(Consulta1[[#This Row],[Pozo]],'Lista Oportunidades'!B:C,2,FALSE),"NO")</f>
        <v>NO</v>
      </c>
      <c r="K1962" s="5" t="str">
        <f>IFERROR(VLOOKUP(Consulta1[[#This Row],[Pozo largo]],Controles!B:H,7,FALSE),"NO")</f>
        <v>NO</v>
      </c>
      <c r="L1962" s="5" t="str">
        <f>IFERROR(VLOOKUP(Consulta1[[#This Row],[Pozo largo]],Controles!B:J,9,FALSE),"NO")</f>
        <v>NO</v>
      </c>
    </row>
    <row r="1963" spans="2:12" x14ac:dyDescent="0.35">
      <c r="B1963" s="4" t="s">
        <v>3758</v>
      </c>
      <c r="C1963" s="4" t="s">
        <v>7676</v>
      </c>
      <c r="D1963" s="4" t="s">
        <v>5</v>
      </c>
      <c r="E1963" s="4" t="s">
        <v>12</v>
      </c>
      <c r="F1963" s="4" t="s">
        <v>7</v>
      </c>
      <c r="G1963" s="4" t="s">
        <v>13</v>
      </c>
      <c r="H1963" s="4" t="s">
        <v>16</v>
      </c>
      <c r="I1963" s="5" t="str">
        <f>IFERROR(VLOOKUP(Consulta1[[#This Row],[Pozo largo]],'Lista YPF'!$B$3:$C$358,2,FALSE),"NO")</f>
        <v>NO</v>
      </c>
      <c r="J1963" s="5" t="str">
        <f>IFERROR(VLOOKUP(Consulta1[[#This Row],[Pozo]],'Lista Oportunidades'!B:C,2,FALSE),"NO")</f>
        <v>NO</v>
      </c>
      <c r="K1963" s="5">
        <f>IFERROR(VLOOKUP(Consulta1[[#This Row],[Pozo largo]],Controles!B:H,7,FALSE),"NO")</f>
        <v>0.96600000000000008</v>
      </c>
      <c r="L1963" s="5">
        <f>IFERROR(VLOOKUP(Consulta1[[#This Row],[Pozo largo]],Controles!B:J,9,FALSE),"NO")</f>
        <v>0</v>
      </c>
    </row>
    <row r="1964" spans="2:12" x14ac:dyDescent="0.35">
      <c r="B1964" s="4" t="s">
        <v>3760</v>
      </c>
      <c r="C1964" s="4" t="s">
        <v>7677</v>
      </c>
      <c r="D1964" s="4" t="s">
        <v>5</v>
      </c>
      <c r="E1964" s="4" t="s">
        <v>12</v>
      </c>
      <c r="F1964" s="4" t="s">
        <v>7</v>
      </c>
      <c r="G1964" s="4" t="s">
        <v>13</v>
      </c>
      <c r="H1964" s="4" t="s">
        <v>146</v>
      </c>
      <c r="I1964" s="5" t="str">
        <f>IFERROR(VLOOKUP(Consulta1[[#This Row],[Pozo largo]],'Lista YPF'!$B$3:$C$358,2,FALSE),"NO")</f>
        <v>NO</v>
      </c>
      <c r="J1964" s="5" t="str">
        <f>IFERROR(VLOOKUP(Consulta1[[#This Row],[Pozo]],'Lista Oportunidades'!B:C,2,FALSE),"NO")</f>
        <v>NO</v>
      </c>
      <c r="K1964" s="5">
        <f>IFERROR(VLOOKUP(Consulta1[[#This Row],[Pozo largo]],Controles!B:H,7,FALSE),"NO")</f>
        <v>1.2190000000000001</v>
      </c>
      <c r="L1964" s="5">
        <f>IFERROR(VLOOKUP(Consulta1[[#This Row],[Pozo largo]],Controles!B:J,9,FALSE),"NO")</f>
        <v>0</v>
      </c>
    </row>
    <row r="1965" spans="2:12" x14ac:dyDescent="0.35">
      <c r="B1965" s="4" t="s">
        <v>3762</v>
      </c>
      <c r="C1965" s="4" t="s">
        <v>7678</v>
      </c>
      <c r="D1965" s="4" t="s">
        <v>5</v>
      </c>
      <c r="E1965" s="4" t="s">
        <v>30</v>
      </c>
      <c r="F1965" s="4" t="s">
        <v>31</v>
      </c>
      <c r="G1965" s="4" t="s">
        <v>32</v>
      </c>
      <c r="H1965" s="4" t="s">
        <v>66</v>
      </c>
      <c r="I1965" s="5" t="str">
        <f>IFERROR(VLOOKUP(Consulta1[[#This Row],[Pozo largo]],'Lista YPF'!$B$3:$C$358,2,FALSE),"NO")</f>
        <v>NO</v>
      </c>
      <c r="J1965" s="5" t="str">
        <f>IFERROR(VLOOKUP(Consulta1[[#This Row],[Pozo]],'Lista Oportunidades'!B:C,2,FALSE),"NO")</f>
        <v>NO</v>
      </c>
      <c r="K1965" s="5">
        <f>IFERROR(VLOOKUP(Consulta1[[#This Row],[Pozo largo]],Controles!B:H,7,FALSE),"NO")</f>
        <v>1.03</v>
      </c>
      <c r="L1965" s="5">
        <f>IFERROR(VLOOKUP(Consulta1[[#This Row],[Pozo largo]],Controles!B:J,9,FALSE),"NO")</f>
        <v>0</v>
      </c>
    </row>
    <row r="1966" spans="2:12" x14ac:dyDescent="0.35">
      <c r="B1966" s="4" t="s">
        <v>3764</v>
      </c>
      <c r="C1966" s="4" t="s">
        <v>7679</v>
      </c>
      <c r="D1966" s="4" t="s">
        <v>5</v>
      </c>
      <c r="E1966" s="4" t="s">
        <v>12</v>
      </c>
      <c r="F1966" s="4" t="s">
        <v>25</v>
      </c>
      <c r="G1966" s="4" t="s">
        <v>13</v>
      </c>
      <c r="H1966" s="4" t="s">
        <v>254</v>
      </c>
      <c r="I1966" s="5" t="str">
        <f>IFERROR(VLOOKUP(Consulta1[[#This Row],[Pozo largo]],'Lista YPF'!$B$3:$C$358,2,FALSE),"NO")</f>
        <v>NO</v>
      </c>
      <c r="J1966" s="5" t="str">
        <f>IFERROR(VLOOKUP(Consulta1[[#This Row],[Pozo]],'Lista Oportunidades'!B:C,2,FALSE),"NO")</f>
        <v>NO</v>
      </c>
      <c r="K1966" s="5">
        <f>IFERROR(VLOOKUP(Consulta1[[#This Row],[Pozo largo]],Controles!B:H,7,FALSE),"NO")</f>
        <v>0.115</v>
      </c>
      <c r="L1966" s="5">
        <f>IFERROR(VLOOKUP(Consulta1[[#This Row],[Pozo largo]],Controles!B:J,9,FALSE),"NO")</f>
        <v>0</v>
      </c>
    </row>
    <row r="1967" spans="2:12" x14ac:dyDescent="0.35">
      <c r="B1967" s="4" t="s">
        <v>3766</v>
      </c>
      <c r="C1967" s="4" t="s">
        <v>7680</v>
      </c>
      <c r="D1967" s="4" t="s">
        <v>5</v>
      </c>
      <c r="E1967" s="4" t="s">
        <v>6</v>
      </c>
      <c r="F1967" s="4" t="s">
        <v>7</v>
      </c>
      <c r="G1967" s="4" t="s">
        <v>5718</v>
      </c>
      <c r="H1967" s="4" t="s">
        <v>9</v>
      </c>
      <c r="I1967" s="5" t="str">
        <f>IFERROR(VLOOKUP(Consulta1[[#This Row],[Pozo largo]],'Lista YPF'!$B$3:$C$358,2,FALSE),"NO")</f>
        <v>En lista de Abandono</v>
      </c>
      <c r="J1967" s="5" t="str">
        <f>IFERROR(VLOOKUP(Consulta1[[#This Row],[Pozo]],'Lista Oportunidades'!B:C,2,FALSE),"NO")</f>
        <v>NO</v>
      </c>
      <c r="K1967" s="5">
        <f>IFERROR(VLOOKUP(Consulta1[[#This Row],[Pozo largo]],Controles!B:H,7,FALSE),"NO")</f>
        <v>0.9</v>
      </c>
      <c r="L1967" s="5">
        <f>IFERROR(VLOOKUP(Consulta1[[#This Row],[Pozo largo]],Controles!B:J,9,FALSE),"NO")</f>
        <v>0</v>
      </c>
    </row>
    <row r="1968" spans="2:12" x14ac:dyDescent="0.35">
      <c r="B1968" s="4" t="s">
        <v>3768</v>
      </c>
      <c r="C1968" s="4" t="s">
        <v>7681</v>
      </c>
      <c r="D1968" s="4" t="s">
        <v>5</v>
      </c>
      <c r="E1968" s="4" t="s">
        <v>30</v>
      </c>
      <c r="F1968" s="4" t="s">
        <v>31</v>
      </c>
      <c r="G1968" s="4" t="s">
        <v>32</v>
      </c>
      <c r="H1968" s="4" t="s">
        <v>9</v>
      </c>
      <c r="I1968" s="5" t="str">
        <f>IFERROR(VLOOKUP(Consulta1[[#This Row],[Pozo largo]],'Lista YPF'!$B$3:$C$358,2,FALSE),"NO")</f>
        <v>NO</v>
      </c>
      <c r="J1968" s="5" t="str">
        <f>IFERROR(VLOOKUP(Consulta1[[#This Row],[Pozo]],'Lista Oportunidades'!B:C,2,FALSE),"NO")</f>
        <v>NO</v>
      </c>
      <c r="K1968" s="5">
        <f>IFERROR(VLOOKUP(Consulta1[[#This Row],[Pozo largo]],Controles!B:H,7,FALSE),"NO")</f>
        <v>0.94000000000000006</v>
      </c>
      <c r="L1968" s="5">
        <f>IFERROR(VLOOKUP(Consulta1[[#This Row],[Pozo largo]],Controles!B:J,9,FALSE),"NO")</f>
        <v>0</v>
      </c>
    </row>
    <row r="1969" spans="2:12" x14ac:dyDescent="0.35">
      <c r="B1969" s="4" t="s">
        <v>3770</v>
      </c>
      <c r="C1969" s="4" t="s">
        <v>7682</v>
      </c>
      <c r="D1969" s="4" t="s">
        <v>5</v>
      </c>
      <c r="E1969" s="4" t="s">
        <v>12</v>
      </c>
      <c r="F1969" s="4" t="s">
        <v>28</v>
      </c>
      <c r="G1969" s="4" t="s">
        <v>13</v>
      </c>
      <c r="H1969" s="4" t="s">
        <v>21</v>
      </c>
      <c r="I1969" s="5" t="str">
        <f>IFERROR(VLOOKUP(Consulta1[[#This Row],[Pozo largo]],'Lista YPF'!$B$3:$C$358,2,FALSE),"NO")</f>
        <v>NO</v>
      </c>
      <c r="J1969" s="5" t="str">
        <f>IFERROR(VLOOKUP(Consulta1[[#This Row],[Pozo]],'Lista Oportunidades'!B:C,2,FALSE),"NO")</f>
        <v>NO</v>
      </c>
      <c r="K1969" s="5">
        <f>IFERROR(VLOOKUP(Consulta1[[#This Row],[Pozo largo]],Controles!B:H,7,FALSE),"NO")</f>
        <v>0</v>
      </c>
      <c r="L1969" s="5">
        <f>IFERROR(VLOOKUP(Consulta1[[#This Row],[Pozo largo]],Controles!B:J,9,FALSE),"NO")</f>
        <v>0</v>
      </c>
    </row>
    <row r="1970" spans="2:12" x14ac:dyDescent="0.35">
      <c r="B1970" s="4" t="s">
        <v>3772</v>
      </c>
      <c r="C1970" s="4" t="s">
        <v>7683</v>
      </c>
      <c r="D1970" s="4" t="s">
        <v>5</v>
      </c>
      <c r="E1970" s="4" t="s">
        <v>12</v>
      </c>
      <c r="F1970" s="4" t="s">
        <v>7</v>
      </c>
      <c r="G1970" s="4" t="s">
        <v>13</v>
      </c>
      <c r="H1970" s="4" t="s">
        <v>21</v>
      </c>
      <c r="I1970" s="5" t="str">
        <f>IFERROR(VLOOKUP(Consulta1[[#This Row],[Pozo largo]],'Lista YPF'!$B$3:$C$358,2,FALSE),"NO")</f>
        <v>NO</v>
      </c>
      <c r="J1970" s="5" t="str">
        <f>IFERROR(VLOOKUP(Consulta1[[#This Row],[Pozo]],'Lista Oportunidades'!B:C,2,FALSE),"NO")</f>
        <v>NO</v>
      </c>
      <c r="K1970" s="5">
        <f>IFERROR(VLOOKUP(Consulta1[[#This Row],[Pozo largo]],Controles!B:H,7,FALSE),"NO")</f>
        <v>0.255</v>
      </c>
      <c r="L1970" s="5">
        <f>IFERROR(VLOOKUP(Consulta1[[#This Row],[Pozo largo]],Controles!B:J,9,FALSE),"NO")</f>
        <v>0</v>
      </c>
    </row>
    <row r="1971" spans="2:12" x14ac:dyDescent="0.35">
      <c r="B1971" s="4" t="s">
        <v>3774</v>
      </c>
      <c r="C1971" s="4" t="s">
        <v>7684</v>
      </c>
      <c r="D1971" s="4" t="s">
        <v>5</v>
      </c>
      <c r="E1971" s="4" t="s">
        <v>12</v>
      </c>
      <c r="F1971" s="4" t="s">
        <v>7</v>
      </c>
      <c r="G1971" s="4" t="s">
        <v>13</v>
      </c>
      <c r="H1971" s="4" t="s">
        <v>33</v>
      </c>
      <c r="I1971" s="5" t="str">
        <f>IFERROR(VLOOKUP(Consulta1[[#This Row],[Pozo largo]],'Lista YPF'!$B$3:$C$358,2,FALSE),"NO")</f>
        <v>NO</v>
      </c>
      <c r="J1971" s="5" t="str">
        <f>IFERROR(VLOOKUP(Consulta1[[#This Row],[Pozo]],'Lista Oportunidades'!B:C,2,FALSE),"NO")</f>
        <v>NO</v>
      </c>
      <c r="K1971" s="5">
        <f>IFERROR(VLOOKUP(Consulta1[[#This Row],[Pozo largo]],Controles!B:H,7,FALSE),"NO")</f>
        <v>1.87</v>
      </c>
      <c r="L1971" s="5">
        <f>IFERROR(VLOOKUP(Consulta1[[#This Row],[Pozo largo]],Controles!B:J,9,FALSE),"NO")</f>
        <v>0</v>
      </c>
    </row>
    <row r="1972" spans="2:12" x14ac:dyDescent="0.35">
      <c r="B1972" s="4" t="s">
        <v>3776</v>
      </c>
      <c r="C1972" s="4" t="s">
        <v>7685</v>
      </c>
      <c r="D1972" s="4" t="s">
        <v>5</v>
      </c>
      <c r="E1972" s="4" t="s">
        <v>12</v>
      </c>
      <c r="F1972" s="4" t="s">
        <v>7</v>
      </c>
      <c r="G1972" s="4" t="s">
        <v>13</v>
      </c>
      <c r="H1972" s="4" t="s">
        <v>36</v>
      </c>
      <c r="I1972" s="5" t="str">
        <f>IFERROR(VLOOKUP(Consulta1[[#This Row],[Pozo largo]],'Lista YPF'!$B$3:$C$358,2,FALSE),"NO")</f>
        <v>NO</v>
      </c>
      <c r="J1972" s="5" t="str">
        <f>IFERROR(VLOOKUP(Consulta1[[#This Row],[Pozo]],'Lista Oportunidades'!B:C,2,FALSE),"NO")</f>
        <v>NO</v>
      </c>
      <c r="K1972" s="5">
        <f>IFERROR(VLOOKUP(Consulta1[[#This Row],[Pozo largo]],Controles!B:H,7,FALSE),"NO")</f>
        <v>9.43</v>
      </c>
      <c r="L1972" s="5">
        <f>IFERROR(VLOOKUP(Consulta1[[#This Row],[Pozo largo]],Controles!B:J,9,FALSE),"NO")</f>
        <v>0</v>
      </c>
    </row>
    <row r="1973" spans="2:12" x14ac:dyDescent="0.35">
      <c r="B1973" s="4" t="s">
        <v>3778</v>
      </c>
      <c r="C1973" s="4" t="s">
        <v>7686</v>
      </c>
      <c r="D1973" s="4" t="s">
        <v>5</v>
      </c>
      <c r="E1973" s="4" t="s">
        <v>12</v>
      </c>
      <c r="F1973" s="4" t="s">
        <v>28</v>
      </c>
      <c r="G1973" s="4" t="s">
        <v>13</v>
      </c>
      <c r="H1973" s="4" t="s">
        <v>21</v>
      </c>
      <c r="I1973" s="5" t="str">
        <f>IFERROR(VLOOKUP(Consulta1[[#This Row],[Pozo largo]],'Lista YPF'!$B$3:$C$358,2,FALSE),"NO")</f>
        <v>NO</v>
      </c>
      <c r="J1973" s="5" t="str">
        <f>IFERROR(VLOOKUP(Consulta1[[#This Row],[Pozo]],'Lista Oportunidades'!B:C,2,FALSE),"NO")</f>
        <v>NO</v>
      </c>
      <c r="K1973" s="5">
        <f>IFERROR(VLOOKUP(Consulta1[[#This Row],[Pozo largo]],Controles!B:H,7,FALSE),"NO")</f>
        <v>0</v>
      </c>
      <c r="L1973" s="5">
        <f>IFERROR(VLOOKUP(Consulta1[[#This Row],[Pozo largo]],Controles!B:J,9,FALSE),"NO")</f>
        <v>0</v>
      </c>
    </row>
    <row r="1974" spans="2:12" x14ac:dyDescent="0.35">
      <c r="B1974" s="4" t="s">
        <v>3780</v>
      </c>
      <c r="C1974" s="4" t="s">
        <v>7687</v>
      </c>
      <c r="D1974" s="4" t="s">
        <v>5</v>
      </c>
      <c r="E1974" s="4" t="s">
        <v>12</v>
      </c>
      <c r="F1974" s="4" t="s">
        <v>7</v>
      </c>
      <c r="G1974" s="4" t="s">
        <v>13</v>
      </c>
      <c r="H1974" s="4" t="s">
        <v>9</v>
      </c>
      <c r="I1974" s="5" t="str">
        <f>IFERROR(VLOOKUP(Consulta1[[#This Row],[Pozo largo]],'Lista YPF'!$B$3:$C$358,2,FALSE),"NO")</f>
        <v>NO</v>
      </c>
      <c r="J1974" s="5" t="str">
        <f>IFERROR(VLOOKUP(Consulta1[[#This Row],[Pozo]],'Lista Oportunidades'!B:C,2,FALSE),"NO")</f>
        <v>NO</v>
      </c>
      <c r="K1974" s="5">
        <f>IFERROR(VLOOKUP(Consulta1[[#This Row],[Pozo largo]],Controles!B:H,7,FALSE),"NO")</f>
        <v>1.1000000000000001</v>
      </c>
      <c r="L1974" s="5">
        <f>IFERROR(VLOOKUP(Consulta1[[#This Row],[Pozo largo]],Controles!B:J,9,FALSE),"NO")</f>
        <v>0</v>
      </c>
    </row>
    <row r="1975" spans="2:12" x14ac:dyDescent="0.35">
      <c r="B1975" s="4" t="s">
        <v>3782</v>
      </c>
      <c r="C1975" s="4" t="s">
        <v>7688</v>
      </c>
      <c r="D1975" s="4" t="s">
        <v>5</v>
      </c>
      <c r="E1975" s="4" t="s">
        <v>6</v>
      </c>
      <c r="F1975" s="4" t="s">
        <v>7</v>
      </c>
      <c r="G1975" s="4" t="s">
        <v>5718</v>
      </c>
      <c r="H1975" s="4" t="s">
        <v>36</v>
      </c>
      <c r="I1975" s="5" t="str">
        <f>IFERROR(VLOOKUP(Consulta1[[#This Row],[Pozo largo]],'Lista YPF'!$B$3:$C$358,2,FALSE),"NO")</f>
        <v>En lista de Abandono</v>
      </c>
      <c r="J1975" s="5" t="str">
        <f>IFERROR(VLOOKUP(Consulta1[[#This Row],[Pozo]],'Lista Oportunidades'!B:C,2,FALSE),"NO")</f>
        <v>NO</v>
      </c>
      <c r="K1975" s="5">
        <f>IFERROR(VLOOKUP(Consulta1[[#This Row],[Pozo largo]],Controles!B:H,7,FALSE),"NO")</f>
        <v>0.84800000000000009</v>
      </c>
      <c r="L1975" s="5">
        <f>IFERROR(VLOOKUP(Consulta1[[#This Row],[Pozo largo]],Controles!B:J,9,FALSE),"NO")</f>
        <v>0</v>
      </c>
    </row>
    <row r="1976" spans="2:12" x14ac:dyDescent="0.35">
      <c r="B1976" s="4" t="s">
        <v>3784</v>
      </c>
      <c r="C1976" s="4" t="s">
        <v>7689</v>
      </c>
      <c r="D1976" s="4" t="s">
        <v>5</v>
      </c>
      <c r="E1976" s="4" t="s">
        <v>24</v>
      </c>
      <c r="F1976" s="4" t="s">
        <v>7</v>
      </c>
      <c r="G1976" s="4" t="s">
        <v>8</v>
      </c>
      <c r="H1976" s="4" t="s">
        <v>36</v>
      </c>
      <c r="I1976" s="5" t="str">
        <f>IFERROR(VLOOKUP(Consulta1[[#This Row],[Pozo largo]],'Lista YPF'!$B$3:$C$358,2,FALSE),"NO")</f>
        <v>NO</v>
      </c>
      <c r="J1976" s="5" t="str">
        <f>IFERROR(VLOOKUP(Consulta1[[#This Row],[Pozo]],'Lista Oportunidades'!B:C,2,FALSE),"NO")</f>
        <v>NO</v>
      </c>
      <c r="K1976" s="5">
        <f>IFERROR(VLOOKUP(Consulta1[[#This Row],[Pozo largo]],Controles!B:H,7,FALSE),"NO")</f>
        <v>0.44</v>
      </c>
      <c r="L1976" s="5">
        <f>IFERROR(VLOOKUP(Consulta1[[#This Row],[Pozo largo]],Controles!B:J,9,FALSE),"NO")</f>
        <v>0</v>
      </c>
    </row>
    <row r="1977" spans="2:12" x14ac:dyDescent="0.35">
      <c r="B1977" s="4" t="s">
        <v>3786</v>
      </c>
      <c r="C1977" s="4" t="s">
        <v>7690</v>
      </c>
      <c r="D1977" s="4" t="s">
        <v>5</v>
      </c>
      <c r="E1977" s="4" t="s">
        <v>24</v>
      </c>
      <c r="F1977" s="4" t="s">
        <v>31</v>
      </c>
      <c r="G1977" s="4" t="s">
        <v>8</v>
      </c>
      <c r="H1977" s="4" t="s">
        <v>21</v>
      </c>
      <c r="I1977" s="5" t="str">
        <f>IFERROR(VLOOKUP(Consulta1[[#This Row],[Pozo largo]],'Lista YPF'!$B$3:$C$358,2,FALSE),"NO")</f>
        <v>NO</v>
      </c>
      <c r="J1977" s="5" t="str">
        <f>IFERROR(VLOOKUP(Consulta1[[#This Row],[Pozo]],'Lista Oportunidades'!B:C,2,FALSE),"NO")</f>
        <v>NO</v>
      </c>
      <c r="K1977" s="5">
        <f>IFERROR(VLOOKUP(Consulta1[[#This Row],[Pozo largo]],Controles!B:H,7,FALSE),"NO")</f>
        <v>0.33900000000000002</v>
      </c>
      <c r="L1977" s="5">
        <f>IFERROR(VLOOKUP(Consulta1[[#This Row],[Pozo largo]],Controles!B:J,9,FALSE),"NO")</f>
        <v>0</v>
      </c>
    </row>
    <row r="1978" spans="2:12" x14ac:dyDescent="0.35">
      <c r="B1978" s="4" t="s">
        <v>3788</v>
      </c>
      <c r="C1978" s="4" t="s">
        <v>7691</v>
      </c>
      <c r="D1978" s="4" t="s">
        <v>5</v>
      </c>
      <c r="E1978" s="4" t="s">
        <v>30</v>
      </c>
      <c r="F1978" s="4" t="s">
        <v>31</v>
      </c>
      <c r="G1978" s="4" t="s">
        <v>32</v>
      </c>
      <c r="H1978" s="4" t="s">
        <v>84</v>
      </c>
      <c r="I1978" s="5" t="str">
        <f>IFERROR(VLOOKUP(Consulta1[[#This Row],[Pozo largo]],'Lista YPF'!$B$3:$C$358,2,FALSE),"NO")</f>
        <v>NO</v>
      </c>
      <c r="J1978" s="5" t="str">
        <f>IFERROR(VLOOKUP(Consulta1[[#This Row],[Pozo]],'Lista Oportunidades'!B:C,2,FALSE),"NO")</f>
        <v>NO</v>
      </c>
      <c r="K1978" s="5">
        <f>IFERROR(VLOOKUP(Consulta1[[#This Row],[Pozo largo]],Controles!B:H,7,FALSE),"NO")</f>
        <v>0</v>
      </c>
      <c r="L1978" s="5">
        <f>IFERROR(VLOOKUP(Consulta1[[#This Row],[Pozo largo]],Controles!B:J,9,FALSE),"NO")</f>
        <v>0</v>
      </c>
    </row>
    <row r="1979" spans="2:12" x14ac:dyDescent="0.35">
      <c r="B1979" s="4" t="s">
        <v>3790</v>
      </c>
      <c r="C1979" s="4" t="s">
        <v>7692</v>
      </c>
      <c r="D1979" s="4" t="s">
        <v>5</v>
      </c>
      <c r="E1979" s="4" t="s">
        <v>12</v>
      </c>
      <c r="F1979" s="4" t="s">
        <v>25</v>
      </c>
      <c r="G1979" s="4" t="s">
        <v>13</v>
      </c>
      <c r="H1979" s="4" t="s">
        <v>84</v>
      </c>
      <c r="I1979" s="5" t="str">
        <f>IFERROR(VLOOKUP(Consulta1[[#This Row],[Pozo largo]],'Lista YPF'!$B$3:$C$358,2,FALSE),"NO")</f>
        <v>NO</v>
      </c>
      <c r="J1979" s="5" t="str">
        <f>IFERROR(VLOOKUP(Consulta1[[#This Row],[Pozo]],'Lista Oportunidades'!B:C,2,FALSE),"NO")</f>
        <v>NO</v>
      </c>
      <c r="K1979" s="5">
        <f>IFERROR(VLOOKUP(Consulta1[[#This Row],[Pozo largo]],Controles!B:H,7,FALSE),"NO")</f>
        <v>0.10400000000000001</v>
      </c>
      <c r="L1979" s="5">
        <f>IFERROR(VLOOKUP(Consulta1[[#This Row],[Pozo largo]],Controles!B:J,9,FALSE),"NO")</f>
        <v>0</v>
      </c>
    </row>
    <row r="1980" spans="2:12" x14ac:dyDescent="0.35">
      <c r="B1980" s="4" t="s">
        <v>3792</v>
      </c>
      <c r="C1980" s="4" t="s">
        <v>7693</v>
      </c>
      <c r="D1980" s="4" t="s">
        <v>5</v>
      </c>
      <c r="E1980" s="4" t="s">
        <v>30</v>
      </c>
      <c r="F1980" s="4" t="s">
        <v>31</v>
      </c>
      <c r="G1980" s="4" t="s">
        <v>32</v>
      </c>
      <c r="H1980" s="4" t="s">
        <v>77</v>
      </c>
      <c r="I1980" s="5" t="str">
        <f>IFERROR(VLOOKUP(Consulta1[[#This Row],[Pozo largo]],'Lista YPF'!$B$3:$C$358,2,FALSE),"NO")</f>
        <v>NO</v>
      </c>
      <c r="J1980" s="5" t="str">
        <f>IFERROR(VLOOKUP(Consulta1[[#This Row],[Pozo]],'Lista Oportunidades'!B:C,2,FALSE),"NO")</f>
        <v>NO</v>
      </c>
      <c r="K1980" s="5" t="str">
        <f>IFERROR(VLOOKUP(Consulta1[[#This Row],[Pozo largo]],Controles!B:H,7,FALSE),"NO")</f>
        <v>NO</v>
      </c>
      <c r="L1980" s="5" t="str">
        <f>IFERROR(VLOOKUP(Consulta1[[#This Row],[Pozo largo]],Controles!B:J,9,FALSE),"NO")</f>
        <v>NO</v>
      </c>
    </row>
    <row r="1981" spans="2:12" x14ac:dyDescent="0.35">
      <c r="B1981" s="4" t="s">
        <v>3793</v>
      </c>
      <c r="C1981" s="4" t="s">
        <v>7694</v>
      </c>
      <c r="D1981" s="4" t="s">
        <v>5</v>
      </c>
      <c r="E1981" s="4" t="s">
        <v>30</v>
      </c>
      <c r="F1981" s="4" t="s">
        <v>31</v>
      </c>
      <c r="G1981" s="4" t="s">
        <v>32</v>
      </c>
      <c r="H1981" s="4" t="s">
        <v>290</v>
      </c>
      <c r="I1981" s="5" t="str">
        <f>IFERROR(VLOOKUP(Consulta1[[#This Row],[Pozo largo]],'Lista YPF'!$B$3:$C$358,2,FALSE),"NO")</f>
        <v>NO</v>
      </c>
      <c r="J1981" s="5" t="str">
        <f>IFERROR(VLOOKUP(Consulta1[[#This Row],[Pozo]],'Lista Oportunidades'!B:C,2,FALSE),"NO")</f>
        <v>NO</v>
      </c>
      <c r="K1981" s="5" t="str">
        <f>IFERROR(VLOOKUP(Consulta1[[#This Row],[Pozo largo]],Controles!B:H,7,FALSE),"NO")</f>
        <v>NO</v>
      </c>
      <c r="L1981" s="5" t="str">
        <f>IFERROR(VLOOKUP(Consulta1[[#This Row],[Pozo largo]],Controles!B:J,9,FALSE),"NO")</f>
        <v>NO</v>
      </c>
    </row>
    <row r="1982" spans="2:12" x14ac:dyDescent="0.35">
      <c r="B1982" s="4" t="s">
        <v>3794</v>
      </c>
      <c r="C1982" s="4" t="s">
        <v>7695</v>
      </c>
      <c r="D1982" s="4" t="s">
        <v>5</v>
      </c>
      <c r="E1982" s="4" t="s">
        <v>12</v>
      </c>
      <c r="F1982" s="4" t="s">
        <v>28</v>
      </c>
      <c r="G1982" s="4" t="s">
        <v>13</v>
      </c>
      <c r="H1982" s="4" t="s">
        <v>71</v>
      </c>
      <c r="I1982" s="5" t="str">
        <f>IFERROR(VLOOKUP(Consulta1[[#This Row],[Pozo largo]],'Lista YPF'!$B$3:$C$358,2,FALSE),"NO")</f>
        <v>NO</v>
      </c>
      <c r="J1982" s="5" t="str">
        <f>IFERROR(VLOOKUP(Consulta1[[#This Row],[Pozo]],'Lista Oportunidades'!B:C,2,FALSE),"NO")</f>
        <v>NO</v>
      </c>
      <c r="K1982" s="5">
        <f>IFERROR(VLOOKUP(Consulta1[[#This Row],[Pozo largo]],Controles!B:H,7,FALSE),"NO")</f>
        <v>0</v>
      </c>
      <c r="L1982" s="5">
        <f>IFERROR(VLOOKUP(Consulta1[[#This Row],[Pozo largo]],Controles!B:J,9,FALSE),"NO")</f>
        <v>0</v>
      </c>
    </row>
    <row r="1983" spans="2:12" x14ac:dyDescent="0.35">
      <c r="B1983" s="4" t="s">
        <v>3796</v>
      </c>
      <c r="C1983" s="4" t="s">
        <v>7696</v>
      </c>
      <c r="D1983" s="4" t="s">
        <v>5</v>
      </c>
      <c r="E1983" s="4" t="s">
        <v>12</v>
      </c>
      <c r="F1983" s="4" t="s">
        <v>7</v>
      </c>
      <c r="G1983" s="4" t="s">
        <v>13</v>
      </c>
      <c r="H1983" s="4" t="s">
        <v>9</v>
      </c>
      <c r="I1983" s="5" t="str">
        <f>IFERROR(VLOOKUP(Consulta1[[#This Row],[Pozo largo]],'Lista YPF'!$B$3:$C$358,2,FALSE),"NO")</f>
        <v>NO</v>
      </c>
      <c r="J1983" s="5" t="str">
        <f>IFERROR(VLOOKUP(Consulta1[[#This Row],[Pozo]],'Lista Oportunidades'!B:C,2,FALSE),"NO")</f>
        <v>NO</v>
      </c>
      <c r="K1983" s="5">
        <f>IFERROR(VLOOKUP(Consulta1[[#This Row],[Pozo largo]],Controles!B:H,7,FALSE),"NO")</f>
        <v>0.42</v>
      </c>
      <c r="L1983" s="5">
        <f>IFERROR(VLOOKUP(Consulta1[[#This Row],[Pozo largo]],Controles!B:J,9,FALSE),"NO")</f>
        <v>0</v>
      </c>
    </row>
    <row r="1984" spans="2:12" x14ac:dyDescent="0.35">
      <c r="B1984" s="4" t="s">
        <v>3798</v>
      </c>
      <c r="C1984" s="4" t="s">
        <v>7697</v>
      </c>
      <c r="D1984" s="4" t="s">
        <v>5</v>
      </c>
      <c r="E1984" s="4" t="s">
        <v>12</v>
      </c>
      <c r="F1984" s="4" t="s">
        <v>238</v>
      </c>
      <c r="G1984" s="4" t="s">
        <v>13</v>
      </c>
      <c r="H1984" s="4" t="s">
        <v>21</v>
      </c>
      <c r="I1984" s="5" t="str">
        <f>IFERROR(VLOOKUP(Consulta1[[#This Row],[Pozo largo]],'Lista YPF'!$B$3:$C$358,2,FALSE),"NO")</f>
        <v>NO</v>
      </c>
      <c r="J1984" s="5" t="str">
        <f>IFERROR(VLOOKUP(Consulta1[[#This Row],[Pozo]],'Lista Oportunidades'!B:C,2,FALSE),"NO")</f>
        <v>NO</v>
      </c>
      <c r="K1984" s="5">
        <f>IFERROR(VLOOKUP(Consulta1[[#This Row],[Pozo largo]],Controles!B:H,7,FALSE),"NO")</f>
        <v>2.121</v>
      </c>
      <c r="L1984" s="5">
        <f>IFERROR(VLOOKUP(Consulta1[[#This Row],[Pozo largo]],Controles!B:J,9,FALSE),"NO")</f>
        <v>0</v>
      </c>
    </row>
    <row r="1985" spans="2:12" x14ac:dyDescent="0.35">
      <c r="B1985" s="4" t="s">
        <v>3800</v>
      </c>
      <c r="C1985" s="4" t="s">
        <v>7698</v>
      </c>
      <c r="D1985" s="4" t="s">
        <v>5</v>
      </c>
      <c r="E1985" s="4" t="s">
        <v>30</v>
      </c>
      <c r="F1985" s="4" t="s">
        <v>31</v>
      </c>
      <c r="G1985" s="4" t="s">
        <v>32</v>
      </c>
      <c r="H1985" s="4" t="s">
        <v>21</v>
      </c>
      <c r="I1985" s="5" t="str">
        <f>IFERROR(VLOOKUP(Consulta1[[#This Row],[Pozo largo]],'Lista YPF'!$B$3:$C$358,2,FALSE),"NO")</f>
        <v>NO</v>
      </c>
      <c r="J1985" s="5" t="str">
        <f>IFERROR(VLOOKUP(Consulta1[[#This Row],[Pozo]],'Lista Oportunidades'!B:C,2,FALSE),"NO")</f>
        <v>NO</v>
      </c>
      <c r="K1985" s="5" t="str">
        <f>IFERROR(VLOOKUP(Consulta1[[#This Row],[Pozo largo]],Controles!B:H,7,FALSE),"NO")</f>
        <v>NO</v>
      </c>
      <c r="L1985" s="5" t="str">
        <f>IFERROR(VLOOKUP(Consulta1[[#This Row],[Pozo largo]],Controles!B:J,9,FALSE),"NO")</f>
        <v>NO</v>
      </c>
    </row>
    <row r="1986" spans="2:12" x14ac:dyDescent="0.35">
      <c r="B1986" s="4" t="s">
        <v>3801</v>
      </c>
      <c r="C1986" s="4" t="s">
        <v>7699</v>
      </c>
      <c r="D1986" s="4" t="s">
        <v>5</v>
      </c>
      <c r="E1986" s="4" t="s">
        <v>12</v>
      </c>
      <c r="F1986" s="4" t="s">
        <v>28</v>
      </c>
      <c r="G1986" s="4" t="s">
        <v>13</v>
      </c>
      <c r="H1986" s="4" t="s">
        <v>21</v>
      </c>
      <c r="I1986" s="5" t="str">
        <f>IFERROR(VLOOKUP(Consulta1[[#This Row],[Pozo largo]],'Lista YPF'!$B$3:$C$358,2,FALSE),"NO")</f>
        <v>NO</v>
      </c>
      <c r="J1986" s="5" t="str">
        <f>IFERROR(VLOOKUP(Consulta1[[#This Row],[Pozo]],'Lista Oportunidades'!B:C,2,FALSE),"NO")</f>
        <v>NO</v>
      </c>
      <c r="K1986" s="5">
        <f>IFERROR(VLOOKUP(Consulta1[[#This Row],[Pozo largo]],Controles!B:H,7,FALSE),"NO")</f>
        <v>0</v>
      </c>
      <c r="L1986" s="5">
        <f>IFERROR(VLOOKUP(Consulta1[[#This Row],[Pozo largo]],Controles!B:J,9,FALSE),"NO")</f>
        <v>0</v>
      </c>
    </row>
    <row r="1987" spans="2:12" x14ac:dyDescent="0.35">
      <c r="B1987" s="4" t="s">
        <v>3803</v>
      </c>
      <c r="C1987" s="4" t="s">
        <v>7700</v>
      </c>
      <c r="D1987" s="4" t="s">
        <v>5</v>
      </c>
      <c r="E1987" s="4" t="s">
        <v>6</v>
      </c>
      <c r="F1987" s="4" t="s">
        <v>7</v>
      </c>
      <c r="G1987" s="4" t="s">
        <v>11387</v>
      </c>
      <c r="H1987" s="4" t="s">
        <v>21</v>
      </c>
      <c r="I1987" s="5" t="str">
        <f>IFERROR(VLOOKUP(Consulta1[[#This Row],[Pozo largo]],'Lista YPF'!$B$3:$C$358,2,FALSE),"NO")</f>
        <v>NO</v>
      </c>
      <c r="J1987" s="5" t="str">
        <f>IFERROR(VLOOKUP(Consulta1[[#This Row],[Pozo]],'Lista Oportunidades'!B:C,2,FALSE),"NO")</f>
        <v>NO</v>
      </c>
      <c r="K1987" s="5">
        <f>IFERROR(VLOOKUP(Consulta1[[#This Row],[Pozo largo]],Controles!B:H,7,FALSE),"NO")</f>
        <v>0.33</v>
      </c>
      <c r="L1987" s="5" t="str">
        <f>IFERROR(VLOOKUP(Consulta1[[#This Row],[Pozo largo]],Controles!B:J,9,FALSE),"NO")</f>
        <v>Ultimo Año</v>
      </c>
    </row>
    <row r="1988" spans="2:12" x14ac:dyDescent="0.35">
      <c r="B1988" s="4" t="s">
        <v>3805</v>
      </c>
      <c r="C1988" s="4" t="s">
        <v>7701</v>
      </c>
      <c r="D1988" s="4" t="s">
        <v>5</v>
      </c>
      <c r="E1988" s="4" t="s">
        <v>12</v>
      </c>
      <c r="F1988" s="4" t="s">
        <v>7</v>
      </c>
      <c r="G1988" s="4" t="s">
        <v>13</v>
      </c>
      <c r="H1988" s="4" t="s">
        <v>9</v>
      </c>
      <c r="I1988" s="5" t="str">
        <f>IFERROR(VLOOKUP(Consulta1[[#This Row],[Pozo largo]],'Lista YPF'!$B$3:$C$358,2,FALSE),"NO")</f>
        <v>NO</v>
      </c>
      <c r="J1988" s="5" t="str">
        <f>IFERROR(VLOOKUP(Consulta1[[#This Row],[Pozo]],'Lista Oportunidades'!B:C,2,FALSE),"NO")</f>
        <v>NO</v>
      </c>
      <c r="K1988" s="5">
        <f>IFERROR(VLOOKUP(Consulta1[[#This Row],[Pozo largo]],Controles!B:H,7,FALSE),"NO")</f>
        <v>2</v>
      </c>
      <c r="L1988" s="5">
        <f>IFERROR(VLOOKUP(Consulta1[[#This Row],[Pozo largo]],Controles!B:J,9,FALSE),"NO")</f>
        <v>0</v>
      </c>
    </row>
    <row r="1989" spans="2:12" x14ac:dyDescent="0.35">
      <c r="B1989" s="4" t="s">
        <v>3807</v>
      </c>
      <c r="C1989" s="4" t="s">
        <v>7702</v>
      </c>
      <c r="D1989" s="4" t="s">
        <v>5</v>
      </c>
      <c r="E1989" s="4" t="s">
        <v>12</v>
      </c>
      <c r="F1989" s="4" t="s">
        <v>28</v>
      </c>
      <c r="G1989" s="4" t="s">
        <v>13</v>
      </c>
      <c r="H1989" s="4" t="s">
        <v>33</v>
      </c>
      <c r="I1989" s="5" t="str">
        <f>IFERROR(VLOOKUP(Consulta1[[#This Row],[Pozo largo]],'Lista YPF'!$B$3:$C$358,2,FALSE),"NO")</f>
        <v>NO</v>
      </c>
      <c r="J1989" s="5" t="str">
        <f>IFERROR(VLOOKUP(Consulta1[[#This Row],[Pozo]],'Lista Oportunidades'!B:C,2,FALSE),"NO")</f>
        <v>NO</v>
      </c>
      <c r="K1989" s="5">
        <f>IFERROR(VLOOKUP(Consulta1[[#This Row],[Pozo largo]],Controles!B:H,7,FALSE),"NO")</f>
        <v>0</v>
      </c>
      <c r="L1989" s="5">
        <f>IFERROR(VLOOKUP(Consulta1[[#This Row],[Pozo largo]],Controles!B:J,9,FALSE),"NO")</f>
        <v>0</v>
      </c>
    </row>
    <row r="1990" spans="2:12" x14ac:dyDescent="0.35">
      <c r="B1990" s="4" t="s">
        <v>3809</v>
      </c>
      <c r="C1990" s="4" t="s">
        <v>7703</v>
      </c>
      <c r="D1990" s="4" t="s">
        <v>5</v>
      </c>
      <c r="E1990" s="4" t="s">
        <v>12</v>
      </c>
      <c r="F1990" s="4" t="s">
        <v>28</v>
      </c>
      <c r="G1990" s="4" t="s">
        <v>13</v>
      </c>
      <c r="H1990" s="4" t="s">
        <v>33</v>
      </c>
      <c r="I1990" s="5" t="str">
        <f>IFERROR(VLOOKUP(Consulta1[[#This Row],[Pozo largo]],'Lista YPF'!$B$3:$C$358,2,FALSE),"NO")</f>
        <v>NO</v>
      </c>
      <c r="J1990" s="5" t="str">
        <f>IFERROR(VLOOKUP(Consulta1[[#This Row],[Pozo]],'Lista Oportunidades'!B:C,2,FALSE),"NO")</f>
        <v>NO</v>
      </c>
      <c r="K1990" s="5">
        <f>IFERROR(VLOOKUP(Consulta1[[#This Row],[Pozo largo]],Controles!B:H,7,FALSE),"NO")</f>
        <v>0</v>
      </c>
      <c r="L1990" s="5">
        <f>IFERROR(VLOOKUP(Consulta1[[#This Row],[Pozo largo]],Controles!B:J,9,FALSE),"NO")</f>
        <v>0</v>
      </c>
    </row>
    <row r="1991" spans="2:12" x14ac:dyDescent="0.35">
      <c r="B1991" s="4" t="s">
        <v>3811</v>
      </c>
      <c r="C1991" s="4" t="s">
        <v>7704</v>
      </c>
      <c r="D1991" s="4" t="s">
        <v>5</v>
      </c>
      <c r="E1991" s="4" t="s">
        <v>12</v>
      </c>
      <c r="F1991" s="4" t="s">
        <v>28</v>
      </c>
      <c r="G1991" s="4" t="s">
        <v>13</v>
      </c>
      <c r="H1991" s="4" t="s">
        <v>33</v>
      </c>
      <c r="I1991" s="5" t="str">
        <f>IFERROR(VLOOKUP(Consulta1[[#This Row],[Pozo largo]],'Lista YPF'!$B$3:$C$358,2,FALSE),"NO")</f>
        <v>NO</v>
      </c>
      <c r="J1991" s="5" t="str">
        <f>IFERROR(VLOOKUP(Consulta1[[#This Row],[Pozo]],'Lista Oportunidades'!B:C,2,FALSE),"NO")</f>
        <v>NO</v>
      </c>
      <c r="K1991" s="5">
        <f>IFERROR(VLOOKUP(Consulta1[[#This Row],[Pozo largo]],Controles!B:H,7,FALSE),"NO")</f>
        <v>0</v>
      </c>
      <c r="L1991" s="5">
        <f>IFERROR(VLOOKUP(Consulta1[[#This Row],[Pozo largo]],Controles!B:J,9,FALSE),"NO")</f>
        <v>0</v>
      </c>
    </row>
    <row r="1992" spans="2:12" x14ac:dyDescent="0.35">
      <c r="B1992" s="4" t="s">
        <v>3813</v>
      </c>
      <c r="C1992" s="4" t="s">
        <v>7705</v>
      </c>
      <c r="D1992" s="4" t="s">
        <v>5</v>
      </c>
      <c r="E1992" s="4" t="s">
        <v>12</v>
      </c>
      <c r="F1992" s="4" t="s">
        <v>83</v>
      </c>
      <c r="G1992" s="4" t="s">
        <v>13</v>
      </c>
      <c r="H1992" s="4" t="s">
        <v>80</v>
      </c>
      <c r="I1992" s="5" t="str">
        <f>IFERROR(VLOOKUP(Consulta1[[#This Row],[Pozo largo]],'Lista YPF'!$B$3:$C$358,2,FALSE),"NO")</f>
        <v>NO</v>
      </c>
      <c r="J1992" s="5" t="str">
        <f>IFERROR(VLOOKUP(Consulta1[[#This Row],[Pozo]],'Lista Oportunidades'!B:C,2,FALSE),"NO")</f>
        <v>NO</v>
      </c>
      <c r="K1992" s="5">
        <f>IFERROR(VLOOKUP(Consulta1[[#This Row],[Pozo largo]],Controles!B:H,7,FALSE),"NO")</f>
        <v>1</v>
      </c>
      <c r="L1992" s="5">
        <f>IFERROR(VLOOKUP(Consulta1[[#This Row],[Pozo largo]],Controles!B:J,9,FALSE),"NO")</f>
        <v>0</v>
      </c>
    </row>
    <row r="1993" spans="2:12" x14ac:dyDescent="0.35">
      <c r="B1993" s="4" t="s">
        <v>3815</v>
      </c>
      <c r="C1993" s="4" t="s">
        <v>7706</v>
      </c>
      <c r="D1993" s="4" t="s">
        <v>5</v>
      </c>
      <c r="E1993" s="4" t="s">
        <v>12</v>
      </c>
      <c r="F1993" s="4" t="s">
        <v>28</v>
      </c>
      <c r="G1993" s="4" t="s">
        <v>13</v>
      </c>
      <c r="H1993" s="4" t="s">
        <v>80</v>
      </c>
      <c r="I1993" s="5" t="str">
        <f>IFERROR(VLOOKUP(Consulta1[[#This Row],[Pozo largo]],'Lista YPF'!$B$3:$C$358,2,FALSE),"NO")</f>
        <v>NO</v>
      </c>
      <c r="J1993" s="5" t="str">
        <f>IFERROR(VLOOKUP(Consulta1[[#This Row],[Pozo]],'Lista Oportunidades'!B:C,2,FALSE),"NO")</f>
        <v>NO</v>
      </c>
      <c r="K1993" s="5">
        <f>IFERROR(VLOOKUP(Consulta1[[#This Row],[Pozo largo]],Controles!B:H,7,FALSE),"NO")</f>
        <v>0</v>
      </c>
      <c r="L1993" s="5">
        <f>IFERROR(VLOOKUP(Consulta1[[#This Row],[Pozo largo]],Controles!B:J,9,FALSE),"NO")</f>
        <v>0</v>
      </c>
    </row>
    <row r="1994" spans="2:12" x14ac:dyDescent="0.35">
      <c r="B1994" s="4" t="s">
        <v>3817</v>
      </c>
      <c r="C1994" s="4" t="s">
        <v>7707</v>
      </c>
      <c r="D1994" s="4" t="s">
        <v>5</v>
      </c>
      <c r="E1994" s="4" t="s">
        <v>30</v>
      </c>
      <c r="F1994" s="4" t="s">
        <v>31</v>
      </c>
      <c r="G1994" s="4" t="s">
        <v>32</v>
      </c>
      <c r="H1994" s="4" t="s">
        <v>185</v>
      </c>
      <c r="I1994" s="5" t="str">
        <f>IFERROR(VLOOKUP(Consulta1[[#This Row],[Pozo largo]],'Lista YPF'!$B$3:$C$358,2,FALSE),"NO")</f>
        <v>NO</v>
      </c>
      <c r="J1994" s="5" t="str">
        <f>IFERROR(VLOOKUP(Consulta1[[#This Row],[Pozo]],'Lista Oportunidades'!B:C,2,FALSE),"NO")</f>
        <v>NO</v>
      </c>
      <c r="K1994" s="5" t="str">
        <f>IFERROR(VLOOKUP(Consulta1[[#This Row],[Pozo largo]],Controles!B:H,7,FALSE),"NO")</f>
        <v>NO</v>
      </c>
      <c r="L1994" s="5" t="str">
        <f>IFERROR(VLOOKUP(Consulta1[[#This Row],[Pozo largo]],Controles!B:J,9,FALSE),"NO")</f>
        <v>NO</v>
      </c>
    </row>
    <row r="1995" spans="2:12" x14ac:dyDescent="0.35">
      <c r="B1995" s="4" t="s">
        <v>3818</v>
      </c>
      <c r="C1995" s="4" t="s">
        <v>7708</v>
      </c>
      <c r="D1995" s="4" t="s">
        <v>5</v>
      </c>
      <c r="E1995" s="4" t="s">
        <v>30</v>
      </c>
      <c r="F1995" s="4" t="s">
        <v>31</v>
      </c>
      <c r="G1995" s="4" t="s">
        <v>32</v>
      </c>
      <c r="H1995" s="4" t="s">
        <v>80</v>
      </c>
      <c r="I1995" s="5" t="str">
        <f>IFERROR(VLOOKUP(Consulta1[[#This Row],[Pozo largo]],'Lista YPF'!$B$3:$C$358,2,FALSE),"NO")</f>
        <v>NO</v>
      </c>
      <c r="J1995" s="5" t="str">
        <f>IFERROR(VLOOKUP(Consulta1[[#This Row],[Pozo]],'Lista Oportunidades'!B:C,2,FALSE),"NO")</f>
        <v>NO</v>
      </c>
      <c r="K1995" s="5" t="str">
        <f>IFERROR(VLOOKUP(Consulta1[[#This Row],[Pozo largo]],Controles!B:H,7,FALSE),"NO")</f>
        <v>NO</v>
      </c>
      <c r="L1995" s="5" t="str">
        <f>IFERROR(VLOOKUP(Consulta1[[#This Row],[Pozo largo]],Controles!B:J,9,FALSE),"NO")</f>
        <v>NO</v>
      </c>
    </row>
    <row r="1996" spans="2:12" x14ac:dyDescent="0.35">
      <c r="B1996" s="4" t="s">
        <v>3819</v>
      </c>
      <c r="C1996" s="4" t="s">
        <v>7709</v>
      </c>
      <c r="D1996" s="4" t="s">
        <v>5</v>
      </c>
      <c r="E1996" s="4" t="s">
        <v>24</v>
      </c>
      <c r="F1996" s="4" t="s">
        <v>31</v>
      </c>
      <c r="G1996" s="4" t="s">
        <v>8</v>
      </c>
      <c r="H1996" s="4" t="s">
        <v>141</v>
      </c>
      <c r="I1996" s="5" t="str">
        <f>IFERROR(VLOOKUP(Consulta1[[#This Row],[Pozo largo]],'Lista YPF'!$B$3:$C$358,2,FALSE),"NO")</f>
        <v>NO</v>
      </c>
      <c r="J1996" s="5" t="str">
        <f>IFERROR(VLOOKUP(Consulta1[[#This Row],[Pozo]],'Lista Oportunidades'!B:C,2,FALSE),"NO")</f>
        <v>NO</v>
      </c>
      <c r="K1996" s="5">
        <f>IFERROR(VLOOKUP(Consulta1[[#This Row],[Pozo largo]],Controles!B:H,7,FALSE),"NO")</f>
        <v>0.58800000000000008</v>
      </c>
      <c r="L1996" s="5">
        <f>IFERROR(VLOOKUP(Consulta1[[#This Row],[Pozo largo]],Controles!B:J,9,FALSE),"NO")</f>
        <v>0</v>
      </c>
    </row>
    <row r="1997" spans="2:12" x14ac:dyDescent="0.35">
      <c r="B1997" s="4" t="s">
        <v>3821</v>
      </c>
      <c r="C1997" s="4" t="s">
        <v>7710</v>
      </c>
      <c r="D1997" s="4" t="s">
        <v>5</v>
      </c>
      <c r="E1997" s="4" t="s">
        <v>12</v>
      </c>
      <c r="F1997" s="4" t="s">
        <v>83</v>
      </c>
      <c r="G1997" s="4" t="s">
        <v>13</v>
      </c>
      <c r="H1997" s="4" t="s">
        <v>260</v>
      </c>
      <c r="I1997" s="5" t="str">
        <f>IFERROR(VLOOKUP(Consulta1[[#This Row],[Pozo largo]],'Lista YPF'!$B$3:$C$358,2,FALSE),"NO")</f>
        <v>NO</v>
      </c>
      <c r="J1997" s="5" t="str">
        <f>IFERROR(VLOOKUP(Consulta1[[#This Row],[Pozo]],'Lista Oportunidades'!B:C,2,FALSE),"NO")</f>
        <v>NO</v>
      </c>
      <c r="K1997" s="5">
        <f>IFERROR(VLOOKUP(Consulta1[[#This Row],[Pozo largo]],Controles!B:H,7,FALSE),"NO")</f>
        <v>1.0370000000000001</v>
      </c>
      <c r="L1997" s="5">
        <f>IFERROR(VLOOKUP(Consulta1[[#This Row],[Pozo largo]],Controles!B:J,9,FALSE),"NO")</f>
        <v>0</v>
      </c>
    </row>
    <row r="1998" spans="2:12" x14ac:dyDescent="0.35">
      <c r="B1998" s="4" t="s">
        <v>3823</v>
      </c>
      <c r="C1998" s="4" t="s">
        <v>7711</v>
      </c>
      <c r="D1998" s="4" t="s">
        <v>5</v>
      </c>
      <c r="E1998" s="4" t="s">
        <v>24</v>
      </c>
      <c r="F1998" s="4" t="s">
        <v>7</v>
      </c>
      <c r="G1998" s="4" t="s">
        <v>8</v>
      </c>
      <c r="H1998" s="4" t="s">
        <v>86</v>
      </c>
      <c r="I1998" s="5" t="str">
        <f>IFERROR(VLOOKUP(Consulta1[[#This Row],[Pozo largo]],'Lista YPF'!$B$3:$C$358,2,FALSE),"NO")</f>
        <v>NO</v>
      </c>
      <c r="J1998" s="5" t="str">
        <f>IFERROR(VLOOKUP(Consulta1[[#This Row],[Pozo]],'Lista Oportunidades'!B:C,2,FALSE),"NO")</f>
        <v>NO</v>
      </c>
      <c r="K1998" s="5">
        <f>IFERROR(VLOOKUP(Consulta1[[#This Row],[Pozo largo]],Controles!B:H,7,FALSE),"NO")</f>
        <v>0.28500000000000003</v>
      </c>
      <c r="L1998" s="5">
        <f>IFERROR(VLOOKUP(Consulta1[[#This Row],[Pozo largo]],Controles!B:J,9,FALSE),"NO")</f>
        <v>0</v>
      </c>
    </row>
    <row r="1999" spans="2:12" x14ac:dyDescent="0.35">
      <c r="B1999" s="4" t="s">
        <v>3825</v>
      </c>
      <c r="C1999" s="4" t="s">
        <v>7712</v>
      </c>
      <c r="D1999" s="4" t="s">
        <v>5</v>
      </c>
      <c r="E1999" s="4" t="s">
        <v>24</v>
      </c>
      <c r="F1999" s="4" t="s">
        <v>7</v>
      </c>
      <c r="G1999" s="4" t="s">
        <v>8</v>
      </c>
      <c r="H1999" s="4" t="s">
        <v>86</v>
      </c>
      <c r="I1999" s="5" t="str">
        <f>IFERROR(VLOOKUP(Consulta1[[#This Row],[Pozo largo]],'Lista YPF'!$B$3:$C$358,2,FALSE),"NO")</f>
        <v>NO</v>
      </c>
      <c r="J1999" s="5" t="str">
        <f>IFERROR(VLOOKUP(Consulta1[[#This Row],[Pozo]],'Lista Oportunidades'!B:C,2,FALSE),"NO")</f>
        <v>NO</v>
      </c>
      <c r="K1999" s="5">
        <f>IFERROR(VLOOKUP(Consulta1[[#This Row],[Pozo largo]],Controles!B:H,7,FALSE),"NO")</f>
        <v>0.47000000000000003</v>
      </c>
      <c r="L1999" s="5">
        <f>IFERROR(VLOOKUP(Consulta1[[#This Row],[Pozo largo]],Controles!B:J,9,FALSE),"NO")</f>
        <v>0</v>
      </c>
    </row>
    <row r="2000" spans="2:12" x14ac:dyDescent="0.35">
      <c r="B2000" s="4" t="s">
        <v>3827</v>
      </c>
      <c r="C2000" s="4" t="s">
        <v>7713</v>
      </c>
      <c r="D2000" s="4" t="s">
        <v>5</v>
      </c>
      <c r="E2000" s="4" t="s">
        <v>30</v>
      </c>
      <c r="F2000" s="4" t="s">
        <v>31</v>
      </c>
      <c r="G2000" s="4" t="s">
        <v>32</v>
      </c>
      <c r="H2000" s="4" t="s">
        <v>86</v>
      </c>
      <c r="I2000" s="5" t="str">
        <f>IFERROR(VLOOKUP(Consulta1[[#This Row],[Pozo largo]],'Lista YPF'!$B$3:$C$358,2,FALSE),"NO")</f>
        <v>NO</v>
      </c>
      <c r="J2000" s="5" t="str">
        <f>IFERROR(VLOOKUP(Consulta1[[#This Row],[Pozo]],'Lista Oportunidades'!B:C,2,FALSE),"NO")</f>
        <v>NO</v>
      </c>
      <c r="K2000" s="5">
        <f>IFERROR(VLOOKUP(Consulta1[[#This Row],[Pozo largo]],Controles!B:H,7,FALSE),"NO")</f>
        <v>0.29200000000000004</v>
      </c>
      <c r="L2000" s="5">
        <f>IFERROR(VLOOKUP(Consulta1[[#This Row],[Pozo largo]],Controles!B:J,9,FALSE),"NO")</f>
        <v>0</v>
      </c>
    </row>
    <row r="2001" spans="2:12" x14ac:dyDescent="0.35">
      <c r="B2001" s="4" t="s">
        <v>3829</v>
      </c>
      <c r="C2001" s="4" t="s">
        <v>7714</v>
      </c>
      <c r="D2001" s="4" t="s">
        <v>5</v>
      </c>
      <c r="E2001" s="4" t="s">
        <v>12</v>
      </c>
      <c r="F2001" s="4" t="s">
        <v>7</v>
      </c>
      <c r="G2001" s="4" t="s">
        <v>13</v>
      </c>
      <c r="H2001" s="4" t="s">
        <v>74</v>
      </c>
      <c r="I2001" s="5" t="str">
        <f>IFERROR(VLOOKUP(Consulta1[[#This Row],[Pozo largo]],'Lista YPF'!$B$3:$C$358,2,FALSE),"NO")</f>
        <v>NO</v>
      </c>
      <c r="J2001" s="5" t="str">
        <f>IFERROR(VLOOKUP(Consulta1[[#This Row],[Pozo]],'Lista Oportunidades'!B:C,2,FALSE),"NO")</f>
        <v>NO</v>
      </c>
      <c r="K2001" s="5">
        <f>IFERROR(VLOOKUP(Consulta1[[#This Row],[Pozo largo]],Controles!B:H,7,FALSE),"NO")</f>
        <v>2.1120000000000001</v>
      </c>
      <c r="L2001" s="5">
        <f>IFERROR(VLOOKUP(Consulta1[[#This Row],[Pozo largo]],Controles!B:J,9,FALSE),"NO")</f>
        <v>0</v>
      </c>
    </row>
    <row r="2002" spans="2:12" x14ac:dyDescent="0.35">
      <c r="B2002" s="4" t="s">
        <v>3831</v>
      </c>
      <c r="C2002" s="4" t="s">
        <v>7715</v>
      </c>
      <c r="D2002" s="4" t="s">
        <v>5</v>
      </c>
      <c r="E2002" s="4" t="s">
        <v>30</v>
      </c>
      <c r="F2002" s="4" t="s">
        <v>31</v>
      </c>
      <c r="G2002" s="4" t="s">
        <v>32</v>
      </c>
      <c r="H2002" s="4" t="s">
        <v>91</v>
      </c>
      <c r="I2002" s="5" t="str">
        <f>IFERROR(VLOOKUP(Consulta1[[#This Row],[Pozo largo]],'Lista YPF'!$B$3:$C$358,2,FALSE),"NO")</f>
        <v>NO</v>
      </c>
      <c r="J2002" s="5" t="str">
        <f>IFERROR(VLOOKUP(Consulta1[[#This Row],[Pozo]],'Lista Oportunidades'!B:C,2,FALSE),"NO")</f>
        <v>NO</v>
      </c>
      <c r="K2002" s="5">
        <f>IFERROR(VLOOKUP(Consulta1[[#This Row],[Pozo largo]],Controles!B:H,7,FALSE),"NO")</f>
        <v>0.74099999999999999</v>
      </c>
      <c r="L2002" s="5">
        <f>IFERROR(VLOOKUP(Consulta1[[#This Row],[Pozo largo]],Controles!B:J,9,FALSE),"NO")</f>
        <v>0</v>
      </c>
    </row>
    <row r="2003" spans="2:12" x14ac:dyDescent="0.35">
      <c r="B2003" s="4" t="s">
        <v>3833</v>
      </c>
      <c r="C2003" s="4" t="s">
        <v>7716</v>
      </c>
      <c r="D2003" s="4" t="s">
        <v>5</v>
      </c>
      <c r="E2003" s="4" t="s">
        <v>12</v>
      </c>
      <c r="F2003" s="4" t="s">
        <v>7</v>
      </c>
      <c r="G2003" s="4" t="s">
        <v>13</v>
      </c>
      <c r="H2003" s="4" t="s">
        <v>9</v>
      </c>
      <c r="I2003" s="5" t="str">
        <f>IFERROR(VLOOKUP(Consulta1[[#This Row],[Pozo largo]],'Lista YPF'!$B$3:$C$358,2,FALSE),"NO")</f>
        <v>NO</v>
      </c>
      <c r="J2003" s="5" t="str">
        <f>IFERROR(VLOOKUP(Consulta1[[#This Row],[Pozo]],'Lista Oportunidades'!B:C,2,FALSE),"NO")</f>
        <v>NO</v>
      </c>
      <c r="K2003" s="5">
        <f>IFERROR(VLOOKUP(Consulta1[[#This Row],[Pozo largo]],Controles!B:H,7,FALSE),"NO")</f>
        <v>1.36</v>
      </c>
      <c r="L2003" s="5">
        <f>IFERROR(VLOOKUP(Consulta1[[#This Row],[Pozo largo]],Controles!B:J,9,FALSE),"NO")</f>
        <v>0</v>
      </c>
    </row>
    <row r="2004" spans="2:12" x14ac:dyDescent="0.35">
      <c r="B2004" s="4" t="s">
        <v>3835</v>
      </c>
      <c r="C2004" s="4" t="s">
        <v>7717</v>
      </c>
      <c r="D2004" s="4" t="s">
        <v>5</v>
      </c>
      <c r="E2004" s="4" t="s">
        <v>12</v>
      </c>
      <c r="F2004" s="4" t="s">
        <v>7</v>
      </c>
      <c r="G2004" s="4" t="s">
        <v>13</v>
      </c>
      <c r="H2004" s="4" t="s">
        <v>9</v>
      </c>
      <c r="I2004" s="5" t="str">
        <f>IFERROR(VLOOKUP(Consulta1[[#This Row],[Pozo largo]],'Lista YPF'!$B$3:$C$358,2,FALSE),"NO")</f>
        <v>NO</v>
      </c>
      <c r="J2004" s="5" t="str">
        <f>IFERROR(VLOOKUP(Consulta1[[#This Row],[Pozo]],'Lista Oportunidades'!B:C,2,FALSE),"NO")</f>
        <v>NO</v>
      </c>
      <c r="K2004" s="5">
        <f>IFERROR(VLOOKUP(Consulta1[[#This Row],[Pozo largo]],Controles!B:H,7,FALSE),"NO")</f>
        <v>1.5</v>
      </c>
      <c r="L2004" s="5">
        <f>IFERROR(VLOOKUP(Consulta1[[#This Row],[Pozo largo]],Controles!B:J,9,FALSE),"NO")</f>
        <v>0</v>
      </c>
    </row>
    <row r="2005" spans="2:12" x14ac:dyDescent="0.35">
      <c r="B2005" s="4" t="s">
        <v>3837</v>
      </c>
      <c r="C2005" s="4" t="s">
        <v>7718</v>
      </c>
      <c r="D2005" s="4" t="s">
        <v>5</v>
      </c>
      <c r="E2005" s="4" t="s">
        <v>6</v>
      </c>
      <c r="F2005" s="4" t="s">
        <v>7</v>
      </c>
      <c r="G2005" s="4" t="s">
        <v>5718</v>
      </c>
      <c r="H2005" s="4" t="s">
        <v>80</v>
      </c>
      <c r="I2005" s="5" t="str">
        <f>IFERROR(VLOOKUP(Consulta1[[#This Row],[Pozo largo]],'Lista YPF'!$B$3:$C$358,2,FALSE),"NO")</f>
        <v>En lista de Abandono</v>
      </c>
      <c r="J2005" s="5" t="str">
        <f>IFERROR(VLOOKUP(Consulta1[[#This Row],[Pozo]],'Lista Oportunidades'!B:C,2,FALSE),"NO")</f>
        <v>NO</v>
      </c>
      <c r="K2005" s="5">
        <f>IFERROR(VLOOKUP(Consulta1[[#This Row],[Pozo largo]],Controles!B:H,7,FALSE),"NO")</f>
        <v>0.59799999999999998</v>
      </c>
      <c r="L2005" s="5">
        <f>IFERROR(VLOOKUP(Consulta1[[#This Row],[Pozo largo]],Controles!B:J,9,FALSE),"NO")</f>
        <v>0</v>
      </c>
    </row>
    <row r="2006" spans="2:12" x14ac:dyDescent="0.35">
      <c r="B2006" s="4" t="s">
        <v>3839</v>
      </c>
      <c r="C2006" s="4" t="s">
        <v>5732</v>
      </c>
      <c r="D2006" s="4" t="s">
        <v>5</v>
      </c>
      <c r="E2006" s="4" t="s">
        <v>6</v>
      </c>
      <c r="F2006" s="4" t="s">
        <v>28</v>
      </c>
      <c r="G2006" s="4" t="s">
        <v>8689</v>
      </c>
      <c r="H2006" s="4" t="s">
        <v>91</v>
      </c>
      <c r="I2006" s="5" t="str">
        <f>IFERROR(VLOOKUP(Consulta1[[#This Row],[Pozo largo]],'Lista YPF'!$B$3:$C$358,2,FALSE),"NO")</f>
        <v>NO</v>
      </c>
      <c r="J2006" s="5" t="str">
        <f>IFERROR(VLOOKUP(Consulta1[[#This Row],[Pozo]],'Lista Oportunidades'!B:C,2,FALSE),"NO")</f>
        <v>Oportunidad</v>
      </c>
      <c r="K2006" s="5">
        <f>IFERROR(VLOOKUP(Consulta1[[#This Row],[Pozo largo]],Controles!B:H,7,FALSE),"NO")</f>
        <v>0</v>
      </c>
      <c r="L2006" s="5" t="str">
        <f>IFERROR(VLOOKUP(Consulta1[[#This Row],[Pozo largo]],Controles!B:J,9,FALSE),"NO")</f>
        <v>Ultimo Año</v>
      </c>
    </row>
    <row r="2007" spans="2:12" x14ac:dyDescent="0.35">
      <c r="B2007" s="4" t="s">
        <v>3841</v>
      </c>
      <c r="C2007" s="4" t="s">
        <v>7719</v>
      </c>
      <c r="D2007" s="4" t="s">
        <v>5</v>
      </c>
      <c r="E2007" s="4" t="s">
        <v>24</v>
      </c>
      <c r="F2007" s="4" t="s">
        <v>7</v>
      </c>
      <c r="G2007" s="4" t="s">
        <v>8</v>
      </c>
      <c r="H2007" s="4" t="s">
        <v>86</v>
      </c>
      <c r="I2007" s="5" t="str">
        <f>IFERROR(VLOOKUP(Consulta1[[#This Row],[Pozo largo]],'Lista YPF'!$B$3:$C$358,2,FALSE),"NO")</f>
        <v>NO</v>
      </c>
      <c r="J2007" s="5" t="str">
        <f>IFERROR(VLOOKUP(Consulta1[[#This Row],[Pozo]],'Lista Oportunidades'!B:C,2,FALSE),"NO")</f>
        <v>NO</v>
      </c>
      <c r="K2007" s="5">
        <f>IFERROR(VLOOKUP(Consulta1[[#This Row],[Pozo largo]],Controles!B:H,7,FALSE),"NO")</f>
        <v>0.56000000000000005</v>
      </c>
      <c r="L2007" s="5">
        <f>IFERROR(VLOOKUP(Consulta1[[#This Row],[Pozo largo]],Controles!B:J,9,FALSE),"NO")</f>
        <v>0</v>
      </c>
    </row>
    <row r="2008" spans="2:12" x14ac:dyDescent="0.35">
      <c r="B2008" s="4" t="s">
        <v>3843</v>
      </c>
      <c r="C2008" s="4" t="s">
        <v>7720</v>
      </c>
      <c r="D2008" s="4" t="s">
        <v>5</v>
      </c>
      <c r="E2008" s="4" t="s">
        <v>30</v>
      </c>
      <c r="F2008" s="4" t="s">
        <v>31</v>
      </c>
      <c r="G2008" s="4" t="s">
        <v>32</v>
      </c>
      <c r="H2008" s="4" t="s">
        <v>91</v>
      </c>
      <c r="I2008" s="5" t="str">
        <f>IFERROR(VLOOKUP(Consulta1[[#This Row],[Pozo largo]],'Lista YPF'!$B$3:$C$358,2,FALSE),"NO")</f>
        <v>NO</v>
      </c>
      <c r="J2008" s="5" t="str">
        <f>IFERROR(VLOOKUP(Consulta1[[#This Row],[Pozo]],'Lista Oportunidades'!B:C,2,FALSE),"NO")</f>
        <v>NO</v>
      </c>
      <c r="K2008" s="5">
        <f>IFERROR(VLOOKUP(Consulta1[[#This Row],[Pozo largo]],Controles!B:H,7,FALSE),"NO")</f>
        <v>0.5</v>
      </c>
      <c r="L2008" s="5">
        <f>IFERROR(VLOOKUP(Consulta1[[#This Row],[Pozo largo]],Controles!B:J,9,FALSE),"NO")</f>
        <v>0</v>
      </c>
    </row>
    <row r="2009" spans="2:12" x14ac:dyDescent="0.35">
      <c r="B2009" s="4" t="s">
        <v>3845</v>
      </c>
      <c r="C2009" s="4" t="s">
        <v>7721</v>
      </c>
      <c r="D2009" s="4" t="s">
        <v>5</v>
      </c>
      <c r="E2009" s="4" t="s">
        <v>12</v>
      </c>
      <c r="F2009" s="4" t="s">
        <v>7</v>
      </c>
      <c r="G2009" s="4" t="s">
        <v>13</v>
      </c>
      <c r="H2009" s="4" t="s">
        <v>80</v>
      </c>
      <c r="I2009" s="5" t="str">
        <f>IFERROR(VLOOKUP(Consulta1[[#This Row],[Pozo largo]],'Lista YPF'!$B$3:$C$358,2,FALSE),"NO")</f>
        <v>NO</v>
      </c>
      <c r="J2009" s="5" t="str">
        <f>IFERROR(VLOOKUP(Consulta1[[#This Row],[Pozo]],'Lista Oportunidades'!B:C,2,FALSE),"NO")</f>
        <v>NO</v>
      </c>
      <c r="K2009" s="5">
        <f>IFERROR(VLOOKUP(Consulta1[[#This Row],[Pozo largo]],Controles!B:H,7,FALSE),"NO")</f>
        <v>1.61</v>
      </c>
      <c r="L2009" s="5">
        <f>IFERROR(VLOOKUP(Consulta1[[#This Row],[Pozo largo]],Controles!B:J,9,FALSE),"NO")</f>
        <v>0</v>
      </c>
    </row>
    <row r="2010" spans="2:12" x14ac:dyDescent="0.35">
      <c r="B2010" s="4" t="s">
        <v>3847</v>
      </c>
      <c r="C2010" s="4" t="s">
        <v>7722</v>
      </c>
      <c r="D2010" s="4" t="s">
        <v>5</v>
      </c>
      <c r="E2010" s="4" t="s">
        <v>12</v>
      </c>
      <c r="F2010" s="4" t="s">
        <v>7</v>
      </c>
      <c r="G2010" s="4" t="s">
        <v>13</v>
      </c>
      <c r="H2010" s="4" t="s">
        <v>91</v>
      </c>
      <c r="I2010" s="5" t="str">
        <f>IFERROR(VLOOKUP(Consulta1[[#This Row],[Pozo largo]],'Lista YPF'!$B$3:$C$358,2,FALSE),"NO")</f>
        <v>NO</v>
      </c>
      <c r="J2010" s="5" t="str">
        <f>IFERROR(VLOOKUP(Consulta1[[#This Row],[Pozo]],'Lista Oportunidades'!B:C,2,FALSE),"NO")</f>
        <v>NO</v>
      </c>
      <c r="K2010" s="5">
        <f>IFERROR(VLOOKUP(Consulta1[[#This Row],[Pozo largo]],Controles!B:H,7,FALSE),"NO")</f>
        <v>2.1</v>
      </c>
      <c r="L2010" s="5">
        <f>IFERROR(VLOOKUP(Consulta1[[#This Row],[Pozo largo]],Controles!B:J,9,FALSE),"NO")</f>
        <v>0</v>
      </c>
    </row>
    <row r="2011" spans="2:12" x14ac:dyDescent="0.35">
      <c r="B2011" s="4" t="s">
        <v>3849</v>
      </c>
      <c r="C2011" s="4" t="s">
        <v>7723</v>
      </c>
      <c r="D2011" s="4" t="s">
        <v>5</v>
      </c>
      <c r="E2011" s="4" t="s">
        <v>12</v>
      </c>
      <c r="F2011" s="4" t="s">
        <v>7</v>
      </c>
      <c r="G2011" s="4" t="s">
        <v>13</v>
      </c>
      <c r="H2011" s="4" t="s">
        <v>80</v>
      </c>
      <c r="I2011" s="5" t="str">
        <f>IFERROR(VLOOKUP(Consulta1[[#This Row],[Pozo largo]],'Lista YPF'!$B$3:$C$358,2,FALSE),"NO")</f>
        <v>NO</v>
      </c>
      <c r="J2011" s="5" t="str">
        <f>IFERROR(VLOOKUP(Consulta1[[#This Row],[Pozo]],'Lista Oportunidades'!B:C,2,FALSE),"NO")</f>
        <v>NO</v>
      </c>
      <c r="K2011" s="5">
        <f>IFERROR(VLOOKUP(Consulta1[[#This Row],[Pozo largo]],Controles!B:H,7,FALSE),"NO")</f>
        <v>0.26</v>
      </c>
      <c r="L2011" s="5">
        <f>IFERROR(VLOOKUP(Consulta1[[#This Row],[Pozo largo]],Controles!B:J,9,FALSE),"NO")</f>
        <v>0</v>
      </c>
    </row>
    <row r="2012" spans="2:12" x14ac:dyDescent="0.35">
      <c r="B2012" s="4" t="s">
        <v>3851</v>
      </c>
      <c r="C2012" s="4" t="s">
        <v>7724</v>
      </c>
      <c r="D2012" s="4" t="s">
        <v>5</v>
      </c>
      <c r="E2012" s="4" t="s">
        <v>12</v>
      </c>
      <c r="F2012" s="4" t="s">
        <v>7</v>
      </c>
      <c r="G2012" s="4" t="s">
        <v>13</v>
      </c>
      <c r="H2012" s="4" t="s">
        <v>86</v>
      </c>
      <c r="I2012" s="5" t="str">
        <f>IFERROR(VLOOKUP(Consulta1[[#This Row],[Pozo largo]],'Lista YPF'!$B$3:$C$358,2,FALSE),"NO")</f>
        <v>NO</v>
      </c>
      <c r="J2012" s="5" t="str">
        <f>IFERROR(VLOOKUP(Consulta1[[#This Row],[Pozo]],'Lista Oportunidades'!B:C,2,FALSE),"NO")</f>
        <v>NO</v>
      </c>
      <c r="K2012" s="5">
        <f>IFERROR(VLOOKUP(Consulta1[[#This Row],[Pozo largo]],Controles!B:H,7,FALSE),"NO")</f>
        <v>3.8880000000000003</v>
      </c>
      <c r="L2012" s="5">
        <f>IFERROR(VLOOKUP(Consulta1[[#This Row],[Pozo largo]],Controles!B:J,9,FALSE),"NO")</f>
        <v>0</v>
      </c>
    </row>
    <row r="2013" spans="2:12" x14ac:dyDescent="0.35">
      <c r="B2013" s="4" t="s">
        <v>3853</v>
      </c>
      <c r="C2013" s="4" t="s">
        <v>7725</v>
      </c>
      <c r="D2013" s="4" t="s">
        <v>5</v>
      </c>
      <c r="E2013" s="4" t="s">
        <v>12</v>
      </c>
      <c r="F2013" s="4" t="s">
        <v>7</v>
      </c>
      <c r="G2013" s="4" t="s">
        <v>13</v>
      </c>
      <c r="H2013" s="4" t="s">
        <v>86</v>
      </c>
      <c r="I2013" s="5" t="str">
        <f>IFERROR(VLOOKUP(Consulta1[[#This Row],[Pozo largo]],'Lista YPF'!$B$3:$C$358,2,FALSE),"NO")</f>
        <v>NO</v>
      </c>
      <c r="J2013" s="5" t="str">
        <f>IFERROR(VLOOKUP(Consulta1[[#This Row],[Pozo]],'Lista Oportunidades'!B:C,2,FALSE),"NO")</f>
        <v>NO</v>
      </c>
      <c r="K2013" s="5">
        <f>IFERROR(VLOOKUP(Consulta1[[#This Row],[Pozo largo]],Controles!B:H,7,FALSE),"NO")</f>
        <v>2.31</v>
      </c>
      <c r="L2013" s="5">
        <f>IFERROR(VLOOKUP(Consulta1[[#This Row],[Pozo largo]],Controles!B:J,9,FALSE),"NO")</f>
        <v>0</v>
      </c>
    </row>
    <row r="2014" spans="2:12" x14ac:dyDescent="0.35">
      <c r="B2014" s="4" t="s">
        <v>3855</v>
      </c>
      <c r="C2014" s="4" t="s">
        <v>7726</v>
      </c>
      <c r="D2014" s="4" t="s">
        <v>5</v>
      </c>
      <c r="E2014" s="4" t="s">
        <v>309</v>
      </c>
      <c r="F2014" s="4" t="s">
        <v>31</v>
      </c>
      <c r="G2014" s="4" t="s">
        <v>5718</v>
      </c>
      <c r="H2014" s="4" t="s">
        <v>84</v>
      </c>
      <c r="I2014" s="5" t="str">
        <f>IFERROR(VLOOKUP(Consulta1[[#This Row],[Pozo largo]],'Lista YPF'!$B$3:$C$358,2,FALSE),"NO")</f>
        <v>En lista de Abandono</v>
      </c>
      <c r="J2014" s="5" t="str">
        <f>IFERROR(VLOOKUP(Consulta1[[#This Row],[Pozo]],'Lista Oportunidades'!B:C,2,FALSE),"NO")</f>
        <v>NO</v>
      </c>
      <c r="K2014" s="5">
        <f>IFERROR(VLOOKUP(Consulta1[[#This Row],[Pozo largo]],Controles!B:H,7,FALSE),"NO")</f>
        <v>0.09</v>
      </c>
      <c r="L2014" s="5">
        <f>IFERROR(VLOOKUP(Consulta1[[#This Row],[Pozo largo]],Controles!B:J,9,FALSE),"NO")</f>
        <v>0</v>
      </c>
    </row>
    <row r="2015" spans="2:12" x14ac:dyDescent="0.35">
      <c r="B2015" s="4" t="s">
        <v>3857</v>
      </c>
      <c r="C2015" s="4" t="s">
        <v>7727</v>
      </c>
      <c r="D2015" s="4" t="s">
        <v>5</v>
      </c>
      <c r="E2015" s="4" t="s">
        <v>12</v>
      </c>
      <c r="F2015" s="4" t="s">
        <v>25</v>
      </c>
      <c r="G2015" s="4" t="s">
        <v>13</v>
      </c>
      <c r="H2015" s="4" t="s">
        <v>91</v>
      </c>
      <c r="I2015" s="5" t="str">
        <f>IFERROR(VLOOKUP(Consulta1[[#This Row],[Pozo largo]],'Lista YPF'!$B$3:$C$358,2,FALSE),"NO")</f>
        <v>NO</v>
      </c>
      <c r="J2015" s="5" t="str">
        <f>IFERROR(VLOOKUP(Consulta1[[#This Row],[Pozo]],'Lista Oportunidades'!B:C,2,FALSE),"NO")</f>
        <v>NO</v>
      </c>
      <c r="K2015" s="5">
        <f>IFERROR(VLOOKUP(Consulta1[[#This Row],[Pozo largo]],Controles!B:H,7,FALSE),"NO")</f>
        <v>0.10400000000000001</v>
      </c>
      <c r="L2015" s="5">
        <f>IFERROR(VLOOKUP(Consulta1[[#This Row],[Pozo largo]],Controles!B:J,9,FALSE),"NO")</f>
        <v>0</v>
      </c>
    </row>
    <row r="2016" spans="2:12" x14ac:dyDescent="0.35">
      <c r="B2016" s="4" t="s">
        <v>3859</v>
      </c>
      <c r="C2016" s="4" t="s">
        <v>7728</v>
      </c>
      <c r="D2016" s="4" t="s">
        <v>5</v>
      </c>
      <c r="E2016" s="4" t="s">
        <v>24</v>
      </c>
      <c r="F2016" s="4" t="s">
        <v>31</v>
      </c>
      <c r="G2016" s="4" t="s">
        <v>11385</v>
      </c>
      <c r="H2016" s="4" t="s">
        <v>91</v>
      </c>
      <c r="I2016" s="5" t="str">
        <f>IFERROR(VLOOKUP(Consulta1[[#This Row],[Pozo largo]],'Lista YPF'!$B$3:$C$358,2,FALSE),"NO")</f>
        <v>NO</v>
      </c>
      <c r="J2016" s="5" t="str">
        <f>IFERROR(VLOOKUP(Consulta1[[#This Row],[Pozo]],'Lista Oportunidades'!B:C,2,FALSE),"NO")</f>
        <v>NO</v>
      </c>
      <c r="K2016" s="5">
        <f>IFERROR(VLOOKUP(Consulta1[[#This Row],[Pozo largo]],Controles!B:H,7,FALSE),"NO")</f>
        <v>5.9850000000000003</v>
      </c>
      <c r="L2016" s="5">
        <f>IFERROR(VLOOKUP(Consulta1[[#This Row],[Pozo largo]],Controles!B:J,9,FALSE),"NO")</f>
        <v>0</v>
      </c>
    </row>
    <row r="2017" spans="2:12" x14ac:dyDescent="0.35">
      <c r="B2017" s="4" t="s">
        <v>3861</v>
      </c>
      <c r="C2017" s="4" t="s">
        <v>7729</v>
      </c>
      <c r="D2017" s="4" t="s">
        <v>5</v>
      </c>
      <c r="E2017" s="4" t="s">
        <v>12</v>
      </c>
      <c r="F2017" s="4" t="s">
        <v>7</v>
      </c>
      <c r="G2017" s="4" t="s">
        <v>13</v>
      </c>
      <c r="H2017" s="4" t="s">
        <v>185</v>
      </c>
      <c r="I2017" s="5" t="str">
        <f>IFERROR(VLOOKUP(Consulta1[[#This Row],[Pozo largo]],'Lista YPF'!$B$3:$C$358,2,FALSE),"NO")</f>
        <v>NO</v>
      </c>
      <c r="J2017" s="5" t="str">
        <f>IFERROR(VLOOKUP(Consulta1[[#This Row],[Pozo]],'Lista Oportunidades'!B:C,2,FALSE),"NO")</f>
        <v>NO</v>
      </c>
      <c r="K2017" s="5">
        <f>IFERROR(VLOOKUP(Consulta1[[#This Row],[Pozo largo]],Controles!B:H,7,FALSE),"NO")</f>
        <v>1.08</v>
      </c>
      <c r="L2017" s="5">
        <f>IFERROR(VLOOKUP(Consulta1[[#This Row],[Pozo largo]],Controles!B:J,9,FALSE),"NO")</f>
        <v>0</v>
      </c>
    </row>
    <row r="2018" spans="2:12" x14ac:dyDescent="0.35">
      <c r="B2018" s="4" t="s">
        <v>3863</v>
      </c>
      <c r="C2018" s="4" t="s">
        <v>7730</v>
      </c>
      <c r="D2018" s="4" t="s">
        <v>5</v>
      </c>
      <c r="E2018" s="4" t="s">
        <v>12</v>
      </c>
      <c r="F2018" s="4" t="s">
        <v>83</v>
      </c>
      <c r="G2018" s="4" t="s">
        <v>13</v>
      </c>
      <c r="H2018" s="4" t="s">
        <v>16</v>
      </c>
      <c r="I2018" s="5" t="str">
        <f>IFERROR(VLOOKUP(Consulta1[[#This Row],[Pozo largo]],'Lista YPF'!$B$3:$C$358,2,FALSE),"NO")</f>
        <v>NO</v>
      </c>
      <c r="J2018" s="5" t="str">
        <f>IFERROR(VLOOKUP(Consulta1[[#This Row],[Pozo]],'Lista Oportunidades'!B:C,2,FALSE),"NO")</f>
        <v>NO</v>
      </c>
      <c r="K2018" s="5">
        <f>IFERROR(VLOOKUP(Consulta1[[#This Row],[Pozo largo]],Controles!B:H,7,FALSE),"NO")</f>
        <v>3.71</v>
      </c>
      <c r="L2018" s="5">
        <f>IFERROR(VLOOKUP(Consulta1[[#This Row],[Pozo largo]],Controles!B:J,9,FALSE),"NO")</f>
        <v>0</v>
      </c>
    </row>
    <row r="2019" spans="2:12" x14ac:dyDescent="0.35">
      <c r="B2019" s="4" t="s">
        <v>3865</v>
      </c>
      <c r="C2019" s="4" t="s">
        <v>7731</v>
      </c>
      <c r="D2019" s="4" t="s">
        <v>5</v>
      </c>
      <c r="E2019" s="4" t="s">
        <v>24</v>
      </c>
      <c r="F2019" s="4" t="s">
        <v>31</v>
      </c>
      <c r="G2019" s="4" t="s">
        <v>8</v>
      </c>
      <c r="H2019" s="4" t="s">
        <v>71</v>
      </c>
      <c r="I2019" s="5" t="str">
        <f>IFERROR(VLOOKUP(Consulta1[[#This Row],[Pozo largo]],'Lista YPF'!$B$3:$C$358,2,FALSE),"NO")</f>
        <v>NO</v>
      </c>
      <c r="J2019" s="5" t="str">
        <f>IFERROR(VLOOKUP(Consulta1[[#This Row],[Pozo]],'Lista Oportunidades'!B:C,2,FALSE),"NO")</f>
        <v>NO</v>
      </c>
      <c r="K2019" s="5">
        <f>IFERROR(VLOOKUP(Consulta1[[#This Row],[Pozo largo]],Controles!B:H,7,FALSE),"NO")</f>
        <v>0.22</v>
      </c>
      <c r="L2019" s="5">
        <f>IFERROR(VLOOKUP(Consulta1[[#This Row],[Pozo largo]],Controles!B:J,9,FALSE),"NO")</f>
        <v>0</v>
      </c>
    </row>
    <row r="2020" spans="2:12" x14ac:dyDescent="0.35">
      <c r="B2020" s="4" t="s">
        <v>3867</v>
      </c>
      <c r="C2020" s="4" t="s">
        <v>7732</v>
      </c>
      <c r="D2020" s="4" t="s">
        <v>5</v>
      </c>
      <c r="E2020" s="4" t="s">
        <v>12</v>
      </c>
      <c r="F2020" s="4" t="s">
        <v>7</v>
      </c>
      <c r="G2020" s="4" t="s">
        <v>13</v>
      </c>
      <c r="H2020" s="4" t="s">
        <v>290</v>
      </c>
      <c r="I2020" s="5" t="str">
        <f>IFERROR(VLOOKUP(Consulta1[[#This Row],[Pozo largo]],'Lista YPF'!$B$3:$C$358,2,FALSE),"NO")</f>
        <v>NO</v>
      </c>
      <c r="J2020" s="5" t="str">
        <f>IFERROR(VLOOKUP(Consulta1[[#This Row],[Pozo]],'Lista Oportunidades'!B:C,2,FALSE),"NO")</f>
        <v>NO</v>
      </c>
      <c r="K2020" s="5">
        <f>IFERROR(VLOOKUP(Consulta1[[#This Row],[Pozo largo]],Controles!B:H,7,FALSE),"NO")</f>
        <v>2.3000000000000003</v>
      </c>
      <c r="L2020" s="5">
        <f>IFERROR(VLOOKUP(Consulta1[[#This Row],[Pozo largo]],Controles!B:J,9,FALSE),"NO")</f>
        <v>0</v>
      </c>
    </row>
    <row r="2021" spans="2:12" x14ac:dyDescent="0.35">
      <c r="B2021" s="4" t="s">
        <v>3869</v>
      </c>
      <c r="C2021" s="4" t="s">
        <v>7733</v>
      </c>
      <c r="D2021" s="4" t="s">
        <v>5</v>
      </c>
      <c r="E2021" s="4" t="s">
        <v>6</v>
      </c>
      <c r="F2021" s="4" t="s">
        <v>7</v>
      </c>
      <c r="G2021" s="4" t="s">
        <v>5718</v>
      </c>
      <c r="H2021" s="4" t="s">
        <v>9</v>
      </c>
      <c r="I2021" s="5" t="str">
        <f>IFERROR(VLOOKUP(Consulta1[[#This Row],[Pozo largo]],'Lista YPF'!$B$3:$C$358,2,FALSE),"NO")</f>
        <v>En lista de Abandono</v>
      </c>
      <c r="J2021" s="5" t="str">
        <f>IFERROR(VLOOKUP(Consulta1[[#This Row],[Pozo]],'Lista Oportunidades'!B:C,2,FALSE),"NO")</f>
        <v>NO</v>
      </c>
      <c r="K2021" s="5">
        <f>IFERROR(VLOOKUP(Consulta1[[#This Row],[Pozo largo]],Controles!B:H,7,FALSE),"NO")</f>
        <v>0.60799999999999998</v>
      </c>
      <c r="L2021" s="5">
        <f>IFERROR(VLOOKUP(Consulta1[[#This Row],[Pozo largo]],Controles!B:J,9,FALSE),"NO")</f>
        <v>0</v>
      </c>
    </row>
    <row r="2022" spans="2:12" x14ac:dyDescent="0.35">
      <c r="B2022" s="4" t="s">
        <v>3871</v>
      </c>
      <c r="C2022" s="4" t="s">
        <v>7734</v>
      </c>
      <c r="D2022" s="4" t="s">
        <v>5</v>
      </c>
      <c r="E2022" s="4" t="s">
        <v>24</v>
      </c>
      <c r="F2022" s="4" t="s">
        <v>7</v>
      </c>
      <c r="G2022" s="4" t="s">
        <v>8</v>
      </c>
      <c r="H2022" s="4" t="s">
        <v>149</v>
      </c>
      <c r="I2022" s="5" t="str">
        <f>IFERROR(VLOOKUP(Consulta1[[#This Row],[Pozo largo]],'Lista YPF'!$B$3:$C$358,2,FALSE),"NO")</f>
        <v>NO</v>
      </c>
      <c r="J2022" s="5" t="str">
        <f>IFERROR(VLOOKUP(Consulta1[[#This Row],[Pozo]],'Lista Oportunidades'!B:C,2,FALSE),"NO")</f>
        <v>NO</v>
      </c>
      <c r="K2022" s="5">
        <f>IFERROR(VLOOKUP(Consulta1[[#This Row],[Pozo largo]],Controles!B:H,7,FALSE),"NO")</f>
        <v>0.25</v>
      </c>
      <c r="L2022" s="5">
        <f>IFERROR(VLOOKUP(Consulta1[[#This Row],[Pozo largo]],Controles!B:J,9,FALSE),"NO")</f>
        <v>0</v>
      </c>
    </row>
    <row r="2023" spans="2:12" x14ac:dyDescent="0.35">
      <c r="B2023" s="4" t="s">
        <v>3873</v>
      </c>
      <c r="C2023" s="4" t="s">
        <v>7735</v>
      </c>
      <c r="D2023" s="4" t="s">
        <v>5</v>
      </c>
      <c r="E2023" s="4" t="s">
        <v>57</v>
      </c>
      <c r="F2023" s="4" t="s">
        <v>7</v>
      </c>
      <c r="G2023" s="4" t="s">
        <v>11387</v>
      </c>
      <c r="H2023" s="4" t="s">
        <v>149</v>
      </c>
      <c r="I2023" s="5" t="str">
        <f>IFERROR(VLOOKUP(Consulta1[[#This Row],[Pozo largo]],'Lista YPF'!$B$3:$C$358,2,FALSE),"NO")</f>
        <v>NO</v>
      </c>
      <c r="J2023" s="5" t="str">
        <f>IFERROR(VLOOKUP(Consulta1[[#This Row],[Pozo]],'Lista Oportunidades'!B:C,2,FALSE),"NO")</f>
        <v>NO</v>
      </c>
      <c r="K2023" s="5">
        <f>IFERROR(VLOOKUP(Consulta1[[#This Row],[Pozo largo]],Controles!B:H,7,FALSE),"NO")</f>
        <v>0.84</v>
      </c>
      <c r="L2023" s="5" t="str">
        <f>IFERROR(VLOOKUP(Consulta1[[#This Row],[Pozo largo]],Controles!B:J,9,FALSE),"NO")</f>
        <v>Ultimo Año</v>
      </c>
    </row>
    <row r="2024" spans="2:12" x14ac:dyDescent="0.35">
      <c r="B2024" s="4" t="s">
        <v>3875</v>
      </c>
      <c r="C2024" s="4" t="s">
        <v>7736</v>
      </c>
      <c r="D2024" s="4" t="s">
        <v>5</v>
      </c>
      <c r="E2024" s="4" t="s">
        <v>12</v>
      </c>
      <c r="F2024" s="4" t="s">
        <v>7</v>
      </c>
      <c r="G2024" s="4" t="s">
        <v>13</v>
      </c>
      <c r="H2024" s="4" t="s">
        <v>9</v>
      </c>
      <c r="I2024" s="5" t="str">
        <f>IFERROR(VLOOKUP(Consulta1[[#This Row],[Pozo largo]],'Lista YPF'!$B$3:$C$358,2,FALSE),"NO")</f>
        <v>NO</v>
      </c>
      <c r="J2024" s="5" t="str">
        <f>IFERROR(VLOOKUP(Consulta1[[#This Row],[Pozo]],'Lista Oportunidades'!B:C,2,FALSE),"NO")</f>
        <v>NO</v>
      </c>
      <c r="K2024" s="5">
        <f>IFERROR(VLOOKUP(Consulta1[[#This Row],[Pozo largo]],Controles!B:H,7,FALSE),"NO")</f>
        <v>0.87</v>
      </c>
      <c r="L2024" s="5">
        <f>IFERROR(VLOOKUP(Consulta1[[#This Row],[Pozo largo]],Controles!B:J,9,FALSE),"NO")</f>
        <v>0</v>
      </c>
    </row>
    <row r="2025" spans="2:12" x14ac:dyDescent="0.35">
      <c r="B2025" s="4" t="s">
        <v>3877</v>
      </c>
      <c r="C2025" s="4" t="s">
        <v>7737</v>
      </c>
      <c r="D2025" s="4" t="s">
        <v>5</v>
      </c>
      <c r="E2025" s="4" t="s">
        <v>12</v>
      </c>
      <c r="F2025" s="4" t="s">
        <v>7</v>
      </c>
      <c r="G2025" s="4" t="s">
        <v>13</v>
      </c>
      <c r="H2025" s="4" t="s">
        <v>9</v>
      </c>
      <c r="I2025" s="5" t="str">
        <f>IFERROR(VLOOKUP(Consulta1[[#This Row],[Pozo largo]],'Lista YPF'!$B$3:$C$358,2,FALSE),"NO")</f>
        <v>NO</v>
      </c>
      <c r="J2025" s="5" t="str">
        <f>IFERROR(VLOOKUP(Consulta1[[#This Row],[Pozo]],'Lista Oportunidades'!B:C,2,FALSE),"NO")</f>
        <v>NO</v>
      </c>
      <c r="K2025" s="5">
        <f>IFERROR(VLOOKUP(Consulta1[[#This Row],[Pozo largo]],Controles!B:H,7,FALSE),"NO")</f>
        <v>2.4500000000000002</v>
      </c>
      <c r="L2025" s="5">
        <f>IFERROR(VLOOKUP(Consulta1[[#This Row],[Pozo largo]],Controles!B:J,9,FALSE),"NO")</f>
        <v>0</v>
      </c>
    </row>
    <row r="2026" spans="2:12" x14ac:dyDescent="0.35">
      <c r="B2026" s="4" t="s">
        <v>3879</v>
      </c>
      <c r="C2026" s="4" t="s">
        <v>7738</v>
      </c>
      <c r="D2026" s="4" t="s">
        <v>5</v>
      </c>
      <c r="E2026" s="4" t="s">
        <v>12</v>
      </c>
      <c r="F2026" s="4" t="s">
        <v>28</v>
      </c>
      <c r="G2026" s="4" t="s">
        <v>13</v>
      </c>
      <c r="H2026" s="4" t="s">
        <v>9</v>
      </c>
      <c r="I2026" s="5" t="str">
        <f>IFERROR(VLOOKUP(Consulta1[[#This Row],[Pozo largo]],'Lista YPF'!$B$3:$C$358,2,FALSE),"NO")</f>
        <v>NO</v>
      </c>
      <c r="J2026" s="5" t="str">
        <f>IFERROR(VLOOKUP(Consulta1[[#This Row],[Pozo]],'Lista Oportunidades'!B:C,2,FALSE),"NO")</f>
        <v>NO</v>
      </c>
      <c r="K2026" s="5">
        <f>IFERROR(VLOOKUP(Consulta1[[#This Row],[Pozo largo]],Controles!B:H,7,FALSE),"NO")</f>
        <v>0</v>
      </c>
      <c r="L2026" s="5">
        <f>IFERROR(VLOOKUP(Consulta1[[#This Row],[Pozo largo]],Controles!B:J,9,FALSE),"NO")</f>
        <v>0</v>
      </c>
    </row>
    <row r="2027" spans="2:12" x14ac:dyDescent="0.35">
      <c r="B2027" s="4" t="s">
        <v>3881</v>
      </c>
      <c r="C2027" s="4" t="s">
        <v>7739</v>
      </c>
      <c r="D2027" s="4" t="s">
        <v>5</v>
      </c>
      <c r="E2027" s="4" t="s">
        <v>12</v>
      </c>
      <c r="F2027" s="4" t="s">
        <v>7</v>
      </c>
      <c r="G2027" s="4" t="s">
        <v>13</v>
      </c>
      <c r="H2027" s="4" t="s">
        <v>71</v>
      </c>
      <c r="I2027" s="5" t="str">
        <f>IFERROR(VLOOKUP(Consulta1[[#This Row],[Pozo largo]],'Lista YPF'!$B$3:$C$358,2,FALSE),"NO")</f>
        <v>NO</v>
      </c>
      <c r="J2027" s="5" t="str">
        <f>IFERROR(VLOOKUP(Consulta1[[#This Row],[Pozo]],'Lista Oportunidades'!B:C,2,FALSE),"NO")</f>
        <v>NO</v>
      </c>
      <c r="K2027" s="5">
        <f>IFERROR(VLOOKUP(Consulta1[[#This Row],[Pozo largo]],Controles!B:H,7,FALSE),"NO")</f>
        <v>0.3</v>
      </c>
      <c r="L2027" s="5">
        <f>IFERROR(VLOOKUP(Consulta1[[#This Row],[Pozo largo]],Controles!B:J,9,FALSE),"NO")</f>
        <v>0</v>
      </c>
    </row>
    <row r="2028" spans="2:12" x14ac:dyDescent="0.35">
      <c r="B2028" s="4" t="s">
        <v>3883</v>
      </c>
      <c r="C2028" s="4" t="s">
        <v>7740</v>
      </c>
      <c r="D2028" s="4" t="s">
        <v>5</v>
      </c>
      <c r="E2028" s="4" t="s">
        <v>12</v>
      </c>
      <c r="F2028" s="4" t="s">
        <v>238</v>
      </c>
      <c r="G2028" s="4" t="s">
        <v>13</v>
      </c>
      <c r="H2028" s="4" t="s">
        <v>33</v>
      </c>
      <c r="I2028" s="5" t="str">
        <f>IFERROR(VLOOKUP(Consulta1[[#This Row],[Pozo largo]],'Lista YPF'!$B$3:$C$358,2,FALSE),"NO")</f>
        <v>NO</v>
      </c>
      <c r="J2028" s="5" t="str">
        <f>IFERROR(VLOOKUP(Consulta1[[#This Row],[Pozo]],'Lista Oportunidades'!B:C,2,FALSE),"NO")</f>
        <v>NO</v>
      </c>
      <c r="K2028" s="5">
        <f>IFERROR(VLOOKUP(Consulta1[[#This Row],[Pozo largo]],Controles!B:H,7,FALSE),"NO")</f>
        <v>1.99</v>
      </c>
      <c r="L2028" s="5">
        <f>IFERROR(VLOOKUP(Consulta1[[#This Row],[Pozo largo]],Controles!B:J,9,FALSE),"NO")</f>
        <v>0</v>
      </c>
    </row>
    <row r="2029" spans="2:12" x14ac:dyDescent="0.35">
      <c r="B2029" s="4" t="s">
        <v>3885</v>
      </c>
      <c r="C2029" s="4" t="s">
        <v>7741</v>
      </c>
      <c r="D2029" s="4" t="s">
        <v>5</v>
      </c>
      <c r="E2029" s="4" t="s">
        <v>24</v>
      </c>
      <c r="F2029" s="4" t="s">
        <v>31</v>
      </c>
      <c r="G2029" s="4" t="s">
        <v>8</v>
      </c>
      <c r="H2029" s="4" t="s">
        <v>33</v>
      </c>
      <c r="I2029" s="5" t="str">
        <f>IFERROR(VLOOKUP(Consulta1[[#This Row],[Pozo largo]],'Lista YPF'!$B$3:$C$358,2,FALSE),"NO")</f>
        <v>NO</v>
      </c>
      <c r="J2029" s="5" t="str">
        <f>IFERROR(VLOOKUP(Consulta1[[#This Row],[Pozo]],'Lista Oportunidades'!B:C,2,FALSE),"NO")</f>
        <v>NO</v>
      </c>
      <c r="K2029" s="5" t="str">
        <f>IFERROR(VLOOKUP(Consulta1[[#This Row],[Pozo largo]],Controles!B:H,7,FALSE),"NO")</f>
        <v>NO</v>
      </c>
      <c r="L2029" s="5" t="str">
        <f>IFERROR(VLOOKUP(Consulta1[[#This Row],[Pozo largo]],Controles!B:J,9,FALSE),"NO")</f>
        <v>NO</v>
      </c>
    </row>
    <row r="2030" spans="2:12" x14ac:dyDescent="0.35">
      <c r="B2030" s="4" t="s">
        <v>3886</v>
      </c>
      <c r="C2030" s="4" t="s">
        <v>7742</v>
      </c>
      <c r="D2030" s="4" t="s">
        <v>5</v>
      </c>
      <c r="E2030" s="4" t="s">
        <v>6</v>
      </c>
      <c r="F2030" s="4" t="s">
        <v>28</v>
      </c>
      <c r="G2030" s="4" t="s">
        <v>5718</v>
      </c>
      <c r="H2030" s="4" t="s">
        <v>33</v>
      </c>
      <c r="I2030" s="5" t="str">
        <f>IFERROR(VLOOKUP(Consulta1[[#This Row],[Pozo largo]],'Lista YPF'!$B$3:$C$358,2,FALSE),"NO")</f>
        <v>En lista de Abandono</v>
      </c>
      <c r="J2030" s="5" t="str">
        <f>IFERROR(VLOOKUP(Consulta1[[#This Row],[Pozo]],'Lista Oportunidades'!B:C,2,FALSE),"NO")</f>
        <v>NO</v>
      </c>
      <c r="K2030" s="5">
        <f>IFERROR(VLOOKUP(Consulta1[[#This Row],[Pozo largo]],Controles!B:H,7,FALSE),"NO")</f>
        <v>0</v>
      </c>
      <c r="L2030" s="5">
        <f>IFERROR(VLOOKUP(Consulta1[[#This Row],[Pozo largo]],Controles!B:J,9,FALSE),"NO")</f>
        <v>0</v>
      </c>
    </row>
    <row r="2031" spans="2:12" x14ac:dyDescent="0.35">
      <c r="B2031" s="4" t="s">
        <v>3888</v>
      </c>
      <c r="C2031" s="4" t="s">
        <v>7743</v>
      </c>
      <c r="D2031" s="4" t="s">
        <v>5</v>
      </c>
      <c r="E2031" s="4" t="s">
        <v>12</v>
      </c>
      <c r="F2031" s="4" t="s">
        <v>28</v>
      </c>
      <c r="G2031" s="4" t="s">
        <v>13</v>
      </c>
      <c r="H2031" s="4" t="s">
        <v>33</v>
      </c>
      <c r="I2031" s="5" t="str">
        <f>IFERROR(VLOOKUP(Consulta1[[#This Row],[Pozo largo]],'Lista YPF'!$B$3:$C$358,2,FALSE),"NO")</f>
        <v>NO</v>
      </c>
      <c r="J2031" s="5" t="str">
        <f>IFERROR(VLOOKUP(Consulta1[[#This Row],[Pozo]],'Lista Oportunidades'!B:C,2,FALSE),"NO")</f>
        <v>NO</v>
      </c>
      <c r="K2031" s="5">
        <f>IFERROR(VLOOKUP(Consulta1[[#This Row],[Pozo largo]],Controles!B:H,7,FALSE),"NO")</f>
        <v>0</v>
      </c>
      <c r="L2031" s="5">
        <f>IFERROR(VLOOKUP(Consulta1[[#This Row],[Pozo largo]],Controles!B:J,9,FALSE),"NO")</f>
        <v>0</v>
      </c>
    </row>
    <row r="2032" spans="2:12" x14ac:dyDescent="0.35">
      <c r="B2032" s="4" t="s">
        <v>3890</v>
      </c>
      <c r="C2032" s="4" t="s">
        <v>7744</v>
      </c>
      <c r="D2032" s="4" t="s">
        <v>5</v>
      </c>
      <c r="E2032" s="4" t="s">
        <v>12</v>
      </c>
      <c r="F2032" s="4" t="s">
        <v>28</v>
      </c>
      <c r="G2032" s="4" t="s">
        <v>13</v>
      </c>
      <c r="H2032" s="4" t="s">
        <v>21</v>
      </c>
      <c r="I2032" s="5" t="str">
        <f>IFERROR(VLOOKUP(Consulta1[[#This Row],[Pozo largo]],'Lista YPF'!$B$3:$C$358,2,FALSE),"NO")</f>
        <v>NO</v>
      </c>
      <c r="J2032" s="5" t="str">
        <f>IFERROR(VLOOKUP(Consulta1[[#This Row],[Pozo]],'Lista Oportunidades'!B:C,2,FALSE),"NO")</f>
        <v>NO</v>
      </c>
      <c r="K2032" s="5">
        <f>IFERROR(VLOOKUP(Consulta1[[#This Row],[Pozo largo]],Controles!B:H,7,FALSE),"NO")</f>
        <v>0</v>
      </c>
      <c r="L2032" s="5">
        <f>IFERROR(VLOOKUP(Consulta1[[#This Row],[Pozo largo]],Controles!B:J,9,FALSE),"NO")</f>
        <v>0</v>
      </c>
    </row>
    <row r="2033" spans="2:12" x14ac:dyDescent="0.35">
      <c r="B2033" s="4" t="s">
        <v>3892</v>
      </c>
      <c r="C2033" s="4" t="s">
        <v>7745</v>
      </c>
      <c r="D2033" s="4" t="s">
        <v>5</v>
      </c>
      <c r="E2033" s="4" t="s">
        <v>309</v>
      </c>
      <c r="F2033" s="4" t="s">
        <v>7</v>
      </c>
      <c r="G2033" s="4" t="s">
        <v>5718</v>
      </c>
      <c r="H2033" s="4" t="s">
        <v>21</v>
      </c>
      <c r="I2033" s="5" t="str">
        <f>IFERROR(VLOOKUP(Consulta1[[#This Row],[Pozo largo]],'Lista YPF'!$B$3:$C$358,2,FALSE),"NO")</f>
        <v>En lista de Abandono</v>
      </c>
      <c r="J2033" s="5" t="str">
        <f>IFERROR(VLOOKUP(Consulta1[[#This Row],[Pozo]],'Lista Oportunidades'!B:C,2,FALSE),"NO")</f>
        <v>NO</v>
      </c>
      <c r="K2033" s="5">
        <f>IFERROR(VLOOKUP(Consulta1[[#This Row],[Pozo largo]],Controles!B:H,7,FALSE),"NO")</f>
        <v>0.3</v>
      </c>
      <c r="L2033" s="5">
        <f>IFERROR(VLOOKUP(Consulta1[[#This Row],[Pozo largo]],Controles!B:J,9,FALSE),"NO")</f>
        <v>0</v>
      </c>
    </row>
    <row r="2034" spans="2:12" x14ac:dyDescent="0.35">
      <c r="B2034" s="4" t="s">
        <v>3894</v>
      </c>
      <c r="C2034" s="4" t="s">
        <v>7746</v>
      </c>
      <c r="D2034" s="4" t="s">
        <v>5</v>
      </c>
      <c r="E2034" s="4" t="s">
        <v>24</v>
      </c>
      <c r="F2034" s="4" t="s">
        <v>28</v>
      </c>
      <c r="G2034" s="4" t="s">
        <v>8</v>
      </c>
      <c r="H2034" s="4" t="s">
        <v>36</v>
      </c>
      <c r="I2034" s="5" t="str">
        <f>IFERROR(VLOOKUP(Consulta1[[#This Row],[Pozo largo]],'Lista YPF'!$B$3:$C$358,2,FALSE),"NO")</f>
        <v>NO</v>
      </c>
      <c r="J2034" s="5" t="str">
        <f>IFERROR(VLOOKUP(Consulta1[[#This Row],[Pozo]],'Lista Oportunidades'!B:C,2,FALSE),"NO")</f>
        <v>NO</v>
      </c>
      <c r="K2034" s="5">
        <f>IFERROR(VLOOKUP(Consulta1[[#This Row],[Pozo largo]],Controles!B:H,7,FALSE),"NO")</f>
        <v>0</v>
      </c>
      <c r="L2034" s="5">
        <f>IFERROR(VLOOKUP(Consulta1[[#This Row],[Pozo largo]],Controles!B:J,9,FALSE),"NO")</f>
        <v>0</v>
      </c>
    </row>
    <row r="2035" spans="2:12" x14ac:dyDescent="0.35">
      <c r="B2035" s="4" t="s">
        <v>3896</v>
      </c>
      <c r="C2035" s="4" t="s">
        <v>7747</v>
      </c>
      <c r="D2035" s="4" t="s">
        <v>5</v>
      </c>
      <c r="E2035" s="4" t="s">
        <v>57</v>
      </c>
      <c r="F2035" s="4" t="s">
        <v>31</v>
      </c>
      <c r="G2035" s="4" t="s">
        <v>5718</v>
      </c>
      <c r="H2035" s="4" t="s">
        <v>9</v>
      </c>
      <c r="I2035" s="5" t="str">
        <f>IFERROR(VLOOKUP(Consulta1[[#This Row],[Pozo largo]],'Lista YPF'!$B$3:$C$358,2,FALSE),"NO")</f>
        <v>En lista de Abandono</v>
      </c>
      <c r="J2035" s="5" t="str">
        <f>IFERROR(VLOOKUP(Consulta1[[#This Row],[Pozo]],'Lista Oportunidades'!B:C,2,FALSE),"NO")</f>
        <v>NO</v>
      </c>
      <c r="K2035" s="5" t="str">
        <f>IFERROR(VLOOKUP(Consulta1[[#This Row],[Pozo largo]],Controles!B:H,7,FALSE),"NO")</f>
        <v>NO</v>
      </c>
      <c r="L2035" s="5" t="str">
        <f>IFERROR(VLOOKUP(Consulta1[[#This Row],[Pozo largo]],Controles!B:J,9,FALSE),"NO")</f>
        <v>NO</v>
      </c>
    </row>
    <row r="2036" spans="2:12" x14ac:dyDescent="0.35">
      <c r="B2036" s="4" t="s">
        <v>3897</v>
      </c>
      <c r="C2036" s="4" t="s">
        <v>7748</v>
      </c>
      <c r="D2036" s="4" t="s">
        <v>5</v>
      </c>
      <c r="E2036" s="4" t="s">
        <v>12</v>
      </c>
      <c r="F2036" s="4" t="s">
        <v>28</v>
      </c>
      <c r="G2036" s="4" t="s">
        <v>13</v>
      </c>
      <c r="H2036" s="4" t="s">
        <v>71</v>
      </c>
      <c r="I2036" s="5" t="str">
        <f>IFERROR(VLOOKUP(Consulta1[[#This Row],[Pozo largo]],'Lista YPF'!$B$3:$C$358,2,FALSE),"NO")</f>
        <v>NO</v>
      </c>
      <c r="J2036" s="5" t="str">
        <f>IFERROR(VLOOKUP(Consulta1[[#This Row],[Pozo]],'Lista Oportunidades'!B:C,2,FALSE),"NO")</f>
        <v>NO</v>
      </c>
      <c r="K2036" s="5">
        <f>IFERROR(VLOOKUP(Consulta1[[#This Row],[Pozo largo]],Controles!B:H,7,FALSE),"NO")</f>
        <v>0</v>
      </c>
      <c r="L2036" s="5">
        <f>IFERROR(VLOOKUP(Consulta1[[#This Row],[Pozo largo]],Controles!B:J,9,FALSE),"NO")</f>
        <v>0</v>
      </c>
    </row>
    <row r="2037" spans="2:12" x14ac:dyDescent="0.35">
      <c r="B2037" s="4" t="s">
        <v>3899</v>
      </c>
      <c r="C2037" s="4" t="s">
        <v>7749</v>
      </c>
      <c r="D2037" s="4" t="s">
        <v>5</v>
      </c>
      <c r="E2037" s="4" t="s">
        <v>30</v>
      </c>
      <c r="F2037" s="4" t="s">
        <v>31</v>
      </c>
      <c r="G2037" s="4" t="s">
        <v>32</v>
      </c>
      <c r="H2037" s="4" t="s">
        <v>84</v>
      </c>
      <c r="I2037" s="5" t="str">
        <f>IFERROR(VLOOKUP(Consulta1[[#This Row],[Pozo largo]],'Lista YPF'!$B$3:$C$358,2,FALSE),"NO")</f>
        <v>NO</v>
      </c>
      <c r="J2037" s="5" t="str">
        <f>IFERROR(VLOOKUP(Consulta1[[#This Row],[Pozo]],'Lista Oportunidades'!B:C,2,FALSE),"NO")</f>
        <v>NO</v>
      </c>
      <c r="K2037" s="5">
        <f>IFERROR(VLOOKUP(Consulta1[[#This Row],[Pozo largo]],Controles!B:H,7,FALSE),"NO")</f>
        <v>0.13800000000000001</v>
      </c>
      <c r="L2037" s="5">
        <f>IFERROR(VLOOKUP(Consulta1[[#This Row],[Pozo largo]],Controles!B:J,9,FALSE),"NO")</f>
        <v>0</v>
      </c>
    </row>
    <row r="2038" spans="2:12" x14ac:dyDescent="0.35">
      <c r="B2038" s="4" t="s">
        <v>3901</v>
      </c>
      <c r="C2038" s="4" t="s">
        <v>7750</v>
      </c>
      <c r="D2038" s="4" t="s">
        <v>5</v>
      </c>
      <c r="E2038" s="4" t="s">
        <v>30</v>
      </c>
      <c r="F2038" s="4" t="s">
        <v>31</v>
      </c>
      <c r="G2038" s="4" t="s">
        <v>32</v>
      </c>
      <c r="H2038" s="4" t="s">
        <v>91</v>
      </c>
      <c r="I2038" s="5" t="str">
        <f>IFERROR(VLOOKUP(Consulta1[[#This Row],[Pozo largo]],'Lista YPF'!$B$3:$C$358,2,FALSE),"NO")</f>
        <v>NO</v>
      </c>
      <c r="J2038" s="5" t="str">
        <f>IFERROR(VLOOKUP(Consulta1[[#This Row],[Pozo]],'Lista Oportunidades'!B:C,2,FALSE),"NO")</f>
        <v>NO</v>
      </c>
      <c r="K2038" s="5" t="str">
        <f>IFERROR(VLOOKUP(Consulta1[[#This Row],[Pozo largo]],Controles!B:H,7,FALSE),"NO")</f>
        <v>NO</v>
      </c>
      <c r="L2038" s="5" t="str">
        <f>IFERROR(VLOOKUP(Consulta1[[#This Row],[Pozo largo]],Controles!B:J,9,FALSE),"NO")</f>
        <v>NO</v>
      </c>
    </row>
    <row r="2039" spans="2:12" x14ac:dyDescent="0.35">
      <c r="B2039" s="4" t="s">
        <v>3902</v>
      </c>
      <c r="C2039" s="4" t="s">
        <v>7751</v>
      </c>
      <c r="D2039" s="4" t="s">
        <v>5</v>
      </c>
      <c r="E2039" s="4" t="s">
        <v>12</v>
      </c>
      <c r="F2039" s="4" t="s">
        <v>25</v>
      </c>
      <c r="G2039" s="4" t="s">
        <v>13</v>
      </c>
      <c r="H2039" s="4" t="s">
        <v>185</v>
      </c>
      <c r="I2039" s="5" t="str">
        <f>IFERROR(VLOOKUP(Consulta1[[#This Row],[Pozo largo]],'Lista YPF'!$B$3:$C$358,2,FALSE),"NO")</f>
        <v>NO</v>
      </c>
      <c r="J2039" s="5" t="str">
        <f>IFERROR(VLOOKUP(Consulta1[[#This Row],[Pozo]],'Lista Oportunidades'!B:C,2,FALSE),"NO")</f>
        <v>NO</v>
      </c>
      <c r="K2039" s="5">
        <f>IFERROR(VLOOKUP(Consulta1[[#This Row],[Pozo largo]],Controles!B:H,7,FALSE),"NO")</f>
        <v>0.113</v>
      </c>
      <c r="L2039" s="5">
        <f>IFERROR(VLOOKUP(Consulta1[[#This Row],[Pozo largo]],Controles!B:J,9,FALSE),"NO")</f>
        <v>0</v>
      </c>
    </row>
    <row r="2040" spans="2:12" x14ac:dyDescent="0.35">
      <c r="B2040" s="4" t="s">
        <v>3904</v>
      </c>
      <c r="C2040" s="4" t="s">
        <v>7752</v>
      </c>
      <c r="D2040" s="4" t="s">
        <v>5</v>
      </c>
      <c r="E2040" s="4" t="s">
        <v>12</v>
      </c>
      <c r="F2040" s="4" t="s">
        <v>7</v>
      </c>
      <c r="G2040" s="4" t="s">
        <v>13</v>
      </c>
      <c r="H2040" s="4" t="s">
        <v>71</v>
      </c>
      <c r="I2040" s="5" t="str">
        <f>IFERROR(VLOOKUP(Consulta1[[#This Row],[Pozo largo]],'Lista YPF'!$B$3:$C$358,2,FALSE),"NO")</f>
        <v>NO</v>
      </c>
      <c r="J2040" s="5" t="str">
        <f>IFERROR(VLOOKUP(Consulta1[[#This Row],[Pozo]],'Lista Oportunidades'!B:C,2,FALSE),"NO")</f>
        <v>NO</v>
      </c>
      <c r="K2040" s="5">
        <f>IFERROR(VLOOKUP(Consulta1[[#This Row],[Pozo largo]],Controles!B:H,7,FALSE),"NO")</f>
        <v>1.33</v>
      </c>
      <c r="L2040" s="5">
        <f>IFERROR(VLOOKUP(Consulta1[[#This Row],[Pozo largo]],Controles!B:J,9,FALSE),"NO")</f>
        <v>0</v>
      </c>
    </row>
    <row r="2041" spans="2:12" x14ac:dyDescent="0.35">
      <c r="B2041" s="4" t="s">
        <v>3906</v>
      </c>
      <c r="C2041" s="4" t="s">
        <v>7753</v>
      </c>
      <c r="D2041" s="4" t="s">
        <v>5</v>
      </c>
      <c r="E2041" s="4" t="s">
        <v>194</v>
      </c>
      <c r="F2041" s="4" t="s">
        <v>31</v>
      </c>
      <c r="G2041" s="4" t="s">
        <v>5718</v>
      </c>
      <c r="H2041" s="4" t="s">
        <v>185</v>
      </c>
      <c r="I2041" s="5" t="str">
        <f>IFERROR(VLOOKUP(Consulta1[[#This Row],[Pozo largo]],'Lista YPF'!$B$3:$C$358,2,FALSE),"NO")</f>
        <v>En lista de Abandono</v>
      </c>
      <c r="J2041" s="5" t="str">
        <f>IFERROR(VLOOKUP(Consulta1[[#This Row],[Pozo]],'Lista Oportunidades'!B:C,2,FALSE),"NO")</f>
        <v>NO</v>
      </c>
      <c r="K2041" s="5">
        <f>IFERROR(VLOOKUP(Consulta1[[#This Row],[Pozo largo]],Controles!B:H,7,FALSE),"NO")</f>
        <v>0.4</v>
      </c>
      <c r="L2041" s="5">
        <f>IFERROR(VLOOKUP(Consulta1[[#This Row],[Pozo largo]],Controles!B:J,9,FALSE),"NO")</f>
        <v>0</v>
      </c>
    </row>
    <row r="2042" spans="2:12" x14ac:dyDescent="0.35">
      <c r="B2042" s="4" t="s">
        <v>3908</v>
      </c>
      <c r="C2042" s="4" t="s">
        <v>7754</v>
      </c>
      <c r="D2042" s="4" t="s">
        <v>5</v>
      </c>
      <c r="E2042" s="4" t="s">
        <v>12</v>
      </c>
      <c r="F2042" s="4" t="s">
        <v>7</v>
      </c>
      <c r="G2042" s="4" t="s">
        <v>13</v>
      </c>
      <c r="H2042" s="4" t="s">
        <v>86</v>
      </c>
      <c r="I2042" s="5" t="str">
        <f>IFERROR(VLOOKUP(Consulta1[[#This Row],[Pozo largo]],'Lista YPF'!$B$3:$C$358,2,FALSE),"NO")</f>
        <v>NO</v>
      </c>
      <c r="J2042" s="5" t="str">
        <f>IFERROR(VLOOKUP(Consulta1[[#This Row],[Pozo]],'Lista Oportunidades'!B:C,2,FALSE),"NO")</f>
        <v>NO</v>
      </c>
      <c r="K2042" s="5">
        <f>IFERROR(VLOOKUP(Consulta1[[#This Row],[Pozo largo]],Controles!B:H,7,FALSE),"NO")</f>
        <v>1.35</v>
      </c>
      <c r="L2042" s="5">
        <f>IFERROR(VLOOKUP(Consulta1[[#This Row],[Pozo largo]],Controles!B:J,9,FALSE),"NO")</f>
        <v>0</v>
      </c>
    </row>
    <row r="2043" spans="2:12" x14ac:dyDescent="0.35">
      <c r="B2043" s="4" t="s">
        <v>3910</v>
      </c>
      <c r="C2043" s="4" t="s">
        <v>7755</v>
      </c>
      <c r="D2043" s="4" t="s">
        <v>5</v>
      </c>
      <c r="E2043" s="4" t="s">
        <v>12</v>
      </c>
      <c r="F2043" s="4" t="s">
        <v>28</v>
      </c>
      <c r="G2043" s="4" t="s">
        <v>13</v>
      </c>
      <c r="H2043" s="4" t="s">
        <v>86</v>
      </c>
      <c r="I2043" s="5" t="str">
        <f>IFERROR(VLOOKUP(Consulta1[[#This Row],[Pozo largo]],'Lista YPF'!$B$3:$C$358,2,FALSE),"NO")</f>
        <v>NO</v>
      </c>
      <c r="J2043" s="5" t="str">
        <f>IFERROR(VLOOKUP(Consulta1[[#This Row],[Pozo]],'Lista Oportunidades'!B:C,2,FALSE),"NO")</f>
        <v>Oportunidad</v>
      </c>
      <c r="K2043" s="5">
        <f>IFERROR(VLOOKUP(Consulta1[[#This Row],[Pozo largo]],Controles!B:H,7,FALSE),"NO")</f>
        <v>0</v>
      </c>
      <c r="L2043" s="5">
        <f>IFERROR(VLOOKUP(Consulta1[[#This Row],[Pozo largo]],Controles!B:J,9,FALSE),"NO")</f>
        <v>0</v>
      </c>
    </row>
    <row r="2044" spans="2:12" x14ac:dyDescent="0.35">
      <c r="B2044" s="4" t="s">
        <v>3912</v>
      </c>
      <c r="C2044" s="4" t="s">
        <v>7756</v>
      </c>
      <c r="D2044" s="4" t="s">
        <v>5</v>
      </c>
      <c r="E2044" s="4" t="s">
        <v>30</v>
      </c>
      <c r="F2044" s="4" t="s">
        <v>31</v>
      </c>
      <c r="G2044" s="4" t="s">
        <v>32</v>
      </c>
      <c r="H2044" s="4" t="s">
        <v>74</v>
      </c>
      <c r="I2044" s="5" t="str">
        <f>IFERROR(VLOOKUP(Consulta1[[#This Row],[Pozo largo]],'Lista YPF'!$B$3:$C$358,2,FALSE),"NO")</f>
        <v>NO</v>
      </c>
      <c r="J2044" s="5" t="str">
        <f>IFERROR(VLOOKUP(Consulta1[[#This Row],[Pozo]],'Lista Oportunidades'!B:C,2,FALSE),"NO")</f>
        <v>NO</v>
      </c>
      <c r="K2044" s="5" t="str">
        <f>IFERROR(VLOOKUP(Consulta1[[#This Row],[Pozo largo]],Controles!B:H,7,FALSE),"NO")</f>
        <v>NO</v>
      </c>
      <c r="L2044" s="5" t="str">
        <f>IFERROR(VLOOKUP(Consulta1[[#This Row],[Pozo largo]],Controles!B:J,9,FALSE),"NO")</f>
        <v>NO</v>
      </c>
    </row>
    <row r="2045" spans="2:12" x14ac:dyDescent="0.35">
      <c r="B2045" s="4" t="s">
        <v>3913</v>
      </c>
      <c r="C2045" s="4" t="s">
        <v>7757</v>
      </c>
      <c r="D2045" s="4" t="s">
        <v>5</v>
      </c>
      <c r="E2045" s="4" t="s">
        <v>12</v>
      </c>
      <c r="F2045" s="4" t="s">
        <v>7</v>
      </c>
      <c r="G2045" s="4" t="s">
        <v>13</v>
      </c>
      <c r="H2045" s="4" t="s">
        <v>74</v>
      </c>
      <c r="I2045" s="5" t="str">
        <f>IFERROR(VLOOKUP(Consulta1[[#This Row],[Pozo largo]],'Lista YPF'!$B$3:$C$358,2,FALSE),"NO")</f>
        <v>NO</v>
      </c>
      <c r="J2045" s="5" t="str">
        <f>IFERROR(VLOOKUP(Consulta1[[#This Row],[Pozo]],'Lista Oportunidades'!B:C,2,FALSE),"NO")</f>
        <v>NO</v>
      </c>
      <c r="K2045" s="5">
        <f>IFERROR(VLOOKUP(Consulta1[[#This Row],[Pozo largo]],Controles!B:H,7,FALSE),"NO")</f>
        <v>3.84</v>
      </c>
      <c r="L2045" s="5">
        <f>IFERROR(VLOOKUP(Consulta1[[#This Row],[Pozo largo]],Controles!B:J,9,FALSE),"NO")</f>
        <v>0</v>
      </c>
    </row>
    <row r="2046" spans="2:12" x14ac:dyDescent="0.35">
      <c r="B2046" s="4" t="s">
        <v>3915</v>
      </c>
      <c r="C2046" s="4" t="s">
        <v>7758</v>
      </c>
      <c r="D2046" s="4" t="s">
        <v>5</v>
      </c>
      <c r="E2046" s="4" t="s">
        <v>12</v>
      </c>
      <c r="F2046" s="4" t="s">
        <v>25</v>
      </c>
      <c r="G2046" s="4" t="s">
        <v>13</v>
      </c>
      <c r="H2046" s="4" t="s">
        <v>185</v>
      </c>
      <c r="I2046" s="5" t="str">
        <f>IFERROR(VLOOKUP(Consulta1[[#This Row],[Pozo largo]],'Lista YPF'!$B$3:$C$358,2,FALSE),"NO")</f>
        <v>NO</v>
      </c>
      <c r="J2046" s="5" t="str">
        <f>IFERROR(VLOOKUP(Consulta1[[#This Row],[Pozo]],'Lista Oportunidades'!B:C,2,FALSE),"NO")</f>
        <v>NO</v>
      </c>
      <c r="K2046" s="5">
        <f>IFERROR(VLOOKUP(Consulta1[[#This Row],[Pozo largo]],Controles!B:H,7,FALSE),"NO")</f>
        <v>0.18</v>
      </c>
      <c r="L2046" s="5">
        <f>IFERROR(VLOOKUP(Consulta1[[#This Row],[Pozo largo]],Controles!B:J,9,FALSE),"NO")</f>
        <v>0</v>
      </c>
    </row>
    <row r="2047" spans="2:12" x14ac:dyDescent="0.35">
      <c r="B2047" s="4" t="s">
        <v>3917</v>
      </c>
      <c r="C2047" s="4" t="s">
        <v>7759</v>
      </c>
      <c r="D2047" s="4" t="s">
        <v>5</v>
      </c>
      <c r="E2047" s="4" t="s">
        <v>24</v>
      </c>
      <c r="F2047" s="4" t="s">
        <v>25</v>
      </c>
      <c r="G2047" s="4" t="s">
        <v>8</v>
      </c>
      <c r="H2047" s="4" t="s">
        <v>185</v>
      </c>
      <c r="I2047" s="5" t="str">
        <f>IFERROR(VLOOKUP(Consulta1[[#This Row],[Pozo largo]],'Lista YPF'!$B$3:$C$358,2,FALSE),"NO")</f>
        <v>NO</v>
      </c>
      <c r="J2047" s="5" t="str">
        <f>IFERROR(VLOOKUP(Consulta1[[#This Row],[Pozo]],'Lista Oportunidades'!B:C,2,FALSE),"NO")</f>
        <v>NO</v>
      </c>
      <c r="K2047" s="5">
        <f>IFERROR(VLOOKUP(Consulta1[[#This Row],[Pozo largo]],Controles!B:H,7,FALSE),"NO")</f>
        <v>9.7000000000000003E-2</v>
      </c>
      <c r="L2047" s="5">
        <f>IFERROR(VLOOKUP(Consulta1[[#This Row],[Pozo largo]],Controles!B:J,9,FALSE),"NO")</f>
        <v>0</v>
      </c>
    </row>
    <row r="2048" spans="2:12" x14ac:dyDescent="0.35">
      <c r="B2048" s="4" t="s">
        <v>3919</v>
      </c>
      <c r="C2048" s="4" t="s">
        <v>7760</v>
      </c>
      <c r="D2048" s="4" t="s">
        <v>5</v>
      </c>
      <c r="E2048" s="4" t="s">
        <v>30</v>
      </c>
      <c r="F2048" s="4" t="s">
        <v>31</v>
      </c>
      <c r="G2048" s="4" t="s">
        <v>32</v>
      </c>
      <c r="H2048" s="4" t="s">
        <v>80</v>
      </c>
      <c r="I2048" s="5" t="str">
        <f>IFERROR(VLOOKUP(Consulta1[[#This Row],[Pozo largo]],'Lista YPF'!$B$3:$C$358,2,FALSE),"NO")</f>
        <v>NO</v>
      </c>
      <c r="J2048" s="5" t="str">
        <f>IFERROR(VLOOKUP(Consulta1[[#This Row],[Pozo]],'Lista Oportunidades'!B:C,2,FALSE),"NO")</f>
        <v>NO</v>
      </c>
      <c r="K2048" s="5">
        <f>IFERROR(VLOOKUP(Consulta1[[#This Row],[Pozo largo]],Controles!B:H,7,FALSE),"NO")</f>
        <v>1.669</v>
      </c>
      <c r="L2048" s="5">
        <f>IFERROR(VLOOKUP(Consulta1[[#This Row],[Pozo largo]],Controles!B:J,9,FALSE),"NO")</f>
        <v>0</v>
      </c>
    </row>
    <row r="2049" spans="2:12" x14ac:dyDescent="0.35">
      <c r="B2049" s="4" t="s">
        <v>3921</v>
      </c>
      <c r="C2049" s="4" t="s">
        <v>7761</v>
      </c>
      <c r="D2049" s="4" t="s">
        <v>5</v>
      </c>
      <c r="E2049" s="4" t="s">
        <v>12</v>
      </c>
      <c r="F2049" s="4" t="s">
        <v>7</v>
      </c>
      <c r="G2049" s="4" t="s">
        <v>13</v>
      </c>
      <c r="H2049" s="4" t="s">
        <v>80</v>
      </c>
      <c r="I2049" s="5" t="str">
        <f>IFERROR(VLOOKUP(Consulta1[[#This Row],[Pozo largo]],'Lista YPF'!$B$3:$C$358,2,FALSE),"NO")</f>
        <v>NO</v>
      </c>
      <c r="J2049" s="5" t="str">
        <f>IFERROR(VLOOKUP(Consulta1[[#This Row],[Pozo]],'Lista Oportunidades'!B:C,2,FALSE),"NO")</f>
        <v>NO</v>
      </c>
      <c r="K2049" s="5">
        <f>IFERROR(VLOOKUP(Consulta1[[#This Row],[Pozo largo]],Controles!B:H,7,FALSE),"NO")</f>
        <v>0.78100000000000003</v>
      </c>
      <c r="L2049" s="5">
        <f>IFERROR(VLOOKUP(Consulta1[[#This Row],[Pozo largo]],Controles!B:J,9,FALSE),"NO")</f>
        <v>0</v>
      </c>
    </row>
    <row r="2050" spans="2:12" x14ac:dyDescent="0.35">
      <c r="B2050" s="4" t="s">
        <v>3923</v>
      </c>
      <c r="C2050" s="4" t="s">
        <v>7762</v>
      </c>
      <c r="D2050" s="4" t="s">
        <v>5</v>
      </c>
      <c r="E2050" s="4" t="s">
        <v>12</v>
      </c>
      <c r="F2050" s="4" t="s">
        <v>7</v>
      </c>
      <c r="G2050" s="4" t="s">
        <v>13</v>
      </c>
      <c r="H2050" s="4" t="s">
        <v>86</v>
      </c>
      <c r="I2050" s="5" t="str">
        <f>IFERROR(VLOOKUP(Consulta1[[#This Row],[Pozo largo]],'Lista YPF'!$B$3:$C$358,2,FALSE),"NO")</f>
        <v>NO</v>
      </c>
      <c r="J2050" s="5" t="str">
        <f>IFERROR(VLOOKUP(Consulta1[[#This Row],[Pozo]],'Lista Oportunidades'!B:C,2,FALSE),"NO")</f>
        <v>NO</v>
      </c>
      <c r="K2050" s="5">
        <f>IFERROR(VLOOKUP(Consulta1[[#This Row],[Pozo largo]],Controles!B:H,7,FALSE),"NO")</f>
        <v>1</v>
      </c>
      <c r="L2050" s="5">
        <f>IFERROR(VLOOKUP(Consulta1[[#This Row],[Pozo largo]],Controles!B:J,9,FALSE),"NO")</f>
        <v>0</v>
      </c>
    </row>
    <row r="2051" spans="2:12" x14ac:dyDescent="0.35">
      <c r="B2051" s="4" t="s">
        <v>3925</v>
      </c>
      <c r="C2051" s="4" t="s">
        <v>5760</v>
      </c>
      <c r="D2051" s="4" t="s">
        <v>5</v>
      </c>
      <c r="E2051" s="4" t="s">
        <v>24</v>
      </c>
      <c r="F2051" s="4" t="s">
        <v>31</v>
      </c>
      <c r="G2051" s="4" t="s">
        <v>8689</v>
      </c>
      <c r="H2051" s="4" t="s">
        <v>9</v>
      </c>
      <c r="I2051" s="5" t="str">
        <f>IFERROR(VLOOKUP(Consulta1[[#This Row],[Pozo largo]],'Lista YPF'!$B$3:$C$358,2,FALSE),"NO")</f>
        <v>NO</v>
      </c>
      <c r="J2051" s="5" t="str">
        <f>IFERROR(VLOOKUP(Consulta1[[#This Row],[Pozo]],'Lista Oportunidades'!B:C,2,FALSE),"NO")</f>
        <v>Oportunidad</v>
      </c>
      <c r="K2051" s="5">
        <f>IFERROR(VLOOKUP(Consulta1[[#This Row],[Pozo largo]],Controles!B:H,7,FALSE),"NO")</f>
        <v>0.77</v>
      </c>
      <c r="L2051" s="5">
        <f>IFERROR(VLOOKUP(Consulta1[[#This Row],[Pozo largo]],Controles!B:J,9,FALSE),"NO")</f>
        <v>0</v>
      </c>
    </row>
    <row r="2052" spans="2:12" x14ac:dyDescent="0.35">
      <c r="B2052" s="4" t="s">
        <v>3927</v>
      </c>
      <c r="C2052" s="4" t="s">
        <v>7763</v>
      </c>
      <c r="D2052" s="4" t="s">
        <v>5</v>
      </c>
      <c r="E2052" s="4" t="s">
        <v>24</v>
      </c>
      <c r="F2052" s="4" t="s">
        <v>7</v>
      </c>
      <c r="G2052" s="4" t="s">
        <v>11387</v>
      </c>
      <c r="H2052" s="4" t="s">
        <v>86</v>
      </c>
      <c r="I2052" s="5" t="str">
        <f>IFERROR(VLOOKUP(Consulta1[[#This Row],[Pozo largo]],'Lista YPF'!$B$3:$C$358,2,FALSE),"NO")</f>
        <v>NO</v>
      </c>
      <c r="J2052" s="5" t="str">
        <f>IFERROR(VLOOKUP(Consulta1[[#This Row],[Pozo]],'Lista Oportunidades'!B:C,2,FALSE),"NO")</f>
        <v>NO</v>
      </c>
      <c r="K2052" s="5">
        <f>IFERROR(VLOOKUP(Consulta1[[#This Row],[Pozo largo]],Controles!B:H,7,FALSE),"NO")</f>
        <v>0.66</v>
      </c>
      <c r="L2052" s="5" t="str">
        <f>IFERROR(VLOOKUP(Consulta1[[#This Row],[Pozo largo]],Controles!B:J,9,FALSE),"NO")</f>
        <v>Ultimo Año</v>
      </c>
    </row>
    <row r="2053" spans="2:12" x14ac:dyDescent="0.35">
      <c r="B2053" s="4" t="s">
        <v>3929</v>
      </c>
      <c r="C2053" s="4" t="s">
        <v>7764</v>
      </c>
      <c r="D2053" s="4" t="s">
        <v>5</v>
      </c>
      <c r="E2053" s="4" t="s">
        <v>12</v>
      </c>
      <c r="F2053" s="4" t="s">
        <v>7</v>
      </c>
      <c r="G2053" s="4" t="s">
        <v>13</v>
      </c>
      <c r="H2053" s="4" t="s">
        <v>74</v>
      </c>
      <c r="I2053" s="5" t="str">
        <f>IFERROR(VLOOKUP(Consulta1[[#This Row],[Pozo largo]],'Lista YPF'!$B$3:$C$358,2,FALSE),"NO")</f>
        <v>NO</v>
      </c>
      <c r="J2053" s="5" t="str">
        <f>IFERROR(VLOOKUP(Consulta1[[#This Row],[Pozo]],'Lista Oportunidades'!B:C,2,FALSE),"NO")</f>
        <v>NO</v>
      </c>
      <c r="K2053" s="5">
        <f>IFERROR(VLOOKUP(Consulta1[[#This Row],[Pozo largo]],Controles!B:H,7,FALSE),"NO")</f>
        <v>2.3000000000000003</v>
      </c>
      <c r="L2053" s="5">
        <f>IFERROR(VLOOKUP(Consulta1[[#This Row],[Pozo largo]],Controles!B:J,9,FALSE),"NO")</f>
        <v>0</v>
      </c>
    </row>
    <row r="2054" spans="2:12" x14ac:dyDescent="0.35">
      <c r="B2054" s="4" t="s">
        <v>3931</v>
      </c>
      <c r="C2054" s="4" t="s">
        <v>7765</v>
      </c>
      <c r="D2054" s="4" t="s">
        <v>5</v>
      </c>
      <c r="E2054" s="4" t="s">
        <v>12</v>
      </c>
      <c r="F2054" s="4" t="s">
        <v>28</v>
      </c>
      <c r="G2054" s="4" t="s">
        <v>13</v>
      </c>
      <c r="H2054" s="4" t="s">
        <v>254</v>
      </c>
      <c r="I2054" s="5" t="str">
        <f>IFERROR(VLOOKUP(Consulta1[[#This Row],[Pozo largo]],'Lista YPF'!$B$3:$C$358,2,FALSE),"NO")</f>
        <v>NO</v>
      </c>
      <c r="J2054" s="5" t="str">
        <f>IFERROR(VLOOKUP(Consulta1[[#This Row],[Pozo]],'Lista Oportunidades'!B:C,2,FALSE),"NO")</f>
        <v>NO</v>
      </c>
      <c r="K2054" s="5">
        <f>IFERROR(VLOOKUP(Consulta1[[#This Row],[Pozo largo]],Controles!B:H,7,FALSE),"NO")</f>
        <v>0</v>
      </c>
      <c r="L2054" s="5">
        <f>IFERROR(VLOOKUP(Consulta1[[#This Row],[Pozo largo]],Controles!B:J,9,FALSE),"NO")</f>
        <v>0</v>
      </c>
    </row>
    <row r="2055" spans="2:12" x14ac:dyDescent="0.35">
      <c r="B2055" s="4" t="s">
        <v>3933</v>
      </c>
      <c r="C2055" s="4" t="s">
        <v>7766</v>
      </c>
      <c r="D2055" s="4" t="s">
        <v>5</v>
      </c>
      <c r="E2055" s="4" t="s">
        <v>24</v>
      </c>
      <c r="F2055" s="4" t="s">
        <v>7</v>
      </c>
      <c r="G2055" s="4" t="s">
        <v>8</v>
      </c>
      <c r="H2055" s="4" t="s">
        <v>77</v>
      </c>
      <c r="I2055" s="5" t="str">
        <f>IFERROR(VLOOKUP(Consulta1[[#This Row],[Pozo largo]],'Lista YPF'!$B$3:$C$358,2,FALSE),"NO")</f>
        <v>NO</v>
      </c>
      <c r="J2055" s="5" t="str">
        <f>IFERROR(VLOOKUP(Consulta1[[#This Row],[Pozo]],'Lista Oportunidades'!B:C,2,FALSE),"NO")</f>
        <v>NO</v>
      </c>
      <c r="K2055" s="5">
        <f>IFERROR(VLOOKUP(Consulta1[[#This Row],[Pozo largo]],Controles!B:H,7,FALSE),"NO")</f>
        <v>0.6</v>
      </c>
      <c r="L2055" s="5">
        <f>IFERROR(VLOOKUP(Consulta1[[#This Row],[Pozo largo]],Controles!B:J,9,FALSE),"NO")</f>
        <v>0</v>
      </c>
    </row>
    <row r="2056" spans="2:12" x14ac:dyDescent="0.35">
      <c r="B2056" s="4" t="s">
        <v>3935</v>
      </c>
      <c r="C2056" s="4" t="s">
        <v>7767</v>
      </c>
      <c r="D2056" s="4" t="s">
        <v>5</v>
      </c>
      <c r="E2056" s="4" t="s">
        <v>30</v>
      </c>
      <c r="F2056" s="4" t="s">
        <v>31</v>
      </c>
      <c r="G2056" s="4" t="s">
        <v>32</v>
      </c>
      <c r="H2056" s="4" t="s">
        <v>80</v>
      </c>
      <c r="I2056" s="5" t="str">
        <f>IFERROR(VLOOKUP(Consulta1[[#This Row],[Pozo largo]],'Lista YPF'!$B$3:$C$358,2,FALSE),"NO")</f>
        <v>NO</v>
      </c>
      <c r="J2056" s="5" t="str">
        <f>IFERROR(VLOOKUP(Consulta1[[#This Row],[Pozo]],'Lista Oportunidades'!B:C,2,FALSE),"NO")</f>
        <v>NO</v>
      </c>
      <c r="K2056" s="5">
        <f>IFERROR(VLOOKUP(Consulta1[[#This Row],[Pozo largo]],Controles!B:H,7,FALSE),"NO")</f>
        <v>5.04</v>
      </c>
      <c r="L2056" s="5">
        <f>IFERROR(VLOOKUP(Consulta1[[#This Row],[Pozo largo]],Controles!B:J,9,FALSE),"NO")</f>
        <v>0</v>
      </c>
    </row>
    <row r="2057" spans="2:12" x14ac:dyDescent="0.35">
      <c r="B2057" s="4" t="s">
        <v>3937</v>
      </c>
      <c r="C2057" s="4" t="s">
        <v>7768</v>
      </c>
      <c r="D2057" s="4" t="s">
        <v>5</v>
      </c>
      <c r="E2057" s="4" t="s">
        <v>12</v>
      </c>
      <c r="F2057" s="4" t="s">
        <v>238</v>
      </c>
      <c r="G2057" s="4" t="s">
        <v>13</v>
      </c>
      <c r="H2057" s="4" t="s">
        <v>9</v>
      </c>
      <c r="I2057" s="5" t="str">
        <f>IFERROR(VLOOKUP(Consulta1[[#This Row],[Pozo largo]],'Lista YPF'!$B$3:$C$358,2,FALSE),"NO")</f>
        <v>NO</v>
      </c>
      <c r="J2057" s="5" t="str">
        <f>IFERROR(VLOOKUP(Consulta1[[#This Row],[Pozo]],'Lista Oportunidades'!B:C,2,FALSE),"NO")</f>
        <v>NO</v>
      </c>
      <c r="K2057" s="5">
        <f>IFERROR(VLOOKUP(Consulta1[[#This Row],[Pozo largo]],Controles!B:H,7,FALSE),"NO")</f>
        <v>1.1000000000000001</v>
      </c>
      <c r="L2057" s="5">
        <f>IFERROR(VLOOKUP(Consulta1[[#This Row],[Pozo largo]],Controles!B:J,9,FALSE),"NO")</f>
        <v>0</v>
      </c>
    </row>
    <row r="2058" spans="2:12" x14ac:dyDescent="0.35">
      <c r="B2058" s="4" t="s">
        <v>3939</v>
      </c>
      <c r="C2058" s="4" t="s">
        <v>7769</v>
      </c>
      <c r="D2058" s="4" t="s">
        <v>5</v>
      </c>
      <c r="E2058" s="4" t="s">
        <v>12</v>
      </c>
      <c r="F2058" s="4" t="s">
        <v>7</v>
      </c>
      <c r="G2058" s="4" t="s">
        <v>13</v>
      </c>
      <c r="H2058" s="4" t="s">
        <v>254</v>
      </c>
      <c r="I2058" s="5" t="str">
        <f>IFERROR(VLOOKUP(Consulta1[[#This Row],[Pozo largo]],'Lista YPF'!$B$3:$C$358,2,FALSE),"NO")</f>
        <v>NO</v>
      </c>
      <c r="J2058" s="5" t="str">
        <f>IFERROR(VLOOKUP(Consulta1[[#This Row],[Pozo]],'Lista Oportunidades'!B:C,2,FALSE),"NO")</f>
        <v>NO</v>
      </c>
      <c r="K2058" s="5">
        <f>IFERROR(VLOOKUP(Consulta1[[#This Row],[Pozo largo]],Controles!B:H,7,FALSE),"NO")</f>
        <v>2.5300000000000002</v>
      </c>
      <c r="L2058" s="5">
        <f>IFERROR(VLOOKUP(Consulta1[[#This Row],[Pozo largo]],Controles!B:J,9,FALSE),"NO")</f>
        <v>0</v>
      </c>
    </row>
    <row r="2059" spans="2:12" x14ac:dyDescent="0.35">
      <c r="B2059" s="4" t="s">
        <v>3941</v>
      </c>
      <c r="C2059" s="4" t="s">
        <v>7770</v>
      </c>
      <c r="D2059" s="4" t="s">
        <v>5</v>
      </c>
      <c r="E2059" s="4" t="s">
        <v>12</v>
      </c>
      <c r="F2059" s="4" t="s">
        <v>7</v>
      </c>
      <c r="G2059" s="4" t="s">
        <v>13</v>
      </c>
      <c r="H2059" s="4" t="s">
        <v>21</v>
      </c>
      <c r="I2059" s="5" t="str">
        <f>IFERROR(VLOOKUP(Consulta1[[#This Row],[Pozo largo]],'Lista YPF'!$B$3:$C$358,2,FALSE),"NO")</f>
        <v>NO</v>
      </c>
      <c r="J2059" s="5" t="str">
        <f>IFERROR(VLOOKUP(Consulta1[[#This Row],[Pozo]],'Lista Oportunidades'!B:C,2,FALSE),"NO")</f>
        <v>NO</v>
      </c>
      <c r="K2059" s="5">
        <f>IFERROR(VLOOKUP(Consulta1[[#This Row],[Pozo largo]],Controles!B:H,7,FALSE),"NO")</f>
        <v>0.96</v>
      </c>
      <c r="L2059" s="5">
        <f>IFERROR(VLOOKUP(Consulta1[[#This Row],[Pozo largo]],Controles!B:J,9,FALSE),"NO")</f>
        <v>0</v>
      </c>
    </row>
    <row r="2060" spans="2:12" x14ac:dyDescent="0.35">
      <c r="B2060" s="4" t="s">
        <v>3943</v>
      </c>
      <c r="C2060" s="4" t="s">
        <v>7771</v>
      </c>
      <c r="D2060" s="4" t="s">
        <v>5</v>
      </c>
      <c r="E2060" s="4" t="s">
        <v>12</v>
      </c>
      <c r="F2060" s="4" t="s">
        <v>7</v>
      </c>
      <c r="G2060" s="4" t="s">
        <v>13</v>
      </c>
      <c r="H2060" s="4" t="s">
        <v>9</v>
      </c>
      <c r="I2060" s="5" t="str">
        <f>IFERROR(VLOOKUP(Consulta1[[#This Row],[Pozo largo]],'Lista YPF'!$B$3:$C$358,2,FALSE),"NO")</f>
        <v>NO</v>
      </c>
      <c r="J2060" s="5" t="str">
        <f>IFERROR(VLOOKUP(Consulta1[[#This Row],[Pozo]],'Lista Oportunidades'!B:C,2,FALSE),"NO")</f>
        <v>NO</v>
      </c>
      <c r="K2060" s="5">
        <f>IFERROR(VLOOKUP(Consulta1[[#This Row],[Pozo largo]],Controles!B:H,7,FALSE),"NO")</f>
        <v>1.04</v>
      </c>
      <c r="L2060" s="5">
        <f>IFERROR(VLOOKUP(Consulta1[[#This Row],[Pozo largo]],Controles!B:J,9,FALSE),"NO")</f>
        <v>0</v>
      </c>
    </row>
    <row r="2061" spans="2:12" x14ac:dyDescent="0.35">
      <c r="B2061" s="4" t="s">
        <v>3945</v>
      </c>
      <c r="C2061" s="4" t="s">
        <v>7772</v>
      </c>
      <c r="D2061" s="4" t="s">
        <v>5</v>
      </c>
      <c r="E2061" s="4" t="s">
        <v>12</v>
      </c>
      <c r="F2061" s="4" t="s">
        <v>28</v>
      </c>
      <c r="G2061" s="4" t="s">
        <v>13</v>
      </c>
      <c r="H2061" s="4" t="s">
        <v>254</v>
      </c>
      <c r="I2061" s="5" t="str">
        <f>IFERROR(VLOOKUP(Consulta1[[#This Row],[Pozo largo]],'Lista YPF'!$B$3:$C$358,2,FALSE),"NO")</f>
        <v>NO</v>
      </c>
      <c r="J2061" s="5" t="str">
        <f>IFERROR(VLOOKUP(Consulta1[[#This Row],[Pozo]],'Lista Oportunidades'!B:C,2,FALSE),"NO")</f>
        <v>NO</v>
      </c>
      <c r="K2061" s="5">
        <f>IFERROR(VLOOKUP(Consulta1[[#This Row],[Pozo largo]],Controles!B:H,7,FALSE),"NO")</f>
        <v>0</v>
      </c>
      <c r="L2061" s="5">
        <f>IFERROR(VLOOKUP(Consulta1[[#This Row],[Pozo largo]],Controles!B:J,9,FALSE),"NO")</f>
        <v>0</v>
      </c>
    </row>
    <row r="2062" spans="2:12" x14ac:dyDescent="0.35">
      <c r="B2062" s="4" t="s">
        <v>3947</v>
      </c>
      <c r="C2062" s="4" t="s">
        <v>7773</v>
      </c>
      <c r="D2062" s="4" t="s">
        <v>5</v>
      </c>
      <c r="E2062" s="4" t="s">
        <v>24</v>
      </c>
      <c r="F2062" s="4" t="s">
        <v>28</v>
      </c>
      <c r="G2062" s="4" t="s">
        <v>8</v>
      </c>
      <c r="H2062" s="4" t="s">
        <v>185</v>
      </c>
      <c r="I2062" s="5" t="str">
        <f>IFERROR(VLOOKUP(Consulta1[[#This Row],[Pozo largo]],'Lista YPF'!$B$3:$C$358,2,FALSE),"NO")</f>
        <v>NO</v>
      </c>
      <c r="J2062" s="5" t="str">
        <f>IFERROR(VLOOKUP(Consulta1[[#This Row],[Pozo]],'Lista Oportunidades'!B:C,2,FALSE),"NO")</f>
        <v>NO</v>
      </c>
      <c r="K2062" s="5">
        <f>IFERROR(VLOOKUP(Consulta1[[#This Row],[Pozo largo]],Controles!B:H,7,FALSE),"NO")</f>
        <v>0</v>
      </c>
      <c r="L2062" s="5">
        <f>IFERROR(VLOOKUP(Consulta1[[#This Row],[Pozo largo]],Controles!B:J,9,FALSE),"NO")</f>
        <v>0</v>
      </c>
    </row>
    <row r="2063" spans="2:12" x14ac:dyDescent="0.35">
      <c r="B2063" s="4" t="s">
        <v>3949</v>
      </c>
      <c r="C2063" s="4" t="s">
        <v>7774</v>
      </c>
      <c r="D2063" s="4" t="s">
        <v>5</v>
      </c>
      <c r="E2063" s="4" t="s">
        <v>12</v>
      </c>
      <c r="F2063" s="4" t="s">
        <v>7</v>
      </c>
      <c r="G2063" s="4" t="s">
        <v>13</v>
      </c>
      <c r="H2063" s="4" t="s">
        <v>185</v>
      </c>
      <c r="I2063" s="5" t="str">
        <f>IFERROR(VLOOKUP(Consulta1[[#This Row],[Pozo largo]],'Lista YPF'!$B$3:$C$358,2,FALSE),"NO")</f>
        <v>NO</v>
      </c>
      <c r="J2063" s="5" t="str">
        <f>IFERROR(VLOOKUP(Consulta1[[#This Row],[Pozo]],'Lista Oportunidades'!B:C,2,FALSE),"NO")</f>
        <v>NO</v>
      </c>
      <c r="K2063" s="5">
        <f>IFERROR(VLOOKUP(Consulta1[[#This Row],[Pozo largo]],Controles!B:H,7,FALSE),"NO")</f>
        <v>1.462</v>
      </c>
      <c r="L2063" s="5">
        <f>IFERROR(VLOOKUP(Consulta1[[#This Row],[Pozo largo]],Controles!B:J,9,FALSE),"NO")</f>
        <v>0</v>
      </c>
    </row>
    <row r="2064" spans="2:12" x14ac:dyDescent="0.35">
      <c r="B2064" s="4" t="s">
        <v>3951</v>
      </c>
      <c r="C2064" s="4" t="s">
        <v>7775</v>
      </c>
      <c r="D2064" s="4" t="s">
        <v>5</v>
      </c>
      <c r="E2064" s="4" t="s">
        <v>12</v>
      </c>
      <c r="F2064" s="4" t="s">
        <v>25</v>
      </c>
      <c r="G2064" s="4" t="s">
        <v>13</v>
      </c>
      <c r="H2064" s="4" t="s">
        <v>254</v>
      </c>
      <c r="I2064" s="5" t="str">
        <f>IFERROR(VLOOKUP(Consulta1[[#This Row],[Pozo largo]],'Lista YPF'!$B$3:$C$358,2,FALSE),"NO")</f>
        <v>NO</v>
      </c>
      <c r="J2064" s="5" t="str">
        <f>IFERROR(VLOOKUP(Consulta1[[#This Row],[Pozo]],'Lista Oportunidades'!B:C,2,FALSE),"NO")</f>
        <v>NO</v>
      </c>
      <c r="K2064" s="5">
        <f>IFERROR(VLOOKUP(Consulta1[[#This Row],[Pozo largo]],Controles!B:H,7,FALSE),"NO")</f>
        <v>9.5000000000000001E-2</v>
      </c>
      <c r="L2064" s="5">
        <f>IFERROR(VLOOKUP(Consulta1[[#This Row],[Pozo largo]],Controles!B:J,9,FALSE),"NO")</f>
        <v>0</v>
      </c>
    </row>
    <row r="2065" spans="2:12" x14ac:dyDescent="0.35">
      <c r="B2065" s="4" t="s">
        <v>3953</v>
      </c>
      <c r="C2065" s="4" t="s">
        <v>7776</v>
      </c>
      <c r="D2065" s="4" t="s">
        <v>5</v>
      </c>
      <c r="E2065" s="4" t="s">
        <v>12</v>
      </c>
      <c r="F2065" s="4" t="s">
        <v>7</v>
      </c>
      <c r="G2065" s="4" t="s">
        <v>13</v>
      </c>
      <c r="H2065" s="4" t="s">
        <v>21</v>
      </c>
      <c r="I2065" s="5" t="str">
        <f>IFERROR(VLOOKUP(Consulta1[[#This Row],[Pozo largo]],'Lista YPF'!$B$3:$C$358,2,FALSE),"NO")</f>
        <v>NO</v>
      </c>
      <c r="J2065" s="5" t="str">
        <f>IFERROR(VLOOKUP(Consulta1[[#This Row],[Pozo]],'Lista Oportunidades'!B:C,2,FALSE),"NO")</f>
        <v>NO</v>
      </c>
      <c r="K2065" s="5">
        <f>IFERROR(VLOOKUP(Consulta1[[#This Row],[Pozo largo]],Controles!B:H,7,FALSE),"NO")</f>
        <v>1.4000000000000001</v>
      </c>
      <c r="L2065" s="5">
        <f>IFERROR(VLOOKUP(Consulta1[[#This Row],[Pozo largo]],Controles!B:J,9,FALSE),"NO")</f>
        <v>0</v>
      </c>
    </row>
    <row r="2066" spans="2:12" x14ac:dyDescent="0.35">
      <c r="B2066" s="4" t="s">
        <v>3955</v>
      </c>
      <c r="C2066" s="4" t="s">
        <v>7777</v>
      </c>
      <c r="D2066" s="4" t="s">
        <v>5</v>
      </c>
      <c r="E2066" s="4" t="s">
        <v>12</v>
      </c>
      <c r="F2066" s="4" t="s">
        <v>7</v>
      </c>
      <c r="G2066" s="4" t="s">
        <v>13</v>
      </c>
      <c r="H2066" s="4" t="s">
        <v>260</v>
      </c>
      <c r="I2066" s="5" t="str">
        <f>IFERROR(VLOOKUP(Consulta1[[#This Row],[Pozo largo]],'Lista YPF'!$B$3:$C$358,2,FALSE),"NO")</f>
        <v>NO</v>
      </c>
      <c r="J2066" s="5" t="str">
        <f>IFERROR(VLOOKUP(Consulta1[[#This Row],[Pozo]],'Lista Oportunidades'!B:C,2,FALSE),"NO")</f>
        <v>NO</v>
      </c>
      <c r="K2066" s="5">
        <f>IFERROR(VLOOKUP(Consulta1[[#This Row],[Pozo largo]],Controles!B:H,7,FALSE),"NO")</f>
        <v>1.04</v>
      </c>
      <c r="L2066" s="5">
        <f>IFERROR(VLOOKUP(Consulta1[[#This Row],[Pozo largo]],Controles!B:J,9,FALSE),"NO")</f>
        <v>0</v>
      </c>
    </row>
    <row r="2067" spans="2:12" x14ac:dyDescent="0.35">
      <c r="B2067" s="4" t="s">
        <v>3957</v>
      </c>
      <c r="C2067" s="4" t="s">
        <v>7778</v>
      </c>
      <c r="D2067" s="4" t="s">
        <v>5</v>
      </c>
      <c r="E2067" s="4" t="s">
        <v>12</v>
      </c>
      <c r="F2067" s="4" t="s">
        <v>25</v>
      </c>
      <c r="G2067" s="4" t="s">
        <v>13</v>
      </c>
      <c r="H2067" s="4" t="s">
        <v>36</v>
      </c>
      <c r="I2067" s="5" t="str">
        <f>IFERROR(VLOOKUP(Consulta1[[#This Row],[Pozo largo]],'Lista YPF'!$B$3:$C$358,2,FALSE),"NO")</f>
        <v>NO</v>
      </c>
      <c r="J2067" s="5" t="str">
        <f>IFERROR(VLOOKUP(Consulta1[[#This Row],[Pozo]],'Lista Oportunidades'!B:C,2,FALSE),"NO")</f>
        <v>NO</v>
      </c>
      <c r="K2067" s="5">
        <f>IFERROR(VLOOKUP(Consulta1[[#This Row],[Pozo largo]],Controles!B:H,7,FALSE),"NO")</f>
        <v>2.9000000000000001E-2</v>
      </c>
      <c r="L2067" s="5">
        <f>IFERROR(VLOOKUP(Consulta1[[#This Row],[Pozo largo]],Controles!B:J,9,FALSE),"NO")</f>
        <v>0</v>
      </c>
    </row>
    <row r="2068" spans="2:12" x14ac:dyDescent="0.35">
      <c r="B2068" s="4" t="s">
        <v>3959</v>
      </c>
      <c r="C2068" s="4" t="s">
        <v>7779</v>
      </c>
      <c r="D2068" s="4" t="s">
        <v>5</v>
      </c>
      <c r="E2068" s="4" t="s">
        <v>430</v>
      </c>
      <c r="F2068" s="4" t="s">
        <v>7</v>
      </c>
      <c r="G2068" s="4" t="s">
        <v>5718</v>
      </c>
      <c r="H2068" s="4" t="s">
        <v>21</v>
      </c>
      <c r="I2068" s="5" t="str">
        <f>IFERROR(VLOOKUP(Consulta1[[#This Row],[Pozo largo]],'Lista YPF'!$B$3:$C$358,2,FALSE),"NO")</f>
        <v>En lista de Abandono</v>
      </c>
      <c r="J2068" s="5" t="str">
        <f>IFERROR(VLOOKUP(Consulta1[[#This Row],[Pozo]],'Lista Oportunidades'!B:C,2,FALSE),"NO")</f>
        <v>NO</v>
      </c>
      <c r="K2068" s="5">
        <f>IFERROR(VLOOKUP(Consulta1[[#This Row],[Pozo largo]],Controles!B:H,7,FALSE),"NO")</f>
        <v>8.0000000000000002E-3</v>
      </c>
      <c r="L2068" s="5">
        <f>IFERROR(VLOOKUP(Consulta1[[#This Row],[Pozo largo]],Controles!B:J,9,FALSE),"NO")</f>
        <v>0</v>
      </c>
    </row>
    <row r="2069" spans="2:12" x14ac:dyDescent="0.35">
      <c r="B2069" s="4" t="s">
        <v>3961</v>
      </c>
      <c r="C2069" s="4" t="s">
        <v>7780</v>
      </c>
      <c r="D2069" s="4" t="s">
        <v>5</v>
      </c>
      <c r="E2069" s="4" t="s">
        <v>57</v>
      </c>
      <c r="F2069" s="4" t="s">
        <v>7</v>
      </c>
      <c r="G2069" s="4" t="s">
        <v>5718</v>
      </c>
      <c r="H2069" s="4" t="s">
        <v>185</v>
      </c>
      <c r="I2069" s="5" t="str">
        <f>IFERROR(VLOOKUP(Consulta1[[#This Row],[Pozo largo]],'Lista YPF'!$B$3:$C$358,2,FALSE),"NO")</f>
        <v>En lista de Abandono</v>
      </c>
      <c r="J2069" s="5" t="str">
        <f>IFERROR(VLOOKUP(Consulta1[[#This Row],[Pozo]],'Lista Oportunidades'!B:C,2,FALSE),"NO")</f>
        <v>NO</v>
      </c>
      <c r="K2069" s="5">
        <f>IFERROR(VLOOKUP(Consulta1[[#This Row],[Pozo largo]],Controles!B:H,7,FALSE),"NO")</f>
        <v>0.72</v>
      </c>
      <c r="L2069" s="5">
        <f>IFERROR(VLOOKUP(Consulta1[[#This Row],[Pozo largo]],Controles!B:J,9,FALSE),"NO")</f>
        <v>0</v>
      </c>
    </row>
    <row r="2070" spans="2:12" x14ac:dyDescent="0.35">
      <c r="B2070" s="4" t="s">
        <v>3963</v>
      </c>
      <c r="C2070" s="4" t="s">
        <v>7781</v>
      </c>
      <c r="D2070" s="4" t="s">
        <v>5</v>
      </c>
      <c r="E2070" s="4" t="s">
        <v>12</v>
      </c>
      <c r="F2070" s="4" t="s">
        <v>28</v>
      </c>
      <c r="G2070" s="4" t="s">
        <v>13</v>
      </c>
      <c r="H2070" s="4" t="s">
        <v>290</v>
      </c>
      <c r="I2070" s="5" t="str">
        <f>IFERROR(VLOOKUP(Consulta1[[#This Row],[Pozo largo]],'Lista YPF'!$B$3:$C$358,2,FALSE),"NO")</f>
        <v>NO</v>
      </c>
      <c r="J2070" s="5" t="str">
        <f>IFERROR(VLOOKUP(Consulta1[[#This Row],[Pozo]],'Lista Oportunidades'!B:C,2,FALSE),"NO")</f>
        <v>NO</v>
      </c>
      <c r="K2070" s="5">
        <f>IFERROR(VLOOKUP(Consulta1[[#This Row],[Pozo largo]],Controles!B:H,7,FALSE),"NO")</f>
        <v>0</v>
      </c>
      <c r="L2070" s="5">
        <f>IFERROR(VLOOKUP(Consulta1[[#This Row],[Pozo largo]],Controles!B:J,9,FALSE),"NO")</f>
        <v>0</v>
      </c>
    </row>
    <row r="2071" spans="2:12" x14ac:dyDescent="0.35">
      <c r="B2071" s="4" t="s">
        <v>3965</v>
      </c>
      <c r="C2071" s="4" t="s">
        <v>7782</v>
      </c>
      <c r="D2071" s="4" t="s">
        <v>5</v>
      </c>
      <c r="E2071" s="4" t="s">
        <v>12</v>
      </c>
      <c r="F2071" s="4" t="s">
        <v>7</v>
      </c>
      <c r="G2071" s="4" t="s">
        <v>13</v>
      </c>
      <c r="H2071" s="4" t="s">
        <v>74</v>
      </c>
      <c r="I2071" s="5" t="str">
        <f>IFERROR(VLOOKUP(Consulta1[[#This Row],[Pozo largo]],'Lista YPF'!$B$3:$C$358,2,FALSE),"NO")</f>
        <v>NO</v>
      </c>
      <c r="J2071" s="5" t="str">
        <f>IFERROR(VLOOKUP(Consulta1[[#This Row],[Pozo]],'Lista Oportunidades'!B:C,2,FALSE),"NO")</f>
        <v>Oportunidad</v>
      </c>
      <c r="K2071" s="5">
        <f>IFERROR(VLOOKUP(Consulta1[[#This Row],[Pozo largo]],Controles!B:H,7,FALSE),"NO")</f>
        <v>1.218</v>
      </c>
      <c r="L2071" s="5">
        <f>IFERROR(VLOOKUP(Consulta1[[#This Row],[Pozo largo]],Controles!B:J,9,FALSE),"NO")</f>
        <v>0</v>
      </c>
    </row>
    <row r="2072" spans="2:12" x14ac:dyDescent="0.35">
      <c r="B2072" s="4" t="s">
        <v>3967</v>
      </c>
      <c r="C2072" s="4" t="s">
        <v>7783</v>
      </c>
      <c r="D2072" s="4" t="s">
        <v>5</v>
      </c>
      <c r="E2072" s="4" t="s">
        <v>12</v>
      </c>
      <c r="F2072" s="4" t="s">
        <v>7</v>
      </c>
      <c r="G2072" s="4" t="s">
        <v>13</v>
      </c>
      <c r="H2072" s="4" t="s">
        <v>21</v>
      </c>
      <c r="I2072" s="5" t="str">
        <f>IFERROR(VLOOKUP(Consulta1[[#This Row],[Pozo largo]],'Lista YPF'!$B$3:$C$358,2,FALSE),"NO")</f>
        <v>NO</v>
      </c>
      <c r="J2072" s="5" t="str">
        <f>IFERROR(VLOOKUP(Consulta1[[#This Row],[Pozo]],'Lista Oportunidades'!B:C,2,FALSE),"NO")</f>
        <v>NO</v>
      </c>
      <c r="K2072" s="5">
        <f>IFERROR(VLOOKUP(Consulta1[[#This Row],[Pozo largo]],Controles!B:H,7,FALSE),"NO")</f>
        <v>0.90400000000000003</v>
      </c>
      <c r="L2072" s="5">
        <f>IFERROR(VLOOKUP(Consulta1[[#This Row],[Pozo largo]],Controles!B:J,9,FALSE),"NO")</f>
        <v>0</v>
      </c>
    </row>
    <row r="2073" spans="2:12" x14ac:dyDescent="0.35">
      <c r="B2073" s="4" t="s">
        <v>3969</v>
      </c>
      <c r="C2073" s="4" t="s">
        <v>7784</v>
      </c>
      <c r="D2073" s="4" t="s">
        <v>5</v>
      </c>
      <c r="E2073" s="4" t="s">
        <v>12</v>
      </c>
      <c r="F2073" s="4" t="s">
        <v>7</v>
      </c>
      <c r="G2073" s="4" t="s">
        <v>13</v>
      </c>
      <c r="H2073" s="4" t="s">
        <v>21</v>
      </c>
      <c r="I2073" s="5" t="str">
        <f>IFERROR(VLOOKUP(Consulta1[[#This Row],[Pozo largo]],'Lista YPF'!$B$3:$C$358,2,FALSE),"NO")</f>
        <v>NO</v>
      </c>
      <c r="J2073" s="5" t="str">
        <f>IFERROR(VLOOKUP(Consulta1[[#This Row],[Pozo]],'Lista Oportunidades'!B:C,2,FALSE),"NO")</f>
        <v>NO</v>
      </c>
      <c r="K2073" s="5">
        <f>IFERROR(VLOOKUP(Consulta1[[#This Row],[Pozo largo]],Controles!B:H,7,FALSE),"NO")</f>
        <v>2.6680000000000001</v>
      </c>
      <c r="L2073" s="5">
        <f>IFERROR(VLOOKUP(Consulta1[[#This Row],[Pozo largo]],Controles!B:J,9,FALSE),"NO")</f>
        <v>0</v>
      </c>
    </row>
    <row r="2074" spans="2:12" x14ac:dyDescent="0.35">
      <c r="B2074" s="4" t="s">
        <v>3971</v>
      </c>
      <c r="C2074" s="4" t="s">
        <v>7785</v>
      </c>
      <c r="D2074" s="4" t="s">
        <v>5</v>
      </c>
      <c r="E2074" s="4" t="s">
        <v>30</v>
      </c>
      <c r="F2074" s="4" t="s">
        <v>31</v>
      </c>
      <c r="G2074" s="4" t="s">
        <v>32</v>
      </c>
      <c r="H2074" s="4" t="s">
        <v>80</v>
      </c>
      <c r="I2074" s="5" t="str">
        <f>IFERROR(VLOOKUP(Consulta1[[#This Row],[Pozo largo]],'Lista YPF'!$B$3:$C$358,2,FALSE),"NO")</f>
        <v>NO</v>
      </c>
      <c r="J2074" s="5" t="str">
        <f>IFERROR(VLOOKUP(Consulta1[[#This Row],[Pozo]],'Lista Oportunidades'!B:C,2,FALSE),"NO")</f>
        <v>NO</v>
      </c>
      <c r="K2074" s="5" t="str">
        <f>IFERROR(VLOOKUP(Consulta1[[#This Row],[Pozo largo]],Controles!B:H,7,FALSE),"NO")</f>
        <v>NO</v>
      </c>
      <c r="L2074" s="5" t="str">
        <f>IFERROR(VLOOKUP(Consulta1[[#This Row],[Pozo largo]],Controles!B:J,9,FALSE),"NO")</f>
        <v>NO</v>
      </c>
    </row>
    <row r="2075" spans="2:12" x14ac:dyDescent="0.35">
      <c r="B2075" s="4" t="s">
        <v>3972</v>
      </c>
      <c r="C2075" s="4" t="s">
        <v>7786</v>
      </c>
      <c r="D2075" s="4" t="s">
        <v>5</v>
      </c>
      <c r="E2075" s="4" t="s">
        <v>12</v>
      </c>
      <c r="F2075" s="4" t="s">
        <v>7</v>
      </c>
      <c r="G2075" s="4" t="s">
        <v>13</v>
      </c>
      <c r="H2075" s="4" t="s">
        <v>84</v>
      </c>
      <c r="I2075" s="5" t="str">
        <f>IFERROR(VLOOKUP(Consulta1[[#This Row],[Pozo largo]],'Lista YPF'!$B$3:$C$358,2,FALSE),"NO")</f>
        <v>NO</v>
      </c>
      <c r="J2075" s="5" t="str">
        <f>IFERROR(VLOOKUP(Consulta1[[#This Row],[Pozo]],'Lista Oportunidades'!B:C,2,FALSE),"NO")</f>
        <v>NO</v>
      </c>
      <c r="K2075" s="5">
        <f>IFERROR(VLOOKUP(Consulta1[[#This Row],[Pozo largo]],Controles!B:H,7,FALSE),"NO")</f>
        <v>2.5910000000000002</v>
      </c>
      <c r="L2075" s="5">
        <f>IFERROR(VLOOKUP(Consulta1[[#This Row],[Pozo largo]],Controles!B:J,9,FALSE),"NO")</f>
        <v>0</v>
      </c>
    </row>
    <row r="2076" spans="2:12" x14ac:dyDescent="0.35">
      <c r="B2076" s="4" t="s">
        <v>3974</v>
      </c>
      <c r="C2076" s="4" t="s">
        <v>7787</v>
      </c>
      <c r="D2076" s="4" t="s">
        <v>5</v>
      </c>
      <c r="E2076" s="4" t="s">
        <v>12</v>
      </c>
      <c r="F2076" s="4" t="s">
        <v>25</v>
      </c>
      <c r="G2076" s="4" t="s">
        <v>13</v>
      </c>
      <c r="H2076" s="4" t="s">
        <v>91</v>
      </c>
      <c r="I2076" s="5" t="str">
        <f>IFERROR(VLOOKUP(Consulta1[[#This Row],[Pozo largo]],'Lista YPF'!$B$3:$C$358,2,FALSE),"NO")</f>
        <v>NO</v>
      </c>
      <c r="J2076" s="5" t="str">
        <f>IFERROR(VLOOKUP(Consulta1[[#This Row],[Pozo]],'Lista Oportunidades'!B:C,2,FALSE),"NO")</f>
        <v>NO</v>
      </c>
      <c r="K2076" s="5">
        <f>IFERROR(VLOOKUP(Consulta1[[#This Row],[Pozo largo]],Controles!B:H,7,FALSE),"NO")</f>
        <v>0.10400000000000001</v>
      </c>
      <c r="L2076" s="5">
        <f>IFERROR(VLOOKUP(Consulta1[[#This Row],[Pozo largo]],Controles!B:J,9,FALSE),"NO")</f>
        <v>0</v>
      </c>
    </row>
    <row r="2077" spans="2:12" x14ac:dyDescent="0.35">
      <c r="B2077" s="4" t="s">
        <v>3976</v>
      </c>
      <c r="C2077" s="4" t="s">
        <v>7788</v>
      </c>
      <c r="D2077" s="4" t="s">
        <v>5</v>
      </c>
      <c r="E2077" s="4" t="s">
        <v>24</v>
      </c>
      <c r="F2077" s="4" t="s">
        <v>7</v>
      </c>
      <c r="G2077" s="4" t="s">
        <v>8</v>
      </c>
      <c r="H2077" s="4" t="s">
        <v>80</v>
      </c>
      <c r="I2077" s="5" t="str">
        <f>IFERROR(VLOOKUP(Consulta1[[#This Row],[Pozo largo]],'Lista YPF'!$B$3:$C$358,2,FALSE),"NO")</f>
        <v>NO</v>
      </c>
      <c r="J2077" s="5" t="str">
        <f>IFERROR(VLOOKUP(Consulta1[[#This Row],[Pozo]],'Lista Oportunidades'!B:C,2,FALSE),"NO")</f>
        <v>NO</v>
      </c>
      <c r="K2077" s="5">
        <f>IFERROR(VLOOKUP(Consulta1[[#This Row],[Pozo largo]],Controles!B:H,7,FALSE),"NO")</f>
        <v>0.42200000000000004</v>
      </c>
      <c r="L2077" s="5">
        <f>IFERROR(VLOOKUP(Consulta1[[#This Row],[Pozo largo]],Controles!B:J,9,FALSE),"NO")</f>
        <v>0</v>
      </c>
    </row>
    <row r="2078" spans="2:12" x14ac:dyDescent="0.35">
      <c r="B2078" s="4" t="s">
        <v>3978</v>
      </c>
      <c r="C2078" s="4" t="s">
        <v>7789</v>
      </c>
      <c r="D2078" s="4" t="s">
        <v>5</v>
      </c>
      <c r="E2078" s="4" t="s">
        <v>12</v>
      </c>
      <c r="F2078" s="4" t="s">
        <v>7</v>
      </c>
      <c r="G2078" s="4" t="s">
        <v>13</v>
      </c>
      <c r="H2078" s="4" t="s">
        <v>91</v>
      </c>
      <c r="I2078" s="5" t="str">
        <f>IFERROR(VLOOKUP(Consulta1[[#This Row],[Pozo largo]],'Lista YPF'!$B$3:$C$358,2,FALSE),"NO")</f>
        <v>NO</v>
      </c>
      <c r="J2078" s="5" t="str">
        <f>IFERROR(VLOOKUP(Consulta1[[#This Row],[Pozo]],'Lista Oportunidades'!B:C,2,FALSE),"NO")</f>
        <v>NO</v>
      </c>
      <c r="K2078" s="5">
        <f>IFERROR(VLOOKUP(Consulta1[[#This Row],[Pozo largo]],Controles!B:H,7,FALSE),"NO")</f>
        <v>0.75</v>
      </c>
      <c r="L2078" s="5">
        <f>IFERROR(VLOOKUP(Consulta1[[#This Row],[Pozo largo]],Controles!B:J,9,FALSE),"NO")</f>
        <v>0</v>
      </c>
    </row>
    <row r="2079" spans="2:12" x14ac:dyDescent="0.35">
      <c r="B2079" s="4" t="s">
        <v>3980</v>
      </c>
      <c r="C2079" s="4" t="s">
        <v>7790</v>
      </c>
      <c r="D2079" s="4" t="s">
        <v>5</v>
      </c>
      <c r="E2079" s="4" t="s">
        <v>12</v>
      </c>
      <c r="F2079" s="4" t="s">
        <v>83</v>
      </c>
      <c r="G2079" s="4" t="s">
        <v>13</v>
      </c>
      <c r="H2079" s="4" t="s">
        <v>84</v>
      </c>
      <c r="I2079" s="5" t="str">
        <f>IFERROR(VLOOKUP(Consulta1[[#This Row],[Pozo largo]],'Lista YPF'!$B$3:$C$358,2,FALSE),"NO")</f>
        <v>NO</v>
      </c>
      <c r="J2079" s="5" t="str">
        <f>IFERROR(VLOOKUP(Consulta1[[#This Row],[Pozo]],'Lista Oportunidades'!B:C,2,FALSE),"NO")</f>
        <v>NO</v>
      </c>
      <c r="K2079" s="5">
        <f>IFERROR(VLOOKUP(Consulta1[[#This Row],[Pozo largo]],Controles!B:H,7,FALSE),"NO")</f>
        <v>1.5</v>
      </c>
      <c r="L2079" s="5">
        <f>IFERROR(VLOOKUP(Consulta1[[#This Row],[Pozo largo]],Controles!B:J,9,FALSE),"NO")</f>
        <v>0</v>
      </c>
    </row>
    <row r="2080" spans="2:12" x14ac:dyDescent="0.35">
      <c r="B2080" s="4" t="s">
        <v>3982</v>
      </c>
      <c r="C2080" s="4" t="s">
        <v>7791</v>
      </c>
      <c r="D2080" s="4" t="s">
        <v>5</v>
      </c>
      <c r="E2080" s="4" t="s">
        <v>57</v>
      </c>
      <c r="F2080" s="4" t="s">
        <v>7</v>
      </c>
      <c r="G2080" s="4" t="s">
        <v>5718</v>
      </c>
      <c r="H2080" s="4" t="s">
        <v>71</v>
      </c>
      <c r="I2080" s="5" t="str">
        <f>IFERROR(VLOOKUP(Consulta1[[#This Row],[Pozo largo]],'Lista YPF'!$B$3:$C$358,2,FALSE),"NO")</f>
        <v>En lista de Abandono</v>
      </c>
      <c r="J2080" s="5" t="str">
        <f>IFERROR(VLOOKUP(Consulta1[[#This Row],[Pozo]],'Lista Oportunidades'!B:C,2,FALSE),"NO")</f>
        <v>NO</v>
      </c>
      <c r="K2080" s="5">
        <f>IFERROR(VLOOKUP(Consulta1[[#This Row],[Pozo largo]],Controles!B:H,7,FALSE),"NO")</f>
        <v>1.44</v>
      </c>
      <c r="L2080" s="5">
        <f>IFERROR(VLOOKUP(Consulta1[[#This Row],[Pozo largo]],Controles!B:J,9,FALSE),"NO")</f>
        <v>0</v>
      </c>
    </row>
    <row r="2081" spans="2:12" x14ac:dyDescent="0.35">
      <c r="B2081" s="4" t="s">
        <v>3984</v>
      </c>
      <c r="C2081" s="4" t="s">
        <v>7792</v>
      </c>
      <c r="D2081" s="4" t="s">
        <v>5</v>
      </c>
      <c r="E2081" s="4" t="s">
        <v>24</v>
      </c>
      <c r="F2081" s="4" t="s">
        <v>25</v>
      </c>
      <c r="G2081" s="4" t="s">
        <v>8</v>
      </c>
      <c r="H2081" s="4" t="s">
        <v>185</v>
      </c>
      <c r="I2081" s="5" t="str">
        <f>IFERROR(VLOOKUP(Consulta1[[#This Row],[Pozo largo]],'Lista YPF'!$B$3:$C$358,2,FALSE),"NO")</f>
        <v>NO</v>
      </c>
      <c r="J2081" s="5" t="str">
        <f>IFERROR(VLOOKUP(Consulta1[[#This Row],[Pozo]],'Lista Oportunidades'!B:C,2,FALSE),"NO")</f>
        <v>NO</v>
      </c>
      <c r="K2081" s="5">
        <f>IFERROR(VLOOKUP(Consulta1[[#This Row],[Pozo largo]],Controles!B:H,7,FALSE),"NO")</f>
        <v>9.7000000000000003E-2</v>
      </c>
      <c r="L2081" s="5">
        <f>IFERROR(VLOOKUP(Consulta1[[#This Row],[Pozo largo]],Controles!B:J,9,FALSE),"NO")</f>
        <v>0</v>
      </c>
    </row>
    <row r="2082" spans="2:12" x14ac:dyDescent="0.35">
      <c r="B2082" s="4" t="s">
        <v>3986</v>
      </c>
      <c r="C2082" s="4" t="s">
        <v>7793</v>
      </c>
      <c r="D2082" s="4" t="s">
        <v>5</v>
      </c>
      <c r="E2082" s="4" t="s">
        <v>24</v>
      </c>
      <c r="F2082" s="4" t="s">
        <v>28</v>
      </c>
      <c r="G2082" s="4" t="s">
        <v>8</v>
      </c>
      <c r="H2082" s="4" t="s">
        <v>66</v>
      </c>
      <c r="I2082" s="5" t="str">
        <f>IFERROR(VLOOKUP(Consulta1[[#This Row],[Pozo largo]],'Lista YPF'!$B$3:$C$358,2,FALSE),"NO")</f>
        <v>NO</v>
      </c>
      <c r="J2082" s="5" t="str">
        <f>IFERROR(VLOOKUP(Consulta1[[#This Row],[Pozo]],'Lista Oportunidades'!B:C,2,FALSE),"NO")</f>
        <v>NO</v>
      </c>
      <c r="K2082" s="5">
        <f>IFERROR(VLOOKUP(Consulta1[[#This Row],[Pozo largo]],Controles!B:H,7,FALSE),"NO")</f>
        <v>0</v>
      </c>
      <c r="L2082" s="5">
        <f>IFERROR(VLOOKUP(Consulta1[[#This Row],[Pozo largo]],Controles!B:J,9,FALSE),"NO")</f>
        <v>0</v>
      </c>
    </row>
    <row r="2083" spans="2:12" x14ac:dyDescent="0.35">
      <c r="B2083" s="4" t="s">
        <v>3988</v>
      </c>
      <c r="C2083" s="4" t="s">
        <v>7794</v>
      </c>
      <c r="D2083" s="4" t="s">
        <v>5</v>
      </c>
      <c r="E2083" s="4" t="s">
        <v>24</v>
      </c>
      <c r="F2083" s="4" t="s">
        <v>7</v>
      </c>
      <c r="G2083" s="4" t="s">
        <v>8</v>
      </c>
      <c r="H2083" s="4" t="s">
        <v>9</v>
      </c>
      <c r="I2083" s="5" t="str">
        <f>IFERROR(VLOOKUP(Consulta1[[#This Row],[Pozo largo]],'Lista YPF'!$B$3:$C$358,2,FALSE),"NO")</f>
        <v>NO</v>
      </c>
      <c r="J2083" s="5" t="str">
        <f>IFERROR(VLOOKUP(Consulta1[[#This Row],[Pozo]],'Lista Oportunidades'!B:C,2,FALSE),"NO")</f>
        <v>NO</v>
      </c>
      <c r="K2083" s="5">
        <f>IFERROR(VLOOKUP(Consulta1[[#This Row],[Pozo largo]],Controles!B:H,7,FALSE),"NO")</f>
        <v>0.4</v>
      </c>
      <c r="L2083" s="5">
        <f>IFERROR(VLOOKUP(Consulta1[[#This Row],[Pozo largo]],Controles!B:J,9,FALSE),"NO")</f>
        <v>0</v>
      </c>
    </row>
    <row r="2084" spans="2:12" x14ac:dyDescent="0.35">
      <c r="B2084" s="4" t="s">
        <v>3990</v>
      </c>
      <c r="C2084" s="4" t="s">
        <v>7795</v>
      </c>
      <c r="D2084" s="4" t="s">
        <v>5</v>
      </c>
      <c r="E2084" s="4" t="s">
        <v>12</v>
      </c>
      <c r="F2084" s="4" t="s">
        <v>25</v>
      </c>
      <c r="G2084" s="4" t="s">
        <v>13</v>
      </c>
      <c r="H2084" s="4" t="s">
        <v>9</v>
      </c>
      <c r="I2084" s="5" t="str">
        <f>IFERROR(VLOOKUP(Consulta1[[#This Row],[Pozo largo]],'Lista YPF'!$B$3:$C$358,2,FALSE),"NO")</f>
        <v>NO</v>
      </c>
      <c r="J2084" s="5" t="str">
        <f>IFERROR(VLOOKUP(Consulta1[[#This Row],[Pozo]],'Lista Oportunidades'!B:C,2,FALSE),"NO")</f>
        <v>NO</v>
      </c>
      <c r="K2084" s="5">
        <f>IFERROR(VLOOKUP(Consulta1[[#This Row],[Pozo largo]],Controles!B:H,7,FALSE),"NO")</f>
        <v>0.125</v>
      </c>
      <c r="L2084" s="5">
        <f>IFERROR(VLOOKUP(Consulta1[[#This Row],[Pozo largo]],Controles!B:J,9,FALSE),"NO")</f>
        <v>0</v>
      </c>
    </row>
    <row r="2085" spans="2:12" x14ac:dyDescent="0.35">
      <c r="B2085" s="4" t="s">
        <v>3992</v>
      </c>
      <c r="C2085" s="4" t="s">
        <v>7796</v>
      </c>
      <c r="D2085" s="4" t="s">
        <v>5</v>
      </c>
      <c r="E2085" s="4" t="s">
        <v>12</v>
      </c>
      <c r="F2085" s="4" t="s">
        <v>7</v>
      </c>
      <c r="G2085" s="4" t="s">
        <v>13</v>
      </c>
      <c r="H2085" s="4" t="s">
        <v>9</v>
      </c>
      <c r="I2085" s="5" t="str">
        <f>IFERROR(VLOOKUP(Consulta1[[#This Row],[Pozo largo]],'Lista YPF'!$B$3:$C$358,2,FALSE),"NO")</f>
        <v>NO</v>
      </c>
      <c r="J2085" s="5" t="str">
        <f>IFERROR(VLOOKUP(Consulta1[[#This Row],[Pozo]],'Lista Oportunidades'!B:C,2,FALSE),"NO")</f>
        <v>NO</v>
      </c>
      <c r="K2085" s="5">
        <f>IFERROR(VLOOKUP(Consulta1[[#This Row],[Pozo largo]],Controles!B:H,7,FALSE),"NO")</f>
        <v>0.8</v>
      </c>
      <c r="L2085" s="5">
        <f>IFERROR(VLOOKUP(Consulta1[[#This Row],[Pozo largo]],Controles!B:J,9,FALSE),"NO")</f>
        <v>0</v>
      </c>
    </row>
    <row r="2086" spans="2:12" x14ac:dyDescent="0.35">
      <c r="B2086" s="4" t="s">
        <v>3994</v>
      </c>
      <c r="C2086" s="4" t="s">
        <v>7797</v>
      </c>
      <c r="D2086" s="4" t="s">
        <v>5</v>
      </c>
      <c r="E2086" s="4" t="s">
        <v>6</v>
      </c>
      <c r="F2086" s="4" t="s">
        <v>31</v>
      </c>
      <c r="G2086" s="4" t="s">
        <v>5718</v>
      </c>
      <c r="H2086" s="4" t="s">
        <v>21</v>
      </c>
      <c r="I2086" s="5" t="str">
        <f>IFERROR(VLOOKUP(Consulta1[[#This Row],[Pozo largo]],'Lista YPF'!$B$3:$C$358,2,FALSE),"NO")</f>
        <v>En lista de Abandono</v>
      </c>
      <c r="J2086" s="5" t="str">
        <f>IFERROR(VLOOKUP(Consulta1[[#This Row],[Pozo]],'Lista Oportunidades'!B:C,2,FALSE),"NO")</f>
        <v>NO</v>
      </c>
      <c r="K2086" s="5">
        <f>IFERROR(VLOOKUP(Consulta1[[#This Row],[Pozo largo]],Controles!B:H,7,FALSE),"NO")</f>
        <v>0</v>
      </c>
      <c r="L2086" s="5">
        <f>IFERROR(VLOOKUP(Consulta1[[#This Row],[Pozo largo]],Controles!B:J,9,FALSE),"NO")</f>
        <v>0</v>
      </c>
    </row>
    <row r="2087" spans="2:12" x14ac:dyDescent="0.35">
      <c r="B2087" s="4" t="s">
        <v>3996</v>
      </c>
      <c r="C2087" s="4" t="s">
        <v>7798</v>
      </c>
      <c r="D2087" s="4" t="s">
        <v>5</v>
      </c>
      <c r="E2087" s="4" t="s">
        <v>24</v>
      </c>
      <c r="F2087" s="4" t="s">
        <v>31</v>
      </c>
      <c r="G2087" s="4" t="s">
        <v>8</v>
      </c>
      <c r="H2087" s="4" t="s">
        <v>21</v>
      </c>
      <c r="I2087" s="5" t="str">
        <f>IFERROR(VLOOKUP(Consulta1[[#This Row],[Pozo largo]],'Lista YPF'!$B$3:$C$358,2,FALSE),"NO")</f>
        <v>NO</v>
      </c>
      <c r="J2087" s="5" t="str">
        <f>IFERROR(VLOOKUP(Consulta1[[#This Row],[Pozo]],'Lista Oportunidades'!B:C,2,FALSE),"NO")</f>
        <v>NO</v>
      </c>
      <c r="K2087" s="5" t="str">
        <f>IFERROR(VLOOKUP(Consulta1[[#This Row],[Pozo largo]],Controles!B:H,7,FALSE),"NO")</f>
        <v>NO</v>
      </c>
      <c r="L2087" s="5" t="str">
        <f>IFERROR(VLOOKUP(Consulta1[[#This Row],[Pozo largo]],Controles!B:J,9,FALSE),"NO")</f>
        <v>NO</v>
      </c>
    </row>
    <row r="2088" spans="2:12" x14ac:dyDescent="0.35">
      <c r="B2088" s="4" t="s">
        <v>3997</v>
      </c>
      <c r="C2088" s="4" t="s">
        <v>7799</v>
      </c>
      <c r="D2088" s="4" t="s">
        <v>5</v>
      </c>
      <c r="E2088" s="4" t="s">
        <v>24</v>
      </c>
      <c r="F2088" s="4" t="s">
        <v>31</v>
      </c>
      <c r="G2088" s="4" t="s">
        <v>8</v>
      </c>
      <c r="H2088" s="4" t="s">
        <v>36</v>
      </c>
      <c r="I2088" s="5" t="str">
        <f>IFERROR(VLOOKUP(Consulta1[[#This Row],[Pozo largo]],'Lista YPF'!$B$3:$C$358,2,FALSE),"NO")</f>
        <v>NO</v>
      </c>
      <c r="J2088" s="5" t="str">
        <f>IFERROR(VLOOKUP(Consulta1[[#This Row],[Pozo]],'Lista Oportunidades'!B:C,2,FALSE),"NO")</f>
        <v>NO</v>
      </c>
      <c r="K2088" s="5">
        <f>IFERROR(VLOOKUP(Consulta1[[#This Row],[Pozo largo]],Controles!B:H,7,FALSE),"NO")</f>
        <v>0.09</v>
      </c>
      <c r="L2088" s="5">
        <f>IFERROR(VLOOKUP(Consulta1[[#This Row],[Pozo largo]],Controles!B:J,9,FALSE),"NO")</f>
        <v>0</v>
      </c>
    </row>
    <row r="2089" spans="2:12" x14ac:dyDescent="0.35">
      <c r="B2089" s="4" t="s">
        <v>3999</v>
      </c>
      <c r="C2089" s="4" t="s">
        <v>7800</v>
      </c>
      <c r="D2089" s="4" t="s">
        <v>5</v>
      </c>
      <c r="E2089" s="4" t="s">
        <v>12</v>
      </c>
      <c r="F2089" s="4" t="s">
        <v>28</v>
      </c>
      <c r="G2089" s="4" t="s">
        <v>13</v>
      </c>
      <c r="H2089" s="4" t="s">
        <v>21</v>
      </c>
      <c r="I2089" s="5" t="str">
        <f>IFERROR(VLOOKUP(Consulta1[[#This Row],[Pozo largo]],'Lista YPF'!$B$3:$C$358,2,FALSE),"NO")</f>
        <v>NO</v>
      </c>
      <c r="J2089" s="5" t="str">
        <f>IFERROR(VLOOKUP(Consulta1[[#This Row],[Pozo]],'Lista Oportunidades'!B:C,2,FALSE),"NO")</f>
        <v>NO</v>
      </c>
      <c r="K2089" s="5">
        <f>IFERROR(VLOOKUP(Consulta1[[#This Row],[Pozo largo]],Controles!B:H,7,FALSE),"NO")</f>
        <v>0</v>
      </c>
      <c r="L2089" s="5">
        <f>IFERROR(VLOOKUP(Consulta1[[#This Row],[Pozo largo]],Controles!B:J,9,FALSE),"NO")</f>
        <v>0</v>
      </c>
    </row>
    <row r="2090" spans="2:12" x14ac:dyDescent="0.35">
      <c r="B2090" s="4" t="s">
        <v>4001</v>
      </c>
      <c r="C2090" s="4" t="s">
        <v>7801</v>
      </c>
      <c r="D2090" s="4" t="s">
        <v>5</v>
      </c>
      <c r="E2090" s="4" t="s">
        <v>24</v>
      </c>
      <c r="F2090" s="4" t="s">
        <v>7</v>
      </c>
      <c r="G2090" s="4" t="s">
        <v>8</v>
      </c>
      <c r="H2090" s="4" t="s">
        <v>33</v>
      </c>
      <c r="I2090" s="5" t="str">
        <f>IFERROR(VLOOKUP(Consulta1[[#This Row],[Pozo largo]],'Lista YPF'!$B$3:$C$358,2,FALSE),"NO")</f>
        <v>NO</v>
      </c>
      <c r="J2090" s="5" t="str">
        <f>IFERROR(VLOOKUP(Consulta1[[#This Row],[Pozo]],'Lista Oportunidades'!B:C,2,FALSE),"NO")</f>
        <v>NO</v>
      </c>
      <c r="K2090" s="5">
        <f>IFERROR(VLOOKUP(Consulta1[[#This Row],[Pozo largo]],Controles!B:H,7,FALSE),"NO")</f>
        <v>0.38</v>
      </c>
      <c r="L2090" s="5">
        <f>IFERROR(VLOOKUP(Consulta1[[#This Row],[Pozo largo]],Controles!B:J,9,FALSE),"NO")</f>
        <v>0</v>
      </c>
    </row>
    <row r="2091" spans="2:12" x14ac:dyDescent="0.35">
      <c r="B2091" s="4" t="s">
        <v>4003</v>
      </c>
      <c r="C2091" s="4" t="s">
        <v>7802</v>
      </c>
      <c r="D2091" s="4" t="s">
        <v>5</v>
      </c>
      <c r="E2091" s="4" t="s">
        <v>12</v>
      </c>
      <c r="F2091" s="4" t="s">
        <v>7</v>
      </c>
      <c r="G2091" s="4" t="s">
        <v>13</v>
      </c>
      <c r="H2091" s="4" t="s">
        <v>21</v>
      </c>
      <c r="I2091" s="5" t="str">
        <f>IFERROR(VLOOKUP(Consulta1[[#This Row],[Pozo largo]],'Lista YPF'!$B$3:$C$358,2,FALSE),"NO")</f>
        <v>NO</v>
      </c>
      <c r="J2091" s="5" t="str">
        <f>IFERROR(VLOOKUP(Consulta1[[#This Row],[Pozo]],'Lista Oportunidades'!B:C,2,FALSE),"NO")</f>
        <v>NO</v>
      </c>
      <c r="K2091" s="5">
        <f>IFERROR(VLOOKUP(Consulta1[[#This Row],[Pozo largo]],Controles!B:H,7,FALSE),"NO")</f>
        <v>0.94600000000000006</v>
      </c>
      <c r="L2091" s="5">
        <f>IFERROR(VLOOKUP(Consulta1[[#This Row],[Pozo largo]],Controles!B:J,9,FALSE),"NO")</f>
        <v>0</v>
      </c>
    </row>
    <row r="2092" spans="2:12" x14ac:dyDescent="0.35">
      <c r="B2092" s="4" t="s">
        <v>4005</v>
      </c>
      <c r="C2092" s="4" t="s">
        <v>7803</v>
      </c>
      <c r="D2092" s="4" t="s">
        <v>5</v>
      </c>
      <c r="E2092" s="4" t="s">
        <v>12</v>
      </c>
      <c r="F2092" s="4" t="s">
        <v>7</v>
      </c>
      <c r="G2092" s="4" t="s">
        <v>13</v>
      </c>
      <c r="H2092" s="4" t="s">
        <v>33</v>
      </c>
      <c r="I2092" s="5" t="str">
        <f>IFERROR(VLOOKUP(Consulta1[[#This Row],[Pozo largo]],'Lista YPF'!$B$3:$C$358,2,FALSE),"NO")</f>
        <v>NO</v>
      </c>
      <c r="J2092" s="5" t="str">
        <f>IFERROR(VLOOKUP(Consulta1[[#This Row],[Pozo]],'Lista Oportunidades'!B:C,2,FALSE),"NO")</f>
        <v>NO</v>
      </c>
      <c r="K2092" s="5">
        <f>IFERROR(VLOOKUP(Consulta1[[#This Row],[Pozo largo]],Controles!B:H,7,FALSE),"NO")</f>
        <v>0.63</v>
      </c>
      <c r="L2092" s="5">
        <f>IFERROR(VLOOKUP(Consulta1[[#This Row],[Pozo largo]],Controles!B:J,9,FALSE),"NO")</f>
        <v>0</v>
      </c>
    </row>
    <row r="2093" spans="2:12" x14ac:dyDescent="0.35">
      <c r="B2093" s="4" t="s">
        <v>4007</v>
      </c>
      <c r="C2093" s="4" t="s">
        <v>7804</v>
      </c>
      <c r="D2093" s="4" t="s">
        <v>5</v>
      </c>
      <c r="E2093" s="4" t="s">
        <v>12</v>
      </c>
      <c r="F2093" s="4" t="s">
        <v>7</v>
      </c>
      <c r="G2093" s="4" t="s">
        <v>13</v>
      </c>
      <c r="H2093" s="4" t="s">
        <v>21</v>
      </c>
      <c r="I2093" s="5" t="str">
        <f>IFERROR(VLOOKUP(Consulta1[[#This Row],[Pozo largo]],'Lista YPF'!$B$3:$C$358,2,FALSE),"NO")</f>
        <v>NO</v>
      </c>
      <c r="J2093" s="5" t="str">
        <f>IFERROR(VLOOKUP(Consulta1[[#This Row],[Pozo]],'Lista Oportunidades'!B:C,2,FALSE),"NO")</f>
        <v>NO</v>
      </c>
      <c r="K2093" s="5">
        <f>IFERROR(VLOOKUP(Consulta1[[#This Row],[Pozo largo]],Controles!B:H,7,FALSE),"NO")</f>
        <v>0.22500000000000001</v>
      </c>
      <c r="L2093" s="5">
        <f>IFERROR(VLOOKUP(Consulta1[[#This Row],[Pozo largo]],Controles!B:J,9,FALSE),"NO")</f>
        <v>0</v>
      </c>
    </row>
    <row r="2094" spans="2:12" x14ac:dyDescent="0.35">
      <c r="B2094" s="4" t="s">
        <v>4009</v>
      </c>
      <c r="C2094" s="4" t="s">
        <v>7805</v>
      </c>
      <c r="D2094" s="4" t="s">
        <v>5</v>
      </c>
      <c r="E2094" s="4" t="s">
        <v>24</v>
      </c>
      <c r="F2094" s="4" t="s">
        <v>31</v>
      </c>
      <c r="G2094" s="4" t="s">
        <v>8</v>
      </c>
      <c r="H2094" s="4" t="s">
        <v>80</v>
      </c>
      <c r="I2094" s="5" t="str">
        <f>IFERROR(VLOOKUP(Consulta1[[#This Row],[Pozo largo]],'Lista YPF'!$B$3:$C$358,2,FALSE),"NO")</f>
        <v>NO</v>
      </c>
      <c r="J2094" s="5" t="str">
        <f>IFERROR(VLOOKUP(Consulta1[[#This Row],[Pozo]],'Lista Oportunidades'!B:C,2,FALSE),"NO")</f>
        <v>NO</v>
      </c>
      <c r="K2094" s="5">
        <f>IFERROR(VLOOKUP(Consulta1[[#This Row],[Pozo largo]],Controles!B:H,7,FALSE),"NO")</f>
        <v>0.80500000000000005</v>
      </c>
      <c r="L2094" s="5">
        <f>IFERROR(VLOOKUP(Consulta1[[#This Row],[Pozo largo]],Controles!B:J,9,FALSE),"NO")</f>
        <v>0</v>
      </c>
    </row>
    <row r="2095" spans="2:12" x14ac:dyDescent="0.35">
      <c r="B2095" s="4" t="s">
        <v>4011</v>
      </c>
      <c r="C2095" s="4" t="s">
        <v>7806</v>
      </c>
      <c r="D2095" s="4" t="s">
        <v>5</v>
      </c>
      <c r="E2095" s="4" t="s">
        <v>12</v>
      </c>
      <c r="F2095" s="4" t="s">
        <v>25</v>
      </c>
      <c r="G2095" s="4" t="s">
        <v>13</v>
      </c>
      <c r="H2095" s="4" t="s">
        <v>80</v>
      </c>
      <c r="I2095" s="5" t="str">
        <f>IFERROR(VLOOKUP(Consulta1[[#This Row],[Pozo largo]],'Lista YPF'!$B$3:$C$358,2,FALSE),"NO")</f>
        <v>NO</v>
      </c>
      <c r="J2095" s="5" t="str">
        <f>IFERROR(VLOOKUP(Consulta1[[#This Row],[Pozo]],'Lista Oportunidades'!B:C,2,FALSE),"NO")</f>
        <v>NO</v>
      </c>
      <c r="K2095" s="5">
        <f>IFERROR(VLOOKUP(Consulta1[[#This Row],[Pozo largo]],Controles!B:H,7,FALSE),"NO")</f>
        <v>0.10400000000000001</v>
      </c>
      <c r="L2095" s="5">
        <f>IFERROR(VLOOKUP(Consulta1[[#This Row],[Pozo largo]],Controles!B:J,9,FALSE),"NO")</f>
        <v>0</v>
      </c>
    </row>
    <row r="2096" spans="2:12" x14ac:dyDescent="0.35">
      <c r="B2096" s="4" t="s">
        <v>4013</v>
      </c>
      <c r="C2096" s="4" t="s">
        <v>7807</v>
      </c>
      <c r="D2096" s="4" t="s">
        <v>5</v>
      </c>
      <c r="E2096" s="4" t="s">
        <v>12</v>
      </c>
      <c r="F2096" s="4" t="s">
        <v>7</v>
      </c>
      <c r="G2096" s="4" t="s">
        <v>13</v>
      </c>
      <c r="H2096" s="4" t="s">
        <v>86</v>
      </c>
      <c r="I2096" s="5" t="str">
        <f>IFERROR(VLOOKUP(Consulta1[[#This Row],[Pozo largo]],'Lista YPF'!$B$3:$C$358,2,FALSE),"NO")</f>
        <v>NO</v>
      </c>
      <c r="J2096" s="5" t="str">
        <f>IFERROR(VLOOKUP(Consulta1[[#This Row],[Pozo]],'Lista Oportunidades'!B:C,2,FALSE),"NO")</f>
        <v>NO</v>
      </c>
      <c r="K2096" s="5">
        <f>IFERROR(VLOOKUP(Consulta1[[#This Row],[Pozo largo]],Controles!B:H,7,FALSE),"NO")</f>
        <v>2.7120000000000002</v>
      </c>
      <c r="L2096" s="5">
        <f>IFERROR(VLOOKUP(Consulta1[[#This Row],[Pozo largo]],Controles!B:J,9,FALSE),"NO")</f>
        <v>0</v>
      </c>
    </row>
    <row r="2097" spans="2:12" x14ac:dyDescent="0.35">
      <c r="B2097" s="4" t="s">
        <v>4015</v>
      </c>
      <c r="C2097" s="4" t="s">
        <v>7808</v>
      </c>
      <c r="D2097" s="4" t="s">
        <v>5</v>
      </c>
      <c r="E2097" s="4" t="s">
        <v>12</v>
      </c>
      <c r="F2097" s="4" t="s">
        <v>25</v>
      </c>
      <c r="G2097" s="4" t="s">
        <v>13</v>
      </c>
      <c r="H2097" s="4" t="s">
        <v>86</v>
      </c>
      <c r="I2097" s="5" t="str">
        <f>IFERROR(VLOOKUP(Consulta1[[#This Row],[Pozo largo]],'Lista YPF'!$B$3:$C$358,2,FALSE),"NO")</f>
        <v>NO</v>
      </c>
      <c r="J2097" s="5" t="str">
        <f>IFERROR(VLOOKUP(Consulta1[[#This Row],[Pozo]],'Lista Oportunidades'!B:C,2,FALSE),"NO")</f>
        <v>NO</v>
      </c>
      <c r="K2097" s="5">
        <f>IFERROR(VLOOKUP(Consulta1[[#This Row],[Pozo largo]],Controles!B:H,7,FALSE),"NO")</f>
        <v>0.21100000000000002</v>
      </c>
      <c r="L2097" s="5">
        <f>IFERROR(VLOOKUP(Consulta1[[#This Row],[Pozo largo]],Controles!B:J,9,FALSE),"NO")</f>
        <v>0</v>
      </c>
    </row>
    <row r="2098" spans="2:12" x14ac:dyDescent="0.35">
      <c r="B2098" s="4" t="s">
        <v>4017</v>
      </c>
      <c r="C2098" s="4" t="s">
        <v>7809</v>
      </c>
      <c r="D2098" s="4" t="s">
        <v>5</v>
      </c>
      <c r="E2098" s="4" t="s">
        <v>24</v>
      </c>
      <c r="F2098" s="4" t="s">
        <v>25</v>
      </c>
      <c r="G2098" s="4" t="s">
        <v>8</v>
      </c>
      <c r="H2098" s="4" t="s">
        <v>86</v>
      </c>
      <c r="I2098" s="5" t="str">
        <f>IFERROR(VLOOKUP(Consulta1[[#This Row],[Pozo largo]],'Lista YPF'!$B$3:$C$358,2,FALSE),"NO")</f>
        <v>NO</v>
      </c>
      <c r="J2098" s="5" t="str">
        <f>IFERROR(VLOOKUP(Consulta1[[#This Row],[Pozo]],'Lista Oportunidades'!B:C,2,FALSE),"NO")</f>
        <v>NO</v>
      </c>
      <c r="K2098" s="5">
        <f>IFERROR(VLOOKUP(Consulta1[[#This Row],[Pozo largo]],Controles!B:H,7,FALSE),"NO")</f>
        <v>7.6999999999999999E-2</v>
      </c>
      <c r="L2098" s="5">
        <f>IFERROR(VLOOKUP(Consulta1[[#This Row],[Pozo largo]],Controles!B:J,9,FALSE),"NO")</f>
        <v>0</v>
      </c>
    </row>
    <row r="2099" spans="2:12" x14ac:dyDescent="0.35">
      <c r="B2099" s="4" t="s">
        <v>4019</v>
      </c>
      <c r="C2099" s="4" t="s">
        <v>7810</v>
      </c>
      <c r="D2099" s="4" t="s">
        <v>5</v>
      </c>
      <c r="E2099" s="4" t="s">
        <v>57</v>
      </c>
      <c r="F2099" s="4" t="s">
        <v>7</v>
      </c>
      <c r="G2099" s="4" t="s">
        <v>5718</v>
      </c>
      <c r="H2099" s="4" t="s">
        <v>86</v>
      </c>
      <c r="I2099" s="5" t="str">
        <f>IFERROR(VLOOKUP(Consulta1[[#This Row],[Pozo largo]],'Lista YPF'!$B$3:$C$358,2,FALSE),"NO")</f>
        <v>En lista de Abandono</v>
      </c>
      <c r="J2099" s="5" t="str">
        <f>IFERROR(VLOOKUP(Consulta1[[#This Row],[Pozo]],'Lista Oportunidades'!B:C,2,FALSE),"NO")</f>
        <v>NO</v>
      </c>
      <c r="K2099" s="5">
        <f>IFERROR(VLOOKUP(Consulta1[[#This Row],[Pozo largo]],Controles!B:H,7,FALSE),"NO")</f>
        <v>1.2</v>
      </c>
      <c r="L2099" s="5">
        <f>IFERROR(VLOOKUP(Consulta1[[#This Row],[Pozo largo]],Controles!B:J,9,FALSE),"NO")</f>
        <v>0</v>
      </c>
    </row>
    <row r="2100" spans="2:12" x14ac:dyDescent="0.35">
      <c r="B2100" s="4" t="s">
        <v>4021</v>
      </c>
      <c r="C2100" s="4" t="s">
        <v>7811</v>
      </c>
      <c r="D2100" s="4" t="s">
        <v>5</v>
      </c>
      <c r="E2100" s="4" t="s">
        <v>12</v>
      </c>
      <c r="F2100" s="4" t="s">
        <v>25</v>
      </c>
      <c r="G2100" s="4" t="s">
        <v>13</v>
      </c>
      <c r="H2100" s="4" t="s">
        <v>86</v>
      </c>
      <c r="I2100" s="5" t="str">
        <f>IFERROR(VLOOKUP(Consulta1[[#This Row],[Pozo largo]],'Lista YPF'!$B$3:$C$358,2,FALSE),"NO")</f>
        <v>NO</v>
      </c>
      <c r="J2100" s="5" t="str">
        <f>IFERROR(VLOOKUP(Consulta1[[#This Row],[Pozo]],'Lista Oportunidades'!B:C,2,FALSE),"NO")</f>
        <v>NO</v>
      </c>
      <c r="K2100" s="5">
        <f>IFERROR(VLOOKUP(Consulta1[[#This Row],[Pozo largo]],Controles!B:H,7,FALSE),"NO")</f>
        <v>0.187</v>
      </c>
      <c r="L2100" s="5">
        <f>IFERROR(VLOOKUP(Consulta1[[#This Row],[Pozo largo]],Controles!B:J,9,FALSE),"NO")</f>
        <v>0</v>
      </c>
    </row>
    <row r="2101" spans="2:12" x14ac:dyDescent="0.35">
      <c r="B2101" s="4" t="s">
        <v>4023</v>
      </c>
      <c r="C2101" s="4" t="s">
        <v>7812</v>
      </c>
      <c r="D2101" s="4" t="s">
        <v>5</v>
      </c>
      <c r="E2101" s="4" t="s">
        <v>12</v>
      </c>
      <c r="F2101" s="4" t="s">
        <v>28</v>
      </c>
      <c r="G2101" s="4" t="s">
        <v>13</v>
      </c>
      <c r="H2101" s="4" t="s">
        <v>91</v>
      </c>
      <c r="I2101" s="5" t="str">
        <f>IFERROR(VLOOKUP(Consulta1[[#This Row],[Pozo largo]],'Lista YPF'!$B$3:$C$358,2,FALSE),"NO")</f>
        <v>NO</v>
      </c>
      <c r="J2101" s="5" t="str">
        <f>IFERROR(VLOOKUP(Consulta1[[#This Row],[Pozo]],'Lista Oportunidades'!B:C,2,FALSE),"NO")</f>
        <v>NO</v>
      </c>
      <c r="K2101" s="5">
        <f>IFERROR(VLOOKUP(Consulta1[[#This Row],[Pozo largo]],Controles!B:H,7,FALSE),"NO")</f>
        <v>0</v>
      </c>
      <c r="L2101" s="5">
        <f>IFERROR(VLOOKUP(Consulta1[[#This Row],[Pozo largo]],Controles!B:J,9,FALSE),"NO")</f>
        <v>0</v>
      </c>
    </row>
    <row r="2102" spans="2:12" x14ac:dyDescent="0.35">
      <c r="B2102" s="4" t="s">
        <v>4025</v>
      </c>
      <c r="C2102" s="4" t="s">
        <v>7813</v>
      </c>
      <c r="D2102" s="4" t="s">
        <v>5</v>
      </c>
      <c r="E2102" s="4" t="s">
        <v>12</v>
      </c>
      <c r="F2102" s="4" t="s">
        <v>28</v>
      </c>
      <c r="G2102" s="4" t="s">
        <v>13</v>
      </c>
      <c r="H2102" s="4" t="s">
        <v>91</v>
      </c>
      <c r="I2102" s="5" t="str">
        <f>IFERROR(VLOOKUP(Consulta1[[#This Row],[Pozo largo]],'Lista YPF'!$B$3:$C$358,2,FALSE),"NO")</f>
        <v>NO</v>
      </c>
      <c r="J2102" s="5" t="str">
        <f>IFERROR(VLOOKUP(Consulta1[[#This Row],[Pozo]],'Lista Oportunidades'!B:C,2,FALSE),"NO")</f>
        <v>NO</v>
      </c>
      <c r="K2102" s="5">
        <f>IFERROR(VLOOKUP(Consulta1[[#This Row],[Pozo largo]],Controles!B:H,7,FALSE),"NO")</f>
        <v>0</v>
      </c>
      <c r="L2102" s="5">
        <f>IFERROR(VLOOKUP(Consulta1[[#This Row],[Pozo largo]],Controles!B:J,9,FALSE),"NO")</f>
        <v>0</v>
      </c>
    </row>
    <row r="2103" spans="2:12" x14ac:dyDescent="0.35">
      <c r="B2103" s="4" t="s">
        <v>4027</v>
      </c>
      <c r="C2103" s="4" t="s">
        <v>7814</v>
      </c>
      <c r="D2103" s="4" t="s">
        <v>5</v>
      </c>
      <c r="E2103" s="4" t="s">
        <v>30</v>
      </c>
      <c r="F2103" s="4" t="s">
        <v>31</v>
      </c>
      <c r="G2103" s="4" t="s">
        <v>32</v>
      </c>
      <c r="H2103" s="4" t="s">
        <v>80</v>
      </c>
      <c r="I2103" s="5" t="str">
        <f>IFERROR(VLOOKUP(Consulta1[[#This Row],[Pozo largo]],'Lista YPF'!$B$3:$C$358,2,FALSE),"NO")</f>
        <v>NO</v>
      </c>
      <c r="J2103" s="5" t="str">
        <f>IFERROR(VLOOKUP(Consulta1[[#This Row],[Pozo]],'Lista Oportunidades'!B:C,2,FALSE),"NO")</f>
        <v>NO</v>
      </c>
      <c r="K2103" s="5">
        <f>IFERROR(VLOOKUP(Consulta1[[#This Row],[Pozo largo]],Controles!B:H,7,FALSE),"NO")</f>
        <v>0</v>
      </c>
      <c r="L2103" s="5">
        <f>IFERROR(VLOOKUP(Consulta1[[#This Row],[Pozo largo]],Controles!B:J,9,FALSE),"NO")</f>
        <v>0</v>
      </c>
    </row>
    <row r="2104" spans="2:12" x14ac:dyDescent="0.35">
      <c r="B2104" s="4" t="s">
        <v>4029</v>
      </c>
      <c r="C2104" s="4" t="s">
        <v>7815</v>
      </c>
      <c r="D2104" s="4" t="s">
        <v>5</v>
      </c>
      <c r="E2104" s="4" t="s">
        <v>24</v>
      </c>
      <c r="F2104" s="4" t="s">
        <v>25</v>
      </c>
      <c r="G2104" s="4" t="s">
        <v>8</v>
      </c>
      <c r="H2104" s="4" t="s">
        <v>80</v>
      </c>
      <c r="I2104" s="5" t="str">
        <f>IFERROR(VLOOKUP(Consulta1[[#This Row],[Pozo largo]],'Lista YPF'!$B$3:$C$358,2,FALSE),"NO")</f>
        <v>NO</v>
      </c>
      <c r="J2104" s="5" t="str">
        <f>IFERROR(VLOOKUP(Consulta1[[#This Row],[Pozo]],'Lista Oportunidades'!B:C,2,FALSE),"NO")</f>
        <v>NO</v>
      </c>
      <c r="K2104" s="5">
        <f>IFERROR(VLOOKUP(Consulta1[[#This Row],[Pozo largo]],Controles!B:H,7,FALSE),"NO")</f>
        <v>6.7000000000000004E-2</v>
      </c>
      <c r="L2104" s="5">
        <f>IFERROR(VLOOKUP(Consulta1[[#This Row],[Pozo largo]],Controles!B:J,9,FALSE),"NO")</f>
        <v>0</v>
      </c>
    </row>
    <row r="2105" spans="2:12" x14ac:dyDescent="0.35">
      <c r="B2105" s="4" t="s">
        <v>4031</v>
      </c>
      <c r="C2105" s="4" t="s">
        <v>7816</v>
      </c>
      <c r="D2105" s="4" t="s">
        <v>5</v>
      </c>
      <c r="E2105" s="4" t="s">
        <v>12</v>
      </c>
      <c r="F2105" s="4" t="s">
        <v>25</v>
      </c>
      <c r="G2105" s="4" t="s">
        <v>13</v>
      </c>
      <c r="H2105" s="4" t="s">
        <v>86</v>
      </c>
      <c r="I2105" s="5" t="str">
        <f>IFERROR(VLOOKUP(Consulta1[[#This Row],[Pozo largo]],'Lista YPF'!$B$3:$C$358,2,FALSE),"NO")</f>
        <v>NO</v>
      </c>
      <c r="J2105" s="5" t="str">
        <f>IFERROR(VLOOKUP(Consulta1[[#This Row],[Pozo]],'Lista Oportunidades'!B:C,2,FALSE),"NO")</f>
        <v>NO</v>
      </c>
      <c r="K2105" s="5">
        <f>IFERROR(VLOOKUP(Consulta1[[#This Row],[Pozo largo]],Controles!B:H,7,FALSE),"NO")</f>
        <v>0.152</v>
      </c>
      <c r="L2105" s="5">
        <f>IFERROR(VLOOKUP(Consulta1[[#This Row],[Pozo largo]],Controles!B:J,9,FALSE),"NO")</f>
        <v>0</v>
      </c>
    </row>
    <row r="2106" spans="2:12" x14ac:dyDescent="0.35">
      <c r="B2106" s="4" t="s">
        <v>4033</v>
      </c>
      <c r="C2106" s="4" t="s">
        <v>7817</v>
      </c>
      <c r="D2106" s="4" t="s">
        <v>5</v>
      </c>
      <c r="E2106" s="4" t="s">
        <v>24</v>
      </c>
      <c r="F2106" s="4" t="s">
        <v>28</v>
      </c>
      <c r="G2106" s="4" t="s">
        <v>8</v>
      </c>
      <c r="H2106" s="4" t="s">
        <v>80</v>
      </c>
      <c r="I2106" s="5" t="str">
        <f>IFERROR(VLOOKUP(Consulta1[[#This Row],[Pozo largo]],'Lista YPF'!$B$3:$C$358,2,FALSE),"NO")</f>
        <v>NO</v>
      </c>
      <c r="J2106" s="5" t="str">
        <f>IFERROR(VLOOKUP(Consulta1[[#This Row],[Pozo]],'Lista Oportunidades'!B:C,2,FALSE),"NO")</f>
        <v>NO</v>
      </c>
      <c r="K2106" s="5">
        <f>IFERROR(VLOOKUP(Consulta1[[#This Row],[Pozo largo]],Controles!B:H,7,FALSE),"NO")</f>
        <v>0</v>
      </c>
      <c r="L2106" s="5">
        <f>IFERROR(VLOOKUP(Consulta1[[#This Row],[Pozo largo]],Controles!B:J,9,FALSE),"NO")</f>
        <v>0</v>
      </c>
    </row>
    <row r="2107" spans="2:12" x14ac:dyDescent="0.35">
      <c r="B2107" s="4" t="s">
        <v>4035</v>
      </c>
      <c r="C2107" s="4" t="s">
        <v>7818</v>
      </c>
      <c r="D2107" s="4" t="s">
        <v>5</v>
      </c>
      <c r="E2107" s="4" t="s">
        <v>12</v>
      </c>
      <c r="F2107" s="4" t="s">
        <v>7</v>
      </c>
      <c r="G2107" s="4" t="s">
        <v>13</v>
      </c>
      <c r="H2107" s="4" t="s">
        <v>146</v>
      </c>
      <c r="I2107" s="5" t="str">
        <f>IFERROR(VLOOKUP(Consulta1[[#This Row],[Pozo largo]],'Lista YPF'!$B$3:$C$358,2,FALSE),"NO")</f>
        <v>NO</v>
      </c>
      <c r="J2107" s="5" t="str">
        <f>IFERROR(VLOOKUP(Consulta1[[#This Row],[Pozo]],'Lista Oportunidades'!B:C,2,FALSE),"NO")</f>
        <v>NO</v>
      </c>
      <c r="K2107" s="5">
        <f>IFERROR(VLOOKUP(Consulta1[[#This Row],[Pozo largo]],Controles!B:H,7,FALSE),"NO")</f>
        <v>1.2</v>
      </c>
      <c r="L2107" s="5">
        <f>IFERROR(VLOOKUP(Consulta1[[#This Row],[Pozo largo]],Controles!B:J,9,FALSE),"NO")</f>
        <v>0</v>
      </c>
    </row>
    <row r="2108" spans="2:12" x14ac:dyDescent="0.35">
      <c r="B2108" s="4" t="s">
        <v>4037</v>
      </c>
      <c r="C2108" s="4" t="s">
        <v>7819</v>
      </c>
      <c r="D2108" s="4" t="s">
        <v>5</v>
      </c>
      <c r="E2108" s="4" t="s">
        <v>12</v>
      </c>
      <c r="F2108" s="4" t="s">
        <v>7</v>
      </c>
      <c r="G2108" s="4" t="s">
        <v>13</v>
      </c>
      <c r="H2108" s="4" t="s">
        <v>66</v>
      </c>
      <c r="I2108" s="5" t="str">
        <f>IFERROR(VLOOKUP(Consulta1[[#This Row],[Pozo largo]],'Lista YPF'!$B$3:$C$358,2,FALSE),"NO")</f>
        <v>NO</v>
      </c>
      <c r="J2108" s="5" t="str">
        <f>IFERROR(VLOOKUP(Consulta1[[#This Row],[Pozo]],'Lista Oportunidades'!B:C,2,FALSE),"NO")</f>
        <v>NO</v>
      </c>
      <c r="K2108" s="5">
        <f>IFERROR(VLOOKUP(Consulta1[[#This Row],[Pozo largo]],Controles!B:H,7,FALSE),"NO")</f>
        <v>1.79</v>
      </c>
      <c r="L2108" s="5">
        <f>IFERROR(VLOOKUP(Consulta1[[#This Row],[Pozo largo]],Controles!B:J,9,FALSE),"NO")</f>
        <v>0</v>
      </c>
    </row>
    <row r="2109" spans="2:12" x14ac:dyDescent="0.35">
      <c r="B2109" s="4" t="s">
        <v>4039</v>
      </c>
      <c r="C2109" s="4" t="s">
        <v>7820</v>
      </c>
      <c r="D2109" s="4" t="s">
        <v>5</v>
      </c>
      <c r="E2109" s="4" t="s">
        <v>12</v>
      </c>
      <c r="F2109" s="4" t="s">
        <v>83</v>
      </c>
      <c r="G2109" s="4" t="s">
        <v>13</v>
      </c>
      <c r="H2109" s="4" t="s">
        <v>185</v>
      </c>
      <c r="I2109" s="5" t="str">
        <f>IFERROR(VLOOKUP(Consulta1[[#This Row],[Pozo largo]],'Lista YPF'!$B$3:$C$358,2,FALSE),"NO")</f>
        <v>NO</v>
      </c>
      <c r="J2109" s="5" t="str">
        <f>IFERROR(VLOOKUP(Consulta1[[#This Row],[Pozo]],'Lista Oportunidades'!B:C,2,FALSE),"NO")</f>
        <v>NO</v>
      </c>
      <c r="K2109" s="5">
        <f>IFERROR(VLOOKUP(Consulta1[[#This Row],[Pozo largo]],Controles!B:H,7,FALSE),"NO")</f>
        <v>2.56</v>
      </c>
      <c r="L2109" s="5">
        <f>IFERROR(VLOOKUP(Consulta1[[#This Row],[Pozo largo]],Controles!B:J,9,FALSE),"NO")</f>
        <v>0</v>
      </c>
    </row>
    <row r="2110" spans="2:12" x14ac:dyDescent="0.35">
      <c r="B2110" s="4" t="s">
        <v>4041</v>
      </c>
      <c r="C2110" s="4" t="s">
        <v>7821</v>
      </c>
      <c r="D2110" s="4" t="s">
        <v>5</v>
      </c>
      <c r="E2110" s="4" t="s">
        <v>30</v>
      </c>
      <c r="F2110" s="4" t="s">
        <v>31</v>
      </c>
      <c r="G2110" s="4" t="s">
        <v>32</v>
      </c>
      <c r="H2110" s="4" t="s">
        <v>185</v>
      </c>
      <c r="I2110" s="5" t="str">
        <f>IFERROR(VLOOKUP(Consulta1[[#This Row],[Pozo largo]],'Lista YPF'!$B$3:$C$358,2,FALSE),"NO")</f>
        <v>NO</v>
      </c>
      <c r="J2110" s="5" t="str">
        <f>IFERROR(VLOOKUP(Consulta1[[#This Row],[Pozo]],'Lista Oportunidades'!B:C,2,FALSE),"NO")</f>
        <v>NO</v>
      </c>
      <c r="K2110" s="5">
        <f>IFERROR(VLOOKUP(Consulta1[[#This Row],[Pozo largo]],Controles!B:H,7,FALSE),"NO")</f>
        <v>0</v>
      </c>
      <c r="L2110" s="5">
        <f>IFERROR(VLOOKUP(Consulta1[[#This Row],[Pozo largo]],Controles!B:J,9,FALSE),"NO")</f>
        <v>0</v>
      </c>
    </row>
    <row r="2111" spans="2:12" x14ac:dyDescent="0.35">
      <c r="B2111" s="4" t="s">
        <v>4043</v>
      </c>
      <c r="C2111" s="4" t="s">
        <v>7822</v>
      </c>
      <c r="D2111" s="4" t="s">
        <v>5</v>
      </c>
      <c r="E2111" s="4" t="s">
        <v>12</v>
      </c>
      <c r="F2111" s="4" t="s">
        <v>7</v>
      </c>
      <c r="G2111" s="4" t="s">
        <v>13</v>
      </c>
      <c r="H2111" s="4" t="s">
        <v>141</v>
      </c>
      <c r="I2111" s="5" t="str">
        <f>IFERROR(VLOOKUP(Consulta1[[#This Row],[Pozo largo]],'Lista YPF'!$B$3:$C$358,2,FALSE),"NO")</f>
        <v>NO</v>
      </c>
      <c r="J2111" s="5" t="str">
        <f>IFERROR(VLOOKUP(Consulta1[[#This Row],[Pozo]],'Lista Oportunidades'!B:C,2,FALSE),"NO")</f>
        <v>NO</v>
      </c>
      <c r="K2111" s="5">
        <f>IFERROR(VLOOKUP(Consulta1[[#This Row],[Pozo largo]],Controles!B:H,7,FALSE),"NO")</f>
        <v>1.69</v>
      </c>
      <c r="L2111" s="5">
        <f>IFERROR(VLOOKUP(Consulta1[[#This Row],[Pozo largo]],Controles!B:J,9,FALSE),"NO")</f>
        <v>0</v>
      </c>
    </row>
    <row r="2112" spans="2:12" x14ac:dyDescent="0.35">
      <c r="B2112" s="4" t="s">
        <v>4045</v>
      </c>
      <c r="C2112" s="4" t="s">
        <v>7823</v>
      </c>
      <c r="D2112" s="4" t="s">
        <v>5</v>
      </c>
      <c r="E2112" s="4" t="s">
        <v>12</v>
      </c>
      <c r="F2112" s="4" t="s">
        <v>83</v>
      </c>
      <c r="G2112" s="4" t="s">
        <v>13</v>
      </c>
      <c r="H2112" s="4" t="s">
        <v>16</v>
      </c>
      <c r="I2112" s="5" t="str">
        <f>IFERROR(VLOOKUP(Consulta1[[#This Row],[Pozo largo]],'Lista YPF'!$B$3:$C$358,2,FALSE),"NO")</f>
        <v>NO</v>
      </c>
      <c r="J2112" s="5" t="str">
        <f>IFERROR(VLOOKUP(Consulta1[[#This Row],[Pozo]],'Lista Oportunidades'!B:C,2,FALSE),"NO")</f>
        <v>NO</v>
      </c>
      <c r="K2112" s="5">
        <f>IFERROR(VLOOKUP(Consulta1[[#This Row],[Pozo largo]],Controles!B:H,7,FALSE),"NO")</f>
        <v>3.12</v>
      </c>
      <c r="L2112" s="5">
        <f>IFERROR(VLOOKUP(Consulta1[[#This Row],[Pozo largo]],Controles!B:J,9,FALSE),"NO")</f>
        <v>0</v>
      </c>
    </row>
    <row r="2113" spans="2:12" x14ac:dyDescent="0.35">
      <c r="B2113" s="4" t="s">
        <v>4047</v>
      </c>
      <c r="C2113" s="4" t="s">
        <v>7824</v>
      </c>
      <c r="D2113" s="4" t="s">
        <v>5</v>
      </c>
      <c r="E2113" s="4" t="s">
        <v>2931</v>
      </c>
      <c r="F2113" s="4" t="s">
        <v>31</v>
      </c>
      <c r="G2113" s="4" t="s">
        <v>5718</v>
      </c>
      <c r="H2113" s="4" t="s">
        <v>185</v>
      </c>
      <c r="I2113" s="5" t="str">
        <f>IFERROR(VLOOKUP(Consulta1[[#This Row],[Pozo largo]],'Lista YPF'!$B$3:$C$358,2,FALSE),"NO")</f>
        <v>En lista de Abandono</v>
      </c>
      <c r="J2113" s="5" t="str">
        <f>IFERROR(VLOOKUP(Consulta1[[#This Row],[Pozo]],'Lista Oportunidades'!B:C,2,FALSE),"NO")</f>
        <v>NO</v>
      </c>
      <c r="K2113" s="5">
        <f>IFERROR(VLOOKUP(Consulta1[[#This Row],[Pozo largo]],Controles!B:H,7,FALSE),"NO")</f>
        <v>0</v>
      </c>
      <c r="L2113" s="5">
        <f>IFERROR(VLOOKUP(Consulta1[[#This Row],[Pozo largo]],Controles!B:J,9,FALSE),"NO")</f>
        <v>0</v>
      </c>
    </row>
    <row r="2114" spans="2:12" x14ac:dyDescent="0.35">
      <c r="B2114" s="4" t="s">
        <v>4049</v>
      </c>
      <c r="C2114" s="4" t="s">
        <v>7825</v>
      </c>
      <c r="D2114" s="4" t="s">
        <v>5</v>
      </c>
      <c r="E2114" s="4" t="s">
        <v>30</v>
      </c>
      <c r="F2114" s="4" t="s">
        <v>31</v>
      </c>
      <c r="G2114" s="4" t="s">
        <v>32</v>
      </c>
      <c r="H2114" s="4" t="s">
        <v>149</v>
      </c>
      <c r="I2114" s="5" t="str">
        <f>IFERROR(VLOOKUP(Consulta1[[#This Row],[Pozo largo]],'Lista YPF'!$B$3:$C$358,2,FALSE),"NO")</f>
        <v>NO</v>
      </c>
      <c r="J2114" s="5" t="str">
        <f>IFERROR(VLOOKUP(Consulta1[[#This Row],[Pozo]],'Lista Oportunidades'!B:C,2,FALSE),"NO")</f>
        <v>NO</v>
      </c>
      <c r="K2114" s="5">
        <f>IFERROR(VLOOKUP(Consulta1[[#This Row],[Pozo largo]],Controles!B:H,7,FALSE),"NO")</f>
        <v>0</v>
      </c>
      <c r="L2114" s="5">
        <f>IFERROR(VLOOKUP(Consulta1[[#This Row],[Pozo largo]],Controles!B:J,9,FALSE),"NO")</f>
        <v>0</v>
      </c>
    </row>
    <row r="2115" spans="2:12" x14ac:dyDescent="0.35">
      <c r="B2115" s="4" t="s">
        <v>4051</v>
      </c>
      <c r="C2115" s="4" t="s">
        <v>7826</v>
      </c>
      <c r="D2115" s="4" t="s">
        <v>5</v>
      </c>
      <c r="E2115" s="4" t="s">
        <v>12</v>
      </c>
      <c r="F2115" s="4" t="s">
        <v>28</v>
      </c>
      <c r="G2115" s="4" t="s">
        <v>13</v>
      </c>
      <c r="H2115" s="4" t="s">
        <v>71</v>
      </c>
      <c r="I2115" s="5" t="str">
        <f>IFERROR(VLOOKUP(Consulta1[[#This Row],[Pozo largo]],'Lista YPF'!$B$3:$C$358,2,FALSE),"NO")</f>
        <v>NO</v>
      </c>
      <c r="J2115" s="5" t="str">
        <f>IFERROR(VLOOKUP(Consulta1[[#This Row],[Pozo]],'Lista Oportunidades'!B:C,2,FALSE),"NO")</f>
        <v>NO</v>
      </c>
      <c r="K2115" s="5">
        <f>IFERROR(VLOOKUP(Consulta1[[#This Row],[Pozo largo]],Controles!B:H,7,FALSE),"NO")</f>
        <v>0</v>
      </c>
      <c r="L2115" s="5">
        <f>IFERROR(VLOOKUP(Consulta1[[#This Row],[Pozo largo]],Controles!B:J,9,FALSE),"NO")</f>
        <v>0</v>
      </c>
    </row>
    <row r="2116" spans="2:12" x14ac:dyDescent="0.35">
      <c r="B2116" s="4" t="s">
        <v>4053</v>
      </c>
      <c r="C2116" s="4" t="s">
        <v>7827</v>
      </c>
      <c r="D2116" s="4" t="s">
        <v>5</v>
      </c>
      <c r="E2116" s="4" t="s">
        <v>12</v>
      </c>
      <c r="F2116" s="4" t="s">
        <v>28</v>
      </c>
      <c r="G2116" s="4" t="s">
        <v>13</v>
      </c>
      <c r="H2116" s="4" t="s">
        <v>71</v>
      </c>
      <c r="I2116" s="5" t="str">
        <f>IFERROR(VLOOKUP(Consulta1[[#This Row],[Pozo largo]],'Lista YPF'!$B$3:$C$358,2,FALSE),"NO")</f>
        <v>NO</v>
      </c>
      <c r="J2116" s="5" t="str">
        <f>IFERROR(VLOOKUP(Consulta1[[#This Row],[Pozo]],'Lista Oportunidades'!B:C,2,FALSE),"NO")</f>
        <v>NO</v>
      </c>
      <c r="K2116" s="5">
        <f>IFERROR(VLOOKUP(Consulta1[[#This Row],[Pozo largo]],Controles!B:H,7,FALSE),"NO")</f>
        <v>0</v>
      </c>
      <c r="L2116" s="5">
        <f>IFERROR(VLOOKUP(Consulta1[[#This Row],[Pozo largo]],Controles!B:J,9,FALSE),"NO")</f>
        <v>0</v>
      </c>
    </row>
    <row r="2117" spans="2:12" x14ac:dyDescent="0.35">
      <c r="B2117" s="4" t="s">
        <v>4055</v>
      </c>
      <c r="C2117" s="4" t="s">
        <v>7828</v>
      </c>
      <c r="D2117" s="4" t="s">
        <v>5</v>
      </c>
      <c r="E2117" s="4" t="s">
        <v>12</v>
      </c>
      <c r="F2117" s="4" t="s">
        <v>238</v>
      </c>
      <c r="G2117" s="4" t="s">
        <v>13</v>
      </c>
      <c r="H2117" s="4" t="s">
        <v>71</v>
      </c>
      <c r="I2117" s="5" t="str">
        <f>IFERROR(VLOOKUP(Consulta1[[#This Row],[Pozo largo]],'Lista YPF'!$B$3:$C$358,2,FALSE),"NO")</f>
        <v>NO</v>
      </c>
      <c r="J2117" s="5" t="str">
        <f>IFERROR(VLOOKUP(Consulta1[[#This Row],[Pozo]],'Lista Oportunidades'!B:C,2,FALSE),"NO")</f>
        <v>NO</v>
      </c>
      <c r="K2117" s="5">
        <f>IFERROR(VLOOKUP(Consulta1[[#This Row],[Pozo largo]],Controles!B:H,7,FALSE),"NO")</f>
        <v>1.76</v>
      </c>
      <c r="L2117" s="5">
        <f>IFERROR(VLOOKUP(Consulta1[[#This Row],[Pozo largo]],Controles!B:J,9,FALSE),"NO")</f>
        <v>0</v>
      </c>
    </row>
    <row r="2118" spans="2:12" x14ac:dyDescent="0.35">
      <c r="B2118" s="4" t="s">
        <v>4057</v>
      </c>
      <c r="C2118" s="4" t="s">
        <v>7829</v>
      </c>
      <c r="D2118" s="4" t="s">
        <v>5</v>
      </c>
      <c r="E2118" s="4" t="s">
        <v>12</v>
      </c>
      <c r="F2118" s="4" t="s">
        <v>238</v>
      </c>
      <c r="G2118" s="4" t="s">
        <v>13</v>
      </c>
      <c r="H2118" s="4" t="s">
        <v>185</v>
      </c>
      <c r="I2118" s="5" t="str">
        <f>IFERROR(VLOOKUP(Consulta1[[#This Row],[Pozo largo]],'Lista YPF'!$B$3:$C$358,2,FALSE),"NO")</f>
        <v>NO</v>
      </c>
      <c r="J2118" s="5" t="str">
        <f>IFERROR(VLOOKUP(Consulta1[[#This Row],[Pozo]],'Lista Oportunidades'!B:C,2,FALSE),"NO")</f>
        <v>NO</v>
      </c>
      <c r="K2118" s="5">
        <f>IFERROR(VLOOKUP(Consulta1[[#This Row],[Pozo largo]],Controles!B:H,7,FALSE),"NO")</f>
        <v>1.58</v>
      </c>
      <c r="L2118" s="5">
        <f>IFERROR(VLOOKUP(Consulta1[[#This Row],[Pozo largo]],Controles!B:J,9,FALSE),"NO")</f>
        <v>0</v>
      </c>
    </row>
    <row r="2119" spans="2:12" x14ac:dyDescent="0.35">
      <c r="B2119" s="4" t="s">
        <v>4059</v>
      </c>
      <c r="C2119" s="4" t="s">
        <v>7830</v>
      </c>
      <c r="D2119" s="4" t="s">
        <v>5</v>
      </c>
      <c r="E2119" s="4" t="s">
        <v>12</v>
      </c>
      <c r="F2119" s="4" t="s">
        <v>7</v>
      </c>
      <c r="G2119" s="4" t="s">
        <v>13</v>
      </c>
      <c r="H2119" s="4" t="s">
        <v>86</v>
      </c>
      <c r="I2119" s="5" t="str">
        <f>IFERROR(VLOOKUP(Consulta1[[#This Row],[Pozo largo]],'Lista YPF'!$B$3:$C$358,2,FALSE),"NO")</f>
        <v>NO</v>
      </c>
      <c r="J2119" s="5" t="str">
        <f>IFERROR(VLOOKUP(Consulta1[[#This Row],[Pozo]],'Lista Oportunidades'!B:C,2,FALSE),"NO")</f>
        <v>NO</v>
      </c>
      <c r="K2119" s="5">
        <f>IFERROR(VLOOKUP(Consulta1[[#This Row],[Pozo largo]],Controles!B:H,7,FALSE),"NO")</f>
        <v>1.4000000000000001</v>
      </c>
      <c r="L2119" s="5">
        <f>IFERROR(VLOOKUP(Consulta1[[#This Row],[Pozo largo]],Controles!B:J,9,FALSE),"NO")</f>
        <v>0</v>
      </c>
    </row>
    <row r="2120" spans="2:12" x14ac:dyDescent="0.35">
      <c r="B2120" s="4" t="s">
        <v>4061</v>
      </c>
      <c r="C2120" s="4" t="s">
        <v>7831</v>
      </c>
      <c r="D2120" s="4" t="s">
        <v>5</v>
      </c>
      <c r="E2120" s="4" t="s">
        <v>12</v>
      </c>
      <c r="F2120" s="4" t="s">
        <v>28</v>
      </c>
      <c r="G2120" s="4" t="s">
        <v>13</v>
      </c>
      <c r="H2120" s="4" t="s">
        <v>185</v>
      </c>
      <c r="I2120" s="5" t="str">
        <f>IFERROR(VLOOKUP(Consulta1[[#This Row],[Pozo largo]],'Lista YPF'!$B$3:$C$358,2,FALSE),"NO")</f>
        <v>NO</v>
      </c>
      <c r="J2120" s="5" t="str">
        <f>IFERROR(VLOOKUP(Consulta1[[#This Row],[Pozo]],'Lista Oportunidades'!B:C,2,FALSE),"NO")</f>
        <v>NO</v>
      </c>
      <c r="K2120" s="5">
        <f>IFERROR(VLOOKUP(Consulta1[[#This Row],[Pozo largo]],Controles!B:H,7,FALSE),"NO")</f>
        <v>0</v>
      </c>
      <c r="L2120" s="5">
        <f>IFERROR(VLOOKUP(Consulta1[[#This Row],[Pozo largo]],Controles!B:J,9,FALSE),"NO")</f>
        <v>0</v>
      </c>
    </row>
    <row r="2121" spans="2:12" x14ac:dyDescent="0.35">
      <c r="B2121" s="4" t="s">
        <v>4063</v>
      </c>
      <c r="C2121" s="4" t="s">
        <v>7832</v>
      </c>
      <c r="D2121" s="4" t="s">
        <v>5</v>
      </c>
      <c r="E2121" s="4" t="s">
        <v>12</v>
      </c>
      <c r="F2121" s="4" t="s">
        <v>28</v>
      </c>
      <c r="G2121" s="4" t="s">
        <v>13</v>
      </c>
      <c r="H2121" s="4" t="s">
        <v>185</v>
      </c>
      <c r="I2121" s="5" t="str">
        <f>IFERROR(VLOOKUP(Consulta1[[#This Row],[Pozo largo]],'Lista YPF'!$B$3:$C$358,2,FALSE),"NO")</f>
        <v>NO</v>
      </c>
      <c r="J2121" s="5" t="str">
        <f>IFERROR(VLOOKUP(Consulta1[[#This Row],[Pozo]],'Lista Oportunidades'!B:C,2,FALSE),"NO")</f>
        <v>NO</v>
      </c>
      <c r="K2121" s="5">
        <f>IFERROR(VLOOKUP(Consulta1[[#This Row],[Pozo largo]],Controles!B:H,7,FALSE),"NO")</f>
        <v>0</v>
      </c>
      <c r="L2121" s="5">
        <f>IFERROR(VLOOKUP(Consulta1[[#This Row],[Pozo largo]],Controles!B:J,9,FALSE),"NO")</f>
        <v>0</v>
      </c>
    </row>
    <row r="2122" spans="2:12" x14ac:dyDescent="0.35">
      <c r="B2122" s="4" t="s">
        <v>4065</v>
      </c>
      <c r="C2122" s="4" t="s">
        <v>7833</v>
      </c>
      <c r="D2122" s="4" t="s">
        <v>5</v>
      </c>
      <c r="E2122" s="4" t="s">
        <v>12</v>
      </c>
      <c r="F2122" s="4" t="s">
        <v>7</v>
      </c>
      <c r="G2122" s="4" t="s">
        <v>13</v>
      </c>
      <c r="H2122" s="4" t="s">
        <v>86</v>
      </c>
      <c r="I2122" s="5" t="str">
        <f>IFERROR(VLOOKUP(Consulta1[[#This Row],[Pozo largo]],'Lista YPF'!$B$3:$C$358,2,FALSE),"NO")</f>
        <v>NO</v>
      </c>
      <c r="J2122" s="5" t="str">
        <f>IFERROR(VLOOKUP(Consulta1[[#This Row],[Pozo]],'Lista Oportunidades'!B:C,2,FALSE),"NO")</f>
        <v>NO</v>
      </c>
      <c r="K2122" s="5">
        <f>IFERROR(VLOOKUP(Consulta1[[#This Row],[Pozo largo]],Controles!B:H,7,FALSE),"NO")</f>
        <v>0.19600000000000001</v>
      </c>
      <c r="L2122" s="5">
        <f>IFERROR(VLOOKUP(Consulta1[[#This Row],[Pozo largo]],Controles!B:J,9,FALSE),"NO")</f>
        <v>0</v>
      </c>
    </row>
    <row r="2123" spans="2:12" x14ac:dyDescent="0.35">
      <c r="B2123" s="4" t="s">
        <v>4067</v>
      </c>
      <c r="C2123" s="4" t="s">
        <v>7834</v>
      </c>
      <c r="D2123" s="4" t="s">
        <v>5</v>
      </c>
      <c r="E2123" s="4" t="s">
        <v>12</v>
      </c>
      <c r="F2123" s="4" t="s">
        <v>7</v>
      </c>
      <c r="G2123" s="4" t="s">
        <v>13</v>
      </c>
      <c r="H2123" s="4" t="s">
        <v>33</v>
      </c>
      <c r="I2123" s="5" t="str">
        <f>IFERROR(VLOOKUP(Consulta1[[#This Row],[Pozo largo]],'Lista YPF'!$B$3:$C$358,2,FALSE),"NO")</f>
        <v>NO</v>
      </c>
      <c r="J2123" s="5" t="str">
        <f>IFERROR(VLOOKUP(Consulta1[[#This Row],[Pozo]],'Lista Oportunidades'!B:C,2,FALSE),"NO")</f>
        <v>NO</v>
      </c>
      <c r="K2123" s="5">
        <f>IFERROR(VLOOKUP(Consulta1[[#This Row],[Pozo largo]],Controles!B:H,7,FALSE),"NO")</f>
        <v>0.14600000000000002</v>
      </c>
      <c r="L2123" s="5">
        <f>IFERROR(VLOOKUP(Consulta1[[#This Row],[Pozo largo]],Controles!B:J,9,FALSE),"NO")</f>
        <v>0</v>
      </c>
    </row>
    <row r="2124" spans="2:12" x14ac:dyDescent="0.35">
      <c r="B2124" s="4" t="s">
        <v>4069</v>
      </c>
      <c r="C2124" s="4" t="s">
        <v>7835</v>
      </c>
      <c r="D2124" s="4" t="s">
        <v>5</v>
      </c>
      <c r="E2124" s="4" t="s">
        <v>12</v>
      </c>
      <c r="F2124" s="4" t="s">
        <v>238</v>
      </c>
      <c r="G2124" s="4" t="s">
        <v>13</v>
      </c>
      <c r="H2124" s="4" t="s">
        <v>185</v>
      </c>
      <c r="I2124" s="5" t="str">
        <f>IFERROR(VLOOKUP(Consulta1[[#This Row],[Pozo largo]],'Lista YPF'!$B$3:$C$358,2,FALSE),"NO")</f>
        <v>NO</v>
      </c>
      <c r="J2124" s="5" t="str">
        <f>IFERROR(VLOOKUP(Consulta1[[#This Row],[Pozo]],'Lista Oportunidades'!B:C,2,FALSE),"NO")</f>
        <v>NO</v>
      </c>
      <c r="K2124" s="5">
        <f>IFERROR(VLOOKUP(Consulta1[[#This Row],[Pozo largo]],Controles!B:H,7,FALSE),"NO")</f>
        <v>1.56</v>
      </c>
      <c r="L2124" s="5">
        <f>IFERROR(VLOOKUP(Consulta1[[#This Row],[Pozo largo]],Controles!B:J,9,FALSE),"NO")</f>
        <v>0</v>
      </c>
    </row>
    <row r="2125" spans="2:12" x14ac:dyDescent="0.35">
      <c r="B2125" s="4" t="s">
        <v>4071</v>
      </c>
      <c r="C2125" s="4" t="s">
        <v>7836</v>
      </c>
      <c r="D2125" s="4" t="s">
        <v>5</v>
      </c>
      <c r="E2125" s="4" t="s">
        <v>12</v>
      </c>
      <c r="F2125" s="4" t="s">
        <v>7</v>
      </c>
      <c r="G2125" s="4" t="s">
        <v>13</v>
      </c>
      <c r="H2125" s="4" t="s">
        <v>9</v>
      </c>
      <c r="I2125" s="5" t="str">
        <f>IFERROR(VLOOKUP(Consulta1[[#This Row],[Pozo largo]],'Lista YPF'!$B$3:$C$358,2,FALSE),"NO")</f>
        <v>NO</v>
      </c>
      <c r="J2125" s="5" t="str">
        <f>IFERROR(VLOOKUP(Consulta1[[#This Row],[Pozo]],'Lista Oportunidades'!B:C,2,FALSE),"NO")</f>
        <v>NO</v>
      </c>
      <c r="K2125" s="5">
        <f>IFERROR(VLOOKUP(Consulta1[[#This Row],[Pozo largo]],Controles!B:H,7,FALSE),"NO")</f>
        <v>0.8</v>
      </c>
      <c r="L2125" s="5">
        <f>IFERROR(VLOOKUP(Consulta1[[#This Row],[Pozo largo]],Controles!B:J,9,FALSE),"NO")</f>
        <v>0</v>
      </c>
    </row>
    <row r="2126" spans="2:12" x14ac:dyDescent="0.35">
      <c r="B2126" s="4" t="s">
        <v>4073</v>
      </c>
      <c r="C2126" s="4" t="s">
        <v>7837</v>
      </c>
      <c r="D2126" s="4" t="s">
        <v>5</v>
      </c>
      <c r="E2126" s="4" t="s">
        <v>12</v>
      </c>
      <c r="F2126" s="4" t="s">
        <v>7</v>
      </c>
      <c r="G2126" s="4" t="s">
        <v>13</v>
      </c>
      <c r="H2126" s="4" t="s">
        <v>33</v>
      </c>
      <c r="I2126" s="5" t="str">
        <f>IFERROR(VLOOKUP(Consulta1[[#This Row],[Pozo largo]],'Lista YPF'!$B$3:$C$358,2,FALSE),"NO")</f>
        <v>NO</v>
      </c>
      <c r="J2126" s="5" t="str">
        <f>IFERROR(VLOOKUP(Consulta1[[#This Row],[Pozo]],'Lista Oportunidades'!B:C,2,FALSE),"NO")</f>
        <v>NO</v>
      </c>
      <c r="K2126" s="5">
        <f>IFERROR(VLOOKUP(Consulta1[[#This Row],[Pozo largo]],Controles!B:H,7,FALSE),"NO")</f>
        <v>0.79</v>
      </c>
      <c r="L2126" s="5">
        <f>IFERROR(VLOOKUP(Consulta1[[#This Row],[Pozo largo]],Controles!B:J,9,FALSE),"NO")</f>
        <v>0</v>
      </c>
    </row>
    <row r="2127" spans="2:12" x14ac:dyDescent="0.35">
      <c r="B2127" s="4" t="s">
        <v>4075</v>
      </c>
      <c r="C2127" s="4" t="s">
        <v>7838</v>
      </c>
      <c r="D2127" s="4" t="s">
        <v>5</v>
      </c>
      <c r="E2127" s="4" t="s">
        <v>57</v>
      </c>
      <c r="F2127" s="4" t="s">
        <v>7</v>
      </c>
      <c r="G2127" s="4" t="s">
        <v>5718</v>
      </c>
      <c r="H2127" s="4" t="s">
        <v>36</v>
      </c>
      <c r="I2127" s="5" t="str">
        <f>IFERROR(VLOOKUP(Consulta1[[#This Row],[Pozo largo]],'Lista YPF'!$B$3:$C$358,2,FALSE),"NO")</f>
        <v>En lista de Abandono</v>
      </c>
      <c r="J2127" s="5" t="str">
        <f>IFERROR(VLOOKUP(Consulta1[[#This Row],[Pozo]],'Lista Oportunidades'!B:C,2,FALSE),"NO")</f>
        <v>NO</v>
      </c>
      <c r="K2127" s="5">
        <f>IFERROR(VLOOKUP(Consulta1[[#This Row],[Pozo largo]],Controles!B:H,7,FALSE),"NO")</f>
        <v>6.0000000000000001E-3</v>
      </c>
      <c r="L2127" s="5">
        <f>IFERROR(VLOOKUP(Consulta1[[#This Row],[Pozo largo]],Controles!B:J,9,FALSE),"NO")</f>
        <v>0</v>
      </c>
    </row>
    <row r="2128" spans="2:12" x14ac:dyDescent="0.35">
      <c r="B2128" s="4" t="s">
        <v>4077</v>
      </c>
      <c r="C2128" s="4" t="s">
        <v>4078</v>
      </c>
      <c r="D2128" s="4" t="s">
        <v>5</v>
      </c>
      <c r="E2128" s="4" t="s">
        <v>12</v>
      </c>
      <c r="F2128" s="4" t="s">
        <v>7</v>
      </c>
      <c r="G2128" s="4" t="s">
        <v>13</v>
      </c>
      <c r="H2128" s="4" t="s">
        <v>66</v>
      </c>
      <c r="I2128" s="5" t="str">
        <f>IFERROR(VLOOKUP(Consulta1[[#This Row],[Pozo largo]],'Lista YPF'!$B$3:$C$358,2,FALSE),"NO")</f>
        <v>NO</v>
      </c>
      <c r="J2128" s="5" t="str">
        <f>IFERROR(VLOOKUP(Consulta1[[#This Row],[Pozo]],'Lista Oportunidades'!B:C,2,FALSE),"NO")</f>
        <v>NO</v>
      </c>
      <c r="K2128" s="5">
        <f>IFERROR(VLOOKUP(Consulta1[[#This Row],[Pozo largo]],Controles!B:H,7,FALSE),"NO")</f>
        <v>1.9020000000000001</v>
      </c>
      <c r="L2128" s="5">
        <f>IFERROR(VLOOKUP(Consulta1[[#This Row],[Pozo largo]],Controles!B:J,9,FALSE),"NO")</f>
        <v>0</v>
      </c>
    </row>
    <row r="2129" spans="2:12" x14ac:dyDescent="0.35">
      <c r="B2129" s="4" t="s">
        <v>4079</v>
      </c>
      <c r="C2129" s="4" t="s">
        <v>7839</v>
      </c>
      <c r="D2129" s="4" t="s">
        <v>5</v>
      </c>
      <c r="E2129" s="4" t="s">
        <v>30</v>
      </c>
      <c r="F2129" s="4" t="s">
        <v>31</v>
      </c>
      <c r="G2129" s="4" t="s">
        <v>32</v>
      </c>
      <c r="H2129" s="4" t="s">
        <v>36</v>
      </c>
      <c r="I2129" s="5" t="str">
        <f>IFERROR(VLOOKUP(Consulta1[[#This Row],[Pozo largo]],'Lista YPF'!$B$3:$C$358,2,FALSE),"NO")</f>
        <v>NO</v>
      </c>
      <c r="J2129" s="5" t="str">
        <f>IFERROR(VLOOKUP(Consulta1[[#This Row],[Pozo]],'Lista Oportunidades'!B:C,2,FALSE),"NO")</f>
        <v>NO</v>
      </c>
      <c r="K2129" s="5" t="str">
        <f>IFERROR(VLOOKUP(Consulta1[[#This Row],[Pozo largo]],Controles!B:H,7,FALSE),"NO")</f>
        <v>NO</v>
      </c>
      <c r="L2129" s="5" t="str">
        <f>IFERROR(VLOOKUP(Consulta1[[#This Row],[Pozo largo]],Controles!B:J,9,FALSE),"NO")</f>
        <v>NO</v>
      </c>
    </row>
    <row r="2130" spans="2:12" x14ac:dyDescent="0.35">
      <c r="B2130" s="4" t="s">
        <v>4080</v>
      </c>
      <c r="C2130" s="4" t="s">
        <v>7840</v>
      </c>
      <c r="D2130" s="4" t="s">
        <v>5</v>
      </c>
      <c r="E2130" s="4" t="s">
        <v>30</v>
      </c>
      <c r="F2130" s="4" t="s">
        <v>31</v>
      </c>
      <c r="G2130" s="4" t="s">
        <v>32</v>
      </c>
      <c r="H2130" s="4" t="s">
        <v>71</v>
      </c>
      <c r="I2130" s="5" t="str">
        <f>IFERROR(VLOOKUP(Consulta1[[#This Row],[Pozo largo]],'Lista YPF'!$B$3:$C$358,2,FALSE),"NO")</f>
        <v>NO</v>
      </c>
      <c r="J2130" s="5" t="str">
        <f>IFERROR(VLOOKUP(Consulta1[[#This Row],[Pozo]],'Lista Oportunidades'!B:C,2,FALSE),"NO")</f>
        <v>NO</v>
      </c>
      <c r="K2130" s="5" t="str">
        <f>IFERROR(VLOOKUP(Consulta1[[#This Row],[Pozo largo]],Controles!B:H,7,FALSE),"NO")</f>
        <v>NO</v>
      </c>
      <c r="L2130" s="5" t="str">
        <f>IFERROR(VLOOKUP(Consulta1[[#This Row],[Pozo largo]],Controles!B:J,9,FALSE),"NO")</f>
        <v>NO</v>
      </c>
    </row>
    <row r="2131" spans="2:12" x14ac:dyDescent="0.35">
      <c r="B2131" s="4" t="s">
        <v>4081</v>
      </c>
      <c r="C2131" s="4" t="s">
        <v>7841</v>
      </c>
      <c r="D2131" s="4" t="s">
        <v>5</v>
      </c>
      <c r="E2131" s="4" t="s">
        <v>30</v>
      </c>
      <c r="F2131" s="4" t="s">
        <v>31</v>
      </c>
      <c r="G2131" s="4" t="s">
        <v>32</v>
      </c>
      <c r="H2131" s="4" t="s">
        <v>254</v>
      </c>
      <c r="I2131" s="5" t="str">
        <f>IFERROR(VLOOKUP(Consulta1[[#This Row],[Pozo largo]],'Lista YPF'!$B$3:$C$358,2,FALSE),"NO")</f>
        <v>NO</v>
      </c>
      <c r="J2131" s="5" t="str">
        <f>IFERROR(VLOOKUP(Consulta1[[#This Row],[Pozo]],'Lista Oportunidades'!B:C,2,FALSE),"NO")</f>
        <v>NO</v>
      </c>
      <c r="K2131" s="5">
        <f>IFERROR(VLOOKUP(Consulta1[[#This Row],[Pozo largo]],Controles!B:H,7,FALSE),"NO")</f>
        <v>0.35000000000000003</v>
      </c>
      <c r="L2131" s="5">
        <f>IFERROR(VLOOKUP(Consulta1[[#This Row],[Pozo largo]],Controles!B:J,9,FALSE),"NO")</f>
        <v>0</v>
      </c>
    </row>
    <row r="2132" spans="2:12" x14ac:dyDescent="0.35">
      <c r="B2132" s="4" t="s">
        <v>4083</v>
      </c>
      <c r="C2132" s="4" t="s">
        <v>7842</v>
      </c>
      <c r="D2132" s="4" t="s">
        <v>5</v>
      </c>
      <c r="E2132" s="4" t="s">
        <v>30</v>
      </c>
      <c r="F2132" s="4" t="s">
        <v>31</v>
      </c>
      <c r="G2132" s="4" t="s">
        <v>32</v>
      </c>
      <c r="H2132" s="4" t="s">
        <v>185</v>
      </c>
      <c r="I2132" s="5" t="str">
        <f>IFERROR(VLOOKUP(Consulta1[[#This Row],[Pozo largo]],'Lista YPF'!$B$3:$C$358,2,FALSE),"NO")</f>
        <v>NO</v>
      </c>
      <c r="J2132" s="5" t="str">
        <f>IFERROR(VLOOKUP(Consulta1[[#This Row],[Pozo]],'Lista Oportunidades'!B:C,2,FALSE),"NO")</f>
        <v>NO</v>
      </c>
      <c r="K2132" s="5" t="str">
        <f>IFERROR(VLOOKUP(Consulta1[[#This Row],[Pozo largo]],Controles!B:H,7,FALSE),"NO")</f>
        <v>NO</v>
      </c>
      <c r="L2132" s="5" t="str">
        <f>IFERROR(VLOOKUP(Consulta1[[#This Row],[Pozo largo]],Controles!B:J,9,FALSE),"NO")</f>
        <v>NO</v>
      </c>
    </row>
    <row r="2133" spans="2:12" x14ac:dyDescent="0.35">
      <c r="B2133" s="4" t="s">
        <v>4084</v>
      </c>
      <c r="C2133" s="4" t="s">
        <v>7843</v>
      </c>
      <c r="D2133" s="4" t="s">
        <v>5</v>
      </c>
      <c r="E2133" s="4" t="s">
        <v>12</v>
      </c>
      <c r="F2133" s="4" t="s">
        <v>7</v>
      </c>
      <c r="G2133" s="4" t="s">
        <v>13</v>
      </c>
      <c r="H2133" s="4" t="s">
        <v>86</v>
      </c>
      <c r="I2133" s="5" t="str">
        <f>IFERROR(VLOOKUP(Consulta1[[#This Row],[Pozo largo]],'Lista YPF'!$B$3:$C$358,2,FALSE),"NO")</f>
        <v>NO</v>
      </c>
      <c r="J2133" s="5" t="str">
        <f>IFERROR(VLOOKUP(Consulta1[[#This Row],[Pozo]],'Lista Oportunidades'!B:C,2,FALSE),"NO")</f>
        <v>NO</v>
      </c>
      <c r="K2133" s="5">
        <f>IFERROR(VLOOKUP(Consulta1[[#This Row],[Pozo largo]],Controles!B:H,7,FALSE),"NO")</f>
        <v>0.81400000000000006</v>
      </c>
      <c r="L2133" s="5">
        <f>IFERROR(VLOOKUP(Consulta1[[#This Row],[Pozo largo]],Controles!B:J,9,FALSE),"NO")</f>
        <v>0</v>
      </c>
    </row>
    <row r="2134" spans="2:12" x14ac:dyDescent="0.35">
      <c r="B2134" s="4" t="s">
        <v>4086</v>
      </c>
      <c r="C2134" s="4" t="s">
        <v>7844</v>
      </c>
      <c r="D2134" s="4" t="s">
        <v>5</v>
      </c>
      <c r="E2134" s="4" t="s">
        <v>24</v>
      </c>
      <c r="F2134" s="4" t="s">
        <v>25</v>
      </c>
      <c r="G2134" s="4" t="s">
        <v>8</v>
      </c>
      <c r="H2134" s="4" t="s">
        <v>86</v>
      </c>
      <c r="I2134" s="5" t="str">
        <f>IFERROR(VLOOKUP(Consulta1[[#This Row],[Pozo largo]],'Lista YPF'!$B$3:$C$358,2,FALSE),"NO")</f>
        <v>NO</v>
      </c>
      <c r="J2134" s="5" t="str">
        <f>IFERROR(VLOOKUP(Consulta1[[#This Row],[Pozo]],'Lista Oportunidades'!B:C,2,FALSE),"NO")</f>
        <v>NO</v>
      </c>
      <c r="K2134" s="5">
        <f>IFERROR(VLOOKUP(Consulta1[[#This Row],[Pozo largo]],Controles!B:H,7,FALSE),"NO")</f>
        <v>0</v>
      </c>
      <c r="L2134" s="5">
        <f>IFERROR(VLOOKUP(Consulta1[[#This Row],[Pozo largo]],Controles!B:J,9,FALSE),"NO")</f>
        <v>0</v>
      </c>
    </row>
    <row r="2135" spans="2:12" x14ac:dyDescent="0.35">
      <c r="B2135" s="4" t="s">
        <v>4088</v>
      </c>
      <c r="C2135" s="4" t="s">
        <v>7845</v>
      </c>
      <c r="D2135" s="4" t="s">
        <v>5</v>
      </c>
      <c r="E2135" s="4" t="s">
        <v>12</v>
      </c>
      <c r="F2135" s="4" t="s">
        <v>7</v>
      </c>
      <c r="G2135" s="4" t="s">
        <v>13</v>
      </c>
      <c r="H2135" s="4" t="s">
        <v>21</v>
      </c>
      <c r="I2135" s="5" t="str">
        <f>IFERROR(VLOOKUP(Consulta1[[#This Row],[Pozo largo]],'Lista YPF'!$B$3:$C$358,2,FALSE),"NO")</f>
        <v>NO</v>
      </c>
      <c r="J2135" s="5" t="str">
        <f>IFERROR(VLOOKUP(Consulta1[[#This Row],[Pozo]],'Lista Oportunidades'!B:C,2,FALSE),"NO")</f>
        <v>NO</v>
      </c>
      <c r="K2135" s="5">
        <f>IFERROR(VLOOKUP(Consulta1[[#This Row],[Pozo largo]],Controles!B:H,7,FALSE),"NO")</f>
        <v>5.44</v>
      </c>
      <c r="L2135" s="5">
        <f>IFERROR(VLOOKUP(Consulta1[[#This Row],[Pozo largo]],Controles!B:J,9,FALSE),"NO")</f>
        <v>0</v>
      </c>
    </row>
    <row r="2136" spans="2:12" x14ac:dyDescent="0.35">
      <c r="B2136" s="4" t="s">
        <v>4090</v>
      </c>
      <c r="C2136" s="4" t="s">
        <v>7846</v>
      </c>
      <c r="D2136" s="4" t="s">
        <v>5</v>
      </c>
      <c r="E2136" s="4" t="s">
        <v>30</v>
      </c>
      <c r="F2136" s="4" t="s">
        <v>31</v>
      </c>
      <c r="G2136" s="4" t="s">
        <v>32</v>
      </c>
      <c r="H2136" s="4" t="s">
        <v>80</v>
      </c>
      <c r="I2136" s="5" t="str">
        <f>IFERROR(VLOOKUP(Consulta1[[#This Row],[Pozo largo]],'Lista YPF'!$B$3:$C$358,2,FALSE),"NO")</f>
        <v>NO</v>
      </c>
      <c r="J2136" s="5" t="str">
        <f>IFERROR(VLOOKUP(Consulta1[[#This Row],[Pozo]],'Lista Oportunidades'!B:C,2,FALSE),"NO")</f>
        <v>NO</v>
      </c>
      <c r="K2136" s="5">
        <f>IFERROR(VLOOKUP(Consulta1[[#This Row],[Pozo largo]],Controles!B:H,7,FALSE),"NO")</f>
        <v>0.41400000000000003</v>
      </c>
      <c r="L2136" s="5">
        <f>IFERROR(VLOOKUP(Consulta1[[#This Row],[Pozo largo]],Controles!B:J,9,FALSE),"NO")</f>
        <v>0</v>
      </c>
    </row>
    <row r="2137" spans="2:12" x14ac:dyDescent="0.35">
      <c r="B2137" s="4" t="s">
        <v>4092</v>
      </c>
      <c r="C2137" s="4" t="s">
        <v>7847</v>
      </c>
      <c r="D2137" s="4" t="s">
        <v>5</v>
      </c>
      <c r="E2137" s="4" t="s">
        <v>30</v>
      </c>
      <c r="F2137" s="4" t="s">
        <v>31</v>
      </c>
      <c r="G2137" s="4" t="s">
        <v>32</v>
      </c>
      <c r="H2137" s="4" t="s">
        <v>86</v>
      </c>
      <c r="I2137" s="5" t="str">
        <f>IFERROR(VLOOKUP(Consulta1[[#This Row],[Pozo largo]],'Lista YPF'!$B$3:$C$358,2,FALSE),"NO")</f>
        <v>NO</v>
      </c>
      <c r="J2137" s="5" t="str">
        <f>IFERROR(VLOOKUP(Consulta1[[#This Row],[Pozo]],'Lista Oportunidades'!B:C,2,FALSE),"NO")</f>
        <v>NO</v>
      </c>
      <c r="K2137" s="5">
        <f>IFERROR(VLOOKUP(Consulta1[[#This Row],[Pozo largo]],Controles!B:H,7,FALSE),"NO")</f>
        <v>0.432</v>
      </c>
      <c r="L2137" s="5">
        <f>IFERROR(VLOOKUP(Consulta1[[#This Row],[Pozo largo]],Controles!B:J,9,FALSE),"NO")</f>
        <v>0</v>
      </c>
    </row>
    <row r="2138" spans="2:12" x14ac:dyDescent="0.35">
      <c r="B2138" s="4" t="s">
        <v>4094</v>
      </c>
      <c r="C2138" s="4" t="s">
        <v>7848</v>
      </c>
      <c r="D2138" s="4" t="s">
        <v>5</v>
      </c>
      <c r="E2138" s="4" t="s">
        <v>57</v>
      </c>
      <c r="F2138" s="4" t="s">
        <v>7</v>
      </c>
      <c r="G2138" s="4" t="s">
        <v>5718</v>
      </c>
      <c r="H2138" s="4" t="s">
        <v>21</v>
      </c>
      <c r="I2138" s="5" t="str">
        <f>IFERROR(VLOOKUP(Consulta1[[#This Row],[Pozo largo]],'Lista YPF'!$B$3:$C$358,2,FALSE),"NO")</f>
        <v>En lista de Abandono</v>
      </c>
      <c r="J2138" s="5" t="str">
        <f>IFERROR(VLOOKUP(Consulta1[[#This Row],[Pozo]],'Lista Oportunidades'!B:C,2,FALSE),"NO")</f>
        <v>NO</v>
      </c>
      <c r="K2138" s="5">
        <f>IFERROR(VLOOKUP(Consulta1[[#This Row],[Pozo largo]],Controles!B:H,7,FALSE),"NO")</f>
        <v>0.51</v>
      </c>
      <c r="L2138" s="5">
        <f>IFERROR(VLOOKUP(Consulta1[[#This Row],[Pozo largo]],Controles!B:J,9,FALSE),"NO")</f>
        <v>0</v>
      </c>
    </row>
    <row r="2139" spans="2:12" x14ac:dyDescent="0.35">
      <c r="B2139" s="4" t="s">
        <v>4096</v>
      </c>
      <c r="C2139" s="4" t="s">
        <v>7849</v>
      </c>
      <c r="D2139" s="4" t="s">
        <v>5</v>
      </c>
      <c r="E2139" s="4" t="s">
        <v>12</v>
      </c>
      <c r="F2139" s="4" t="s">
        <v>7</v>
      </c>
      <c r="G2139" s="4" t="s">
        <v>13</v>
      </c>
      <c r="H2139" s="4" t="s">
        <v>80</v>
      </c>
      <c r="I2139" s="5" t="str">
        <f>IFERROR(VLOOKUP(Consulta1[[#This Row],[Pozo largo]],'Lista YPF'!$B$3:$C$358,2,FALSE),"NO")</f>
        <v>NO</v>
      </c>
      <c r="J2139" s="5" t="str">
        <f>IFERROR(VLOOKUP(Consulta1[[#This Row],[Pozo]],'Lista Oportunidades'!B:C,2,FALSE),"NO")</f>
        <v>NO</v>
      </c>
      <c r="K2139" s="5">
        <f>IFERROR(VLOOKUP(Consulta1[[#This Row],[Pozo largo]],Controles!B:H,7,FALSE),"NO")</f>
        <v>1.35</v>
      </c>
      <c r="L2139" s="5">
        <f>IFERROR(VLOOKUP(Consulta1[[#This Row],[Pozo largo]],Controles!B:J,9,FALSE),"NO")</f>
        <v>0</v>
      </c>
    </row>
    <row r="2140" spans="2:12" x14ac:dyDescent="0.35">
      <c r="B2140" s="4" t="s">
        <v>4098</v>
      </c>
      <c r="C2140" s="4" t="s">
        <v>7850</v>
      </c>
      <c r="D2140" s="4" t="s">
        <v>5</v>
      </c>
      <c r="E2140" s="4" t="s">
        <v>6</v>
      </c>
      <c r="F2140" s="4" t="s">
        <v>7</v>
      </c>
      <c r="G2140" s="4" t="s">
        <v>5718</v>
      </c>
      <c r="H2140" s="4" t="s">
        <v>33</v>
      </c>
      <c r="I2140" s="5" t="str">
        <f>IFERROR(VLOOKUP(Consulta1[[#This Row],[Pozo largo]],'Lista YPF'!$B$3:$C$358,2,FALSE),"NO")</f>
        <v>En lista de Abandono</v>
      </c>
      <c r="J2140" s="5" t="str">
        <f>IFERROR(VLOOKUP(Consulta1[[#This Row],[Pozo]],'Lista Oportunidades'!B:C,2,FALSE),"NO")</f>
        <v>NO</v>
      </c>
      <c r="K2140" s="5">
        <f>IFERROR(VLOOKUP(Consulta1[[#This Row],[Pozo largo]],Controles!B:H,7,FALSE),"NO")</f>
        <v>0</v>
      </c>
      <c r="L2140" s="5">
        <f>IFERROR(VLOOKUP(Consulta1[[#This Row],[Pozo largo]],Controles!B:J,9,FALSE),"NO")</f>
        <v>0</v>
      </c>
    </row>
    <row r="2141" spans="2:12" x14ac:dyDescent="0.35">
      <c r="B2141" s="4" t="s">
        <v>4100</v>
      </c>
      <c r="C2141" s="4" t="s">
        <v>7851</v>
      </c>
      <c r="D2141" s="4" t="s">
        <v>5</v>
      </c>
      <c r="E2141" s="4" t="s">
        <v>12</v>
      </c>
      <c r="F2141" s="4" t="s">
        <v>7</v>
      </c>
      <c r="G2141" s="4" t="s">
        <v>13</v>
      </c>
      <c r="H2141" s="4" t="s">
        <v>185</v>
      </c>
      <c r="I2141" s="5" t="str">
        <f>IFERROR(VLOOKUP(Consulta1[[#This Row],[Pozo largo]],'Lista YPF'!$B$3:$C$358,2,FALSE),"NO")</f>
        <v>NO</v>
      </c>
      <c r="J2141" s="5" t="str">
        <f>IFERROR(VLOOKUP(Consulta1[[#This Row],[Pozo]],'Lista Oportunidades'!B:C,2,FALSE),"NO")</f>
        <v>NO</v>
      </c>
      <c r="K2141" s="5">
        <f>IFERROR(VLOOKUP(Consulta1[[#This Row],[Pozo largo]],Controles!B:H,7,FALSE),"NO")</f>
        <v>4.8</v>
      </c>
      <c r="L2141" s="5">
        <f>IFERROR(VLOOKUP(Consulta1[[#This Row],[Pozo largo]],Controles!B:J,9,FALSE),"NO")</f>
        <v>0</v>
      </c>
    </row>
    <row r="2142" spans="2:12" x14ac:dyDescent="0.35">
      <c r="B2142" s="4" t="s">
        <v>4102</v>
      </c>
      <c r="C2142" s="4" t="s">
        <v>7852</v>
      </c>
      <c r="D2142" s="4" t="s">
        <v>5</v>
      </c>
      <c r="E2142" s="4" t="s">
        <v>12</v>
      </c>
      <c r="F2142" s="4" t="s">
        <v>7</v>
      </c>
      <c r="G2142" s="4" t="s">
        <v>13</v>
      </c>
      <c r="H2142" s="4" t="s">
        <v>9</v>
      </c>
      <c r="I2142" s="5" t="str">
        <f>IFERROR(VLOOKUP(Consulta1[[#This Row],[Pozo largo]],'Lista YPF'!$B$3:$C$358,2,FALSE),"NO")</f>
        <v>NO</v>
      </c>
      <c r="J2142" s="5" t="str">
        <f>IFERROR(VLOOKUP(Consulta1[[#This Row],[Pozo]],'Lista Oportunidades'!B:C,2,FALSE),"NO")</f>
        <v>NO</v>
      </c>
      <c r="K2142" s="5">
        <f>IFERROR(VLOOKUP(Consulta1[[#This Row],[Pozo largo]],Controles!B:H,7,FALSE),"NO")</f>
        <v>2.15</v>
      </c>
      <c r="L2142" s="5">
        <f>IFERROR(VLOOKUP(Consulta1[[#This Row],[Pozo largo]],Controles!B:J,9,FALSE),"NO")</f>
        <v>0</v>
      </c>
    </row>
    <row r="2143" spans="2:12" x14ac:dyDescent="0.35">
      <c r="B2143" s="4" t="s">
        <v>4104</v>
      </c>
      <c r="C2143" s="4" t="s">
        <v>7853</v>
      </c>
      <c r="D2143" s="4" t="s">
        <v>5</v>
      </c>
      <c r="E2143" s="4" t="s">
        <v>6</v>
      </c>
      <c r="F2143" s="4" t="s">
        <v>7</v>
      </c>
      <c r="G2143" s="4" t="s">
        <v>11387</v>
      </c>
      <c r="H2143" s="4" t="s">
        <v>9</v>
      </c>
      <c r="I2143" s="5" t="str">
        <f>IFERROR(VLOOKUP(Consulta1[[#This Row],[Pozo largo]],'Lista YPF'!$B$3:$C$358,2,FALSE),"NO")</f>
        <v>NO</v>
      </c>
      <c r="J2143" s="5" t="str">
        <f>IFERROR(VLOOKUP(Consulta1[[#This Row],[Pozo]],'Lista Oportunidades'!B:C,2,FALSE),"NO")</f>
        <v>NO</v>
      </c>
      <c r="K2143" s="5">
        <f>IFERROR(VLOOKUP(Consulta1[[#This Row],[Pozo largo]],Controles!B:H,7,FALSE),"NO")</f>
        <v>0.38500000000000001</v>
      </c>
      <c r="L2143" s="5" t="str">
        <f>IFERROR(VLOOKUP(Consulta1[[#This Row],[Pozo largo]],Controles!B:J,9,FALSE),"NO")</f>
        <v>Ultimo Año</v>
      </c>
    </row>
    <row r="2144" spans="2:12" x14ac:dyDescent="0.35">
      <c r="B2144" s="4" t="s">
        <v>4106</v>
      </c>
      <c r="C2144" s="4" t="s">
        <v>7854</v>
      </c>
      <c r="D2144" s="4" t="s">
        <v>5</v>
      </c>
      <c r="E2144" s="4" t="s">
        <v>12</v>
      </c>
      <c r="F2144" s="4" t="s">
        <v>7</v>
      </c>
      <c r="G2144" s="4" t="s">
        <v>13</v>
      </c>
      <c r="H2144" s="4" t="s">
        <v>86</v>
      </c>
      <c r="I2144" s="5" t="str">
        <f>IFERROR(VLOOKUP(Consulta1[[#This Row],[Pozo largo]],'Lista YPF'!$B$3:$C$358,2,FALSE),"NO")</f>
        <v>NO</v>
      </c>
      <c r="J2144" s="5" t="str">
        <f>IFERROR(VLOOKUP(Consulta1[[#This Row],[Pozo]],'Lista Oportunidades'!B:C,2,FALSE),"NO")</f>
        <v>NO</v>
      </c>
      <c r="K2144" s="5">
        <f>IFERROR(VLOOKUP(Consulta1[[#This Row],[Pozo largo]],Controles!B:H,7,FALSE),"NO")</f>
        <v>1.2</v>
      </c>
      <c r="L2144" s="5">
        <f>IFERROR(VLOOKUP(Consulta1[[#This Row],[Pozo largo]],Controles!B:J,9,FALSE),"NO")</f>
        <v>0</v>
      </c>
    </row>
    <row r="2145" spans="2:12" x14ac:dyDescent="0.35">
      <c r="B2145" s="4" t="s">
        <v>4108</v>
      </c>
      <c r="C2145" s="4" t="s">
        <v>7855</v>
      </c>
      <c r="D2145" s="4" t="s">
        <v>5</v>
      </c>
      <c r="E2145" s="4" t="s">
        <v>57</v>
      </c>
      <c r="F2145" s="4" t="s">
        <v>7</v>
      </c>
      <c r="G2145" s="4" t="s">
        <v>5718</v>
      </c>
      <c r="H2145" s="4" t="s">
        <v>21</v>
      </c>
      <c r="I2145" s="5" t="str">
        <f>IFERROR(VLOOKUP(Consulta1[[#This Row],[Pozo largo]],'Lista YPF'!$B$3:$C$358,2,FALSE),"NO")</f>
        <v>En lista de Abandono</v>
      </c>
      <c r="J2145" s="5" t="str">
        <f>IFERROR(VLOOKUP(Consulta1[[#This Row],[Pozo]],'Lista Oportunidades'!B:C,2,FALSE),"NO")</f>
        <v>NO</v>
      </c>
      <c r="K2145" s="5">
        <f>IFERROR(VLOOKUP(Consulta1[[#This Row],[Pozo largo]],Controles!B:H,7,FALSE),"NO")</f>
        <v>0.65</v>
      </c>
      <c r="L2145" s="5">
        <f>IFERROR(VLOOKUP(Consulta1[[#This Row],[Pozo largo]],Controles!B:J,9,FALSE),"NO")</f>
        <v>0</v>
      </c>
    </row>
    <row r="2146" spans="2:12" x14ac:dyDescent="0.35">
      <c r="B2146" s="4" t="s">
        <v>4110</v>
      </c>
      <c r="C2146" s="4" t="s">
        <v>7856</v>
      </c>
      <c r="D2146" s="4" t="s">
        <v>5</v>
      </c>
      <c r="E2146" s="4" t="s">
        <v>30</v>
      </c>
      <c r="F2146" s="4" t="s">
        <v>31</v>
      </c>
      <c r="G2146" s="4" t="s">
        <v>32</v>
      </c>
      <c r="H2146" s="4" t="s">
        <v>80</v>
      </c>
      <c r="I2146" s="5" t="str">
        <f>IFERROR(VLOOKUP(Consulta1[[#This Row],[Pozo largo]],'Lista YPF'!$B$3:$C$358,2,FALSE),"NO")</f>
        <v>NO</v>
      </c>
      <c r="J2146" s="5" t="str">
        <f>IFERROR(VLOOKUP(Consulta1[[#This Row],[Pozo]],'Lista Oportunidades'!B:C,2,FALSE),"NO")</f>
        <v>NO</v>
      </c>
      <c r="K2146" s="5" t="str">
        <f>IFERROR(VLOOKUP(Consulta1[[#This Row],[Pozo largo]],Controles!B:H,7,FALSE),"NO")</f>
        <v>NO</v>
      </c>
      <c r="L2146" s="5" t="str">
        <f>IFERROR(VLOOKUP(Consulta1[[#This Row],[Pozo largo]],Controles!B:J,9,FALSE),"NO")</f>
        <v>NO</v>
      </c>
    </row>
    <row r="2147" spans="2:12" x14ac:dyDescent="0.35">
      <c r="B2147" s="4" t="s">
        <v>4111</v>
      </c>
      <c r="C2147" s="4" t="s">
        <v>7857</v>
      </c>
      <c r="D2147" s="4" t="s">
        <v>5</v>
      </c>
      <c r="E2147" s="4" t="s">
        <v>30</v>
      </c>
      <c r="F2147" s="4" t="s">
        <v>31</v>
      </c>
      <c r="G2147" s="4" t="s">
        <v>32</v>
      </c>
      <c r="H2147" s="4" t="s">
        <v>91</v>
      </c>
      <c r="I2147" s="5" t="str">
        <f>IFERROR(VLOOKUP(Consulta1[[#This Row],[Pozo largo]],'Lista YPF'!$B$3:$C$358,2,FALSE),"NO")</f>
        <v>NO</v>
      </c>
      <c r="J2147" s="5" t="str">
        <f>IFERROR(VLOOKUP(Consulta1[[#This Row],[Pozo]],'Lista Oportunidades'!B:C,2,FALSE),"NO")</f>
        <v>NO</v>
      </c>
      <c r="K2147" s="5">
        <f>IFERROR(VLOOKUP(Consulta1[[#This Row],[Pozo largo]],Controles!B:H,7,FALSE),"NO")</f>
        <v>0</v>
      </c>
      <c r="L2147" s="5">
        <f>IFERROR(VLOOKUP(Consulta1[[#This Row],[Pozo largo]],Controles!B:J,9,FALSE),"NO")</f>
        <v>0</v>
      </c>
    </row>
    <row r="2148" spans="2:12" x14ac:dyDescent="0.35">
      <c r="B2148" s="4" t="s">
        <v>4113</v>
      </c>
      <c r="C2148" s="4" t="s">
        <v>7858</v>
      </c>
      <c r="D2148" s="4" t="s">
        <v>5</v>
      </c>
      <c r="E2148" s="4" t="s">
        <v>12</v>
      </c>
      <c r="F2148" s="4" t="s">
        <v>83</v>
      </c>
      <c r="G2148" s="4" t="s">
        <v>13</v>
      </c>
      <c r="H2148" s="4" t="s">
        <v>86</v>
      </c>
      <c r="I2148" s="5" t="str">
        <f>IFERROR(VLOOKUP(Consulta1[[#This Row],[Pozo largo]],'Lista YPF'!$B$3:$C$358,2,FALSE),"NO")</f>
        <v>NO</v>
      </c>
      <c r="J2148" s="5" t="str">
        <f>IFERROR(VLOOKUP(Consulta1[[#This Row],[Pozo]],'Lista Oportunidades'!B:C,2,FALSE),"NO")</f>
        <v>NO</v>
      </c>
      <c r="K2148" s="5">
        <f>IFERROR(VLOOKUP(Consulta1[[#This Row],[Pozo largo]],Controles!B:H,7,FALSE),"NO")</f>
        <v>0.83500000000000008</v>
      </c>
      <c r="L2148" s="5">
        <f>IFERROR(VLOOKUP(Consulta1[[#This Row],[Pozo largo]],Controles!B:J,9,FALSE),"NO")</f>
        <v>0</v>
      </c>
    </row>
    <row r="2149" spans="2:12" x14ac:dyDescent="0.35">
      <c r="B2149" s="4" t="s">
        <v>4115</v>
      </c>
      <c r="C2149" s="4" t="s">
        <v>7859</v>
      </c>
      <c r="D2149" s="4" t="s">
        <v>5</v>
      </c>
      <c r="E2149" s="4" t="s">
        <v>12</v>
      </c>
      <c r="F2149" s="4" t="s">
        <v>7</v>
      </c>
      <c r="G2149" s="4" t="s">
        <v>13</v>
      </c>
      <c r="H2149" s="4" t="s">
        <v>86</v>
      </c>
      <c r="I2149" s="5" t="str">
        <f>IFERROR(VLOOKUP(Consulta1[[#This Row],[Pozo largo]],'Lista YPF'!$B$3:$C$358,2,FALSE),"NO")</f>
        <v>NO</v>
      </c>
      <c r="J2149" s="5" t="str">
        <f>IFERROR(VLOOKUP(Consulta1[[#This Row],[Pozo]],'Lista Oportunidades'!B:C,2,FALSE),"NO")</f>
        <v>NO</v>
      </c>
      <c r="K2149" s="5">
        <f>IFERROR(VLOOKUP(Consulta1[[#This Row],[Pozo largo]],Controles!B:H,7,FALSE),"NO")</f>
        <v>1.69</v>
      </c>
      <c r="L2149" s="5">
        <f>IFERROR(VLOOKUP(Consulta1[[#This Row],[Pozo largo]],Controles!B:J,9,FALSE),"NO")</f>
        <v>0</v>
      </c>
    </row>
    <row r="2150" spans="2:12" x14ac:dyDescent="0.35">
      <c r="B2150" s="4" t="s">
        <v>4117</v>
      </c>
      <c r="C2150" s="4" t="s">
        <v>7860</v>
      </c>
      <c r="D2150" s="4" t="s">
        <v>5</v>
      </c>
      <c r="E2150" s="4" t="s">
        <v>30</v>
      </c>
      <c r="F2150" s="4" t="s">
        <v>31</v>
      </c>
      <c r="G2150" s="4" t="s">
        <v>32</v>
      </c>
      <c r="H2150" s="4" t="s">
        <v>80</v>
      </c>
      <c r="I2150" s="5" t="str">
        <f>IFERROR(VLOOKUP(Consulta1[[#This Row],[Pozo largo]],'Lista YPF'!$B$3:$C$358,2,FALSE),"NO")</f>
        <v>NO</v>
      </c>
      <c r="J2150" s="5" t="str">
        <f>IFERROR(VLOOKUP(Consulta1[[#This Row],[Pozo]],'Lista Oportunidades'!B:C,2,FALSE),"NO")</f>
        <v>NO</v>
      </c>
      <c r="K2150" s="5">
        <f>IFERROR(VLOOKUP(Consulta1[[#This Row],[Pozo largo]],Controles!B:H,7,FALSE),"NO")</f>
        <v>0</v>
      </c>
      <c r="L2150" s="5">
        <f>IFERROR(VLOOKUP(Consulta1[[#This Row],[Pozo largo]],Controles!B:J,9,FALSE),"NO")</f>
        <v>0</v>
      </c>
    </row>
    <row r="2151" spans="2:12" x14ac:dyDescent="0.35">
      <c r="B2151" s="4" t="s">
        <v>4119</v>
      </c>
      <c r="C2151" s="4" t="s">
        <v>7861</v>
      </c>
      <c r="D2151" s="4" t="s">
        <v>5</v>
      </c>
      <c r="E2151" s="4" t="s">
        <v>12</v>
      </c>
      <c r="F2151" s="4" t="s">
        <v>28</v>
      </c>
      <c r="G2151" s="4" t="s">
        <v>13</v>
      </c>
      <c r="H2151" s="4" t="s">
        <v>80</v>
      </c>
      <c r="I2151" s="5" t="str">
        <f>IFERROR(VLOOKUP(Consulta1[[#This Row],[Pozo largo]],'Lista YPF'!$B$3:$C$358,2,FALSE),"NO")</f>
        <v>NO</v>
      </c>
      <c r="J2151" s="5" t="str">
        <f>IFERROR(VLOOKUP(Consulta1[[#This Row],[Pozo]],'Lista Oportunidades'!B:C,2,FALSE),"NO")</f>
        <v>NO</v>
      </c>
      <c r="K2151" s="5">
        <f>IFERROR(VLOOKUP(Consulta1[[#This Row],[Pozo largo]],Controles!B:H,7,FALSE),"NO")</f>
        <v>0</v>
      </c>
      <c r="L2151" s="5">
        <f>IFERROR(VLOOKUP(Consulta1[[#This Row],[Pozo largo]],Controles!B:J,9,FALSE),"NO")</f>
        <v>0</v>
      </c>
    </row>
    <row r="2152" spans="2:12" x14ac:dyDescent="0.35">
      <c r="B2152" s="4" t="s">
        <v>4121</v>
      </c>
      <c r="C2152" s="4" t="s">
        <v>7862</v>
      </c>
      <c r="D2152" s="4" t="s">
        <v>5</v>
      </c>
      <c r="E2152" s="4" t="s">
        <v>6</v>
      </c>
      <c r="F2152" s="4" t="s">
        <v>28</v>
      </c>
      <c r="G2152" s="4" t="s">
        <v>5718</v>
      </c>
      <c r="H2152" s="4" t="s">
        <v>86</v>
      </c>
      <c r="I2152" s="5" t="str">
        <f>IFERROR(VLOOKUP(Consulta1[[#This Row],[Pozo largo]],'Lista YPF'!$B$3:$C$358,2,FALSE),"NO")</f>
        <v>En lista de Abandono</v>
      </c>
      <c r="J2152" s="5" t="str">
        <f>IFERROR(VLOOKUP(Consulta1[[#This Row],[Pozo]],'Lista Oportunidades'!B:C,2,FALSE),"NO")</f>
        <v>NO</v>
      </c>
      <c r="K2152" s="5">
        <f>IFERROR(VLOOKUP(Consulta1[[#This Row],[Pozo largo]],Controles!B:H,7,FALSE),"NO")</f>
        <v>0</v>
      </c>
      <c r="L2152" s="5">
        <f>IFERROR(VLOOKUP(Consulta1[[#This Row],[Pozo largo]],Controles!B:J,9,FALSE),"NO")</f>
        <v>0</v>
      </c>
    </row>
    <row r="2153" spans="2:12" x14ac:dyDescent="0.35">
      <c r="B2153" s="4" t="s">
        <v>4123</v>
      </c>
      <c r="C2153" s="4" t="s">
        <v>7863</v>
      </c>
      <c r="D2153" s="4" t="s">
        <v>5</v>
      </c>
      <c r="E2153" s="4" t="s">
        <v>12</v>
      </c>
      <c r="F2153" s="4" t="s">
        <v>28</v>
      </c>
      <c r="G2153" s="4" t="s">
        <v>13</v>
      </c>
      <c r="H2153" s="4" t="s">
        <v>86</v>
      </c>
      <c r="I2153" s="5" t="str">
        <f>IFERROR(VLOOKUP(Consulta1[[#This Row],[Pozo largo]],'Lista YPF'!$B$3:$C$358,2,FALSE),"NO")</f>
        <v>NO</v>
      </c>
      <c r="J2153" s="5" t="str">
        <f>IFERROR(VLOOKUP(Consulta1[[#This Row],[Pozo]],'Lista Oportunidades'!B:C,2,FALSE),"NO")</f>
        <v>NO</v>
      </c>
      <c r="K2153" s="5">
        <f>IFERROR(VLOOKUP(Consulta1[[#This Row],[Pozo largo]],Controles!B:H,7,FALSE),"NO")</f>
        <v>0</v>
      </c>
      <c r="L2153" s="5">
        <f>IFERROR(VLOOKUP(Consulta1[[#This Row],[Pozo largo]],Controles!B:J,9,FALSE),"NO")</f>
        <v>0</v>
      </c>
    </row>
    <row r="2154" spans="2:12" x14ac:dyDescent="0.35">
      <c r="B2154" s="4" t="s">
        <v>4125</v>
      </c>
      <c r="C2154" s="4" t="s">
        <v>7864</v>
      </c>
      <c r="D2154" s="4" t="s">
        <v>5</v>
      </c>
      <c r="E2154" s="4" t="s">
        <v>24</v>
      </c>
      <c r="F2154" s="4" t="s">
        <v>25</v>
      </c>
      <c r="G2154" s="4" t="s">
        <v>8</v>
      </c>
      <c r="H2154" s="4" t="s">
        <v>86</v>
      </c>
      <c r="I2154" s="5" t="str">
        <f>IFERROR(VLOOKUP(Consulta1[[#This Row],[Pozo largo]],'Lista YPF'!$B$3:$C$358,2,FALSE),"NO")</f>
        <v>NO</v>
      </c>
      <c r="J2154" s="5" t="str">
        <f>IFERROR(VLOOKUP(Consulta1[[#This Row],[Pozo]],'Lista Oportunidades'!B:C,2,FALSE),"NO")</f>
        <v>NO</v>
      </c>
      <c r="K2154" s="5">
        <f>IFERROR(VLOOKUP(Consulta1[[#This Row],[Pozo largo]],Controles!B:H,7,FALSE),"NO")</f>
        <v>9.7000000000000003E-2</v>
      </c>
      <c r="L2154" s="5">
        <f>IFERROR(VLOOKUP(Consulta1[[#This Row],[Pozo largo]],Controles!B:J,9,FALSE),"NO")</f>
        <v>0</v>
      </c>
    </row>
    <row r="2155" spans="2:12" x14ac:dyDescent="0.35">
      <c r="B2155" s="4" t="s">
        <v>4127</v>
      </c>
      <c r="C2155" s="4" t="s">
        <v>7865</v>
      </c>
      <c r="D2155" s="4" t="s">
        <v>5</v>
      </c>
      <c r="E2155" s="4" t="s">
        <v>12</v>
      </c>
      <c r="F2155" s="4" t="s">
        <v>28</v>
      </c>
      <c r="G2155" s="4" t="s">
        <v>13</v>
      </c>
      <c r="H2155" s="4" t="s">
        <v>185</v>
      </c>
      <c r="I2155" s="5" t="str">
        <f>IFERROR(VLOOKUP(Consulta1[[#This Row],[Pozo largo]],'Lista YPF'!$B$3:$C$358,2,FALSE),"NO")</f>
        <v>NO</v>
      </c>
      <c r="J2155" s="5" t="str">
        <f>IFERROR(VLOOKUP(Consulta1[[#This Row],[Pozo]],'Lista Oportunidades'!B:C,2,FALSE),"NO")</f>
        <v>NO</v>
      </c>
      <c r="K2155" s="5">
        <f>IFERROR(VLOOKUP(Consulta1[[#This Row],[Pozo largo]],Controles!B:H,7,FALSE),"NO")</f>
        <v>0</v>
      </c>
      <c r="L2155" s="5">
        <f>IFERROR(VLOOKUP(Consulta1[[#This Row],[Pozo largo]],Controles!B:J,9,FALSE),"NO")</f>
        <v>0</v>
      </c>
    </row>
    <row r="2156" spans="2:12" x14ac:dyDescent="0.35">
      <c r="B2156" s="4" t="s">
        <v>4129</v>
      </c>
      <c r="C2156" s="4" t="s">
        <v>7866</v>
      </c>
      <c r="D2156" s="4" t="s">
        <v>5</v>
      </c>
      <c r="E2156" s="4" t="s">
        <v>24</v>
      </c>
      <c r="F2156" s="4" t="s">
        <v>7</v>
      </c>
      <c r="G2156" s="4" t="s">
        <v>8</v>
      </c>
      <c r="H2156" s="4" t="s">
        <v>146</v>
      </c>
      <c r="I2156" s="5" t="str">
        <f>IFERROR(VLOOKUP(Consulta1[[#This Row],[Pozo largo]],'Lista YPF'!$B$3:$C$358,2,FALSE),"NO")</f>
        <v>NO</v>
      </c>
      <c r="J2156" s="5" t="str">
        <f>IFERROR(VLOOKUP(Consulta1[[#This Row],[Pozo]],'Lista Oportunidades'!B:C,2,FALSE),"NO")</f>
        <v>NO</v>
      </c>
      <c r="K2156" s="5">
        <f>IFERROR(VLOOKUP(Consulta1[[#This Row],[Pozo largo]],Controles!B:H,7,FALSE),"NO")</f>
        <v>0.63700000000000001</v>
      </c>
      <c r="L2156" s="5">
        <f>IFERROR(VLOOKUP(Consulta1[[#This Row],[Pozo largo]],Controles!B:J,9,FALSE),"NO")</f>
        <v>0</v>
      </c>
    </row>
    <row r="2157" spans="2:12" x14ac:dyDescent="0.35">
      <c r="B2157" s="4" t="s">
        <v>4131</v>
      </c>
      <c r="C2157" s="4" t="s">
        <v>7867</v>
      </c>
      <c r="D2157" s="4" t="s">
        <v>5</v>
      </c>
      <c r="E2157" s="4" t="s">
        <v>24</v>
      </c>
      <c r="F2157" s="4" t="s">
        <v>28</v>
      </c>
      <c r="G2157" s="4" t="s">
        <v>8</v>
      </c>
      <c r="H2157" s="4" t="s">
        <v>146</v>
      </c>
      <c r="I2157" s="5" t="str">
        <f>IFERROR(VLOOKUP(Consulta1[[#This Row],[Pozo largo]],'Lista YPF'!$B$3:$C$358,2,FALSE),"NO")</f>
        <v>NO</v>
      </c>
      <c r="J2157" s="5" t="str">
        <f>IFERROR(VLOOKUP(Consulta1[[#This Row],[Pozo]],'Lista Oportunidades'!B:C,2,FALSE),"NO")</f>
        <v>NO</v>
      </c>
      <c r="K2157" s="5">
        <f>IFERROR(VLOOKUP(Consulta1[[#This Row],[Pozo largo]],Controles!B:H,7,FALSE),"NO")</f>
        <v>0</v>
      </c>
      <c r="L2157" s="5">
        <f>IFERROR(VLOOKUP(Consulta1[[#This Row],[Pozo largo]],Controles!B:J,9,FALSE),"NO")</f>
        <v>0</v>
      </c>
    </row>
    <row r="2158" spans="2:12" x14ac:dyDescent="0.35">
      <c r="B2158" s="4" t="s">
        <v>4133</v>
      </c>
      <c r="C2158" s="4" t="s">
        <v>7868</v>
      </c>
      <c r="D2158" s="4" t="s">
        <v>5</v>
      </c>
      <c r="E2158" s="4" t="s">
        <v>30</v>
      </c>
      <c r="F2158" s="4" t="s">
        <v>31</v>
      </c>
      <c r="G2158" s="4" t="s">
        <v>32</v>
      </c>
      <c r="H2158" s="4" t="s">
        <v>33</v>
      </c>
      <c r="I2158" s="5" t="str">
        <f>IFERROR(VLOOKUP(Consulta1[[#This Row],[Pozo largo]],'Lista YPF'!$B$3:$C$358,2,FALSE),"NO")</f>
        <v>NO</v>
      </c>
      <c r="J2158" s="5" t="str">
        <f>IFERROR(VLOOKUP(Consulta1[[#This Row],[Pozo]],'Lista Oportunidades'!B:C,2,FALSE),"NO")</f>
        <v>NO</v>
      </c>
      <c r="K2158" s="5" t="str">
        <f>IFERROR(VLOOKUP(Consulta1[[#This Row],[Pozo largo]],Controles!B:H,7,FALSE),"NO")</f>
        <v>NO</v>
      </c>
      <c r="L2158" s="5" t="str">
        <f>IFERROR(VLOOKUP(Consulta1[[#This Row],[Pozo largo]],Controles!B:J,9,FALSE),"NO")</f>
        <v>NO</v>
      </c>
    </row>
    <row r="2159" spans="2:12" x14ac:dyDescent="0.35">
      <c r="B2159" s="4" t="s">
        <v>4134</v>
      </c>
      <c r="C2159" s="4" t="s">
        <v>7869</v>
      </c>
      <c r="D2159" s="4" t="s">
        <v>5</v>
      </c>
      <c r="E2159" s="4" t="s">
        <v>30</v>
      </c>
      <c r="F2159" s="4" t="s">
        <v>31</v>
      </c>
      <c r="G2159" s="4" t="s">
        <v>32</v>
      </c>
      <c r="H2159" s="4" t="s">
        <v>86</v>
      </c>
      <c r="I2159" s="5" t="str">
        <f>IFERROR(VLOOKUP(Consulta1[[#This Row],[Pozo largo]],'Lista YPF'!$B$3:$C$358,2,FALSE),"NO")</f>
        <v>NO</v>
      </c>
      <c r="J2159" s="5" t="str">
        <f>IFERROR(VLOOKUP(Consulta1[[#This Row],[Pozo]],'Lista Oportunidades'!B:C,2,FALSE),"NO")</f>
        <v>NO</v>
      </c>
      <c r="K2159" s="5" t="str">
        <f>IFERROR(VLOOKUP(Consulta1[[#This Row],[Pozo largo]],Controles!B:H,7,FALSE),"NO")</f>
        <v>NO</v>
      </c>
      <c r="L2159" s="5" t="str">
        <f>IFERROR(VLOOKUP(Consulta1[[#This Row],[Pozo largo]],Controles!B:J,9,FALSE),"NO")</f>
        <v>NO</v>
      </c>
    </row>
    <row r="2160" spans="2:12" x14ac:dyDescent="0.35">
      <c r="B2160" s="4" t="s">
        <v>4135</v>
      </c>
      <c r="C2160" s="4" t="s">
        <v>7870</v>
      </c>
      <c r="D2160" s="4" t="s">
        <v>5</v>
      </c>
      <c r="E2160" s="4" t="s">
        <v>12</v>
      </c>
      <c r="F2160" s="4" t="s">
        <v>7</v>
      </c>
      <c r="G2160" s="4" t="s">
        <v>13</v>
      </c>
      <c r="H2160" s="4" t="s">
        <v>71</v>
      </c>
      <c r="I2160" s="5" t="str">
        <f>IFERROR(VLOOKUP(Consulta1[[#This Row],[Pozo largo]],'Lista YPF'!$B$3:$C$358,2,FALSE),"NO")</f>
        <v>NO</v>
      </c>
      <c r="J2160" s="5" t="str">
        <f>IFERROR(VLOOKUP(Consulta1[[#This Row],[Pozo]],'Lista Oportunidades'!B:C,2,FALSE),"NO")</f>
        <v>NO</v>
      </c>
      <c r="K2160" s="5">
        <f>IFERROR(VLOOKUP(Consulta1[[#This Row],[Pozo largo]],Controles!B:H,7,FALSE),"NO")</f>
        <v>0.48</v>
      </c>
      <c r="L2160" s="5">
        <f>IFERROR(VLOOKUP(Consulta1[[#This Row],[Pozo largo]],Controles!B:J,9,FALSE),"NO")</f>
        <v>0</v>
      </c>
    </row>
    <row r="2161" spans="2:12" x14ac:dyDescent="0.35">
      <c r="B2161" s="4" t="s">
        <v>4137</v>
      </c>
      <c r="C2161" s="4" t="s">
        <v>7871</v>
      </c>
      <c r="D2161" s="4" t="s">
        <v>5</v>
      </c>
      <c r="E2161" s="4" t="s">
        <v>12</v>
      </c>
      <c r="F2161" s="4" t="s">
        <v>7</v>
      </c>
      <c r="G2161" s="4" t="s">
        <v>13</v>
      </c>
      <c r="H2161" s="4" t="s">
        <v>149</v>
      </c>
      <c r="I2161" s="5" t="str">
        <f>IFERROR(VLOOKUP(Consulta1[[#This Row],[Pozo largo]],'Lista YPF'!$B$3:$C$358,2,FALSE),"NO")</f>
        <v>NO</v>
      </c>
      <c r="J2161" s="5" t="str">
        <f>IFERROR(VLOOKUP(Consulta1[[#This Row],[Pozo]],'Lista Oportunidades'!B:C,2,FALSE),"NO")</f>
        <v>NO</v>
      </c>
      <c r="K2161" s="5">
        <f>IFERROR(VLOOKUP(Consulta1[[#This Row],[Pozo largo]],Controles!B:H,7,FALSE),"NO")</f>
        <v>0.83200000000000007</v>
      </c>
      <c r="L2161" s="5">
        <f>IFERROR(VLOOKUP(Consulta1[[#This Row],[Pozo largo]],Controles!B:J,9,FALSE),"NO")</f>
        <v>0</v>
      </c>
    </row>
    <row r="2162" spans="2:12" x14ac:dyDescent="0.35">
      <c r="B2162" s="4" t="s">
        <v>4139</v>
      </c>
      <c r="C2162" s="4" t="s">
        <v>7872</v>
      </c>
      <c r="D2162" s="4" t="s">
        <v>5</v>
      </c>
      <c r="E2162" s="4" t="s">
        <v>24</v>
      </c>
      <c r="F2162" s="4" t="s">
        <v>7</v>
      </c>
      <c r="G2162" s="4" t="s">
        <v>11387</v>
      </c>
      <c r="H2162" s="4" t="s">
        <v>86</v>
      </c>
      <c r="I2162" s="5" t="str">
        <f>IFERROR(VLOOKUP(Consulta1[[#This Row],[Pozo largo]],'Lista YPF'!$B$3:$C$358,2,FALSE),"NO")</f>
        <v>NO</v>
      </c>
      <c r="J2162" s="5" t="str">
        <f>IFERROR(VLOOKUP(Consulta1[[#This Row],[Pozo]],'Lista Oportunidades'!B:C,2,FALSE),"NO")</f>
        <v>NO</v>
      </c>
      <c r="K2162" s="5">
        <f>IFERROR(VLOOKUP(Consulta1[[#This Row],[Pozo largo]],Controles!B:H,7,FALSE),"NO")</f>
        <v>0.59400000000000008</v>
      </c>
      <c r="L2162" s="5" t="str">
        <f>IFERROR(VLOOKUP(Consulta1[[#This Row],[Pozo largo]],Controles!B:J,9,FALSE),"NO")</f>
        <v>Ultimo Año</v>
      </c>
    </row>
    <row r="2163" spans="2:12" x14ac:dyDescent="0.35">
      <c r="B2163" s="4" t="s">
        <v>4141</v>
      </c>
      <c r="C2163" s="4" t="s">
        <v>7873</v>
      </c>
      <c r="D2163" s="4" t="s">
        <v>5</v>
      </c>
      <c r="E2163" s="4" t="s">
        <v>24</v>
      </c>
      <c r="F2163" s="4" t="s">
        <v>7</v>
      </c>
      <c r="G2163" s="4" t="s">
        <v>8</v>
      </c>
      <c r="H2163" s="4" t="s">
        <v>71</v>
      </c>
      <c r="I2163" s="5" t="str">
        <f>IFERROR(VLOOKUP(Consulta1[[#This Row],[Pozo largo]],'Lista YPF'!$B$3:$C$358,2,FALSE),"NO")</f>
        <v>NO</v>
      </c>
      <c r="J2163" s="5" t="str">
        <f>IFERROR(VLOOKUP(Consulta1[[#This Row],[Pozo]],'Lista Oportunidades'!B:C,2,FALSE),"NO")</f>
        <v>NO</v>
      </c>
      <c r="K2163" s="5">
        <f>IFERROR(VLOOKUP(Consulta1[[#This Row],[Pozo largo]],Controles!B:H,7,FALSE),"NO")</f>
        <v>0.25</v>
      </c>
      <c r="L2163" s="5">
        <f>IFERROR(VLOOKUP(Consulta1[[#This Row],[Pozo largo]],Controles!B:J,9,FALSE),"NO")</f>
        <v>0</v>
      </c>
    </row>
    <row r="2164" spans="2:12" x14ac:dyDescent="0.35">
      <c r="B2164" s="4" t="s">
        <v>4143</v>
      </c>
      <c r="C2164" s="4" t="s">
        <v>7874</v>
      </c>
      <c r="D2164" s="4" t="s">
        <v>5</v>
      </c>
      <c r="E2164" s="4" t="s">
        <v>57</v>
      </c>
      <c r="F2164" s="4" t="s">
        <v>7</v>
      </c>
      <c r="G2164" s="4" t="s">
        <v>11387</v>
      </c>
      <c r="H2164" s="4" t="s">
        <v>149</v>
      </c>
      <c r="I2164" s="5" t="str">
        <f>IFERROR(VLOOKUP(Consulta1[[#This Row],[Pozo largo]],'Lista YPF'!$B$3:$C$358,2,FALSE),"NO")</f>
        <v>NO</v>
      </c>
      <c r="J2164" s="5" t="str">
        <f>IFERROR(VLOOKUP(Consulta1[[#This Row],[Pozo]],'Lista Oportunidades'!B:C,2,FALSE),"NO")</f>
        <v>NO</v>
      </c>
      <c r="K2164" s="5">
        <f>IFERROR(VLOOKUP(Consulta1[[#This Row],[Pozo largo]],Controles!B:H,7,FALSE),"NO")</f>
        <v>0.68</v>
      </c>
      <c r="L2164" s="5" t="str">
        <f>IFERROR(VLOOKUP(Consulta1[[#This Row],[Pozo largo]],Controles!B:J,9,FALSE),"NO")</f>
        <v>Ultimo Año</v>
      </c>
    </row>
    <row r="2165" spans="2:12" x14ac:dyDescent="0.35">
      <c r="B2165" s="4" t="s">
        <v>4145</v>
      </c>
      <c r="C2165" s="4" t="s">
        <v>7875</v>
      </c>
      <c r="D2165" s="4" t="s">
        <v>5</v>
      </c>
      <c r="E2165" s="4" t="s">
        <v>430</v>
      </c>
      <c r="F2165" s="4" t="s">
        <v>7</v>
      </c>
      <c r="G2165" s="4" t="s">
        <v>5718</v>
      </c>
      <c r="H2165" s="4" t="s">
        <v>254</v>
      </c>
      <c r="I2165" s="5" t="str">
        <f>IFERROR(VLOOKUP(Consulta1[[#This Row],[Pozo largo]],'Lista YPF'!$B$3:$C$358,2,FALSE),"NO")</f>
        <v>En lista de Abandono</v>
      </c>
      <c r="J2165" s="5" t="str">
        <f>IFERROR(VLOOKUP(Consulta1[[#This Row],[Pozo]],'Lista Oportunidades'!B:C,2,FALSE),"NO")</f>
        <v>NO</v>
      </c>
      <c r="K2165" s="5">
        <f>IFERROR(VLOOKUP(Consulta1[[#This Row],[Pozo largo]],Controles!B:H,7,FALSE),"NO")</f>
        <v>1</v>
      </c>
      <c r="L2165" s="5">
        <f>IFERROR(VLOOKUP(Consulta1[[#This Row],[Pozo largo]],Controles!B:J,9,FALSE),"NO")</f>
        <v>0</v>
      </c>
    </row>
    <row r="2166" spans="2:12" x14ac:dyDescent="0.35">
      <c r="B2166" s="4" t="s">
        <v>4147</v>
      </c>
      <c r="C2166" s="4" t="s">
        <v>7876</v>
      </c>
      <c r="D2166" s="4" t="s">
        <v>5</v>
      </c>
      <c r="E2166" s="4" t="s">
        <v>12</v>
      </c>
      <c r="F2166" s="4" t="s">
        <v>238</v>
      </c>
      <c r="G2166" s="4" t="s">
        <v>13</v>
      </c>
      <c r="H2166" s="4" t="s">
        <v>21</v>
      </c>
      <c r="I2166" s="5" t="str">
        <f>IFERROR(VLOOKUP(Consulta1[[#This Row],[Pozo largo]],'Lista YPF'!$B$3:$C$358,2,FALSE),"NO")</f>
        <v>NO</v>
      </c>
      <c r="J2166" s="5" t="str">
        <f>IFERROR(VLOOKUP(Consulta1[[#This Row],[Pozo]],'Lista Oportunidades'!B:C,2,FALSE),"NO")</f>
        <v>NO</v>
      </c>
      <c r="K2166" s="5">
        <f>IFERROR(VLOOKUP(Consulta1[[#This Row],[Pozo largo]],Controles!B:H,7,FALSE),"NO")</f>
        <v>0.73599999999999999</v>
      </c>
      <c r="L2166" s="5">
        <f>IFERROR(VLOOKUP(Consulta1[[#This Row],[Pozo largo]],Controles!B:J,9,FALSE),"NO")</f>
        <v>0</v>
      </c>
    </row>
    <row r="2167" spans="2:12" x14ac:dyDescent="0.35">
      <c r="B2167" s="4" t="s">
        <v>4149</v>
      </c>
      <c r="C2167" s="4" t="s">
        <v>7877</v>
      </c>
      <c r="D2167" s="4" t="s">
        <v>5</v>
      </c>
      <c r="E2167" s="4" t="s">
        <v>12</v>
      </c>
      <c r="F2167" s="4" t="s">
        <v>28</v>
      </c>
      <c r="G2167" s="4" t="s">
        <v>13</v>
      </c>
      <c r="H2167" s="4" t="s">
        <v>21</v>
      </c>
      <c r="I2167" s="5" t="str">
        <f>IFERROR(VLOOKUP(Consulta1[[#This Row],[Pozo largo]],'Lista YPF'!$B$3:$C$358,2,FALSE),"NO")</f>
        <v>NO</v>
      </c>
      <c r="J2167" s="5" t="str">
        <f>IFERROR(VLOOKUP(Consulta1[[#This Row],[Pozo]],'Lista Oportunidades'!B:C,2,FALSE),"NO")</f>
        <v>NO</v>
      </c>
      <c r="K2167" s="5">
        <f>IFERROR(VLOOKUP(Consulta1[[#This Row],[Pozo largo]],Controles!B:H,7,FALSE),"NO")</f>
        <v>0</v>
      </c>
      <c r="L2167" s="5">
        <f>IFERROR(VLOOKUP(Consulta1[[#This Row],[Pozo largo]],Controles!B:J,9,FALSE),"NO")</f>
        <v>0</v>
      </c>
    </row>
    <row r="2168" spans="2:12" x14ac:dyDescent="0.35">
      <c r="B2168" s="4" t="s">
        <v>4151</v>
      </c>
      <c r="C2168" s="4" t="s">
        <v>7878</v>
      </c>
      <c r="D2168" s="4" t="s">
        <v>5</v>
      </c>
      <c r="E2168" s="4" t="s">
        <v>24</v>
      </c>
      <c r="F2168" s="4" t="s">
        <v>7</v>
      </c>
      <c r="G2168" s="4" t="s">
        <v>8</v>
      </c>
      <c r="H2168" s="4" t="s">
        <v>21</v>
      </c>
      <c r="I2168" s="5" t="str">
        <f>IFERROR(VLOOKUP(Consulta1[[#This Row],[Pozo largo]],'Lista YPF'!$B$3:$C$358,2,FALSE),"NO")</f>
        <v>NO</v>
      </c>
      <c r="J2168" s="5" t="str">
        <f>IFERROR(VLOOKUP(Consulta1[[#This Row],[Pozo]],'Lista Oportunidades'!B:C,2,FALSE),"NO")</f>
        <v>NO</v>
      </c>
      <c r="K2168" s="5">
        <f>IFERROR(VLOOKUP(Consulta1[[#This Row],[Pozo largo]],Controles!B:H,7,FALSE),"NO")</f>
        <v>0.6</v>
      </c>
      <c r="L2168" s="5">
        <f>IFERROR(VLOOKUP(Consulta1[[#This Row],[Pozo largo]],Controles!B:J,9,FALSE),"NO")</f>
        <v>0</v>
      </c>
    </row>
    <row r="2169" spans="2:12" x14ac:dyDescent="0.35">
      <c r="B2169" s="4" t="s">
        <v>4153</v>
      </c>
      <c r="C2169" s="4" t="s">
        <v>7879</v>
      </c>
      <c r="D2169" s="4" t="s">
        <v>5</v>
      </c>
      <c r="E2169" s="4" t="s">
        <v>24</v>
      </c>
      <c r="F2169" s="4" t="s">
        <v>31</v>
      </c>
      <c r="G2169" s="4" t="s">
        <v>8</v>
      </c>
      <c r="H2169" s="4" t="s">
        <v>21</v>
      </c>
      <c r="I2169" s="5" t="str">
        <f>IFERROR(VLOOKUP(Consulta1[[#This Row],[Pozo largo]],'Lista YPF'!$B$3:$C$358,2,FALSE),"NO")</f>
        <v>NO</v>
      </c>
      <c r="J2169" s="5" t="str">
        <f>IFERROR(VLOOKUP(Consulta1[[#This Row],[Pozo]],'Lista Oportunidades'!B:C,2,FALSE),"NO")</f>
        <v>NO</v>
      </c>
      <c r="K2169" s="5">
        <f>IFERROR(VLOOKUP(Consulta1[[#This Row],[Pozo largo]],Controles!B:H,7,FALSE),"NO")</f>
        <v>0.08</v>
      </c>
      <c r="L2169" s="5">
        <f>IFERROR(VLOOKUP(Consulta1[[#This Row],[Pozo largo]],Controles!B:J,9,FALSE),"NO")</f>
        <v>0</v>
      </c>
    </row>
    <row r="2170" spans="2:12" x14ac:dyDescent="0.35">
      <c r="B2170" s="4" t="s">
        <v>4155</v>
      </c>
      <c r="C2170" s="4" t="s">
        <v>7880</v>
      </c>
      <c r="D2170" s="4" t="s">
        <v>5</v>
      </c>
      <c r="E2170" s="4" t="s">
        <v>12</v>
      </c>
      <c r="F2170" s="4" t="s">
        <v>28</v>
      </c>
      <c r="G2170" s="4" t="s">
        <v>13</v>
      </c>
      <c r="H2170" s="4" t="s">
        <v>21</v>
      </c>
      <c r="I2170" s="5" t="str">
        <f>IFERROR(VLOOKUP(Consulta1[[#This Row],[Pozo largo]],'Lista YPF'!$B$3:$C$358,2,FALSE),"NO")</f>
        <v>NO</v>
      </c>
      <c r="J2170" s="5" t="str">
        <f>IFERROR(VLOOKUP(Consulta1[[#This Row],[Pozo]],'Lista Oportunidades'!B:C,2,FALSE),"NO")</f>
        <v>NO</v>
      </c>
      <c r="K2170" s="5">
        <f>IFERROR(VLOOKUP(Consulta1[[#This Row],[Pozo largo]],Controles!B:H,7,FALSE),"NO")</f>
        <v>0</v>
      </c>
      <c r="L2170" s="5">
        <f>IFERROR(VLOOKUP(Consulta1[[#This Row],[Pozo largo]],Controles!B:J,9,FALSE),"NO")</f>
        <v>0</v>
      </c>
    </row>
    <row r="2171" spans="2:12" x14ac:dyDescent="0.35">
      <c r="B2171" s="4" t="s">
        <v>4157</v>
      </c>
      <c r="C2171" s="4" t="s">
        <v>7881</v>
      </c>
      <c r="D2171" s="4" t="s">
        <v>5</v>
      </c>
      <c r="E2171" s="4" t="s">
        <v>12</v>
      </c>
      <c r="F2171" s="4" t="s">
        <v>7</v>
      </c>
      <c r="G2171" s="4" t="s">
        <v>13</v>
      </c>
      <c r="H2171" s="4" t="s">
        <v>33</v>
      </c>
      <c r="I2171" s="5" t="str">
        <f>IFERROR(VLOOKUP(Consulta1[[#This Row],[Pozo largo]],'Lista YPF'!$B$3:$C$358,2,FALSE),"NO")</f>
        <v>NO</v>
      </c>
      <c r="J2171" s="5" t="str">
        <f>IFERROR(VLOOKUP(Consulta1[[#This Row],[Pozo]],'Lista Oportunidades'!B:C,2,FALSE),"NO")</f>
        <v>NO</v>
      </c>
      <c r="K2171" s="5">
        <f>IFERROR(VLOOKUP(Consulta1[[#This Row],[Pozo largo]],Controles!B:H,7,FALSE),"NO")</f>
        <v>0.8580000000000001</v>
      </c>
      <c r="L2171" s="5">
        <f>IFERROR(VLOOKUP(Consulta1[[#This Row],[Pozo largo]],Controles!B:J,9,FALSE),"NO")</f>
        <v>0</v>
      </c>
    </row>
    <row r="2172" spans="2:12" x14ac:dyDescent="0.35">
      <c r="B2172" s="4" t="s">
        <v>4159</v>
      </c>
      <c r="C2172" s="4" t="s">
        <v>7882</v>
      </c>
      <c r="D2172" s="4" t="s">
        <v>5</v>
      </c>
      <c r="E2172" s="4" t="s">
        <v>12</v>
      </c>
      <c r="F2172" s="4" t="s">
        <v>7</v>
      </c>
      <c r="G2172" s="4" t="s">
        <v>13</v>
      </c>
      <c r="H2172" s="4" t="s">
        <v>21</v>
      </c>
      <c r="I2172" s="5" t="str">
        <f>IFERROR(VLOOKUP(Consulta1[[#This Row],[Pozo largo]],'Lista YPF'!$B$3:$C$358,2,FALSE),"NO")</f>
        <v>NO</v>
      </c>
      <c r="J2172" s="5" t="str">
        <f>IFERROR(VLOOKUP(Consulta1[[#This Row],[Pozo]],'Lista Oportunidades'!B:C,2,FALSE),"NO")</f>
        <v>NO</v>
      </c>
      <c r="K2172" s="5">
        <f>IFERROR(VLOOKUP(Consulta1[[#This Row],[Pozo largo]],Controles!B:H,7,FALSE),"NO")</f>
        <v>0.44</v>
      </c>
      <c r="L2172" s="5">
        <f>IFERROR(VLOOKUP(Consulta1[[#This Row],[Pozo largo]],Controles!B:J,9,FALSE),"NO")</f>
        <v>0</v>
      </c>
    </row>
    <row r="2173" spans="2:12" x14ac:dyDescent="0.35">
      <c r="B2173" s="4" t="s">
        <v>4161</v>
      </c>
      <c r="C2173" s="4" t="s">
        <v>7883</v>
      </c>
      <c r="D2173" s="4" t="s">
        <v>5</v>
      </c>
      <c r="E2173" s="4" t="s">
        <v>12</v>
      </c>
      <c r="F2173" s="4" t="s">
        <v>7</v>
      </c>
      <c r="G2173" s="4" t="s">
        <v>13</v>
      </c>
      <c r="H2173" s="4" t="s">
        <v>33</v>
      </c>
      <c r="I2173" s="5" t="str">
        <f>IFERROR(VLOOKUP(Consulta1[[#This Row],[Pozo largo]],'Lista YPF'!$B$3:$C$358,2,FALSE),"NO")</f>
        <v>NO</v>
      </c>
      <c r="J2173" s="5" t="str">
        <f>IFERROR(VLOOKUP(Consulta1[[#This Row],[Pozo]],'Lista Oportunidades'!B:C,2,FALSE),"NO")</f>
        <v>NO</v>
      </c>
      <c r="K2173" s="5">
        <f>IFERROR(VLOOKUP(Consulta1[[#This Row],[Pozo largo]],Controles!B:H,7,FALSE),"NO")</f>
        <v>1.8440000000000001</v>
      </c>
      <c r="L2173" s="5">
        <f>IFERROR(VLOOKUP(Consulta1[[#This Row],[Pozo largo]],Controles!B:J,9,FALSE),"NO")</f>
        <v>0</v>
      </c>
    </row>
    <row r="2174" spans="2:12" x14ac:dyDescent="0.35">
      <c r="B2174" s="4" t="s">
        <v>4163</v>
      </c>
      <c r="C2174" s="4" t="s">
        <v>7884</v>
      </c>
      <c r="D2174" s="4" t="s">
        <v>5</v>
      </c>
      <c r="E2174" s="4" t="s">
        <v>12</v>
      </c>
      <c r="F2174" s="4" t="s">
        <v>28</v>
      </c>
      <c r="G2174" s="4" t="s">
        <v>13</v>
      </c>
      <c r="H2174" s="4" t="s">
        <v>33</v>
      </c>
      <c r="I2174" s="5" t="str">
        <f>IFERROR(VLOOKUP(Consulta1[[#This Row],[Pozo largo]],'Lista YPF'!$B$3:$C$358,2,FALSE),"NO")</f>
        <v>NO</v>
      </c>
      <c r="J2174" s="5" t="str">
        <f>IFERROR(VLOOKUP(Consulta1[[#This Row],[Pozo]],'Lista Oportunidades'!B:C,2,FALSE),"NO")</f>
        <v>NO</v>
      </c>
      <c r="K2174" s="5">
        <f>IFERROR(VLOOKUP(Consulta1[[#This Row],[Pozo largo]],Controles!B:H,7,FALSE),"NO")</f>
        <v>0</v>
      </c>
      <c r="L2174" s="5">
        <f>IFERROR(VLOOKUP(Consulta1[[#This Row],[Pozo largo]],Controles!B:J,9,FALSE),"NO")</f>
        <v>0</v>
      </c>
    </row>
    <row r="2175" spans="2:12" x14ac:dyDescent="0.35">
      <c r="B2175" s="4" t="s">
        <v>4165</v>
      </c>
      <c r="C2175" s="4" t="s">
        <v>7885</v>
      </c>
      <c r="D2175" s="4" t="s">
        <v>5</v>
      </c>
      <c r="E2175" s="4" t="s">
        <v>430</v>
      </c>
      <c r="F2175" s="4" t="s">
        <v>238</v>
      </c>
      <c r="G2175" s="4" t="s">
        <v>5718</v>
      </c>
      <c r="H2175" s="4" t="s">
        <v>21</v>
      </c>
      <c r="I2175" s="5" t="str">
        <f>IFERROR(VLOOKUP(Consulta1[[#This Row],[Pozo largo]],'Lista YPF'!$B$3:$C$358,2,FALSE),"NO")</f>
        <v>En lista de Abandono</v>
      </c>
      <c r="J2175" s="5" t="str">
        <f>IFERROR(VLOOKUP(Consulta1[[#This Row],[Pozo]],'Lista Oportunidades'!B:C,2,FALSE),"NO")</f>
        <v>NO</v>
      </c>
      <c r="K2175" s="5">
        <f>IFERROR(VLOOKUP(Consulta1[[#This Row],[Pozo largo]],Controles!B:H,7,FALSE),"NO")</f>
        <v>1.08</v>
      </c>
      <c r="L2175" s="5">
        <f>IFERROR(VLOOKUP(Consulta1[[#This Row],[Pozo largo]],Controles!B:J,9,FALSE),"NO")</f>
        <v>0</v>
      </c>
    </row>
    <row r="2176" spans="2:12" x14ac:dyDescent="0.35">
      <c r="B2176" s="4" t="s">
        <v>4167</v>
      </c>
      <c r="C2176" s="4" t="s">
        <v>7886</v>
      </c>
      <c r="D2176" s="4" t="s">
        <v>5</v>
      </c>
      <c r="E2176" s="4" t="s">
        <v>12</v>
      </c>
      <c r="F2176" s="4" t="s">
        <v>238</v>
      </c>
      <c r="G2176" s="4" t="s">
        <v>13</v>
      </c>
      <c r="H2176" s="4" t="s">
        <v>33</v>
      </c>
      <c r="I2176" s="5" t="str">
        <f>IFERROR(VLOOKUP(Consulta1[[#This Row],[Pozo largo]],'Lista YPF'!$B$3:$C$358,2,FALSE),"NO")</f>
        <v>NO</v>
      </c>
      <c r="J2176" s="5" t="str">
        <f>IFERROR(VLOOKUP(Consulta1[[#This Row],[Pozo]],'Lista Oportunidades'!B:C,2,FALSE),"NO")</f>
        <v>NO</v>
      </c>
      <c r="K2176" s="5">
        <f>IFERROR(VLOOKUP(Consulta1[[#This Row],[Pozo largo]],Controles!B:H,7,FALSE),"NO")</f>
        <v>1.0720000000000001</v>
      </c>
      <c r="L2176" s="5">
        <f>IFERROR(VLOOKUP(Consulta1[[#This Row],[Pozo largo]],Controles!B:J,9,FALSE),"NO")</f>
        <v>0</v>
      </c>
    </row>
    <row r="2177" spans="2:12" x14ac:dyDescent="0.35">
      <c r="B2177" s="4" t="s">
        <v>4169</v>
      </c>
      <c r="C2177" s="4" t="s">
        <v>7887</v>
      </c>
      <c r="D2177" s="4" t="s">
        <v>5</v>
      </c>
      <c r="E2177" s="4" t="s">
        <v>57</v>
      </c>
      <c r="F2177" s="4" t="s">
        <v>7</v>
      </c>
      <c r="G2177" s="4" t="s">
        <v>5718</v>
      </c>
      <c r="H2177" s="4" t="s">
        <v>33</v>
      </c>
      <c r="I2177" s="5" t="str">
        <f>IFERROR(VLOOKUP(Consulta1[[#This Row],[Pozo largo]],'Lista YPF'!$B$3:$C$358,2,FALSE),"NO")</f>
        <v>En lista de Abandono</v>
      </c>
      <c r="J2177" s="5" t="str">
        <f>IFERROR(VLOOKUP(Consulta1[[#This Row],[Pozo]],'Lista Oportunidades'!B:C,2,FALSE),"NO")</f>
        <v>NO</v>
      </c>
      <c r="K2177" s="5">
        <f>IFERROR(VLOOKUP(Consulta1[[#This Row],[Pozo largo]],Controles!B:H,7,FALSE),"NO")</f>
        <v>0.93</v>
      </c>
      <c r="L2177" s="5">
        <f>IFERROR(VLOOKUP(Consulta1[[#This Row],[Pozo largo]],Controles!B:J,9,FALSE),"NO")</f>
        <v>0</v>
      </c>
    </row>
    <row r="2178" spans="2:12" x14ac:dyDescent="0.35">
      <c r="B2178" s="4" t="s">
        <v>4171</v>
      </c>
      <c r="C2178" s="4" t="s">
        <v>7888</v>
      </c>
      <c r="D2178" s="4" t="s">
        <v>5</v>
      </c>
      <c r="E2178" s="4" t="s">
        <v>24</v>
      </c>
      <c r="F2178" s="4" t="s">
        <v>7</v>
      </c>
      <c r="G2178" s="4" t="s">
        <v>8</v>
      </c>
      <c r="H2178" s="4" t="s">
        <v>33</v>
      </c>
      <c r="I2178" s="5" t="str">
        <f>IFERROR(VLOOKUP(Consulta1[[#This Row],[Pozo largo]],'Lista YPF'!$B$3:$C$358,2,FALSE),"NO")</f>
        <v>NO</v>
      </c>
      <c r="J2178" s="5" t="str">
        <f>IFERROR(VLOOKUP(Consulta1[[#This Row],[Pozo]],'Lista Oportunidades'!B:C,2,FALSE),"NO")</f>
        <v>NO</v>
      </c>
      <c r="K2178" s="5">
        <f>IFERROR(VLOOKUP(Consulta1[[#This Row],[Pozo largo]],Controles!B:H,7,FALSE),"NO")</f>
        <v>0.27500000000000002</v>
      </c>
      <c r="L2178" s="5">
        <f>IFERROR(VLOOKUP(Consulta1[[#This Row],[Pozo largo]],Controles!B:J,9,FALSE),"NO")</f>
        <v>0</v>
      </c>
    </row>
    <row r="2179" spans="2:12" x14ac:dyDescent="0.35">
      <c r="B2179" s="4" t="s">
        <v>4173</v>
      </c>
      <c r="C2179" s="4" t="s">
        <v>7889</v>
      </c>
      <c r="D2179" s="4" t="s">
        <v>5</v>
      </c>
      <c r="E2179" s="4" t="s">
        <v>24</v>
      </c>
      <c r="F2179" s="4" t="s">
        <v>31</v>
      </c>
      <c r="G2179" s="4" t="s">
        <v>8</v>
      </c>
      <c r="H2179" s="4" t="s">
        <v>36</v>
      </c>
      <c r="I2179" s="5" t="str">
        <f>IFERROR(VLOOKUP(Consulta1[[#This Row],[Pozo largo]],'Lista YPF'!$B$3:$C$358,2,FALSE),"NO")</f>
        <v>NO</v>
      </c>
      <c r="J2179" s="5" t="str">
        <f>IFERROR(VLOOKUP(Consulta1[[#This Row],[Pozo]],'Lista Oportunidades'!B:C,2,FALSE),"NO")</f>
        <v>NO</v>
      </c>
      <c r="K2179" s="5">
        <f>IFERROR(VLOOKUP(Consulta1[[#This Row],[Pozo largo]],Controles!B:H,7,FALSE),"NO")</f>
        <v>0.75</v>
      </c>
      <c r="L2179" s="5">
        <f>IFERROR(VLOOKUP(Consulta1[[#This Row],[Pozo largo]],Controles!B:J,9,FALSE),"NO")</f>
        <v>0</v>
      </c>
    </row>
    <row r="2180" spans="2:12" x14ac:dyDescent="0.35">
      <c r="B2180" s="4" t="s">
        <v>4175</v>
      </c>
      <c r="C2180" s="4" t="s">
        <v>7890</v>
      </c>
      <c r="D2180" s="4" t="s">
        <v>5</v>
      </c>
      <c r="E2180" s="4" t="s">
        <v>24</v>
      </c>
      <c r="F2180" s="4" t="s">
        <v>25</v>
      </c>
      <c r="G2180" s="4" t="s">
        <v>8</v>
      </c>
      <c r="H2180" s="4" t="s">
        <v>254</v>
      </c>
      <c r="I2180" s="5" t="str">
        <f>IFERROR(VLOOKUP(Consulta1[[#This Row],[Pozo largo]],'Lista YPF'!$B$3:$C$358,2,FALSE),"NO")</f>
        <v>NO</v>
      </c>
      <c r="J2180" s="5" t="str">
        <f>IFERROR(VLOOKUP(Consulta1[[#This Row],[Pozo]],'Lista Oportunidades'!B:C,2,FALSE),"NO")</f>
        <v>NO</v>
      </c>
      <c r="K2180" s="5">
        <f>IFERROR(VLOOKUP(Consulta1[[#This Row],[Pozo largo]],Controles!B:H,7,FALSE),"NO")</f>
        <v>2.9000000000000001E-2</v>
      </c>
      <c r="L2180" s="5">
        <f>IFERROR(VLOOKUP(Consulta1[[#This Row],[Pozo largo]],Controles!B:J,9,FALSE),"NO")</f>
        <v>0</v>
      </c>
    </row>
    <row r="2181" spans="2:12" x14ac:dyDescent="0.35">
      <c r="B2181" s="4" t="s">
        <v>4177</v>
      </c>
      <c r="C2181" s="4" t="s">
        <v>7891</v>
      </c>
      <c r="D2181" s="4" t="s">
        <v>5</v>
      </c>
      <c r="E2181" s="4" t="s">
        <v>12</v>
      </c>
      <c r="F2181" s="4" t="s">
        <v>28</v>
      </c>
      <c r="G2181" s="4" t="s">
        <v>13</v>
      </c>
      <c r="H2181" s="4" t="s">
        <v>21</v>
      </c>
      <c r="I2181" s="5" t="str">
        <f>IFERROR(VLOOKUP(Consulta1[[#This Row],[Pozo largo]],'Lista YPF'!$B$3:$C$358,2,FALSE),"NO")</f>
        <v>NO</v>
      </c>
      <c r="J2181" s="5" t="str">
        <f>IFERROR(VLOOKUP(Consulta1[[#This Row],[Pozo]],'Lista Oportunidades'!B:C,2,FALSE),"NO")</f>
        <v>NO</v>
      </c>
      <c r="K2181" s="5">
        <f>IFERROR(VLOOKUP(Consulta1[[#This Row],[Pozo largo]],Controles!B:H,7,FALSE),"NO")</f>
        <v>0</v>
      </c>
      <c r="L2181" s="5">
        <f>IFERROR(VLOOKUP(Consulta1[[#This Row],[Pozo largo]],Controles!B:J,9,FALSE),"NO")</f>
        <v>0</v>
      </c>
    </row>
    <row r="2182" spans="2:12" x14ac:dyDescent="0.35">
      <c r="B2182" s="4" t="s">
        <v>4179</v>
      </c>
      <c r="C2182" s="4" t="s">
        <v>7892</v>
      </c>
      <c r="D2182" s="4" t="s">
        <v>5</v>
      </c>
      <c r="E2182" s="4" t="s">
        <v>12</v>
      </c>
      <c r="F2182" s="4" t="s">
        <v>28</v>
      </c>
      <c r="G2182" s="4" t="s">
        <v>13</v>
      </c>
      <c r="H2182" s="4" t="s">
        <v>36</v>
      </c>
      <c r="I2182" s="5" t="str">
        <f>IFERROR(VLOOKUP(Consulta1[[#This Row],[Pozo largo]],'Lista YPF'!$B$3:$C$358,2,FALSE),"NO")</f>
        <v>NO</v>
      </c>
      <c r="J2182" s="5" t="str">
        <f>IFERROR(VLOOKUP(Consulta1[[#This Row],[Pozo]],'Lista Oportunidades'!B:C,2,FALSE),"NO")</f>
        <v>NO</v>
      </c>
      <c r="K2182" s="5">
        <f>IFERROR(VLOOKUP(Consulta1[[#This Row],[Pozo largo]],Controles!B:H,7,FALSE),"NO")</f>
        <v>0</v>
      </c>
      <c r="L2182" s="5">
        <f>IFERROR(VLOOKUP(Consulta1[[#This Row],[Pozo largo]],Controles!B:J,9,FALSE),"NO")</f>
        <v>0</v>
      </c>
    </row>
    <row r="2183" spans="2:12" x14ac:dyDescent="0.35">
      <c r="B2183" s="4" t="s">
        <v>4181</v>
      </c>
      <c r="C2183" s="4" t="s">
        <v>7893</v>
      </c>
      <c r="D2183" s="4" t="s">
        <v>5</v>
      </c>
      <c r="E2183" s="4" t="s">
        <v>12</v>
      </c>
      <c r="F2183" s="4" t="s">
        <v>28</v>
      </c>
      <c r="G2183" s="4" t="s">
        <v>13</v>
      </c>
      <c r="H2183" s="4" t="s">
        <v>36</v>
      </c>
      <c r="I2183" s="5" t="str">
        <f>IFERROR(VLOOKUP(Consulta1[[#This Row],[Pozo largo]],'Lista YPF'!$B$3:$C$358,2,FALSE),"NO")</f>
        <v>NO</v>
      </c>
      <c r="J2183" s="5" t="str">
        <f>IFERROR(VLOOKUP(Consulta1[[#This Row],[Pozo]],'Lista Oportunidades'!B:C,2,FALSE),"NO")</f>
        <v>NO</v>
      </c>
      <c r="K2183" s="5">
        <f>IFERROR(VLOOKUP(Consulta1[[#This Row],[Pozo largo]],Controles!B:H,7,FALSE),"NO")</f>
        <v>0</v>
      </c>
      <c r="L2183" s="5">
        <f>IFERROR(VLOOKUP(Consulta1[[#This Row],[Pozo largo]],Controles!B:J,9,FALSE),"NO")</f>
        <v>0</v>
      </c>
    </row>
    <row r="2184" spans="2:12" x14ac:dyDescent="0.35">
      <c r="B2184" s="4" t="s">
        <v>4183</v>
      </c>
      <c r="C2184" s="4" t="s">
        <v>7894</v>
      </c>
      <c r="D2184" s="4" t="s">
        <v>5</v>
      </c>
      <c r="E2184" s="4" t="s">
        <v>57</v>
      </c>
      <c r="F2184" s="4" t="s">
        <v>31</v>
      </c>
      <c r="G2184" s="4" t="s">
        <v>5718</v>
      </c>
      <c r="H2184" s="4" t="s">
        <v>254</v>
      </c>
      <c r="I2184" s="5" t="str">
        <f>IFERROR(VLOOKUP(Consulta1[[#This Row],[Pozo largo]],'Lista YPF'!$B$3:$C$358,2,FALSE),"NO")</f>
        <v>En lista de Abandono</v>
      </c>
      <c r="J2184" s="5" t="str">
        <f>IFERROR(VLOOKUP(Consulta1[[#This Row],[Pozo]],'Lista Oportunidades'!B:C,2,FALSE),"NO")</f>
        <v>NO</v>
      </c>
      <c r="K2184" s="5">
        <f>IFERROR(VLOOKUP(Consulta1[[#This Row],[Pozo largo]],Controles!B:H,7,FALSE),"NO")</f>
        <v>0.1</v>
      </c>
      <c r="L2184" s="5">
        <f>IFERROR(VLOOKUP(Consulta1[[#This Row],[Pozo largo]],Controles!B:J,9,FALSE),"NO")</f>
        <v>0</v>
      </c>
    </row>
    <row r="2185" spans="2:12" x14ac:dyDescent="0.35">
      <c r="B2185" s="4" t="s">
        <v>4185</v>
      </c>
      <c r="C2185" s="4" t="s">
        <v>7895</v>
      </c>
      <c r="D2185" s="4" t="s">
        <v>5</v>
      </c>
      <c r="E2185" s="4" t="s">
        <v>12</v>
      </c>
      <c r="F2185" s="4" t="s">
        <v>25</v>
      </c>
      <c r="G2185" s="4" t="s">
        <v>13</v>
      </c>
      <c r="H2185" s="4" t="s">
        <v>36</v>
      </c>
      <c r="I2185" s="5" t="str">
        <f>IFERROR(VLOOKUP(Consulta1[[#This Row],[Pozo largo]],'Lista YPF'!$B$3:$C$358,2,FALSE),"NO")</f>
        <v>NO</v>
      </c>
      <c r="J2185" s="5" t="str">
        <f>IFERROR(VLOOKUP(Consulta1[[#This Row],[Pozo]],'Lista Oportunidades'!B:C,2,FALSE),"NO")</f>
        <v>NO</v>
      </c>
      <c r="K2185" s="5">
        <f>IFERROR(VLOOKUP(Consulta1[[#This Row],[Pozo largo]],Controles!B:H,7,FALSE),"NO")</f>
        <v>6.7000000000000004E-2</v>
      </c>
      <c r="L2185" s="5">
        <f>IFERROR(VLOOKUP(Consulta1[[#This Row],[Pozo largo]],Controles!B:J,9,FALSE),"NO")</f>
        <v>0</v>
      </c>
    </row>
    <row r="2186" spans="2:12" x14ac:dyDescent="0.35">
      <c r="B2186" s="4" t="s">
        <v>4187</v>
      </c>
      <c r="C2186" s="4" t="s">
        <v>7896</v>
      </c>
      <c r="D2186" s="4" t="s">
        <v>5</v>
      </c>
      <c r="E2186" s="4" t="s">
        <v>12</v>
      </c>
      <c r="F2186" s="4" t="s">
        <v>25</v>
      </c>
      <c r="G2186" s="4" t="s">
        <v>13</v>
      </c>
      <c r="H2186" s="4" t="s">
        <v>33</v>
      </c>
      <c r="I2186" s="5" t="str">
        <f>IFERROR(VLOOKUP(Consulta1[[#This Row],[Pozo largo]],'Lista YPF'!$B$3:$C$358,2,FALSE),"NO")</f>
        <v>NO</v>
      </c>
      <c r="J2186" s="5" t="str">
        <f>IFERROR(VLOOKUP(Consulta1[[#This Row],[Pozo]],'Lista Oportunidades'!B:C,2,FALSE),"NO")</f>
        <v>NO</v>
      </c>
      <c r="K2186" s="5">
        <f>IFERROR(VLOOKUP(Consulta1[[#This Row],[Pozo largo]],Controles!B:H,7,FALSE),"NO")</f>
        <v>6.7000000000000004E-2</v>
      </c>
      <c r="L2186" s="5">
        <f>IFERROR(VLOOKUP(Consulta1[[#This Row],[Pozo largo]],Controles!B:J,9,FALSE),"NO")</f>
        <v>0</v>
      </c>
    </row>
    <row r="2187" spans="2:12" x14ac:dyDescent="0.35">
      <c r="B2187" s="4" t="s">
        <v>4189</v>
      </c>
      <c r="C2187" s="4" t="s">
        <v>7897</v>
      </c>
      <c r="D2187" s="4" t="s">
        <v>5</v>
      </c>
      <c r="E2187" s="4" t="s">
        <v>12</v>
      </c>
      <c r="F2187" s="4" t="s">
        <v>7</v>
      </c>
      <c r="G2187" s="4" t="s">
        <v>13</v>
      </c>
      <c r="H2187" s="4" t="s">
        <v>33</v>
      </c>
      <c r="I2187" s="5" t="str">
        <f>IFERROR(VLOOKUP(Consulta1[[#This Row],[Pozo largo]],'Lista YPF'!$B$3:$C$358,2,FALSE),"NO")</f>
        <v>NO</v>
      </c>
      <c r="J2187" s="5" t="str">
        <f>IFERROR(VLOOKUP(Consulta1[[#This Row],[Pozo]],'Lista Oportunidades'!B:C,2,FALSE),"NO")</f>
        <v>NO</v>
      </c>
      <c r="K2187" s="5">
        <f>IFERROR(VLOOKUP(Consulta1[[#This Row],[Pozo largo]],Controles!B:H,7,FALSE),"NO")</f>
        <v>1.1120000000000001</v>
      </c>
      <c r="L2187" s="5">
        <f>IFERROR(VLOOKUP(Consulta1[[#This Row],[Pozo largo]],Controles!B:J,9,FALSE),"NO")</f>
        <v>0</v>
      </c>
    </row>
    <row r="2188" spans="2:12" x14ac:dyDescent="0.35">
      <c r="B2188" s="4" t="s">
        <v>4191</v>
      </c>
      <c r="C2188" s="4" t="s">
        <v>7898</v>
      </c>
      <c r="D2188" s="4" t="s">
        <v>5</v>
      </c>
      <c r="E2188" s="4" t="s">
        <v>6</v>
      </c>
      <c r="F2188" s="4" t="s">
        <v>7</v>
      </c>
      <c r="G2188" s="4" t="s">
        <v>11387</v>
      </c>
      <c r="H2188" s="4" t="s">
        <v>33</v>
      </c>
      <c r="I2188" s="5" t="str">
        <f>IFERROR(VLOOKUP(Consulta1[[#This Row],[Pozo largo]],'Lista YPF'!$B$3:$C$358,2,FALSE),"NO")</f>
        <v>NO</v>
      </c>
      <c r="J2188" s="5" t="str">
        <f>IFERROR(VLOOKUP(Consulta1[[#This Row],[Pozo]],'Lista Oportunidades'!B:C,2,FALSE),"NO")</f>
        <v>NO</v>
      </c>
      <c r="K2188" s="5">
        <f>IFERROR(VLOOKUP(Consulta1[[#This Row],[Pozo largo]],Controles!B:H,7,FALSE),"NO")</f>
        <v>0.12100000000000001</v>
      </c>
      <c r="L2188" s="5" t="str">
        <f>IFERROR(VLOOKUP(Consulta1[[#This Row],[Pozo largo]],Controles!B:J,9,FALSE),"NO")</f>
        <v>Ultimo Año</v>
      </c>
    </row>
    <row r="2189" spans="2:12" x14ac:dyDescent="0.35">
      <c r="B2189" s="4" t="s">
        <v>4193</v>
      </c>
      <c r="C2189" s="4" t="s">
        <v>7899</v>
      </c>
      <c r="D2189" s="4" t="s">
        <v>5</v>
      </c>
      <c r="E2189" s="4" t="s">
        <v>24</v>
      </c>
      <c r="F2189" s="4" t="s">
        <v>31</v>
      </c>
      <c r="G2189" s="4" t="s">
        <v>8</v>
      </c>
      <c r="H2189" s="4" t="s">
        <v>9</v>
      </c>
      <c r="I2189" s="5" t="str">
        <f>IFERROR(VLOOKUP(Consulta1[[#This Row],[Pozo largo]],'Lista YPF'!$B$3:$C$358,2,FALSE),"NO")</f>
        <v>NO</v>
      </c>
      <c r="J2189" s="5" t="str">
        <f>IFERROR(VLOOKUP(Consulta1[[#This Row],[Pozo]],'Lista Oportunidades'!B:C,2,FALSE),"NO")</f>
        <v>NO</v>
      </c>
      <c r="K2189" s="5">
        <f>IFERROR(VLOOKUP(Consulta1[[#This Row],[Pozo largo]],Controles!B:H,7,FALSE),"NO")</f>
        <v>0</v>
      </c>
      <c r="L2189" s="5">
        <f>IFERROR(VLOOKUP(Consulta1[[#This Row],[Pozo largo]],Controles!B:J,9,FALSE),"NO")</f>
        <v>0</v>
      </c>
    </row>
    <row r="2190" spans="2:12" x14ac:dyDescent="0.35">
      <c r="B2190" s="4" t="s">
        <v>4195</v>
      </c>
      <c r="C2190" s="4" t="s">
        <v>7900</v>
      </c>
      <c r="D2190" s="4" t="s">
        <v>5</v>
      </c>
      <c r="E2190" s="4" t="s">
        <v>12</v>
      </c>
      <c r="F2190" s="4" t="s">
        <v>7</v>
      </c>
      <c r="G2190" s="4" t="s">
        <v>13</v>
      </c>
      <c r="H2190" s="4" t="s">
        <v>33</v>
      </c>
      <c r="I2190" s="5" t="str">
        <f>IFERROR(VLOOKUP(Consulta1[[#This Row],[Pozo largo]],'Lista YPF'!$B$3:$C$358,2,FALSE),"NO")</f>
        <v>NO</v>
      </c>
      <c r="J2190" s="5" t="str">
        <f>IFERROR(VLOOKUP(Consulta1[[#This Row],[Pozo]],'Lista Oportunidades'!B:C,2,FALSE),"NO")</f>
        <v>NO</v>
      </c>
      <c r="K2190" s="5">
        <f>IFERROR(VLOOKUP(Consulta1[[#This Row],[Pozo largo]],Controles!B:H,7,FALSE),"NO")</f>
        <v>0.52500000000000002</v>
      </c>
      <c r="L2190" s="5">
        <f>IFERROR(VLOOKUP(Consulta1[[#This Row],[Pozo largo]],Controles!B:J,9,FALSE),"NO")</f>
        <v>0</v>
      </c>
    </row>
    <row r="2191" spans="2:12" x14ac:dyDescent="0.35">
      <c r="B2191" s="4" t="s">
        <v>4197</v>
      </c>
      <c r="C2191" s="4" t="s">
        <v>7901</v>
      </c>
      <c r="D2191" s="4" t="s">
        <v>5</v>
      </c>
      <c r="E2191" s="4" t="s">
        <v>12</v>
      </c>
      <c r="F2191" s="4" t="s">
        <v>28</v>
      </c>
      <c r="G2191" s="4" t="s">
        <v>13</v>
      </c>
      <c r="H2191" s="4" t="s">
        <v>9</v>
      </c>
      <c r="I2191" s="5" t="str">
        <f>IFERROR(VLOOKUP(Consulta1[[#This Row],[Pozo largo]],'Lista YPF'!$B$3:$C$358,2,FALSE),"NO")</f>
        <v>NO</v>
      </c>
      <c r="J2191" s="5" t="str">
        <f>IFERROR(VLOOKUP(Consulta1[[#This Row],[Pozo]],'Lista Oportunidades'!B:C,2,FALSE),"NO")</f>
        <v>NO</v>
      </c>
      <c r="K2191" s="5">
        <f>IFERROR(VLOOKUP(Consulta1[[#This Row],[Pozo largo]],Controles!B:H,7,FALSE),"NO")</f>
        <v>0</v>
      </c>
      <c r="L2191" s="5">
        <f>IFERROR(VLOOKUP(Consulta1[[#This Row],[Pozo largo]],Controles!B:J,9,FALSE),"NO")</f>
        <v>0</v>
      </c>
    </row>
    <row r="2192" spans="2:12" x14ac:dyDescent="0.35">
      <c r="B2192" s="4" t="s">
        <v>4199</v>
      </c>
      <c r="C2192" s="4" t="s">
        <v>7902</v>
      </c>
      <c r="D2192" s="4" t="s">
        <v>5</v>
      </c>
      <c r="E2192" s="4" t="s">
        <v>30</v>
      </c>
      <c r="F2192" s="4" t="s">
        <v>31</v>
      </c>
      <c r="G2192" s="4" t="s">
        <v>32</v>
      </c>
      <c r="H2192" s="4" t="s">
        <v>33</v>
      </c>
      <c r="I2192" s="5" t="str">
        <f>IFERROR(VLOOKUP(Consulta1[[#This Row],[Pozo largo]],'Lista YPF'!$B$3:$C$358,2,FALSE),"NO")</f>
        <v>NO</v>
      </c>
      <c r="J2192" s="5" t="str">
        <f>IFERROR(VLOOKUP(Consulta1[[#This Row],[Pozo]],'Lista Oportunidades'!B:C,2,FALSE),"NO")</f>
        <v>NO</v>
      </c>
      <c r="K2192" s="5">
        <f>IFERROR(VLOOKUP(Consulta1[[#This Row],[Pozo largo]],Controles!B:H,7,FALSE),"NO")</f>
        <v>0</v>
      </c>
      <c r="L2192" s="5">
        <f>IFERROR(VLOOKUP(Consulta1[[#This Row],[Pozo largo]],Controles!B:J,9,FALSE),"NO")</f>
        <v>0</v>
      </c>
    </row>
    <row r="2193" spans="2:12" x14ac:dyDescent="0.35">
      <c r="B2193" s="4" t="s">
        <v>4201</v>
      </c>
      <c r="C2193" s="4" t="s">
        <v>7903</v>
      </c>
      <c r="D2193" s="4" t="s">
        <v>5</v>
      </c>
      <c r="E2193" s="4" t="s">
        <v>30</v>
      </c>
      <c r="F2193" s="4" t="s">
        <v>31</v>
      </c>
      <c r="G2193" s="4" t="s">
        <v>32</v>
      </c>
      <c r="H2193" s="4" t="s">
        <v>91</v>
      </c>
      <c r="I2193" s="5" t="str">
        <f>IFERROR(VLOOKUP(Consulta1[[#This Row],[Pozo largo]],'Lista YPF'!$B$3:$C$358,2,FALSE),"NO")</f>
        <v>NO</v>
      </c>
      <c r="J2193" s="5" t="str">
        <f>IFERROR(VLOOKUP(Consulta1[[#This Row],[Pozo]],'Lista Oportunidades'!B:C,2,FALSE),"NO")</f>
        <v>NO</v>
      </c>
      <c r="K2193" s="5" t="str">
        <f>IFERROR(VLOOKUP(Consulta1[[#This Row],[Pozo largo]],Controles!B:H,7,FALSE),"NO")</f>
        <v>NO</v>
      </c>
      <c r="L2193" s="5" t="str">
        <f>IFERROR(VLOOKUP(Consulta1[[#This Row],[Pozo largo]],Controles!B:J,9,FALSE),"NO")</f>
        <v>NO</v>
      </c>
    </row>
    <row r="2194" spans="2:12" x14ac:dyDescent="0.35">
      <c r="B2194" s="4" t="s">
        <v>4202</v>
      </c>
      <c r="C2194" s="4" t="s">
        <v>7904</v>
      </c>
      <c r="D2194" s="4" t="s">
        <v>5</v>
      </c>
      <c r="E2194" s="4" t="s">
        <v>12</v>
      </c>
      <c r="F2194" s="4" t="s">
        <v>7</v>
      </c>
      <c r="G2194" s="4" t="s">
        <v>13</v>
      </c>
      <c r="H2194" s="4" t="s">
        <v>74</v>
      </c>
      <c r="I2194" s="5" t="str">
        <f>IFERROR(VLOOKUP(Consulta1[[#This Row],[Pozo largo]],'Lista YPF'!$B$3:$C$358,2,FALSE),"NO")</f>
        <v>NO</v>
      </c>
      <c r="J2194" s="5" t="str">
        <f>IFERROR(VLOOKUP(Consulta1[[#This Row],[Pozo]],'Lista Oportunidades'!B:C,2,FALSE),"NO")</f>
        <v>NO</v>
      </c>
      <c r="K2194" s="5">
        <f>IFERROR(VLOOKUP(Consulta1[[#This Row],[Pozo largo]],Controles!B:H,7,FALSE),"NO")</f>
        <v>4.5</v>
      </c>
      <c r="L2194" s="5">
        <f>IFERROR(VLOOKUP(Consulta1[[#This Row],[Pozo largo]],Controles!B:J,9,FALSE),"NO")</f>
        <v>0</v>
      </c>
    </row>
    <row r="2195" spans="2:12" x14ac:dyDescent="0.35">
      <c r="B2195" s="4" t="s">
        <v>4204</v>
      </c>
      <c r="C2195" s="4" t="s">
        <v>7905</v>
      </c>
      <c r="D2195" s="4" t="s">
        <v>5</v>
      </c>
      <c r="E2195" s="4" t="s">
        <v>24</v>
      </c>
      <c r="F2195" s="4" t="s">
        <v>25</v>
      </c>
      <c r="G2195" s="4" t="s">
        <v>11387</v>
      </c>
      <c r="H2195" s="4" t="s">
        <v>86</v>
      </c>
      <c r="I2195" s="5" t="str">
        <f>IFERROR(VLOOKUP(Consulta1[[#This Row],[Pozo largo]],'Lista YPF'!$B$3:$C$358,2,FALSE),"NO")</f>
        <v>NO</v>
      </c>
      <c r="J2195" s="5" t="str">
        <f>IFERROR(VLOOKUP(Consulta1[[#This Row],[Pozo]],'Lista Oportunidades'!B:C,2,FALSE),"NO")</f>
        <v>NO</v>
      </c>
      <c r="K2195" s="5">
        <f>IFERROR(VLOOKUP(Consulta1[[#This Row],[Pozo largo]],Controles!B:H,7,FALSE),"NO")</f>
        <v>0.01</v>
      </c>
      <c r="L2195" s="5" t="str">
        <f>IFERROR(VLOOKUP(Consulta1[[#This Row],[Pozo largo]],Controles!B:J,9,FALSE),"NO")</f>
        <v>Ultimo Año</v>
      </c>
    </row>
    <row r="2196" spans="2:12" x14ac:dyDescent="0.35">
      <c r="B2196" s="4" t="s">
        <v>4206</v>
      </c>
      <c r="C2196" s="4" t="s">
        <v>7906</v>
      </c>
      <c r="D2196" s="4" t="s">
        <v>5</v>
      </c>
      <c r="E2196" s="4" t="s">
        <v>12</v>
      </c>
      <c r="F2196" s="4" t="s">
        <v>28</v>
      </c>
      <c r="G2196" s="4" t="s">
        <v>13</v>
      </c>
      <c r="H2196" s="4" t="s">
        <v>185</v>
      </c>
      <c r="I2196" s="5" t="str">
        <f>IFERROR(VLOOKUP(Consulta1[[#This Row],[Pozo largo]],'Lista YPF'!$B$3:$C$358,2,FALSE),"NO")</f>
        <v>NO</v>
      </c>
      <c r="J2196" s="5" t="str">
        <f>IFERROR(VLOOKUP(Consulta1[[#This Row],[Pozo]],'Lista Oportunidades'!B:C,2,FALSE),"NO")</f>
        <v>NO</v>
      </c>
      <c r="K2196" s="5">
        <f>IFERROR(VLOOKUP(Consulta1[[#This Row],[Pozo largo]],Controles!B:H,7,FALSE),"NO")</f>
        <v>0</v>
      </c>
      <c r="L2196" s="5">
        <f>IFERROR(VLOOKUP(Consulta1[[#This Row],[Pozo largo]],Controles!B:J,9,FALSE),"NO")</f>
        <v>0</v>
      </c>
    </row>
    <row r="2197" spans="2:12" x14ac:dyDescent="0.35">
      <c r="B2197" s="4" t="s">
        <v>4208</v>
      </c>
      <c r="C2197" s="4" t="s">
        <v>7907</v>
      </c>
      <c r="D2197" s="4" t="s">
        <v>5</v>
      </c>
      <c r="E2197" s="4" t="s">
        <v>12</v>
      </c>
      <c r="F2197" s="4" t="s">
        <v>7</v>
      </c>
      <c r="G2197" s="4" t="s">
        <v>13</v>
      </c>
      <c r="H2197" s="4" t="s">
        <v>185</v>
      </c>
      <c r="I2197" s="5" t="str">
        <f>IFERROR(VLOOKUP(Consulta1[[#This Row],[Pozo largo]],'Lista YPF'!$B$3:$C$358,2,FALSE),"NO")</f>
        <v>NO</v>
      </c>
      <c r="J2197" s="5" t="str">
        <f>IFERROR(VLOOKUP(Consulta1[[#This Row],[Pozo]],'Lista Oportunidades'!B:C,2,FALSE),"NO")</f>
        <v>NO</v>
      </c>
      <c r="K2197" s="5">
        <f>IFERROR(VLOOKUP(Consulta1[[#This Row],[Pozo largo]],Controles!B:H,7,FALSE),"NO")</f>
        <v>1.1840000000000002</v>
      </c>
      <c r="L2197" s="5">
        <f>IFERROR(VLOOKUP(Consulta1[[#This Row],[Pozo largo]],Controles!B:J,9,FALSE),"NO")</f>
        <v>0</v>
      </c>
    </row>
    <row r="2198" spans="2:12" x14ac:dyDescent="0.35">
      <c r="B2198" s="4" t="s">
        <v>4210</v>
      </c>
      <c r="C2198" s="4" t="s">
        <v>7908</v>
      </c>
      <c r="D2198" s="4" t="s">
        <v>5</v>
      </c>
      <c r="E2198" s="4" t="s">
        <v>57</v>
      </c>
      <c r="F2198" s="4" t="s">
        <v>7</v>
      </c>
      <c r="G2198" s="4" t="s">
        <v>5718</v>
      </c>
      <c r="H2198" s="4" t="s">
        <v>21</v>
      </c>
      <c r="I2198" s="5" t="str">
        <f>IFERROR(VLOOKUP(Consulta1[[#This Row],[Pozo largo]],'Lista YPF'!$B$3:$C$358,2,FALSE),"NO")</f>
        <v>En lista de Abandono</v>
      </c>
      <c r="J2198" s="5" t="str">
        <f>IFERROR(VLOOKUP(Consulta1[[#This Row],[Pozo]],'Lista Oportunidades'!B:C,2,FALSE),"NO")</f>
        <v>NO</v>
      </c>
      <c r="K2198" s="5">
        <f>IFERROR(VLOOKUP(Consulta1[[#This Row],[Pozo largo]],Controles!B:H,7,FALSE),"NO")</f>
        <v>0.5</v>
      </c>
      <c r="L2198" s="5">
        <f>IFERROR(VLOOKUP(Consulta1[[#This Row],[Pozo largo]],Controles!B:J,9,FALSE),"NO")</f>
        <v>0</v>
      </c>
    </row>
    <row r="2199" spans="2:12" x14ac:dyDescent="0.35">
      <c r="B2199" s="4" t="s">
        <v>4212</v>
      </c>
      <c r="C2199" s="4" t="s">
        <v>7909</v>
      </c>
      <c r="D2199" s="4" t="s">
        <v>5</v>
      </c>
      <c r="E2199" s="4" t="s">
        <v>24</v>
      </c>
      <c r="F2199" s="4" t="s">
        <v>7</v>
      </c>
      <c r="G2199" s="4" t="s">
        <v>8</v>
      </c>
      <c r="H2199" s="4" t="s">
        <v>254</v>
      </c>
      <c r="I2199" s="5" t="str">
        <f>IFERROR(VLOOKUP(Consulta1[[#This Row],[Pozo largo]],'Lista YPF'!$B$3:$C$358,2,FALSE),"NO")</f>
        <v>NO</v>
      </c>
      <c r="J2199" s="5" t="str">
        <f>IFERROR(VLOOKUP(Consulta1[[#This Row],[Pozo]],'Lista Oportunidades'!B:C,2,FALSE),"NO")</f>
        <v>NO</v>
      </c>
      <c r="K2199" s="5">
        <f>IFERROR(VLOOKUP(Consulta1[[#This Row],[Pozo largo]],Controles!B:H,7,FALSE),"NO")</f>
        <v>0.72</v>
      </c>
      <c r="L2199" s="5">
        <f>IFERROR(VLOOKUP(Consulta1[[#This Row],[Pozo largo]],Controles!B:J,9,FALSE),"NO")</f>
        <v>0</v>
      </c>
    </row>
    <row r="2200" spans="2:12" x14ac:dyDescent="0.35">
      <c r="B2200" s="4" t="s">
        <v>4214</v>
      </c>
      <c r="C2200" s="4" t="s">
        <v>7910</v>
      </c>
      <c r="D2200" s="4" t="s">
        <v>5</v>
      </c>
      <c r="E2200" s="4" t="s">
        <v>12</v>
      </c>
      <c r="F2200" s="4" t="s">
        <v>28</v>
      </c>
      <c r="G2200" s="4" t="s">
        <v>13</v>
      </c>
      <c r="H2200" s="4" t="s">
        <v>9</v>
      </c>
      <c r="I2200" s="5" t="str">
        <f>IFERROR(VLOOKUP(Consulta1[[#This Row],[Pozo largo]],'Lista YPF'!$B$3:$C$358,2,FALSE),"NO")</f>
        <v>NO</v>
      </c>
      <c r="J2200" s="5" t="str">
        <f>IFERROR(VLOOKUP(Consulta1[[#This Row],[Pozo]],'Lista Oportunidades'!B:C,2,FALSE),"NO")</f>
        <v>NO</v>
      </c>
      <c r="K2200" s="5">
        <f>IFERROR(VLOOKUP(Consulta1[[#This Row],[Pozo largo]],Controles!B:H,7,FALSE),"NO")</f>
        <v>0</v>
      </c>
      <c r="L2200" s="5">
        <f>IFERROR(VLOOKUP(Consulta1[[#This Row],[Pozo largo]],Controles!B:J,9,FALSE),"NO")</f>
        <v>0</v>
      </c>
    </row>
    <row r="2201" spans="2:12" x14ac:dyDescent="0.35">
      <c r="B2201" s="4" t="s">
        <v>4216</v>
      </c>
      <c r="C2201" s="4" t="s">
        <v>7911</v>
      </c>
      <c r="D2201" s="4" t="s">
        <v>5</v>
      </c>
      <c r="E2201" s="4" t="s">
        <v>12</v>
      </c>
      <c r="F2201" s="4" t="s">
        <v>7</v>
      </c>
      <c r="G2201" s="4" t="s">
        <v>13</v>
      </c>
      <c r="H2201" s="4" t="s">
        <v>36</v>
      </c>
      <c r="I2201" s="5" t="str">
        <f>IFERROR(VLOOKUP(Consulta1[[#This Row],[Pozo largo]],'Lista YPF'!$B$3:$C$358,2,FALSE),"NO")</f>
        <v>NO</v>
      </c>
      <c r="J2201" s="5" t="str">
        <f>IFERROR(VLOOKUP(Consulta1[[#This Row],[Pozo]],'Lista Oportunidades'!B:C,2,FALSE),"NO")</f>
        <v>NO</v>
      </c>
      <c r="K2201" s="5">
        <f>IFERROR(VLOOKUP(Consulta1[[#This Row],[Pozo largo]],Controles!B:H,7,FALSE),"NO")</f>
        <v>1.248</v>
      </c>
      <c r="L2201" s="5">
        <f>IFERROR(VLOOKUP(Consulta1[[#This Row],[Pozo largo]],Controles!B:J,9,FALSE),"NO")</f>
        <v>0</v>
      </c>
    </row>
    <row r="2202" spans="2:12" x14ac:dyDescent="0.35">
      <c r="B2202" s="4" t="s">
        <v>4218</v>
      </c>
      <c r="C2202" s="4" t="s">
        <v>7912</v>
      </c>
      <c r="D2202" s="4" t="s">
        <v>5</v>
      </c>
      <c r="E2202" s="4" t="s">
        <v>6</v>
      </c>
      <c r="F2202" s="4" t="s">
        <v>7</v>
      </c>
      <c r="G2202" s="4" t="s">
        <v>5718</v>
      </c>
      <c r="H2202" s="4" t="s">
        <v>149</v>
      </c>
      <c r="I2202" s="5" t="str">
        <f>IFERROR(VLOOKUP(Consulta1[[#This Row],[Pozo largo]],'Lista YPF'!$B$3:$C$358,2,FALSE),"NO")</f>
        <v>En lista de Abandono</v>
      </c>
      <c r="J2202" s="5" t="str">
        <f>IFERROR(VLOOKUP(Consulta1[[#This Row],[Pozo]],'Lista Oportunidades'!B:C,2,FALSE),"NO")</f>
        <v>NO</v>
      </c>
      <c r="K2202" s="5">
        <f>IFERROR(VLOOKUP(Consulta1[[#This Row],[Pozo largo]],Controles!B:H,7,FALSE),"NO")</f>
        <v>0.78</v>
      </c>
      <c r="L2202" s="5">
        <f>IFERROR(VLOOKUP(Consulta1[[#This Row],[Pozo largo]],Controles!B:J,9,FALSE),"NO")</f>
        <v>0</v>
      </c>
    </row>
    <row r="2203" spans="2:12" x14ac:dyDescent="0.35">
      <c r="B2203" s="4" t="s">
        <v>4220</v>
      </c>
      <c r="C2203" s="4" t="s">
        <v>7913</v>
      </c>
      <c r="D2203" s="4" t="s">
        <v>5</v>
      </c>
      <c r="E2203" s="4" t="s">
        <v>12</v>
      </c>
      <c r="F2203" s="4" t="s">
        <v>1151</v>
      </c>
      <c r="G2203" s="4" t="s">
        <v>13</v>
      </c>
      <c r="H2203" s="4" t="s">
        <v>16</v>
      </c>
      <c r="I2203" s="5" t="str">
        <f>IFERROR(VLOOKUP(Consulta1[[#This Row],[Pozo largo]],'Lista YPF'!$B$3:$C$358,2,FALSE),"NO")</f>
        <v>NO</v>
      </c>
      <c r="J2203" s="5" t="str">
        <f>IFERROR(VLOOKUP(Consulta1[[#This Row],[Pozo]],'Lista Oportunidades'!B:C,2,FALSE),"NO")</f>
        <v>NO</v>
      </c>
      <c r="K2203" s="5">
        <f>IFERROR(VLOOKUP(Consulta1[[#This Row],[Pozo largo]],Controles!B:H,7,FALSE),"NO")</f>
        <v>0.72</v>
      </c>
      <c r="L2203" s="5">
        <f>IFERROR(VLOOKUP(Consulta1[[#This Row],[Pozo largo]],Controles!B:J,9,FALSE),"NO")</f>
        <v>0</v>
      </c>
    </row>
    <row r="2204" spans="2:12" x14ac:dyDescent="0.35">
      <c r="B2204" s="4" t="s">
        <v>4222</v>
      </c>
      <c r="C2204" s="4" t="s">
        <v>7914</v>
      </c>
      <c r="D2204" s="4" t="s">
        <v>5</v>
      </c>
      <c r="E2204" s="4" t="s">
        <v>24</v>
      </c>
      <c r="F2204" s="4" t="s">
        <v>31</v>
      </c>
      <c r="G2204" s="4" t="s">
        <v>8</v>
      </c>
      <c r="H2204" s="4" t="s">
        <v>74</v>
      </c>
      <c r="I2204" s="5" t="str">
        <f>IFERROR(VLOOKUP(Consulta1[[#This Row],[Pozo largo]],'Lista YPF'!$B$3:$C$358,2,FALSE),"NO")</f>
        <v>NO</v>
      </c>
      <c r="J2204" s="5" t="str">
        <f>IFERROR(VLOOKUP(Consulta1[[#This Row],[Pozo]],'Lista Oportunidades'!B:C,2,FALSE),"NO")</f>
        <v>NO</v>
      </c>
      <c r="K2204" s="5" t="str">
        <f>IFERROR(VLOOKUP(Consulta1[[#This Row],[Pozo largo]],Controles!B:H,7,FALSE),"NO")</f>
        <v>NO</v>
      </c>
      <c r="L2204" s="5" t="str">
        <f>IFERROR(VLOOKUP(Consulta1[[#This Row],[Pozo largo]],Controles!B:J,9,FALSE),"NO")</f>
        <v>NO</v>
      </c>
    </row>
    <row r="2205" spans="2:12" x14ac:dyDescent="0.35">
      <c r="B2205" s="4" t="s">
        <v>4223</v>
      </c>
      <c r="C2205" s="4" t="s">
        <v>7915</v>
      </c>
      <c r="D2205" s="4" t="s">
        <v>5</v>
      </c>
      <c r="E2205" s="4" t="s">
        <v>30</v>
      </c>
      <c r="F2205" s="4" t="s">
        <v>31</v>
      </c>
      <c r="G2205" s="4" t="s">
        <v>32</v>
      </c>
      <c r="H2205" s="4" t="s">
        <v>36</v>
      </c>
      <c r="I2205" s="5" t="str">
        <f>IFERROR(VLOOKUP(Consulta1[[#This Row],[Pozo largo]],'Lista YPF'!$B$3:$C$358,2,FALSE),"NO")</f>
        <v>NO</v>
      </c>
      <c r="J2205" s="5" t="str">
        <f>IFERROR(VLOOKUP(Consulta1[[#This Row],[Pozo]],'Lista Oportunidades'!B:C,2,FALSE),"NO")</f>
        <v>NO</v>
      </c>
      <c r="K2205" s="5" t="str">
        <f>IFERROR(VLOOKUP(Consulta1[[#This Row],[Pozo largo]],Controles!B:H,7,FALSE),"NO")</f>
        <v>NO</v>
      </c>
      <c r="L2205" s="5" t="str">
        <f>IFERROR(VLOOKUP(Consulta1[[#This Row],[Pozo largo]],Controles!B:J,9,FALSE),"NO")</f>
        <v>NO</v>
      </c>
    </row>
    <row r="2206" spans="2:12" x14ac:dyDescent="0.35">
      <c r="B2206" s="4" t="s">
        <v>4224</v>
      </c>
      <c r="C2206" s="4" t="s">
        <v>7916</v>
      </c>
      <c r="D2206" s="4" t="s">
        <v>5</v>
      </c>
      <c r="E2206" s="4" t="s">
        <v>24</v>
      </c>
      <c r="F2206" s="4" t="s">
        <v>31</v>
      </c>
      <c r="G2206" s="4" t="s">
        <v>8</v>
      </c>
      <c r="H2206" s="4" t="s">
        <v>91</v>
      </c>
      <c r="I2206" s="5" t="str">
        <f>IFERROR(VLOOKUP(Consulta1[[#This Row],[Pozo largo]],'Lista YPF'!$B$3:$C$358,2,FALSE),"NO")</f>
        <v>NO</v>
      </c>
      <c r="J2206" s="5" t="str">
        <f>IFERROR(VLOOKUP(Consulta1[[#This Row],[Pozo]],'Lista Oportunidades'!B:C,2,FALSE),"NO")</f>
        <v>NO</v>
      </c>
      <c r="K2206" s="5" t="str">
        <f>IFERROR(VLOOKUP(Consulta1[[#This Row],[Pozo largo]],Controles!B:H,7,FALSE),"NO")</f>
        <v>NO</v>
      </c>
      <c r="L2206" s="5" t="str">
        <f>IFERROR(VLOOKUP(Consulta1[[#This Row],[Pozo largo]],Controles!B:J,9,FALSE),"NO")</f>
        <v>NO</v>
      </c>
    </row>
    <row r="2207" spans="2:12" x14ac:dyDescent="0.35">
      <c r="B2207" s="4" t="s">
        <v>4225</v>
      </c>
      <c r="C2207" s="4" t="s">
        <v>7917</v>
      </c>
      <c r="D2207" s="4" t="s">
        <v>5</v>
      </c>
      <c r="E2207" s="4" t="s">
        <v>30</v>
      </c>
      <c r="F2207" s="4" t="s">
        <v>31</v>
      </c>
      <c r="G2207" s="4" t="s">
        <v>32</v>
      </c>
      <c r="H2207" s="4" t="s">
        <v>86</v>
      </c>
      <c r="I2207" s="5" t="str">
        <f>IFERROR(VLOOKUP(Consulta1[[#This Row],[Pozo largo]],'Lista YPF'!$B$3:$C$358,2,FALSE),"NO")</f>
        <v>NO</v>
      </c>
      <c r="J2207" s="5" t="str">
        <f>IFERROR(VLOOKUP(Consulta1[[#This Row],[Pozo]],'Lista Oportunidades'!B:C,2,FALSE),"NO")</f>
        <v>NO</v>
      </c>
      <c r="K2207" s="5">
        <f>IFERROR(VLOOKUP(Consulta1[[#This Row],[Pozo largo]],Controles!B:H,7,FALSE),"NO")</f>
        <v>3.4000000000000002E-2</v>
      </c>
      <c r="L2207" s="5">
        <f>IFERROR(VLOOKUP(Consulta1[[#This Row],[Pozo largo]],Controles!B:J,9,FALSE),"NO")</f>
        <v>0</v>
      </c>
    </row>
    <row r="2208" spans="2:12" x14ac:dyDescent="0.35">
      <c r="B2208" s="4" t="s">
        <v>4227</v>
      </c>
      <c r="C2208" s="4" t="s">
        <v>7918</v>
      </c>
      <c r="D2208" s="4" t="s">
        <v>5</v>
      </c>
      <c r="E2208" s="4" t="s">
        <v>30</v>
      </c>
      <c r="F2208" s="4" t="s">
        <v>31</v>
      </c>
      <c r="G2208" s="4" t="s">
        <v>32</v>
      </c>
      <c r="H2208" s="4" t="s">
        <v>86</v>
      </c>
      <c r="I2208" s="5" t="str">
        <f>IFERROR(VLOOKUP(Consulta1[[#This Row],[Pozo largo]],'Lista YPF'!$B$3:$C$358,2,FALSE),"NO")</f>
        <v>NO</v>
      </c>
      <c r="J2208" s="5" t="str">
        <f>IFERROR(VLOOKUP(Consulta1[[#This Row],[Pozo]],'Lista Oportunidades'!B:C,2,FALSE),"NO")</f>
        <v>NO</v>
      </c>
      <c r="K2208" s="5" t="str">
        <f>IFERROR(VLOOKUP(Consulta1[[#This Row],[Pozo largo]],Controles!B:H,7,FALSE),"NO")</f>
        <v>NO</v>
      </c>
      <c r="L2208" s="5" t="str">
        <f>IFERROR(VLOOKUP(Consulta1[[#This Row],[Pozo largo]],Controles!B:J,9,FALSE),"NO")</f>
        <v>NO</v>
      </c>
    </row>
    <row r="2209" spans="2:12" x14ac:dyDescent="0.35">
      <c r="B2209" s="4" t="s">
        <v>4228</v>
      </c>
      <c r="C2209" s="4" t="s">
        <v>7919</v>
      </c>
      <c r="D2209" s="4" t="s">
        <v>5</v>
      </c>
      <c r="E2209" s="4" t="s">
        <v>30</v>
      </c>
      <c r="F2209" s="4" t="s">
        <v>31</v>
      </c>
      <c r="G2209" s="4" t="s">
        <v>32</v>
      </c>
      <c r="H2209" s="4" t="s">
        <v>86</v>
      </c>
      <c r="I2209" s="5" t="str">
        <f>IFERROR(VLOOKUP(Consulta1[[#This Row],[Pozo largo]],'Lista YPF'!$B$3:$C$358,2,FALSE),"NO")</f>
        <v>NO</v>
      </c>
      <c r="J2209" s="5" t="str">
        <f>IFERROR(VLOOKUP(Consulta1[[#This Row],[Pozo]],'Lista Oportunidades'!B:C,2,FALSE),"NO")</f>
        <v>NO</v>
      </c>
      <c r="K2209" s="5" t="str">
        <f>IFERROR(VLOOKUP(Consulta1[[#This Row],[Pozo largo]],Controles!B:H,7,FALSE),"NO")</f>
        <v>NO</v>
      </c>
      <c r="L2209" s="5" t="str">
        <f>IFERROR(VLOOKUP(Consulta1[[#This Row],[Pozo largo]],Controles!B:J,9,FALSE),"NO")</f>
        <v>NO</v>
      </c>
    </row>
    <row r="2210" spans="2:12" x14ac:dyDescent="0.35">
      <c r="B2210" s="4" t="s">
        <v>4229</v>
      </c>
      <c r="C2210" s="4" t="s">
        <v>7920</v>
      </c>
      <c r="D2210" s="4" t="s">
        <v>5</v>
      </c>
      <c r="E2210" s="4" t="s">
        <v>12</v>
      </c>
      <c r="F2210" s="4" t="s">
        <v>238</v>
      </c>
      <c r="G2210" s="4" t="s">
        <v>13</v>
      </c>
      <c r="H2210" s="4" t="s">
        <v>91</v>
      </c>
      <c r="I2210" s="5" t="str">
        <f>IFERROR(VLOOKUP(Consulta1[[#This Row],[Pozo largo]],'Lista YPF'!$B$3:$C$358,2,FALSE),"NO")</f>
        <v>NO</v>
      </c>
      <c r="J2210" s="5" t="str">
        <f>IFERROR(VLOOKUP(Consulta1[[#This Row],[Pozo]],'Lista Oportunidades'!B:C,2,FALSE),"NO")</f>
        <v>NO</v>
      </c>
      <c r="K2210" s="5">
        <f>IFERROR(VLOOKUP(Consulta1[[#This Row],[Pozo largo]],Controles!B:H,7,FALSE),"NO")</f>
        <v>1.25</v>
      </c>
      <c r="L2210" s="5">
        <f>IFERROR(VLOOKUP(Consulta1[[#This Row],[Pozo largo]],Controles!B:J,9,FALSE),"NO")</f>
        <v>0</v>
      </c>
    </row>
    <row r="2211" spans="2:12" x14ac:dyDescent="0.35">
      <c r="B2211" s="4" t="s">
        <v>4231</v>
      </c>
      <c r="C2211" s="4" t="s">
        <v>7921</v>
      </c>
      <c r="D2211" s="4" t="s">
        <v>5</v>
      </c>
      <c r="E2211" s="4" t="s">
        <v>24</v>
      </c>
      <c r="F2211" s="4" t="s">
        <v>25</v>
      </c>
      <c r="G2211" s="4" t="s">
        <v>8</v>
      </c>
      <c r="H2211" s="4" t="s">
        <v>86</v>
      </c>
      <c r="I2211" s="5" t="str">
        <f>IFERROR(VLOOKUP(Consulta1[[#This Row],[Pozo largo]],'Lista YPF'!$B$3:$C$358,2,FALSE),"NO")</f>
        <v>NO</v>
      </c>
      <c r="J2211" s="5" t="str">
        <f>IFERROR(VLOOKUP(Consulta1[[#This Row],[Pozo]],'Lista Oportunidades'!B:C,2,FALSE),"NO")</f>
        <v>NO</v>
      </c>
      <c r="K2211" s="5">
        <f>IFERROR(VLOOKUP(Consulta1[[#This Row],[Pozo largo]],Controles!B:H,7,FALSE),"NO")</f>
        <v>1.9E-2</v>
      </c>
      <c r="L2211" s="5">
        <f>IFERROR(VLOOKUP(Consulta1[[#This Row],[Pozo largo]],Controles!B:J,9,FALSE),"NO")</f>
        <v>0</v>
      </c>
    </row>
    <row r="2212" spans="2:12" x14ac:dyDescent="0.35">
      <c r="B2212" s="4" t="s">
        <v>4233</v>
      </c>
      <c r="C2212" s="4" t="s">
        <v>7922</v>
      </c>
      <c r="D2212" s="4" t="s">
        <v>5</v>
      </c>
      <c r="E2212" s="4" t="s">
        <v>24</v>
      </c>
      <c r="F2212" s="4" t="s">
        <v>7</v>
      </c>
      <c r="G2212" s="4" t="s">
        <v>8</v>
      </c>
      <c r="H2212" s="4" t="s">
        <v>86</v>
      </c>
      <c r="I2212" s="5" t="str">
        <f>IFERROR(VLOOKUP(Consulta1[[#This Row],[Pozo largo]],'Lista YPF'!$B$3:$C$358,2,FALSE),"NO")</f>
        <v>NO</v>
      </c>
      <c r="J2212" s="5" t="str">
        <f>IFERROR(VLOOKUP(Consulta1[[#This Row],[Pozo]],'Lista Oportunidades'!B:C,2,FALSE),"NO")</f>
        <v>NO</v>
      </c>
      <c r="K2212" s="5">
        <f>IFERROR(VLOOKUP(Consulta1[[#This Row],[Pozo largo]],Controles!B:H,7,FALSE),"NO")</f>
        <v>0.04</v>
      </c>
      <c r="L2212" s="5">
        <f>IFERROR(VLOOKUP(Consulta1[[#This Row],[Pozo largo]],Controles!B:J,9,FALSE),"NO")</f>
        <v>0</v>
      </c>
    </row>
    <row r="2213" spans="2:12" x14ac:dyDescent="0.35">
      <c r="B2213" s="4" t="s">
        <v>4235</v>
      </c>
      <c r="C2213" s="4" t="s">
        <v>7923</v>
      </c>
      <c r="D2213" s="4" t="s">
        <v>5</v>
      </c>
      <c r="E2213" s="4" t="s">
        <v>30</v>
      </c>
      <c r="F2213" s="4" t="s">
        <v>31</v>
      </c>
      <c r="G2213" s="4" t="s">
        <v>32</v>
      </c>
      <c r="H2213" s="4" t="s">
        <v>91</v>
      </c>
      <c r="I2213" s="5" t="str">
        <f>IFERROR(VLOOKUP(Consulta1[[#This Row],[Pozo largo]],'Lista YPF'!$B$3:$C$358,2,FALSE),"NO")</f>
        <v>NO</v>
      </c>
      <c r="J2213" s="5" t="str">
        <f>IFERROR(VLOOKUP(Consulta1[[#This Row],[Pozo]],'Lista Oportunidades'!B:C,2,FALSE),"NO")</f>
        <v>NO</v>
      </c>
      <c r="K2213" s="5">
        <f>IFERROR(VLOOKUP(Consulta1[[#This Row],[Pozo largo]],Controles!B:H,7,FALSE),"NO")</f>
        <v>0</v>
      </c>
      <c r="L2213" s="5">
        <f>IFERROR(VLOOKUP(Consulta1[[#This Row],[Pozo largo]],Controles!B:J,9,FALSE),"NO")</f>
        <v>0</v>
      </c>
    </row>
    <row r="2214" spans="2:12" x14ac:dyDescent="0.35">
      <c r="B2214" s="4" t="s">
        <v>4237</v>
      </c>
      <c r="C2214" s="4" t="s">
        <v>7924</v>
      </c>
      <c r="D2214" s="4" t="s">
        <v>5</v>
      </c>
      <c r="E2214" s="4" t="s">
        <v>24</v>
      </c>
      <c r="F2214" s="4" t="s">
        <v>28</v>
      </c>
      <c r="G2214" s="4" t="s">
        <v>8</v>
      </c>
      <c r="H2214" s="4" t="s">
        <v>86</v>
      </c>
      <c r="I2214" s="5" t="str">
        <f>IFERROR(VLOOKUP(Consulta1[[#This Row],[Pozo largo]],'Lista YPF'!$B$3:$C$358,2,FALSE),"NO")</f>
        <v>NO</v>
      </c>
      <c r="J2214" s="5" t="str">
        <f>IFERROR(VLOOKUP(Consulta1[[#This Row],[Pozo]],'Lista Oportunidades'!B:C,2,FALSE),"NO")</f>
        <v>NO</v>
      </c>
      <c r="K2214" s="5">
        <f>IFERROR(VLOOKUP(Consulta1[[#This Row],[Pozo largo]],Controles!B:H,7,FALSE),"NO")</f>
        <v>0</v>
      </c>
      <c r="L2214" s="5">
        <f>IFERROR(VLOOKUP(Consulta1[[#This Row],[Pozo largo]],Controles!B:J,9,FALSE),"NO")</f>
        <v>0</v>
      </c>
    </row>
    <row r="2215" spans="2:12" x14ac:dyDescent="0.35">
      <c r="B2215" s="4" t="s">
        <v>4239</v>
      </c>
      <c r="C2215" s="4" t="s">
        <v>7925</v>
      </c>
      <c r="D2215" s="4" t="s">
        <v>5</v>
      </c>
      <c r="E2215" s="4" t="s">
        <v>12</v>
      </c>
      <c r="F2215" s="4" t="s">
        <v>7</v>
      </c>
      <c r="G2215" s="4" t="s">
        <v>13</v>
      </c>
      <c r="H2215" s="4" t="s">
        <v>86</v>
      </c>
      <c r="I2215" s="5" t="str">
        <f>IFERROR(VLOOKUP(Consulta1[[#This Row],[Pozo largo]],'Lista YPF'!$B$3:$C$358,2,FALSE),"NO")</f>
        <v>NO</v>
      </c>
      <c r="J2215" s="5" t="str">
        <f>IFERROR(VLOOKUP(Consulta1[[#This Row],[Pozo]],'Lista Oportunidades'!B:C,2,FALSE),"NO")</f>
        <v>NO</v>
      </c>
      <c r="K2215" s="5">
        <f>IFERROR(VLOOKUP(Consulta1[[#This Row],[Pozo largo]],Controles!B:H,7,FALSE),"NO")</f>
        <v>0.61199999999999999</v>
      </c>
      <c r="L2215" s="5">
        <f>IFERROR(VLOOKUP(Consulta1[[#This Row],[Pozo largo]],Controles!B:J,9,FALSE),"NO")</f>
        <v>0</v>
      </c>
    </row>
    <row r="2216" spans="2:12" x14ac:dyDescent="0.35">
      <c r="B2216" s="4" t="s">
        <v>4241</v>
      </c>
      <c r="C2216" s="4" t="s">
        <v>7926</v>
      </c>
      <c r="D2216" s="4" t="s">
        <v>5</v>
      </c>
      <c r="E2216" s="4" t="s">
        <v>12</v>
      </c>
      <c r="F2216" s="4" t="s">
        <v>28</v>
      </c>
      <c r="G2216" s="4" t="s">
        <v>13</v>
      </c>
      <c r="H2216" s="4" t="s">
        <v>86</v>
      </c>
      <c r="I2216" s="5" t="str">
        <f>IFERROR(VLOOKUP(Consulta1[[#This Row],[Pozo largo]],'Lista YPF'!$B$3:$C$358,2,FALSE),"NO")</f>
        <v>NO</v>
      </c>
      <c r="J2216" s="5" t="str">
        <f>IFERROR(VLOOKUP(Consulta1[[#This Row],[Pozo]],'Lista Oportunidades'!B:C,2,FALSE),"NO")</f>
        <v>NO</v>
      </c>
      <c r="K2216" s="5">
        <f>IFERROR(VLOOKUP(Consulta1[[#This Row],[Pozo largo]],Controles!B:H,7,FALSE),"NO")</f>
        <v>0</v>
      </c>
      <c r="L2216" s="5">
        <f>IFERROR(VLOOKUP(Consulta1[[#This Row],[Pozo largo]],Controles!B:J,9,FALSE),"NO")</f>
        <v>0</v>
      </c>
    </row>
    <row r="2217" spans="2:12" x14ac:dyDescent="0.35">
      <c r="B2217" s="4" t="s">
        <v>4243</v>
      </c>
      <c r="C2217" s="4" t="s">
        <v>7927</v>
      </c>
      <c r="D2217" s="4" t="s">
        <v>5</v>
      </c>
      <c r="E2217" s="4" t="s">
        <v>24</v>
      </c>
      <c r="F2217" s="4" t="s">
        <v>31</v>
      </c>
      <c r="G2217" s="4" t="s">
        <v>8</v>
      </c>
      <c r="H2217" s="4" t="s">
        <v>71</v>
      </c>
      <c r="I2217" s="5" t="str">
        <f>IFERROR(VLOOKUP(Consulta1[[#This Row],[Pozo largo]],'Lista YPF'!$B$3:$C$358,2,FALSE),"NO")</f>
        <v>NO</v>
      </c>
      <c r="J2217" s="5" t="str">
        <f>IFERROR(VLOOKUP(Consulta1[[#This Row],[Pozo]],'Lista Oportunidades'!B:C,2,FALSE),"NO")</f>
        <v>NO</v>
      </c>
      <c r="K2217" s="5">
        <f>IFERROR(VLOOKUP(Consulta1[[#This Row],[Pozo largo]],Controles!B:H,7,FALSE),"NO")</f>
        <v>0.30599999999999999</v>
      </c>
      <c r="L2217" s="5">
        <f>IFERROR(VLOOKUP(Consulta1[[#This Row],[Pozo largo]],Controles!B:J,9,FALSE),"NO")</f>
        <v>0</v>
      </c>
    </row>
    <row r="2218" spans="2:12" x14ac:dyDescent="0.35">
      <c r="B2218" s="4" t="s">
        <v>4245</v>
      </c>
      <c r="C2218" s="4" t="s">
        <v>7928</v>
      </c>
      <c r="D2218" s="4" t="s">
        <v>5</v>
      </c>
      <c r="E2218" s="4" t="s">
        <v>6</v>
      </c>
      <c r="F2218" s="4" t="s">
        <v>28</v>
      </c>
      <c r="G2218" s="4" t="s">
        <v>5718</v>
      </c>
      <c r="H2218" s="4" t="s">
        <v>71</v>
      </c>
      <c r="I2218" s="5" t="str">
        <f>IFERROR(VLOOKUP(Consulta1[[#This Row],[Pozo largo]],'Lista YPF'!$B$3:$C$358,2,FALSE),"NO")</f>
        <v>En lista de Abandono</v>
      </c>
      <c r="J2218" s="5" t="str">
        <f>IFERROR(VLOOKUP(Consulta1[[#This Row],[Pozo]],'Lista Oportunidades'!B:C,2,FALSE),"NO")</f>
        <v>NO</v>
      </c>
      <c r="K2218" s="5">
        <f>IFERROR(VLOOKUP(Consulta1[[#This Row],[Pozo largo]],Controles!B:H,7,FALSE),"NO")</f>
        <v>0</v>
      </c>
      <c r="L2218" s="5" t="str">
        <f>IFERROR(VLOOKUP(Consulta1[[#This Row],[Pozo largo]],Controles!B:J,9,FALSE),"NO")</f>
        <v>Ultimo Año</v>
      </c>
    </row>
    <row r="2219" spans="2:12" x14ac:dyDescent="0.35">
      <c r="B2219" s="4" t="s">
        <v>4247</v>
      </c>
      <c r="C2219" s="4" t="s">
        <v>7929</v>
      </c>
      <c r="D2219" s="4" t="s">
        <v>5</v>
      </c>
      <c r="E2219" s="4" t="s">
        <v>12</v>
      </c>
      <c r="F2219" s="4" t="s">
        <v>28</v>
      </c>
      <c r="G2219" s="4" t="s">
        <v>13</v>
      </c>
      <c r="H2219" s="4" t="s">
        <v>141</v>
      </c>
      <c r="I2219" s="5" t="str">
        <f>IFERROR(VLOOKUP(Consulta1[[#This Row],[Pozo largo]],'Lista YPF'!$B$3:$C$358,2,FALSE),"NO")</f>
        <v>NO</v>
      </c>
      <c r="J2219" s="5" t="str">
        <f>IFERROR(VLOOKUP(Consulta1[[#This Row],[Pozo]],'Lista Oportunidades'!B:C,2,FALSE),"NO")</f>
        <v>NO</v>
      </c>
      <c r="K2219" s="5">
        <f>IFERROR(VLOOKUP(Consulta1[[#This Row],[Pozo largo]],Controles!B:H,7,FALSE),"NO")</f>
        <v>0</v>
      </c>
      <c r="L2219" s="5">
        <f>IFERROR(VLOOKUP(Consulta1[[#This Row],[Pozo largo]],Controles!B:J,9,FALSE),"NO")</f>
        <v>0</v>
      </c>
    </row>
    <row r="2220" spans="2:12" x14ac:dyDescent="0.35">
      <c r="B2220" s="4" t="s">
        <v>4249</v>
      </c>
      <c r="C2220" s="4" t="s">
        <v>7930</v>
      </c>
      <c r="D2220" s="4" t="s">
        <v>5</v>
      </c>
      <c r="E2220" s="4" t="s">
        <v>12</v>
      </c>
      <c r="F2220" s="4" t="s">
        <v>7</v>
      </c>
      <c r="G2220" s="4" t="s">
        <v>13</v>
      </c>
      <c r="H2220" s="4" t="s">
        <v>185</v>
      </c>
      <c r="I2220" s="5" t="str">
        <f>IFERROR(VLOOKUP(Consulta1[[#This Row],[Pozo largo]],'Lista YPF'!$B$3:$C$358,2,FALSE),"NO")</f>
        <v>NO</v>
      </c>
      <c r="J2220" s="5" t="str">
        <f>IFERROR(VLOOKUP(Consulta1[[#This Row],[Pozo]],'Lista Oportunidades'!B:C,2,FALSE),"NO")</f>
        <v>NO</v>
      </c>
      <c r="K2220" s="5">
        <f>IFERROR(VLOOKUP(Consulta1[[#This Row],[Pozo largo]],Controles!B:H,7,FALSE),"NO")</f>
        <v>1.06</v>
      </c>
      <c r="L2220" s="5">
        <f>IFERROR(VLOOKUP(Consulta1[[#This Row],[Pozo largo]],Controles!B:J,9,FALSE),"NO")</f>
        <v>0</v>
      </c>
    </row>
    <row r="2221" spans="2:12" x14ac:dyDescent="0.35">
      <c r="B2221" s="4" t="s">
        <v>4251</v>
      </c>
      <c r="C2221" s="4" t="s">
        <v>7931</v>
      </c>
      <c r="D2221" s="4" t="s">
        <v>5</v>
      </c>
      <c r="E2221" s="4" t="s">
        <v>12</v>
      </c>
      <c r="F2221" s="4" t="s">
        <v>238</v>
      </c>
      <c r="G2221" s="4" t="s">
        <v>13</v>
      </c>
      <c r="H2221" s="4" t="s">
        <v>71</v>
      </c>
      <c r="I2221" s="5" t="str">
        <f>IFERROR(VLOOKUP(Consulta1[[#This Row],[Pozo largo]],'Lista YPF'!$B$3:$C$358,2,FALSE),"NO")</f>
        <v>NO</v>
      </c>
      <c r="J2221" s="5" t="str">
        <f>IFERROR(VLOOKUP(Consulta1[[#This Row],[Pozo]],'Lista Oportunidades'!B:C,2,FALSE),"NO")</f>
        <v>NO</v>
      </c>
      <c r="K2221" s="5">
        <f>IFERROR(VLOOKUP(Consulta1[[#This Row],[Pozo largo]],Controles!B:H,7,FALSE),"NO")</f>
        <v>0.73</v>
      </c>
      <c r="L2221" s="5">
        <f>IFERROR(VLOOKUP(Consulta1[[#This Row],[Pozo largo]],Controles!B:J,9,FALSE),"NO")</f>
        <v>0</v>
      </c>
    </row>
    <row r="2222" spans="2:12" x14ac:dyDescent="0.35">
      <c r="B2222" s="4" t="s">
        <v>4253</v>
      </c>
      <c r="C2222" s="4" t="s">
        <v>7932</v>
      </c>
      <c r="D2222" s="4" t="s">
        <v>5</v>
      </c>
      <c r="E2222" s="4" t="s">
        <v>57</v>
      </c>
      <c r="F2222" s="4" t="s">
        <v>7</v>
      </c>
      <c r="G2222" s="4" t="s">
        <v>5718</v>
      </c>
      <c r="H2222" s="4" t="s">
        <v>146</v>
      </c>
      <c r="I2222" s="5" t="str">
        <f>IFERROR(VLOOKUP(Consulta1[[#This Row],[Pozo largo]],'Lista YPF'!$B$3:$C$358,2,FALSE),"NO")</f>
        <v>En lista de Abandono</v>
      </c>
      <c r="J2222" s="5" t="str">
        <f>IFERROR(VLOOKUP(Consulta1[[#This Row],[Pozo]],'Lista Oportunidades'!B:C,2,FALSE),"NO")</f>
        <v>NO</v>
      </c>
      <c r="K2222" s="5">
        <f>IFERROR(VLOOKUP(Consulta1[[#This Row],[Pozo largo]],Controles!B:H,7,FALSE),"NO")</f>
        <v>0.13900000000000001</v>
      </c>
      <c r="L2222" s="5">
        <f>IFERROR(VLOOKUP(Consulta1[[#This Row],[Pozo largo]],Controles!B:J,9,FALSE),"NO")</f>
        <v>0</v>
      </c>
    </row>
    <row r="2223" spans="2:12" x14ac:dyDescent="0.35">
      <c r="B2223" s="4" t="s">
        <v>4255</v>
      </c>
      <c r="C2223" s="4" t="s">
        <v>7933</v>
      </c>
      <c r="D2223" s="4" t="s">
        <v>5</v>
      </c>
      <c r="E2223" s="4" t="s">
        <v>24</v>
      </c>
      <c r="F2223" s="4" t="s">
        <v>25</v>
      </c>
      <c r="G2223" s="4" t="s">
        <v>8</v>
      </c>
      <c r="H2223" s="4" t="s">
        <v>290</v>
      </c>
      <c r="I2223" s="5" t="str">
        <f>IFERROR(VLOOKUP(Consulta1[[#This Row],[Pozo largo]],'Lista YPF'!$B$3:$C$358,2,FALSE),"NO")</f>
        <v>NO</v>
      </c>
      <c r="J2223" s="5" t="str">
        <f>IFERROR(VLOOKUP(Consulta1[[#This Row],[Pozo]],'Lista Oportunidades'!B:C,2,FALSE),"NO")</f>
        <v>NO</v>
      </c>
      <c r="K2223" s="5">
        <f>IFERROR(VLOOKUP(Consulta1[[#This Row],[Pozo largo]],Controles!B:H,7,FALSE),"NO")</f>
        <v>0.186</v>
      </c>
      <c r="L2223" s="5">
        <f>IFERROR(VLOOKUP(Consulta1[[#This Row],[Pozo largo]],Controles!B:J,9,FALSE),"NO")</f>
        <v>0</v>
      </c>
    </row>
    <row r="2224" spans="2:12" x14ac:dyDescent="0.35">
      <c r="B2224" s="4" t="s">
        <v>4257</v>
      </c>
      <c r="C2224" s="4" t="s">
        <v>7934</v>
      </c>
      <c r="D2224" s="4" t="s">
        <v>5</v>
      </c>
      <c r="E2224" s="4" t="s">
        <v>12</v>
      </c>
      <c r="F2224" s="4" t="s">
        <v>28</v>
      </c>
      <c r="G2224" s="4" t="s">
        <v>13</v>
      </c>
      <c r="H2224" s="4" t="s">
        <v>71</v>
      </c>
      <c r="I2224" s="5" t="str">
        <f>IFERROR(VLOOKUP(Consulta1[[#This Row],[Pozo largo]],'Lista YPF'!$B$3:$C$358,2,FALSE),"NO")</f>
        <v>NO</v>
      </c>
      <c r="J2224" s="5" t="str">
        <f>IFERROR(VLOOKUP(Consulta1[[#This Row],[Pozo]],'Lista Oportunidades'!B:C,2,FALSE),"NO")</f>
        <v>NO</v>
      </c>
      <c r="K2224" s="5">
        <f>IFERROR(VLOOKUP(Consulta1[[#This Row],[Pozo largo]],Controles!B:H,7,FALSE),"NO")</f>
        <v>0</v>
      </c>
      <c r="L2224" s="5">
        <f>IFERROR(VLOOKUP(Consulta1[[#This Row],[Pozo largo]],Controles!B:J,9,FALSE),"NO")</f>
        <v>0</v>
      </c>
    </row>
    <row r="2225" spans="2:12" x14ac:dyDescent="0.35">
      <c r="B2225" s="4" t="s">
        <v>4259</v>
      </c>
      <c r="C2225" s="4" t="s">
        <v>7935</v>
      </c>
      <c r="D2225" s="4" t="s">
        <v>5</v>
      </c>
      <c r="E2225" s="4" t="s">
        <v>24</v>
      </c>
      <c r="F2225" s="4" t="s">
        <v>31</v>
      </c>
      <c r="G2225" s="4" t="s">
        <v>8</v>
      </c>
      <c r="H2225" s="4" t="s">
        <v>71</v>
      </c>
      <c r="I2225" s="5" t="str">
        <f>IFERROR(VLOOKUP(Consulta1[[#This Row],[Pozo largo]],'Lista YPF'!$B$3:$C$358,2,FALSE),"NO")</f>
        <v>NO</v>
      </c>
      <c r="J2225" s="5" t="str">
        <f>IFERROR(VLOOKUP(Consulta1[[#This Row],[Pozo]],'Lista Oportunidades'!B:C,2,FALSE),"NO")</f>
        <v>NO</v>
      </c>
      <c r="K2225" s="5">
        <f>IFERROR(VLOOKUP(Consulta1[[#This Row],[Pozo largo]],Controles!B:H,7,FALSE),"NO")</f>
        <v>0.26700000000000002</v>
      </c>
      <c r="L2225" s="5">
        <f>IFERROR(VLOOKUP(Consulta1[[#This Row],[Pozo largo]],Controles!B:J,9,FALSE),"NO")</f>
        <v>0</v>
      </c>
    </row>
    <row r="2226" spans="2:12" x14ac:dyDescent="0.35">
      <c r="B2226" s="4" t="s">
        <v>4261</v>
      </c>
      <c r="C2226" s="4" t="s">
        <v>7936</v>
      </c>
      <c r="D2226" s="4" t="s">
        <v>5</v>
      </c>
      <c r="E2226" s="4" t="s">
        <v>57</v>
      </c>
      <c r="F2226" s="4" t="s">
        <v>7</v>
      </c>
      <c r="G2226" s="4" t="s">
        <v>5718</v>
      </c>
      <c r="H2226" s="4" t="s">
        <v>36</v>
      </c>
      <c r="I2226" s="5" t="str">
        <f>IFERROR(VLOOKUP(Consulta1[[#This Row],[Pozo largo]],'Lista YPF'!$B$3:$C$358,2,FALSE),"NO")</f>
        <v>En lista de Abandono</v>
      </c>
      <c r="J2226" s="5" t="str">
        <f>IFERROR(VLOOKUP(Consulta1[[#This Row],[Pozo]],'Lista Oportunidades'!B:C,2,FALSE),"NO")</f>
        <v>NO</v>
      </c>
      <c r="K2226" s="5">
        <f>IFERROR(VLOOKUP(Consulta1[[#This Row],[Pozo largo]],Controles!B:H,7,FALSE),"NO")</f>
        <v>0.6</v>
      </c>
      <c r="L2226" s="5">
        <f>IFERROR(VLOOKUP(Consulta1[[#This Row],[Pozo largo]],Controles!B:J,9,FALSE),"NO")</f>
        <v>0</v>
      </c>
    </row>
    <row r="2227" spans="2:12" x14ac:dyDescent="0.35">
      <c r="B2227" s="4" t="s">
        <v>4263</v>
      </c>
      <c r="C2227" s="4" t="s">
        <v>7937</v>
      </c>
      <c r="D2227" s="4" t="s">
        <v>5</v>
      </c>
      <c r="E2227" s="4" t="s">
        <v>12</v>
      </c>
      <c r="F2227" s="4" t="s">
        <v>7</v>
      </c>
      <c r="G2227" s="4" t="s">
        <v>13</v>
      </c>
      <c r="H2227" s="4" t="s">
        <v>21</v>
      </c>
      <c r="I2227" s="5" t="str">
        <f>IFERROR(VLOOKUP(Consulta1[[#This Row],[Pozo largo]],'Lista YPF'!$B$3:$C$358,2,FALSE),"NO")</f>
        <v>NO</v>
      </c>
      <c r="J2227" s="5" t="str">
        <f>IFERROR(VLOOKUP(Consulta1[[#This Row],[Pozo]],'Lista Oportunidades'!B:C,2,FALSE),"NO")</f>
        <v>NO</v>
      </c>
      <c r="K2227" s="5">
        <f>IFERROR(VLOOKUP(Consulta1[[#This Row],[Pozo largo]],Controles!B:H,7,FALSE),"NO")</f>
        <v>1.02</v>
      </c>
      <c r="L2227" s="5">
        <f>IFERROR(VLOOKUP(Consulta1[[#This Row],[Pozo largo]],Controles!B:J,9,FALSE),"NO")</f>
        <v>0</v>
      </c>
    </row>
    <row r="2228" spans="2:12" x14ac:dyDescent="0.35">
      <c r="B2228" s="4" t="s">
        <v>4265</v>
      </c>
      <c r="C2228" s="4" t="s">
        <v>7938</v>
      </c>
      <c r="D2228" s="4" t="s">
        <v>5</v>
      </c>
      <c r="E2228" s="4" t="s">
        <v>12</v>
      </c>
      <c r="F2228" s="4" t="s">
        <v>238</v>
      </c>
      <c r="G2228" s="4" t="s">
        <v>13</v>
      </c>
      <c r="H2228" s="4" t="s">
        <v>33</v>
      </c>
      <c r="I2228" s="5" t="str">
        <f>IFERROR(VLOOKUP(Consulta1[[#This Row],[Pozo largo]],'Lista YPF'!$B$3:$C$358,2,FALSE),"NO")</f>
        <v>NO</v>
      </c>
      <c r="J2228" s="5" t="str">
        <f>IFERROR(VLOOKUP(Consulta1[[#This Row],[Pozo]],'Lista Oportunidades'!B:C,2,FALSE),"NO")</f>
        <v>NO</v>
      </c>
      <c r="K2228" s="5">
        <f>IFERROR(VLOOKUP(Consulta1[[#This Row],[Pozo largo]],Controles!B:H,7,FALSE),"NO")</f>
        <v>1.85</v>
      </c>
      <c r="L2228" s="5">
        <f>IFERROR(VLOOKUP(Consulta1[[#This Row],[Pozo largo]],Controles!B:J,9,FALSE),"NO")</f>
        <v>0</v>
      </c>
    </row>
    <row r="2229" spans="2:12" x14ac:dyDescent="0.35">
      <c r="B2229" s="4" t="s">
        <v>4267</v>
      </c>
      <c r="C2229" s="4" t="s">
        <v>7939</v>
      </c>
      <c r="D2229" s="4" t="s">
        <v>5</v>
      </c>
      <c r="E2229" s="4" t="s">
        <v>309</v>
      </c>
      <c r="F2229" s="4" t="s">
        <v>1151</v>
      </c>
      <c r="G2229" s="4" t="s">
        <v>5718</v>
      </c>
      <c r="H2229" s="4" t="s">
        <v>36</v>
      </c>
      <c r="I2229" s="5" t="str">
        <f>IFERROR(VLOOKUP(Consulta1[[#This Row],[Pozo largo]],'Lista YPF'!$B$3:$C$358,2,FALSE),"NO")</f>
        <v>En lista de Abandono</v>
      </c>
      <c r="J2229" s="5" t="str">
        <f>IFERROR(VLOOKUP(Consulta1[[#This Row],[Pozo]],'Lista Oportunidades'!B:C,2,FALSE),"NO")</f>
        <v>NO</v>
      </c>
      <c r="K2229" s="5">
        <f>IFERROR(VLOOKUP(Consulta1[[#This Row],[Pozo largo]],Controles!B:H,7,FALSE),"NO")</f>
        <v>1.5000000000000001E-2</v>
      </c>
      <c r="L2229" s="5">
        <f>IFERROR(VLOOKUP(Consulta1[[#This Row],[Pozo largo]],Controles!B:J,9,FALSE),"NO")</f>
        <v>0</v>
      </c>
    </row>
    <row r="2230" spans="2:12" x14ac:dyDescent="0.35">
      <c r="B2230" s="4" t="s">
        <v>4269</v>
      </c>
      <c r="C2230" s="4" t="s">
        <v>7940</v>
      </c>
      <c r="D2230" s="4" t="s">
        <v>5</v>
      </c>
      <c r="E2230" s="4" t="s">
        <v>30</v>
      </c>
      <c r="F2230" s="4" t="s">
        <v>31</v>
      </c>
      <c r="G2230" s="4" t="s">
        <v>32</v>
      </c>
      <c r="H2230" s="4" t="s">
        <v>36</v>
      </c>
      <c r="I2230" s="5" t="str">
        <f>IFERROR(VLOOKUP(Consulta1[[#This Row],[Pozo largo]],'Lista YPF'!$B$3:$C$358,2,FALSE),"NO")</f>
        <v>NO</v>
      </c>
      <c r="J2230" s="5" t="str">
        <f>IFERROR(VLOOKUP(Consulta1[[#This Row],[Pozo]],'Lista Oportunidades'!B:C,2,FALSE),"NO")</f>
        <v>NO</v>
      </c>
      <c r="K2230" s="5" t="str">
        <f>IFERROR(VLOOKUP(Consulta1[[#This Row],[Pozo largo]],Controles!B:H,7,FALSE),"NO")</f>
        <v>NO</v>
      </c>
      <c r="L2230" s="5" t="str">
        <f>IFERROR(VLOOKUP(Consulta1[[#This Row],[Pozo largo]],Controles!B:J,9,FALSE),"NO")</f>
        <v>NO</v>
      </c>
    </row>
    <row r="2231" spans="2:12" x14ac:dyDescent="0.35">
      <c r="B2231" s="4" t="s">
        <v>4270</v>
      </c>
      <c r="C2231" s="4" t="s">
        <v>7941</v>
      </c>
      <c r="D2231" s="4" t="s">
        <v>5</v>
      </c>
      <c r="E2231" s="4" t="s">
        <v>30</v>
      </c>
      <c r="F2231" s="4" t="s">
        <v>31</v>
      </c>
      <c r="G2231" s="4" t="s">
        <v>32</v>
      </c>
      <c r="H2231" s="4" t="s">
        <v>149</v>
      </c>
      <c r="I2231" s="5" t="str">
        <f>IFERROR(VLOOKUP(Consulta1[[#This Row],[Pozo largo]],'Lista YPF'!$B$3:$C$358,2,FALSE),"NO")</f>
        <v>NO</v>
      </c>
      <c r="J2231" s="5" t="str">
        <f>IFERROR(VLOOKUP(Consulta1[[#This Row],[Pozo]],'Lista Oportunidades'!B:C,2,FALSE),"NO")</f>
        <v>NO</v>
      </c>
      <c r="K2231" s="5" t="str">
        <f>IFERROR(VLOOKUP(Consulta1[[#This Row],[Pozo largo]],Controles!B:H,7,FALSE),"NO")</f>
        <v>NO</v>
      </c>
      <c r="L2231" s="5" t="str">
        <f>IFERROR(VLOOKUP(Consulta1[[#This Row],[Pozo largo]],Controles!B:J,9,FALSE),"NO")</f>
        <v>NO</v>
      </c>
    </row>
    <row r="2232" spans="2:12" x14ac:dyDescent="0.35">
      <c r="B2232" s="4" t="s">
        <v>4271</v>
      </c>
      <c r="C2232" s="4" t="s">
        <v>7942</v>
      </c>
      <c r="D2232" s="4" t="s">
        <v>5</v>
      </c>
      <c r="E2232" s="4" t="s">
        <v>24</v>
      </c>
      <c r="F2232" s="4" t="s">
        <v>31</v>
      </c>
      <c r="G2232" s="4" t="s">
        <v>8</v>
      </c>
      <c r="H2232" s="4" t="s">
        <v>21</v>
      </c>
      <c r="I2232" s="5" t="str">
        <f>IFERROR(VLOOKUP(Consulta1[[#This Row],[Pozo largo]],'Lista YPF'!$B$3:$C$358,2,FALSE),"NO")</f>
        <v>NO</v>
      </c>
      <c r="J2232" s="5" t="str">
        <f>IFERROR(VLOOKUP(Consulta1[[#This Row],[Pozo]],'Lista Oportunidades'!B:C,2,FALSE),"NO")</f>
        <v>NO</v>
      </c>
      <c r="K2232" s="5" t="str">
        <f>IFERROR(VLOOKUP(Consulta1[[#This Row],[Pozo largo]],Controles!B:H,7,FALSE),"NO")</f>
        <v>NO</v>
      </c>
      <c r="L2232" s="5" t="str">
        <f>IFERROR(VLOOKUP(Consulta1[[#This Row],[Pozo largo]],Controles!B:J,9,FALSE),"NO")</f>
        <v>NO</v>
      </c>
    </row>
    <row r="2233" spans="2:12" x14ac:dyDescent="0.35">
      <c r="B2233" s="4" t="s">
        <v>4272</v>
      </c>
      <c r="C2233" s="4" t="s">
        <v>7943</v>
      </c>
      <c r="D2233" s="4" t="s">
        <v>5</v>
      </c>
      <c r="E2233" s="4" t="s">
        <v>30</v>
      </c>
      <c r="F2233" s="4" t="s">
        <v>31</v>
      </c>
      <c r="G2233" s="4" t="s">
        <v>32</v>
      </c>
      <c r="H2233" s="4" t="s">
        <v>290</v>
      </c>
      <c r="I2233" s="5" t="str">
        <f>IFERROR(VLOOKUP(Consulta1[[#This Row],[Pozo largo]],'Lista YPF'!$B$3:$C$358,2,FALSE),"NO")</f>
        <v>NO</v>
      </c>
      <c r="J2233" s="5" t="str">
        <f>IFERROR(VLOOKUP(Consulta1[[#This Row],[Pozo]],'Lista Oportunidades'!B:C,2,FALSE),"NO")</f>
        <v>NO</v>
      </c>
      <c r="K2233" s="5" t="str">
        <f>IFERROR(VLOOKUP(Consulta1[[#This Row],[Pozo largo]],Controles!B:H,7,FALSE),"NO")</f>
        <v>NO</v>
      </c>
      <c r="L2233" s="5" t="str">
        <f>IFERROR(VLOOKUP(Consulta1[[#This Row],[Pozo largo]],Controles!B:J,9,FALSE),"NO")</f>
        <v>NO</v>
      </c>
    </row>
    <row r="2234" spans="2:12" x14ac:dyDescent="0.35">
      <c r="B2234" s="4" t="s">
        <v>4273</v>
      </c>
      <c r="C2234" s="4" t="s">
        <v>7944</v>
      </c>
      <c r="D2234" s="4" t="s">
        <v>5</v>
      </c>
      <c r="E2234" s="4" t="s">
        <v>24</v>
      </c>
      <c r="F2234" s="4" t="s">
        <v>31</v>
      </c>
      <c r="G2234" s="4" t="s">
        <v>8</v>
      </c>
      <c r="H2234" s="4" t="s">
        <v>71</v>
      </c>
      <c r="I2234" s="5" t="str">
        <f>IFERROR(VLOOKUP(Consulta1[[#This Row],[Pozo largo]],'Lista YPF'!$B$3:$C$358,2,FALSE),"NO")</f>
        <v>NO</v>
      </c>
      <c r="J2234" s="5" t="str">
        <f>IFERROR(VLOOKUP(Consulta1[[#This Row],[Pozo]],'Lista Oportunidades'!B:C,2,FALSE),"NO")</f>
        <v>NO</v>
      </c>
      <c r="K2234" s="5">
        <f>IFERROR(VLOOKUP(Consulta1[[#This Row],[Pozo largo]],Controles!B:H,7,FALSE),"NO")</f>
        <v>0.878</v>
      </c>
      <c r="L2234" s="5">
        <f>IFERROR(VLOOKUP(Consulta1[[#This Row],[Pozo largo]],Controles!B:J,9,FALSE),"NO")</f>
        <v>0</v>
      </c>
    </row>
    <row r="2235" spans="2:12" x14ac:dyDescent="0.35">
      <c r="B2235" s="4" t="s">
        <v>4275</v>
      </c>
      <c r="C2235" s="4" t="s">
        <v>7945</v>
      </c>
      <c r="D2235" s="4" t="s">
        <v>5</v>
      </c>
      <c r="E2235" s="4" t="s">
        <v>24</v>
      </c>
      <c r="F2235" s="4" t="s">
        <v>28</v>
      </c>
      <c r="G2235" s="4" t="s">
        <v>8</v>
      </c>
      <c r="H2235" s="4" t="s">
        <v>9</v>
      </c>
      <c r="I2235" s="5" t="str">
        <f>IFERROR(VLOOKUP(Consulta1[[#This Row],[Pozo largo]],'Lista YPF'!$B$3:$C$358,2,FALSE),"NO")</f>
        <v>NO</v>
      </c>
      <c r="J2235" s="5" t="str">
        <f>IFERROR(VLOOKUP(Consulta1[[#This Row],[Pozo]],'Lista Oportunidades'!B:C,2,FALSE),"NO")</f>
        <v>NO</v>
      </c>
      <c r="K2235" s="5">
        <f>IFERROR(VLOOKUP(Consulta1[[#This Row],[Pozo largo]],Controles!B:H,7,FALSE),"NO")</f>
        <v>0</v>
      </c>
      <c r="L2235" s="5">
        <f>IFERROR(VLOOKUP(Consulta1[[#This Row],[Pozo largo]],Controles!B:J,9,FALSE),"NO")</f>
        <v>0</v>
      </c>
    </row>
    <row r="2236" spans="2:12" x14ac:dyDescent="0.35">
      <c r="B2236" s="4" t="s">
        <v>4277</v>
      </c>
      <c r="C2236" s="4" t="s">
        <v>7946</v>
      </c>
      <c r="D2236" s="4" t="s">
        <v>5</v>
      </c>
      <c r="E2236" s="4" t="s">
        <v>24</v>
      </c>
      <c r="F2236" s="4" t="s">
        <v>31</v>
      </c>
      <c r="G2236" s="4" t="s">
        <v>8</v>
      </c>
      <c r="H2236" s="4" t="s">
        <v>71</v>
      </c>
      <c r="I2236" s="5" t="str">
        <f>IFERROR(VLOOKUP(Consulta1[[#This Row],[Pozo largo]],'Lista YPF'!$B$3:$C$358,2,FALSE),"NO")</f>
        <v>NO</v>
      </c>
      <c r="J2236" s="5" t="str">
        <f>IFERROR(VLOOKUP(Consulta1[[#This Row],[Pozo]],'Lista Oportunidades'!B:C,2,FALSE),"NO")</f>
        <v>NO</v>
      </c>
      <c r="K2236" s="5">
        <f>IFERROR(VLOOKUP(Consulta1[[#This Row],[Pozo largo]],Controles!B:H,7,FALSE),"NO")</f>
        <v>0.36399999999999999</v>
      </c>
      <c r="L2236" s="5">
        <f>IFERROR(VLOOKUP(Consulta1[[#This Row],[Pozo largo]],Controles!B:J,9,FALSE),"NO")</f>
        <v>0</v>
      </c>
    </row>
    <row r="2237" spans="2:12" x14ac:dyDescent="0.35">
      <c r="B2237" s="4" t="s">
        <v>4279</v>
      </c>
      <c r="C2237" s="4" t="s">
        <v>7947</v>
      </c>
      <c r="D2237" s="4" t="s">
        <v>5</v>
      </c>
      <c r="E2237" s="4" t="s">
        <v>12</v>
      </c>
      <c r="F2237" s="4" t="s">
        <v>25</v>
      </c>
      <c r="G2237" s="4" t="s">
        <v>13</v>
      </c>
      <c r="H2237" s="4" t="s">
        <v>149</v>
      </c>
      <c r="I2237" s="5" t="str">
        <f>IFERROR(VLOOKUP(Consulta1[[#This Row],[Pozo largo]],'Lista YPF'!$B$3:$C$358,2,FALSE),"NO")</f>
        <v>NO</v>
      </c>
      <c r="J2237" s="5" t="str">
        <f>IFERROR(VLOOKUP(Consulta1[[#This Row],[Pozo]],'Lista Oportunidades'!B:C,2,FALSE),"NO")</f>
        <v>NO</v>
      </c>
      <c r="K2237" s="5">
        <f>IFERROR(VLOOKUP(Consulta1[[#This Row],[Pozo largo]],Controles!B:H,7,FALSE),"NO")</f>
        <v>0.192</v>
      </c>
      <c r="L2237" s="5">
        <f>IFERROR(VLOOKUP(Consulta1[[#This Row],[Pozo largo]],Controles!B:J,9,FALSE),"NO")</f>
        <v>0</v>
      </c>
    </row>
    <row r="2238" spans="2:12" x14ac:dyDescent="0.35">
      <c r="B2238" s="4" t="s">
        <v>4281</v>
      </c>
      <c r="C2238" s="4" t="s">
        <v>7948</v>
      </c>
      <c r="D2238" s="4" t="s">
        <v>5</v>
      </c>
      <c r="E2238" s="4" t="s">
        <v>6</v>
      </c>
      <c r="F2238" s="4" t="s">
        <v>31</v>
      </c>
      <c r="G2238" s="4" t="s">
        <v>8</v>
      </c>
      <c r="H2238" s="4" t="s">
        <v>9</v>
      </c>
      <c r="I2238" s="5" t="str">
        <f>IFERROR(VLOOKUP(Consulta1[[#This Row],[Pozo largo]],'Lista YPF'!$B$3:$C$358,2,FALSE),"NO")</f>
        <v>NO</v>
      </c>
      <c r="J2238" s="5" t="str">
        <f>IFERROR(VLOOKUP(Consulta1[[#This Row],[Pozo]],'Lista Oportunidades'!B:C,2,FALSE),"NO")</f>
        <v>NO</v>
      </c>
      <c r="K2238" s="5">
        <f>IFERROR(VLOOKUP(Consulta1[[#This Row],[Pozo largo]],Controles!B:H,7,FALSE),"NO")</f>
        <v>0</v>
      </c>
      <c r="L2238" s="5">
        <f>IFERROR(VLOOKUP(Consulta1[[#This Row],[Pozo largo]],Controles!B:J,9,FALSE),"NO")</f>
        <v>0</v>
      </c>
    </row>
    <row r="2239" spans="2:12" x14ac:dyDescent="0.35">
      <c r="B2239" s="4" t="s">
        <v>4283</v>
      </c>
      <c r="C2239" s="4" t="s">
        <v>7949</v>
      </c>
      <c r="D2239" s="4" t="s">
        <v>5</v>
      </c>
      <c r="E2239" s="4" t="s">
        <v>57</v>
      </c>
      <c r="F2239" s="4" t="s">
        <v>28</v>
      </c>
      <c r="G2239" s="4" t="s">
        <v>5718</v>
      </c>
      <c r="H2239" s="4" t="s">
        <v>33</v>
      </c>
      <c r="I2239" s="5" t="str">
        <f>IFERROR(VLOOKUP(Consulta1[[#This Row],[Pozo largo]],'Lista YPF'!$B$3:$C$358,2,FALSE),"NO")</f>
        <v>En lista de Abandono</v>
      </c>
      <c r="J2239" s="5" t="str">
        <f>IFERROR(VLOOKUP(Consulta1[[#This Row],[Pozo]],'Lista Oportunidades'!B:C,2,FALSE),"NO")</f>
        <v>NO</v>
      </c>
      <c r="K2239" s="5">
        <f>IFERROR(VLOOKUP(Consulta1[[#This Row],[Pozo largo]],Controles!B:H,7,FALSE),"NO")</f>
        <v>0</v>
      </c>
      <c r="L2239" s="5">
        <f>IFERROR(VLOOKUP(Consulta1[[#This Row],[Pozo largo]],Controles!B:J,9,FALSE),"NO")</f>
        <v>0</v>
      </c>
    </row>
    <row r="2240" spans="2:12" x14ac:dyDescent="0.35">
      <c r="B2240" s="4" t="s">
        <v>4285</v>
      </c>
      <c r="C2240" s="4" t="s">
        <v>7950</v>
      </c>
      <c r="D2240" s="4" t="s">
        <v>5</v>
      </c>
      <c r="E2240" s="4" t="s">
        <v>12</v>
      </c>
      <c r="F2240" s="4" t="s">
        <v>28</v>
      </c>
      <c r="G2240" s="4" t="s">
        <v>13</v>
      </c>
      <c r="H2240" s="4" t="s">
        <v>33</v>
      </c>
      <c r="I2240" s="5" t="str">
        <f>IFERROR(VLOOKUP(Consulta1[[#This Row],[Pozo largo]],'Lista YPF'!$B$3:$C$358,2,FALSE),"NO")</f>
        <v>NO</v>
      </c>
      <c r="J2240" s="5" t="str">
        <f>IFERROR(VLOOKUP(Consulta1[[#This Row],[Pozo]],'Lista Oportunidades'!B:C,2,FALSE),"NO")</f>
        <v>NO</v>
      </c>
      <c r="K2240" s="5">
        <f>IFERROR(VLOOKUP(Consulta1[[#This Row],[Pozo largo]],Controles!B:H,7,FALSE),"NO")</f>
        <v>0</v>
      </c>
      <c r="L2240" s="5">
        <f>IFERROR(VLOOKUP(Consulta1[[#This Row],[Pozo largo]],Controles!B:J,9,FALSE),"NO")</f>
        <v>0</v>
      </c>
    </row>
    <row r="2241" spans="2:12" x14ac:dyDescent="0.35">
      <c r="B2241" s="4" t="s">
        <v>4287</v>
      </c>
      <c r="C2241" s="4" t="s">
        <v>7951</v>
      </c>
      <c r="D2241" s="4" t="s">
        <v>5</v>
      </c>
      <c r="E2241" s="4" t="s">
        <v>12</v>
      </c>
      <c r="F2241" s="4" t="s">
        <v>238</v>
      </c>
      <c r="G2241" s="4" t="s">
        <v>13</v>
      </c>
      <c r="H2241" s="4" t="s">
        <v>33</v>
      </c>
      <c r="I2241" s="5" t="str">
        <f>IFERROR(VLOOKUP(Consulta1[[#This Row],[Pozo largo]],'Lista YPF'!$B$3:$C$358,2,FALSE),"NO")</f>
        <v>NO</v>
      </c>
      <c r="J2241" s="5" t="str">
        <f>IFERROR(VLOOKUP(Consulta1[[#This Row],[Pozo]],'Lista Oportunidades'!B:C,2,FALSE),"NO")</f>
        <v>NO</v>
      </c>
      <c r="K2241" s="5">
        <f>IFERROR(VLOOKUP(Consulta1[[#This Row],[Pozo largo]],Controles!B:H,7,FALSE),"NO")</f>
        <v>0.71800000000000008</v>
      </c>
      <c r="L2241" s="5">
        <f>IFERROR(VLOOKUP(Consulta1[[#This Row],[Pozo largo]],Controles!B:J,9,FALSE),"NO")</f>
        <v>0</v>
      </c>
    </row>
    <row r="2242" spans="2:12" x14ac:dyDescent="0.35">
      <c r="B2242" s="4" t="s">
        <v>4289</v>
      </c>
      <c r="C2242" s="4" t="s">
        <v>7952</v>
      </c>
      <c r="D2242" s="4" t="s">
        <v>5</v>
      </c>
      <c r="E2242" s="4" t="s">
        <v>12</v>
      </c>
      <c r="F2242" s="4" t="s">
        <v>28</v>
      </c>
      <c r="G2242" s="4" t="s">
        <v>13</v>
      </c>
      <c r="H2242" s="4" t="s">
        <v>36</v>
      </c>
      <c r="I2242" s="5" t="str">
        <f>IFERROR(VLOOKUP(Consulta1[[#This Row],[Pozo largo]],'Lista YPF'!$B$3:$C$358,2,FALSE),"NO")</f>
        <v>NO</v>
      </c>
      <c r="J2242" s="5" t="str">
        <f>IFERROR(VLOOKUP(Consulta1[[#This Row],[Pozo]],'Lista Oportunidades'!B:C,2,FALSE),"NO")</f>
        <v>NO</v>
      </c>
      <c r="K2242" s="5">
        <f>IFERROR(VLOOKUP(Consulta1[[#This Row],[Pozo largo]],Controles!B:H,7,FALSE),"NO")</f>
        <v>0</v>
      </c>
      <c r="L2242" s="5">
        <f>IFERROR(VLOOKUP(Consulta1[[#This Row],[Pozo largo]],Controles!B:J,9,FALSE),"NO")</f>
        <v>0</v>
      </c>
    </row>
    <row r="2243" spans="2:12" x14ac:dyDescent="0.35">
      <c r="B2243" s="4" t="s">
        <v>4291</v>
      </c>
      <c r="C2243" s="4" t="s">
        <v>7953</v>
      </c>
      <c r="D2243" s="4" t="s">
        <v>5</v>
      </c>
      <c r="E2243" s="4" t="s">
        <v>12</v>
      </c>
      <c r="F2243" s="4" t="s">
        <v>238</v>
      </c>
      <c r="G2243" s="4" t="s">
        <v>13</v>
      </c>
      <c r="H2243" s="4" t="s">
        <v>33</v>
      </c>
      <c r="I2243" s="5" t="str">
        <f>IFERROR(VLOOKUP(Consulta1[[#This Row],[Pozo largo]],'Lista YPF'!$B$3:$C$358,2,FALSE),"NO")</f>
        <v>NO</v>
      </c>
      <c r="J2243" s="5" t="str">
        <f>IFERROR(VLOOKUP(Consulta1[[#This Row],[Pozo]],'Lista Oportunidades'!B:C,2,FALSE),"NO")</f>
        <v>NO</v>
      </c>
      <c r="K2243" s="5">
        <f>IFERROR(VLOOKUP(Consulta1[[#This Row],[Pozo largo]],Controles!B:H,7,FALSE),"NO")</f>
        <v>1.42</v>
      </c>
      <c r="L2243" s="5">
        <f>IFERROR(VLOOKUP(Consulta1[[#This Row],[Pozo largo]],Controles!B:J,9,FALSE),"NO")</f>
        <v>0</v>
      </c>
    </row>
    <row r="2244" spans="2:12" x14ac:dyDescent="0.35">
      <c r="B2244" s="4" t="s">
        <v>4293</v>
      </c>
      <c r="C2244" s="4" t="s">
        <v>7954</v>
      </c>
      <c r="D2244" s="4" t="s">
        <v>5</v>
      </c>
      <c r="E2244" s="4" t="s">
        <v>12</v>
      </c>
      <c r="F2244" s="4" t="s">
        <v>25</v>
      </c>
      <c r="G2244" s="4" t="s">
        <v>13</v>
      </c>
      <c r="H2244" s="4" t="s">
        <v>21</v>
      </c>
      <c r="I2244" s="5" t="str">
        <f>IFERROR(VLOOKUP(Consulta1[[#This Row],[Pozo largo]],'Lista YPF'!$B$3:$C$358,2,FALSE),"NO")</f>
        <v>NO</v>
      </c>
      <c r="J2244" s="5" t="str">
        <f>IFERROR(VLOOKUP(Consulta1[[#This Row],[Pozo]],'Lista Oportunidades'!B:C,2,FALSE),"NO")</f>
        <v>NO</v>
      </c>
      <c r="K2244" s="5">
        <f>IFERROR(VLOOKUP(Consulta1[[#This Row],[Pozo largo]],Controles!B:H,7,FALSE),"NO")</f>
        <v>9.5000000000000001E-2</v>
      </c>
      <c r="L2244" s="5">
        <f>IFERROR(VLOOKUP(Consulta1[[#This Row],[Pozo largo]],Controles!B:J,9,FALSE),"NO")</f>
        <v>0</v>
      </c>
    </row>
    <row r="2245" spans="2:12" x14ac:dyDescent="0.35">
      <c r="B2245" s="4" t="s">
        <v>4295</v>
      </c>
      <c r="C2245" s="4" t="s">
        <v>7955</v>
      </c>
      <c r="D2245" s="4" t="s">
        <v>5</v>
      </c>
      <c r="E2245" s="4" t="s">
        <v>24</v>
      </c>
      <c r="F2245" s="4" t="s">
        <v>28</v>
      </c>
      <c r="G2245" s="4" t="s">
        <v>8</v>
      </c>
      <c r="H2245" s="4" t="s">
        <v>80</v>
      </c>
      <c r="I2245" s="5" t="str">
        <f>IFERROR(VLOOKUP(Consulta1[[#This Row],[Pozo largo]],'Lista YPF'!$B$3:$C$358,2,FALSE),"NO")</f>
        <v>NO</v>
      </c>
      <c r="J2245" s="5" t="str">
        <f>IFERROR(VLOOKUP(Consulta1[[#This Row],[Pozo]],'Lista Oportunidades'!B:C,2,FALSE),"NO")</f>
        <v>NO</v>
      </c>
      <c r="K2245" s="5">
        <f>IFERROR(VLOOKUP(Consulta1[[#This Row],[Pozo largo]],Controles!B:H,7,FALSE),"NO")</f>
        <v>0</v>
      </c>
      <c r="L2245" s="5">
        <f>IFERROR(VLOOKUP(Consulta1[[#This Row],[Pozo largo]],Controles!B:J,9,FALSE),"NO")</f>
        <v>0</v>
      </c>
    </row>
    <row r="2246" spans="2:12" x14ac:dyDescent="0.35">
      <c r="B2246" s="4" t="s">
        <v>4297</v>
      </c>
      <c r="C2246" s="4" t="s">
        <v>7956</v>
      </c>
      <c r="D2246" s="4" t="s">
        <v>5</v>
      </c>
      <c r="E2246" s="4" t="s">
        <v>30</v>
      </c>
      <c r="F2246" s="4" t="s">
        <v>31</v>
      </c>
      <c r="G2246" s="4" t="s">
        <v>32</v>
      </c>
      <c r="H2246" s="4" t="s">
        <v>91</v>
      </c>
      <c r="I2246" s="5" t="str">
        <f>IFERROR(VLOOKUP(Consulta1[[#This Row],[Pozo largo]],'Lista YPF'!$B$3:$C$358,2,FALSE),"NO")</f>
        <v>NO</v>
      </c>
      <c r="J2246" s="5" t="str">
        <f>IFERROR(VLOOKUP(Consulta1[[#This Row],[Pozo]],'Lista Oportunidades'!B:C,2,FALSE),"NO")</f>
        <v>NO</v>
      </c>
      <c r="K2246" s="5">
        <f>IFERROR(VLOOKUP(Consulta1[[#This Row],[Pozo largo]],Controles!B:H,7,FALSE),"NO")</f>
        <v>0</v>
      </c>
      <c r="L2246" s="5">
        <f>IFERROR(VLOOKUP(Consulta1[[#This Row],[Pozo largo]],Controles!B:J,9,FALSE),"NO")</f>
        <v>0</v>
      </c>
    </row>
    <row r="2247" spans="2:12" x14ac:dyDescent="0.35">
      <c r="B2247" s="4" t="s">
        <v>4299</v>
      </c>
      <c r="C2247" s="4" t="s">
        <v>7957</v>
      </c>
      <c r="D2247" s="4" t="s">
        <v>5</v>
      </c>
      <c r="E2247" s="4" t="s">
        <v>6</v>
      </c>
      <c r="F2247" s="4" t="s">
        <v>28</v>
      </c>
      <c r="G2247" s="4" t="s">
        <v>5718</v>
      </c>
      <c r="H2247" s="4" t="s">
        <v>80</v>
      </c>
      <c r="I2247" s="5" t="str">
        <f>IFERROR(VLOOKUP(Consulta1[[#This Row],[Pozo largo]],'Lista YPF'!$B$3:$C$358,2,FALSE),"NO")</f>
        <v>En lista de Abandono</v>
      </c>
      <c r="J2247" s="5" t="str">
        <f>IFERROR(VLOOKUP(Consulta1[[#This Row],[Pozo]],'Lista Oportunidades'!B:C,2,FALSE),"NO")</f>
        <v>NO</v>
      </c>
      <c r="K2247" s="5">
        <f>IFERROR(VLOOKUP(Consulta1[[#This Row],[Pozo largo]],Controles!B:H,7,FALSE),"NO")</f>
        <v>0</v>
      </c>
      <c r="L2247" s="5">
        <f>IFERROR(VLOOKUP(Consulta1[[#This Row],[Pozo largo]],Controles!B:J,9,FALSE),"NO")</f>
        <v>0</v>
      </c>
    </row>
    <row r="2248" spans="2:12" x14ac:dyDescent="0.35">
      <c r="B2248" s="4" t="s">
        <v>4301</v>
      </c>
      <c r="C2248" s="4" t="s">
        <v>7958</v>
      </c>
      <c r="D2248" s="4" t="s">
        <v>5</v>
      </c>
      <c r="E2248" s="4" t="s">
        <v>24</v>
      </c>
      <c r="F2248" s="4" t="s">
        <v>28</v>
      </c>
      <c r="G2248" s="4" t="s">
        <v>11387</v>
      </c>
      <c r="H2248" s="4" t="s">
        <v>86</v>
      </c>
      <c r="I2248" s="5" t="str">
        <f>IFERROR(VLOOKUP(Consulta1[[#This Row],[Pozo largo]],'Lista YPF'!$B$3:$C$358,2,FALSE),"NO")</f>
        <v>NO</v>
      </c>
      <c r="J2248" s="5" t="str">
        <f>IFERROR(VLOOKUP(Consulta1[[#This Row],[Pozo]],'Lista Oportunidades'!B:C,2,FALSE),"NO")</f>
        <v>NO</v>
      </c>
      <c r="K2248" s="5">
        <f>IFERROR(VLOOKUP(Consulta1[[#This Row],[Pozo largo]],Controles!B:H,7,FALSE),"NO")</f>
        <v>0</v>
      </c>
      <c r="L2248" s="5" t="str">
        <f>IFERROR(VLOOKUP(Consulta1[[#This Row],[Pozo largo]],Controles!B:J,9,FALSE),"NO")</f>
        <v>Ultimo Año</v>
      </c>
    </row>
    <row r="2249" spans="2:12" x14ac:dyDescent="0.35">
      <c r="B2249" s="4" t="s">
        <v>4303</v>
      </c>
      <c r="C2249" s="4" t="s">
        <v>7959</v>
      </c>
      <c r="D2249" s="4" t="s">
        <v>5</v>
      </c>
      <c r="E2249" s="4" t="s">
        <v>12</v>
      </c>
      <c r="F2249" s="4" t="s">
        <v>25</v>
      </c>
      <c r="G2249" s="4" t="s">
        <v>13</v>
      </c>
      <c r="H2249" s="4" t="s">
        <v>86</v>
      </c>
      <c r="I2249" s="5" t="str">
        <f>IFERROR(VLOOKUP(Consulta1[[#This Row],[Pozo largo]],'Lista YPF'!$B$3:$C$358,2,FALSE),"NO")</f>
        <v>NO</v>
      </c>
      <c r="J2249" s="5" t="str">
        <f>IFERROR(VLOOKUP(Consulta1[[#This Row],[Pozo]],'Lista Oportunidades'!B:C,2,FALSE),"NO")</f>
        <v>NO</v>
      </c>
      <c r="K2249" s="5">
        <f>IFERROR(VLOOKUP(Consulta1[[#This Row],[Pozo largo]],Controles!B:H,7,FALSE),"NO")</f>
        <v>0.14200000000000002</v>
      </c>
      <c r="L2249" s="5">
        <f>IFERROR(VLOOKUP(Consulta1[[#This Row],[Pozo largo]],Controles!B:J,9,FALSE),"NO")</f>
        <v>0</v>
      </c>
    </row>
    <row r="2250" spans="2:12" x14ac:dyDescent="0.35">
      <c r="B2250" s="4" t="s">
        <v>4305</v>
      </c>
      <c r="C2250" s="4" t="s">
        <v>7960</v>
      </c>
      <c r="D2250" s="4" t="s">
        <v>5</v>
      </c>
      <c r="E2250" s="4" t="s">
        <v>6</v>
      </c>
      <c r="F2250" s="4" t="s">
        <v>28</v>
      </c>
      <c r="G2250" s="4" t="s">
        <v>5718</v>
      </c>
      <c r="H2250" s="4" t="s">
        <v>86</v>
      </c>
      <c r="I2250" s="5" t="str">
        <f>IFERROR(VLOOKUP(Consulta1[[#This Row],[Pozo largo]],'Lista YPF'!$B$3:$C$358,2,FALSE),"NO")</f>
        <v>En lista de Abandono</v>
      </c>
      <c r="J2250" s="5" t="str">
        <f>IFERROR(VLOOKUP(Consulta1[[#This Row],[Pozo]],'Lista Oportunidades'!B:C,2,FALSE),"NO")</f>
        <v>NO</v>
      </c>
      <c r="K2250" s="5">
        <f>IFERROR(VLOOKUP(Consulta1[[#This Row],[Pozo largo]],Controles!B:H,7,FALSE),"NO")</f>
        <v>0</v>
      </c>
      <c r="L2250" s="5">
        <f>IFERROR(VLOOKUP(Consulta1[[#This Row],[Pozo largo]],Controles!B:J,9,FALSE),"NO")</f>
        <v>0</v>
      </c>
    </row>
    <row r="2251" spans="2:12" x14ac:dyDescent="0.35">
      <c r="B2251" s="4" t="s">
        <v>4307</v>
      </c>
      <c r="C2251" s="4" t="s">
        <v>7961</v>
      </c>
      <c r="D2251" s="4" t="s">
        <v>5</v>
      </c>
      <c r="E2251" s="4" t="s">
        <v>24</v>
      </c>
      <c r="F2251" s="4" t="s">
        <v>25</v>
      </c>
      <c r="G2251" s="4" t="s">
        <v>8</v>
      </c>
      <c r="H2251" s="4" t="s">
        <v>91</v>
      </c>
      <c r="I2251" s="5" t="str">
        <f>IFERROR(VLOOKUP(Consulta1[[#This Row],[Pozo largo]],'Lista YPF'!$B$3:$C$358,2,FALSE),"NO")</f>
        <v>NO</v>
      </c>
      <c r="J2251" s="5" t="str">
        <f>IFERROR(VLOOKUP(Consulta1[[#This Row],[Pozo]],'Lista Oportunidades'!B:C,2,FALSE),"NO")</f>
        <v>NO</v>
      </c>
      <c r="K2251" s="5">
        <f>IFERROR(VLOOKUP(Consulta1[[#This Row],[Pozo largo]],Controles!B:H,7,FALSE),"NO")</f>
        <v>0.28900000000000003</v>
      </c>
      <c r="L2251" s="5">
        <f>IFERROR(VLOOKUP(Consulta1[[#This Row],[Pozo largo]],Controles!B:J,9,FALSE),"NO")</f>
        <v>0</v>
      </c>
    </row>
    <row r="2252" spans="2:12" x14ac:dyDescent="0.35">
      <c r="B2252" s="4" t="s">
        <v>4309</v>
      </c>
      <c r="C2252" s="4" t="s">
        <v>7962</v>
      </c>
      <c r="D2252" s="4" t="s">
        <v>5</v>
      </c>
      <c r="E2252" s="4" t="s">
        <v>24</v>
      </c>
      <c r="F2252" s="4" t="s">
        <v>31</v>
      </c>
      <c r="G2252" s="4" t="s">
        <v>8</v>
      </c>
      <c r="H2252" s="4" t="s">
        <v>86</v>
      </c>
      <c r="I2252" s="5" t="str">
        <f>IFERROR(VLOOKUP(Consulta1[[#This Row],[Pozo largo]],'Lista YPF'!$B$3:$C$358,2,FALSE),"NO")</f>
        <v>NO</v>
      </c>
      <c r="J2252" s="5" t="str">
        <f>IFERROR(VLOOKUP(Consulta1[[#This Row],[Pozo]],'Lista Oportunidades'!B:C,2,FALSE),"NO")</f>
        <v>NO</v>
      </c>
      <c r="K2252" s="5">
        <f>IFERROR(VLOOKUP(Consulta1[[#This Row],[Pozo largo]],Controles!B:H,7,FALSE),"NO")</f>
        <v>0.624</v>
      </c>
      <c r="L2252" s="5">
        <f>IFERROR(VLOOKUP(Consulta1[[#This Row],[Pozo largo]],Controles!B:J,9,FALSE),"NO")</f>
        <v>0</v>
      </c>
    </row>
    <row r="2253" spans="2:12" x14ac:dyDescent="0.35">
      <c r="B2253" s="4" t="s">
        <v>4311</v>
      </c>
      <c r="C2253" s="4" t="s">
        <v>7963</v>
      </c>
      <c r="D2253" s="4" t="s">
        <v>5</v>
      </c>
      <c r="E2253" s="4" t="s">
        <v>57</v>
      </c>
      <c r="F2253" s="4" t="s">
        <v>31</v>
      </c>
      <c r="G2253" s="4" t="s">
        <v>5718</v>
      </c>
      <c r="H2253" s="4" t="s">
        <v>86</v>
      </c>
      <c r="I2253" s="5" t="str">
        <f>IFERROR(VLOOKUP(Consulta1[[#This Row],[Pozo largo]],'Lista YPF'!$B$3:$C$358,2,FALSE),"NO")</f>
        <v>En lista de Abandono</v>
      </c>
      <c r="J2253" s="5" t="str">
        <f>IFERROR(VLOOKUP(Consulta1[[#This Row],[Pozo]],'Lista Oportunidades'!B:C,2,FALSE),"NO")</f>
        <v>NO</v>
      </c>
      <c r="K2253" s="5">
        <f>IFERROR(VLOOKUP(Consulta1[[#This Row],[Pozo largo]],Controles!B:H,7,FALSE),"NO")</f>
        <v>0.84</v>
      </c>
      <c r="L2253" s="5">
        <f>IFERROR(VLOOKUP(Consulta1[[#This Row],[Pozo largo]],Controles!B:J,9,FALSE),"NO")</f>
        <v>0</v>
      </c>
    </row>
    <row r="2254" spans="2:12" x14ac:dyDescent="0.35">
      <c r="B2254" s="4" t="s">
        <v>4313</v>
      </c>
      <c r="C2254" s="4" t="s">
        <v>7964</v>
      </c>
      <c r="D2254" s="4" t="s">
        <v>5</v>
      </c>
      <c r="E2254" s="4" t="s">
        <v>12</v>
      </c>
      <c r="F2254" s="4" t="s">
        <v>25</v>
      </c>
      <c r="G2254" s="4" t="s">
        <v>13</v>
      </c>
      <c r="H2254" s="4" t="s">
        <v>86</v>
      </c>
      <c r="I2254" s="5" t="str">
        <f>IFERROR(VLOOKUP(Consulta1[[#This Row],[Pozo largo]],'Lista YPF'!$B$3:$C$358,2,FALSE),"NO")</f>
        <v>NO</v>
      </c>
      <c r="J2254" s="5" t="str">
        <f>IFERROR(VLOOKUP(Consulta1[[#This Row],[Pozo]],'Lista Oportunidades'!B:C,2,FALSE),"NO")</f>
        <v>NO</v>
      </c>
      <c r="K2254" s="5">
        <f>IFERROR(VLOOKUP(Consulta1[[#This Row],[Pozo largo]],Controles!B:H,7,FALSE),"NO")</f>
        <v>0.14200000000000002</v>
      </c>
      <c r="L2254" s="5">
        <f>IFERROR(VLOOKUP(Consulta1[[#This Row],[Pozo largo]],Controles!B:J,9,FALSE),"NO")</f>
        <v>0</v>
      </c>
    </row>
    <row r="2255" spans="2:12" x14ac:dyDescent="0.35">
      <c r="B2255" s="4" t="s">
        <v>4315</v>
      </c>
      <c r="C2255" s="4" t="s">
        <v>7965</v>
      </c>
      <c r="D2255" s="4" t="s">
        <v>5</v>
      </c>
      <c r="E2255" s="4" t="s">
        <v>12</v>
      </c>
      <c r="F2255" s="4" t="s">
        <v>7</v>
      </c>
      <c r="G2255" s="4" t="s">
        <v>13</v>
      </c>
      <c r="H2255" s="4" t="s">
        <v>86</v>
      </c>
      <c r="I2255" s="5" t="str">
        <f>IFERROR(VLOOKUP(Consulta1[[#This Row],[Pozo largo]],'Lista YPF'!$B$3:$C$358,2,FALSE),"NO")</f>
        <v>NO</v>
      </c>
      <c r="J2255" s="5" t="str">
        <f>IFERROR(VLOOKUP(Consulta1[[#This Row],[Pozo]],'Lista Oportunidades'!B:C,2,FALSE),"NO")</f>
        <v>NO</v>
      </c>
      <c r="K2255" s="5">
        <f>IFERROR(VLOOKUP(Consulta1[[#This Row],[Pozo largo]],Controles!B:H,7,FALSE),"NO")</f>
        <v>1.25</v>
      </c>
      <c r="L2255" s="5">
        <f>IFERROR(VLOOKUP(Consulta1[[#This Row],[Pozo largo]],Controles!B:J,9,FALSE),"NO")</f>
        <v>0</v>
      </c>
    </row>
    <row r="2256" spans="2:12" x14ac:dyDescent="0.35">
      <c r="B2256" s="4" t="s">
        <v>4317</v>
      </c>
      <c r="C2256" s="4" t="s">
        <v>7966</v>
      </c>
      <c r="D2256" s="4" t="s">
        <v>5</v>
      </c>
      <c r="E2256" s="4" t="s">
        <v>24</v>
      </c>
      <c r="F2256" s="4" t="s">
        <v>25</v>
      </c>
      <c r="G2256" s="4" t="s">
        <v>8</v>
      </c>
      <c r="H2256" s="4" t="s">
        <v>91</v>
      </c>
      <c r="I2256" s="5" t="str">
        <f>IFERROR(VLOOKUP(Consulta1[[#This Row],[Pozo largo]],'Lista YPF'!$B$3:$C$358,2,FALSE),"NO")</f>
        <v>NO</v>
      </c>
      <c r="J2256" s="5" t="str">
        <f>IFERROR(VLOOKUP(Consulta1[[#This Row],[Pozo]],'Lista Oportunidades'!B:C,2,FALSE),"NO")</f>
        <v>NO</v>
      </c>
      <c r="K2256" s="5" t="str">
        <f>IFERROR(VLOOKUP(Consulta1[[#This Row],[Pozo largo]],Controles!B:H,7,FALSE),"NO")</f>
        <v>NO</v>
      </c>
      <c r="L2256" s="5" t="str">
        <f>IFERROR(VLOOKUP(Consulta1[[#This Row],[Pozo largo]],Controles!B:J,9,FALSE),"NO")</f>
        <v>NO</v>
      </c>
    </row>
    <row r="2257" spans="2:12" x14ac:dyDescent="0.35">
      <c r="B2257" s="4" t="s">
        <v>4318</v>
      </c>
      <c r="C2257" s="4" t="s">
        <v>7967</v>
      </c>
      <c r="D2257" s="4" t="s">
        <v>5</v>
      </c>
      <c r="E2257" s="4" t="s">
        <v>12</v>
      </c>
      <c r="F2257" s="4" t="s">
        <v>28</v>
      </c>
      <c r="G2257" s="4" t="s">
        <v>13</v>
      </c>
      <c r="H2257" s="4" t="s">
        <v>66</v>
      </c>
      <c r="I2257" s="5" t="str">
        <f>IFERROR(VLOOKUP(Consulta1[[#This Row],[Pozo largo]],'Lista YPF'!$B$3:$C$358,2,FALSE),"NO")</f>
        <v>NO</v>
      </c>
      <c r="J2257" s="5" t="str">
        <f>IFERROR(VLOOKUP(Consulta1[[#This Row],[Pozo]],'Lista Oportunidades'!B:C,2,FALSE),"NO")</f>
        <v>NO</v>
      </c>
      <c r="K2257" s="5">
        <f>IFERROR(VLOOKUP(Consulta1[[#This Row],[Pozo largo]],Controles!B:H,7,FALSE),"NO")</f>
        <v>0</v>
      </c>
      <c r="L2257" s="5">
        <f>IFERROR(VLOOKUP(Consulta1[[#This Row],[Pozo largo]],Controles!B:J,9,FALSE),"NO")</f>
        <v>0</v>
      </c>
    </row>
    <row r="2258" spans="2:12" x14ac:dyDescent="0.35">
      <c r="B2258" s="4" t="s">
        <v>4320</v>
      </c>
      <c r="C2258" s="4" t="s">
        <v>7968</v>
      </c>
      <c r="D2258" s="4" t="s">
        <v>5</v>
      </c>
      <c r="E2258" s="4" t="s">
        <v>24</v>
      </c>
      <c r="F2258" s="4" t="s">
        <v>31</v>
      </c>
      <c r="G2258" s="4" t="s">
        <v>8</v>
      </c>
      <c r="H2258" s="4" t="s">
        <v>185</v>
      </c>
      <c r="I2258" s="5" t="str">
        <f>IFERROR(VLOOKUP(Consulta1[[#This Row],[Pozo largo]],'Lista YPF'!$B$3:$C$358,2,FALSE),"NO")</f>
        <v>NO</v>
      </c>
      <c r="J2258" s="5" t="str">
        <f>IFERROR(VLOOKUP(Consulta1[[#This Row],[Pozo]],'Lista Oportunidades'!B:C,2,FALSE),"NO")</f>
        <v>NO</v>
      </c>
      <c r="K2258" s="5">
        <f>IFERROR(VLOOKUP(Consulta1[[#This Row],[Pozo largo]],Controles!B:H,7,FALSE),"NO")</f>
        <v>0</v>
      </c>
      <c r="L2258" s="5">
        <f>IFERROR(VLOOKUP(Consulta1[[#This Row],[Pozo largo]],Controles!B:J,9,FALSE),"NO")</f>
        <v>0</v>
      </c>
    </row>
    <row r="2259" spans="2:12" x14ac:dyDescent="0.35">
      <c r="B2259" s="4" t="s">
        <v>4322</v>
      </c>
      <c r="C2259" s="4" t="s">
        <v>7969</v>
      </c>
      <c r="D2259" s="4" t="s">
        <v>5</v>
      </c>
      <c r="E2259" s="4" t="s">
        <v>24</v>
      </c>
      <c r="F2259" s="4" t="s">
        <v>31</v>
      </c>
      <c r="G2259" s="4" t="s">
        <v>8</v>
      </c>
      <c r="H2259" s="4" t="s">
        <v>141</v>
      </c>
      <c r="I2259" s="5" t="str">
        <f>IFERROR(VLOOKUP(Consulta1[[#This Row],[Pozo largo]],'Lista YPF'!$B$3:$C$358,2,FALSE),"NO")</f>
        <v>NO</v>
      </c>
      <c r="J2259" s="5" t="str">
        <f>IFERROR(VLOOKUP(Consulta1[[#This Row],[Pozo]],'Lista Oportunidades'!B:C,2,FALSE),"NO")</f>
        <v>NO</v>
      </c>
      <c r="K2259" s="5">
        <f>IFERROR(VLOOKUP(Consulta1[[#This Row],[Pozo largo]],Controles!B:H,7,FALSE),"NO")</f>
        <v>0</v>
      </c>
      <c r="L2259" s="5">
        <f>IFERROR(VLOOKUP(Consulta1[[#This Row],[Pozo largo]],Controles!B:J,9,FALSE),"NO")</f>
        <v>0</v>
      </c>
    </row>
    <row r="2260" spans="2:12" x14ac:dyDescent="0.35">
      <c r="B2260" s="4" t="s">
        <v>4324</v>
      </c>
      <c r="C2260" s="4" t="s">
        <v>7970</v>
      </c>
      <c r="D2260" s="4" t="s">
        <v>5</v>
      </c>
      <c r="E2260" s="4" t="s">
        <v>12</v>
      </c>
      <c r="F2260" s="4" t="s">
        <v>7</v>
      </c>
      <c r="G2260" s="4" t="s">
        <v>13</v>
      </c>
      <c r="H2260" s="4" t="s">
        <v>185</v>
      </c>
      <c r="I2260" s="5" t="str">
        <f>IFERROR(VLOOKUP(Consulta1[[#This Row],[Pozo largo]],'Lista YPF'!$B$3:$C$358,2,FALSE),"NO")</f>
        <v>NO</v>
      </c>
      <c r="J2260" s="5" t="str">
        <f>IFERROR(VLOOKUP(Consulta1[[#This Row],[Pozo]],'Lista Oportunidades'!B:C,2,FALSE),"NO")</f>
        <v>NO</v>
      </c>
      <c r="K2260" s="5">
        <f>IFERROR(VLOOKUP(Consulta1[[#This Row],[Pozo largo]],Controles!B:H,7,FALSE),"NO")</f>
        <v>0.72</v>
      </c>
      <c r="L2260" s="5">
        <f>IFERROR(VLOOKUP(Consulta1[[#This Row],[Pozo largo]],Controles!B:J,9,FALSE),"NO")</f>
        <v>0</v>
      </c>
    </row>
    <row r="2261" spans="2:12" x14ac:dyDescent="0.35">
      <c r="B2261" s="4" t="s">
        <v>4326</v>
      </c>
      <c r="C2261" s="4" t="s">
        <v>7971</v>
      </c>
      <c r="D2261" s="4" t="s">
        <v>5</v>
      </c>
      <c r="E2261" s="4" t="s">
        <v>24</v>
      </c>
      <c r="F2261" s="4" t="s">
        <v>31</v>
      </c>
      <c r="G2261" s="4" t="s">
        <v>11385</v>
      </c>
      <c r="H2261" s="4" t="s">
        <v>185</v>
      </c>
      <c r="I2261" s="5" t="str">
        <f>IFERROR(VLOOKUP(Consulta1[[#This Row],[Pozo largo]],'Lista YPF'!$B$3:$C$358,2,FALSE),"NO")</f>
        <v>NO</v>
      </c>
      <c r="J2261" s="5" t="str">
        <f>IFERROR(VLOOKUP(Consulta1[[#This Row],[Pozo]],'Lista Oportunidades'!B:C,2,FALSE),"NO")</f>
        <v>NO</v>
      </c>
      <c r="K2261" s="5">
        <f>IFERROR(VLOOKUP(Consulta1[[#This Row],[Pozo largo]],Controles!B:H,7,FALSE),"NO")</f>
        <v>2.52</v>
      </c>
      <c r="L2261" s="5">
        <f>IFERROR(VLOOKUP(Consulta1[[#This Row],[Pozo largo]],Controles!B:J,9,FALSE),"NO")</f>
        <v>0</v>
      </c>
    </row>
    <row r="2262" spans="2:12" x14ac:dyDescent="0.35">
      <c r="B2262" s="4" t="s">
        <v>4328</v>
      </c>
      <c r="C2262" s="4" t="s">
        <v>7972</v>
      </c>
      <c r="D2262" s="4" t="s">
        <v>5</v>
      </c>
      <c r="E2262" s="4" t="s">
        <v>24</v>
      </c>
      <c r="F2262" s="4" t="s">
        <v>31</v>
      </c>
      <c r="G2262" s="4" t="s">
        <v>8</v>
      </c>
      <c r="H2262" s="4" t="s">
        <v>185</v>
      </c>
      <c r="I2262" s="5" t="str">
        <f>IFERROR(VLOOKUP(Consulta1[[#This Row],[Pozo largo]],'Lista YPF'!$B$3:$C$358,2,FALSE),"NO")</f>
        <v>NO</v>
      </c>
      <c r="J2262" s="5" t="str">
        <f>IFERROR(VLOOKUP(Consulta1[[#This Row],[Pozo]],'Lista Oportunidades'!B:C,2,FALSE),"NO")</f>
        <v>NO</v>
      </c>
      <c r="K2262" s="5">
        <f>IFERROR(VLOOKUP(Consulta1[[#This Row],[Pozo largo]],Controles!B:H,7,FALSE),"NO")</f>
        <v>0.91</v>
      </c>
      <c r="L2262" s="5">
        <f>IFERROR(VLOOKUP(Consulta1[[#This Row],[Pozo largo]],Controles!B:J,9,FALSE),"NO")</f>
        <v>0</v>
      </c>
    </row>
    <row r="2263" spans="2:12" x14ac:dyDescent="0.35">
      <c r="B2263" s="4" t="s">
        <v>4330</v>
      </c>
      <c r="C2263" s="4" t="s">
        <v>7973</v>
      </c>
      <c r="D2263" s="4" t="s">
        <v>5</v>
      </c>
      <c r="E2263" s="4" t="s">
        <v>24</v>
      </c>
      <c r="F2263" s="4" t="s">
        <v>31</v>
      </c>
      <c r="G2263" s="4" t="s">
        <v>8</v>
      </c>
      <c r="H2263" s="4" t="s">
        <v>185</v>
      </c>
      <c r="I2263" s="5" t="str">
        <f>IFERROR(VLOOKUP(Consulta1[[#This Row],[Pozo largo]],'Lista YPF'!$B$3:$C$358,2,FALSE),"NO")</f>
        <v>NO</v>
      </c>
      <c r="J2263" s="5" t="str">
        <f>IFERROR(VLOOKUP(Consulta1[[#This Row],[Pozo]],'Lista Oportunidades'!B:C,2,FALSE),"NO")</f>
        <v>NO</v>
      </c>
      <c r="K2263" s="5">
        <f>IFERROR(VLOOKUP(Consulta1[[#This Row],[Pozo largo]],Controles!B:H,7,FALSE),"NO")</f>
        <v>0.8</v>
      </c>
      <c r="L2263" s="5">
        <f>IFERROR(VLOOKUP(Consulta1[[#This Row],[Pozo largo]],Controles!B:J,9,FALSE),"NO")</f>
        <v>0</v>
      </c>
    </row>
    <row r="2264" spans="2:12" x14ac:dyDescent="0.35">
      <c r="B2264" s="4" t="s">
        <v>4332</v>
      </c>
      <c r="C2264" s="4" t="s">
        <v>7974</v>
      </c>
      <c r="D2264" s="4" t="s">
        <v>5</v>
      </c>
      <c r="E2264" s="4" t="s">
        <v>12</v>
      </c>
      <c r="F2264" s="4" t="s">
        <v>7</v>
      </c>
      <c r="G2264" s="4" t="s">
        <v>13</v>
      </c>
      <c r="H2264" s="4" t="s">
        <v>185</v>
      </c>
      <c r="I2264" s="5" t="str">
        <f>IFERROR(VLOOKUP(Consulta1[[#This Row],[Pozo largo]],'Lista YPF'!$B$3:$C$358,2,FALSE),"NO")</f>
        <v>NO</v>
      </c>
      <c r="J2264" s="5" t="str">
        <f>IFERROR(VLOOKUP(Consulta1[[#This Row],[Pozo]],'Lista Oportunidades'!B:C,2,FALSE),"NO")</f>
        <v>NO</v>
      </c>
      <c r="K2264" s="5">
        <f>IFERROR(VLOOKUP(Consulta1[[#This Row],[Pozo largo]],Controles!B:H,7,FALSE),"NO")</f>
        <v>0.83300000000000007</v>
      </c>
      <c r="L2264" s="5">
        <f>IFERROR(VLOOKUP(Consulta1[[#This Row],[Pozo largo]],Controles!B:J,9,FALSE),"NO")</f>
        <v>0</v>
      </c>
    </row>
    <row r="2265" spans="2:12" x14ac:dyDescent="0.35">
      <c r="B2265" s="4" t="s">
        <v>4334</v>
      </c>
      <c r="C2265" s="4" t="s">
        <v>7975</v>
      </c>
      <c r="D2265" s="4" t="s">
        <v>5</v>
      </c>
      <c r="E2265" s="4" t="s">
        <v>12</v>
      </c>
      <c r="F2265" s="4" t="s">
        <v>7</v>
      </c>
      <c r="G2265" s="4" t="s">
        <v>13</v>
      </c>
      <c r="H2265" s="4" t="s">
        <v>260</v>
      </c>
      <c r="I2265" s="5" t="str">
        <f>IFERROR(VLOOKUP(Consulta1[[#This Row],[Pozo largo]],'Lista YPF'!$B$3:$C$358,2,FALSE),"NO")</f>
        <v>NO</v>
      </c>
      <c r="J2265" s="5" t="str">
        <f>IFERROR(VLOOKUP(Consulta1[[#This Row],[Pozo]],'Lista Oportunidades'!B:C,2,FALSE),"NO")</f>
        <v>NO</v>
      </c>
      <c r="K2265" s="5">
        <f>IFERROR(VLOOKUP(Consulta1[[#This Row],[Pozo largo]],Controles!B:H,7,FALSE),"NO")</f>
        <v>2.1</v>
      </c>
      <c r="L2265" s="5">
        <f>IFERROR(VLOOKUP(Consulta1[[#This Row],[Pozo largo]],Controles!B:J,9,FALSE),"NO")</f>
        <v>0</v>
      </c>
    </row>
    <row r="2266" spans="2:12" x14ac:dyDescent="0.35">
      <c r="B2266" s="4" t="s">
        <v>4336</v>
      </c>
      <c r="C2266" s="4" t="s">
        <v>7976</v>
      </c>
      <c r="D2266" s="4" t="s">
        <v>5</v>
      </c>
      <c r="E2266" s="4" t="s">
        <v>12</v>
      </c>
      <c r="F2266" s="4" t="s">
        <v>7</v>
      </c>
      <c r="G2266" s="4" t="s">
        <v>13</v>
      </c>
      <c r="H2266" s="4" t="s">
        <v>74</v>
      </c>
      <c r="I2266" s="5" t="str">
        <f>IFERROR(VLOOKUP(Consulta1[[#This Row],[Pozo largo]],'Lista YPF'!$B$3:$C$358,2,FALSE),"NO")</f>
        <v>NO</v>
      </c>
      <c r="J2266" s="5" t="str">
        <f>IFERROR(VLOOKUP(Consulta1[[#This Row],[Pozo]],'Lista Oportunidades'!B:C,2,FALSE),"NO")</f>
        <v>NO</v>
      </c>
      <c r="K2266" s="5">
        <f>IFERROR(VLOOKUP(Consulta1[[#This Row],[Pozo largo]],Controles!B:H,7,FALSE),"NO")</f>
        <v>1.62</v>
      </c>
      <c r="L2266" s="5">
        <f>IFERROR(VLOOKUP(Consulta1[[#This Row],[Pozo largo]],Controles!B:J,9,FALSE),"NO")</f>
        <v>0</v>
      </c>
    </row>
    <row r="2267" spans="2:12" x14ac:dyDescent="0.35">
      <c r="B2267" s="4" t="s">
        <v>4338</v>
      </c>
      <c r="C2267" s="4" t="s">
        <v>7977</v>
      </c>
      <c r="D2267" s="4" t="s">
        <v>5</v>
      </c>
      <c r="E2267" s="4" t="s">
        <v>12</v>
      </c>
      <c r="F2267" s="4" t="s">
        <v>7</v>
      </c>
      <c r="G2267" s="4" t="s">
        <v>13</v>
      </c>
      <c r="H2267" s="4" t="s">
        <v>185</v>
      </c>
      <c r="I2267" s="5" t="str">
        <f>IFERROR(VLOOKUP(Consulta1[[#This Row],[Pozo largo]],'Lista YPF'!$B$3:$C$358,2,FALSE),"NO")</f>
        <v>NO</v>
      </c>
      <c r="J2267" s="5" t="str">
        <f>IFERROR(VLOOKUP(Consulta1[[#This Row],[Pozo]],'Lista Oportunidades'!B:C,2,FALSE),"NO")</f>
        <v>NO</v>
      </c>
      <c r="K2267" s="5">
        <f>IFERROR(VLOOKUP(Consulta1[[#This Row],[Pozo largo]],Controles!B:H,7,FALSE),"NO")</f>
        <v>1.5</v>
      </c>
      <c r="L2267" s="5">
        <f>IFERROR(VLOOKUP(Consulta1[[#This Row],[Pozo largo]],Controles!B:J,9,FALSE),"NO")</f>
        <v>0</v>
      </c>
    </row>
    <row r="2268" spans="2:12" x14ac:dyDescent="0.35">
      <c r="B2268" s="4" t="s">
        <v>4340</v>
      </c>
      <c r="C2268" s="4" t="s">
        <v>7978</v>
      </c>
      <c r="D2268" s="4" t="s">
        <v>5</v>
      </c>
      <c r="E2268" s="4" t="s">
        <v>12</v>
      </c>
      <c r="F2268" s="4" t="s">
        <v>7</v>
      </c>
      <c r="G2268" s="4" t="s">
        <v>13</v>
      </c>
      <c r="H2268" s="4" t="s">
        <v>185</v>
      </c>
      <c r="I2268" s="5" t="str">
        <f>IFERROR(VLOOKUP(Consulta1[[#This Row],[Pozo largo]],'Lista YPF'!$B$3:$C$358,2,FALSE),"NO")</f>
        <v>NO</v>
      </c>
      <c r="J2268" s="5" t="str">
        <f>IFERROR(VLOOKUP(Consulta1[[#This Row],[Pozo]],'Lista Oportunidades'!B:C,2,FALSE),"NO")</f>
        <v>NO</v>
      </c>
      <c r="K2268" s="5">
        <f>IFERROR(VLOOKUP(Consulta1[[#This Row],[Pozo largo]],Controles!B:H,7,FALSE),"NO")</f>
        <v>1.482</v>
      </c>
      <c r="L2268" s="5">
        <f>IFERROR(VLOOKUP(Consulta1[[#This Row],[Pozo largo]],Controles!B:J,9,FALSE),"NO")</f>
        <v>0</v>
      </c>
    </row>
    <row r="2269" spans="2:12" x14ac:dyDescent="0.35">
      <c r="B2269" s="4" t="s">
        <v>4342</v>
      </c>
      <c r="C2269" s="4" t="s">
        <v>7979</v>
      </c>
      <c r="D2269" s="4" t="s">
        <v>5</v>
      </c>
      <c r="E2269" s="4" t="s">
        <v>12</v>
      </c>
      <c r="F2269" s="4" t="s">
        <v>7</v>
      </c>
      <c r="G2269" s="4" t="s">
        <v>13</v>
      </c>
      <c r="H2269" s="4" t="s">
        <v>66</v>
      </c>
      <c r="I2269" s="5" t="str">
        <f>IFERROR(VLOOKUP(Consulta1[[#This Row],[Pozo largo]],'Lista YPF'!$B$3:$C$358,2,FALSE),"NO")</f>
        <v>NO</v>
      </c>
      <c r="J2269" s="5" t="str">
        <f>IFERROR(VLOOKUP(Consulta1[[#This Row],[Pozo]],'Lista Oportunidades'!B:C,2,FALSE),"NO")</f>
        <v>NO</v>
      </c>
      <c r="K2269" s="5">
        <f>IFERROR(VLOOKUP(Consulta1[[#This Row],[Pozo largo]],Controles!B:H,7,FALSE),"NO")</f>
        <v>0.83600000000000008</v>
      </c>
      <c r="L2269" s="5">
        <f>IFERROR(VLOOKUP(Consulta1[[#This Row],[Pozo largo]],Controles!B:J,9,FALSE),"NO")</f>
        <v>0</v>
      </c>
    </row>
    <row r="2270" spans="2:12" x14ac:dyDescent="0.35">
      <c r="B2270" s="4" t="s">
        <v>4344</v>
      </c>
      <c r="C2270" s="4" t="s">
        <v>7980</v>
      </c>
      <c r="D2270" s="4" t="s">
        <v>5</v>
      </c>
      <c r="E2270" s="4" t="s">
        <v>30</v>
      </c>
      <c r="F2270" s="4" t="s">
        <v>31</v>
      </c>
      <c r="G2270" s="4" t="s">
        <v>32</v>
      </c>
      <c r="H2270" s="4" t="s">
        <v>66</v>
      </c>
      <c r="I2270" s="5" t="str">
        <f>IFERROR(VLOOKUP(Consulta1[[#This Row],[Pozo largo]],'Lista YPF'!$B$3:$C$358,2,FALSE),"NO")</f>
        <v>NO</v>
      </c>
      <c r="J2270" s="5" t="str">
        <f>IFERROR(VLOOKUP(Consulta1[[#This Row],[Pozo]],'Lista Oportunidades'!B:C,2,FALSE),"NO")</f>
        <v>NO</v>
      </c>
      <c r="K2270" s="5">
        <f>IFERROR(VLOOKUP(Consulta1[[#This Row],[Pozo largo]],Controles!B:H,7,FALSE),"NO")</f>
        <v>0.92</v>
      </c>
      <c r="L2270" s="5">
        <f>IFERROR(VLOOKUP(Consulta1[[#This Row],[Pozo largo]],Controles!B:J,9,FALSE),"NO")</f>
        <v>0</v>
      </c>
    </row>
    <row r="2271" spans="2:12" x14ac:dyDescent="0.35">
      <c r="B2271" s="4" t="s">
        <v>4346</v>
      </c>
      <c r="C2271" s="4" t="s">
        <v>7981</v>
      </c>
      <c r="D2271" s="4" t="s">
        <v>5</v>
      </c>
      <c r="E2271" s="4" t="s">
        <v>24</v>
      </c>
      <c r="F2271" s="4" t="s">
        <v>4348</v>
      </c>
      <c r="G2271" s="4" t="s">
        <v>8</v>
      </c>
      <c r="H2271" s="4" t="s">
        <v>86</v>
      </c>
      <c r="I2271" s="5" t="str">
        <f>IFERROR(VLOOKUP(Consulta1[[#This Row],[Pozo largo]],'Lista YPF'!$B$3:$C$358,2,FALSE),"NO")</f>
        <v>NO</v>
      </c>
      <c r="J2271" s="5" t="str">
        <f>IFERROR(VLOOKUP(Consulta1[[#This Row],[Pozo]],'Lista Oportunidades'!B:C,2,FALSE),"NO")</f>
        <v>NO</v>
      </c>
      <c r="K2271" s="5">
        <f>IFERROR(VLOOKUP(Consulta1[[#This Row],[Pozo largo]],Controles!B:H,7,FALSE),"NO")</f>
        <v>0.498</v>
      </c>
      <c r="L2271" s="5">
        <f>IFERROR(VLOOKUP(Consulta1[[#This Row],[Pozo largo]],Controles!B:J,9,FALSE),"NO")</f>
        <v>0</v>
      </c>
    </row>
    <row r="2272" spans="2:12" x14ac:dyDescent="0.35">
      <c r="B2272" s="4" t="s">
        <v>4349</v>
      </c>
      <c r="C2272" s="4" t="s">
        <v>7982</v>
      </c>
      <c r="D2272" s="4" t="s">
        <v>5</v>
      </c>
      <c r="E2272" s="4" t="s">
        <v>6</v>
      </c>
      <c r="F2272" s="4" t="s">
        <v>7</v>
      </c>
      <c r="G2272" s="4" t="s">
        <v>5718</v>
      </c>
      <c r="H2272" s="4" t="s">
        <v>9</v>
      </c>
      <c r="I2272" s="5" t="str">
        <f>IFERROR(VLOOKUP(Consulta1[[#This Row],[Pozo largo]],'Lista YPF'!$B$3:$C$358,2,FALSE),"NO")</f>
        <v>En lista de Abandono</v>
      </c>
      <c r="J2272" s="5" t="str">
        <f>IFERROR(VLOOKUP(Consulta1[[#This Row],[Pozo]],'Lista Oportunidades'!B:C,2,FALSE),"NO")</f>
        <v>NO</v>
      </c>
      <c r="K2272" s="5">
        <f>IFERROR(VLOOKUP(Consulta1[[#This Row],[Pozo largo]],Controles!B:H,7,FALSE),"NO")</f>
        <v>0.9</v>
      </c>
      <c r="L2272" s="5">
        <f>IFERROR(VLOOKUP(Consulta1[[#This Row],[Pozo largo]],Controles!B:J,9,FALSE),"NO")</f>
        <v>0</v>
      </c>
    </row>
    <row r="2273" spans="2:12" x14ac:dyDescent="0.35">
      <c r="B2273" s="4" t="s">
        <v>4351</v>
      </c>
      <c r="C2273" s="4" t="s">
        <v>7983</v>
      </c>
      <c r="D2273" s="4" t="s">
        <v>5</v>
      </c>
      <c r="E2273" s="4" t="s">
        <v>12</v>
      </c>
      <c r="F2273" s="4" t="s">
        <v>28</v>
      </c>
      <c r="G2273" s="4" t="s">
        <v>13</v>
      </c>
      <c r="H2273" s="4" t="s">
        <v>9</v>
      </c>
      <c r="I2273" s="5" t="str">
        <f>IFERROR(VLOOKUP(Consulta1[[#This Row],[Pozo largo]],'Lista YPF'!$B$3:$C$358,2,FALSE),"NO")</f>
        <v>NO</v>
      </c>
      <c r="J2273" s="5" t="str">
        <f>IFERROR(VLOOKUP(Consulta1[[#This Row],[Pozo]],'Lista Oportunidades'!B:C,2,FALSE),"NO")</f>
        <v>NO</v>
      </c>
      <c r="K2273" s="5">
        <f>IFERROR(VLOOKUP(Consulta1[[#This Row],[Pozo largo]],Controles!B:H,7,FALSE),"NO")</f>
        <v>0</v>
      </c>
      <c r="L2273" s="5">
        <f>IFERROR(VLOOKUP(Consulta1[[#This Row],[Pozo largo]],Controles!B:J,9,FALSE),"NO")</f>
        <v>0</v>
      </c>
    </row>
    <row r="2274" spans="2:12" x14ac:dyDescent="0.35">
      <c r="B2274" s="4" t="s">
        <v>4353</v>
      </c>
      <c r="C2274" s="4" t="s">
        <v>7984</v>
      </c>
      <c r="D2274" s="4" t="s">
        <v>5</v>
      </c>
      <c r="E2274" s="4" t="s">
        <v>30</v>
      </c>
      <c r="F2274" s="4" t="s">
        <v>31</v>
      </c>
      <c r="G2274" s="4" t="s">
        <v>32</v>
      </c>
      <c r="H2274" s="4" t="s">
        <v>71</v>
      </c>
      <c r="I2274" s="5" t="str">
        <f>IFERROR(VLOOKUP(Consulta1[[#This Row],[Pozo largo]],'Lista YPF'!$B$3:$C$358,2,FALSE),"NO")</f>
        <v>NO</v>
      </c>
      <c r="J2274" s="5" t="str">
        <f>IFERROR(VLOOKUP(Consulta1[[#This Row],[Pozo]],'Lista Oportunidades'!B:C,2,FALSE),"NO")</f>
        <v>NO</v>
      </c>
      <c r="K2274" s="5">
        <f>IFERROR(VLOOKUP(Consulta1[[#This Row],[Pozo largo]],Controles!B:H,7,FALSE),"NO")</f>
        <v>1</v>
      </c>
      <c r="L2274" s="5">
        <f>IFERROR(VLOOKUP(Consulta1[[#This Row],[Pozo largo]],Controles!B:J,9,FALSE),"NO")</f>
        <v>0</v>
      </c>
    </row>
    <row r="2275" spans="2:12" x14ac:dyDescent="0.35">
      <c r="B2275" s="4" t="s">
        <v>4355</v>
      </c>
      <c r="C2275" s="4" t="s">
        <v>7985</v>
      </c>
      <c r="D2275" s="4" t="s">
        <v>5</v>
      </c>
      <c r="E2275" s="4" t="s">
        <v>57</v>
      </c>
      <c r="F2275" s="4" t="s">
        <v>7</v>
      </c>
      <c r="G2275" s="4" t="s">
        <v>5718</v>
      </c>
      <c r="H2275" s="4" t="s">
        <v>9</v>
      </c>
      <c r="I2275" s="5" t="str">
        <f>IFERROR(VLOOKUP(Consulta1[[#This Row],[Pozo largo]],'Lista YPF'!$B$3:$C$358,2,FALSE),"NO")</f>
        <v>En lista de Abandono</v>
      </c>
      <c r="J2275" s="5" t="str">
        <f>IFERROR(VLOOKUP(Consulta1[[#This Row],[Pozo]],'Lista Oportunidades'!B:C,2,FALSE),"NO")</f>
        <v>NO</v>
      </c>
      <c r="K2275" s="5">
        <f>IFERROR(VLOOKUP(Consulta1[[#This Row],[Pozo largo]],Controles!B:H,7,FALSE),"NO")</f>
        <v>3.1</v>
      </c>
      <c r="L2275" s="5">
        <f>IFERROR(VLOOKUP(Consulta1[[#This Row],[Pozo largo]],Controles!B:J,9,FALSE),"NO")</f>
        <v>0</v>
      </c>
    </row>
    <row r="2276" spans="2:12" x14ac:dyDescent="0.35">
      <c r="B2276" s="4" t="s">
        <v>4357</v>
      </c>
      <c r="C2276" s="4" t="s">
        <v>7986</v>
      </c>
      <c r="D2276" s="4" t="s">
        <v>5</v>
      </c>
      <c r="E2276" s="4" t="s">
        <v>12</v>
      </c>
      <c r="F2276" s="4" t="s">
        <v>7</v>
      </c>
      <c r="G2276" s="4" t="s">
        <v>13</v>
      </c>
      <c r="H2276" s="4" t="s">
        <v>9</v>
      </c>
      <c r="I2276" s="5" t="str">
        <f>IFERROR(VLOOKUP(Consulta1[[#This Row],[Pozo largo]],'Lista YPF'!$B$3:$C$358,2,FALSE),"NO")</f>
        <v>NO</v>
      </c>
      <c r="J2276" s="5" t="str">
        <f>IFERROR(VLOOKUP(Consulta1[[#This Row],[Pozo]],'Lista Oportunidades'!B:C,2,FALSE),"NO")</f>
        <v>NO</v>
      </c>
      <c r="K2276" s="5">
        <f>IFERROR(VLOOKUP(Consulta1[[#This Row],[Pozo largo]],Controles!B:H,7,FALSE),"NO")</f>
        <v>1.28</v>
      </c>
      <c r="L2276" s="5">
        <f>IFERROR(VLOOKUP(Consulta1[[#This Row],[Pozo largo]],Controles!B:J,9,FALSE),"NO")</f>
        <v>0</v>
      </c>
    </row>
    <row r="2277" spans="2:12" x14ac:dyDescent="0.35">
      <c r="B2277" s="4" t="s">
        <v>4359</v>
      </c>
      <c r="C2277" s="4" t="s">
        <v>7987</v>
      </c>
      <c r="D2277" s="4" t="s">
        <v>5</v>
      </c>
      <c r="E2277" s="4" t="s">
        <v>57</v>
      </c>
      <c r="F2277" s="4" t="s">
        <v>25</v>
      </c>
      <c r="G2277" s="4" t="s">
        <v>5718</v>
      </c>
      <c r="H2277" s="4" t="s">
        <v>21</v>
      </c>
      <c r="I2277" s="5" t="str">
        <f>IFERROR(VLOOKUP(Consulta1[[#This Row],[Pozo largo]],'Lista YPF'!$B$3:$C$358,2,FALSE),"NO")</f>
        <v>En lista de Abandono</v>
      </c>
      <c r="J2277" s="5" t="str">
        <f>IFERROR(VLOOKUP(Consulta1[[#This Row],[Pozo]],'Lista Oportunidades'!B:C,2,FALSE),"NO")</f>
        <v>NO</v>
      </c>
      <c r="K2277" s="5">
        <f>IFERROR(VLOOKUP(Consulta1[[#This Row],[Pozo largo]],Controles!B:H,7,FALSE),"NO")</f>
        <v>5.8000000000000003E-2</v>
      </c>
      <c r="L2277" s="5">
        <f>IFERROR(VLOOKUP(Consulta1[[#This Row],[Pozo largo]],Controles!B:J,9,FALSE),"NO")</f>
        <v>0</v>
      </c>
    </row>
    <row r="2278" spans="2:12" x14ac:dyDescent="0.35">
      <c r="B2278" s="4" t="s">
        <v>4361</v>
      </c>
      <c r="C2278" s="4" t="s">
        <v>7988</v>
      </c>
      <c r="D2278" s="4" t="s">
        <v>5</v>
      </c>
      <c r="E2278" s="4" t="s">
        <v>24</v>
      </c>
      <c r="F2278" s="4" t="s">
        <v>31</v>
      </c>
      <c r="G2278" s="4" t="s">
        <v>8</v>
      </c>
      <c r="H2278" s="4" t="s">
        <v>71</v>
      </c>
      <c r="I2278" s="5" t="str">
        <f>IFERROR(VLOOKUP(Consulta1[[#This Row],[Pozo largo]],'Lista YPF'!$B$3:$C$358,2,FALSE),"NO")</f>
        <v>NO</v>
      </c>
      <c r="J2278" s="5" t="str">
        <f>IFERROR(VLOOKUP(Consulta1[[#This Row],[Pozo]],'Lista Oportunidades'!B:C,2,FALSE),"NO")</f>
        <v>NO</v>
      </c>
      <c r="K2278" s="5">
        <f>IFERROR(VLOOKUP(Consulta1[[#This Row],[Pozo largo]],Controles!B:H,7,FALSE),"NO")</f>
        <v>0.98</v>
      </c>
      <c r="L2278" s="5">
        <f>IFERROR(VLOOKUP(Consulta1[[#This Row],[Pozo largo]],Controles!B:J,9,FALSE),"NO")</f>
        <v>0</v>
      </c>
    </row>
    <row r="2279" spans="2:12" x14ac:dyDescent="0.35">
      <c r="B2279" s="4" t="s">
        <v>4363</v>
      </c>
      <c r="C2279" s="4" t="s">
        <v>7989</v>
      </c>
      <c r="D2279" s="4" t="s">
        <v>5</v>
      </c>
      <c r="E2279" s="4" t="s">
        <v>12</v>
      </c>
      <c r="F2279" s="4" t="s">
        <v>7</v>
      </c>
      <c r="G2279" s="4" t="s">
        <v>13</v>
      </c>
      <c r="H2279" s="4" t="s">
        <v>21</v>
      </c>
      <c r="I2279" s="5" t="str">
        <f>IFERROR(VLOOKUP(Consulta1[[#This Row],[Pozo largo]],'Lista YPF'!$B$3:$C$358,2,FALSE),"NO")</f>
        <v>NO</v>
      </c>
      <c r="J2279" s="5" t="str">
        <f>IFERROR(VLOOKUP(Consulta1[[#This Row],[Pozo]],'Lista Oportunidades'!B:C,2,FALSE),"NO")</f>
        <v>NO</v>
      </c>
      <c r="K2279" s="5">
        <f>IFERROR(VLOOKUP(Consulta1[[#This Row],[Pozo largo]],Controles!B:H,7,FALSE),"NO")</f>
        <v>1.02</v>
      </c>
      <c r="L2279" s="5">
        <f>IFERROR(VLOOKUP(Consulta1[[#This Row],[Pozo largo]],Controles!B:J,9,FALSE),"NO")</f>
        <v>0</v>
      </c>
    </row>
    <row r="2280" spans="2:12" x14ac:dyDescent="0.35">
      <c r="B2280" s="4" t="s">
        <v>4365</v>
      </c>
      <c r="C2280" s="4" t="s">
        <v>7990</v>
      </c>
      <c r="D2280" s="4" t="s">
        <v>5</v>
      </c>
      <c r="E2280" s="4" t="s">
        <v>12</v>
      </c>
      <c r="F2280" s="4" t="s">
        <v>7</v>
      </c>
      <c r="G2280" s="4" t="s">
        <v>13</v>
      </c>
      <c r="H2280" s="4" t="s">
        <v>9</v>
      </c>
      <c r="I2280" s="5" t="str">
        <f>IFERROR(VLOOKUP(Consulta1[[#This Row],[Pozo largo]],'Lista YPF'!$B$3:$C$358,2,FALSE),"NO")</f>
        <v>NO</v>
      </c>
      <c r="J2280" s="5" t="str">
        <f>IFERROR(VLOOKUP(Consulta1[[#This Row],[Pozo]],'Lista Oportunidades'!B:C,2,FALSE),"NO")</f>
        <v>NO</v>
      </c>
      <c r="K2280" s="5">
        <f>IFERROR(VLOOKUP(Consulta1[[#This Row],[Pozo largo]],Controles!B:H,7,FALSE),"NO")</f>
        <v>1.1500000000000001</v>
      </c>
      <c r="L2280" s="5">
        <f>IFERROR(VLOOKUP(Consulta1[[#This Row],[Pozo largo]],Controles!B:J,9,FALSE),"NO")</f>
        <v>0</v>
      </c>
    </row>
    <row r="2281" spans="2:12" x14ac:dyDescent="0.35">
      <c r="B2281" s="4" t="s">
        <v>4367</v>
      </c>
      <c r="C2281" s="4" t="s">
        <v>7991</v>
      </c>
      <c r="D2281" s="4" t="s">
        <v>5</v>
      </c>
      <c r="E2281" s="4" t="s">
        <v>12</v>
      </c>
      <c r="F2281" s="4" t="s">
        <v>238</v>
      </c>
      <c r="G2281" s="4" t="s">
        <v>13</v>
      </c>
      <c r="H2281" s="4" t="s">
        <v>36</v>
      </c>
      <c r="I2281" s="5" t="str">
        <f>IFERROR(VLOOKUP(Consulta1[[#This Row],[Pozo largo]],'Lista YPF'!$B$3:$C$358,2,FALSE),"NO")</f>
        <v>NO</v>
      </c>
      <c r="J2281" s="5" t="str">
        <f>IFERROR(VLOOKUP(Consulta1[[#This Row],[Pozo]],'Lista Oportunidades'!B:C,2,FALSE),"NO")</f>
        <v>NO</v>
      </c>
      <c r="K2281" s="5">
        <f>IFERROR(VLOOKUP(Consulta1[[#This Row],[Pozo largo]],Controles!B:H,7,FALSE),"NO")</f>
        <v>4.32</v>
      </c>
      <c r="L2281" s="5">
        <f>IFERROR(VLOOKUP(Consulta1[[#This Row],[Pozo largo]],Controles!B:J,9,FALSE),"NO")</f>
        <v>0</v>
      </c>
    </row>
    <row r="2282" spans="2:12" x14ac:dyDescent="0.35">
      <c r="B2282" s="4" t="s">
        <v>4369</v>
      </c>
      <c r="C2282" s="4" t="s">
        <v>7992</v>
      </c>
      <c r="D2282" s="4" t="s">
        <v>5</v>
      </c>
      <c r="E2282" s="4" t="s">
        <v>12</v>
      </c>
      <c r="F2282" s="4" t="s">
        <v>7</v>
      </c>
      <c r="G2282" s="4" t="s">
        <v>13</v>
      </c>
      <c r="H2282" s="4" t="s">
        <v>21</v>
      </c>
      <c r="I2282" s="5" t="str">
        <f>IFERROR(VLOOKUP(Consulta1[[#This Row],[Pozo largo]],'Lista YPF'!$B$3:$C$358,2,FALSE),"NO")</f>
        <v>NO</v>
      </c>
      <c r="J2282" s="5" t="str">
        <f>IFERROR(VLOOKUP(Consulta1[[#This Row],[Pozo]],'Lista Oportunidades'!B:C,2,FALSE),"NO")</f>
        <v>NO</v>
      </c>
      <c r="K2282" s="5">
        <f>IFERROR(VLOOKUP(Consulta1[[#This Row],[Pozo largo]],Controles!B:H,7,FALSE),"NO")</f>
        <v>0.9</v>
      </c>
      <c r="L2282" s="5">
        <f>IFERROR(VLOOKUP(Consulta1[[#This Row],[Pozo largo]],Controles!B:J,9,FALSE),"NO")</f>
        <v>0</v>
      </c>
    </row>
    <row r="2283" spans="2:12" x14ac:dyDescent="0.35">
      <c r="B2283" s="4" t="s">
        <v>4371</v>
      </c>
      <c r="C2283" s="4" t="s">
        <v>7993</v>
      </c>
      <c r="D2283" s="4" t="s">
        <v>5</v>
      </c>
      <c r="E2283" s="4" t="s">
        <v>6</v>
      </c>
      <c r="F2283" s="4" t="s">
        <v>28</v>
      </c>
      <c r="G2283" s="4" t="s">
        <v>11386</v>
      </c>
      <c r="H2283" s="4" t="s">
        <v>36</v>
      </c>
      <c r="I2283" s="5" t="str">
        <f>IFERROR(VLOOKUP(Consulta1[[#This Row],[Pozo largo]],'Lista YPF'!$B$3:$C$358,2,FALSE),"NO")</f>
        <v>NO</v>
      </c>
      <c r="J2283" s="5" t="str">
        <f>IFERROR(VLOOKUP(Consulta1[[#This Row],[Pozo]],'Lista Oportunidades'!B:C,2,FALSE),"NO")</f>
        <v>NO</v>
      </c>
      <c r="K2283" s="5">
        <f>IFERROR(VLOOKUP(Consulta1[[#This Row],[Pozo largo]],Controles!B:H,7,FALSE),"NO")</f>
        <v>0</v>
      </c>
      <c r="L2283" s="5" t="str">
        <f>IFERROR(VLOOKUP(Consulta1[[#This Row],[Pozo largo]],Controles!B:J,9,FALSE),"NO")</f>
        <v>Ultimos 6 meses</v>
      </c>
    </row>
    <row r="2284" spans="2:12" x14ac:dyDescent="0.35">
      <c r="B2284" s="4" t="s">
        <v>4373</v>
      </c>
      <c r="C2284" s="4" t="s">
        <v>7994</v>
      </c>
      <c r="D2284" s="4" t="s">
        <v>5</v>
      </c>
      <c r="E2284" s="4" t="s">
        <v>12</v>
      </c>
      <c r="F2284" s="4" t="s">
        <v>238</v>
      </c>
      <c r="G2284" s="4" t="s">
        <v>13</v>
      </c>
      <c r="H2284" s="4" t="s">
        <v>254</v>
      </c>
      <c r="I2284" s="5" t="str">
        <f>IFERROR(VLOOKUP(Consulta1[[#This Row],[Pozo largo]],'Lista YPF'!$B$3:$C$358,2,FALSE),"NO")</f>
        <v>NO</v>
      </c>
      <c r="J2284" s="5" t="str">
        <f>IFERROR(VLOOKUP(Consulta1[[#This Row],[Pozo]],'Lista Oportunidades'!B:C,2,FALSE),"NO")</f>
        <v>NO</v>
      </c>
      <c r="K2284" s="5">
        <f>IFERROR(VLOOKUP(Consulta1[[#This Row],[Pozo largo]],Controles!B:H,7,FALSE),"NO")</f>
        <v>2.3540000000000001</v>
      </c>
      <c r="L2284" s="5">
        <f>IFERROR(VLOOKUP(Consulta1[[#This Row],[Pozo largo]],Controles!B:J,9,FALSE),"NO")</f>
        <v>0</v>
      </c>
    </row>
    <row r="2285" spans="2:12" x14ac:dyDescent="0.35">
      <c r="B2285" s="4" t="s">
        <v>4375</v>
      </c>
      <c r="C2285" s="4" t="s">
        <v>7995</v>
      </c>
      <c r="D2285" s="4" t="s">
        <v>5</v>
      </c>
      <c r="E2285" s="4" t="s">
        <v>4377</v>
      </c>
      <c r="F2285" s="4" t="s">
        <v>7</v>
      </c>
      <c r="G2285" s="4" t="s">
        <v>13</v>
      </c>
      <c r="H2285" s="4" t="s">
        <v>21</v>
      </c>
      <c r="I2285" s="5" t="str">
        <f>IFERROR(VLOOKUP(Consulta1[[#This Row],[Pozo largo]],'Lista YPF'!$B$3:$C$358,2,FALSE),"NO")</f>
        <v>NO</v>
      </c>
      <c r="J2285" s="5" t="str">
        <f>IFERROR(VLOOKUP(Consulta1[[#This Row],[Pozo]],'Lista Oportunidades'!B:C,2,FALSE),"NO")</f>
        <v>NO</v>
      </c>
      <c r="K2285" s="5">
        <f>IFERROR(VLOOKUP(Consulta1[[#This Row],[Pozo largo]],Controles!B:H,7,FALSE),"NO")</f>
        <v>2.56</v>
      </c>
      <c r="L2285" s="5">
        <f>IFERROR(VLOOKUP(Consulta1[[#This Row],[Pozo largo]],Controles!B:J,9,FALSE),"NO")</f>
        <v>0</v>
      </c>
    </row>
    <row r="2286" spans="2:12" x14ac:dyDescent="0.35">
      <c r="B2286" s="4" t="s">
        <v>4378</v>
      </c>
      <c r="C2286" s="4" t="s">
        <v>7996</v>
      </c>
      <c r="D2286" s="4" t="s">
        <v>5</v>
      </c>
      <c r="E2286" s="4" t="s">
        <v>57</v>
      </c>
      <c r="F2286" s="4" t="s">
        <v>7</v>
      </c>
      <c r="G2286" s="4" t="s">
        <v>5718</v>
      </c>
      <c r="H2286" s="4" t="s">
        <v>74</v>
      </c>
      <c r="I2286" s="5" t="str">
        <f>IFERROR(VLOOKUP(Consulta1[[#This Row],[Pozo largo]],'Lista YPF'!$B$3:$C$358,2,FALSE),"NO")</f>
        <v>En lista de Abandono</v>
      </c>
      <c r="J2286" s="5" t="str">
        <f>IFERROR(VLOOKUP(Consulta1[[#This Row],[Pozo]],'Lista Oportunidades'!B:C,2,FALSE),"NO")</f>
        <v>NO</v>
      </c>
      <c r="K2286" s="5">
        <f>IFERROR(VLOOKUP(Consulta1[[#This Row],[Pozo largo]],Controles!B:H,7,FALSE),"NO")</f>
        <v>0.98</v>
      </c>
      <c r="L2286" s="5">
        <f>IFERROR(VLOOKUP(Consulta1[[#This Row],[Pozo largo]],Controles!B:J,9,FALSE),"NO")</f>
        <v>0</v>
      </c>
    </row>
    <row r="2287" spans="2:12" x14ac:dyDescent="0.35">
      <c r="B2287" s="4" t="s">
        <v>4380</v>
      </c>
      <c r="C2287" s="4" t="s">
        <v>7997</v>
      </c>
      <c r="D2287" s="4" t="s">
        <v>5</v>
      </c>
      <c r="E2287" s="4" t="s">
        <v>12</v>
      </c>
      <c r="F2287" s="4" t="s">
        <v>7</v>
      </c>
      <c r="G2287" s="4" t="s">
        <v>13</v>
      </c>
      <c r="H2287" s="4" t="s">
        <v>21</v>
      </c>
      <c r="I2287" s="5" t="str">
        <f>IFERROR(VLOOKUP(Consulta1[[#This Row],[Pozo largo]],'Lista YPF'!$B$3:$C$358,2,FALSE),"NO")</f>
        <v>NO</v>
      </c>
      <c r="J2287" s="5" t="str">
        <f>IFERROR(VLOOKUP(Consulta1[[#This Row],[Pozo]],'Lista Oportunidades'!B:C,2,FALSE),"NO")</f>
        <v>NO</v>
      </c>
      <c r="K2287" s="5">
        <f>IFERROR(VLOOKUP(Consulta1[[#This Row],[Pozo largo]],Controles!B:H,7,FALSE),"NO")</f>
        <v>1.8</v>
      </c>
      <c r="L2287" s="5">
        <f>IFERROR(VLOOKUP(Consulta1[[#This Row],[Pozo largo]],Controles!B:J,9,FALSE),"NO")</f>
        <v>0</v>
      </c>
    </row>
    <row r="2288" spans="2:12" x14ac:dyDescent="0.35">
      <c r="B2288" s="4" t="s">
        <v>4382</v>
      </c>
      <c r="C2288" s="4" t="s">
        <v>7998</v>
      </c>
      <c r="D2288" s="4" t="s">
        <v>5</v>
      </c>
      <c r="E2288" s="4" t="s">
        <v>30</v>
      </c>
      <c r="F2288" s="4" t="s">
        <v>31</v>
      </c>
      <c r="G2288" s="4" t="s">
        <v>32</v>
      </c>
      <c r="H2288" s="4" t="s">
        <v>36</v>
      </c>
      <c r="I2288" s="5" t="str">
        <f>IFERROR(VLOOKUP(Consulta1[[#This Row],[Pozo largo]],'Lista YPF'!$B$3:$C$358,2,FALSE),"NO")</f>
        <v>NO</v>
      </c>
      <c r="J2288" s="5" t="str">
        <f>IFERROR(VLOOKUP(Consulta1[[#This Row],[Pozo]],'Lista Oportunidades'!B:C,2,FALSE),"NO")</f>
        <v>NO</v>
      </c>
      <c r="K2288" s="5">
        <f>IFERROR(VLOOKUP(Consulta1[[#This Row],[Pozo largo]],Controles!B:H,7,FALSE),"NO")</f>
        <v>0</v>
      </c>
      <c r="L2288" s="5">
        <f>IFERROR(VLOOKUP(Consulta1[[#This Row],[Pozo largo]],Controles!B:J,9,FALSE),"NO")</f>
        <v>0</v>
      </c>
    </row>
    <row r="2289" spans="2:12" x14ac:dyDescent="0.35">
      <c r="B2289" s="4" t="s">
        <v>4384</v>
      </c>
      <c r="C2289" s="4" t="s">
        <v>7999</v>
      </c>
      <c r="D2289" s="4" t="s">
        <v>5</v>
      </c>
      <c r="E2289" s="4" t="s">
        <v>30</v>
      </c>
      <c r="F2289" s="4" t="s">
        <v>31</v>
      </c>
      <c r="G2289" s="4" t="s">
        <v>32</v>
      </c>
      <c r="H2289" s="4" t="s">
        <v>91</v>
      </c>
      <c r="I2289" s="5" t="str">
        <f>IFERROR(VLOOKUP(Consulta1[[#This Row],[Pozo largo]],'Lista YPF'!$B$3:$C$358,2,FALSE),"NO")</f>
        <v>NO</v>
      </c>
      <c r="J2289" s="5" t="str">
        <f>IFERROR(VLOOKUP(Consulta1[[#This Row],[Pozo]],'Lista Oportunidades'!B:C,2,FALSE),"NO")</f>
        <v>NO</v>
      </c>
      <c r="K2289" s="5">
        <f>IFERROR(VLOOKUP(Consulta1[[#This Row],[Pozo largo]],Controles!B:H,7,FALSE),"NO")</f>
        <v>0.78300000000000003</v>
      </c>
      <c r="L2289" s="5">
        <f>IFERROR(VLOOKUP(Consulta1[[#This Row],[Pozo largo]],Controles!B:J,9,FALSE),"NO")</f>
        <v>0</v>
      </c>
    </row>
    <row r="2290" spans="2:12" x14ac:dyDescent="0.35">
      <c r="B2290" s="4" t="s">
        <v>4386</v>
      </c>
      <c r="C2290" s="4" t="s">
        <v>8000</v>
      </c>
      <c r="D2290" s="4" t="s">
        <v>5</v>
      </c>
      <c r="E2290" s="4" t="s">
        <v>12</v>
      </c>
      <c r="F2290" s="4" t="s">
        <v>7</v>
      </c>
      <c r="G2290" s="4" t="s">
        <v>13</v>
      </c>
      <c r="H2290" s="4" t="s">
        <v>86</v>
      </c>
      <c r="I2290" s="5" t="str">
        <f>IFERROR(VLOOKUP(Consulta1[[#This Row],[Pozo largo]],'Lista YPF'!$B$3:$C$358,2,FALSE),"NO")</f>
        <v>NO</v>
      </c>
      <c r="J2290" s="5" t="str">
        <f>IFERROR(VLOOKUP(Consulta1[[#This Row],[Pozo]],'Lista Oportunidades'!B:C,2,FALSE),"NO")</f>
        <v>NO</v>
      </c>
      <c r="K2290" s="5">
        <f>IFERROR(VLOOKUP(Consulta1[[#This Row],[Pozo largo]],Controles!B:H,7,FALSE),"NO")</f>
        <v>0.255</v>
      </c>
      <c r="L2290" s="5">
        <f>IFERROR(VLOOKUP(Consulta1[[#This Row],[Pozo largo]],Controles!B:J,9,FALSE),"NO")</f>
        <v>0</v>
      </c>
    </row>
    <row r="2291" spans="2:12" x14ac:dyDescent="0.35">
      <c r="B2291" s="4" t="s">
        <v>4388</v>
      </c>
      <c r="C2291" s="4" t="s">
        <v>8001</v>
      </c>
      <c r="D2291" s="4" t="s">
        <v>5</v>
      </c>
      <c r="E2291" s="4" t="s">
        <v>30</v>
      </c>
      <c r="F2291" s="4" t="s">
        <v>31</v>
      </c>
      <c r="G2291" s="4" t="s">
        <v>32</v>
      </c>
      <c r="H2291" s="4" t="s">
        <v>21</v>
      </c>
      <c r="I2291" s="5" t="str">
        <f>IFERROR(VLOOKUP(Consulta1[[#This Row],[Pozo largo]],'Lista YPF'!$B$3:$C$358,2,FALSE),"NO")</f>
        <v>NO</v>
      </c>
      <c r="J2291" s="5" t="str">
        <f>IFERROR(VLOOKUP(Consulta1[[#This Row],[Pozo]],'Lista Oportunidades'!B:C,2,FALSE),"NO")</f>
        <v>NO</v>
      </c>
      <c r="K2291" s="5" t="str">
        <f>IFERROR(VLOOKUP(Consulta1[[#This Row],[Pozo largo]],Controles!B:H,7,FALSE),"NO")</f>
        <v>NO</v>
      </c>
      <c r="L2291" s="5" t="str">
        <f>IFERROR(VLOOKUP(Consulta1[[#This Row],[Pozo largo]],Controles!B:J,9,FALSE),"NO")</f>
        <v>NO</v>
      </c>
    </row>
    <row r="2292" spans="2:12" x14ac:dyDescent="0.35">
      <c r="B2292" s="4" t="s">
        <v>4389</v>
      </c>
      <c r="C2292" s="4" t="s">
        <v>8002</v>
      </c>
      <c r="D2292" s="4" t="s">
        <v>5</v>
      </c>
      <c r="E2292" s="4" t="s">
        <v>12</v>
      </c>
      <c r="F2292" s="4" t="s">
        <v>7</v>
      </c>
      <c r="G2292" s="4" t="s">
        <v>13</v>
      </c>
      <c r="H2292" s="4" t="s">
        <v>290</v>
      </c>
      <c r="I2292" s="5" t="str">
        <f>IFERROR(VLOOKUP(Consulta1[[#This Row],[Pozo largo]],'Lista YPF'!$B$3:$C$358,2,FALSE),"NO")</f>
        <v>NO</v>
      </c>
      <c r="J2292" s="5" t="str">
        <f>IFERROR(VLOOKUP(Consulta1[[#This Row],[Pozo]],'Lista Oportunidades'!B:C,2,FALSE),"NO")</f>
        <v>NO</v>
      </c>
      <c r="K2292" s="5">
        <f>IFERROR(VLOOKUP(Consulta1[[#This Row],[Pozo largo]],Controles!B:H,7,FALSE),"NO")</f>
        <v>2.7390000000000003</v>
      </c>
      <c r="L2292" s="5">
        <f>IFERROR(VLOOKUP(Consulta1[[#This Row],[Pozo largo]],Controles!B:J,9,FALSE),"NO")</f>
        <v>0</v>
      </c>
    </row>
    <row r="2293" spans="2:12" x14ac:dyDescent="0.35">
      <c r="B2293" s="4" t="s">
        <v>4391</v>
      </c>
      <c r="C2293" s="4" t="s">
        <v>8003</v>
      </c>
      <c r="D2293" s="4" t="s">
        <v>5</v>
      </c>
      <c r="E2293" s="4" t="s">
        <v>24</v>
      </c>
      <c r="F2293" s="4" t="s">
        <v>31</v>
      </c>
      <c r="G2293" s="4" t="s">
        <v>8</v>
      </c>
      <c r="H2293" s="4" t="s">
        <v>66</v>
      </c>
      <c r="I2293" s="5" t="str">
        <f>IFERROR(VLOOKUP(Consulta1[[#This Row],[Pozo largo]],'Lista YPF'!$B$3:$C$358,2,FALSE),"NO")</f>
        <v>NO</v>
      </c>
      <c r="J2293" s="5" t="str">
        <f>IFERROR(VLOOKUP(Consulta1[[#This Row],[Pozo]],'Lista Oportunidades'!B:C,2,FALSE),"NO")</f>
        <v>NO</v>
      </c>
      <c r="K2293" s="5">
        <f>IFERROR(VLOOKUP(Consulta1[[#This Row],[Pozo largo]],Controles!B:H,7,FALSE),"NO")</f>
        <v>0.65600000000000003</v>
      </c>
      <c r="L2293" s="5">
        <f>IFERROR(VLOOKUP(Consulta1[[#This Row],[Pozo largo]],Controles!B:J,9,FALSE),"NO")</f>
        <v>0</v>
      </c>
    </row>
    <row r="2294" spans="2:12" x14ac:dyDescent="0.35">
      <c r="B2294" s="4" t="s">
        <v>4393</v>
      </c>
      <c r="C2294" s="4" t="s">
        <v>8004</v>
      </c>
      <c r="D2294" s="4" t="s">
        <v>5</v>
      </c>
      <c r="E2294" s="4" t="s">
        <v>24</v>
      </c>
      <c r="F2294" s="4" t="s">
        <v>31</v>
      </c>
      <c r="G2294" s="4" t="s">
        <v>8</v>
      </c>
      <c r="H2294" s="4" t="s">
        <v>185</v>
      </c>
      <c r="I2294" s="5" t="str">
        <f>IFERROR(VLOOKUP(Consulta1[[#This Row],[Pozo largo]],'Lista YPF'!$B$3:$C$358,2,FALSE),"NO")</f>
        <v>NO</v>
      </c>
      <c r="J2294" s="5" t="str">
        <f>IFERROR(VLOOKUP(Consulta1[[#This Row],[Pozo]],'Lista Oportunidades'!B:C,2,FALSE),"NO")</f>
        <v>NO</v>
      </c>
      <c r="K2294" s="5" t="str">
        <f>IFERROR(VLOOKUP(Consulta1[[#This Row],[Pozo largo]],Controles!B:H,7,FALSE),"NO")</f>
        <v>NO</v>
      </c>
      <c r="L2294" s="5" t="str">
        <f>IFERROR(VLOOKUP(Consulta1[[#This Row],[Pozo largo]],Controles!B:J,9,FALSE),"NO")</f>
        <v>NO</v>
      </c>
    </row>
    <row r="2295" spans="2:12" x14ac:dyDescent="0.35">
      <c r="B2295" s="4" t="s">
        <v>4394</v>
      </c>
      <c r="C2295" s="4" t="s">
        <v>8005</v>
      </c>
      <c r="D2295" s="4" t="s">
        <v>5</v>
      </c>
      <c r="E2295" s="4" t="s">
        <v>30</v>
      </c>
      <c r="F2295" s="4" t="s">
        <v>31</v>
      </c>
      <c r="G2295" s="4" t="s">
        <v>32</v>
      </c>
      <c r="H2295" s="4" t="s">
        <v>80</v>
      </c>
      <c r="I2295" s="5" t="str">
        <f>IFERROR(VLOOKUP(Consulta1[[#This Row],[Pozo largo]],'Lista YPF'!$B$3:$C$358,2,FALSE),"NO")</f>
        <v>NO</v>
      </c>
      <c r="J2295" s="5" t="str">
        <f>IFERROR(VLOOKUP(Consulta1[[#This Row],[Pozo]],'Lista Oportunidades'!B:C,2,FALSE),"NO")</f>
        <v>NO</v>
      </c>
      <c r="K2295" s="5" t="str">
        <f>IFERROR(VLOOKUP(Consulta1[[#This Row],[Pozo largo]],Controles!B:H,7,FALSE),"NO")</f>
        <v>NO</v>
      </c>
      <c r="L2295" s="5" t="str">
        <f>IFERROR(VLOOKUP(Consulta1[[#This Row],[Pozo largo]],Controles!B:J,9,FALSE),"NO")</f>
        <v>NO</v>
      </c>
    </row>
    <row r="2296" spans="2:12" x14ac:dyDescent="0.35">
      <c r="B2296" s="4" t="s">
        <v>4395</v>
      </c>
      <c r="C2296" s="4" t="s">
        <v>8006</v>
      </c>
      <c r="D2296" s="4" t="s">
        <v>5</v>
      </c>
      <c r="E2296" s="4" t="s">
        <v>6</v>
      </c>
      <c r="F2296" s="4" t="s">
        <v>28</v>
      </c>
      <c r="G2296" s="4" t="s">
        <v>5718</v>
      </c>
      <c r="H2296" s="4" t="s">
        <v>86</v>
      </c>
      <c r="I2296" s="5" t="str">
        <f>IFERROR(VLOOKUP(Consulta1[[#This Row],[Pozo largo]],'Lista YPF'!$B$3:$C$358,2,FALSE),"NO")</f>
        <v>En lista de Abandono</v>
      </c>
      <c r="J2296" s="5" t="str">
        <f>IFERROR(VLOOKUP(Consulta1[[#This Row],[Pozo]],'Lista Oportunidades'!B:C,2,FALSE),"NO")</f>
        <v>NO</v>
      </c>
      <c r="K2296" s="5">
        <f>IFERROR(VLOOKUP(Consulta1[[#This Row],[Pozo largo]],Controles!B:H,7,FALSE),"NO")</f>
        <v>0</v>
      </c>
      <c r="L2296" s="5">
        <f>IFERROR(VLOOKUP(Consulta1[[#This Row],[Pozo largo]],Controles!B:J,9,FALSE),"NO")</f>
        <v>0</v>
      </c>
    </row>
    <row r="2297" spans="2:12" x14ac:dyDescent="0.35">
      <c r="B2297" s="4" t="s">
        <v>4397</v>
      </c>
      <c r="C2297" s="4" t="s">
        <v>8007</v>
      </c>
      <c r="D2297" s="4" t="s">
        <v>5</v>
      </c>
      <c r="E2297" s="4" t="s">
        <v>12</v>
      </c>
      <c r="F2297" s="4" t="s">
        <v>7</v>
      </c>
      <c r="G2297" s="4" t="s">
        <v>13</v>
      </c>
      <c r="H2297" s="4" t="s">
        <v>86</v>
      </c>
      <c r="I2297" s="5" t="str">
        <f>IFERROR(VLOOKUP(Consulta1[[#This Row],[Pozo largo]],'Lista YPF'!$B$3:$C$358,2,FALSE),"NO")</f>
        <v>NO</v>
      </c>
      <c r="J2297" s="5" t="str">
        <f>IFERROR(VLOOKUP(Consulta1[[#This Row],[Pozo]],'Lista Oportunidades'!B:C,2,FALSE),"NO")</f>
        <v>NO</v>
      </c>
      <c r="K2297" s="5">
        <f>IFERROR(VLOOKUP(Consulta1[[#This Row],[Pozo largo]],Controles!B:H,7,FALSE),"NO")</f>
        <v>0.55200000000000005</v>
      </c>
      <c r="L2297" s="5">
        <f>IFERROR(VLOOKUP(Consulta1[[#This Row],[Pozo largo]],Controles!B:J,9,FALSE),"NO")</f>
        <v>0</v>
      </c>
    </row>
    <row r="2298" spans="2:12" x14ac:dyDescent="0.35">
      <c r="B2298" s="4" t="s">
        <v>4399</v>
      </c>
      <c r="C2298" s="4" t="s">
        <v>8008</v>
      </c>
      <c r="D2298" s="4" t="s">
        <v>5</v>
      </c>
      <c r="E2298" s="4" t="s">
        <v>30</v>
      </c>
      <c r="F2298" s="4" t="s">
        <v>31</v>
      </c>
      <c r="G2298" s="4" t="s">
        <v>32</v>
      </c>
      <c r="H2298" s="4" t="s">
        <v>86</v>
      </c>
      <c r="I2298" s="5" t="str">
        <f>IFERROR(VLOOKUP(Consulta1[[#This Row],[Pozo largo]],'Lista YPF'!$B$3:$C$358,2,FALSE),"NO")</f>
        <v>NO</v>
      </c>
      <c r="J2298" s="5" t="str">
        <f>IFERROR(VLOOKUP(Consulta1[[#This Row],[Pozo]],'Lista Oportunidades'!B:C,2,FALSE),"NO")</f>
        <v>NO</v>
      </c>
      <c r="K2298" s="5">
        <f>IFERROR(VLOOKUP(Consulta1[[#This Row],[Pozo largo]],Controles!B:H,7,FALSE),"NO")</f>
        <v>0.24</v>
      </c>
      <c r="L2298" s="5">
        <f>IFERROR(VLOOKUP(Consulta1[[#This Row],[Pozo largo]],Controles!B:J,9,FALSE),"NO")</f>
        <v>0</v>
      </c>
    </row>
    <row r="2299" spans="2:12" x14ac:dyDescent="0.35">
      <c r="B2299" s="4" t="s">
        <v>4401</v>
      </c>
      <c r="C2299" s="4" t="s">
        <v>8009</v>
      </c>
      <c r="D2299" s="4" t="s">
        <v>5</v>
      </c>
      <c r="E2299" s="4" t="s">
        <v>12</v>
      </c>
      <c r="F2299" s="4" t="s">
        <v>7</v>
      </c>
      <c r="G2299" s="4" t="s">
        <v>13</v>
      </c>
      <c r="H2299" s="4" t="s">
        <v>71</v>
      </c>
      <c r="I2299" s="5" t="str">
        <f>IFERROR(VLOOKUP(Consulta1[[#This Row],[Pozo largo]],'Lista YPF'!$B$3:$C$358,2,FALSE),"NO")</f>
        <v>NO</v>
      </c>
      <c r="J2299" s="5" t="str">
        <f>IFERROR(VLOOKUP(Consulta1[[#This Row],[Pozo]],'Lista Oportunidades'!B:C,2,FALSE),"NO")</f>
        <v>NO</v>
      </c>
      <c r="K2299" s="5">
        <f>IFERROR(VLOOKUP(Consulta1[[#This Row],[Pozo largo]],Controles!B:H,7,FALSE),"NO")</f>
        <v>1.35</v>
      </c>
      <c r="L2299" s="5">
        <f>IFERROR(VLOOKUP(Consulta1[[#This Row],[Pozo largo]],Controles!B:J,9,FALSE),"NO")</f>
        <v>0</v>
      </c>
    </row>
    <row r="2300" spans="2:12" x14ac:dyDescent="0.35">
      <c r="B2300" s="4" t="s">
        <v>4403</v>
      </c>
      <c r="C2300" s="4" t="s">
        <v>8010</v>
      </c>
      <c r="D2300" s="4" t="s">
        <v>5</v>
      </c>
      <c r="E2300" s="4" t="s">
        <v>24</v>
      </c>
      <c r="F2300" s="4" t="s">
        <v>31</v>
      </c>
      <c r="G2300" s="4" t="s">
        <v>11385</v>
      </c>
      <c r="H2300" s="4" t="s">
        <v>66</v>
      </c>
      <c r="I2300" s="5" t="str">
        <f>IFERROR(VLOOKUP(Consulta1[[#This Row],[Pozo largo]],'Lista YPF'!$B$3:$C$358,2,FALSE),"NO")</f>
        <v>NO</v>
      </c>
      <c r="J2300" s="5" t="str">
        <f>IFERROR(VLOOKUP(Consulta1[[#This Row],[Pozo]],'Lista Oportunidades'!B:C,2,FALSE),"NO")</f>
        <v>NO</v>
      </c>
      <c r="K2300" s="5">
        <f>IFERROR(VLOOKUP(Consulta1[[#This Row],[Pozo largo]],Controles!B:H,7,FALSE),"NO")</f>
        <v>1.76</v>
      </c>
      <c r="L2300" s="5">
        <f>IFERROR(VLOOKUP(Consulta1[[#This Row],[Pozo largo]],Controles!B:J,9,FALSE),"NO")</f>
        <v>0</v>
      </c>
    </row>
    <row r="2301" spans="2:12" x14ac:dyDescent="0.35">
      <c r="B2301" s="4" t="s">
        <v>4405</v>
      </c>
      <c r="C2301" s="4" t="s">
        <v>8011</v>
      </c>
      <c r="D2301" s="4" t="s">
        <v>5</v>
      </c>
      <c r="E2301" s="4" t="s">
        <v>12</v>
      </c>
      <c r="F2301" s="4" t="s">
        <v>7</v>
      </c>
      <c r="G2301" s="4" t="s">
        <v>13</v>
      </c>
      <c r="H2301" s="4" t="s">
        <v>91</v>
      </c>
      <c r="I2301" s="5" t="str">
        <f>IFERROR(VLOOKUP(Consulta1[[#This Row],[Pozo largo]],'Lista YPF'!$B$3:$C$358,2,FALSE),"NO")</f>
        <v>NO</v>
      </c>
      <c r="J2301" s="5" t="str">
        <f>IFERROR(VLOOKUP(Consulta1[[#This Row],[Pozo]],'Lista Oportunidades'!B:C,2,FALSE),"NO")</f>
        <v>NO</v>
      </c>
      <c r="K2301" s="5">
        <f>IFERROR(VLOOKUP(Consulta1[[#This Row],[Pozo largo]],Controles!B:H,7,FALSE),"NO")</f>
        <v>1.26</v>
      </c>
      <c r="L2301" s="5">
        <f>IFERROR(VLOOKUP(Consulta1[[#This Row],[Pozo largo]],Controles!B:J,9,FALSE),"NO")</f>
        <v>0</v>
      </c>
    </row>
    <row r="2302" spans="2:12" x14ac:dyDescent="0.35">
      <c r="B2302" s="4" t="s">
        <v>4407</v>
      </c>
      <c r="C2302" s="4" t="s">
        <v>8012</v>
      </c>
      <c r="D2302" s="4" t="s">
        <v>5</v>
      </c>
      <c r="E2302" s="4" t="s">
        <v>30</v>
      </c>
      <c r="F2302" s="4" t="s">
        <v>31</v>
      </c>
      <c r="G2302" s="4" t="s">
        <v>32</v>
      </c>
      <c r="H2302" s="4" t="s">
        <v>86</v>
      </c>
      <c r="I2302" s="5" t="str">
        <f>IFERROR(VLOOKUP(Consulta1[[#This Row],[Pozo largo]],'Lista YPF'!$B$3:$C$358,2,FALSE),"NO")</f>
        <v>NO</v>
      </c>
      <c r="J2302" s="5" t="str">
        <f>IFERROR(VLOOKUP(Consulta1[[#This Row],[Pozo]],'Lista Oportunidades'!B:C,2,FALSE),"NO")</f>
        <v>NO</v>
      </c>
      <c r="K2302" s="5">
        <f>IFERROR(VLOOKUP(Consulta1[[#This Row],[Pozo largo]],Controles!B:H,7,FALSE),"NO")</f>
        <v>0</v>
      </c>
      <c r="L2302" s="5">
        <f>IFERROR(VLOOKUP(Consulta1[[#This Row],[Pozo largo]],Controles!B:J,9,FALSE),"NO")</f>
        <v>0</v>
      </c>
    </row>
    <row r="2303" spans="2:12" x14ac:dyDescent="0.35">
      <c r="B2303" s="4" t="s">
        <v>4409</v>
      </c>
      <c r="C2303" s="4" t="s">
        <v>8013</v>
      </c>
      <c r="D2303" s="4" t="s">
        <v>5</v>
      </c>
      <c r="E2303" s="4" t="s">
        <v>12</v>
      </c>
      <c r="F2303" s="4" t="s">
        <v>25</v>
      </c>
      <c r="G2303" s="4" t="s">
        <v>13</v>
      </c>
      <c r="H2303" s="4" t="s">
        <v>86</v>
      </c>
      <c r="I2303" s="5" t="str">
        <f>IFERROR(VLOOKUP(Consulta1[[#This Row],[Pozo largo]],'Lista YPF'!$B$3:$C$358,2,FALSE),"NO")</f>
        <v>NO</v>
      </c>
      <c r="J2303" s="5" t="str">
        <f>IFERROR(VLOOKUP(Consulta1[[#This Row],[Pozo]],'Lista Oportunidades'!B:C,2,FALSE),"NO")</f>
        <v>NO</v>
      </c>
      <c r="K2303" s="5">
        <f>IFERROR(VLOOKUP(Consulta1[[#This Row],[Pozo largo]],Controles!B:H,7,FALSE),"NO")</f>
        <v>0.18</v>
      </c>
      <c r="L2303" s="5">
        <f>IFERROR(VLOOKUP(Consulta1[[#This Row],[Pozo largo]],Controles!B:J,9,FALSE),"NO")</f>
        <v>0</v>
      </c>
    </row>
    <row r="2304" spans="2:12" x14ac:dyDescent="0.35">
      <c r="B2304" s="4" t="s">
        <v>4411</v>
      </c>
      <c r="C2304" s="4" t="s">
        <v>8014</v>
      </c>
      <c r="D2304" s="4" t="s">
        <v>5</v>
      </c>
      <c r="E2304" s="4" t="s">
        <v>24</v>
      </c>
      <c r="F2304" s="4" t="s">
        <v>28</v>
      </c>
      <c r="G2304" s="4" t="s">
        <v>8</v>
      </c>
      <c r="H2304" s="4" t="s">
        <v>86</v>
      </c>
      <c r="I2304" s="5" t="str">
        <f>IFERROR(VLOOKUP(Consulta1[[#This Row],[Pozo largo]],'Lista YPF'!$B$3:$C$358,2,FALSE),"NO")</f>
        <v>NO</v>
      </c>
      <c r="J2304" s="5" t="str">
        <f>IFERROR(VLOOKUP(Consulta1[[#This Row],[Pozo]],'Lista Oportunidades'!B:C,2,FALSE),"NO")</f>
        <v>NO</v>
      </c>
      <c r="K2304" s="5">
        <f>IFERROR(VLOOKUP(Consulta1[[#This Row],[Pozo largo]],Controles!B:H,7,FALSE),"NO")</f>
        <v>0</v>
      </c>
      <c r="L2304" s="5">
        <f>IFERROR(VLOOKUP(Consulta1[[#This Row],[Pozo largo]],Controles!B:J,9,FALSE),"NO")</f>
        <v>0</v>
      </c>
    </row>
    <row r="2305" spans="2:12" x14ac:dyDescent="0.35">
      <c r="B2305" s="4" t="s">
        <v>4413</v>
      </c>
      <c r="C2305" s="4" t="s">
        <v>8015</v>
      </c>
      <c r="D2305" s="4" t="s">
        <v>5</v>
      </c>
      <c r="E2305" s="4" t="s">
        <v>12</v>
      </c>
      <c r="F2305" s="4" t="s">
        <v>7</v>
      </c>
      <c r="G2305" s="4" t="s">
        <v>13</v>
      </c>
      <c r="H2305" s="4" t="s">
        <v>86</v>
      </c>
      <c r="I2305" s="5" t="str">
        <f>IFERROR(VLOOKUP(Consulta1[[#This Row],[Pozo largo]],'Lista YPF'!$B$3:$C$358,2,FALSE),"NO")</f>
        <v>NO</v>
      </c>
      <c r="J2305" s="5" t="str">
        <f>IFERROR(VLOOKUP(Consulta1[[#This Row],[Pozo]],'Lista Oportunidades'!B:C,2,FALSE),"NO")</f>
        <v>NO</v>
      </c>
      <c r="K2305" s="5">
        <f>IFERROR(VLOOKUP(Consulta1[[#This Row],[Pozo largo]],Controles!B:H,7,FALSE),"NO")</f>
        <v>0.92200000000000004</v>
      </c>
      <c r="L2305" s="5">
        <f>IFERROR(VLOOKUP(Consulta1[[#This Row],[Pozo largo]],Controles!B:J,9,FALSE),"NO")</f>
        <v>0</v>
      </c>
    </row>
    <row r="2306" spans="2:12" x14ac:dyDescent="0.35">
      <c r="B2306" s="4" t="s">
        <v>4415</v>
      </c>
      <c r="C2306" s="4" t="s">
        <v>8016</v>
      </c>
      <c r="D2306" s="4" t="s">
        <v>5</v>
      </c>
      <c r="E2306" s="4" t="s">
        <v>12</v>
      </c>
      <c r="F2306" s="4" t="s">
        <v>7</v>
      </c>
      <c r="G2306" s="4" t="s">
        <v>13</v>
      </c>
      <c r="H2306" s="4" t="s">
        <v>86</v>
      </c>
      <c r="I2306" s="5" t="str">
        <f>IFERROR(VLOOKUP(Consulta1[[#This Row],[Pozo largo]],'Lista YPF'!$B$3:$C$358,2,FALSE),"NO")</f>
        <v>NO</v>
      </c>
      <c r="J2306" s="5" t="str">
        <f>IFERROR(VLOOKUP(Consulta1[[#This Row],[Pozo]],'Lista Oportunidades'!B:C,2,FALSE),"NO")</f>
        <v>NO</v>
      </c>
      <c r="K2306" s="5">
        <f>IFERROR(VLOOKUP(Consulta1[[#This Row],[Pozo largo]],Controles!B:H,7,FALSE),"NO")</f>
        <v>0.22</v>
      </c>
      <c r="L2306" s="5">
        <f>IFERROR(VLOOKUP(Consulta1[[#This Row],[Pozo largo]],Controles!B:J,9,FALSE),"NO")</f>
        <v>0</v>
      </c>
    </row>
    <row r="2307" spans="2:12" x14ac:dyDescent="0.35">
      <c r="B2307" s="4" t="s">
        <v>4417</v>
      </c>
      <c r="C2307" s="4" t="s">
        <v>8017</v>
      </c>
      <c r="D2307" s="4" t="s">
        <v>5</v>
      </c>
      <c r="E2307" s="4" t="s">
        <v>12</v>
      </c>
      <c r="F2307" s="4" t="s">
        <v>28</v>
      </c>
      <c r="G2307" s="4" t="s">
        <v>13</v>
      </c>
      <c r="H2307" s="4" t="s">
        <v>86</v>
      </c>
      <c r="I2307" s="5" t="str">
        <f>IFERROR(VLOOKUP(Consulta1[[#This Row],[Pozo largo]],'Lista YPF'!$B$3:$C$358,2,FALSE),"NO")</f>
        <v>NO</v>
      </c>
      <c r="J2307" s="5" t="str">
        <f>IFERROR(VLOOKUP(Consulta1[[#This Row],[Pozo]],'Lista Oportunidades'!B:C,2,FALSE),"NO")</f>
        <v>NO</v>
      </c>
      <c r="K2307" s="5">
        <f>IFERROR(VLOOKUP(Consulta1[[#This Row],[Pozo largo]],Controles!B:H,7,FALSE),"NO")</f>
        <v>0</v>
      </c>
      <c r="L2307" s="5">
        <f>IFERROR(VLOOKUP(Consulta1[[#This Row],[Pozo largo]],Controles!B:J,9,FALSE),"NO")</f>
        <v>0</v>
      </c>
    </row>
    <row r="2308" spans="2:12" x14ac:dyDescent="0.35">
      <c r="B2308" s="4" t="s">
        <v>4419</v>
      </c>
      <c r="C2308" s="4" t="s">
        <v>8018</v>
      </c>
      <c r="D2308" s="4" t="s">
        <v>5</v>
      </c>
      <c r="E2308" s="4" t="s">
        <v>24</v>
      </c>
      <c r="F2308" s="4" t="s">
        <v>25</v>
      </c>
      <c r="G2308" s="4" t="s">
        <v>8</v>
      </c>
      <c r="H2308" s="4" t="s">
        <v>86</v>
      </c>
      <c r="I2308" s="5" t="str">
        <f>IFERROR(VLOOKUP(Consulta1[[#This Row],[Pozo largo]],'Lista YPF'!$B$3:$C$358,2,FALSE),"NO")</f>
        <v>NO</v>
      </c>
      <c r="J2308" s="5" t="str">
        <f>IFERROR(VLOOKUP(Consulta1[[#This Row],[Pozo]],'Lista Oportunidades'!B:C,2,FALSE),"NO")</f>
        <v>NO</v>
      </c>
      <c r="K2308" s="5">
        <f>IFERROR(VLOOKUP(Consulta1[[#This Row],[Pozo largo]],Controles!B:H,7,FALSE),"NO")</f>
        <v>9.7000000000000003E-2</v>
      </c>
      <c r="L2308" s="5">
        <f>IFERROR(VLOOKUP(Consulta1[[#This Row],[Pozo largo]],Controles!B:J,9,FALSE),"NO")</f>
        <v>0</v>
      </c>
    </row>
    <row r="2309" spans="2:12" x14ac:dyDescent="0.35">
      <c r="B2309" s="4" t="s">
        <v>4421</v>
      </c>
      <c r="C2309" s="4" t="s">
        <v>8019</v>
      </c>
      <c r="D2309" s="4" t="s">
        <v>5</v>
      </c>
      <c r="E2309" s="4" t="s">
        <v>24</v>
      </c>
      <c r="F2309" s="4" t="s">
        <v>31</v>
      </c>
      <c r="G2309" s="4" t="s">
        <v>8</v>
      </c>
      <c r="H2309" s="4" t="s">
        <v>185</v>
      </c>
      <c r="I2309" s="5" t="str">
        <f>IFERROR(VLOOKUP(Consulta1[[#This Row],[Pozo largo]],'Lista YPF'!$B$3:$C$358,2,FALSE),"NO")</f>
        <v>NO</v>
      </c>
      <c r="J2309" s="5" t="str">
        <f>IFERROR(VLOOKUP(Consulta1[[#This Row],[Pozo]],'Lista Oportunidades'!B:C,2,FALSE),"NO")</f>
        <v>NO</v>
      </c>
      <c r="K2309" s="5">
        <f>IFERROR(VLOOKUP(Consulta1[[#This Row],[Pozo largo]],Controles!B:H,7,FALSE),"NO")</f>
        <v>1.02</v>
      </c>
      <c r="L2309" s="5">
        <f>IFERROR(VLOOKUP(Consulta1[[#This Row],[Pozo largo]],Controles!B:J,9,FALSE),"NO")</f>
        <v>0</v>
      </c>
    </row>
    <row r="2310" spans="2:12" x14ac:dyDescent="0.35">
      <c r="B2310" s="4" t="s">
        <v>4423</v>
      </c>
      <c r="C2310" s="4" t="s">
        <v>8020</v>
      </c>
      <c r="D2310" s="4" t="s">
        <v>5</v>
      </c>
      <c r="E2310" s="4" t="s">
        <v>24</v>
      </c>
      <c r="F2310" s="4" t="s">
        <v>31</v>
      </c>
      <c r="G2310" s="4" t="s">
        <v>11385</v>
      </c>
      <c r="H2310" s="4" t="s">
        <v>185</v>
      </c>
      <c r="I2310" s="5" t="str">
        <f>IFERROR(VLOOKUP(Consulta1[[#This Row],[Pozo largo]],'Lista YPF'!$B$3:$C$358,2,FALSE),"NO")</f>
        <v>NO</v>
      </c>
      <c r="J2310" s="5" t="str">
        <f>IFERROR(VLOOKUP(Consulta1[[#This Row],[Pozo]],'Lista Oportunidades'!B:C,2,FALSE),"NO")</f>
        <v>NO</v>
      </c>
      <c r="K2310" s="5">
        <f>IFERROR(VLOOKUP(Consulta1[[#This Row],[Pozo largo]],Controles!B:H,7,FALSE),"NO")</f>
        <v>1.56</v>
      </c>
      <c r="L2310" s="5">
        <f>IFERROR(VLOOKUP(Consulta1[[#This Row],[Pozo largo]],Controles!B:J,9,FALSE),"NO")</f>
        <v>0</v>
      </c>
    </row>
    <row r="2311" spans="2:12" x14ac:dyDescent="0.35">
      <c r="B2311" s="4" t="s">
        <v>4425</v>
      </c>
      <c r="C2311" s="4" t="s">
        <v>8021</v>
      </c>
      <c r="D2311" s="4" t="s">
        <v>5</v>
      </c>
      <c r="E2311" s="4" t="s">
        <v>12</v>
      </c>
      <c r="F2311" s="4" t="s">
        <v>7</v>
      </c>
      <c r="G2311" s="4" t="s">
        <v>13</v>
      </c>
      <c r="H2311" s="4" t="s">
        <v>141</v>
      </c>
      <c r="I2311" s="5" t="str">
        <f>IFERROR(VLOOKUP(Consulta1[[#This Row],[Pozo largo]],'Lista YPF'!$B$3:$C$358,2,FALSE),"NO")</f>
        <v>NO</v>
      </c>
      <c r="J2311" s="5" t="str">
        <f>IFERROR(VLOOKUP(Consulta1[[#This Row],[Pozo]],'Lista Oportunidades'!B:C,2,FALSE),"NO")</f>
        <v>NO</v>
      </c>
      <c r="K2311" s="5">
        <f>IFERROR(VLOOKUP(Consulta1[[#This Row],[Pozo largo]],Controles!B:H,7,FALSE),"NO")</f>
        <v>0.88</v>
      </c>
      <c r="L2311" s="5">
        <f>IFERROR(VLOOKUP(Consulta1[[#This Row],[Pozo largo]],Controles!B:J,9,FALSE),"NO")</f>
        <v>0</v>
      </c>
    </row>
    <row r="2312" spans="2:12" x14ac:dyDescent="0.35">
      <c r="B2312" s="4" t="s">
        <v>4427</v>
      </c>
      <c r="C2312" s="4" t="s">
        <v>8022</v>
      </c>
      <c r="D2312" s="4" t="s">
        <v>5</v>
      </c>
      <c r="E2312" s="4" t="s">
        <v>12</v>
      </c>
      <c r="F2312" s="4" t="s">
        <v>7</v>
      </c>
      <c r="G2312" s="4" t="s">
        <v>13</v>
      </c>
      <c r="H2312" s="4" t="s">
        <v>185</v>
      </c>
      <c r="I2312" s="5" t="str">
        <f>IFERROR(VLOOKUP(Consulta1[[#This Row],[Pozo largo]],'Lista YPF'!$B$3:$C$358,2,FALSE),"NO")</f>
        <v>NO</v>
      </c>
      <c r="J2312" s="5" t="str">
        <f>IFERROR(VLOOKUP(Consulta1[[#This Row],[Pozo]],'Lista Oportunidades'!B:C,2,FALSE),"NO")</f>
        <v>NO</v>
      </c>
      <c r="K2312" s="5">
        <f>IFERROR(VLOOKUP(Consulta1[[#This Row],[Pozo largo]],Controles!B:H,7,FALSE),"NO")</f>
        <v>0.80500000000000005</v>
      </c>
      <c r="L2312" s="5">
        <f>IFERROR(VLOOKUP(Consulta1[[#This Row],[Pozo largo]],Controles!B:J,9,FALSE),"NO")</f>
        <v>0</v>
      </c>
    </row>
    <row r="2313" spans="2:12" x14ac:dyDescent="0.35">
      <c r="B2313" s="4" t="s">
        <v>4429</v>
      </c>
      <c r="C2313" s="4" t="s">
        <v>8023</v>
      </c>
      <c r="D2313" s="4" t="s">
        <v>5</v>
      </c>
      <c r="E2313" s="4" t="s">
        <v>12</v>
      </c>
      <c r="F2313" s="4" t="s">
        <v>25</v>
      </c>
      <c r="G2313" s="4" t="s">
        <v>13</v>
      </c>
      <c r="H2313" s="4" t="s">
        <v>185</v>
      </c>
      <c r="I2313" s="5" t="str">
        <f>IFERROR(VLOOKUP(Consulta1[[#This Row],[Pozo largo]],'Lista YPF'!$B$3:$C$358,2,FALSE),"NO")</f>
        <v>NO</v>
      </c>
      <c r="J2313" s="5" t="str">
        <f>IFERROR(VLOOKUP(Consulta1[[#This Row],[Pozo]],'Lista Oportunidades'!B:C,2,FALSE),"NO")</f>
        <v>NO</v>
      </c>
      <c r="K2313" s="5">
        <f>IFERROR(VLOOKUP(Consulta1[[#This Row],[Pozo largo]],Controles!B:H,7,FALSE),"NO")</f>
        <v>0.191</v>
      </c>
      <c r="L2313" s="5">
        <f>IFERROR(VLOOKUP(Consulta1[[#This Row],[Pozo largo]],Controles!B:J,9,FALSE),"NO")</f>
        <v>0</v>
      </c>
    </row>
    <row r="2314" spans="2:12" x14ac:dyDescent="0.35">
      <c r="B2314" s="4" t="s">
        <v>4431</v>
      </c>
      <c r="C2314" s="4" t="s">
        <v>8024</v>
      </c>
      <c r="D2314" s="4" t="s">
        <v>5</v>
      </c>
      <c r="E2314" s="4" t="s">
        <v>24</v>
      </c>
      <c r="F2314" s="4" t="s">
        <v>31</v>
      </c>
      <c r="G2314" s="4" t="s">
        <v>8</v>
      </c>
      <c r="H2314" s="4" t="s">
        <v>141</v>
      </c>
      <c r="I2314" s="5" t="str">
        <f>IFERROR(VLOOKUP(Consulta1[[#This Row],[Pozo largo]],'Lista YPF'!$B$3:$C$358,2,FALSE),"NO")</f>
        <v>NO</v>
      </c>
      <c r="J2314" s="5" t="str">
        <f>IFERROR(VLOOKUP(Consulta1[[#This Row],[Pozo]],'Lista Oportunidades'!B:C,2,FALSE),"NO")</f>
        <v>NO</v>
      </c>
      <c r="K2314" s="5">
        <f>IFERROR(VLOOKUP(Consulta1[[#This Row],[Pozo largo]],Controles!B:H,7,FALSE),"NO")</f>
        <v>1.36</v>
      </c>
      <c r="L2314" s="5">
        <f>IFERROR(VLOOKUP(Consulta1[[#This Row],[Pozo largo]],Controles!B:J,9,FALSE),"NO")</f>
        <v>0</v>
      </c>
    </row>
    <row r="2315" spans="2:12" x14ac:dyDescent="0.35">
      <c r="B2315" s="4" t="s">
        <v>4433</v>
      </c>
      <c r="C2315" s="4" t="s">
        <v>8025</v>
      </c>
      <c r="D2315" s="4" t="s">
        <v>5</v>
      </c>
      <c r="E2315" s="4" t="s">
        <v>12</v>
      </c>
      <c r="F2315" s="4" t="s">
        <v>7</v>
      </c>
      <c r="G2315" s="4" t="s">
        <v>13</v>
      </c>
      <c r="H2315" s="4" t="s">
        <v>185</v>
      </c>
      <c r="I2315" s="5" t="str">
        <f>IFERROR(VLOOKUP(Consulta1[[#This Row],[Pozo largo]],'Lista YPF'!$B$3:$C$358,2,FALSE),"NO")</f>
        <v>NO</v>
      </c>
      <c r="J2315" s="5" t="str">
        <f>IFERROR(VLOOKUP(Consulta1[[#This Row],[Pozo]],'Lista Oportunidades'!B:C,2,FALSE),"NO")</f>
        <v>NO</v>
      </c>
      <c r="K2315" s="5">
        <f>IFERROR(VLOOKUP(Consulta1[[#This Row],[Pozo largo]],Controles!B:H,7,FALSE),"NO")</f>
        <v>1.3</v>
      </c>
      <c r="L2315" s="5">
        <f>IFERROR(VLOOKUP(Consulta1[[#This Row],[Pozo largo]],Controles!B:J,9,FALSE),"NO")</f>
        <v>0</v>
      </c>
    </row>
    <row r="2316" spans="2:12" x14ac:dyDescent="0.35">
      <c r="B2316" s="4" t="s">
        <v>4435</v>
      </c>
      <c r="C2316" s="4" t="s">
        <v>8026</v>
      </c>
      <c r="D2316" s="4" t="s">
        <v>5</v>
      </c>
      <c r="E2316" s="4" t="s">
        <v>12</v>
      </c>
      <c r="F2316" s="4" t="s">
        <v>7</v>
      </c>
      <c r="G2316" s="4" t="s">
        <v>13</v>
      </c>
      <c r="H2316" s="4" t="s">
        <v>290</v>
      </c>
      <c r="I2316" s="5" t="str">
        <f>IFERROR(VLOOKUP(Consulta1[[#This Row],[Pozo largo]],'Lista YPF'!$B$3:$C$358,2,FALSE),"NO")</f>
        <v>NO</v>
      </c>
      <c r="J2316" s="5" t="str">
        <f>IFERROR(VLOOKUP(Consulta1[[#This Row],[Pozo]],'Lista Oportunidades'!B:C,2,FALSE),"NO")</f>
        <v>NO</v>
      </c>
      <c r="K2316" s="5">
        <f>IFERROR(VLOOKUP(Consulta1[[#This Row],[Pozo largo]],Controles!B:H,7,FALSE),"NO")</f>
        <v>3.48</v>
      </c>
      <c r="L2316" s="5">
        <f>IFERROR(VLOOKUP(Consulta1[[#This Row],[Pozo largo]],Controles!B:J,9,FALSE),"NO")</f>
        <v>0</v>
      </c>
    </row>
    <row r="2317" spans="2:12" x14ac:dyDescent="0.35">
      <c r="B2317" s="4" t="s">
        <v>4437</v>
      </c>
      <c r="C2317" s="4" t="s">
        <v>8027</v>
      </c>
      <c r="D2317" s="4" t="s">
        <v>5</v>
      </c>
      <c r="E2317" s="4" t="s">
        <v>6</v>
      </c>
      <c r="F2317" s="4" t="s">
        <v>28</v>
      </c>
      <c r="G2317" s="4" t="s">
        <v>5718</v>
      </c>
      <c r="H2317" s="4" t="s">
        <v>71</v>
      </c>
      <c r="I2317" s="5" t="str">
        <f>IFERROR(VLOOKUP(Consulta1[[#This Row],[Pozo largo]],'Lista YPF'!$B$3:$C$358,2,FALSE),"NO")</f>
        <v>En lista de Abandono</v>
      </c>
      <c r="J2317" s="5" t="str">
        <f>IFERROR(VLOOKUP(Consulta1[[#This Row],[Pozo]],'Lista Oportunidades'!B:C,2,FALSE),"NO")</f>
        <v>NO</v>
      </c>
      <c r="K2317" s="5">
        <f>IFERROR(VLOOKUP(Consulta1[[#This Row],[Pozo largo]],Controles!B:H,7,FALSE),"NO")</f>
        <v>0</v>
      </c>
      <c r="L2317" s="5" t="str">
        <f>IFERROR(VLOOKUP(Consulta1[[#This Row],[Pozo largo]],Controles!B:J,9,FALSE),"NO")</f>
        <v>Ultimo Año</v>
      </c>
    </row>
    <row r="2318" spans="2:12" x14ac:dyDescent="0.35">
      <c r="B2318" s="4" t="s">
        <v>4439</v>
      </c>
      <c r="C2318" s="4" t="s">
        <v>8028</v>
      </c>
      <c r="D2318" s="4" t="s">
        <v>5</v>
      </c>
      <c r="E2318" s="4" t="s">
        <v>24</v>
      </c>
      <c r="F2318" s="4" t="s">
        <v>7</v>
      </c>
      <c r="G2318" s="4" t="s">
        <v>8</v>
      </c>
      <c r="H2318" s="4" t="s">
        <v>9</v>
      </c>
      <c r="I2318" s="5" t="str">
        <f>IFERROR(VLOOKUP(Consulta1[[#This Row],[Pozo largo]],'Lista YPF'!$B$3:$C$358,2,FALSE),"NO")</f>
        <v>NO</v>
      </c>
      <c r="J2318" s="5" t="str">
        <f>IFERROR(VLOOKUP(Consulta1[[#This Row],[Pozo]],'Lista Oportunidades'!B:C,2,FALSE),"NO")</f>
        <v>NO</v>
      </c>
      <c r="K2318" s="5">
        <f>IFERROR(VLOOKUP(Consulta1[[#This Row],[Pozo largo]],Controles!B:H,7,FALSE),"NO")</f>
        <v>0.255</v>
      </c>
      <c r="L2318" s="5">
        <f>IFERROR(VLOOKUP(Consulta1[[#This Row],[Pozo largo]],Controles!B:J,9,FALSE),"NO")</f>
        <v>0</v>
      </c>
    </row>
    <row r="2319" spans="2:12" x14ac:dyDescent="0.35">
      <c r="B2319" s="4" t="s">
        <v>4441</v>
      </c>
      <c r="C2319" s="4" t="s">
        <v>8029</v>
      </c>
      <c r="D2319" s="4" t="s">
        <v>5</v>
      </c>
      <c r="E2319" s="4" t="s">
        <v>12</v>
      </c>
      <c r="F2319" s="4" t="s">
        <v>7</v>
      </c>
      <c r="G2319" s="4" t="s">
        <v>13</v>
      </c>
      <c r="H2319" s="4" t="s">
        <v>9</v>
      </c>
      <c r="I2319" s="5" t="str">
        <f>IFERROR(VLOOKUP(Consulta1[[#This Row],[Pozo largo]],'Lista YPF'!$B$3:$C$358,2,FALSE),"NO")</f>
        <v>NO</v>
      </c>
      <c r="J2319" s="5" t="str">
        <f>IFERROR(VLOOKUP(Consulta1[[#This Row],[Pozo]],'Lista Oportunidades'!B:C,2,FALSE),"NO")</f>
        <v>NO</v>
      </c>
      <c r="K2319" s="5">
        <f>IFERROR(VLOOKUP(Consulta1[[#This Row],[Pozo largo]],Controles!B:H,7,FALSE),"NO")</f>
        <v>0.78</v>
      </c>
      <c r="L2319" s="5">
        <f>IFERROR(VLOOKUP(Consulta1[[#This Row],[Pozo largo]],Controles!B:J,9,FALSE),"NO")</f>
        <v>0</v>
      </c>
    </row>
    <row r="2320" spans="2:12" x14ac:dyDescent="0.35">
      <c r="B2320" s="4" t="s">
        <v>4443</v>
      </c>
      <c r="C2320" s="4" t="s">
        <v>8030</v>
      </c>
      <c r="D2320" s="4" t="s">
        <v>5</v>
      </c>
      <c r="E2320" s="4" t="s">
        <v>30</v>
      </c>
      <c r="F2320" s="4" t="s">
        <v>31</v>
      </c>
      <c r="G2320" s="4" t="s">
        <v>32</v>
      </c>
      <c r="H2320" s="4" t="s">
        <v>33</v>
      </c>
      <c r="I2320" s="5" t="str">
        <f>IFERROR(VLOOKUP(Consulta1[[#This Row],[Pozo largo]],'Lista YPF'!$B$3:$C$358,2,FALSE),"NO")</f>
        <v>NO</v>
      </c>
      <c r="J2320" s="5" t="str">
        <f>IFERROR(VLOOKUP(Consulta1[[#This Row],[Pozo]],'Lista Oportunidades'!B:C,2,FALSE),"NO")</f>
        <v>NO</v>
      </c>
      <c r="K2320" s="5" t="str">
        <f>IFERROR(VLOOKUP(Consulta1[[#This Row],[Pozo largo]],Controles!B:H,7,FALSE),"NO")</f>
        <v>NO</v>
      </c>
      <c r="L2320" s="5" t="str">
        <f>IFERROR(VLOOKUP(Consulta1[[#This Row],[Pozo largo]],Controles!B:J,9,FALSE),"NO")</f>
        <v>NO</v>
      </c>
    </row>
    <row r="2321" spans="2:12" x14ac:dyDescent="0.35">
      <c r="B2321" s="4" t="s">
        <v>4444</v>
      </c>
      <c r="C2321" s="4" t="s">
        <v>8031</v>
      </c>
      <c r="D2321" s="4" t="s">
        <v>5</v>
      </c>
      <c r="E2321" s="4" t="s">
        <v>12</v>
      </c>
      <c r="F2321" s="4" t="s">
        <v>7</v>
      </c>
      <c r="G2321" s="4" t="s">
        <v>13</v>
      </c>
      <c r="H2321" s="4" t="s">
        <v>9</v>
      </c>
      <c r="I2321" s="5" t="str">
        <f>IFERROR(VLOOKUP(Consulta1[[#This Row],[Pozo largo]],'Lista YPF'!$B$3:$C$358,2,FALSE),"NO")</f>
        <v>NO</v>
      </c>
      <c r="J2321" s="5" t="str">
        <f>IFERROR(VLOOKUP(Consulta1[[#This Row],[Pozo]],'Lista Oportunidades'!B:C,2,FALSE),"NO")</f>
        <v>NO</v>
      </c>
      <c r="K2321" s="5">
        <f>IFERROR(VLOOKUP(Consulta1[[#This Row],[Pozo largo]],Controles!B:H,7,FALSE),"NO")</f>
        <v>1.8</v>
      </c>
      <c r="L2321" s="5">
        <f>IFERROR(VLOOKUP(Consulta1[[#This Row],[Pozo largo]],Controles!B:J,9,FALSE),"NO")</f>
        <v>0</v>
      </c>
    </row>
    <row r="2322" spans="2:12" x14ac:dyDescent="0.35">
      <c r="B2322" s="4" t="s">
        <v>4446</v>
      </c>
      <c r="C2322" s="4" t="s">
        <v>8032</v>
      </c>
      <c r="D2322" s="4" t="s">
        <v>5</v>
      </c>
      <c r="E2322" s="4" t="s">
        <v>12</v>
      </c>
      <c r="F2322" s="4" t="s">
        <v>238</v>
      </c>
      <c r="G2322" s="4" t="s">
        <v>13</v>
      </c>
      <c r="H2322" s="4" t="s">
        <v>71</v>
      </c>
      <c r="I2322" s="5" t="str">
        <f>IFERROR(VLOOKUP(Consulta1[[#This Row],[Pozo largo]],'Lista YPF'!$B$3:$C$358,2,FALSE),"NO")</f>
        <v>NO</v>
      </c>
      <c r="J2322" s="5" t="str">
        <f>IFERROR(VLOOKUP(Consulta1[[#This Row],[Pozo]],'Lista Oportunidades'!B:C,2,FALSE),"NO")</f>
        <v>NO</v>
      </c>
      <c r="K2322" s="5">
        <f>IFERROR(VLOOKUP(Consulta1[[#This Row],[Pozo largo]],Controles!B:H,7,FALSE),"NO")</f>
        <v>1.53</v>
      </c>
      <c r="L2322" s="5">
        <f>IFERROR(VLOOKUP(Consulta1[[#This Row],[Pozo largo]],Controles!B:J,9,FALSE),"NO")</f>
        <v>0</v>
      </c>
    </row>
    <row r="2323" spans="2:12" x14ac:dyDescent="0.35">
      <c r="B2323" s="4" t="s">
        <v>4448</v>
      </c>
      <c r="C2323" s="4" t="s">
        <v>8033</v>
      </c>
      <c r="D2323" s="4" t="s">
        <v>5</v>
      </c>
      <c r="E2323" s="4" t="s">
        <v>6</v>
      </c>
      <c r="F2323" s="4" t="s">
        <v>238</v>
      </c>
      <c r="G2323" s="4" t="s">
        <v>11387</v>
      </c>
      <c r="H2323" s="4" t="s">
        <v>71</v>
      </c>
      <c r="I2323" s="5" t="str">
        <f>IFERROR(VLOOKUP(Consulta1[[#This Row],[Pozo largo]],'Lista YPF'!$B$3:$C$358,2,FALSE),"NO")</f>
        <v>NO</v>
      </c>
      <c r="J2323" s="5" t="str">
        <f>IFERROR(VLOOKUP(Consulta1[[#This Row],[Pozo]],'Lista Oportunidades'!B:C,2,FALSE),"NO")</f>
        <v>NO</v>
      </c>
      <c r="K2323" s="5">
        <f>IFERROR(VLOOKUP(Consulta1[[#This Row],[Pozo largo]],Controles!B:H,7,FALSE),"NO")</f>
        <v>0.56000000000000005</v>
      </c>
      <c r="L2323" s="5" t="str">
        <f>IFERROR(VLOOKUP(Consulta1[[#This Row],[Pozo largo]],Controles!B:J,9,FALSE),"NO")</f>
        <v>Ultimo Año</v>
      </c>
    </row>
    <row r="2324" spans="2:12" x14ac:dyDescent="0.35">
      <c r="B2324" s="4" t="s">
        <v>4450</v>
      </c>
      <c r="C2324" s="4" t="s">
        <v>8034</v>
      </c>
      <c r="D2324" s="4" t="s">
        <v>5</v>
      </c>
      <c r="E2324" s="4" t="s">
        <v>12</v>
      </c>
      <c r="F2324" s="4" t="s">
        <v>238</v>
      </c>
      <c r="G2324" s="4" t="s">
        <v>13</v>
      </c>
      <c r="H2324" s="4" t="s">
        <v>21</v>
      </c>
      <c r="I2324" s="5" t="str">
        <f>IFERROR(VLOOKUP(Consulta1[[#This Row],[Pozo largo]],'Lista YPF'!$B$3:$C$358,2,FALSE),"NO")</f>
        <v>NO</v>
      </c>
      <c r="J2324" s="5" t="str">
        <f>IFERROR(VLOOKUP(Consulta1[[#This Row],[Pozo]],'Lista Oportunidades'!B:C,2,FALSE),"NO")</f>
        <v>NO</v>
      </c>
      <c r="K2324" s="5">
        <f>IFERROR(VLOOKUP(Consulta1[[#This Row],[Pozo largo]],Controles!B:H,7,FALSE),"NO")</f>
        <v>1.7590000000000001</v>
      </c>
      <c r="L2324" s="5">
        <f>IFERROR(VLOOKUP(Consulta1[[#This Row],[Pozo largo]],Controles!B:J,9,FALSE),"NO")</f>
        <v>0</v>
      </c>
    </row>
    <row r="2325" spans="2:12" x14ac:dyDescent="0.35">
      <c r="B2325" s="4" t="s">
        <v>4452</v>
      </c>
      <c r="C2325" s="4" t="s">
        <v>5737</v>
      </c>
      <c r="D2325" s="4" t="s">
        <v>5</v>
      </c>
      <c r="E2325" s="4" t="s">
        <v>6</v>
      </c>
      <c r="F2325" s="4" t="s">
        <v>7</v>
      </c>
      <c r="G2325" s="4" t="s">
        <v>8689</v>
      </c>
      <c r="H2325" s="4" t="s">
        <v>36</v>
      </c>
      <c r="I2325" s="5" t="str">
        <f>IFERROR(VLOOKUP(Consulta1[[#This Row],[Pozo largo]],'Lista YPF'!$B$3:$C$358,2,FALSE),"NO")</f>
        <v>NO</v>
      </c>
      <c r="J2325" s="5" t="str">
        <f>IFERROR(VLOOKUP(Consulta1[[#This Row],[Pozo]],'Lista Oportunidades'!B:C,2,FALSE),"NO")</f>
        <v>Oportunidad</v>
      </c>
      <c r="K2325" s="5">
        <f>IFERROR(VLOOKUP(Consulta1[[#This Row],[Pozo largo]],Controles!B:H,7,FALSE),"NO")</f>
        <v>0.46</v>
      </c>
      <c r="L2325" s="5">
        <f>IFERROR(VLOOKUP(Consulta1[[#This Row],[Pozo largo]],Controles!B:J,9,FALSE),"NO")</f>
        <v>0</v>
      </c>
    </row>
    <row r="2326" spans="2:12" x14ac:dyDescent="0.35">
      <c r="B2326" s="4" t="s">
        <v>4454</v>
      </c>
      <c r="C2326" s="4" t="s">
        <v>8035</v>
      </c>
      <c r="D2326" s="4" t="s">
        <v>5</v>
      </c>
      <c r="E2326" s="4" t="s">
        <v>12</v>
      </c>
      <c r="F2326" s="4" t="s">
        <v>25</v>
      </c>
      <c r="G2326" s="4" t="s">
        <v>13</v>
      </c>
      <c r="H2326" s="4" t="s">
        <v>36</v>
      </c>
      <c r="I2326" s="5" t="str">
        <f>IFERROR(VLOOKUP(Consulta1[[#This Row],[Pozo largo]],'Lista YPF'!$B$3:$C$358,2,FALSE),"NO")</f>
        <v>NO</v>
      </c>
      <c r="J2326" s="5" t="str">
        <f>IFERROR(VLOOKUP(Consulta1[[#This Row],[Pozo]],'Lista Oportunidades'!B:C,2,FALSE),"NO")</f>
        <v>NO</v>
      </c>
      <c r="K2326" s="5">
        <f>IFERROR(VLOOKUP(Consulta1[[#This Row],[Pozo largo]],Controles!B:H,7,FALSE),"NO")</f>
        <v>4.8000000000000001E-2</v>
      </c>
      <c r="L2326" s="5">
        <f>IFERROR(VLOOKUP(Consulta1[[#This Row],[Pozo largo]],Controles!B:J,9,FALSE),"NO")</f>
        <v>0</v>
      </c>
    </row>
    <row r="2327" spans="2:12" x14ac:dyDescent="0.35">
      <c r="B2327" s="4" t="s">
        <v>4456</v>
      </c>
      <c r="C2327" s="4" t="s">
        <v>8036</v>
      </c>
      <c r="D2327" s="4" t="s">
        <v>5</v>
      </c>
      <c r="E2327" s="4" t="s">
        <v>430</v>
      </c>
      <c r="F2327" s="4" t="s">
        <v>7</v>
      </c>
      <c r="G2327" s="4" t="s">
        <v>5718</v>
      </c>
      <c r="H2327" s="4" t="s">
        <v>33</v>
      </c>
      <c r="I2327" s="5" t="str">
        <f>IFERROR(VLOOKUP(Consulta1[[#This Row],[Pozo largo]],'Lista YPF'!$B$3:$C$358,2,FALSE),"NO")</f>
        <v>En lista de Abandono</v>
      </c>
      <c r="J2327" s="5" t="str">
        <f>IFERROR(VLOOKUP(Consulta1[[#This Row],[Pozo]],'Lista Oportunidades'!B:C,2,FALSE),"NO")</f>
        <v>NO</v>
      </c>
      <c r="K2327" s="5">
        <f>IFERROR(VLOOKUP(Consulta1[[#This Row],[Pozo largo]],Controles!B:H,7,FALSE),"NO")</f>
        <v>0.48</v>
      </c>
      <c r="L2327" s="5">
        <f>IFERROR(VLOOKUP(Consulta1[[#This Row],[Pozo largo]],Controles!B:J,9,FALSE),"NO")</f>
        <v>0</v>
      </c>
    </row>
    <row r="2328" spans="2:12" x14ac:dyDescent="0.35">
      <c r="B2328" s="4" t="s">
        <v>4458</v>
      </c>
      <c r="C2328" s="4" t="s">
        <v>8037</v>
      </c>
      <c r="D2328" s="4" t="s">
        <v>5</v>
      </c>
      <c r="E2328" s="4" t="s">
        <v>12</v>
      </c>
      <c r="F2328" s="4" t="s">
        <v>28</v>
      </c>
      <c r="G2328" s="4" t="s">
        <v>13</v>
      </c>
      <c r="H2328" s="4" t="s">
        <v>33</v>
      </c>
      <c r="I2328" s="5" t="str">
        <f>IFERROR(VLOOKUP(Consulta1[[#This Row],[Pozo largo]],'Lista YPF'!$B$3:$C$358,2,FALSE),"NO")</f>
        <v>NO</v>
      </c>
      <c r="J2328" s="5" t="str">
        <f>IFERROR(VLOOKUP(Consulta1[[#This Row],[Pozo]],'Lista Oportunidades'!B:C,2,FALSE),"NO")</f>
        <v>NO</v>
      </c>
      <c r="K2328" s="5">
        <f>IFERROR(VLOOKUP(Consulta1[[#This Row],[Pozo largo]],Controles!B:H,7,FALSE),"NO")</f>
        <v>0</v>
      </c>
      <c r="L2328" s="5">
        <f>IFERROR(VLOOKUP(Consulta1[[#This Row],[Pozo largo]],Controles!B:J,9,FALSE),"NO")</f>
        <v>0</v>
      </c>
    </row>
    <row r="2329" spans="2:12" x14ac:dyDescent="0.35">
      <c r="B2329" s="4" t="s">
        <v>4460</v>
      </c>
      <c r="C2329" s="4" t="s">
        <v>8038</v>
      </c>
      <c r="D2329" s="4" t="s">
        <v>5</v>
      </c>
      <c r="E2329" s="4" t="s">
        <v>24</v>
      </c>
      <c r="F2329" s="4" t="s">
        <v>31</v>
      </c>
      <c r="G2329" s="4" t="s">
        <v>8</v>
      </c>
      <c r="H2329" s="4" t="s">
        <v>254</v>
      </c>
      <c r="I2329" s="5" t="str">
        <f>IFERROR(VLOOKUP(Consulta1[[#This Row],[Pozo largo]],'Lista YPF'!$B$3:$C$358,2,FALSE),"NO")</f>
        <v>NO</v>
      </c>
      <c r="J2329" s="5" t="str">
        <f>IFERROR(VLOOKUP(Consulta1[[#This Row],[Pozo]],'Lista Oportunidades'!B:C,2,FALSE),"NO")</f>
        <v>NO</v>
      </c>
      <c r="K2329" s="5">
        <f>IFERROR(VLOOKUP(Consulta1[[#This Row],[Pozo largo]],Controles!B:H,7,FALSE),"NO")</f>
        <v>0.22900000000000001</v>
      </c>
      <c r="L2329" s="5">
        <f>IFERROR(VLOOKUP(Consulta1[[#This Row],[Pozo largo]],Controles!B:J,9,FALSE),"NO")</f>
        <v>0</v>
      </c>
    </row>
    <row r="2330" spans="2:12" x14ac:dyDescent="0.35">
      <c r="B2330" s="4" t="s">
        <v>4462</v>
      </c>
      <c r="C2330" s="4" t="s">
        <v>8039</v>
      </c>
      <c r="D2330" s="4" t="s">
        <v>5</v>
      </c>
      <c r="E2330" s="4" t="s">
        <v>12</v>
      </c>
      <c r="F2330" s="4" t="s">
        <v>7</v>
      </c>
      <c r="G2330" s="4" t="s">
        <v>13</v>
      </c>
      <c r="H2330" s="4" t="s">
        <v>21</v>
      </c>
      <c r="I2330" s="5" t="str">
        <f>IFERROR(VLOOKUP(Consulta1[[#This Row],[Pozo largo]],'Lista YPF'!$B$3:$C$358,2,FALSE),"NO")</f>
        <v>NO</v>
      </c>
      <c r="J2330" s="5" t="str">
        <f>IFERROR(VLOOKUP(Consulta1[[#This Row],[Pozo]],'Lista Oportunidades'!B:C,2,FALSE),"NO")</f>
        <v>NO</v>
      </c>
      <c r="K2330" s="5">
        <f>IFERROR(VLOOKUP(Consulta1[[#This Row],[Pozo largo]],Controles!B:H,7,FALSE),"NO")</f>
        <v>2</v>
      </c>
      <c r="L2330" s="5">
        <f>IFERROR(VLOOKUP(Consulta1[[#This Row],[Pozo largo]],Controles!B:J,9,FALSE),"NO")</f>
        <v>0</v>
      </c>
    </row>
    <row r="2331" spans="2:12" x14ac:dyDescent="0.35">
      <c r="B2331" s="4" t="s">
        <v>4464</v>
      </c>
      <c r="C2331" s="4" t="s">
        <v>8040</v>
      </c>
      <c r="D2331" s="4" t="s">
        <v>5</v>
      </c>
      <c r="E2331" s="4" t="s">
        <v>12</v>
      </c>
      <c r="F2331" s="4" t="s">
        <v>28</v>
      </c>
      <c r="G2331" s="4" t="s">
        <v>13</v>
      </c>
      <c r="H2331" s="4" t="s">
        <v>21</v>
      </c>
      <c r="I2331" s="5" t="str">
        <f>IFERROR(VLOOKUP(Consulta1[[#This Row],[Pozo largo]],'Lista YPF'!$B$3:$C$358,2,FALSE),"NO")</f>
        <v>NO</v>
      </c>
      <c r="J2331" s="5" t="str">
        <f>IFERROR(VLOOKUP(Consulta1[[#This Row],[Pozo]],'Lista Oportunidades'!B:C,2,FALSE),"NO")</f>
        <v>NO</v>
      </c>
      <c r="K2331" s="5">
        <f>IFERROR(VLOOKUP(Consulta1[[#This Row],[Pozo largo]],Controles!B:H,7,FALSE),"NO")</f>
        <v>0</v>
      </c>
      <c r="L2331" s="5">
        <f>IFERROR(VLOOKUP(Consulta1[[#This Row],[Pozo largo]],Controles!B:J,9,FALSE),"NO")</f>
        <v>0</v>
      </c>
    </row>
    <row r="2332" spans="2:12" x14ac:dyDescent="0.35">
      <c r="B2332" s="4" t="s">
        <v>4466</v>
      </c>
      <c r="C2332" s="4" t="s">
        <v>8041</v>
      </c>
      <c r="D2332" s="4" t="s">
        <v>5</v>
      </c>
      <c r="E2332" s="4" t="s">
        <v>12</v>
      </c>
      <c r="F2332" s="4" t="s">
        <v>25</v>
      </c>
      <c r="G2332" s="4" t="s">
        <v>13</v>
      </c>
      <c r="H2332" s="4" t="s">
        <v>21</v>
      </c>
      <c r="I2332" s="5" t="str">
        <f>IFERROR(VLOOKUP(Consulta1[[#This Row],[Pozo largo]],'Lista YPF'!$B$3:$C$358,2,FALSE),"NO")</f>
        <v>NO</v>
      </c>
      <c r="J2332" s="5" t="str">
        <f>IFERROR(VLOOKUP(Consulta1[[#This Row],[Pozo]],'Lista Oportunidades'!B:C,2,FALSE),"NO")</f>
        <v>NO</v>
      </c>
      <c r="K2332" s="5">
        <f>IFERROR(VLOOKUP(Consulta1[[#This Row],[Pozo largo]],Controles!B:H,7,FALSE),"NO")</f>
        <v>9.5000000000000001E-2</v>
      </c>
      <c r="L2332" s="5">
        <f>IFERROR(VLOOKUP(Consulta1[[#This Row],[Pozo largo]],Controles!B:J,9,FALSE),"NO")</f>
        <v>0</v>
      </c>
    </row>
    <row r="2333" spans="2:12" x14ac:dyDescent="0.35">
      <c r="B2333" s="4" t="s">
        <v>4468</v>
      </c>
      <c r="C2333" s="4" t="s">
        <v>8042</v>
      </c>
      <c r="D2333" s="4" t="s">
        <v>5</v>
      </c>
      <c r="E2333" s="4" t="s">
        <v>24</v>
      </c>
      <c r="F2333" s="4" t="s">
        <v>31</v>
      </c>
      <c r="G2333" s="4" t="s">
        <v>8</v>
      </c>
      <c r="H2333" s="4" t="s">
        <v>33</v>
      </c>
      <c r="I2333" s="5" t="str">
        <f>IFERROR(VLOOKUP(Consulta1[[#This Row],[Pozo largo]],'Lista YPF'!$B$3:$C$358,2,FALSE),"NO")</f>
        <v>NO</v>
      </c>
      <c r="J2333" s="5" t="str">
        <f>IFERROR(VLOOKUP(Consulta1[[#This Row],[Pozo]],'Lista Oportunidades'!B:C,2,FALSE),"NO")</f>
        <v>NO</v>
      </c>
      <c r="K2333" s="5">
        <f>IFERROR(VLOOKUP(Consulta1[[#This Row],[Pozo largo]],Controles!B:H,7,FALSE),"NO")</f>
        <v>0.3</v>
      </c>
      <c r="L2333" s="5">
        <f>IFERROR(VLOOKUP(Consulta1[[#This Row],[Pozo largo]],Controles!B:J,9,FALSE),"NO")</f>
        <v>0</v>
      </c>
    </row>
    <row r="2334" spans="2:12" x14ac:dyDescent="0.35">
      <c r="B2334" s="4" t="s">
        <v>4470</v>
      </c>
      <c r="C2334" s="4" t="s">
        <v>8043</v>
      </c>
      <c r="D2334" s="4" t="s">
        <v>5</v>
      </c>
      <c r="E2334" s="4" t="s">
        <v>12</v>
      </c>
      <c r="F2334" s="4" t="s">
        <v>7</v>
      </c>
      <c r="G2334" s="4" t="s">
        <v>13</v>
      </c>
      <c r="H2334" s="4" t="s">
        <v>185</v>
      </c>
      <c r="I2334" s="5" t="str">
        <f>IFERROR(VLOOKUP(Consulta1[[#This Row],[Pozo largo]],'Lista YPF'!$B$3:$C$358,2,FALSE),"NO")</f>
        <v>NO</v>
      </c>
      <c r="J2334" s="5" t="str">
        <f>IFERROR(VLOOKUP(Consulta1[[#This Row],[Pozo]],'Lista Oportunidades'!B:C,2,FALSE),"NO")</f>
        <v>NO</v>
      </c>
      <c r="K2334" s="5">
        <f>IFERROR(VLOOKUP(Consulta1[[#This Row],[Pozo largo]],Controles!B:H,7,FALSE),"NO")</f>
        <v>0.54</v>
      </c>
      <c r="L2334" s="5">
        <f>IFERROR(VLOOKUP(Consulta1[[#This Row],[Pozo largo]],Controles!B:J,9,FALSE),"NO")</f>
        <v>0</v>
      </c>
    </row>
    <row r="2335" spans="2:12" x14ac:dyDescent="0.35">
      <c r="B2335" s="4" t="s">
        <v>4472</v>
      </c>
      <c r="C2335" s="4" t="s">
        <v>8044</v>
      </c>
      <c r="D2335" s="4" t="s">
        <v>5</v>
      </c>
      <c r="E2335" s="4" t="s">
        <v>430</v>
      </c>
      <c r="F2335" s="4" t="s">
        <v>7</v>
      </c>
      <c r="G2335" s="4" t="s">
        <v>5718</v>
      </c>
      <c r="H2335" s="4" t="s">
        <v>86</v>
      </c>
      <c r="I2335" s="5" t="str">
        <f>IFERROR(VLOOKUP(Consulta1[[#This Row],[Pozo largo]],'Lista YPF'!$B$3:$C$358,2,FALSE),"NO")</f>
        <v>En lista de Abandono</v>
      </c>
      <c r="J2335" s="5" t="str">
        <f>IFERROR(VLOOKUP(Consulta1[[#This Row],[Pozo]],'Lista Oportunidades'!B:C,2,FALSE),"NO")</f>
        <v>NO</v>
      </c>
      <c r="K2335" s="5">
        <f>IFERROR(VLOOKUP(Consulta1[[#This Row],[Pozo largo]],Controles!B:H,7,FALSE),"NO")</f>
        <v>0.56200000000000006</v>
      </c>
      <c r="L2335" s="5">
        <f>IFERROR(VLOOKUP(Consulta1[[#This Row],[Pozo largo]],Controles!B:J,9,FALSE),"NO")</f>
        <v>0</v>
      </c>
    </row>
    <row r="2336" spans="2:12" x14ac:dyDescent="0.35">
      <c r="B2336" s="4" t="s">
        <v>4474</v>
      </c>
      <c r="C2336" s="4" t="s">
        <v>8045</v>
      </c>
      <c r="D2336" s="4" t="s">
        <v>5</v>
      </c>
      <c r="E2336" s="4" t="s">
        <v>12</v>
      </c>
      <c r="F2336" s="4" t="s">
        <v>7</v>
      </c>
      <c r="G2336" s="4" t="s">
        <v>13</v>
      </c>
      <c r="H2336" s="4" t="s">
        <v>86</v>
      </c>
      <c r="I2336" s="5" t="str">
        <f>IFERROR(VLOOKUP(Consulta1[[#This Row],[Pozo largo]],'Lista YPF'!$B$3:$C$358,2,FALSE),"NO")</f>
        <v>NO</v>
      </c>
      <c r="J2336" s="5" t="str">
        <f>IFERROR(VLOOKUP(Consulta1[[#This Row],[Pozo]],'Lista Oportunidades'!B:C,2,FALSE),"NO")</f>
        <v>NO</v>
      </c>
      <c r="K2336" s="5">
        <f>IFERROR(VLOOKUP(Consulta1[[#This Row],[Pozo largo]],Controles!B:H,7,FALSE),"NO")</f>
        <v>0.70000000000000007</v>
      </c>
      <c r="L2336" s="5">
        <f>IFERROR(VLOOKUP(Consulta1[[#This Row],[Pozo largo]],Controles!B:J,9,FALSE),"NO")</f>
        <v>0</v>
      </c>
    </row>
    <row r="2337" spans="2:12" x14ac:dyDescent="0.35">
      <c r="B2337" s="4" t="s">
        <v>4476</v>
      </c>
      <c r="C2337" s="4" t="s">
        <v>8046</v>
      </c>
      <c r="D2337" s="4" t="s">
        <v>5</v>
      </c>
      <c r="E2337" s="4" t="s">
        <v>12</v>
      </c>
      <c r="F2337" s="4" t="s">
        <v>25</v>
      </c>
      <c r="G2337" s="4" t="s">
        <v>13</v>
      </c>
      <c r="H2337" s="4" t="s">
        <v>86</v>
      </c>
      <c r="I2337" s="5" t="str">
        <f>IFERROR(VLOOKUP(Consulta1[[#This Row],[Pozo largo]],'Lista YPF'!$B$3:$C$358,2,FALSE),"NO")</f>
        <v>NO</v>
      </c>
      <c r="J2337" s="5" t="str">
        <f>IFERROR(VLOOKUP(Consulta1[[#This Row],[Pozo]],'Lista Oportunidades'!B:C,2,FALSE),"NO")</f>
        <v>NO</v>
      </c>
      <c r="K2337" s="5">
        <f>IFERROR(VLOOKUP(Consulta1[[#This Row],[Pozo largo]],Controles!B:H,7,FALSE),"NO")</f>
        <v>0.192</v>
      </c>
      <c r="L2337" s="5">
        <f>IFERROR(VLOOKUP(Consulta1[[#This Row],[Pozo largo]],Controles!B:J,9,FALSE),"NO")</f>
        <v>0</v>
      </c>
    </row>
    <row r="2338" spans="2:12" x14ac:dyDescent="0.35">
      <c r="B2338" s="4" t="s">
        <v>4478</v>
      </c>
      <c r="C2338" s="4" t="s">
        <v>8047</v>
      </c>
      <c r="D2338" s="4" t="s">
        <v>5</v>
      </c>
      <c r="E2338" s="4" t="s">
        <v>12</v>
      </c>
      <c r="F2338" s="4" t="s">
        <v>7</v>
      </c>
      <c r="G2338" s="4" t="s">
        <v>13</v>
      </c>
      <c r="H2338" s="4" t="s">
        <v>185</v>
      </c>
      <c r="I2338" s="5" t="str">
        <f>IFERROR(VLOOKUP(Consulta1[[#This Row],[Pozo largo]],'Lista YPF'!$B$3:$C$358,2,FALSE),"NO")</f>
        <v>NO</v>
      </c>
      <c r="J2338" s="5" t="str">
        <f>IFERROR(VLOOKUP(Consulta1[[#This Row],[Pozo]],'Lista Oportunidades'!B:C,2,FALSE),"NO")</f>
        <v>NO</v>
      </c>
      <c r="K2338" s="5">
        <f>IFERROR(VLOOKUP(Consulta1[[#This Row],[Pozo largo]],Controles!B:H,7,FALSE),"NO")</f>
        <v>1.129</v>
      </c>
      <c r="L2338" s="5">
        <f>IFERROR(VLOOKUP(Consulta1[[#This Row],[Pozo largo]],Controles!B:J,9,FALSE),"NO")</f>
        <v>0</v>
      </c>
    </row>
    <row r="2339" spans="2:12" x14ac:dyDescent="0.35">
      <c r="B2339" s="4" t="s">
        <v>4480</v>
      </c>
      <c r="C2339" s="4" t="s">
        <v>8048</v>
      </c>
      <c r="D2339" s="4" t="s">
        <v>5</v>
      </c>
      <c r="E2339" s="4" t="s">
        <v>12</v>
      </c>
      <c r="F2339" s="4" t="s">
        <v>7</v>
      </c>
      <c r="G2339" s="4" t="s">
        <v>13</v>
      </c>
      <c r="H2339" s="4" t="s">
        <v>21</v>
      </c>
      <c r="I2339" s="5" t="str">
        <f>IFERROR(VLOOKUP(Consulta1[[#This Row],[Pozo largo]],'Lista YPF'!$B$3:$C$358,2,FALSE),"NO")</f>
        <v>NO</v>
      </c>
      <c r="J2339" s="5" t="str">
        <f>IFERROR(VLOOKUP(Consulta1[[#This Row],[Pozo]],'Lista Oportunidades'!B:C,2,FALSE),"NO")</f>
        <v>NO</v>
      </c>
      <c r="K2339" s="5">
        <f>IFERROR(VLOOKUP(Consulta1[[#This Row],[Pozo largo]],Controles!B:H,7,FALSE),"NO")</f>
        <v>1.68</v>
      </c>
      <c r="L2339" s="5">
        <f>IFERROR(VLOOKUP(Consulta1[[#This Row],[Pozo largo]],Controles!B:J,9,FALSE),"NO")</f>
        <v>0</v>
      </c>
    </row>
    <row r="2340" spans="2:12" x14ac:dyDescent="0.35">
      <c r="B2340" s="4" t="s">
        <v>4482</v>
      </c>
      <c r="C2340" s="4" t="s">
        <v>8049</v>
      </c>
      <c r="D2340" s="4" t="s">
        <v>5</v>
      </c>
      <c r="E2340" s="4" t="s">
        <v>12</v>
      </c>
      <c r="F2340" s="4" t="s">
        <v>7</v>
      </c>
      <c r="G2340" s="4" t="s">
        <v>13</v>
      </c>
      <c r="H2340" s="4" t="s">
        <v>9</v>
      </c>
      <c r="I2340" s="5" t="str">
        <f>IFERROR(VLOOKUP(Consulta1[[#This Row],[Pozo largo]],'Lista YPF'!$B$3:$C$358,2,FALSE),"NO")</f>
        <v>NO</v>
      </c>
      <c r="J2340" s="5" t="str">
        <f>IFERROR(VLOOKUP(Consulta1[[#This Row],[Pozo]],'Lista Oportunidades'!B:C,2,FALSE),"NO")</f>
        <v>NO</v>
      </c>
      <c r="K2340" s="5">
        <f>IFERROR(VLOOKUP(Consulta1[[#This Row],[Pozo largo]],Controles!B:H,7,FALSE),"NO")</f>
        <v>4.9000000000000004</v>
      </c>
      <c r="L2340" s="5">
        <f>IFERROR(VLOOKUP(Consulta1[[#This Row],[Pozo largo]],Controles!B:J,9,FALSE),"NO")</f>
        <v>0</v>
      </c>
    </row>
    <row r="2341" spans="2:12" x14ac:dyDescent="0.35">
      <c r="B2341" s="4" t="s">
        <v>4484</v>
      </c>
      <c r="C2341" s="4" t="s">
        <v>8050</v>
      </c>
      <c r="D2341" s="4" t="s">
        <v>5</v>
      </c>
      <c r="E2341" s="4" t="s">
        <v>12</v>
      </c>
      <c r="F2341" s="4" t="s">
        <v>25</v>
      </c>
      <c r="G2341" s="4" t="s">
        <v>13</v>
      </c>
      <c r="H2341" s="4" t="s">
        <v>185</v>
      </c>
      <c r="I2341" s="5" t="str">
        <f>IFERROR(VLOOKUP(Consulta1[[#This Row],[Pozo largo]],'Lista YPF'!$B$3:$C$358,2,FALSE),"NO")</f>
        <v>NO</v>
      </c>
      <c r="J2341" s="5" t="str">
        <f>IFERROR(VLOOKUP(Consulta1[[#This Row],[Pozo]],'Lista Oportunidades'!B:C,2,FALSE),"NO")</f>
        <v>NO</v>
      </c>
      <c r="K2341" s="5">
        <f>IFERROR(VLOOKUP(Consulta1[[#This Row],[Pozo largo]],Controles!B:H,7,FALSE),"NO")</f>
        <v>0.182</v>
      </c>
      <c r="L2341" s="5">
        <f>IFERROR(VLOOKUP(Consulta1[[#This Row],[Pozo largo]],Controles!B:J,9,FALSE),"NO")</f>
        <v>0</v>
      </c>
    </row>
    <row r="2342" spans="2:12" x14ac:dyDescent="0.35">
      <c r="B2342" s="4" t="s">
        <v>4486</v>
      </c>
      <c r="C2342" s="4" t="s">
        <v>8051</v>
      </c>
      <c r="D2342" s="4" t="s">
        <v>5</v>
      </c>
      <c r="E2342" s="4" t="s">
        <v>12</v>
      </c>
      <c r="F2342" s="4" t="s">
        <v>7</v>
      </c>
      <c r="G2342" s="4" t="s">
        <v>13</v>
      </c>
      <c r="H2342" s="4" t="s">
        <v>74</v>
      </c>
      <c r="I2342" s="5" t="str">
        <f>IFERROR(VLOOKUP(Consulta1[[#This Row],[Pozo largo]],'Lista YPF'!$B$3:$C$358,2,FALSE),"NO")</f>
        <v>NO</v>
      </c>
      <c r="J2342" s="5" t="str">
        <f>IFERROR(VLOOKUP(Consulta1[[#This Row],[Pozo]],'Lista Oportunidades'!B:C,2,FALSE),"NO")</f>
        <v>NO</v>
      </c>
      <c r="K2342" s="5">
        <f>IFERROR(VLOOKUP(Consulta1[[#This Row],[Pozo largo]],Controles!B:H,7,FALSE),"NO")</f>
        <v>3</v>
      </c>
      <c r="L2342" s="5">
        <f>IFERROR(VLOOKUP(Consulta1[[#This Row],[Pozo largo]],Controles!B:J,9,FALSE),"NO")</f>
        <v>0</v>
      </c>
    </row>
    <row r="2343" spans="2:12" x14ac:dyDescent="0.35">
      <c r="B2343" s="4" t="s">
        <v>4488</v>
      </c>
      <c r="C2343" s="4" t="s">
        <v>8052</v>
      </c>
      <c r="D2343" s="4" t="s">
        <v>5</v>
      </c>
      <c r="E2343" s="4" t="s">
        <v>12</v>
      </c>
      <c r="F2343" s="4" t="s">
        <v>7</v>
      </c>
      <c r="G2343" s="4" t="s">
        <v>13</v>
      </c>
      <c r="I2343" s="5" t="str">
        <f>IFERROR(VLOOKUP(Consulta1[[#This Row],[Pozo largo]],'Lista YPF'!$B$3:$C$358,2,FALSE),"NO")</f>
        <v>NO</v>
      </c>
      <c r="J2343" s="5" t="str">
        <f>IFERROR(VLOOKUP(Consulta1[[#This Row],[Pozo]],'Lista Oportunidades'!B:C,2,FALSE),"NO")</f>
        <v>NO</v>
      </c>
      <c r="K2343" s="5">
        <f>IFERROR(VLOOKUP(Consulta1[[#This Row],[Pozo largo]],Controles!B:H,7,FALSE),"NO")</f>
        <v>0.75</v>
      </c>
      <c r="L2343" s="5">
        <f>IFERROR(VLOOKUP(Consulta1[[#This Row],[Pozo largo]],Controles!B:J,9,FALSE),"NO")</f>
        <v>0</v>
      </c>
    </row>
    <row r="2344" spans="2:12" x14ac:dyDescent="0.35">
      <c r="B2344" s="4" t="s">
        <v>4490</v>
      </c>
      <c r="C2344" s="4" t="s">
        <v>8053</v>
      </c>
      <c r="D2344" s="4" t="s">
        <v>5</v>
      </c>
      <c r="E2344" s="4" t="s">
        <v>57</v>
      </c>
      <c r="F2344" s="4" t="s">
        <v>7</v>
      </c>
      <c r="G2344" s="4" t="s">
        <v>5718</v>
      </c>
      <c r="H2344" s="4" t="s">
        <v>21</v>
      </c>
      <c r="I2344" s="5" t="str">
        <f>IFERROR(VLOOKUP(Consulta1[[#This Row],[Pozo largo]],'Lista YPF'!$B$3:$C$358,2,FALSE),"NO")</f>
        <v>En lista de Abandono</v>
      </c>
      <c r="J2344" s="5" t="str">
        <f>IFERROR(VLOOKUP(Consulta1[[#This Row],[Pozo]],'Lista Oportunidades'!B:C,2,FALSE),"NO")</f>
        <v>NO</v>
      </c>
      <c r="K2344" s="5">
        <f>IFERROR(VLOOKUP(Consulta1[[#This Row],[Pozo largo]],Controles!B:H,7,FALSE),"NO")</f>
        <v>0.4</v>
      </c>
      <c r="L2344" s="5">
        <f>IFERROR(VLOOKUP(Consulta1[[#This Row],[Pozo largo]],Controles!B:J,9,FALSE),"NO")</f>
        <v>0</v>
      </c>
    </row>
    <row r="2345" spans="2:12" x14ac:dyDescent="0.35">
      <c r="B2345" s="4" t="s">
        <v>4492</v>
      </c>
      <c r="C2345" s="4" t="s">
        <v>8054</v>
      </c>
      <c r="D2345" s="4" t="s">
        <v>5</v>
      </c>
      <c r="E2345" s="4" t="s">
        <v>12</v>
      </c>
      <c r="F2345" s="4" t="s">
        <v>7</v>
      </c>
      <c r="G2345" s="4" t="s">
        <v>13</v>
      </c>
      <c r="H2345" s="4" t="s">
        <v>21</v>
      </c>
      <c r="I2345" s="5" t="str">
        <f>IFERROR(VLOOKUP(Consulta1[[#This Row],[Pozo largo]],'Lista YPF'!$B$3:$C$358,2,FALSE),"NO")</f>
        <v>NO</v>
      </c>
      <c r="J2345" s="5" t="str">
        <f>IFERROR(VLOOKUP(Consulta1[[#This Row],[Pozo]],'Lista Oportunidades'!B:C,2,FALSE),"NO")</f>
        <v>NO</v>
      </c>
      <c r="K2345" s="5">
        <f>IFERROR(VLOOKUP(Consulta1[[#This Row],[Pozo largo]],Controles!B:H,7,FALSE),"NO")</f>
        <v>1.4950000000000001</v>
      </c>
      <c r="L2345" s="5">
        <f>IFERROR(VLOOKUP(Consulta1[[#This Row],[Pozo largo]],Controles!B:J,9,FALSE),"NO")</f>
        <v>0</v>
      </c>
    </row>
    <row r="2346" spans="2:12" x14ac:dyDescent="0.35">
      <c r="B2346" s="4" t="s">
        <v>4494</v>
      </c>
      <c r="C2346" s="4" t="s">
        <v>8055</v>
      </c>
      <c r="D2346" s="4" t="s">
        <v>5</v>
      </c>
      <c r="E2346" s="4" t="s">
        <v>12</v>
      </c>
      <c r="F2346" s="4" t="s">
        <v>7</v>
      </c>
      <c r="G2346" s="4" t="s">
        <v>13</v>
      </c>
      <c r="H2346" s="4" t="s">
        <v>84</v>
      </c>
      <c r="I2346" s="5" t="str">
        <f>IFERROR(VLOOKUP(Consulta1[[#This Row],[Pozo largo]],'Lista YPF'!$B$3:$C$358,2,FALSE),"NO")</f>
        <v>NO</v>
      </c>
      <c r="J2346" s="5" t="str">
        <f>IFERROR(VLOOKUP(Consulta1[[#This Row],[Pozo]],'Lista Oportunidades'!B:C,2,FALSE),"NO")</f>
        <v>NO</v>
      </c>
      <c r="K2346" s="5">
        <f>IFERROR(VLOOKUP(Consulta1[[#This Row],[Pozo largo]],Controles!B:H,7,FALSE),"NO")</f>
        <v>1.9000000000000001</v>
      </c>
      <c r="L2346" s="5">
        <f>IFERROR(VLOOKUP(Consulta1[[#This Row],[Pozo largo]],Controles!B:J,9,FALSE),"NO")</f>
        <v>0</v>
      </c>
    </row>
    <row r="2347" spans="2:12" x14ac:dyDescent="0.35">
      <c r="B2347" s="4" t="s">
        <v>4496</v>
      </c>
      <c r="C2347" s="4" t="s">
        <v>8056</v>
      </c>
      <c r="D2347" s="4" t="s">
        <v>5</v>
      </c>
      <c r="E2347" s="4" t="s">
        <v>12</v>
      </c>
      <c r="F2347" s="4" t="s">
        <v>7</v>
      </c>
      <c r="G2347" s="4" t="s">
        <v>13</v>
      </c>
      <c r="H2347" s="4" t="s">
        <v>149</v>
      </c>
      <c r="I2347" s="5" t="str">
        <f>IFERROR(VLOOKUP(Consulta1[[#This Row],[Pozo largo]],'Lista YPF'!$B$3:$C$358,2,FALSE),"NO")</f>
        <v>NO</v>
      </c>
      <c r="J2347" s="5" t="str">
        <f>IFERROR(VLOOKUP(Consulta1[[#This Row],[Pozo]],'Lista Oportunidades'!B:C,2,FALSE),"NO")</f>
        <v>NO</v>
      </c>
      <c r="K2347" s="5">
        <f>IFERROR(VLOOKUP(Consulta1[[#This Row],[Pozo largo]],Controles!B:H,7,FALSE),"NO")</f>
        <v>1.48</v>
      </c>
      <c r="L2347" s="5">
        <f>IFERROR(VLOOKUP(Consulta1[[#This Row],[Pozo largo]],Controles!B:J,9,FALSE),"NO")</f>
        <v>0</v>
      </c>
    </row>
    <row r="2348" spans="2:12" x14ac:dyDescent="0.35">
      <c r="B2348" s="4" t="s">
        <v>4498</v>
      </c>
      <c r="C2348" s="4" t="s">
        <v>8057</v>
      </c>
      <c r="D2348" s="4" t="s">
        <v>5</v>
      </c>
      <c r="E2348" s="4" t="s">
        <v>30</v>
      </c>
      <c r="F2348" s="4" t="s">
        <v>31</v>
      </c>
      <c r="G2348" s="4" t="s">
        <v>32</v>
      </c>
      <c r="H2348" s="4" t="s">
        <v>36</v>
      </c>
      <c r="I2348" s="5" t="str">
        <f>IFERROR(VLOOKUP(Consulta1[[#This Row],[Pozo largo]],'Lista YPF'!$B$3:$C$358,2,FALSE),"NO")</f>
        <v>NO</v>
      </c>
      <c r="J2348" s="5" t="str">
        <f>IFERROR(VLOOKUP(Consulta1[[#This Row],[Pozo]],'Lista Oportunidades'!B:C,2,FALSE),"NO")</f>
        <v>NO</v>
      </c>
      <c r="K2348" s="5" t="str">
        <f>IFERROR(VLOOKUP(Consulta1[[#This Row],[Pozo largo]],Controles!B:H,7,FALSE),"NO")</f>
        <v>NO</v>
      </c>
      <c r="L2348" s="5" t="str">
        <f>IFERROR(VLOOKUP(Consulta1[[#This Row],[Pozo largo]],Controles!B:J,9,FALSE),"NO")</f>
        <v>NO</v>
      </c>
    </row>
    <row r="2349" spans="2:12" x14ac:dyDescent="0.35">
      <c r="B2349" s="4" t="s">
        <v>4499</v>
      </c>
      <c r="C2349" s="4" t="s">
        <v>4500</v>
      </c>
      <c r="D2349" s="4" t="s">
        <v>5</v>
      </c>
      <c r="E2349" s="4" t="s">
        <v>12</v>
      </c>
      <c r="F2349" s="4" t="s">
        <v>7</v>
      </c>
      <c r="G2349" s="4" t="s">
        <v>13</v>
      </c>
      <c r="H2349" s="4" t="s">
        <v>91</v>
      </c>
      <c r="I2349" s="5" t="str">
        <f>IFERROR(VLOOKUP(Consulta1[[#This Row],[Pozo largo]],'Lista YPF'!$B$3:$C$358,2,FALSE),"NO")</f>
        <v>NO</v>
      </c>
      <c r="J2349" s="5" t="str">
        <f>IFERROR(VLOOKUP(Consulta1[[#This Row],[Pozo]],'Lista Oportunidades'!B:C,2,FALSE),"NO")</f>
        <v>NO</v>
      </c>
      <c r="K2349" s="5">
        <f>IFERROR(VLOOKUP(Consulta1[[#This Row],[Pozo largo]],Controles!B:H,7,FALSE),"NO")</f>
        <v>1.71</v>
      </c>
      <c r="L2349" s="5">
        <f>IFERROR(VLOOKUP(Consulta1[[#This Row],[Pozo largo]],Controles!B:J,9,FALSE),"NO")</f>
        <v>0</v>
      </c>
    </row>
    <row r="2350" spans="2:12" x14ac:dyDescent="0.35">
      <c r="B2350" s="4" t="s">
        <v>4501</v>
      </c>
      <c r="C2350" s="4" t="s">
        <v>8058</v>
      </c>
      <c r="D2350" s="4" t="s">
        <v>5</v>
      </c>
      <c r="E2350" s="4" t="s">
        <v>30</v>
      </c>
      <c r="F2350" s="4" t="s">
        <v>31</v>
      </c>
      <c r="G2350" s="4" t="s">
        <v>32</v>
      </c>
      <c r="H2350" s="4" t="s">
        <v>36</v>
      </c>
      <c r="I2350" s="5" t="str">
        <f>IFERROR(VLOOKUP(Consulta1[[#This Row],[Pozo largo]],'Lista YPF'!$B$3:$C$358,2,FALSE),"NO")</f>
        <v>NO</v>
      </c>
      <c r="J2350" s="5" t="str">
        <f>IFERROR(VLOOKUP(Consulta1[[#This Row],[Pozo]],'Lista Oportunidades'!B:C,2,FALSE),"NO")</f>
        <v>NO</v>
      </c>
      <c r="K2350" s="5">
        <f>IFERROR(VLOOKUP(Consulta1[[#This Row],[Pozo largo]],Controles!B:H,7,FALSE),"NO")</f>
        <v>0</v>
      </c>
      <c r="L2350" s="5">
        <f>IFERROR(VLOOKUP(Consulta1[[#This Row],[Pozo largo]],Controles!B:J,9,FALSE),"NO")</f>
        <v>0</v>
      </c>
    </row>
    <row r="2351" spans="2:12" x14ac:dyDescent="0.35">
      <c r="B2351" s="4" t="s">
        <v>4503</v>
      </c>
      <c r="C2351" s="4" t="s">
        <v>8059</v>
      </c>
      <c r="D2351" s="4" t="s">
        <v>5</v>
      </c>
      <c r="E2351" s="4" t="s">
        <v>24</v>
      </c>
      <c r="F2351" s="4" t="s">
        <v>31</v>
      </c>
      <c r="G2351" s="4" t="s">
        <v>8</v>
      </c>
      <c r="H2351" s="4" t="s">
        <v>86</v>
      </c>
      <c r="I2351" s="5" t="str">
        <f>IFERROR(VLOOKUP(Consulta1[[#This Row],[Pozo largo]],'Lista YPF'!$B$3:$C$358,2,FALSE),"NO")</f>
        <v>NO</v>
      </c>
      <c r="J2351" s="5" t="str">
        <f>IFERROR(VLOOKUP(Consulta1[[#This Row],[Pozo]],'Lista Oportunidades'!B:C,2,FALSE),"NO")</f>
        <v>NO</v>
      </c>
      <c r="K2351" s="5" t="str">
        <f>IFERROR(VLOOKUP(Consulta1[[#This Row],[Pozo largo]],Controles!B:H,7,FALSE),"NO")</f>
        <v>NO</v>
      </c>
      <c r="L2351" s="5" t="str">
        <f>IFERROR(VLOOKUP(Consulta1[[#This Row],[Pozo largo]],Controles!B:J,9,FALSE),"NO")</f>
        <v>NO</v>
      </c>
    </row>
    <row r="2352" spans="2:12" x14ac:dyDescent="0.35">
      <c r="B2352" s="4" t="s">
        <v>4504</v>
      </c>
      <c r="C2352" s="4" t="s">
        <v>8060</v>
      </c>
      <c r="D2352" s="4" t="s">
        <v>5</v>
      </c>
      <c r="E2352" s="4" t="s">
        <v>30</v>
      </c>
      <c r="F2352" s="4" t="s">
        <v>31</v>
      </c>
      <c r="G2352" s="4" t="s">
        <v>32</v>
      </c>
      <c r="H2352" s="4" t="s">
        <v>80</v>
      </c>
      <c r="I2352" s="5" t="str">
        <f>IFERROR(VLOOKUP(Consulta1[[#This Row],[Pozo largo]],'Lista YPF'!$B$3:$C$358,2,FALSE),"NO")</f>
        <v>NO</v>
      </c>
      <c r="J2352" s="5" t="str">
        <f>IFERROR(VLOOKUP(Consulta1[[#This Row],[Pozo]],'Lista Oportunidades'!B:C,2,FALSE),"NO")</f>
        <v>NO</v>
      </c>
      <c r="K2352" s="5">
        <f>IFERROR(VLOOKUP(Consulta1[[#This Row],[Pozo largo]],Controles!B:H,7,FALSE),"NO")</f>
        <v>0.108</v>
      </c>
      <c r="L2352" s="5">
        <f>IFERROR(VLOOKUP(Consulta1[[#This Row],[Pozo largo]],Controles!B:J,9,FALSE),"NO")</f>
        <v>0</v>
      </c>
    </row>
    <row r="2353" spans="2:12" x14ac:dyDescent="0.35">
      <c r="B2353" s="4" t="s">
        <v>4506</v>
      </c>
      <c r="C2353" s="4" t="s">
        <v>8061</v>
      </c>
      <c r="D2353" s="4" t="s">
        <v>5</v>
      </c>
      <c r="E2353" s="4" t="s">
        <v>30</v>
      </c>
      <c r="F2353" s="4" t="s">
        <v>31</v>
      </c>
      <c r="G2353" s="4" t="s">
        <v>32</v>
      </c>
      <c r="H2353" s="4" t="s">
        <v>86</v>
      </c>
      <c r="I2353" s="5" t="str">
        <f>IFERROR(VLOOKUP(Consulta1[[#This Row],[Pozo largo]],'Lista YPF'!$B$3:$C$358,2,FALSE),"NO")</f>
        <v>NO</v>
      </c>
      <c r="J2353" s="5" t="str">
        <f>IFERROR(VLOOKUP(Consulta1[[#This Row],[Pozo]],'Lista Oportunidades'!B:C,2,FALSE),"NO")</f>
        <v>NO</v>
      </c>
      <c r="K2353" s="5" t="str">
        <f>IFERROR(VLOOKUP(Consulta1[[#This Row],[Pozo largo]],Controles!B:H,7,FALSE),"NO")</f>
        <v>NO</v>
      </c>
      <c r="L2353" s="5" t="str">
        <f>IFERROR(VLOOKUP(Consulta1[[#This Row],[Pozo largo]],Controles!B:J,9,FALSE),"NO")</f>
        <v>NO</v>
      </c>
    </row>
    <row r="2354" spans="2:12" x14ac:dyDescent="0.35">
      <c r="B2354" s="4" t="s">
        <v>4507</v>
      </c>
      <c r="C2354" s="4" t="s">
        <v>8062</v>
      </c>
      <c r="D2354" s="4" t="s">
        <v>5</v>
      </c>
      <c r="E2354" s="4" t="s">
        <v>30</v>
      </c>
      <c r="F2354" s="4" t="s">
        <v>31</v>
      </c>
      <c r="G2354" s="4" t="s">
        <v>32</v>
      </c>
      <c r="H2354" s="4" t="s">
        <v>21</v>
      </c>
      <c r="I2354" s="5" t="str">
        <f>IFERROR(VLOOKUP(Consulta1[[#This Row],[Pozo largo]],'Lista YPF'!$B$3:$C$358,2,FALSE),"NO")</f>
        <v>NO</v>
      </c>
      <c r="J2354" s="5" t="str">
        <f>IFERROR(VLOOKUP(Consulta1[[#This Row],[Pozo]],'Lista Oportunidades'!B:C,2,FALSE),"NO")</f>
        <v>NO</v>
      </c>
      <c r="K2354" s="5">
        <f>IFERROR(VLOOKUP(Consulta1[[#This Row],[Pozo largo]],Controles!B:H,7,FALSE),"NO")</f>
        <v>0.06</v>
      </c>
      <c r="L2354" s="5">
        <f>IFERROR(VLOOKUP(Consulta1[[#This Row],[Pozo largo]],Controles!B:J,9,FALSE),"NO")</f>
        <v>0</v>
      </c>
    </row>
    <row r="2355" spans="2:12" x14ac:dyDescent="0.35">
      <c r="B2355" s="4" t="s">
        <v>4509</v>
      </c>
      <c r="C2355" s="4" t="s">
        <v>8063</v>
      </c>
      <c r="D2355" s="4" t="s">
        <v>5</v>
      </c>
      <c r="E2355" s="4" t="s">
        <v>12</v>
      </c>
      <c r="F2355" s="4" t="s">
        <v>7</v>
      </c>
      <c r="G2355" s="4" t="s">
        <v>13</v>
      </c>
      <c r="H2355" s="4" t="s">
        <v>86</v>
      </c>
      <c r="I2355" s="5" t="str">
        <f>IFERROR(VLOOKUP(Consulta1[[#This Row],[Pozo largo]],'Lista YPF'!$B$3:$C$358,2,FALSE),"NO")</f>
        <v>NO</v>
      </c>
      <c r="J2355" s="5" t="str">
        <f>IFERROR(VLOOKUP(Consulta1[[#This Row],[Pozo]],'Lista Oportunidades'!B:C,2,FALSE),"NO")</f>
        <v>NO</v>
      </c>
      <c r="K2355" s="5">
        <f>IFERROR(VLOOKUP(Consulta1[[#This Row],[Pozo largo]],Controles!B:H,7,FALSE),"NO")</f>
        <v>0.9</v>
      </c>
      <c r="L2355" s="5">
        <f>IFERROR(VLOOKUP(Consulta1[[#This Row],[Pozo largo]],Controles!B:J,9,FALSE),"NO")</f>
        <v>0</v>
      </c>
    </row>
    <row r="2356" spans="2:12" x14ac:dyDescent="0.35">
      <c r="B2356" s="4" t="s">
        <v>4511</v>
      </c>
      <c r="C2356" s="4" t="s">
        <v>8064</v>
      </c>
      <c r="D2356" s="4" t="s">
        <v>5</v>
      </c>
      <c r="E2356" s="4" t="s">
        <v>24</v>
      </c>
      <c r="F2356" s="4" t="s">
        <v>31</v>
      </c>
      <c r="G2356" s="4" t="s">
        <v>8</v>
      </c>
      <c r="H2356" s="4" t="s">
        <v>185</v>
      </c>
      <c r="I2356" s="5" t="str">
        <f>IFERROR(VLOOKUP(Consulta1[[#This Row],[Pozo largo]],'Lista YPF'!$B$3:$C$358,2,FALSE),"NO")</f>
        <v>NO</v>
      </c>
      <c r="J2356" s="5" t="str">
        <f>IFERROR(VLOOKUP(Consulta1[[#This Row],[Pozo]],'Lista Oportunidades'!B:C,2,FALSE),"NO")</f>
        <v>NO</v>
      </c>
      <c r="K2356" s="5">
        <f>IFERROR(VLOOKUP(Consulta1[[#This Row],[Pozo largo]],Controles!B:H,7,FALSE),"NO")</f>
        <v>0.82000000000000006</v>
      </c>
      <c r="L2356" s="5">
        <f>IFERROR(VLOOKUP(Consulta1[[#This Row],[Pozo largo]],Controles!B:J,9,FALSE),"NO")</f>
        <v>0</v>
      </c>
    </row>
    <row r="2357" spans="2:12" x14ac:dyDescent="0.35">
      <c r="B2357" s="4" t="s">
        <v>4513</v>
      </c>
      <c r="C2357" s="4" t="s">
        <v>8065</v>
      </c>
      <c r="D2357" s="4" t="s">
        <v>5</v>
      </c>
      <c r="E2357" s="4" t="s">
        <v>24</v>
      </c>
      <c r="F2357" s="4" t="s">
        <v>25</v>
      </c>
      <c r="G2357" s="4" t="s">
        <v>8</v>
      </c>
      <c r="H2357" s="4" t="s">
        <v>91</v>
      </c>
      <c r="I2357" s="5" t="str">
        <f>IFERROR(VLOOKUP(Consulta1[[#This Row],[Pozo largo]],'Lista YPF'!$B$3:$C$358,2,FALSE),"NO")</f>
        <v>NO</v>
      </c>
      <c r="J2357" s="5" t="str">
        <f>IFERROR(VLOOKUP(Consulta1[[#This Row],[Pozo]],'Lista Oportunidades'!B:C,2,FALSE),"NO")</f>
        <v>NO</v>
      </c>
      <c r="K2357" s="5">
        <f>IFERROR(VLOOKUP(Consulta1[[#This Row],[Pozo largo]],Controles!B:H,7,FALSE),"NO")</f>
        <v>4.7E-2</v>
      </c>
      <c r="L2357" s="5">
        <f>IFERROR(VLOOKUP(Consulta1[[#This Row],[Pozo largo]],Controles!B:J,9,FALSE),"NO")</f>
        <v>0</v>
      </c>
    </row>
    <row r="2358" spans="2:12" x14ac:dyDescent="0.35">
      <c r="B2358" s="4" t="s">
        <v>4515</v>
      </c>
      <c r="C2358" s="4" t="s">
        <v>8066</v>
      </c>
      <c r="D2358" s="4" t="s">
        <v>5</v>
      </c>
      <c r="E2358" s="4" t="s">
        <v>24</v>
      </c>
      <c r="F2358" s="4" t="s">
        <v>7</v>
      </c>
      <c r="G2358" s="4" t="s">
        <v>8</v>
      </c>
      <c r="H2358" s="4" t="s">
        <v>86</v>
      </c>
      <c r="I2358" s="5" t="str">
        <f>IFERROR(VLOOKUP(Consulta1[[#This Row],[Pozo largo]],'Lista YPF'!$B$3:$C$358,2,FALSE),"NO")</f>
        <v>NO</v>
      </c>
      <c r="J2358" s="5" t="str">
        <f>IFERROR(VLOOKUP(Consulta1[[#This Row],[Pozo]],'Lista Oportunidades'!B:C,2,FALSE),"NO")</f>
        <v>NO</v>
      </c>
      <c r="K2358" s="5">
        <f>IFERROR(VLOOKUP(Consulta1[[#This Row],[Pozo largo]],Controles!B:H,7,FALSE),"NO")</f>
        <v>0.375</v>
      </c>
      <c r="L2358" s="5">
        <f>IFERROR(VLOOKUP(Consulta1[[#This Row],[Pozo largo]],Controles!B:J,9,FALSE),"NO")</f>
        <v>0</v>
      </c>
    </row>
    <row r="2359" spans="2:12" x14ac:dyDescent="0.35">
      <c r="B2359" s="4" t="s">
        <v>4517</v>
      </c>
      <c r="C2359" s="4" t="s">
        <v>8067</v>
      </c>
      <c r="D2359" s="4" t="s">
        <v>5</v>
      </c>
      <c r="E2359" s="4" t="s">
        <v>24</v>
      </c>
      <c r="F2359" s="4" t="s">
        <v>25</v>
      </c>
      <c r="G2359" s="4" t="s">
        <v>8</v>
      </c>
      <c r="H2359" s="4" t="s">
        <v>86</v>
      </c>
      <c r="I2359" s="5" t="str">
        <f>IFERROR(VLOOKUP(Consulta1[[#This Row],[Pozo largo]],'Lista YPF'!$B$3:$C$358,2,FALSE),"NO")</f>
        <v>NO</v>
      </c>
      <c r="J2359" s="5" t="str">
        <f>IFERROR(VLOOKUP(Consulta1[[#This Row],[Pozo]],'Lista Oportunidades'!B:C,2,FALSE),"NO")</f>
        <v>NO</v>
      </c>
      <c r="K2359" s="5">
        <f>IFERROR(VLOOKUP(Consulta1[[#This Row],[Pozo largo]],Controles!B:H,7,FALSE),"NO")</f>
        <v>3.2000000000000001E-2</v>
      </c>
      <c r="L2359" s="5">
        <f>IFERROR(VLOOKUP(Consulta1[[#This Row],[Pozo largo]],Controles!B:J,9,FALSE),"NO")</f>
        <v>0</v>
      </c>
    </row>
    <row r="2360" spans="2:12" x14ac:dyDescent="0.35">
      <c r="B2360" s="4" t="s">
        <v>4519</v>
      </c>
      <c r="C2360" s="4" t="s">
        <v>8068</v>
      </c>
      <c r="D2360" s="4" t="s">
        <v>5</v>
      </c>
      <c r="E2360" s="4" t="s">
        <v>24</v>
      </c>
      <c r="F2360" s="4" t="s">
        <v>7</v>
      </c>
      <c r="G2360" s="4" t="s">
        <v>8</v>
      </c>
      <c r="H2360" s="4" t="s">
        <v>185</v>
      </c>
      <c r="I2360" s="5" t="str">
        <f>IFERROR(VLOOKUP(Consulta1[[#This Row],[Pozo largo]],'Lista YPF'!$B$3:$C$358,2,FALSE),"NO")</f>
        <v>NO</v>
      </c>
      <c r="J2360" s="5" t="str">
        <f>IFERROR(VLOOKUP(Consulta1[[#This Row],[Pozo]],'Lista Oportunidades'!B:C,2,FALSE),"NO")</f>
        <v>NO</v>
      </c>
      <c r="K2360" s="5">
        <f>IFERROR(VLOOKUP(Consulta1[[#This Row],[Pozo largo]],Controles!B:H,7,FALSE),"NO")</f>
        <v>0.09</v>
      </c>
      <c r="L2360" s="5">
        <f>IFERROR(VLOOKUP(Consulta1[[#This Row],[Pozo largo]],Controles!B:J,9,FALSE),"NO")</f>
        <v>0</v>
      </c>
    </row>
    <row r="2361" spans="2:12" x14ac:dyDescent="0.35">
      <c r="B2361" s="4" t="s">
        <v>4521</v>
      </c>
      <c r="C2361" s="4" t="s">
        <v>8069</v>
      </c>
      <c r="D2361" s="4" t="s">
        <v>5</v>
      </c>
      <c r="E2361" s="4" t="s">
        <v>12</v>
      </c>
      <c r="F2361" s="4" t="s">
        <v>83</v>
      </c>
      <c r="G2361" s="4" t="s">
        <v>13</v>
      </c>
      <c r="H2361" s="4" t="s">
        <v>91</v>
      </c>
      <c r="I2361" s="5" t="str">
        <f>IFERROR(VLOOKUP(Consulta1[[#This Row],[Pozo largo]],'Lista YPF'!$B$3:$C$358,2,FALSE),"NO")</f>
        <v>NO</v>
      </c>
      <c r="J2361" s="5" t="str">
        <f>IFERROR(VLOOKUP(Consulta1[[#This Row],[Pozo]],'Lista Oportunidades'!B:C,2,FALSE),"NO")</f>
        <v>NO</v>
      </c>
      <c r="K2361" s="5">
        <f>IFERROR(VLOOKUP(Consulta1[[#This Row],[Pozo largo]],Controles!B:H,7,FALSE),"NO")</f>
        <v>0.51500000000000001</v>
      </c>
      <c r="L2361" s="5">
        <f>IFERROR(VLOOKUP(Consulta1[[#This Row],[Pozo largo]],Controles!B:J,9,FALSE),"NO")</f>
        <v>0</v>
      </c>
    </row>
    <row r="2362" spans="2:12" x14ac:dyDescent="0.35">
      <c r="B2362" s="4" t="s">
        <v>4523</v>
      </c>
      <c r="C2362" s="4" t="s">
        <v>8070</v>
      </c>
      <c r="D2362" s="4" t="s">
        <v>5</v>
      </c>
      <c r="E2362" s="4" t="s">
        <v>6</v>
      </c>
      <c r="F2362" s="4" t="s">
        <v>83</v>
      </c>
      <c r="G2362" s="4" t="s">
        <v>5718</v>
      </c>
      <c r="H2362" s="4" t="s">
        <v>9</v>
      </c>
      <c r="I2362" s="5" t="str">
        <f>IFERROR(VLOOKUP(Consulta1[[#This Row],[Pozo largo]],'Lista YPF'!$B$3:$C$358,2,FALSE),"NO")</f>
        <v>En lista de Abandono</v>
      </c>
      <c r="J2362" s="5" t="str">
        <f>IFERROR(VLOOKUP(Consulta1[[#This Row],[Pozo]],'Lista Oportunidades'!B:C,2,FALSE),"NO")</f>
        <v>NO</v>
      </c>
      <c r="K2362" s="5">
        <f>IFERROR(VLOOKUP(Consulta1[[#This Row],[Pozo largo]],Controles!B:H,7,FALSE),"NO")</f>
        <v>1.62</v>
      </c>
      <c r="L2362" s="5">
        <f>IFERROR(VLOOKUP(Consulta1[[#This Row],[Pozo largo]],Controles!B:J,9,FALSE),"NO")</f>
        <v>0</v>
      </c>
    </row>
    <row r="2363" spans="2:12" x14ac:dyDescent="0.35">
      <c r="B2363" s="4" t="s">
        <v>4525</v>
      </c>
      <c r="C2363" s="4" t="s">
        <v>8071</v>
      </c>
      <c r="D2363" s="4" t="s">
        <v>5</v>
      </c>
      <c r="E2363" s="4" t="s">
        <v>12</v>
      </c>
      <c r="F2363" s="4" t="s">
        <v>7</v>
      </c>
      <c r="G2363" s="4" t="s">
        <v>13</v>
      </c>
      <c r="H2363" s="4" t="s">
        <v>9</v>
      </c>
      <c r="I2363" s="5" t="str">
        <f>IFERROR(VLOOKUP(Consulta1[[#This Row],[Pozo largo]],'Lista YPF'!$B$3:$C$358,2,FALSE),"NO")</f>
        <v>NO</v>
      </c>
      <c r="J2363" s="5" t="str">
        <f>IFERROR(VLOOKUP(Consulta1[[#This Row],[Pozo]],'Lista Oportunidades'!B:C,2,FALSE),"NO")</f>
        <v>NO</v>
      </c>
      <c r="K2363" s="5">
        <f>IFERROR(VLOOKUP(Consulta1[[#This Row],[Pozo largo]],Controles!B:H,7,FALSE),"NO")</f>
        <v>0.93</v>
      </c>
      <c r="L2363" s="5">
        <f>IFERROR(VLOOKUP(Consulta1[[#This Row],[Pozo largo]],Controles!B:J,9,FALSE),"NO")</f>
        <v>0</v>
      </c>
    </row>
    <row r="2364" spans="2:12" x14ac:dyDescent="0.35">
      <c r="B2364" s="4" t="s">
        <v>4527</v>
      </c>
      <c r="C2364" s="4" t="s">
        <v>8072</v>
      </c>
      <c r="D2364" s="4" t="s">
        <v>5</v>
      </c>
      <c r="E2364" s="4" t="s">
        <v>57</v>
      </c>
      <c r="F2364" s="4" t="s">
        <v>7</v>
      </c>
      <c r="G2364" s="4" t="s">
        <v>5718</v>
      </c>
      <c r="H2364" s="4" t="s">
        <v>149</v>
      </c>
      <c r="I2364" s="5" t="str">
        <f>IFERROR(VLOOKUP(Consulta1[[#This Row],[Pozo largo]],'Lista YPF'!$B$3:$C$358,2,FALSE),"NO")</f>
        <v>En lista de Abandono</v>
      </c>
      <c r="J2364" s="5" t="str">
        <f>IFERROR(VLOOKUP(Consulta1[[#This Row],[Pozo]],'Lista Oportunidades'!B:C,2,FALSE),"NO")</f>
        <v>NO</v>
      </c>
      <c r="K2364" s="5">
        <f>IFERROR(VLOOKUP(Consulta1[[#This Row],[Pozo largo]],Controles!B:H,7,FALSE),"NO")</f>
        <v>1.32</v>
      </c>
      <c r="L2364" s="5">
        <f>IFERROR(VLOOKUP(Consulta1[[#This Row],[Pozo largo]],Controles!B:J,9,FALSE),"NO")</f>
        <v>0</v>
      </c>
    </row>
    <row r="2365" spans="2:12" x14ac:dyDescent="0.35">
      <c r="B2365" s="4" t="s">
        <v>4529</v>
      </c>
      <c r="C2365" s="4" t="s">
        <v>8073</v>
      </c>
      <c r="D2365" s="4" t="s">
        <v>5</v>
      </c>
      <c r="E2365" s="4" t="s">
        <v>57</v>
      </c>
      <c r="F2365" s="4" t="s">
        <v>7</v>
      </c>
      <c r="G2365" s="4" t="s">
        <v>5718</v>
      </c>
      <c r="H2365" s="4" t="s">
        <v>21</v>
      </c>
      <c r="I2365" s="5" t="str">
        <f>IFERROR(VLOOKUP(Consulta1[[#This Row],[Pozo largo]],'Lista YPF'!$B$3:$C$358,2,FALSE),"NO")</f>
        <v>En lista de Abandono</v>
      </c>
      <c r="J2365" s="5" t="str">
        <f>IFERROR(VLOOKUP(Consulta1[[#This Row],[Pozo]],'Lista Oportunidades'!B:C,2,FALSE),"NO")</f>
        <v>NO</v>
      </c>
      <c r="K2365" s="5">
        <f>IFERROR(VLOOKUP(Consulta1[[#This Row],[Pozo largo]],Controles!B:H,7,FALSE),"NO")</f>
        <v>0.66</v>
      </c>
      <c r="L2365" s="5">
        <f>IFERROR(VLOOKUP(Consulta1[[#This Row],[Pozo largo]],Controles!B:J,9,FALSE),"NO")</f>
        <v>0</v>
      </c>
    </row>
    <row r="2366" spans="2:12" x14ac:dyDescent="0.35">
      <c r="B2366" s="4" t="s">
        <v>4531</v>
      </c>
      <c r="C2366" s="4" t="s">
        <v>8074</v>
      </c>
      <c r="D2366" s="4" t="s">
        <v>5</v>
      </c>
      <c r="E2366" s="4" t="s">
        <v>12</v>
      </c>
      <c r="F2366" s="4" t="s">
        <v>7</v>
      </c>
      <c r="G2366" s="4" t="s">
        <v>13</v>
      </c>
      <c r="H2366" s="4" t="s">
        <v>185</v>
      </c>
      <c r="I2366" s="5" t="str">
        <f>IFERROR(VLOOKUP(Consulta1[[#This Row],[Pozo largo]],'Lista YPF'!$B$3:$C$358,2,FALSE),"NO")</f>
        <v>NO</v>
      </c>
      <c r="J2366" s="5" t="str">
        <f>IFERROR(VLOOKUP(Consulta1[[#This Row],[Pozo]],'Lista Oportunidades'!B:C,2,FALSE),"NO")</f>
        <v>NO</v>
      </c>
      <c r="K2366" s="5">
        <f>IFERROR(VLOOKUP(Consulta1[[#This Row],[Pozo largo]],Controles!B:H,7,FALSE),"NO")</f>
        <v>0.90800000000000003</v>
      </c>
      <c r="L2366" s="5">
        <f>IFERROR(VLOOKUP(Consulta1[[#This Row],[Pozo largo]],Controles!B:J,9,FALSE),"NO")</f>
        <v>0</v>
      </c>
    </row>
    <row r="2367" spans="2:12" x14ac:dyDescent="0.35">
      <c r="B2367" s="4" t="s">
        <v>4533</v>
      </c>
      <c r="C2367" s="4" t="s">
        <v>8075</v>
      </c>
      <c r="D2367" s="4" t="s">
        <v>5</v>
      </c>
      <c r="E2367" s="4" t="s">
        <v>12</v>
      </c>
      <c r="F2367" s="4" t="s">
        <v>7</v>
      </c>
      <c r="G2367" s="4" t="s">
        <v>13</v>
      </c>
      <c r="H2367" s="4" t="s">
        <v>36</v>
      </c>
      <c r="I2367" s="5" t="str">
        <f>IFERROR(VLOOKUP(Consulta1[[#This Row],[Pozo largo]],'Lista YPF'!$B$3:$C$358,2,FALSE),"NO")</f>
        <v>NO</v>
      </c>
      <c r="J2367" s="5" t="str">
        <f>IFERROR(VLOOKUP(Consulta1[[#This Row],[Pozo]],'Lista Oportunidades'!B:C,2,FALSE),"NO")</f>
        <v>NO</v>
      </c>
      <c r="K2367" s="5">
        <f>IFERROR(VLOOKUP(Consulta1[[#This Row],[Pozo largo]],Controles!B:H,7,FALSE),"NO")</f>
        <v>1.52</v>
      </c>
      <c r="L2367" s="5">
        <f>IFERROR(VLOOKUP(Consulta1[[#This Row],[Pozo largo]],Controles!B:J,9,FALSE),"NO")</f>
        <v>0</v>
      </c>
    </row>
    <row r="2368" spans="2:12" x14ac:dyDescent="0.35">
      <c r="B2368" s="4" t="s">
        <v>4535</v>
      </c>
      <c r="C2368" s="4" t="s">
        <v>8076</v>
      </c>
      <c r="D2368" s="4" t="s">
        <v>5</v>
      </c>
      <c r="E2368" s="4" t="s">
        <v>12</v>
      </c>
      <c r="F2368" s="4" t="s">
        <v>7</v>
      </c>
      <c r="G2368" s="4" t="s">
        <v>13</v>
      </c>
      <c r="H2368" s="4" t="s">
        <v>185</v>
      </c>
      <c r="I2368" s="5" t="str">
        <f>IFERROR(VLOOKUP(Consulta1[[#This Row],[Pozo largo]],'Lista YPF'!$B$3:$C$358,2,FALSE),"NO")</f>
        <v>NO</v>
      </c>
      <c r="J2368" s="5" t="str">
        <f>IFERROR(VLOOKUP(Consulta1[[#This Row],[Pozo]],'Lista Oportunidades'!B:C,2,FALSE),"NO")</f>
        <v>NO</v>
      </c>
      <c r="K2368" s="5">
        <f>IFERROR(VLOOKUP(Consulta1[[#This Row],[Pozo largo]],Controles!B:H,7,FALSE),"NO")</f>
        <v>2.38</v>
      </c>
      <c r="L2368" s="5">
        <f>IFERROR(VLOOKUP(Consulta1[[#This Row],[Pozo largo]],Controles!B:J,9,FALSE),"NO")</f>
        <v>0</v>
      </c>
    </row>
    <row r="2369" spans="2:12" x14ac:dyDescent="0.35">
      <c r="B2369" s="4" t="s">
        <v>4537</v>
      </c>
      <c r="C2369" s="4" t="s">
        <v>8077</v>
      </c>
      <c r="D2369" s="4" t="s">
        <v>5</v>
      </c>
      <c r="E2369" s="4" t="s">
        <v>12</v>
      </c>
      <c r="F2369" s="4" t="s">
        <v>7</v>
      </c>
      <c r="G2369" s="4" t="s">
        <v>13</v>
      </c>
      <c r="H2369" s="4" t="s">
        <v>185</v>
      </c>
      <c r="I2369" s="5" t="str">
        <f>IFERROR(VLOOKUP(Consulta1[[#This Row],[Pozo largo]],'Lista YPF'!$B$3:$C$358,2,FALSE),"NO")</f>
        <v>NO</v>
      </c>
      <c r="J2369" s="5" t="str">
        <f>IFERROR(VLOOKUP(Consulta1[[#This Row],[Pozo]],'Lista Oportunidades'!B:C,2,FALSE),"NO")</f>
        <v>NO</v>
      </c>
      <c r="K2369" s="5">
        <f>IFERROR(VLOOKUP(Consulta1[[#This Row],[Pozo largo]],Controles!B:H,7,FALSE),"NO")</f>
        <v>3.04</v>
      </c>
      <c r="L2369" s="5">
        <f>IFERROR(VLOOKUP(Consulta1[[#This Row],[Pozo largo]],Controles!B:J,9,FALSE),"NO")</f>
        <v>0</v>
      </c>
    </row>
    <row r="2370" spans="2:12" x14ac:dyDescent="0.35">
      <c r="B2370" s="4" t="s">
        <v>4539</v>
      </c>
      <c r="C2370" s="4" t="s">
        <v>8078</v>
      </c>
      <c r="D2370" s="4" t="s">
        <v>5</v>
      </c>
      <c r="E2370" s="4" t="s">
        <v>24</v>
      </c>
      <c r="F2370" s="4" t="s">
        <v>7</v>
      </c>
      <c r="G2370" s="4" t="s">
        <v>8</v>
      </c>
      <c r="H2370" s="4" t="s">
        <v>141</v>
      </c>
      <c r="I2370" s="5" t="str">
        <f>IFERROR(VLOOKUP(Consulta1[[#This Row],[Pozo largo]],'Lista YPF'!$B$3:$C$358,2,FALSE),"NO")</f>
        <v>NO</v>
      </c>
      <c r="J2370" s="5" t="str">
        <f>IFERROR(VLOOKUP(Consulta1[[#This Row],[Pozo]],'Lista Oportunidades'!B:C,2,FALSE),"NO")</f>
        <v>NO</v>
      </c>
      <c r="K2370" s="5">
        <f>IFERROR(VLOOKUP(Consulta1[[#This Row],[Pozo largo]],Controles!B:H,7,FALSE),"NO")</f>
        <v>0.18</v>
      </c>
      <c r="L2370" s="5">
        <f>IFERROR(VLOOKUP(Consulta1[[#This Row],[Pozo largo]],Controles!B:J,9,FALSE),"NO")</f>
        <v>0</v>
      </c>
    </row>
    <row r="2371" spans="2:12" x14ac:dyDescent="0.35">
      <c r="B2371" s="4" t="s">
        <v>4541</v>
      </c>
      <c r="C2371" s="4" t="s">
        <v>8079</v>
      </c>
      <c r="D2371" s="4" t="s">
        <v>5</v>
      </c>
      <c r="E2371" s="4" t="s">
        <v>12</v>
      </c>
      <c r="F2371" s="4" t="s">
        <v>7</v>
      </c>
      <c r="G2371" s="4" t="s">
        <v>13</v>
      </c>
      <c r="H2371" s="4" t="s">
        <v>185</v>
      </c>
      <c r="I2371" s="5" t="str">
        <f>IFERROR(VLOOKUP(Consulta1[[#This Row],[Pozo largo]],'Lista YPF'!$B$3:$C$358,2,FALSE),"NO")</f>
        <v>NO</v>
      </c>
      <c r="J2371" s="5" t="str">
        <f>IFERROR(VLOOKUP(Consulta1[[#This Row],[Pozo]],'Lista Oportunidades'!B:C,2,FALSE),"NO")</f>
        <v>NO</v>
      </c>
      <c r="K2371" s="5">
        <f>IFERROR(VLOOKUP(Consulta1[[#This Row],[Pozo largo]],Controles!B:H,7,FALSE),"NO")</f>
        <v>1.95</v>
      </c>
      <c r="L2371" s="5">
        <f>IFERROR(VLOOKUP(Consulta1[[#This Row],[Pozo largo]],Controles!B:J,9,FALSE),"NO")</f>
        <v>0</v>
      </c>
    </row>
    <row r="2372" spans="2:12" x14ac:dyDescent="0.35">
      <c r="B2372" s="4" t="s">
        <v>4543</v>
      </c>
      <c r="C2372" s="4" t="s">
        <v>8080</v>
      </c>
      <c r="D2372" s="4" t="s">
        <v>5</v>
      </c>
      <c r="E2372" s="4" t="s">
        <v>12</v>
      </c>
      <c r="F2372" s="4" t="s">
        <v>7</v>
      </c>
      <c r="G2372" s="4" t="s">
        <v>13</v>
      </c>
      <c r="H2372" s="4" t="s">
        <v>86</v>
      </c>
      <c r="I2372" s="5" t="str">
        <f>IFERROR(VLOOKUP(Consulta1[[#This Row],[Pozo largo]],'Lista YPF'!$B$3:$C$358,2,FALSE),"NO")</f>
        <v>NO</v>
      </c>
      <c r="J2372" s="5" t="str">
        <f>IFERROR(VLOOKUP(Consulta1[[#This Row],[Pozo]],'Lista Oportunidades'!B:C,2,FALSE),"NO")</f>
        <v>NO</v>
      </c>
      <c r="K2372" s="5">
        <f>IFERROR(VLOOKUP(Consulta1[[#This Row],[Pozo largo]],Controles!B:H,7,FALSE),"NO")</f>
        <v>1.3440000000000001</v>
      </c>
      <c r="L2372" s="5">
        <f>IFERROR(VLOOKUP(Consulta1[[#This Row],[Pozo largo]],Controles!B:J,9,FALSE),"NO")</f>
        <v>0</v>
      </c>
    </row>
    <row r="2373" spans="2:12" x14ac:dyDescent="0.35">
      <c r="B2373" s="4" t="s">
        <v>4545</v>
      </c>
      <c r="C2373" s="4" t="s">
        <v>8081</v>
      </c>
      <c r="D2373" s="4" t="s">
        <v>5</v>
      </c>
      <c r="E2373" s="4" t="s">
        <v>12</v>
      </c>
      <c r="F2373" s="4" t="s">
        <v>7</v>
      </c>
      <c r="G2373" s="4" t="s">
        <v>13</v>
      </c>
      <c r="H2373" s="4" t="s">
        <v>260</v>
      </c>
      <c r="I2373" s="5" t="str">
        <f>IFERROR(VLOOKUP(Consulta1[[#This Row],[Pozo largo]],'Lista YPF'!$B$3:$C$358,2,FALSE),"NO")</f>
        <v>NO</v>
      </c>
      <c r="J2373" s="5" t="str">
        <f>IFERROR(VLOOKUP(Consulta1[[#This Row],[Pozo]],'Lista Oportunidades'!B:C,2,FALSE),"NO")</f>
        <v>NO</v>
      </c>
      <c r="K2373" s="5">
        <f>IFERROR(VLOOKUP(Consulta1[[#This Row],[Pozo largo]],Controles!B:H,7,FALSE),"NO")</f>
        <v>2.52</v>
      </c>
      <c r="L2373" s="5">
        <f>IFERROR(VLOOKUP(Consulta1[[#This Row],[Pozo largo]],Controles!B:J,9,FALSE),"NO")</f>
        <v>0</v>
      </c>
    </row>
    <row r="2374" spans="2:12" x14ac:dyDescent="0.35">
      <c r="B2374" s="4" t="s">
        <v>4547</v>
      </c>
      <c r="C2374" s="4" t="s">
        <v>8082</v>
      </c>
      <c r="D2374" s="4" t="s">
        <v>5</v>
      </c>
      <c r="E2374" s="4" t="s">
        <v>12</v>
      </c>
      <c r="F2374" s="4" t="s">
        <v>7</v>
      </c>
      <c r="G2374" s="4" t="s">
        <v>13</v>
      </c>
      <c r="H2374" s="4" t="s">
        <v>71</v>
      </c>
      <c r="I2374" s="5" t="str">
        <f>IFERROR(VLOOKUP(Consulta1[[#This Row],[Pozo largo]],'Lista YPF'!$B$3:$C$358,2,FALSE),"NO")</f>
        <v>NO</v>
      </c>
      <c r="J2374" s="5" t="str">
        <f>IFERROR(VLOOKUP(Consulta1[[#This Row],[Pozo]],'Lista Oportunidades'!B:C,2,FALSE),"NO")</f>
        <v>NO</v>
      </c>
      <c r="K2374" s="5">
        <f>IFERROR(VLOOKUP(Consulta1[[#This Row],[Pozo largo]],Controles!B:H,7,FALSE),"NO")</f>
        <v>1.2</v>
      </c>
      <c r="L2374" s="5">
        <f>IFERROR(VLOOKUP(Consulta1[[#This Row],[Pozo largo]],Controles!B:J,9,FALSE),"NO")</f>
        <v>0</v>
      </c>
    </row>
    <row r="2375" spans="2:12" x14ac:dyDescent="0.35">
      <c r="B2375" s="4" t="s">
        <v>4549</v>
      </c>
      <c r="C2375" s="4" t="s">
        <v>8083</v>
      </c>
      <c r="D2375" s="4" t="s">
        <v>5</v>
      </c>
      <c r="E2375" s="4" t="s">
        <v>12</v>
      </c>
      <c r="F2375" s="4" t="s">
        <v>25</v>
      </c>
      <c r="G2375" s="4" t="s">
        <v>13</v>
      </c>
      <c r="H2375" s="4" t="s">
        <v>185</v>
      </c>
      <c r="I2375" s="5" t="str">
        <f>IFERROR(VLOOKUP(Consulta1[[#This Row],[Pozo largo]],'Lista YPF'!$B$3:$C$358,2,FALSE),"NO")</f>
        <v>NO</v>
      </c>
      <c r="J2375" s="5" t="str">
        <f>IFERROR(VLOOKUP(Consulta1[[#This Row],[Pozo]],'Lista Oportunidades'!B:C,2,FALSE),"NO")</f>
        <v>NO</v>
      </c>
      <c r="K2375" s="5">
        <f>IFERROR(VLOOKUP(Consulta1[[#This Row],[Pozo largo]],Controles!B:H,7,FALSE),"NO")</f>
        <v>0.191</v>
      </c>
      <c r="L2375" s="5">
        <f>IFERROR(VLOOKUP(Consulta1[[#This Row],[Pozo largo]],Controles!B:J,9,FALSE),"NO")</f>
        <v>0</v>
      </c>
    </row>
    <row r="2376" spans="2:12" x14ac:dyDescent="0.35">
      <c r="B2376" s="4" t="s">
        <v>4551</v>
      </c>
      <c r="C2376" s="4" t="s">
        <v>8084</v>
      </c>
      <c r="D2376" s="4" t="s">
        <v>5</v>
      </c>
      <c r="E2376" s="4" t="s">
        <v>12</v>
      </c>
      <c r="F2376" s="4" t="s">
        <v>7</v>
      </c>
      <c r="G2376" s="4" t="s">
        <v>13</v>
      </c>
      <c r="H2376" s="4" t="s">
        <v>254</v>
      </c>
      <c r="I2376" s="5" t="str">
        <f>IFERROR(VLOOKUP(Consulta1[[#This Row],[Pozo largo]],'Lista YPF'!$B$3:$C$358,2,FALSE),"NO")</f>
        <v>NO</v>
      </c>
      <c r="J2376" s="5" t="str">
        <f>IFERROR(VLOOKUP(Consulta1[[#This Row],[Pozo]],'Lista Oportunidades'!B:C,2,FALSE),"NO")</f>
        <v>NO</v>
      </c>
      <c r="K2376" s="5">
        <f>IFERROR(VLOOKUP(Consulta1[[#This Row],[Pozo largo]],Controles!B:H,7,FALSE),"NO")</f>
        <v>1.5410000000000001</v>
      </c>
      <c r="L2376" s="5">
        <f>IFERROR(VLOOKUP(Consulta1[[#This Row],[Pozo largo]],Controles!B:J,9,FALSE),"NO")</f>
        <v>0</v>
      </c>
    </row>
    <row r="2377" spans="2:12" x14ac:dyDescent="0.35">
      <c r="B2377" s="4" t="s">
        <v>4553</v>
      </c>
      <c r="C2377" s="4" t="s">
        <v>8085</v>
      </c>
      <c r="D2377" s="4" t="s">
        <v>5</v>
      </c>
      <c r="E2377" s="4" t="s">
        <v>12</v>
      </c>
      <c r="F2377" s="4" t="s">
        <v>7</v>
      </c>
      <c r="G2377" s="4" t="s">
        <v>13</v>
      </c>
      <c r="H2377" s="4" t="s">
        <v>36</v>
      </c>
      <c r="I2377" s="5" t="str">
        <f>IFERROR(VLOOKUP(Consulta1[[#This Row],[Pozo largo]],'Lista YPF'!$B$3:$C$358,2,FALSE),"NO")</f>
        <v>NO</v>
      </c>
      <c r="J2377" s="5" t="str">
        <f>IFERROR(VLOOKUP(Consulta1[[#This Row],[Pozo]],'Lista Oportunidades'!B:C,2,FALSE),"NO")</f>
        <v>NO</v>
      </c>
      <c r="K2377" s="5">
        <f>IFERROR(VLOOKUP(Consulta1[[#This Row],[Pozo largo]],Controles!B:H,7,FALSE),"NO")</f>
        <v>0.24</v>
      </c>
      <c r="L2377" s="5">
        <f>IFERROR(VLOOKUP(Consulta1[[#This Row],[Pozo largo]],Controles!B:J,9,FALSE),"NO")</f>
        <v>0</v>
      </c>
    </row>
    <row r="2378" spans="2:12" x14ac:dyDescent="0.35">
      <c r="B2378" s="4" t="s">
        <v>4555</v>
      </c>
      <c r="C2378" s="4" t="s">
        <v>8086</v>
      </c>
      <c r="D2378" s="4" t="s">
        <v>5</v>
      </c>
      <c r="E2378" s="4" t="s">
        <v>12</v>
      </c>
      <c r="F2378" s="4" t="s">
        <v>7</v>
      </c>
      <c r="G2378" s="4" t="s">
        <v>13</v>
      </c>
      <c r="H2378" s="4" t="s">
        <v>86</v>
      </c>
      <c r="I2378" s="5" t="str">
        <f>IFERROR(VLOOKUP(Consulta1[[#This Row],[Pozo largo]],'Lista YPF'!$B$3:$C$358,2,FALSE),"NO")</f>
        <v>NO</v>
      </c>
      <c r="J2378" s="5" t="str">
        <f>IFERROR(VLOOKUP(Consulta1[[#This Row],[Pozo]],'Lista Oportunidades'!B:C,2,FALSE),"NO")</f>
        <v>NO</v>
      </c>
      <c r="K2378" s="5">
        <f>IFERROR(VLOOKUP(Consulta1[[#This Row],[Pozo largo]],Controles!B:H,7,FALSE),"NO")</f>
        <v>0.97500000000000009</v>
      </c>
      <c r="L2378" s="5">
        <f>IFERROR(VLOOKUP(Consulta1[[#This Row],[Pozo largo]],Controles!B:J,9,FALSE),"NO")</f>
        <v>0</v>
      </c>
    </row>
    <row r="2379" spans="2:12" x14ac:dyDescent="0.35">
      <c r="B2379" s="4" t="s">
        <v>4557</v>
      </c>
      <c r="C2379" s="4" t="s">
        <v>8087</v>
      </c>
      <c r="D2379" s="4" t="s">
        <v>5</v>
      </c>
      <c r="E2379" s="4" t="s">
        <v>12</v>
      </c>
      <c r="F2379" s="4" t="s">
        <v>7</v>
      </c>
      <c r="G2379" s="4" t="s">
        <v>13</v>
      </c>
      <c r="H2379" s="4" t="s">
        <v>21</v>
      </c>
      <c r="I2379" s="5" t="str">
        <f>IFERROR(VLOOKUP(Consulta1[[#This Row],[Pozo largo]],'Lista YPF'!$B$3:$C$358,2,FALSE),"NO")</f>
        <v>NO</v>
      </c>
      <c r="J2379" s="5" t="str">
        <f>IFERROR(VLOOKUP(Consulta1[[#This Row],[Pozo]],'Lista Oportunidades'!B:C,2,FALSE),"NO")</f>
        <v>NO</v>
      </c>
      <c r="K2379" s="5">
        <f>IFERROR(VLOOKUP(Consulta1[[#This Row],[Pozo largo]],Controles!B:H,7,FALSE),"NO")</f>
        <v>1.26</v>
      </c>
      <c r="L2379" s="5">
        <f>IFERROR(VLOOKUP(Consulta1[[#This Row],[Pozo largo]],Controles!B:J,9,FALSE),"NO")</f>
        <v>0</v>
      </c>
    </row>
    <row r="2380" spans="2:12" x14ac:dyDescent="0.35">
      <c r="B2380" s="4" t="s">
        <v>4559</v>
      </c>
      <c r="C2380" s="4" t="s">
        <v>8088</v>
      </c>
      <c r="D2380" s="4" t="s">
        <v>5</v>
      </c>
      <c r="E2380" s="4" t="s">
        <v>12</v>
      </c>
      <c r="F2380" s="4" t="s">
        <v>25</v>
      </c>
      <c r="G2380" s="4" t="s">
        <v>13</v>
      </c>
      <c r="H2380" s="4" t="s">
        <v>36</v>
      </c>
      <c r="I2380" s="5" t="str">
        <f>IFERROR(VLOOKUP(Consulta1[[#This Row],[Pozo largo]],'Lista YPF'!$B$3:$C$358,2,FALSE),"NO")</f>
        <v>NO</v>
      </c>
      <c r="J2380" s="5" t="str">
        <f>IFERROR(VLOOKUP(Consulta1[[#This Row],[Pozo]],'Lista Oportunidades'!B:C,2,FALSE),"NO")</f>
        <v>NO</v>
      </c>
      <c r="K2380" s="5">
        <f>IFERROR(VLOOKUP(Consulta1[[#This Row],[Pozo largo]],Controles!B:H,7,FALSE),"NO")</f>
        <v>9.5000000000000001E-2</v>
      </c>
      <c r="L2380" s="5">
        <f>IFERROR(VLOOKUP(Consulta1[[#This Row],[Pozo largo]],Controles!B:J,9,FALSE),"NO")</f>
        <v>0</v>
      </c>
    </row>
    <row r="2381" spans="2:12" x14ac:dyDescent="0.35">
      <c r="B2381" s="4" t="s">
        <v>4561</v>
      </c>
      <c r="C2381" s="4" t="s">
        <v>8089</v>
      </c>
      <c r="D2381" s="4" t="s">
        <v>5</v>
      </c>
      <c r="E2381" s="4" t="s">
        <v>30</v>
      </c>
      <c r="F2381" s="4" t="s">
        <v>31</v>
      </c>
      <c r="G2381" s="4" t="s">
        <v>32</v>
      </c>
      <c r="H2381" s="4" t="s">
        <v>80</v>
      </c>
      <c r="I2381" s="5" t="str">
        <f>IFERROR(VLOOKUP(Consulta1[[#This Row],[Pozo largo]],'Lista YPF'!$B$3:$C$358,2,FALSE),"NO")</f>
        <v>NO</v>
      </c>
      <c r="J2381" s="5" t="str">
        <f>IFERROR(VLOOKUP(Consulta1[[#This Row],[Pozo]],'Lista Oportunidades'!B:C,2,FALSE),"NO")</f>
        <v>NO</v>
      </c>
      <c r="K2381" s="5">
        <f>IFERROR(VLOOKUP(Consulta1[[#This Row],[Pozo largo]],Controles!B:H,7,FALSE),"NO")</f>
        <v>9.6000000000000002E-2</v>
      </c>
      <c r="L2381" s="5">
        <f>IFERROR(VLOOKUP(Consulta1[[#This Row],[Pozo largo]],Controles!B:J,9,FALSE),"NO")</f>
        <v>0</v>
      </c>
    </row>
    <row r="2382" spans="2:12" x14ac:dyDescent="0.35">
      <c r="B2382" s="4" t="s">
        <v>4563</v>
      </c>
      <c r="C2382" s="4" t="s">
        <v>8090</v>
      </c>
      <c r="D2382" s="4" t="s">
        <v>5</v>
      </c>
      <c r="E2382" s="4" t="s">
        <v>12</v>
      </c>
      <c r="F2382" s="4" t="s">
        <v>7</v>
      </c>
      <c r="G2382" s="4" t="s">
        <v>13</v>
      </c>
      <c r="H2382" s="4" t="s">
        <v>21</v>
      </c>
      <c r="I2382" s="5" t="str">
        <f>IFERROR(VLOOKUP(Consulta1[[#This Row],[Pozo largo]],'Lista YPF'!$B$3:$C$358,2,FALSE),"NO")</f>
        <v>NO</v>
      </c>
      <c r="J2382" s="5" t="str">
        <f>IFERROR(VLOOKUP(Consulta1[[#This Row],[Pozo]],'Lista Oportunidades'!B:C,2,FALSE),"NO")</f>
        <v>NO</v>
      </c>
      <c r="K2382" s="5">
        <f>IFERROR(VLOOKUP(Consulta1[[#This Row],[Pozo largo]],Controles!B:H,7,FALSE),"NO")</f>
        <v>2.94</v>
      </c>
      <c r="L2382" s="5">
        <f>IFERROR(VLOOKUP(Consulta1[[#This Row],[Pozo largo]],Controles!B:J,9,FALSE),"NO")</f>
        <v>0</v>
      </c>
    </row>
    <row r="2383" spans="2:12" x14ac:dyDescent="0.35">
      <c r="B2383" s="4" t="s">
        <v>4565</v>
      </c>
      <c r="C2383" s="4" t="s">
        <v>8091</v>
      </c>
      <c r="D2383" s="4" t="s">
        <v>5</v>
      </c>
      <c r="E2383" s="4" t="s">
        <v>12</v>
      </c>
      <c r="F2383" s="4" t="s">
        <v>7</v>
      </c>
      <c r="G2383" s="4" t="s">
        <v>13</v>
      </c>
      <c r="H2383" s="4" t="s">
        <v>141</v>
      </c>
      <c r="I2383" s="5" t="str">
        <f>IFERROR(VLOOKUP(Consulta1[[#This Row],[Pozo largo]],'Lista YPF'!$B$3:$C$358,2,FALSE),"NO")</f>
        <v>NO</v>
      </c>
      <c r="J2383" s="5" t="str">
        <f>IFERROR(VLOOKUP(Consulta1[[#This Row],[Pozo]],'Lista Oportunidades'!B:C,2,FALSE),"NO")</f>
        <v>NO</v>
      </c>
      <c r="K2383" s="5">
        <f>IFERROR(VLOOKUP(Consulta1[[#This Row],[Pozo largo]],Controles!B:H,7,FALSE),"NO")</f>
        <v>1.56</v>
      </c>
      <c r="L2383" s="5">
        <f>IFERROR(VLOOKUP(Consulta1[[#This Row],[Pozo largo]],Controles!B:J,9,FALSE),"NO")</f>
        <v>0</v>
      </c>
    </row>
    <row r="2384" spans="2:12" x14ac:dyDescent="0.35">
      <c r="B2384" s="4" t="s">
        <v>4567</v>
      </c>
      <c r="C2384" s="4" t="s">
        <v>8092</v>
      </c>
      <c r="D2384" s="4" t="s">
        <v>5</v>
      </c>
      <c r="E2384" s="4" t="s">
        <v>12</v>
      </c>
      <c r="F2384" s="4" t="s">
        <v>25</v>
      </c>
      <c r="G2384" s="4" t="s">
        <v>13</v>
      </c>
      <c r="H2384" s="4" t="s">
        <v>21</v>
      </c>
      <c r="I2384" s="5" t="str">
        <f>IFERROR(VLOOKUP(Consulta1[[#This Row],[Pozo largo]],'Lista YPF'!$B$3:$C$358,2,FALSE),"NO")</f>
        <v>NO</v>
      </c>
      <c r="J2384" s="5" t="str">
        <f>IFERROR(VLOOKUP(Consulta1[[#This Row],[Pozo]],'Lista Oportunidades'!B:C,2,FALSE),"NO")</f>
        <v>NO</v>
      </c>
      <c r="K2384" s="5">
        <f>IFERROR(VLOOKUP(Consulta1[[#This Row],[Pozo largo]],Controles!B:H,7,FALSE),"NO")</f>
        <v>0.125</v>
      </c>
      <c r="L2384" s="5">
        <f>IFERROR(VLOOKUP(Consulta1[[#This Row],[Pozo largo]],Controles!B:J,9,FALSE),"NO")</f>
        <v>0</v>
      </c>
    </row>
    <row r="2385" spans="2:12" x14ac:dyDescent="0.35">
      <c r="B2385" s="4" t="s">
        <v>4569</v>
      </c>
      <c r="C2385" s="4" t="s">
        <v>8093</v>
      </c>
      <c r="D2385" s="4" t="s">
        <v>5</v>
      </c>
      <c r="E2385" s="4" t="s">
        <v>30</v>
      </c>
      <c r="F2385" s="4" t="s">
        <v>31</v>
      </c>
      <c r="G2385" s="4" t="s">
        <v>32</v>
      </c>
      <c r="H2385" s="4" t="s">
        <v>21</v>
      </c>
      <c r="I2385" s="5" t="str">
        <f>IFERROR(VLOOKUP(Consulta1[[#This Row],[Pozo largo]],'Lista YPF'!$B$3:$C$358,2,FALSE),"NO")</f>
        <v>NO</v>
      </c>
      <c r="J2385" s="5" t="str">
        <f>IFERROR(VLOOKUP(Consulta1[[#This Row],[Pozo]],'Lista Oportunidades'!B:C,2,FALSE),"NO")</f>
        <v>NO</v>
      </c>
      <c r="K2385" s="5" t="str">
        <f>IFERROR(VLOOKUP(Consulta1[[#This Row],[Pozo largo]],Controles!B:H,7,FALSE),"NO")</f>
        <v>NO</v>
      </c>
      <c r="L2385" s="5" t="str">
        <f>IFERROR(VLOOKUP(Consulta1[[#This Row],[Pozo largo]],Controles!B:J,9,FALSE),"NO")</f>
        <v>NO</v>
      </c>
    </row>
    <row r="2386" spans="2:12" x14ac:dyDescent="0.35">
      <c r="B2386" s="4" t="s">
        <v>4570</v>
      </c>
      <c r="C2386" s="4" t="s">
        <v>8094</v>
      </c>
      <c r="D2386" s="4" t="s">
        <v>5</v>
      </c>
      <c r="E2386" s="4" t="s">
        <v>12</v>
      </c>
      <c r="F2386" s="4" t="s">
        <v>7</v>
      </c>
      <c r="G2386" s="4" t="s">
        <v>13</v>
      </c>
      <c r="H2386" s="4" t="s">
        <v>21</v>
      </c>
      <c r="I2386" s="5" t="str">
        <f>IFERROR(VLOOKUP(Consulta1[[#This Row],[Pozo largo]],'Lista YPF'!$B$3:$C$358,2,FALSE),"NO")</f>
        <v>NO</v>
      </c>
      <c r="J2386" s="5" t="str">
        <f>IFERROR(VLOOKUP(Consulta1[[#This Row],[Pozo]],'Lista Oportunidades'!B:C,2,FALSE),"NO")</f>
        <v>NO</v>
      </c>
      <c r="K2386" s="5">
        <f>IFERROR(VLOOKUP(Consulta1[[#This Row],[Pozo largo]],Controles!B:H,7,FALSE),"NO")</f>
        <v>1.242</v>
      </c>
      <c r="L2386" s="5">
        <f>IFERROR(VLOOKUP(Consulta1[[#This Row],[Pozo largo]],Controles!B:J,9,FALSE),"NO")</f>
        <v>0</v>
      </c>
    </row>
    <row r="2387" spans="2:12" x14ac:dyDescent="0.35">
      <c r="B2387" s="4" t="s">
        <v>4572</v>
      </c>
      <c r="C2387" s="4" t="s">
        <v>8095</v>
      </c>
      <c r="D2387" s="4" t="s">
        <v>5</v>
      </c>
      <c r="E2387" s="4" t="s">
        <v>6</v>
      </c>
      <c r="F2387" s="4" t="s">
        <v>28</v>
      </c>
      <c r="G2387" s="4" t="s">
        <v>5718</v>
      </c>
      <c r="H2387" s="4" t="s">
        <v>86</v>
      </c>
      <c r="I2387" s="5" t="str">
        <f>IFERROR(VLOOKUP(Consulta1[[#This Row],[Pozo largo]],'Lista YPF'!$B$3:$C$358,2,FALSE),"NO")</f>
        <v>En lista de Abandono</v>
      </c>
      <c r="J2387" s="5" t="str">
        <f>IFERROR(VLOOKUP(Consulta1[[#This Row],[Pozo]],'Lista Oportunidades'!B:C,2,FALSE),"NO")</f>
        <v>NO</v>
      </c>
      <c r="K2387" s="5">
        <f>IFERROR(VLOOKUP(Consulta1[[#This Row],[Pozo largo]],Controles!B:H,7,FALSE),"NO")</f>
        <v>0</v>
      </c>
      <c r="L2387" s="5">
        <f>IFERROR(VLOOKUP(Consulta1[[#This Row],[Pozo largo]],Controles!B:J,9,FALSE),"NO")</f>
        <v>0</v>
      </c>
    </row>
    <row r="2388" spans="2:12" x14ac:dyDescent="0.35">
      <c r="B2388" s="4" t="s">
        <v>4574</v>
      </c>
      <c r="C2388" s="4" t="s">
        <v>8096</v>
      </c>
      <c r="D2388" s="4" t="s">
        <v>5</v>
      </c>
      <c r="E2388" s="4" t="s">
        <v>24</v>
      </c>
      <c r="F2388" s="4" t="s">
        <v>7</v>
      </c>
      <c r="G2388" s="4" t="s">
        <v>8</v>
      </c>
      <c r="H2388" s="4" t="s">
        <v>21</v>
      </c>
      <c r="I2388" s="5" t="str">
        <f>IFERROR(VLOOKUP(Consulta1[[#This Row],[Pozo largo]],'Lista YPF'!$B$3:$C$358,2,FALSE),"NO")</f>
        <v>NO</v>
      </c>
      <c r="J2388" s="5" t="str">
        <f>IFERROR(VLOOKUP(Consulta1[[#This Row],[Pozo]],'Lista Oportunidades'!B:C,2,FALSE),"NO")</f>
        <v>NO</v>
      </c>
      <c r="K2388" s="5">
        <f>IFERROR(VLOOKUP(Consulta1[[#This Row],[Pozo largo]],Controles!B:H,7,FALSE),"NO")</f>
        <v>0.3</v>
      </c>
      <c r="L2388" s="5">
        <f>IFERROR(VLOOKUP(Consulta1[[#This Row],[Pozo largo]],Controles!B:J,9,FALSE),"NO")</f>
        <v>0</v>
      </c>
    </row>
    <row r="2389" spans="2:12" x14ac:dyDescent="0.35">
      <c r="B2389" s="4" t="s">
        <v>4576</v>
      </c>
      <c r="C2389" s="4" t="s">
        <v>8097</v>
      </c>
      <c r="D2389" s="4" t="s">
        <v>5</v>
      </c>
      <c r="E2389" s="4" t="s">
        <v>12</v>
      </c>
      <c r="F2389" s="4" t="s">
        <v>28</v>
      </c>
      <c r="G2389" s="4" t="s">
        <v>13</v>
      </c>
      <c r="H2389" s="4" t="s">
        <v>36</v>
      </c>
      <c r="I2389" s="5" t="str">
        <f>IFERROR(VLOOKUP(Consulta1[[#This Row],[Pozo largo]],'Lista YPF'!$B$3:$C$358,2,FALSE),"NO")</f>
        <v>NO</v>
      </c>
      <c r="J2389" s="5" t="str">
        <f>IFERROR(VLOOKUP(Consulta1[[#This Row],[Pozo]],'Lista Oportunidades'!B:C,2,FALSE),"NO")</f>
        <v>NO</v>
      </c>
      <c r="K2389" s="5">
        <f>IFERROR(VLOOKUP(Consulta1[[#This Row],[Pozo largo]],Controles!B:H,7,FALSE),"NO")</f>
        <v>0</v>
      </c>
      <c r="L2389" s="5">
        <f>IFERROR(VLOOKUP(Consulta1[[#This Row],[Pozo largo]],Controles!B:J,9,FALSE),"NO")</f>
        <v>0</v>
      </c>
    </row>
    <row r="2390" spans="2:12" x14ac:dyDescent="0.35">
      <c r="B2390" s="4" t="s">
        <v>4578</v>
      </c>
      <c r="C2390" s="4" t="s">
        <v>8098</v>
      </c>
      <c r="D2390" s="4" t="s">
        <v>5</v>
      </c>
      <c r="E2390" s="4" t="s">
        <v>12</v>
      </c>
      <c r="F2390" s="4" t="s">
        <v>25</v>
      </c>
      <c r="G2390" s="4" t="s">
        <v>13</v>
      </c>
      <c r="H2390" s="4" t="s">
        <v>33</v>
      </c>
      <c r="I2390" s="5" t="str">
        <f>IFERROR(VLOOKUP(Consulta1[[#This Row],[Pozo largo]],'Lista YPF'!$B$3:$C$358,2,FALSE),"NO")</f>
        <v>NO</v>
      </c>
      <c r="J2390" s="5" t="str">
        <f>IFERROR(VLOOKUP(Consulta1[[#This Row],[Pozo]],'Lista Oportunidades'!B:C,2,FALSE),"NO")</f>
        <v>NO</v>
      </c>
      <c r="K2390" s="5">
        <f>IFERROR(VLOOKUP(Consulta1[[#This Row],[Pozo largo]],Controles!B:H,7,FALSE),"NO")</f>
        <v>0.88200000000000001</v>
      </c>
      <c r="L2390" s="5" t="str">
        <f>IFERROR(VLOOKUP(Consulta1[[#This Row],[Pozo largo]],Controles!B:J,9,FALSE),"NO")</f>
        <v>Ultimos 6 meses</v>
      </c>
    </row>
    <row r="2391" spans="2:12" x14ac:dyDescent="0.35">
      <c r="B2391" s="4" t="s">
        <v>4580</v>
      </c>
      <c r="C2391" s="4" t="s">
        <v>8099</v>
      </c>
      <c r="D2391" s="4" t="s">
        <v>5</v>
      </c>
      <c r="E2391" s="4" t="s">
        <v>12</v>
      </c>
      <c r="F2391" s="4" t="s">
        <v>7</v>
      </c>
      <c r="G2391" s="4" t="s">
        <v>13</v>
      </c>
      <c r="H2391" s="4" t="s">
        <v>86</v>
      </c>
      <c r="I2391" s="5" t="str">
        <f>IFERROR(VLOOKUP(Consulta1[[#This Row],[Pozo largo]],'Lista YPF'!$B$3:$C$358,2,FALSE),"NO")</f>
        <v>NO</v>
      </c>
      <c r="J2391" s="5" t="str">
        <f>IFERROR(VLOOKUP(Consulta1[[#This Row],[Pozo]],'Lista Oportunidades'!B:C,2,FALSE),"NO")</f>
        <v>NO</v>
      </c>
      <c r="K2391" s="5">
        <f>IFERROR(VLOOKUP(Consulta1[[#This Row],[Pozo largo]],Controles!B:H,7,FALSE),"NO")</f>
        <v>1.3120000000000001</v>
      </c>
      <c r="L2391" s="5">
        <f>IFERROR(VLOOKUP(Consulta1[[#This Row],[Pozo largo]],Controles!B:J,9,FALSE),"NO")</f>
        <v>0</v>
      </c>
    </row>
    <row r="2392" spans="2:12" x14ac:dyDescent="0.35">
      <c r="B2392" s="4" t="s">
        <v>4582</v>
      </c>
      <c r="C2392" s="4" t="s">
        <v>5755</v>
      </c>
      <c r="D2392" s="4" t="s">
        <v>5</v>
      </c>
      <c r="E2392" s="4" t="s">
        <v>12</v>
      </c>
      <c r="F2392" s="4" t="s">
        <v>1151</v>
      </c>
      <c r="G2392" s="4" t="s">
        <v>13</v>
      </c>
      <c r="H2392" s="4" t="s">
        <v>16</v>
      </c>
      <c r="I2392" s="5" t="str">
        <f>IFERROR(VLOOKUP(Consulta1[[#This Row],[Pozo largo]],'Lista YPF'!$B$3:$C$358,2,FALSE),"NO")</f>
        <v>NO</v>
      </c>
      <c r="J2392" s="5" t="str">
        <f>IFERROR(VLOOKUP(Consulta1[[#This Row],[Pozo]],'Lista Oportunidades'!B:C,2,FALSE),"NO")</f>
        <v>Oportunidad</v>
      </c>
      <c r="K2392" s="5">
        <f>IFERROR(VLOOKUP(Consulta1[[#This Row],[Pozo largo]],Controles!B:H,7,FALSE),"NO")</f>
        <v>0.31</v>
      </c>
      <c r="L2392" s="5">
        <f>IFERROR(VLOOKUP(Consulta1[[#This Row],[Pozo largo]],Controles!B:J,9,FALSE),"NO")</f>
        <v>0</v>
      </c>
    </row>
    <row r="2393" spans="2:12" x14ac:dyDescent="0.35">
      <c r="B2393" s="4" t="s">
        <v>4584</v>
      </c>
      <c r="C2393" s="4" t="s">
        <v>8100</v>
      </c>
      <c r="D2393" s="4" t="s">
        <v>5</v>
      </c>
      <c r="E2393" s="4" t="s">
        <v>12</v>
      </c>
      <c r="F2393" s="4" t="s">
        <v>7</v>
      </c>
      <c r="G2393" s="4" t="s">
        <v>13</v>
      </c>
      <c r="H2393" s="4" t="s">
        <v>149</v>
      </c>
      <c r="I2393" s="5" t="str">
        <f>IFERROR(VLOOKUP(Consulta1[[#This Row],[Pozo largo]],'Lista YPF'!$B$3:$C$358,2,FALSE),"NO")</f>
        <v>NO</v>
      </c>
      <c r="J2393" s="5" t="str">
        <f>IFERROR(VLOOKUP(Consulta1[[#This Row],[Pozo]],'Lista Oportunidades'!B:C,2,FALSE),"NO")</f>
        <v>NO</v>
      </c>
      <c r="K2393" s="5">
        <f>IFERROR(VLOOKUP(Consulta1[[#This Row],[Pozo largo]],Controles!B:H,7,FALSE),"NO")</f>
        <v>0.8</v>
      </c>
      <c r="L2393" s="5">
        <f>IFERROR(VLOOKUP(Consulta1[[#This Row],[Pozo largo]],Controles!B:J,9,FALSE),"NO")</f>
        <v>0</v>
      </c>
    </row>
    <row r="2394" spans="2:12" x14ac:dyDescent="0.35">
      <c r="B2394" s="4" t="s">
        <v>4586</v>
      </c>
      <c r="C2394" s="4" t="s">
        <v>8101</v>
      </c>
      <c r="D2394" s="4" t="s">
        <v>5</v>
      </c>
      <c r="E2394" s="4" t="s">
        <v>12</v>
      </c>
      <c r="F2394" s="4" t="s">
        <v>7</v>
      </c>
      <c r="G2394" s="4" t="s">
        <v>13</v>
      </c>
      <c r="H2394" s="4" t="s">
        <v>9</v>
      </c>
      <c r="I2394" s="5" t="str">
        <f>IFERROR(VLOOKUP(Consulta1[[#This Row],[Pozo largo]],'Lista YPF'!$B$3:$C$358,2,FALSE),"NO")</f>
        <v>NO</v>
      </c>
      <c r="J2394" s="5" t="str">
        <f>IFERROR(VLOOKUP(Consulta1[[#This Row],[Pozo]],'Lista Oportunidades'!B:C,2,FALSE),"NO")</f>
        <v>NO</v>
      </c>
      <c r="K2394" s="5">
        <f>IFERROR(VLOOKUP(Consulta1[[#This Row],[Pozo largo]],Controles!B:H,7,FALSE),"NO")</f>
        <v>1.25</v>
      </c>
      <c r="L2394" s="5">
        <f>IFERROR(VLOOKUP(Consulta1[[#This Row],[Pozo largo]],Controles!B:J,9,FALSE),"NO")</f>
        <v>0</v>
      </c>
    </row>
    <row r="2395" spans="2:12" x14ac:dyDescent="0.35">
      <c r="B2395" s="4" t="s">
        <v>4588</v>
      </c>
      <c r="C2395" s="4" t="s">
        <v>8102</v>
      </c>
      <c r="D2395" s="4" t="s">
        <v>5</v>
      </c>
      <c r="E2395" s="4" t="s">
        <v>57</v>
      </c>
      <c r="F2395" s="4" t="s">
        <v>7</v>
      </c>
      <c r="G2395" s="4" t="s">
        <v>5718</v>
      </c>
      <c r="H2395" s="4" t="s">
        <v>33</v>
      </c>
      <c r="I2395" s="5" t="str">
        <f>IFERROR(VLOOKUP(Consulta1[[#This Row],[Pozo largo]],'Lista YPF'!$B$3:$C$358,2,FALSE),"NO")</f>
        <v>En lista de Abandono</v>
      </c>
      <c r="J2395" s="5" t="str">
        <f>IFERROR(VLOOKUP(Consulta1[[#This Row],[Pozo]],'Lista Oportunidades'!B:C,2,FALSE),"NO")</f>
        <v>NO</v>
      </c>
      <c r="K2395" s="5">
        <f>IFERROR(VLOOKUP(Consulta1[[#This Row],[Pozo largo]],Controles!B:H,7,FALSE),"NO")</f>
        <v>0.6</v>
      </c>
      <c r="L2395" s="5">
        <f>IFERROR(VLOOKUP(Consulta1[[#This Row],[Pozo largo]],Controles!B:J,9,FALSE),"NO")</f>
        <v>0</v>
      </c>
    </row>
    <row r="2396" spans="2:12" x14ac:dyDescent="0.35">
      <c r="B2396" s="4" t="s">
        <v>4590</v>
      </c>
      <c r="C2396" s="4" t="s">
        <v>8103</v>
      </c>
      <c r="D2396" s="4" t="s">
        <v>5</v>
      </c>
      <c r="E2396" s="4" t="s">
        <v>12</v>
      </c>
      <c r="F2396" s="4" t="s">
        <v>25</v>
      </c>
      <c r="G2396" s="4" t="s">
        <v>13</v>
      </c>
      <c r="H2396" s="4" t="s">
        <v>86</v>
      </c>
      <c r="I2396" s="5" t="str">
        <f>IFERROR(VLOOKUP(Consulta1[[#This Row],[Pozo largo]],'Lista YPF'!$B$3:$C$358,2,FALSE),"NO")</f>
        <v>NO</v>
      </c>
      <c r="J2396" s="5" t="str">
        <f>IFERROR(VLOOKUP(Consulta1[[#This Row],[Pozo]],'Lista Oportunidades'!B:C,2,FALSE),"NO")</f>
        <v>NO</v>
      </c>
      <c r="K2396" s="5">
        <f>IFERROR(VLOOKUP(Consulta1[[#This Row],[Pozo largo]],Controles!B:H,7,FALSE),"NO")</f>
        <v>0.11900000000000001</v>
      </c>
      <c r="L2396" s="5">
        <f>IFERROR(VLOOKUP(Consulta1[[#This Row],[Pozo largo]],Controles!B:J,9,FALSE),"NO")</f>
        <v>0</v>
      </c>
    </row>
    <row r="2397" spans="2:12" x14ac:dyDescent="0.35">
      <c r="B2397" s="4" t="s">
        <v>4592</v>
      </c>
      <c r="C2397" s="4" t="s">
        <v>8104</v>
      </c>
      <c r="D2397" s="4" t="s">
        <v>5</v>
      </c>
      <c r="E2397" s="4" t="s">
        <v>12</v>
      </c>
      <c r="F2397" s="4" t="s">
        <v>28</v>
      </c>
      <c r="G2397" s="4" t="s">
        <v>13</v>
      </c>
      <c r="H2397" s="4" t="s">
        <v>86</v>
      </c>
      <c r="I2397" s="5" t="str">
        <f>IFERROR(VLOOKUP(Consulta1[[#This Row],[Pozo largo]],'Lista YPF'!$B$3:$C$358,2,FALSE),"NO")</f>
        <v>NO</v>
      </c>
      <c r="J2397" s="5" t="str">
        <f>IFERROR(VLOOKUP(Consulta1[[#This Row],[Pozo]],'Lista Oportunidades'!B:C,2,FALSE),"NO")</f>
        <v>NO</v>
      </c>
      <c r="K2397" s="5">
        <f>IFERROR(VLOOKUP(Consulta1[[#This Row],[Pozo largo]],Controles!B:H,7,FALSE),"NO")</f>
        <v>0</v>
      </c>
      <c r="L2397" s="5">
        <f>IFERROR(VLOOKUP(Consulta1[[#This Row],[Pozo largo]],Controles!B:J,9,FALSE),"NO")</f>
        <v>0</v>
      </c>
    </row>
    <row r="2398" spans="2:12" x14ac:dyDescent="0.35">
      <c r="B2398" s="4" t="s">
        <v>4594</v>
      </c>
      <c r="C2398" s="4" t="s">
        <v>8105</v>
      </c>
      <c r="D2398" s="4" t="s">
        <v>5</v>
      </c>
      <c r="E2398" s="4" t="s">
        <v>24</v>
      </c>
      <c r="F2398" s="4" t="s">
        <v>31</v>
      </c>
      <c r="G2398" s="4" t="s">
        <v>8</v>
      </c>
      <c r="H2398" s="4" t="s">
        <v>86</v>
      </c>
      <c r="I2398" s="5" t="str">
        <f>IFERROR(VLOOKUP(Consulta1[[#This Row],[Pozo largo]],'Lista YPF'!$B$3:$C$358,2,FALSE),"NO")</f>
        <v>NO</v>
      </c>
      <c r="J2398" s="5" t="str">
        <f>IFERROR(VLOOKUP(Consulta1[[#This Row],[Pozo]],'Lista Oportunidades'!B:C,2,FALSE),"NO")</f>
        <v>NO</v>
      </c>
      <c r="K2398" s="5">
        <f>IFERROR(VLOOKUP(Consulta1[[#This Row],[Pozo largo]],Controles!B:H,7,FALSE),"NO")</f>
        <v>0.54</v>
      </c>
      <c r="L2398" s="5">
        <f>IFERROR(VLOOKUP(Consulta1[[#This Row],[Pozo largo]],Controles!B:J,9,FALSE),"NO")</f>
        <v>0</v>
      </c>
    </row>
    <row r="2399" spans="2:12" x14ac:dyDescent="0.35">
      <c r="B2399" s="4" t="s">
        <v>4596</v>
      </c>
      <c r="C2399" s="4" t="s">
        <v>8106</v>
      </c>
      <c r="D2399" s="4" t="s">
        <v>5</v>
      </c>
      <c r="E2399" s="4" t="s">
        <v>6</v>
      </c>
      <c r="F2399" s="4" t="s">
        <v>28</v>
      </c>
      <c r="G2399" s="4" t="s">
        <v>5718</v>
      </c>
      <c r="H2399" s="4" t="s">
        <v>80</v>
      </c>
      <c r="I2399" s="5" t="str">
        <f>IFERROR(VLOOKUP(Consulta1[[#This Row],[Pozo largo]],'Lista YPF'!$B$3:$C$358,2,FALSE),"NO")</f>
        <v>En lista de Abandono</v>
      </c>
      <c r="J2399" s="5" t="str">
        <f>IFERROR(VLOOKUP(Consulta1[[#This Row],[Pozo]],'Lista Oportunidades'!B:C,2,FALSE),"NO")</f>
        <v>NO</v>
      </c>
      <c r="K2399" s="5">
        <f>IFERROR(VLOOKUP(Consulta1[[#This Row],[Pozo largo]],Controles!B:H,7,FALSE),"NO")</f>
        <v>0</v>
      </c>
      <c r="L2399" s="5">
        <f>IFERROR(VLOOKUP(Consulta1[[#This Row],[Pozo largo]],Controles!B:J,9,FALSE),"NO")</f>
        <v>0</v>
      </c>
    </row>
    <row r="2400" spans="2:12" x14ac:dyDescent="0.35">
      <c r="B2400" s="4" t="s">
        <v>4598</v>
      </c>
      <c r="C2400" s="4" t="s">
        <v>8107</v>
      </c>
      <c r="D2400" s="4" t="s">
        <v>5</v>
      </c>
      <c r="E2400" s="4" t="s">
        <v>12</v>
      </c>
      <c r="F2400" s="4" t="s">
        <v>7</v>
      </c>
      <c r="G2400" s="4" t="s">
        <v>13</v>
      </c>
      <c r="H2400" s="4" t="s">
        <v>9</v>
      </c>
      <c r="I2400" s="5" t="str">
        <f>IFERROR(VLOOKUP(Consulta1[[#This Row],[Pozo largo]],'Lista YPF'!$B$3:$C$358,2,FALSE),"NO")</f>
        <v>NO</v>
      </c>
      <c r="J2400" s="5" t="str">
        <f>IFERROR(VLOOKUP(Consulta1[[#This Row],[Pozo]],'Lista Oportunidades'!B:C,2,FALSE),"NO")</f>
        <v>NO</v>
      </c>
      <c r="K2400" s="5">
        <f>IFERROR(VLOOKUP(Consulta1[[#This Row],[Pozo largo]],Controles!B:H,7,FALSE),"NO")</f>
        <v>2.7</v>
      </c>
      <c r="L2400" s="5">
        <f>IFERROR(VLOOKUP(Consulta1[[#This Row],[Pozo largo]],Controles!B:J,9,FALSE),"NO")</f>
        <v>0</v>
      </c>
    </row>
    <row r="2401" spans="2:12" x14ac:dyDescent="0.35">
      <c r="B2401" s="4" t="s">
        <v>4600</v>
      </c>
      <c r="C2401" s="4" t="s">
        <v>8108</v>
      </c>
      <c r="D2401" s="4" t="s">
        <v>5</v>
      </c>
      <c r="E2401" s="4" t="s">
        <v>30</v>
      </c>
      <c r="F2401" s="4" t="s">
        <v>31</v>
      </c>
      <c r="G2401" s="4" t="s">
        <v>32</v>
      </c>
      <c r="H2401" s="4" t="s">
        <v>80</v>
      </c>
      <c r="I2401" s="5" t="str">
        <f>IFERROR(VLOOKUP(Consulta1[[#This Row],[Pozo largo]],'Lista YPF'!$B$3:$C$358,2,FALSE),"NO")</f>
        <v>NO</v>
      </c>
      <c r="J2401" s="5" t="str">
        <f>IFERROR(VLOOKUP(Consulta1[[#This Row],[Pozo]],'Lista Oportunidades'!B:C,2,FALSE),"NO")</f>
        <v>NO</v>
      </c>
      <c r="K2401" s="5">
        <f>IFERROR(VLOOKUP(Consulta1[[#This Row],[Pozo largo]],Controles!B:H,7,FALSE),"NO")</f>
        <v>0.03</v>
      </c>
      <c r="L2401" s="5">
        <f>IFERROR(VLOOKUP(Consulta1[[#This Row],[Pozo largo]],Controles!B:J,9,FALSE),"NO")</f>
        <v>0</v>
      </c>
    </row>
    <row r="2402" spans="2:12" x14ac:dyDescent="0.35">
      <c r="B2402" s="4" t="s">
        <v>4602</v>
      </c>
      <c r="C2402" s="4" t="s">
        <v>8109</v>
      </c>
      <c r="D2402" s="4" t="s">
        <v>5</v>
      </c>
      <c r="E2402" s="4" t="s">
        <v>4603</v>
      </c>
      <c r="F2402" s="4" t="s">
        <v>31</v>
      </c>
      <c r="G2402" s="4" t="s">
        <v>8</v>
      </c>
      <c r="H2402" s="4" t="s">
        <v>86</v>
      </c>
      <c r="I2402" s="5" t="str">
        <f>IFERROR(VLOOKUP(Consulta1[[#This Row],[Pozo largo]],'Lista YPF'!$B$3:$C$358,2,FALSE),"NO")</f>
        <v>NO</v>
      </c>
      <c r="J2402" s="5" t="str">
        <f>IFERROR(VLOOKUP(Consulta1[[#This Row],[Pozo]],'Lista Oportunidades'!B:C,2,FALSE),"NO")</f>
        <v>NO</v>
      </c>
      <c r="K2402" s="5" t="str">
        <f>IFERROR(VLOOKUP(Consulta1[[#This Row],[Pozo largo]],Controles!B:H,7,FALSE),"NO")</f>
        <v>NO</v>
      </c>
      <c r="L2402" s="5" t="str">
        <f>IFERROR(VLOOKUP(Consulta1[[#This Row],[Pozo largo]],Controles!B:J,9,FALSE),"NO")</f>
        <v>NO</v>
      </c>
    </row>
    <row r="2403" spans="2:12" x14ac:dyDescent="0.35">
      <c r="B2403" s="4" t="s">
        <v>4604</v>
      </c>
      <c r="C2403" s="4" t="s">
        <v>8110</v>
      </c>
      <c r="D2403" s="4" t="s">
        <v>5</v>
      </c>
      <c r="E2403" s="4" t="s">
        <v>24</v>
      </c>
      <c r="F2403" s="4" t="s">
        <v>7</v>
      </c>
      <c r="G2403" s="4" t="s">
        <v>8</v>
      </c>
      <c r="H2403" s="4" t="s">
        <v>86</v>
      </c>
      <c r="I2403" s="5" t="str">
        <f>IFERROR(VLOOKUP(Consulta1[[#This Row],[Pozo largo]],'Lista YPF'!$B$3:$C$358,2,FALSE),"NO")</f>
        <v>NO</v>
      </c>
      <c r="J2403" s="5" t="str">
        <f>IFERROR(VLOOKUP(Consulta1[[#This Row],[Pozo]],'Lista Oportunidades'!B:C,2,FALSE),"NO")</f>
        <v>NO</v>
      </c>
      <c r="K2403" s="5">
        <f>IFERROR(VLOOKUP(Consulta1[[#This Row],[Pozo largo]],Controles!B:H,7,FALSE),"NO")</f>
        <v>0.6</v>
      </c>
      <c r="L2403" s="5">
        <f>IFERROR(VLOOKUP(Consulta1[[#This Row],[Pozo largo]],Controles!B:J,9,FALSE),"NO")</f>
        <v>0</v>
      </c>
    </row>
    <row r="2404" spans="2:12" x14ac:dyDescent="0.35">
      <c r="B2404" s="4" t="s">
        <v>4606</v>
      </c>
      <c r="C2404" s="4" t="s">
        <v>8111</v>
      </c>
      <c r="D2404" s="4" t="s">
        <v>5</v>
      </c>
      <c r="E2404" s="4" t="s">
        <v>12</v>
      </c>
      <c r="F2404" s="4" t="s">
        <v>7</v>
      </c>
      <c r="G2404" s="4" t="s">
        <v>13</v>
      </c>
      <c r="H2404" s="4" t="s">
        <v>84</v>
      </c>
      <c r="I2404" s="5" t="str">
        <f>IFERROR(VLOOKUP(Consulta1[[#This Row],[Pozo largo]],'Lista YPF'!$B$3:$C$358,2,FALSE),"NO")</f>
        <v>NO</v>
      </c>
      <c r="J2404" s="5" t="str">
        <f>IFERROR(VLOOKUP(Consulta1[[#This Row],[Pozo]],'Lista Oportunidades'!B:C,2,FALSE),"NO")</f>
        <v>NO</v>
      </c>
      <c r="K2404" s="5">
        <f>IFERROR(VLOOKUP(Consulta1[[#This Row],[Pozo largo]],Controles!B:H,7,FALSE),"NO")</f>
        <v>1.5</v>
      </c>
      <c r="L2404" s="5">
        <f>IFERROR(VLOOKUP(Consulta1[[#This Row],[Pozo largo]],Controles!B:J,9,FALSE),"NO")</f>
        <v>0</v>
      </c>
    </row>
    <row r="2405" spans="2:12" x14ac:dyDescent="0.35">
      <c r="B2405" s="4" t="s">
        <v>4608</v>
      </c>
      <c r="C2405" s="4" t="s">
        <v>8112</v>
      </c>
      <c r="D2405" s="4" t="s">
        <v>5</v>
      </c>
      <c r="E2405" s="4" t="s">
        <v>12</v>
      </c>
      <c r="F2405" s="4" t="s">
        <v>83</v>
      </c>
      <c r="G2405" s="4" t="s">
        <v>13</v>
      </c>
      <c r="H2405" s="4" t="s">
        <v>86</v>
      </c>
      <c r="I2405" s="5" t="str">
        <f>IFERROR(VLOOKUP(Consulta1[[#This Row],[Pozo largo]],'Lista YPF'!$B$3:$C$358,2,FALSE),"NO")</f>
        <v>NO</v>
      </c>
      <c r="J2405" s="5" t="str">
        <f>IFERROR(VLOOKUP(Consulta1[[#This Row],[Pozo]],'Lista Oportunidades'!B:C,2,FALSE),"NO")</f>
        <v>NO</v>
      </c>
      <c r="K2405" s="5">
        <f>IFERROR(VLOOKUP(Consulta1[[#This Row],[Pozo largo]],Controles!B:H,7,FALSE),"NO")</f>
        <v>1.1120000000000001</v>
      </c>
      <c r="L2405" s="5">
        <f>IFERROR(VLOOKUP(Consulta1[[#This Row],[Pozo largo]],Controles!B:J,9,FALSE),"NO")</f>
        <v>0</v>
      </c>
    </row>
    <row r="2406" spans="2:12" x14ac:dyDescent="0.35">
      <c r="B2406" s="4" t="s">
        <v>4610</v>
      </c>
      <c r="C2406" s="4" t="s">
        <v>8113</v>
      </c>
      <c r="D2406" s="4" t="s">
        <v>5</v>
      </c>
      <c r="E2406" s="4" t="s">
        <v>12</v>
      </c>
      <c r="F2406" s="4" t="s">
        <v>7</v>
      </c>
      <c r="G2406" s="4" t="s">
        <v>13</v>
      </c>
      <c r="H2406" s="4" t="s">
        <v>86</v>
      </c>
      <c r="I2406" s="5" t="str">
        <f>IFERROR(VLOOKUP(Consulta1[[#This Row],[Pozo largo]],'Lista YPF'!$B$3:$C$358,2,FALSE),"NO")</f>
        <v>NO</v>
      </c>
      <c r="J2406" s="5" t="str">
        <f>IFERROR(VLOOKUP(Consulta1[[#This Row],[Pozo]],'Lista Oportunidades'!B:C,2,FALSE),"NO")</f>
        <v>NO</v>
      </c>
      <c r="K2406" s="5">
        <f>IFERROR(VLOOKUP(Consulta1[[#This Row],[Pozo largo]],Controles!B:H,7,FALSE),"NO")</f>
        <v>1.645</v>
      </c>
      <c r="L2406" s="5">
        <f>IFERROR(VLOOKUP(Consulta1[[#This Row],[Pozo largo]],Controles!B:J,9,FALSE),"NO")</f>
        <v>0</v>
      </c>
    </row>
    <row r="2407" spans="2:12" x14ac:dyDescent="0.35">
      <c r="B2407" s="4" t="s">
        <v>4612</v>
      </c>
      <c r="C2407" s="4" t="s">
        <v>8114</v>
      </c>
      <c r="D2407" s="4" t="s">
        <v>5</v>
      </c>
      <c r="E2407" s="4" t="s">
        <v>12</v>
      </c>
      <c r="F2407" s="4" t="s">
        <v>83</v>
      </c>
      <c r="G2407" s="4" t="s">
        <v>13</v>
      </c>
      <c r="H2407" s="4" t="s">
        <v>86</v>
      </c>
      <c r="I2407" s="5" t="str">
        <f>IFERROR(VLOOKUP(Consulta1[[#This Row],[Pozo largo]],'Lista YPF'!$B$3:$C$358,2,FALSE),"NO")</f>
        <v>NO</v>
      </c>
      <c r="J2407" s="5" t="str">
        <f>IFERROR(VLOOKUP(Consulta1[[#This Row],[Pozo]],'Lista Oportunidades'!B:C,2,FALSE),"NO")</f>
        <v>NO</v>
      </c>
      <c r="K2407" s="5">
        <f>IFERROR(VLOOKUP(Consulta1[[#This Row],[Pozo largo]],Controles!B:H,7,FALSE),"NO")</f>
        <v>0.114</v>
      </c>
      <c r="L2407" s="5">
        <f>IFERROR(VLOOKUP(Consulta1[[#This Row],[Pozo largo]],Controles!B:J,9,FALSE),"NO")</f>
        <v>0</v>
      </c>
    </row>
    <row r="2408" spans="2:12" x14ac:dyDescent="0.35">
      <c r="B2408" s="4" t="s">
        <v>4614</v>
      </c>
      <c r="C2408" s="4" t="s">
        <v>8115</v>
      </c>
      <c r="D2408" s="4" t="s">
        <v>5</v>
      </c>
      <c r="E2408" s="4" t="s">
        <v>30</v>
      </c>
      <c r="F2408" s="4" t="s">
        <v>31</v>
      </c>
      <c r="G2408" s="4" t="s">
        <v>32</v>
      </c>
      <c r="H2408" s="4" t="s">
        <v>86</v>
      </c>
      <c r="I2408" s="5" t="str">
        <f>IFERROR(VLOOKUP(Consulta1[[#This Row],[Pozo largo]],'Lista YPF'!$B$3:$C$358,2,FALSE),"NO")</f>
        <v>NO</v>
      </c>
      <c r="J2408" s="5" t="str">
        <f>IFERROR(VLOOKUP(Consulta1[[#This Row],[Pozo]],'Lista Oportunidades'!B:C,2,FALSE),"NO")</f>
        <v>NO</v>
      </c>
      <c r="K2408" s="5">
        <f>IFERROR(VLOOKUP(Consulta1[[#This Row],[Pozo largo]],Controles!B:H,7,FALSE),"NO")</f>
        <v>1.5000000000000001E-2</v>
      </c>
      <c r="L2408" s="5">
        <f>IFERROR(VLOOKUP(Consulta1[[#This Row],[Pozo largo]],Controles!B:J,9,FALSE),"NO")</f>
        <v>0</v>
      </c>
    </row>
    <row r="2409" spans="2:12" x14ac:dyDescent="0.35">
      <c r="B2409" s="4" t="s">
        <v>4616</v>
      </c>
      <c r="C2409" s="4" t="s">
        <v>8116</v>
      </c>
      <c r="D2409" s="4" t="s">
        <v>5</v>
      </c>
      <c r="E2409" s="4" t="s">
        <v>12</v>
      </c>
      <c r="F2409" s="4" t="s">
        <v>25</v>
      </c>
      <c r="G2409" s="4" t="s">
        <v>13</v>
      </c>
      <c r="H2409" s="4" t="s">
        <v>86</v>
      </c>
      <c r="I2409" s="5" t="str">
        <f>IFERROR(VLOOKUP(Consulta1[[#This Row],[Pozo largo]],'Lista YPF'!$B$3:$C$358,2,FALSE),"NO")</f>
        <v>NO</v>
      </c>
      <c r="J2409" s="5" t="str">
        <f>IFERROR(VLOOKUP(Consulta1[[#This Row],[Pozo]],'Lista Oportunidades'!B:C,2,FALSE),"NO")</f>
        <v>NO</v>
      </c>
      <c r="K2409" s="5">
        <f>IFERROR(VLOOKUP(Consulta1[[#This Row],[Pozo largo]],Controles!B:H,7,FALSE),"NO")</f>
        <v>0.10400000000000001</v>
      </c>
      <c r="L2409" s="5">
        <f>IFERROR(VLOOKUP(Consulta1[[#This Row],[Pozo largo]],Controles!B:J,9,FALSE),"NO")</f>
        <v>0</v>
      </c>
    </row>
    <row r="2410" spans="2:12" x14ac:dyDescent="0.35">
      <c r="B2410" s="4" t="s">
        <v>4618</v>
      </c>
      <c r="C2410" s="4" t="s">
        <v>8117</v>
      </c>
      <c r="D2410" s="4" t="s">
        <v>5</v>
      </c>
      <c r="E2410" s="4" t="s">
        <v>24</v>
      </c>
      <c r="F2410" s="4" t="s">
        <v>25</v>
      </c>
      <c r="G2410" s="4" t="s">
        <v>8</v>
      </c>
      <c r="H2410" s="4" t="s">
        <v>86</v>
      </c>
      <c r="I2410" s="5" t="str">
        <f>IFERROR(VLOOKUP(Consulta1[[#This Row],[Pozo largo]],'Lista YPF'!$B$3:$C$358,2,FALSE),"NO")</f>
        <v>NO</v>
      </c>
      <c r="J2410" s="5" t="str">
        <f>IFERROR(VLOOKUP(Consulta1[[#This Row],[Pozo]],'Lista Oportunidades'!B:C,2,FALSE),"NO")</f>
        <v>NO</v>
      </c>
      <c r="K2410" s="5">
        <f>IFERROR(VLOOKUP(Consulta1[[#This Row],[Pozo largo]],Controles!B:H,7,FALSE),"NO")</f>
        <v>5.5E-2</v>
      </c>
      <c r="L2410" s="5">
        <f>IFERROR(VLOOKUP(Consulta1[[#This Row],[Pozo largo]],Controles!B:J,9,FALSE),"NO")</f>
        <v>0</v>
      </c>
    </row>
    <row r="2411" spans="2:12" x14ac:dyDescent="0.35">
      <c r="B2411" s="4" t="s">
        <v>4620</v>
      </c>
      <c r="C2411" s="4" t="s">
        <v>8118</v>
      </c>
      <c r="D2411" s="4" t="s">
        <v>5</v>
      </c>
      <c r="E2411" s="4" t="s">
        <v>24</v>
      </c>
      <c r="F2411" s="4" t="s">
        <v>25</v>
      </c>
      <c r="G2411" s="4" t="s">
        <v>8</v>
      </c>
      <c r="H2411" s="4" t="s">
        <v>86</v>
      </c>
      <c r="I2411" s="5" t="str">
        <f>IFERROR(VLOOKUP(Consulta1[[#This Row],[Pozo largo]],'Lista YPF'!$B$3:$C$358,2,FALSE),"NO")</f>
        <v>NO</v>
      </c>
      <c r="J2411" s="5" t="str">
        <f>IFERROR(VLOOKUP(Consulta1[[#This Row],[Pozo]],'Lista Oportunidades'!B:C,2,FALSE),"NO")</f>
        <v>NO</v>
      </c>
      <c r="K2411" s="5">
        <f>IFERROR(VLOOKUP(Consulta1[[#This Row],[Pozo largo]],Controles!B:H,7,FALSE),"NO")</f>
        <v>0.17900000000000002</v>
      </c>
      <c r="L2411" s="5">
        <f>IFERROR(VLOOKUP(Consulta1[[#This Row],[Pozo largo]],Controles!B:J,9,FALSE),"NO")</f>
        <v>0</v>
      </c>
    </row>
    <row r="2412" spans="2:12" x14ac:dyDescent="0.35">
      <c r="B2412" s="4" t="s">
        <v>4622</v>
      </c>
      <c r="C2412" s="4" t="s">
        <v>8119</v>
      </c>
      <c r="D2412" s="4" t="s">
        <v>5</v>
      </c>
      <c r="E2412" s="4" t="s">
        <v>12</v>
      </c>
      <c r="F2412" s="4" t="s">
        <v>28</v>
      </c>
      <c r="G2412" s="4" t="s">
        <v>13</v>
      </c>
      <c r="H2412" s="4" t="s">
        <v>84</v>
      </c>
      <c r="I2412" s="5" t="str">
        <f>IFERROR(VLOOKUP(Consulta1[[#This Row],[Pozo largo]],'Lista YPF'!$B$3:$C$358,2,FALSE),"NO")</f>
        <v>NO</v>
      </c>
      <c r="J2412" s="5" t="str">
        <f>IFERROR(VLOOKUP(Consulta1[[#This Row],[Pozo]],'Lista Oportunidades'!B:C,2,FALSE),"NO")</f>
        <v>NO</v>
      </c>
      <c r="K2412" s="5">
        <f>IFERROR(VLOOKUP(Consulta1[[#This Row],[Pozo largo]],Controles!B:H,7,FALSE),"NO")</f>
        <v>0</v>
      </c>
      <c r="L2412" s="5">
        <f>IFERROR(VLOOKUP(Consulta1[[#This Row],[Pozo largo]],Controles!B:J,9,FALSE),"NO")</f>
        <v>0</v>
      </c>
    </row>
    <row r="2413" spans="2:12" x14ac:dyDescent="0.35">
      <c r="B2413" s="4" t="s">
        <v>4624</v>
      </c>
      <c r="C2413" s="4" t="s">
        <v>8120</v>
      </c>
      <c r="D2413" s="4" t="s">
        <v>5</v>
      </c>
      <c r="E2413" s="4" t="s">
        <v>12</v>
      </c>
      <c r="F2413" s="4" t="s">
        <v>7</v>
      </c>
      <c r="G2413" s="4" t="s">
        <v>13</v>
      </c>
      <c r="H2413" s="4" t="s">
        <v>86</v>
      </c>
      <c r="I2413" s="5" t="str">
        <f>IFERROR(VLOOKUP(Consulta1[[#This Row],[Pozo largo]],'Lista YPF'!$B$3:$C$358,2,FALSE),"NO")</f>
        <v>NO</v>
      </c>
      <c r="J2413" s="5" t="str">
        <f>IFERROR(VLOOKUP(Consulta1[[#This Row],[Pozo]],'Lista Oportunidades'!B:C,2,FALSE),"NO")</f>
        <v>NO</v>
      </c>
      <c r="K2413" s="5">
        <f>IFERROR(VLOOKUP(Consulta1[[#This Row],[Pozo largo]],Controles!B:H,7,FALSE),"NO")</f>
        <v>0.13700000000000001</v>
      </c>
      <c r="L2413" s="5">
        <f>IFERROR(VLOOKUP(Consulta1[[#This Row],[Pozo largo]],Controles!B:J,9,FALSE),"NO")</f>
        <v>0</v>
      </c>
    </row>
    <row r="2414" spans="2:12" x14ac:dyDescent="0.35">
      <c r="B2414" s="4" t="s">
        <v>4626</v>
      </c>
      <c r="C2414" s="4" t="s">
        <v>8121</v>
      </c>
      <c r="D2414" s="4" t="s">
        <v>5</v>
      </c>
      <c r="E2414" s="4" t="s">
        <v>30</v>
      </c>
      <c r="F2414" s="4" t="s">
        <v>31</v>
      </c>
      <c r="G2414" s="4" t="s">
        <v>32</v>
      </c>
      <c r="H2414" s="4" t="s">
        <v>86</v>
      </c>
      <c r="I2414" s="5" t="str">
        <f>IFERROR(VLOOKUP(Consulta1[[#This Row],[Pozo largo]],'Lista YPF'!$B$3:$C$358,2,FALSE),"NO")</f>
        <v>NO</v>
      </c>
      <c r="J2414" s="5" t="str">
        <f>IFERROR(VLOOKUP(Consulta1[[#This Row],[Pozo]],'Lista Oportunidades'!B:C,2,FALSE),"NO")</f>
        <v>NO</v>
      </c>
      <c r="K2414" s="5">
        <f>IFERROR(VLOOKUP(Consulta1[[#This Row],[Pozo largo]],Controles!B:H,7,FALSE),"NO")</f>
        <v>0</v>
      </c>
      <c r="L2414" s="5">
        <f>IFERROR(VLOOKUP(Consulta1[[#This Row],[Pozo largo]],Controles!B:J,9,FALSE),"NO")</f>
        <v>0</v>
      </c>
    </row>
    <row r="2415" spans="2:12" x14ac:dyDescent="0.35">
      <c r="B2415" s="4" t="s">
        <v>4628</v>
      </c>
      <c r="C2415" s="4" t="s">
        <v>8122</v>
      </c>
      <c r="D2415" s="4" t="s">
        <v>5</v>
      </c>
      <c r="E2415" s="4" t="s">
        <v>6</v>
      </c>
      <c r="F2415" s="4" t="s">
        <v>7</v>
      </c>
      <c r="G2415" s="4" t="s">
        <v>5718</v>
      </c>
      <c r="H2415" s="4" t="s">
        <v>86</v>
      </c>
      <c r="I2415" s="5" t="str">
        <f>IFERROR(VLOOKUP(Consulta1[[#This Row],[Pozo largo]],'Lista YPF'!$B$3:$C$358,2,FALSE),"NO")</f>
        <v>En lista de Abandono</v>
      </c>
      <c r="J2415" s="5" t="str">
        <f>IFERROR(VLOOKUP(Consulta1[[#This Row],[Pozo]],'Lista Oportunidades'!B:C,2,FALSE),"NO")</f>
        <v>NO</v>
      </c>
      <c r="K2415" s="5">
        <f>IFERROR(VLOOKUP(Consulta1[[#This Row],[Pozo largo]],Controles!B:H,7,FALSE),"NO")</f>
        <v>0.40600000000000003</v>
      </c>
      <c r="L2415" s="5">
        <f>IFERROR(VLOOKUP(Consulta1[[#This Row],[Pozo largo]],Controles!B:J,9,FALSE),"NO")</f>
        <v>0</v>
      </c>
    </row>
    <row r="2416" spans="2:12" x14ac:dyDescent="0.35">
      <c r="B2416" s="4" t="s">
        <v>4630</v>
      </c>
      <c r="C2416" s="4" t="s">
        <v>8123</v>
      </c>
      <c r="D2416" s="4" t="s">
        <v>5</v>
      </c>
      <c r="E2416" s="4" t="s">
        <v>12</v>
      </c>
      <c r="F2416" s="4" t="s">
        <v>83</v>
      </c>
      <c r="G2416" s="4" t="s">
        <v>13</v>
      </c>
      <c r="H2416" s="4" t="s">
        <v>86</v>
      </c>
      <c r="I2416" s="5" t="str">
        <f>IFERROR(VLOOKUP(Consulta1[[#This Row],[Pozo largo]],'Lista YPF'!$B$3:$C$358,2,FALSE),"NO")</f>
        <v>NO</v>
      </c>
      <c r="J2416" s="5" t="str">
        <f>IFERROR(VLOOKUP(Consulta1[[#This Row],[Pozo]],'Lista Oportunidades'!B:C,2,FALSE),"NO")</f>
        <v>NO</v>
      </c>
      <c r="K2416" s="5">
        <f>IFERROR(VLOOKUP(Consulta1[[#This Row],[Pozo largo]],Controles!B:H,7,FALSE),"NO")</f>
        <v>0.69600000000000006</v>
      </c>
      <c r="L2416" s="5">
        <f>IFERROR(VLOOKUP(Consulta1[[#This Row],[Pozo largo]],Controles!B:J,9,FALSE),"NO")</f>
        <v>0</v>
      </c>
    </row>
    <row r="2417" spans="2:12" x14ac:dyDescent="0.35">
      <c r="B2417" s="4" t="s">
        <v>4632</v>
      </c>
      <c r="C2417" s="4" t="s">
        <v>8124</v>
      </c>
      <c r="D2417" s="4" t="s">
        <v>5</v>
      </c>
      <c r="E2417" s="4" t="s">
        <v>57</v>
      </c>
      <c r="F2417" s="4" t="s">
        <v>7</v>
      </c>
      <c r="G2417" s="4" t="s">
        <v>5718</v>
      </c>
      <c r="H2417" s="4" t="s">
        <v>36</v>
      </c>
      <c r="I2417" s="5" t="str">
        <f>IFERROR(VLOOKUP(Consulta1[[#This Row],[Pozo largo]],'Lista YPF'!$B$3:$C$358,2,FALSE),"NO")</f>
        <v>En lista de Abandono</v>
      </c>
      <c r="J2417" s="5" t="str">
        <f>IFERROR(VLOOKUP(Consulta1[[#This Row],[Pozo]],'Lista Oportunidades'!B:C,2,FALSE),"NO")</f>
        <v>NO</v>
      </c>
      <c r="K2417" s="5">
        <f>IFERROR(VLOOKUP(Consulta1[[#This Row],[Pozo largo]],Controles!B:H,7,FALSE),"NO")</f>
        <v>0.5</v>
      </c>
      <c r="L2417" s="5">
        <f>IFERROR(VLOOKUP(Consulta1[[#This Row],[Pozo largo]],Controles!B:J,9,FALSE),"NO")</f>
        <v>0</v>
      </c>
    </row>
    <row r="2418" spans="2:12" x14ac:dyDescent="0.35">
      <c r="B2418" s="4" t="s">
        <v>4634</v>
      </c>
      <c r="C2418" s="4" t="s">
        <v>8125</v>
      </c>
      <c r="D2418" s="4" t="s">
        <v>5</v>
      </c>
      <c r="E2418" s="4" t="s">
        <v>12</v>
      </c>
      <c r="F2418" s="4" t="s">
        <v>7</v>
      </c>
      <c r="G2418" s="4" t="s">
        <v>13</v>
      </c>
      <c r="H2418" s="4" t="s">
        <v>91</v>
      </c>
      <c r="I2418" s="5" t="str">
        <f>IFERROR(VLOOKUP(Consulta1[[#This Row],[Pozo largo]],'Lista YPF'!$B$3:$C$358,2,FALSE),"NO")</f>
        <v>NO</v>
      </c>
      <c r="J2418" s="5" t="str">
        <f>IFERROR(VLOOKUP(Consulta1[[#This Row],[Pozo]],'Lista Oportunidades'!B:C,2,FALSE),"NO")</f>
        <v>NO</v>
      </c>
      <c r="K2418" s="5">
        <f>IFERROR(VLOOKUP(Consulta1[[#This Row],[Pozo largo]],Controles!B:H,7,FALSE),"NO")</f>
        <v>0.84</v>
      </c>
      <c r="L2418" s="5">
        <f>IFERROR(VLOOKUP(Consulta1[[#This Row],[Pozo largo]],Controles!B:J,9,FALSE),"NO")</f>
        <v>0</v>
      </c>
    </row>
    <row r="2419" spans="2:12" x14ac:dyDescent="0.35">
      <c r="B2419" s="4" t="s">
        <v>4636</v>
      </c>
      <c r="C2419" s="4" t="s">
        <v>8126</v>
      </c>
      <c r="D2419" s="4" t="s">
        <v>5</v>
      </c>
      <c r="E2419" s="4" t="s">
        <v>30</v>
      </c>
      <c r="F2419" s="4" t="s">
        <v>31</v>
      </c>
      <c r="G2419" s="4" t="s">
        <v>32</v>
      </c>
      <c r="H2419" s="4" t="s">
        <v>36</v>
      </c>
      <c r="I2419" s="5" t="str">
        <f>IFERROR(VLOOKUP(Consulta1[[#This Row],[Pozo largo]],'Lista YPF'!$B$3:$C$358,2,FALSE),"NO")</f>
        <v>NO</v>
      </c>
      <c r="J2419" s="5" t="str">
        <f>IFERROR(VLOOKUP(Consulta1[[#This Row],[Pozo]],'Lista Oportunidades'!B:C,2,FALSE),"NO")</f>
        <v>NO</v>
      </c>
      <c r="K2419" s="5" t="str">
        <f>IFERROR(VLOOKUP(Consulta1[[#This Row],[Pozo largo]],Controles!B:H,7,FALSE),"NO")</f>
        <v>NO</v>
      </c>
      <c r="L2419" s="5" t="str">
        <f>IFERROR(VLOOKUP(Consulta1[[#This Row],[Pozo largo]],Controles!B:J,9,FALSE),"NO")</f>
        <v>NO</v>
      </c>
    </row>
    <row r="2420" spans="2:12" x14ac:dyDescent="0.35">
      <c r="B2420" s="4" t="s">
        <v>4637</v>
      </c>
      <c r="C2420" s="4" t="s">
        <v>8127</v>
      </c>
      <c r="D2420" s="4" t="s">
        <v>5</v>
      </c>
      <c r="E2420" s="4" t="s">
        <v>30</v>
      </c>
      <c r="F2420" s="4" t="s">
        <v>31</v>
      </c>
      <c r="G2420" s="4" t="s">
        <v>32</v>
      </c>
      <c r="H2420" s="4" t="s">
        <v>149</v>
      </c>
      <c r="I2420" s="5" t="str">
        <f>IFERROR(VLOOKUP(Consulta1[[#This Row],[Pozo largo]],'Lista YPF'!$B$3:$C$358,2,FALSE),"NO")</f>
        <v>NO</v>
      </c>
      <c r="J2420" s="5" t="str">
        <f>IFERROR(VLOOKUP(Consulta1[[#This Row],[Pozo]],'Lista Oportunidades'!B:C,2,FALSE),"NO")</f>
        <v>NO</v>
      </c>
      <c r="K2420" s="5" t="str">
        <f>IFERROR(VLOOKUP(Consulta1[[#This Row],[Pozo largo]],Controles!B:H,7,FALSE),"NO")</f>
        <v>NO</v>
      </c>
      <c r="L2420" s="5" t="str">
        <f>IFERROR(VLOOKUP(Consulta1[[#This Row],[Pozo largo]],Controles!B:J,9,FALSE),"NO")</f>
        <v>NO</v>
      </c>
    </row>
    <row r="2421" spans="2:12" x14ac:dyDescent="0.35">
      <c r="B2421" s="4" t="s">
        <v>4638</v>
      </c>
      <c r="C2421" s="4" t="s">
        <v>8128</v>
      </c>
      <c r="D2421" s="4" t="s">
        <v>5</v>
      </c>
      <c r="E2421" s="4" t="s">
        <v>30</v>
      </c>
      <c r="F2421" s="4" t="s">
        <v>31</v>
      </c>
      <c r="G2421" s="4" t="s">
        <v>32</v>
      </c>
      <c r="H2421" s="4" t="s">
        <v>149</v>
      </c>
      <c r="I2421" s="5" t="str">
        <f>IFERROR(VLOOKUP(Consulta1[[#This Row],[Pozo largo]],'Lista YPF'!$B$3:$C$358,2,FALSE),"NO")</f>
        <v>NO</v>
      </c>
      <c r="J2421" s="5" t="str">
        <f>IFERROR(VLOOKUP(Consulta1[[#This Row],[Pozo]],'Lista Oportunidades'!B:C,2,FALSE),"NO")</f>
        <v>NO</v>
      </c>
      <c r="K2421" s="5" t="str">
        <f>IFERROR(VLOOKUP(Consulta1[[#This Row],[Pozo largo]],Controles!B:H,7,FALSE),"NO")</f>
        <v>NO</v>
      </c>
      <c r="L2421" s="5" t="str">
        <f>IFERROR(VLOOKUP(Consulta1[[#This Row],[Pozo largo]],Controles!B:J,9,FALSE),"NO")</f>
        <v>NO</v>
      </c>
    </row>
    <row r="2422" spans="2:12" x14ac:dyDescent="0.35">
      <c r="B2422" s="4" t="s">
        <v>4639</v>
      </c>
      <c r="C2422" s="4" t="s">
        <v>8129</v>
      </c>
      <c r="D2422" s="4" t="s">
        <v>5</v>
      </c>
      <c r="E2422" s="4" t="s">
        <v>12</v>
      </c>
      <c r="F2422" s="4" t="s">
        <v>7</v>
      </c>
      <c r="G2422" s="4" t="s">
        <v>13</v>
      </c>
      <c r="H2422" s="4" t="s">
        <v>9</v>
      </c>
      <c r="I2422" s="5" t="str">
        <f>IFERROR(VLOOKUP(Consulta1[[#This Row],[Pozo largo]],'Lista YPF'!$B$3:$C$358,2,FALSE),"NO")</f>
        <v>NO</v>
      </c>
      <c r="J2422" s="5" t="str">
        <f>IFERROR(VLOOKUP(Consulta1[[#This Row],[Pozo]],'Lista Oportunidades'!B:C,2,FALSE),"NO")</f>
        <v>NO</v>
      </c>
      <c r="K2422" s="5">
        <f>IFERROR(VLOOKUP(Consulta1[[#This Row],[Pozo largo]],Controles!B:H,7,FALSE),"NO")</f>
        <v>1.2</v>
      </c>
      <c r="L2422" s="5">
        <f>IFERROR(VLOOKUP(Consulta1[[#This Row],[Pozo largo]],Controles!B:J,9,FALSE),"NO")</f>
        <v>0</v>
      </c>
    </row>
    <row r="2423" spans="2:12" x14ac:dyDescent="0.35">
      <c r="B2423" s="4" t="s">
        <v>4641</v>
      </c>
      <c r="C2423" s="4" t="s">
        <v>8130</v>
      </c>
      <c r="D2423" s="4" t="s">
        <v>5</v>
      </c>
      <c r="E2423" s="4" t="s">
        <v>24</v>
      </c>
      <c r="F2423" s="4" t="s">
        <v>31</v>
      </c>
      <c r="G2423" s="4" t="s">
        <v>8</v>
      </c>
      <c r="H2423" s="4" t="s">
        <v>9</v>
      </c>
      <c r="I2423" s="5" t="str">
        <f>IFERROR(VLOOKUP(Consulta1[[#This Row],[Pozo largo]],'Lista YPF'!$B$3:$C$358,2,FALSE),"NO")</f>
        <v>NO</v>
      </c>
      <c r="J2423" s="5" t="str">
        <f>IFERROR(VLOOKUP(Consulta1[[#This Row],[Pozo]],'Lista Oportunidades'!B:C,2,FALSE),"NO")</f>
        <v>NO</v>
      </c>
      <c r="K2423" s="5">
        <f>IFERROR(VLOOKUP(Consulta1[[#This Row],[Pozo largo]],Controles!B:H,7,FALSE),"NO")</f>
        <v>0.437</v>
      </c>
      <c r="L2423" s="5">
        <f>IFERROR(VLOOKUP(Consulta1[[#This Row],[Pozo largo]],Controles!B:J,9,FALSE),"NO")</f>
        <v>0</v>
      </c>
    </row>
    <row r="2424" spans="2:12" x14ac:dyDescent="0.35">
      <c r="B2424" s="4" t="s">
        <v>4643</v>
      </c>
      <c r="C2424" s="4" t="s">
        <v>8131</v>
      </c>
      <c r="D2424" s="4" t="s">
        <v>5</v>
      </c>
      <c r="E2424" s="4" t="s">
        <v>24</v>
      </c>
      <c r="F2424" s="4" t="s">
        <v>25</v>
      </c>
      <c r="G2424" s="4" t="s">
        <v>8</v>
      </c>
      <c r="H2424" s="4" t="s">
        <v>86</v>
      </c>
      <c r="I2424" s="5" t="str">
        <f>IFERROR(VLOOKUP(Consulta1[[#This Row],[Pozo largo]],'Lista YPF'!$B$3:$C$358,2,FALSE),"NO")</f>
        <v>NO</v>
      </c>
      <c r="J2424" s="5" t="str">
        <f>IFERROR(VLOOKUP(Consulta1[[#This Row],[Pozo]],'Lista Oportunidades'!B:C,2,FALSE),"NO")</f>
        <v>NO</v>
      </c>
      <c r="K2424" s="5">
        <f>IFERROR(VLOOKUP(Consulta1[[#This Row],[Pozo largo]],Controles!B:H,7,FALSE),"NO")</f>
        <v>0.52500000000000002</v>
      </c>
      <c r="L2424" s="5">
        <f>IFERROR(VLOOKUP(Consulta1[[#This Row],[Pozo largo]],Controles!B:J,9,FALSE),"NO")</f>
        <v>0</v>
      </c>
    </row>
    <row r="2425" spans="2:12" x14ac:dyDescent="0.35">
      <c r="B2425" s="4" t="s">
        <v>4645</v>
      </c>
      <c r="C2425" s="4" t="s">
        <v>8132</v>
      </c>
      <c r="D2425" s="4" t="s">
        <v>5</v>
      </c>
      <c r="E2425" s="4" t="s">
        <v>12</v>
      </c>
      <c r="F2425" s="4" t="s">
        <v>7</v>
      </c>
      <c r="G2425" s="4" t="s">
        <v>13</v>
      </c>
      <c r="H2425" s="4" t="s">
        <v>21</v>
      </c>
      <c r="I2425" s="5" t="str">
        <f>IFERROR(VLOOKUP(Consulta1[[#This Row],[Pozo largo]],'Lista YPF'!$B$3:$C$358,2,FALSE),"NO")</f>
        <v>NO</v>
      </c>
      <c r="J2425" s="5" t="str">
        <f>IFERROR(VLOOKUP(Consulta1[[#This Row],[Pozo]],'Lista Oportunidades'!B:C,2,FALSE),"NO")</f>
        <v>NO</v>
      </c>
      <c r="K2425" s="5">
        <f>IFERROR(VLOOKUP(Consulta1[[#This Row],[Pozo largo]],Controles!B:H,7,FALSE),"NO")</f>
        <v>0.252</v>
      </c>
      <c r="L2425" s="5">
        <f>IFERROR(VLOOKUP(Consulta1[[#This Row],[Pozo largo]],Controles!B:J,9,FALSE),"NO")</f>
        <v>0</v>
      </c>
    </row>
    <row r="2426" spans="2:12" x14ac:dyDescent="0.35">
      <c r="B2426" s="4" t="s">
        <v>4647</v>
      </c>
      <c r="C2426" s="4" t="s">
        <v>8133</v>
      </c>
      <c r="D2426" s="4" t="s">
        <v>5</v>
      </c>
      <c r="E2426" s="4" t="s">
        <v>12</v>
      </c>
      <c r="F2426" s="4" t="s">
        <v>7</v>
      </c>
      <c r="G2426" s="4" t="s">
        <v>13</v>
      </c>
      <c r="H2426" s="4" t="s">
        <v>80</v>
      </c>
      <c r="I2426" s="5" t="str">
        <f>IFERROR(VLOOKUP(Consulta1[[#This Row],[Pozo largo]],'Lista YPF'!$B$3:$C$358,2,FALSE),"NO")</f>
        <v>NO</v>
      </c>
      <c r="J2426" s="5" t="str">
        <f>IFERROR(VLOOKUP(Consulta1[[#This Row],[Pozo]],'Lista Oportunidades'!B:C,2,FALSE),"NO")</f>
        <v>NO</v>
      </c>
      <c r="K2426" s="5">
        <f>IFERROR(VLOOKUP(Consulta1[[#This Row],[Pozo largo]],Controles!B:H,7,FALSE),"NO")</f>
        <v>0.51</v>
      </c>
      <c r="L2426" s="5">
        <f>IFERROR(VLOOKUP(Consulta1[[#This Row],[Pozo largo]],Controles!B:J,9,FALSE),"NO")</f>
        <v>0</v>
      </c>
    </row>
    <row r="2427" spans="2:12" x14ac:dyDescent="0.35">
      <c r="B2427" s="4" t="s">
        <v>4649</v>
      </c>
      <c r="C2427" s="4" t="s">
        <v>8134</v>
      </c>
      <c r="D2427" s="4" t="s">
        <v>5</v>
      </c>
      <c r="E2427" s="4" t="s">
        <v>30</v>
      </c>
      <c r="F2427" s="4" t="s">
        <v>31</v>
      </c>
      <c r="G2427" s="4" t="s">
        <v>32</v>
      </c>
      <c r="H2427" s="4" t="s">
        <v>91</v>
      </c>
      <c r="I2427" s="5" t="str">
        <f>IFERROR(VLOOKUP(Consulta1[[#This Row],[Pozo largo]],'Lista YPF'!$B$3:$C$358,2,FALSE),"NO")</f>
        <v>NO</v>
      </c>
      <c r="J2427" s="5" t="str">
        <f>IFERROR(VLOOKUP(Consulta1[[#This Row],[Pozo]],'Lista Oportunidades'!B:C,2,FALSE),"NO")</f>
        <v>NO</v>
      </c>
      <c r="K2427" s="5" t="str">
        <f>IFERROR(VLOOKUP(Consulta1[[#This Row],[Pozo largo]],Controles!B:H,7,FALSE),"NO")</f>
        <v>NO</v>
      </c>
      <c r="L2427" s="5" t="str">
        <f>IFERROR(VLOOKUP(Consulta1[[#This Row],[Pozo largo]],Controles!B:J,9,FALSE),"NO")</f>
        <v>NO</v>
      </c>
    </row>
    <row r="2428" spans="2:12" x14ac:dyDescent="0.35">
      <c r="B2428" s="4" t="s">
        <v>4650</v>
      </c>
      <c r="C2428" s="4" t="s">
        <v>8135</v>
      </c>
      <c r="D2428" s="4" t="s">
        <v>5</v>
      </c>
      <c r="E2428" s="4" t="s">
        <v>6</v>
      </c>
      <c r="F2428" s="4" t="s">
        <v>7</v>
      </c>
      <c r="G2428" s="4" t="s">
        <v>5718</v>
      </c>
      <c r="H2428" s="4" t="s">
        <v>185</v>
      </c>
      <c r="I2428" s="5" t="str">
        <f>IFERROR(VLOOKUP(Consulta1[[#This Row],[Pozo largo]],'Lista YPF'!$B$3:$C$358,2,FALSE),"NO")</f>
        <v>En lista de Abandono</v>
      </c>
      <c r="J2428" s="5" t="str">
        <f>IFERROR(VLOOKUP(Consulta1[[#This Row],[Pozo]],'Lista Oportunidades'!B:C,2,FALSE),"NO")</f>
        <v>NO</v>
      </c>
      <c r="K2428" s="5">
        <f>IFERROR(VLOOKUP(Consulta1[[#This Row],[Pozo largo]],Controles!B:H,7,FALSE),"NO")</f>
        <v>1.35</v>
      </c>
      <c r="L2428" s="5">
        <f>IFERROR(VLOOKUP(Consulta1[[#This Row],[Pozo largo]],Controles!B:J,9,FALSE),"NO")</f>
        <v>0</v>
      </c>
    </row>
    <row r="2429" spans="2:12" x14ac:dyDescent="0.35">
      <c r="B2429" s="4" t="s">
        <v>4652</v>
      </c>
      <c r="C2429" s="4" t="s">
        <v>8136</v>
      </c>
      <c r="D2429" s="4" t="s">
        <v>5</v>
      </c>
      <c r="E2429" s="4" t="s">
        <v>12</v>
      </c>
      <c r="F2429" s="4" t="s">
        <v>7</v>
      </c>
      <c r="G2429" s="4" t="s">
        <v>13</v>
      </c>
      <c r="H2429" s="4" t="s">
        <v>185</v>
      </c>
      <c r="I2429" s="5" t="str">
        <f>IFERROR(VLOOKUP(Consulta1[[#This Row],[Pozo largo]],'Lista YPF'!$B$3:$C$358,2,FALSE),"NO")</f>
        <v>NO</v>
      </c>
      <c r="J2429" s="5" t="str">
        <f>IFERROR(VLOOKUP(Consulta1[[#This Row],[Pozo]],'Lista Oportunidades'!B:C,2,FALSE),"NO")</f>
        <v>NO</v>
      </c>
      <c r="K2429" s="5">
        <f>IFERROR(VLOOKUP(Consulta1[[#This Row],[Pozo largo]],Controles!B:H,7,FALSE),"NO")</f>
        <v>2.2400000000000002</v>
      </c>
      <c r="L2429" s="5">
        <f>IFERROR(VLOOKUP(Consulta1[[#This Row],[Pozo largo]],Controles!B:J,9,FALSE),"NO")</f>
        <v>0</v>
      </c>
    </row>
    <row r="2430" spans="2:12" x14ac:dyDescent="0.35">
      <c r="B2430" s="4" t="s">
        <v>4654</v>
      </c>
      <c r="C2430" s="4" t="s">
        <v>8137</v>
      </c>
      <c r="D2430" s="4" t="s">
        <v>5</v>
      </c>
      <c r="E2430" s="4" t="s">
        <v>12</v>
      </c>
      <c r="F2430" s="4" t="s">
        <v>7</v>
      </c>
      <c r="G2430" s="4" t="s">
        <v>13</v>
      </c>
      <c r="H2430" s="4" t="s">
        <v>86</v>
      </c>
      <c r="I2430" s="5" t="str">
        <f>IFERROR(VLOOKUP(Consulta1[[#This Row],[Pozo largo]],'Lista YPF'!$B$3:$C$358,2,FALSE),"NO")</f>
        <v>NO</v>
      </c>
      <c r="J2430" s="5" t="str">
        <f>IFERROR(VLOOKUP(Consulta1[[#This Row],[Pozo]],'Lista Oportunidades'!B:C,2,FALSE),"NO")</f>
        <v>NO</v>
      </c>
      <c r="K2430" s="5">
        <f>IFERROR(VLOOKUP(Consulta1[[#This Row],[Pozo largo]],Controles!B:H,7,FALSE),"NO")</f>
        <v>0.93600000000000005</v>
      </c>
      <c r="L2430" s="5">
        <f>IFERROR(VLOOKUP(Consulta1[[#This Row],[Pozo largo]],Controles!B:J,9,FALSE),"NO")</f>
        <v>0</v>
      </c>
    </row>
    <row r="2431" spans="2:12" x14ac:dyDescent="0.35">
      <c r="B2431" s="4" t="s">
        <v>4656</v>
      </c>
      <c r="C2431" s="4" t="s">
        <v>8138</v>
      </c>
      <c r="D2431" s="4" t="s">
        <v>5</v>
      </c>
      <c r="E2431" s="4" t="s">
        <v>12</v>
      </c>
      <c r="F2431" s="4" t="s">
        <v>25</v>
      </c>
      <c r="G2431" s="4" t="s">
        <v>13</v>
      </c>
      <c r="H2431" s="4" t="s">
        <v>185</v>
      </c>
      <c r="I2431" s="5" t="str">
        <f>IFERROR(VLOOKUP(Consulta1[[#This Row],[Pozo largo]],'Lista YPF'!$B$3:$C$358,2,FALSE),"NO")</f>
        <v>NO</v>
      </c>
      <c r="J2431" s="5" t="str">
        <f>IFERROR(VLOOKUP(Consulta1[[#This Row],[Pozo]],'Lista Oportunidades'!B:C,2,FALSE),"NO")</f>
        <v>NO</v>
      </c>
      <c r="K2431" s="5">
        <f>IFERROR(VLOOKUP(Consulta1[[#This Row],[Pozo largo]],Controles!B:H,7,FALSE),"NO")</f>
        <v>0.182</v>
      </c>
      <c r="L2431" s="5">
        <f>IFERROR(VLOOKUP(Consulta1[[#This Row],[Pozo largo]],Controles!B:J,9,FALSE),"NO")</f>
        <v>0</v>
      </c>
    </row>
    <row r="2432" spans="2:12" x14ac:dyDescent="0.35">
      <c r="B2432" s="4" t="s">
        <v>4658</v>
      </c>
      <c r="C2432" s="4" t="s">
        <v>8139</v>
      </c>
      <c r="D2432" s="4" t="s">
        <v>5</v>
      </c>
      <c r="E2432" s="4" t="s">
        <v>12</v>
      </c>
      <c r="F2432" s="4" t="s">
        <v>28</v>
      </c>
      <c r="G2432" s="4" t="s">
        <v>13</v>
      </c>
      <c r="H2432" s="4" t="s">
        <v>86</v>
      </c>
      <c r="I2432" s="5" t="str">
        <f>IFERROR(VLOOKUP(Consulta1[[#This Row],[Pozo largo]],'Lista YPF'!$B$3:$C$358,2,FALSE),"NO")</f>
        <v>NO</v>
      </c>
      <c r="J2432" s="5" t="str">
        <f>IFERROR(VLOOKUP(Consulta1[[#This Row],[Pozo]],'Lista Oportunidades'!B:C,2,FALSE),"NO")</f>
        <v>NO</v>
      </c>
      <c r="K2432" s="5">
        <f>IFERROR(VLOOKUP(Consulta1[[#This Row],[Pozo largo]],Controles!B:H,7,FALSE),"NO")</f>
        <v>0</v>
      </c>
      <c r="L2432" s="5">
        <f>IFERROR(VLOOKUP(Consulta1[[#This Row],[Pozo largo]],Controles!B:J,9,FALSE),"NO")</f>
        <v>0</v>
      </c>
    </row>
    <row r="2433" spans="2:12" x14ac:dyDescent="0.35">
      <c r="B2433" s="4" t="s">
        <v>4660</v>
      </c>
      <c r="C2433" s="4" t="s">
        <v>8140</v>
      </c>
      <c r="D2433" s="4" t="s">
        <v>5</v>
      </c>
      <c r="E2433" s="4" t="s">
        <v>12</v>
      </c>
      <c r="F2433" s="4" t="s">
        <v>7</v>
      </c>
      <c r="G2433" s="4" t="s">
        <v>13</v>
      </c>
      <c r="H2433" s="4" t="s">
        <v>185</v>
      </c>
      <c r="I2433" s="5" t="str">
        <f>IFERROR(VLOOKUP(Consulta1[[#This Row],[Pozo largo]],'Lista YPF'!$B$3:$C$358,2,FALSE),"NO")</f>
        <v>NO</v>
      </c>
      <c r="J2433" s="5" t="str">
        <f>IFERROR(VLOOKUP(Consulta1[[#This Row],[Pozo]],'Lista Oportunidades'!B:C,2,FALSE),"NO")</f>
        <v>NO</v>
      </c>
      <c r="K2433" s="5">
        <f>IFERROR(VLOOKUP(Consulta1[[#This Row],[Pozo largo]],Controles!B:H,7,FALSE),"NO")</f>
        <v>0.97600000000000009</v>
      </c>
      <c r="L2433" s="5">
        <f>IFERROR(VLOOKUP(Consulta1[[#This Row],[Pozo largo]],Controles!B:J,9,FALSE),"NO")</f>
        <v>0</v>
      </c>
    </row>
    <row r="2434" spans="2:12" x14ac:dyDescent="0.35">
      <c r="B2434" s="4" t="s">
        <v>4662</v>
      </c>
      <c r="C2434" s="4" t="s">
        <v>8141</v>
      </c>
      <c r="D2434" s="4" t="s">
        <v>5</v>
      </c>
      <c r="E2434" s="4" t="s">
        <v>12</v>
      </c>
      <c r="F2434" s="4" t="s">
        <v>7</v>
      </c>
      <c r="G2434" s="4" t="s">
        <v>13</v>
      </c>
      <c r="H2434" s="4" t="s">
        <v>86</v>
      </c>
      <c r="I2434" s="5" t="str">
        <f>IFERROR(VLOOKUP(Consulta1[[#This Row],[Pozo largo]],'Lista YPF'!$B$3:$C$358,2,FALSE),"NO")</f>
        <v>NO</v>
      </c>
      <c r="J2434" s="5" t="str">
        <f>IFERROR(VLOOKUP(Consulta1[[#This Row],[Pozo]],'Lista Oportunidades'!B:C,2,FALSE),"NO")</f>
        <v>NO</v>
      </c>
      <c r="K2434" s="5">
        <f>IFERROR(VLOOKUP(Consulta1[[#This Row],[Pozo largo]],Controles!B:H,7,FALSE),"NO")</f>
        <v>0.89700000000000002</v>
      </c>
      <c r="L2434" s="5">
        <f>IFERROR(VLOOKUP(Consulta1[[#This Row],[Pozo largo]],Controles!B:J,9,FALSE),"NO")</f>
        <v>0</v>
      </c>
    </row>
    <row r="2435" spans="2:12" x14ac:dyDescent="0.35">
      <c r="B2435" s="4" t="s">
        <v>4664</v>
      </c>
      <c r="C2435" s="4" t="s">
        <v>8142</v>
      </c>
      <c r="D2435" s="4" t="s">
        <v>5</v>
      </c>
      <c r="E2435" s="4" t="s">
        <v>12</v>
      </c>
      <c r="F2435" s="4" t="s">
        <v>7</v>
      </c>
      <c r="G2435" s="4" t="s">
        <v>13</v>
      </c>
      <c r="H2435" s="4" t="s">
        <v>141</v>
      </c>
      <c r="I2435" s="5" t="str">
        <f>IFERROR(VLOOKUP(Consulta1[[#This Row],[Pozo largo]],'Lista YPF'!$B$3:$C$358,2,FALSE),"NO")</f>
        <v>NO</v>
      </c>
      <c r="J2435" s="5" t="str">
        <f>IFERROR(VLOOKUP(Consulta1[[#This Row],[Pozo]],'Lista Oportunidades'!B:C,2,FALSE),"NO")</f>
        <v>NO</v>
      </c>
      <c r="K2435" s="5">
        <f>IFERROR(VLOOKUP(Consulta1[[#This Row],[Pozo largo]],Controles!B:H,7,FALSE),"NO")</f>
        <v>2.52</v>
      </c>
      <c r="L2435" s="5">
        <f>IFERROR(VLOOKUP(Consulta1[[#This Row],[Pozo largo]],Controles!B:J,9,FALSE),"NO")</f>
        <v>0</v>
      </c>
    </row>
    <row r="2436" spans="2:12" x14ac:dyDescent="0.35">
      <c r="B2436" s="4" t="s">
        <v>4666</v>
      </c>
      <c r="C2436" s="4" t="s">
        <v>8143</v>
      </c>
      <c r="D2436" s="4" t="s">
        <v>5</v>
      </c>
      <c r="E2436" s="4" t="s">
        <v>12</v>
      </c>
      <c r="F2436" s="4" t="s">
        <v>7</v>
      </c>
      <c r="G2436" s="4" t="s">
        <v>13</v>
      </c>
      <c r="H2436" s="4" t="s">
        <v>254</v>
      </c>
      <c r="I2436" s="5" t="str">
        <f>IFERROR(VLOOKUP(Consulta1[[#This Row],[Pozo largo]],'Lista YPF'!$B$3:$C$358,2,FALSE),"NO")</f>
        <v>NO</v>
      </c>
      <c r="J2436" s="5" t="str">
        <f>IFERROR(VLOOKUP(Consulta1[[#This Row],[Pozo]],'Lista Oportunidades'!B:C,2,FALSE),"NO")</f>
        <v>NO</v>
      </c>
      <c r="K2436" s="5">
        <f>IFERROR(VLOOKUP(Consulta1[[#This Row],[Pozo largo]],Controles!B:H,7,FALSE),"NO")</f>
        <v>1.5750000000000002</v>
      </c>
      <c r="L2436" s="5">
        <f>IFERROR(VLOOKUP(Consulta1[[#This Row],[Pozo largo]],Controles!B:J,9,FALSE),"NO")</f>
        <v>0</v>
      </c>
    </row>
    <row r="2437" spans="2:12" x14ac:dyDescent="0.35">
      <c r="B2437" s="4" t="s">
        <v>4668</v>
      </c>
      <c r="C2437" s="4" t="s">
        <v>8144</v>
      </c>
      <c r="D2437" s="4" t="s">
        <v>5</v>
      </c>
      <c r="E2437" s="4" t="s">
        <v>12</v>
      </c>
      <c r="F2437" s="4" t="s">
        <v>7</v>
      </c>
      <c r="G2437" s="4" t="s">
        <v>13</v>
      </c>
      <c r="H2437" s="4" t="s">
        <v>80</v>
      </c>
      <c r="I2437" s="5" t="str">
        <f>IFERROR(VLOOKUP(Consulta1[[#This Row],[Pozo largo]],'Lista YPF'!$B$3:$C$358,2,FALSE),"NO")</f>
        <v>NO</v>
      </c>
      <c r="J2437" s="5" t="str">
        <f>IFERROR(VLOOKUP(Consulta1[[#This Row],[Pozo]],'Lista Oportunidades'!B:C,2,FALSE),"NO")</f>
        <v>NO</v>
      </c>
      <c r="K2437" s="5">
        <f>IFERROR(VLOOKUP(Consulta1[[#This Row],[Pozo largo]],Controles!B:H,7,FALSE),"NO")</f>
        <v>0.35400000000000004</v>
      </c>
      <c r="L2437" s="5">
        <f>IFERROR(VLOOKUP(Consulta1[[#This Row],[Pozo largo]],Controles!B:J,9,FALSE),"NO")</f>
        <v>0</v>
      </c>
    </row>
    <row r="2438" spans="2:12" x14ac:dyDescent="0.35">
      <c r="B2438" s="4" t="s">
        <v>4670</v>
      </c>
      <c r="C2438" s="4" t="s">
        <v>8145</v>
      </c>
      <c r="D2438" s="4" t="s">
        <v>5</v>
      </c>
      <c r="E2438" s="4" t="s">
        <v>30</v>
      </c>
      <c r="F2438" s="4" t="s">
        <v>31</v>
      </c>
      <c r="G2438" s="4" t="s">
        <v>32</v>
      </c>
      <c r="H2438" s="4" t="s">
        <v>86</v>
      </c>
      <c r="I2438" s="5" t="str">
        <f>IFERROR(VLOOKUP(Consulta1[[#This Row],[Pozo largo]],'Lista YPF'!$B$3:$C$358,2,FALSE),"NO")</f>
        <v>NO</v>
      </c>
      <c r="J2438" s="5" t="str">
        <f>IFERROR(VLOOKUP(Consulta1[[#This Row],[Pozo]],'Lista Oportunidades'!B:C,2,FALSE),"NO")</f>
        <v>NO</v>
      </c>
      <c r="K2438" s="5" t="str">
        <f>IFERROR(VLOOKUP(Consulta1[[#This Row],[Pozo largo]],Controles!B:H,7,FALSE),"NO")</f>
        <v>NO</v>
      </c>
      <c r="L2438" s="5" t="str">
        <f>IFERROR(VLOOKUP(Consulta1[[#This Row],[Pozo largo]],Controles!B:J,9,FALSE),"NO")</f>
        <v>NO</v>
      </c>
    </row>
    <row r="2439" spans="2:12" x14ac:dyDescent="0.35">
      <c r="B2439" s="4" t="s">
        <v>4671</v>
      </c>
      <c r="C2439" s="4" t="s">
        <v>8146</v>
      </c>
      <c r="D2439" s="4" t="s">
        <v>5</v>
      </c>
      <c r="E2439" s="4" t="s">
        <v>12</v>
      </c>
      <c r="F2439" s="4" t="s">
        <v>7</v>
      </c>
      <c r="G2439" s="4" t="s">
        <v>13</v>
      </c>
      <c r="H2439" s="4" t="s">
        <v>9</v>
      </c>
      <c r="I2439" s="5" t="str">
        <f>IFERROR(VLOOKUP(Consulta1[[#This Row],[Pozo largo]],'Lista YPF'!$B$3:$C$358,2,FALSE),"NO")</f>
        <v>NO</v>
      </c>
      <c r="J2439" s="5" t="str">
        <f>IFERROR(VLOOKUP(Consulta1[[#This Row],[Pozo]],'Lista Oportunidades'!B:C,2,FALSE),"NO")</f>
        <v>NO</v>
      </c>
      <c r="K2439" s="5">
        <f>IFERROR(VLOOKUP(Consulta1[[#This Row],[Pozo largo]],Controles!B:H,7,FALSE),"NO")</f>
        <v>2.8860000000000001</v>
      </c>
      <c r="L2439" s="5">
        <f>IFERROR(VLOOKUP(Consulta1[[#This Row],[Pozo largo]],Controles!B:J,9,FALSE),"NO")</f>
        <v>0</v>
      </c>
    </row>
    <row r="2440" spans="2:12" x14ac:dyDescent="0.35">
      <c r="B2440" s="4" t="s">
        <v>4673</v>
      </c>
      <c r="C2440" s="4" t="s">
        <v>8147</v>
      </c>
      <c r="D2440" s="4" t="s">
        <v>5</v>
      </c>
      <c r="E2440" s="4" t="s">
        <v>12</v>
      </c>
      <c r="F2440" s="4" t="s">
        <v>7</v>
      </c>
      <c r="G2440" s="4" t="s">
        <v>13</v>
      </c>
      <c r="H2440" s="4" t="s">
        <v>9</v>
      </c>
      <c r="I2440" s="5" t="str">
        <f>IFERROR(VLOOKUP(Consulta1[[#This Row],[Pozo largo]],'Lista YPF'!$B$3:$C$358,2,FALSE),"NO")</f>
        <v>NO</v>
      </c>
      <c r="J2440" s="5" t="str">
        <f>IFERROR(VLOOKUP(Consulta1[[#This Row],[Pozo]],'Lista Oportunidades'!B:C,2,FALSE),"NO")</f>
        <v>NO</v>
      </c>
      <c r="K2440" s="5">
        <f>IFERROR(VLOOKUP(Consulta1[[#This Row],[Pozo largo]],Controles!B:H,7,FALSE),"NO")</f>
        <v>0.66</v>
      </c>
      <c r="L2440" s="5">
        <f>IFERROR(VLOOKUP(Consulta1[[#This Row],[Pozo largo]],Controles!B:J,9,FALSE),"NO")</f>
        <v>0</v>
      </c>
    </row>
    <row r="2441" spans="2:12" x14ac:dyDescent="0.35">
      <c r="B2441" s="4" t="s">
        <v>4675</v>
      </c>
      <c r="C2441" s="4" t="s">
        <v>8148</v>
      </c>
      <c r="D2441" s="4" t="s">
        <v>5</v>
      </c>
      <c r="E2441" s="4" t="s">
        <v>12</v>
      </c>
      <c r="F2441" s="4" t="s">
        <v>28</v>
      </c>
      <c r="G2441" s="4" t="s">
        <v>13</v>
      </c>
      <c r="H2441" s="4" t="s">
        <v>185</v>
      </c>
      <c r="I2441" s="5" t="str">
        <f>IFERROR(VLOOKUP(Consulta1[[#This Row],[Pozo largo]],'Lista YPF'!$B$3:$C$358,2,FALSE),"NO")</f>
        <v>NO</v>
      </c>
      <c r="J2441" s="5" t="str">
        <f>IFERROR(VLOOKUP(Consulta1[[#This Row],[Pozo]],'Lista Oportunidades'!B:C,2,FALSE),"NO")</f>
        <v>NO</v>
      </c>
      <c r="K2441" s="5">
        <f>IFERROR(VLOOKUP(Consulta1[[#This Row],[Pozo largo]],Controles!B:H,7,FALSE),"NO")</f>
        <v>0</v>
      </c>
      <c r="L2441" s="5">
        <f>IFERROR(VLOOKUP(Consulta1[[#This Row],[Pozo largo]],Controles!B:J,9,FALSE),"NO")</f>
        <v>0</v>
      </c>
    </row>
    <row r="2442" spans="2:12" x14ac:dyDescent="0.35">
      <c r="B2442" s="4" t="s">
        <v>4677</v>
      </c>
      <c r="C2442" s="4" t="s">
        <v>8149</v>
      </c>
      <c r="D2442" s="4" t="s">
        <v>5</v>
      </c>
      <c r="E2442" s="4" t="s">
        <v>6</v>
      </c>
      <c r="F2442" s="4" t="s">
        <v>31</v>
      </c>
      <c r="G2442" s="4" t="s">
        <v>8</v>
      </c>
      <c r="H2442" s="4" t="s">
        <v>9</v>
      </c>
      <c r="I2442" s="5" t="str">
        <f>IFERROR(VLOOKUP(Consulta1[[#This Row],[Pozo largo]],'Lista YPF'!$B$3:$C$358,2,FALSE),"NO")</f>
        <v>NO</v>
      </c>
      <c r="J2442" s="5" t="str">
        <f>IFERROR(VLOOKUP(Consulta1[[#This Row],[Pozo]],'Lista Oportunidades'!B:C,2,FALSE),"NO")</f>
        <v>NO</v>
      </c>
      <c r="K2442" s="5">
        <f>IFERROR(VLOOKUP(Consulta1[[#This Row],[Pozo largo]],Controles!B:H,7,FALSE),"NO")</f>
        <v>0</v>
      </c>
      <c r="L2442" s="5">
        <f>IFERROR(VLOOKUP(Consulta1[[#This Row],[Pozo largo]],Controles!B:J,9,FALSE),"NO")</f>
        <v>0</v>
      </c>
    </row>
    <row r="2443" spans="2:12" x14ac:dyDescent="0.35">
      <c r="B2443" s="4" t="s">
        <v>4679</v>
      </c>
      <c r="C2443" s="4" t="s">
        <v>8150</v>
      </c>
      <c r="D2443" s="4" t="s">
        <v>5</v>
      </c>
      <c r="E2443" s="4" t="s">
        <v>12</v>
      </c>
      <c r="F2443" s="4" t="s">
        <v>7</v>
      </c>
      <c r="G2443" s="4" t="s">
        <v>13</v>
      </c>
      <c r="H2443" s="4" t="s">
        <v>185</v>
      </c>
      <c r="I2443" s="5" t="str">
        <f>IFERROR(VLOOKUP(Consulta1[[#This Row],[Pozo largo]],'Lista YPF'!$B$3:$C$358,2,FALSE),"NO")</f>
        <v>NO</v>
      </c>
      <c r="J2443" s="5" t="str">
        <f>IFERROR(VLOOKUP(Consulta1[[#This Row],[Pozo]],'Lista Oportunidades'!B:C,2,FALSE),"NO")</f>
        <v>NO</v>
      </c>
      <c r="K2443" s="5">
        <f>IFERROR(VLOOKUP(Consulta1[[#This Row],[Pozo largo]],Controles!B:H,7,FALSE),"NO")</f>
        <v>2</v>
      </c>
      <c r="L2443" s="5">
        <f>IFERROR(VLOOKUP(Consulta1[[#This Row],[Pozo largo]],Controles!B:J,9,FALSE),"NO")</f>
        <v>0</v>
      </c>
    </row>
    <row r="2444" spans="2:12" x14ac:dyDescent="0.35">
      <c r="B2444" s="4" t="s">
        <v>4681</v>
      </c>
      <c r="C2444" s="4" t="s">
        <v>8151</v>
      </c>
      <c r="D2444" s="4" t="s">
        <v>5</v>
      </c>
      <c r="E2444" s="4" t="s">
        <v>12</v>
      </c>
      <c r="F2444" s="4" t="s">
        <v>7</v>
      </c>
      <c r="G2444" s="4" t="s">
        <v>13</v>
      </c>
      <c r="H2444" s="4" t="s">
        <v>185</v>
      </c>
      <c r="I2444" s="5" t="str">
        <f>IFERROR(VLOOKUP(Consulta1[[#This Row],[Pozo largo]],'Lista YPF'!$B$3:$C$358,2,FALSE),"NO")</f>
        <v>NO</v>
      </c>
      <c r="J2444" s="5" t="str">
        <f>IFERROR(VLOOKUP(Consulta1[[#This Row],[Pozo]],'Lista Oportunidades'!B:C,2,FALSE),"NO")</f>
        <v>NO</v>
      </c>
      <c r="K2444" s="5">
        <f>IFERROR(VLOOKUP(Consulta1[[#This Row],[Pozo largo]],Controles!B:H,7,FALSE),"NO")</f>
        <v>1.0920000000000001</v>
      </c>
      <c r="L2444" s="5">
        <f>IFERROR(VLOOKUP(Consulta1[[#This Row],[Pozo largo]],Controles!B:J,9,FALSE),"NO")</f>
        <v>0</v>
      </c>
    </row>
    <row r="2445" spans="2:12" x14ac:dyDescent="0.35">
      <c r="B2445" s="4" t="s">
        <v>4683</v>
      </c>
      <c r="C2445" s="4" t="s">
        <v>8152</v>
      </c>
      <c r="D2445" s="4" t="s">
        <v>5</v>
      </c>
      <c r="E2445" s="4" t="s">
        <v>12</v>
      </c>
      <c r="F2445" s="4" t="s">
        <v>7</v>
      </c>
      <c r="G2445" s="4" t="s">
        <v>13</v>
      </c>
      <c r="H2445" s="4" t="s">
        <v>185</v>
      </c>
      <c r="I2445" s="5" t="str">
        <f>IFERROR(VLOOKUP(Consulta1[[#This Row],[Pozo largo]],'Lista YPF'!$B$3:$C$358,2,FALSE),"NO")</f>
        <v>NO</v>
      </c>
      <c r="J2445" s="5" t="str">
        <f>IFERROR(VLOOKUP(Consulta1[[#This Row],[Pozo]],'Lista Oportunidades'!B:C,2,FALSE),"NO")</f>
        <v>NO</v>
      </c>
      <c r="K2445" s="5">
        <f>IFERROR(VLOOKUP(Consulta1[[#This Row],[Pozo largo]],Controles!B:H,7,FALSE),"NO")</f>
        <v>0.72400000000000009</v>
      </c>
      <c r="L2445" s="5">
        <f>IFERROR(VLOOKUP(Consulta1[[#This Row],[Pozo largo]],Controles!B:J,9,FALSE),"NO")</f>
        <v>0</v>
      </c>
    </row>
    <row r="2446" spans="2:12" x14ac:dyDescent="0.35">
      <c r="B2446" s="4" t="s">
        <v>4685</v>
      </c>
      <c r="C2446" s="4" t="s">
        <v>8153</v>
      </c>
      <c r="D2446" s="4" t="s">
        <v>5</v>
      </c>
      <c r="E2446" s="4" t="s">
        <v>12</v>
      </c>
      <c r="F2446" s="4" t="s">
        <v>7</v>
      </c>
      <c r="G2446" s="4" t="s">
        <v>13</v>
      </c>
      <c r="H2446" s="4" t="s">
        <v>185</v>
      </c>
      <c r="I2446" s="5" t="str">
        <f>IFERROR(VLOOKUP(Consulta1[[#This Row],[Pozo largo]],'Lista YPF'!$B$3:$C$358,2,FALSE),"NO")</f>
        <v>NO</v>
      </c>
      <c r="J2446" s="5" t="str">
        <f>IFERROR(VLOOKUP(Consulta1[[#This Row],[Pozo]],'Lista Oportunidades'!B:C,2,FALSE),"NO")</f>
        <v>NO</v>
      </c>
      <c r="K2446" s="5">
        <f>IFERROR(VLOOKUP(Consulta1[[#This Row],[Pozo largo]],Controles!B:H,7,FALSE),"NO")</f>
        <v>4.4000000000000004</v>
      </c>
      <c r="L2446" s="5">
        <f>IFERROR(VLOOKUP(Consulta1[[#This Row],[Pozo largo]],Controles!B:J,9,FALSE),"NO")</f>
        <v>0</v>
      </c>
    </row>
    <row r="2447" spans="2:12" x14ac:dyDescent="0.35">
      <c r="B2447" s="4" t="s">
        <v>4687</v>
      </c>
      <c r="C2447" s="4" t="s">
        <v>8154</v>
      </c>
      <c r="D2447" s="4" t="s">
        <v>5</v>
      </c>
      <c r="E2447" s="4" t="s">
        <v>12</v>
      </c>
      <c r="F2447" s="4" t="s">
        <v>238</v>
      </c>
      <c r="G2447" s="4" t="s">
        <v>13</v>
      </c>
      <c r="H2447" s="4" t="s">
        <v>9</v>
      </c>
      <c r="I2447" s="5" t="str">
        <f>IFERROR(VLOOKUP(Consulta1[[#This Row],[Pozo largo]],'Lista YPF'!$B$3:$C$358,2,FALSE),"NO")</f>
        <v>NO</v>
      </c>
      <c r="J2447" s="5" t="str">
        <f>IFERROR(VLOOKUP(Consulta1[[#This Row],[Pozo]],'Lista Oportunidades'!B:C,2,FALSE),"NO")</f>
        <v>NO</v>
      </c>
      <c r="K2447" s="5">
        <f>IFERROR(VLOOKUP(Consulta1[[#This Row],[Pozo largo]],Controles!B:H,7,FALSE),"NO")</f>
        <v>1.17</v>
      </c>
      <c r="L2447" s="5">
        <f>IFERROR(VLOOKUP(Consulta1[[#This Row],[Pozo largo]],Controles!B:J,9,FALSE),"NO")</f>
        <v>0</v>
      </c>
    </row>
    <row r="2448" spans="2:12" x14ac:dyDescent="0.35">
      <c r="B2448" s="4" t="s">
        <v>4689</v>
      </c>
      <c r="C2448" s="4" t="s">
        <v>8155</v>
      </c>
      <c r="D2448" s="4" t="s">
        <v>5</v>
      </c>
      <c r="E2448" s="4" t="s">
        <v>12</v>
      </c>
      <c r="F2448" s="4" t="s">
        <v>28</v>
      </c>
      <c r="G2448" s="4" t="s">
        <v>13</v>
      </c>
      <c r="H2448" s="4" t="s">
        <v>9</v>
      </c>
      <c r="I2448" s="5" t="str">
        <f>IFERROR(VLOOKUP(Consulta1[[#This Row],[Pozo largo]],'Lista YPF'!$B$3:$C$358,2,FALSE),"NO")</f>
        <v>NO</v>
      </c>
      <c r="J2448" s="5" t="str">
        <f>IFERROR(VLOOKUP(Consulta1[[#This Row],[Pozo]],'Lista Oportunidades'!B:C,2,FALSE),"NO")</f>
        <v>NO</v>
      </c>
      <c r="K2448" s="5">
        <f>IFERROR(VLOOKUP(Consulta1[[#This Row],[Pozo largo]],Controles!B:H,7,FALSE),"NO")</f>
        <v>0</v>
      </c>
      <c r="L2448" s="5">
        <f>IFERROR(VLOOKUP(Consulta1[[#This Row],[Pozo largo]],Controles!B:J,9,FALSE),"NO")</f>
        <v>0</v>
      </c>
    </row>
    <row r="2449" spans="2:12" x14ac:dyDescent="0.35">
      <c r="B2449" s="4" t="s">
        <v>4691</v>
      </c>
      <c r="C2449" s="4" t="s">
        <v>8156</v>
      </c>
      <c r="D2449" s="4" t="s">
        <v>5</v>
      </c>
      <c r="E2449" s="4" t="s">
        <v>12</v>
      </c>
      <c r="F2449" s="4" t="s">
        <v>7</v>
      </c>
      <c r="G2449" s="4" t="s">
        <v>13</v>
      </c>
      <c r="H2449" s="4" t="s">
        <v>21</v>
      </c>
      <c r="I2449" s="5" t="str">
        <f>IFERROR(VLOOKUP(Consulta1[[#This Row],[Pozo largo]],'Lista YPF'!$B$3:$C$358,2,FALSE),"NO")</f>
        <v>NO</v>
      </c>
      <c r="J2449" s="5" t="str">
        <f>IFERROR(VLOOKUP(Consulta1[[#This Row],[Pozo]],'Lista Oportunidades'!B:C,2,FALSE),"NO")</f>
        <v>NO</v>
      </c>
      <c r="K2449" s="5">
        <f>IFERROR(VLOOKUP(Consulta1[[#This Row],[Pozo largo]],Controles!B:H,7,FALSE),"NO")</f>
        <v>1.54</v>
      </c>
      <c r="L2449" s="5">
        <f>IFERROR(VLOOKUP(Consulta1[[#This Row],[Pozo largo]],Controles!B:J,9,FALSE),"NO")</f>
        <v>0</v>
      </c>
    </row>
    <row r="2450" spans="2:12" x14ac:dyDescent="0.35">
      <c r="B2450" s="4" t="s">
        <v>4693</v>
      </c>
      <c r="C2450" s="4" t="s">
        <v>8157</v>
      </c>
      <c r="D2450" s="4" t="s">
        <v>5</v>
      </c>
      <c r="E2450" s="4" t="s">
        <v>12</v>
      </c>
      <c r="F2450" s="4" t="s">
        <v>28</v>
      </c>
      <c r="G2450" s="4" t="s">
        <v>13</v>
      </c>
      <c r="H2450" s="4" t="s">
        <v>185</v>
      </c>
      <c r="I2450" s="5" t="str">
        <f>IFERROR(VLOOKUP(Consulta1[[#This Row],[Pozo largo]],'Lista YPF'!$B$3:$C$358,2,FALSE),"NO")</f>
        <v>NO</v>
      </c>
      <c r="J2450" s="5" t="str">
        <f>IFERROR(VLOOKUP(Consulta1[[#This Row],[Pozo]],'Lista Oportunidades'!B:C,2,FALSE),"NO")</f>
        <v>NO</v>
      </c>
      <c r="K2450" s="5">
        <f>IFERROR(VLOOKUP(Consulta1[[#This Row],[Pozo largo]],Controles!B:H,7,FALSE),"NO")</f>
        <v>0</v>
      </c>
      <c r="L2450" s="5">
        <f>IFERROR(VLOOKUP(Consulta1[[#This Row],[Pozo largo]],Controles!B:J,9,FALSE),"NO")</f>
        <v>0</v>
      </c>
    </row>
    <row r="2451" spans="2:12" x14ac:dyDescent="0.35">
      <c r="B2451" s="4" t="s">
        <v>4695</v>
      </c>
      <c r="C2451" s="4" t="s">
        <v>8158</v>
      </c>
      <c r="D2451" s="4" t="s">
        <v>5</v>
      </c>
      <c r="E2451" s="4" t="s">
        <v>12</v>
      </c>
      <c r="F2451" s="4" t="s">
        <v>7</v>
      </c>
      <c r="G2451" s="4" t="s">
        <v>13</v>
      </c>
      <c r="H2451" s="4" t="s">
        <v>185</v>
      </c>
      <c r="I2451" s="5" t="str">
        <f>IFERROR(VLOOKUP(Consulta1[[#This Row],[Pozo largo]],'Lista YPF'!$B$3:$C$358,2,FALSE),"NO")</f>
        <v>NO</v>
      </c>
      <c r="J2451" s="5" t="str">
        <f>IFERROR(VLOOKUP(Consulta1[[#This Row],[Pozo]],'Lista Oportunidades'!B:C,2,FALSE),"NO")</f>
        <v>NO</v>
      </c>
      <c r="K2451" s="5">
        <f>IFERROR(VLOOKUP(Consulta1[[#This Row],[Pozo largo]],Controles!B:H,7,FALSE),"NO")</f>
        <v>0.77</v>
      </c>
      <c r="L2451" s="5">
        <f>IFERROR(VLOOKUP(Consulta1[[#This Row],[Pozo largo]],Controles!B:J,9,FALSE),"NO")</f>
        <v>0</v>
      </c>
    </row>
    <row r="2452" spans="2:12" x14ac:dyDescent="0.35">
      <c r="B2452" s="4" t="s">
        <v>4697</v>
      </c>
      <c r="C2452" s="4" t="s">
        <v>8159</v>
      </c>
      <c r="D2452" s="4" t="s">
        <v>5</v>
      </c>
      <c r="E2452" s="4" t="s">
        <v>12</v>
      </c>
      <c r="F2452" s="4" t="s">
        <v>7</v>
      </c>
      <c r="G2452" s="4" t="s">
        <v>13</v>
      </c>
      <c r="H2452" s="4" t="s">
        <v>185</v>
      </c>
      <c r="I2452" s="5" t="str">
        <f>IFERROR(VLOOKUP(Consulta1[[#This Row],[Pozo largo]],'Lista YPF'!$B$3:$C$358,2,FALSE),"NO")</f>
        <v>NO</v>
      </c>
      <c r="J2452" s="5" t="str">
        <f>IFERROR(VLOOKUP(Consulta1[[#This Row],[Pozo]],'Lista Oportunidades'!B:C,2,FALSE),"NO")</f>
        <v>NO</v>
      </c>
      <c r="K2452" s="5">
        <f>IFERROR(VLOOKUP(Consulta1[[#This Row],[Pozo largo]],Controles!B:H,7,FALSE),"NO")</f>
        <v>1.32</v>
      </c>
      <c r="L2452" s="5">
        <f>IFERROR(VLOOKUP(Consulta1[[#This Row],[Pozo largo]],Controles!B:J,9,FALSE),"NO")</f>
        <v>0</v>
      </c>
    </row>
    <row r="2453" spans="2:12" x14ac:dyDescent="0.35">
      <c r="B2453" s="4" t="s">
        <v>4699</v>
      </c>
      <c r="C2453" s="4" t="s">
        <v>8160</v>
      </c>
      <c r="D2453" s="4" t="s">
        <v>5</v>
      </c>
      <c r="E2453" s="4" t="s">
        <v>12</v>
      </c>
      <c r="F2453" s="4" t="s">
        <v>7</v>
      </c>
      <c r="G2453" s="4" t="s">
        <v>13</v>
      </c>
      <c r="H2453" s="4" t="s">
        <v>185</v>
      </c>
      <c r="I2453" s="5" t="str">
        <f>IFERROR(VLOOKUP(Consulta1[[#This Row],[Pozo largo]],'Lista YPF'!$B$3:$C$358,2,FALSE),"NO")</f>
        <v>NO</v>
      </c>
      <c r="J2453" s="5" t="str">
        <f>IFERROR(VLOOKUP(Consulta1[[#This Row],[Pozo]],'Lista Oportunidades'!B:C,2,FALSE),"NO")</f>
        <v>NO</v>
      </c>
      <c r="K2453" s="5">
        <f>IFERROR(VLOOKUP(Consulta1[[#This Row],[Pozo largo]],Controles!B:H,7,FALSE),"NO")</f>
        <v>0.72799999999999998</v>
      </c>
      <c r="L2453" s="5">
        <f>IFERROR(VLOOKUP(Consulta1[[#This Row],[Pozo largo]],Controles!B:J,9,FALSE),"NO")</f>
        <v>0</v>
      </c>
    </row>
    <row r="2454" spans="2:12" x14ac:dyDescent="0.35">
      <c r="B2454" s="4" t="s">
        <v>4701</v>
      </c>
      <c r="C2454" s="4" t="s">
        <v>8161</v>
      </c>
      <c r="D2454" s="4" t="s">
        <v>5</v>
      </c>
      <c r="E2454" s="4" t="s">
        <v>12</v>
      </c>
      <c r="F2454" s="4" t="s">
        <v>7</v>
      </c>
      <c r="G2454" s="4" t="s">
        <v>13</v>
      </c>
      <c r="H2454" s="4" t="s">
        <v>9</v>
      </c>
      <c r="I2454" s="5" t="str">
        <f>IFERROR(VLOOKUP(Consulta1[[#This Row],[Pozo largo]],'Lista YPF'!$B$3:$C$358,2,FALSE),"NO")</f>
        <v>NO</v>
      </c>
      <c r="J2454" s="5" t="str">
        <f>IFERROR(VLOOKUP(Consulta1[[#This Row],[Pozo]],'Lista Oportunidades'!B:C,2,FALSE),"NO")</f>
        <v>NO</v>
      </c>
      <c r="K2454" s="5">
        <f>IFERROR(VLOOKUP(Consulta1[[#This Row],[Pozo largo]],Controles!B:H,7,FALSE),"NO")</f>
        <v>6.8900000000000006</v>
      </c>
      <c r="L2454" s="5">
        <f>IFERROR(VLOOKUP(Consulta1[[#This Row],[Pozo largo]],Controles!B:J,9,FALSE),"NO")</f>
        <v>0</v>
      </c>
    </row>
    <row r="2455" spans="2:12" x14ac:dyDescent="0.35">
      <c r="B2455" s="4" t="s">
        <v>4703</v>
      </c>
      <c r="C2455" s="4" t="s">
        <v>8162</v>
      </c>
      <c r="D2455" s="4" t="s">
        <v>5</v>
      </c>
      <c r="E2455" s="4" t="s">
        <v>12</v>
      </c>
      <c r="F2455" s="4" t="s">
        <v>7</v>
      </c>
      <c r="G2455" s="4" t="s">
        <v>13</v>
      </c>
      <c r="H2455" s="4" t="s">
        <v>86</v>
      </c>
      <c r="I2455" s="5" t="str">
        <f>IFERROR(VLOOKUP(Consulta1[[#This Row],[Pozo largo]],'Lista YPF'!$B$3:$C$358,2,FALSE),"NO")</f>
        <v>NO</v>
      </c>
      <c r="J2455" s="5" t="str">
        <f>IFERROR(VLOOKUP(Consulta1[[#This Row],[Pozo]],'Lista Oportunidades'!B:C,2,FALSE),"NO")</f>
        <v>NO</v>
      </c>
      <c r="K2455" s="5">
        <f>IFERROR(VLOOKUP(Consulta1[[#This Row],[Pozo largo]],Controles!B:H,7,FALSE),"NO")</f>
        <v>0.56000000000000005</v>
      </c>
      <c r="L2455" s="5">
        <f>IFERROR(VLOOKUP(Consulta1[[#This Row],[Pozo largo]],Controles!B:J,9,FALSE),"NO")</f>
        <v>0</v>
      </c>
    </row>
    <row r="2456" spans="2:12" x14ac:dyDescent="0.35">
      <c r="B2456" s="4" t="s">
        <v>4705</v>
      </c>
      <c r="C2456" s="4" t="s">
        <v>8163</v>
      </c>
      <c r="D2456" s="4" t="s">
        <v>5</v>
      </c>
      <c r="E2456" s="4" t="s">
        <v>24</v>
      </c>
      <c r="F2456" s="4" t="s">
        <v>7</v>
      </c>
      <c r="G2456" s="4" t="s">
        <v>8</v>
      </c>
      <c r="H2456" s="4" t="s">
        <v>86</v>
      </c>
      <c r="I2456" s="5" t="str">
        <f>IFERROR(VLOOKUP(Consulta1[[#This Row],[Pozo largo]],'Lista YPF'!$B$3:$C$358,2,FALSE),"NO")</f>
        <v>NO</v>
      </c>
      <c r="J2456" s="5" t="str">
        <f>IFERROR(VLOOKUP(Consulta1[[#This Row],[Pozo]],'Lista Oportunidades'!B:C,2,FALSE),"NO")</f>
        <v>NO</v>
      </c>
      <c r="K2456" s="5">
        <f>IFERROR(VLOOKUP(Consulta1[[#This Row],[Pozo largo]],Controles!B:H,7,FALSE),"NO")</f>
        <v>0.38</v>
      </c>
      <c r="L2456" s="5">
        <f>IFERROR(VLOOKUP(Consulta1[[#This Row],[Pozo largo]],Controles!B:J,9,FALSE),"NO")</f>
        <v>0</v>
      </c>
    </row>
    <row r="2457" spans="2:12" x14ac:dyDescent="0.35">
      <c r="B2457" s="4" t="s">
        <v>4707</v>
      </c>
      <c r="C2457" s="4" t="s">
        <v>8164</v>
      </c>
      <c r="D2457" s="4" t="s">
        <v>5</v>
      </c>
      <c r="E2457" s="4" t="s">
        <v>12</v>
      </c>
      <c r="F2457" s="4" t="s">
        <v>7</v>
      </c>
      <c r="G2457" s="4" t="s">
        <v>13</v>
      </c>
      <c r="H2457" s="4" t="s">
        <v>16</v>
      </c>
      <c r="I2457" s="5" t="str">
        <f>IFERROR(VLOOKUP(Consulta1[[#This Row],[Pozo largo]],'Lista YPF'!$B$3:$C$358,2,FALSE),"NO")</f>
        <v>NO</v>
      </c>
      <c r="J2457" s="5" t="str">
        <f>IFERROR(VLOOKUP(Consulta1[[#This Row],[Pozo]],'Lista Oportunidades'!B:C,2,FALSE),"NO")</f>
        <v>NO</v>
      </c>
      <c r="K2457" s="5">
        <f>IFERROR(VLOOKUP(Consulta1[[#This Row],[Pozo largo]],Controles!B:H,7,FALSE),"NO")</f>
        <v>0.98</v>
      </c>
      <c r="L2457" s="5">
        <f>IFERROR(VLOOKUP(Consulta1[[#This Row],[Pozo largo]],Controles!B:J,9,FALSE),"NO")</f>
        <v>0</v>
      </c>
    </row>
    <row r="2458" spans="2:12" x14ac:dyDescent="0.35">
      <c r="B2458" s="4" t="s">
        <v>4709</v>
      </c>
      <c r="C2458" s="4" t="s">
        <v>8165</v>
      </c>
      <c r="D2458" s="4" t="s">
        <v>5</v>
      </c>
      <c r="E2458" s="4" t="s">
        <v>12</v>
      </c>
      <c r="F2458" s="4" t="s">
        <v>7</v>
      </c>
      <c r="G2458" s="4" t="s">
        <v>13</v>
      </c>
      <c r="H2458" s="4" t="s">
        <v>21</v>
      </c>
      <c r="I2458" s="5" t="str">
        <f>IFERROR(VLOOKUP(Consulta1[[#This Row],[Pozo largo]],'Lista YPF'!$B$3:$C$358,2,FALSE),"NO")</f>
        <v>NO</v>
      </c>
      <c r="J2458" s="5" t="str">
        <f>IFERROR(VLOOKUP(Consulta1[[#This Row],[Pozo]],'Lista Oportunidades'!B:C,2,FALSE),"NO")</f>
        <v>NO</v>
      </c>
      <c r="K2458" s="5">
        <f>IFERROR(VLOOKUP(Consulta1[[#This Row],[Pozo largo]],Controles!B:H,7,FALSE),"NO")</f>
        <v>0.46200000000000002</v>
      </c>
      <c r="L2458" s="5">
        <f>IFERROR(VLOOKUP(Consulta1[[#This Row],[Pozo largo]],Controles!B:J,9,FALSE),"NO")</f>
        <v>0</v>
      </c>
    </row>
    <row r="2459" spans="2:12" x14ac:dyDescent="0.35">
      <c r="B2459" s="4" t="s">
        <v>4711</v>
      </c>
      <c r="C2459" s="4" t="s">
        <v>8166</v>
      </c>
      <c r="D2459" s="4" t="s">
        <v>5</v>
      </c>
      <c r="E2459" s="4" t="s">
        <v>12</v>
      </c>
      <c r="F2459" s="4" t="s">
        <v>7</v>
      </c>
      <c r="G2459" s="4" t="s">
        <v>13</v>
      </c>
      <c r="H2459" s="4" t="s">
        <v>9</v>
      </c>
      <c r="I2459" s="5" t="str">
        <f>IFERROR(VLOOKUP(Consulta1[[#This Row],[Pozo largo]],'Lista YPF'!$B$3:$C$358,2,FALSE),"NO")</f>
        <v>NO</v>
      </c>
      <c r="J2459" s="5" t="str">
        <f>IFERROR(VLOOKUP(Consulta1[[#This Row],[Pozo]],'Lista Oportunidades'!B:C,2,FALSE),"NO")</f>
        <v>NO</v>
      </c>
      <c r="K2459" s="5">
        <f>IFERROR(VLOOKUP(Consulta1[[#This Row],[Pozo largo]],Controles!B:H,7,FALSE),"NO")</f>
        <v>2.4</v>
      </c>
      <c r="L2459" s="5">
        <f>IFERROR(VLOOKUP(Consulta1[[#This Row],[Pozo largo]],Controles!B:J,9,FALSE),"NO")</f>
        <v>0</v>
      </c>
    </row>
    <row r="2460" spans="2:12" x14ac:dyDescent="0.35">
      <c r="B2460" s="4" t="s">
        <v>4713</v>
      </c>
      <c r="C2460" s="4" t="s">
        <v>8167</v>
      </c>
      <c r="D2460" s="4" t="s">
        <v>5</v>
      </c>
      <c r="E2460" s="4" t="s">
        <v>430</v>
      </c>
      <c r="F2460" s="4" t="s">
        <v>7</v>
      </c>
      <c r="G2460" s="4" t="s">
        <v>5718</v>
      </c>
      <c r="H2460" s="4" t="s">
        <v>254</v>
      </c>
      <c r="I2460" s="5" t="str">
        <f>IFERROR(VLOOKUP(Consulta1[[#This Row],[Pozo largo]],'Lista YPF'!$B$3:$C$358,2,FALSE),"NO")</f>
        <v>En lista de Abandono</v>
      </c>
      <c r="J2460" s="5" t="str">
        <f>IFERROR(VLOOKUP(Consulta1[[#This Row],[Pozo]],'Lista Oportunidades'!B:C,2,FALSE),"NO")</f>
        <v>NO</v>
      </c>
      <c r="K2460" s="5">
        <f>IFERROR(VLOOKUP(Consulta1[[#This Row],[Pozo largo]],Controles!B:H,7,FALSE),"NO")</f>
        <v>0.2</v>
      </c>
      <c r="L2460" s="5">
        <f>IFERROR(VLOOKUP(Consulta1[[#This Row],[Pozo largo]],Controles!B:J,9,FALSE),"NO")</f>
        <v>0</v>
      </c>
    </row>
    <row r="2461" spans="2:12" x14ac:dyDescent="0.35">
      <c r="B2461" s="4" t="s">
        <v>4715</v>
      </c>
      <c r="C2461" s="4" t="s">
        <v>8168</v>
      </c>
      <c r="D2461" s="4" t="s">
        <v>5</v>
      </c>
      <c r="E2461" s="4" t="s">
        <v>6</v>
      </c>
      <c r="F2461" s="4" t="s">
        <v>7</v>
      </c>
      <c r="G2461" s="4" t="s">
        <v>11386</v>
      </c>
      <c r="H2461" s="4" t="s">
        <v>9</v>
      </c>
      <c r="I2461" s="5" t="str">
        <f>IFERROR(VLOOKUP(Consulta1[[#This Row],[Pozo largo]],'Lista YPF'!$B$3:$C$358,2,FALSE),"NO")</f>
        <v>NO</v>
      </c>
      <c r="J2461" s="5" t="str">
        <f>IFERROR(VLOOKUP(Consulta1[[#This Row],[Pozo]],'Lista Oportunidades'!B:C,2,FALSE),"NO")</f>
        <v>NO</v>
      </c>
      <c r="K2461" s="5">
        <f>IFERROR(VLOOKUP(Consulta1[[#This Row],[Pozo largo]],Controles!B:H,7,FALSE),"NO")</f>
        <v>0.65</v>
      </c>
      <c r="L2461" s="5" t="str">
        <f>IFERROR(VLOOKUP(Consulta1[[#This Row],[Pozo largo]],Controles!B:J,9,FALSE),"NO")</f>
        <v>Ultimos 6 meses</v>
      </c>
    </row>
    <row r="2462" spans="2:12" x14ac:dyDescent="0.35">
      <c r="B2462" s="4" t="s">
        <v>4717</v>
      </c>
      <c r="C2462" s="4" t="s">
        <v>8169</v>
      </c>
      <c r="D2462" s="4" t="s">
        <v>5</v>
      </c>
      <c r="E2462" s="4" t="s">
        <v>12</v>
      </c>
      <c r="F2462" s="4" t="s">
        <v>7</v>
      </c>
      <c r="G2462" s="4" t="s">
        <v>13</v>
      </c>
      <c r="H2462" s="4" t="s">
        <v>91</v>
      </c>
      <c r="I2462" s="5" t="str">
        <f>IFERROR(VLOOKUP(Consulta1[[#This Row],[Pozo largo]],'Lista YPF'!$B$3:$C$358,2,FALSE),"NO")</f>
        <v>NO</v>
      </c>
      <c r="J2462" s="5" t="str">
        <f>IFERROR(VLOOKUP(Consulta1[[#This Row],[Pozo]],'Lista Oportunidades'!B:C,2,FALSE),"NO")</f>
        <v>NO</v>
      </c>
      <c r="K2462" s="5">
        <f>IFERROR(VLOOKUP(Consulta1[[#This Row],[Pozo largo]],Controles!B:H,7,FALSE),"NO")</f>
        <v>0.66</v>
      </c>
      <c r="L2462" s="5">
        <f>IFERROR(VLOOKUP(Consulta1[[#This Row],[Pozo largo]],Controles!B:J,9,FALSE),"NO")</f>
        <v>0</v>
      </c>
    </row>
    <row r="2463" spans="2:12" x14ac:dyDescent="0.35">
      <c r="B2463" s="4" t="s">
        <v>4719</v>
      </c>
      <c r="C2463" s="4" t="s">
        <v>8170</v>
      </c>
      <c r="D2463" s="4" t="s">
        <v>5</v>
      </c>
      <c r="E2463" s="4" t="s">
        <v>12</v>
      </c>
      <c r="F2463" s="4" t="s">
        <v>7</v>
      </c>
      <c r="G2463" s="4" t="s">
        <v>13</v>
      </c>
      <c r="H2463" s="4" t="s">
        <v>185</v>
      </c>
      <c r="I2463" s="5" t="str">
        <f>IFERROR(VLOOKUP(Consulta1[[#This Row],[Pozo largo]],'Lista YPF'!$B$3:$C$358,2,FALSE),"NO")</f>
        <v>NO</v>
      </c>
      <c r="J2463" s="5" t="str">
        <f>IFERROR(VLOOKUP(Consulta1[[#This Row],[Pozo]],'Lista Oportunidades'!B:C,2,FALSE),"NO")</f>
        <v>NO</v>
      </c>
      <c r="K2463" s="5">
        <f>IFERROR(VLOOKUP(Consulta1[[#This Row],[Pozo largo]],Controles!B:H,7,FALSE),"NO")</f>
        <v>1.248</v>
      </c>
      <c r="L2463" s="5">
        <f>IFERROR(VLOOKUP(Consulta1[[#This Row],[Pozo largo]],Controles!B:J,9,FALSE),"NO")</f>
        <v>0</v>
      </c>
    </row>
    <row r="2464" spans="2:12" x14ac:dyDescent="0.35">
      <c r="B2464" s="4" t="s">
        <v>4721</v>
      </c>
      <c r="C2464" s="4" t="s">
        <v>8171</v>
      </c>
      <c r="D2464" s="4" t="s">
        <v>5</v>
      </c>
      <c r="E2464" s="4" t="s">
        <v>24</v>
      </c>
      <c r="F2464" s="4" t="s">
        <v>25</v>
      </c>
      <c r="G2464" s="4" t="s">
        <v>8</v>
      </c>
      <c r="H2464" s="4" t="s">
        <v>91</v>
      </c>
      <c r="I2464" s="5" t="str">
        <f>IFERROR(VLOOKUP(Consulta1[[#This Row],[Pozo largo]],'Lista YPF'!$B$3:$C$358,2,FALSE),"NO")</f>
        <v>NO</v>
      </c>
      <c r="J2464" s="5" t="str">
        <f>IFERROR(VLOOKUP(Consulta1[[#This Row],[Pozo]],'Lista Oportunidades'!B:C,2,FALSE),"NO")</f>
        <v>NO</v>
      </c>
      <c r="K2464" s="5">
        <f>IFERROR(VLOOKUP(Consulta1[[#This Row],[Pozo largo]],Controles!B:H,7,FALSE),"NO")</f>
        <v>9.7000000000000003E-2</v>
      </c>
      <c r="L2464" s="5">
        <f>IFERROR(VLOOKUP(Consulta1[[#This Row],[Pozo largo]],Controles!B:J,9,FALSE),"NO")</f>
        <v>0</v>
      </c>
    </row>
    <row r="2465" spans="2:12" x14ac:dyDescent="0.35">
      <c r="B2465" s="4" t="s">
        <v>4723</v>
      </c>
      <c r="C2465" s="4" t="s">
        <v>8172</v>
      </c>
      <c r="D2465" s="4" t="s">
        <v>5</v>
      </c>
      <c r="E2465" s="4" t="s">
        <v>12</v>
      </c>
      <c r="F2465" s="4" t="s">
        <v>25</v>
      </c>
      <c r="G2465" s="4" t="s">
        <v>13</v>
      </c>
      <c r="H2465" s="4" t="s">
        <v>91</v>
      </c>
      <c r="I2465" s="5" t="str">
        <f>IFERROR(VLOOKUP(Consulta1[[#This Row],[Pozo largo]],'Lista YPF'!$B$3:$C$358,2,FALSE),"NO")</f>
        <v>NO</v>
      </c>
      <c r="J2465" s="5" t="str">
        <f>IFERROR(VLOOKUP(Consulta1[[#This Row],[Pozo]],'Lista Oportunidades'!B:C,2,FALSE),"NO")</f>
        <v>NO</v>
      </c>
      <c r="K2465" s="5">
        <f>IFERROR(VLOOKUP(Consulta1[[#This Row],[Pozo largo]],Controles!B:H,7,FALSE),"NO")</f>
        <v>0.10400000000000001</v>
      </c>
      <c r="L2465" s="5">
        <f>IFERROR(VLOOKUP(Consulta1[[#This Row],[Pozo largo]],Controles!B:J,9,FALSE),"NO")</f>
        <v>0</v>
      </c>
    </row>
    <row r="2466" spans="2:12" x14ac:dyDescent="0.35">
      <c r="B2466" s="4" t="s">
        <v>4725</v>
      </c>
      <c r="C2466" s="4" t="s">
        <v>8173</v>
      </c>
      <c r="D2466" s="4" t="s">
        <v>5</v>
      </c>
      <c r="E2466" s="4" t="s">
        <v>6</v>
      </c>
      <c r="F2466" s="4" t="s">
        <v>7</v>
      </c>
      <c r="G2466" s="4" t="s">
        <v>5718</v>
      </c>
      <c r="H2466" s="4" t="s">
        <v>71</v>
      </c>
      <c r="I2466" s="5" t="str">
        <f>IFERROR(VLOOKUP(Consulta1[[#This Row],[Pozo largo]],'Lista YPF'!$B$3:$C$358,2,FALSE),"NO")</f>
        <v>En lista de Abandono</v>
      </c>
      <c r="J2466" s="5" t="str">
        <f>IFERROR(VLOOKUP(Consulta1[[#This Row],[Pozo]],'Lista Oportunidades'!B:C,2,FALSE),"NO")</f>
        <v>NO</v>
      </c>
      <c r="K2466" s="5">
        <f>IFERROR(VLOOKUP(Consulta1[[#This Row],[Pozo largo]],Controles!B:H,7,FALSE),"NO")</f>
        <v>1.6</v>
      </c>
      <c r="L2466" s="5">
        <f>IFERROR(VLOOKUP(Consulta1[[#This Row],[Pozo largo]],Controles!B:J,9,FALSE),"NO")</f>
        <v>0</v>
      </c>
    </row>
    <row r="2467" spans="2:12" x14ac:dyDescent="0.35">
      <c r="B2467" s="4" t="s">
        <v>4727</v>
      </c>
      <c r="C2467" s="4" t="s">
        <v>8174</v>
      </c>
      <c r="D2467" s="4" t="s">
        <v>5</v>
      </c>
      <c r="E2467" s="4" t="s">
        <v>12</v>
      </c>
      <c r="F2467" s="4" t="s">
        <v>7</v>
      </c>
      <c r="G2467" s="4" t="s">
        <v>13</v>
      </c>
      <c r="H2467" s="4" t="s">
        <v>141</v>
      </c>
      <c r="I2467" s="5" t="str">
        <f>IFERROR(VLOOKUP(Consulta1[[#This Row],[Pozo largo]],'Lista YPF'!$B$3:$C$358,2,FALSE),"NO")</f>
        <v>NO</v>
      </c>
      <c r="J2467" s="5" t="str">
        <f>IFERROR(VLOOKUP(Consulta1[[#This Row],[Pozo]],'Lista Oportunidades'!B:C,2,FALSE),"NO")</f>
        <v>NO</v>
      </c>
      <c r="K2467" s="5">
        <f>IFERROR(VLOOKUP(Consulta1[[#This Row],[Pozo largo]],Controles!B:H,7,FALSE),"NO")</f>
        <v>2.16</v>
      </c>
      <c r="L2467" s="5">
        <f>IFERROR(VLOOKUP(Consulta1[[#This Row],[Pozo largo]],Controles!B:J,9,FALSE),"NO")</f>
        <v>0</v>
      </c>
    </row>
    <row r="2468" spans="2:12" x14ac:dyDescent="0.35">
      <c r="B2468" s="4" t="s">
        <v>4729</v>
      </c>
      <c r="C2468" s="4" t="s">
        <v>8175</v>
      </c>
      <c r="D2468" s="4" t="s">
        <v>5</v>
      </c>
      <c r="E2468" s="4" t="s">
        <v>12</v>
      </c>
      <c r="F2468" s="4" t="s">
        <v>25</v>
      </c>
      <c r="G2468" s="4" t="s">
        <v>13</v>
      </c>
      <c r="H2468" s="4" t="s">
        <v>185</v>
      </c>
      <c r="I2468" s="5" t="str">
        <f>IFERROR(VLOOKUP(Consulta1[[#This Row],[Pozo largo]],'Lista YPF'!$B$3:$C$358,2,FALSE),"NO")</f>
        <v>NO</v>
      </c>
      <c r="J2468" s="5" t="str">
        <f>IFERROR(VLOOKUP(Consulta1[[#This Row],[Pozo]],'Lista Oportunidades'!B:C,2,FALSE),"NO")</f>
        <v>NO</v>
      </c>
      <c r="K2468" s="5">
        <f>IFERROR(VLOOKUP(Consulta1[[#This Row],[Pozo largo]],Controles!B:H,7,FALSE),"NO")</f>
        <v>0.10400000000000001</v>
      </c>
      <c r="L2468" s="5">
        <f>IFERROR(VLOOKUP(Consulta1[[#This Row],[Pozo largo]],Controles!B:J,9,FALSE),"NO")</f>
        <v>0</v>
      </c>
    </row>
    <row r="2469" spans="2:12" x14ac:dyDescent="0.35">
      <c r="B2469" s="4" t="s">
        <v>4731</v>
      </c>
      <c r="C2469" s="4" t="s">
        <v>8176</v>
      </c>
      <c r="D2469" s="4" t="s">
        <v>5</v>
      </c>
      <c r="E2469" s="4" t="s">
        <v>24</v>
      </c>
      <c r="F2469" s="4" t="s">
        <v>25</v>
      </c>
      <c r="G2469" s="4" t="s">
        <v>8</v>
      </c>
      <c r="H2469" s="4" t="s">
        <v>185</v>
      </c>
      <c r="I2469" s="5" t="str">
        <f>IFERROR(VLOOKUP(Consulta1[[#This Row],[Pozo largo]],'Lista YPF'!$B$3:$C$358,2,FALSE),"NO")</f>
        <v>NO</v>
      </c>
      <c r="J2469" s="5" t="str">
        <f>IFERROR(VLOOKUP(Consulta1[[#This Row],[Pozo]],'Lista Oportunidades'!B:C,2,FALSE),"NO")</f>
        <v>NO</v>
      </c>
      <c r="K2469" s="5">
        <f>IFERROR(VLOOKUP(Consulta1[[#This Row],[Pozo largo]],Controles!B:H,7,FALSE),"NO")</f>
        <v>0.14500000000000002</v>
      </c>
      <c r="L2469" s="5">
        <f>IFERROR(VLOOKUP(Consulta1[[#This Row],[Pozo largo]],Controles!B:J,9,FALSE),"NO")</f>
        <v>0</v>
      </c>
    </row>
    <row r="2470" spans="2:12" x14ac:dyDescent="0.35">
      <c r="B2470" s="4" t="s">
        <v>4733</v>
      </c>
      <c r="C2470" s="4" t="s">
        <v>8177</v>
      </c>
      <c r="D2470" s="4" t="s">
        <v>5</v>
      </c>
      <c r="E2470" s="4" t="s">
        <v>24</v>
      </c>
      <c r="F2470" s="4" t="s">
        <v>31</v>
      </c>
      <c r="G2470" s="4" t="s">
        <v>8</v>
      </c>
      <c r="H2470" s="4" t="s">
        <v>185</v>
      </c>
      <c r="I2470" s="5" t="str">
        <f>IFERROR(VLOOKUP(Consulta1[[#This Row],[Pozo largo]],'Lista YPF'!$B$3:$C$358,2,FALSE),"NO")</f>
        <v>NO</v>
      </c>
      <c r="J2470" s="5" t="str">
        <f>IFERROR(VLOOKUP(Consulta1[[#This Row],[Pozo]],'Lista Oportunidades'!B:C,2,FALSE),"NO")</f>
        <v>NO</v>
      </c>
      <c r="K2470" s="5">
        <f>IFERROR(VLOOKUP(Consulta1[[#This Row],[Pozo largo]],Controles!B:H,7,FALSE),"NO")</f>
        <v>1.032</v>
      </c>
      <c r="L2470" s="5">
        <f>IFERROR(VLOOKUP(Consulta1[[#This Row],[Pozo largo]],Controles!B:J,9,FALSE),"NO")</f>
        <v>0</v>
      </c>
    </row>
    <row r="2471" spans="2:12" x14ac:dyDescent="0.35">
      <c r="B2471" s="4" t="s">
        <v>4735</v>
      </c>
      <c r="C2471" s="4" t="s">
        <v>8178</v>
      </c>
      <c r="D2471" s="4" t="s">
        <v>5</v>
      </c>
      <c r="E2471" s="4" t="s">
        <v>30</v>
      </c>
      <c r="F2471" s="4" t="s">
        <v>31</v>
      </c>
      <c r="G2471" s="4" t="s">
        <v>32</v>
      </c>
      <c r="H2471" s="4" t="s">
        <v>141</v>
      </c>
      <c r="I2471" s="5" t="str">
        <f>IFERROR(VLOOKUP(Consulta1[[#This Row],[Pozo largo]],'Lista YPF'!$B$3:$C$358,2,FALSE),"NO")</f>
        <v>NO</v>
      </c>
      <c r="J2471" s="5" t="str">
        <f>IFERROR(VLOOKUP(Consulta1[[#This Row],[Pozo]],'Lista Oportunidades'!B:C,2,FALSE),"NO")</f>
        <v>NO</v>
      </c>
      <c r="K2471" s="5" t="str">
        <f>IFERROR(VLOOKUP(Consulta1[[#This Row],[Pozo largo]],Controles!B:H,7,FALSE),"NO")</f>
        <v>NO</v>
      </c>
      <c r="L2471" s="5" t="str">
        <f>IFERROR(VLOOKUP(Consulta1[[#This Row],[Pozo largo]],Controles!B:J,9,FALSE),"NO")</f>
        <v>NO</v>
      </c>
    </row>
    <row r="2472" spans="2:12" x14ac:dyDescent="0.35">
      <c r="B2472" s="4" t="s">
        <v>4736</v>
      </c>
      <c r="C2472" s="4" t="s">
        <v>8179</v>
      </c>
      <c r="D2472" s="4" t="s">
        <v>5</v>
      </c>
      <c r="E2472" s="4" t="s">
        <v>24</v>
      </c>
      <c r="F2472" s="4" t="s">
        <v>25</v>
      </c>
      <c r="G2472" s="4" t="s">
        <v>8</v>
      </c>
      <c r="H2472" s="4" t="s">
        <v>66</v>
      </c>
      <c r="I2472" s="5" t="str">
        <f>IFERROR(VLOOKUP(Consulta1[[#This Row],[Pozo largo]],'Lista YPF'!$B$3:$C$358,2,FALSE),"NO")</f>
        <v>NO</v>
      </c>
      <c r="J2472" s="5" t="str">
        <f>IFERROR(VLOOKUP(Consulta1[[#This Row],[Pozo]],'Lista Oportunidades'!B:C,2,FALSE),"NO")</f>
        <v>NO</v>
      </c>
      <c r="K2472" s="5">
        <f>IFERROR(VLOOKUP(Consulta1[[#This Row],[Pozo largo]],Controles!B:H,7,FALSE),"NO")</f>
        <v>0</v>
      </c>
      <c r="L2472" s="5">
        <f>IFERROR(VLOOKUP(Consulta1[[#This Row],[Pozo largo]],Controles!B:J,9,FALSE),"NO")</f>
        <v>0</v>
      </c>
    </row>
    <row r="2473" spans="2:12" x14ac:dyDescent="0.35">
      <c r="B2473" s="4" t="s">
        <v>4738</v>
      </c>
      <c r="C2473" s="4" t="s">
        <v>8180</v>
      </c>
      <c r="D2473" s="4" t="s">
        <v>5</v>
      </c>
      <c r="E2473" s="4" t="s">
        <v>30</v>
      </c>
      <c r="F2473" s="4" t="s">
        <v>31</v>
      </c>
      <c r="G2473" s="4" t="s">
        <v>32</v>
      </c>
      <c r="H2473" s="4" t="s">
        <v>80</v>
      </c>
      <c r="I2473" s="5" t="str">
        <f>IFERROR(VLOOKUP(Consulta1[[#This Row],[Pozo largo]],'Lista YPF'!$B$3:$C$358,2,FALSE),"NO")</f>
        <v>NO</v>
      </c>
      <c r="J2473" s="5" t="str">
        <f>IFERROR(VLOOKUP(Consulta1[[#This Row],[Pozo]],'Lista Oportunidades'!B:C,2,FALSE),"NO")</f>
        <v>NO</v>
      </c>
      <c r="K2473" s="5">
        <f>IFERROR(VLOOKUP(Consulta1[[#This Row],[Pozo largo]],Controles!B:H,7,FALSE),"NO")</f>
        <v>0.05</v>
      </c>
      <c r="L2473" s="5">
        <f>IFERROR(VLOOKUP(Consulta1[[#This Row],[Pozo largo]],Controles!B:J,9,FALSE),"NO")</f>
        <v>0</v>
      </c>
    </row>
    <row r="2474" spans="2:12" x14ac:dyDescent="0.35">
      <c r="B2474" s="4" t="s">
        <v>4740</v>
      </c>
      <c r="C2474" s="4" t="s">
        <v>8181</v>
      </c>
      <c r="D2474" s="4" t="s">
        <v>5</v>
      </c>
      <c r="E2474" s="4" t="s">
        <v>12</v>
      </c>
      <c r="F2474" s="4" t="s">
        <v>28</v>
      </c>
      <c r="G2474" s="4" t="s">
        <v>13</v>
      </c>
      <c r="H2474" s="4" t="s">
        <v>149</v>
      </c>
      <c r="I2474" s="5" t="str">
        <f>IFERROR(VLOOKUP(Consulta1[[#This Row],[Pozo largo]],'Lista YPF'!$B$3:$C$358,2,FALSE),"NO")</f>
        <v>NO</v>
      </c>
      <c r="J2474" s="5" t="str">
        <f>IFERROR(VLOOKUP(Consulta1[[#This Row],[Pozo]],'Lista Oportunidades'!B:C,2,FALSE),"NO")</f>
        <v>NO</v>
      </c>
      <c r="K2474" s="5">
        <f>IFERROR(VLOOKUP(Consulta1[[#This Row],[Pozo largo]],Controles!B:H,7,FALSE),"NO")</f>
        <v>0</v>
      </c>
      <c r="L2474" s="5">
        <f>IFERROR(VLOOKUP(Consulta1[[#This Row],[Pozo largo]],Controles!B:J,9,FALSE),"NO")</f>
        <v>0</v>
      </c>
    </row>
    <row r="2475" spans="2:12" x14ac:dyDescent="0.35">
      <c r="B2475" s="4" t="s">
        <v>4742</v>
      </c>
      <c r="C2475" s="4" t="s">
        <v>8182</v>
      </c>
      <c r="D2475" s="4" t="s">
        <v>5</v>
      </c>
      <c r="E2475" s="4" t="s">
        <v>30</v>
      </c>
      <c r="F2475" s="4" t="s">
        <v>31</v>
      </c>
      <c r="G2475" s="4" t="s">
        <v>32</v>
      </c>
      <c r="H2475" s="4" t="s">
        <v>254</v>
      </c>
      <c r="I2475" s="5" t="str">
        <f>IFERROR(VLOOKUP(Consulta1[[#This Row],[Pozo largo]],'Lista YPF'!$B$3:$C$358,2,FALSE),"NO")</f>
        <v>NO</v>
      </c>
      <c r="J2475" s="5" t="str">
        <f>IFERROR(VLOOKUP(Consulta1[[#This Row],[Pozo]],'Lista Oportunidades'!B:C,2,FALSE),"NO")</f>
        <v>NO</v>
      </c>
      <c r="K2475" s="5">
        <f>IFERROR(VLOOKUP(Consulta1[[#This Row],[Pozo largo]],Controles!B:H,7,FALSE),"NO")</f>
        <v>0</v>
      </c>
      <c r="L2475" s="5">
        <f>IFERROR(VLOOKUP(Consulta1[[#This Row],[Pozo largo]],Controles!B:J,9,FALSE),"NO")</f>
        <v>0</v>
      </c>
    </row>
    <row r="2476" spans="2:12" x14ac:dyDescent="0.35">
      <c r="B2476" s="4" t="s">
        <v>4744</v>
      </c>
      <c r="C2476" s="4" t="s">
        <v>8183</v>
      </c>
      <c r="D2476" s="4" t="s">
        <v>5</v>
      </c>
      <c r="E2476" s="4" t="s">
        <v>57</v>
      </c>
      <c r="F2476" s="4" t="s">
        <v>28</v>
      </c>
      <c r="G2476" s="4" t="s">
        <v>5718</v>
      </c>
      <c r="H2476" s="4" t="s">
        <v>9</v>
      </c>
      <c r="I2476" s="5" t="str">
        <f>IFERROR(VLOOKUP(Consulta1[[#This Row],[Pozo largo]],'Lista YPF'!$B$3:$C$358,2,FALSE),"NO")</f>
        <v>En lista de Abandono</v>
      </c>
      <c r="J2476" s="5" t="str">
        <f>IFERROR(VLOOKUP(Consulta1[[#This Row],[Pozo]],'Lista Oportunidades'!B:C,2,FALSE),"NO")</f>
        <v>NO</v>
      </c>
      <c r="K2476" s="5">
        <f>IFERROR(VLOOKUP(Consulta1[[#This Row],[Pozo largo]],Controles!B:H,7,FALSE),"NO")</f>
        <v>0</v>
      </c>
      <c r="L2476" s="5">
        <f>IFERROR(VLOOKUP(Consulta1[[#This Row],[Pozo largo]],Controles!B:J,9,FALSE),"NO")</f>
        <v>0</v>
      </c>
    </row>
    <row r="2477" spans="2:12" x14ac:dyDescent="0.35">
      <c r="B2477" s="4" t="s">
        <v>4746</v>
      </c>
      <c r="C2477" s="4" t="s">
        <v>8184</v>
      </c>
      <c r="D2477" s="4" t="s">
        <v>5</v>
      </c>
      <c r="E2477" s="4" t="s">
        <v>12</v>
      </c>
      <c r="F2477" s="4" t="s">
        <v>28</v>
      </c>
      <c r="G2477" s="4" t="s">
        <v>13</v>
      </c>
      <c r="H2477" s="4" t="s">
        <v>9</v>
      </c>
      <c r="I2477" s="5" t="str">
        <f>IFERROR(VLOOKUP(Consulta1[[#This Row],[Pozo largo]],'Lista YPF'!$B$3:$C$358,2,FALSE),"NO")</f>
        <v>NO</v>
      </c>
      <c r="J2477" s="5" t="str">
        <f>IFERROR(VLOOKUP(Consulta1[[#This Row],[Pozo]],'Lista Oportunidades'!B:C,2,FALSE),"NO")</f>
        <v>NO</v>
      </c>
      <c r="K2477" s="5">
        <f>IFERROR(VLOOKUP(Consulta1[[#This Row],[Pozo largo]],Controles!B:H,7,FALSE),"NO")</f>
        <v>0</v>
      </c>
      <c r="L2477" s="5">
        <f>IFERROR(VLOOKUP(Consulta1[[#This Row],[Pozo largo]],Controles!B:J,9,FALSE),"NO")</f>
        <v>0</v>
      </c>
    </row>
    <row r="2478" spans="2:12" x14ac:dyDescent="0.35">
      <c r="B2478" s="4" t="s">
        <v>4748</v>
      </c>
      <c r="C2478" s="4" t="s">
        <v>8185</v>
      </c>
      <c r="D2478" s="4" t="s">
        <v>5</v>
      </c>
      <c r="E2478" s="4" t="s">
        <v>24</v>
      </c>
      <c r="F2478" s="4" t="s">
        <v>31</v>
      </c>
      <c r="G2478" s="4" t="s">
        <v>8</v>
      </c>
      <c r="H2478" s="4" t="s">
        <v>21</v>
      </c>
      <c r="I2478" s="5" t="str">
        <f>IFERROR(VLOOKUP(Consulta1[[#This Row],[Pozo largo]],'Lista YPF'!$B$3:$C$358,2,FALSE),"NO")</f>
        <v>NO</v>
      </c>
      <c r="J2478" s="5" t="str">
        <f>IFERROR(VLOOKUP(Consulta1[[#This Row],[Pozo]],'Lista Oportunidades'!B:C,2,FALSE),"NO")</f>
        <v>NO</v>
      </c>
      <c r="K2478" s="5">
        <f>IFERROR(VLOOKUP(Consulta1[[#This Row],[Pozo largo]],Controles!B:H,7,FALSE),"NO")</f>
        <v>0</v>
      </c>
      <c r="L2478" s="5">
        <f>IFERROR(VLOOKUP(Consulta1[[#This Row],[Pozo largo]],Controles!B:J,9,FALSE),"NO")</f>
        <v>0</v>
      </c>
    </row>
    <row r="2479" spans="2:12" x14ac:dyDescent="0.35">
      <c r="B2479" s="4" t="s">
        <v>4750</v>
      </c>
      <c r="C2479" s="4" t="s">
        <v>8186</v>
      </c>
      <c r="D2479" s="4" t="s">
        <v>5</v>
      </c>
      <c r="E2479" s="4" t="s">
        <v>57</v>
      </c>
      <c r="F2479" s="4" t="s">
        <v>7</v>
      </c>
      <c r="G2479" s="4" t="s">
        <v>5718</v>
      </c>
      <c r="H2479" s="4" t="s">
        <v>33</v>
      </c>
      <c r="I2479" s="5" t="str">
        <f>IFERROR(VLOOKUP(Consulta1[[#This Row],[Pozo largo]],'Lista YPF'!$B$3:$C$358,2,FALSE),"NO")</f>
        <v>En lista de Abandono</v>
      </c>
      <c r="J2479" s="5" t="str">
        <f>IFERROR(VLOOKUP(Consulta1[[#This Row],[Pozo]],'Lista Oportunidades'!B:C,2,FALSE),"NO")</f>
        <v>NO</v>
      </c>
      <c r="K2479" s="5">
        <f>IFERROR(VLOOKUP(Consulta1[[#This Row],[Pozo largo]],Controles!B:H,7,FALSE),"NO")</f>
        <v>1.44</v>
      </c>
      <c r="L2479" s="5">
        <f>IFERROR(VLOOKUP(Consulta1[[#This Row],[Pozo largo]],Controles!B:J,9,FALSE),"NO")</f>
        <v>0</v>
      </c>
    </row>
    <row r="2480" spans="2:12" x14ac:dyDescent="0.35">
      <c r="B2480" s="4" t="s">
        <v>4752</v>
      </c>
      <c r="C2480" s="4" t="s">
        <v>8187</v>
      </c>
      <c r="D2480" s="4" t="s">
        <v>5</v>
      </c>
      <c r="E2480" s="4" t="s">
        <v>24</v>
      </c>
      <c r="F2480" s="4" t="s">
        <v>31</v>
      </c>
      <c r="G2480" s="4" t="s">
        <v>8</v>
      </c>
      <c r="H2480" s="4" t="s">
        <v>149</v>
      </c>
      <c r="I2480" s="5" t="str">
        <f>IFERROR(VLOOKUP(Consulta1[[#This Row],[Pozo largo]],'Lista YPF'!$B$3:$C$358,2,FALSE),"NO")</f>
        <v>NO</v>
      </c>
      <c r="J2480" s="5" t="str">
        <f>IFERROR(VLOOKUP(Consulta1[[#This Row],[Pozo]],'Lista Oportunidades'!B:C,2,FALSE),"NO")</f>
        <v>NO</v>
      </c>
      <c r="K2480" s="5">
        <f>IFERROR(VLOOKUP(Consulta1[[#This Row],[Pozo largo]],Controles!B:H,7,FALSE),"NO")</f>
        <v>0</v>
      </c>
      <c r="L2480" s="5">
        <f>IFERROR(VLOOKUP(Consulta1[[#This Row],[Pozo largo]],Controles!B:J,9,FALSE),"NO")</f>
        <v>0</v>
      </c>
    </row>
    <row r="2481" spans="2:12" x14ac:dyDescent="0.35">
      <c r="B2481" s="4" t="s">
        <v>4754</v>
      </c>
      <c r="C2481" s="4" t="s">
        <v>8188</v>
      </c>
      <c r="D2481" s="4" t="s">
        <v>5</v>
      </c>
      <c r="E2481" s="4" t="s">
        <v>12</v>
      </c>
      <c r="F2481" s="4" t="s">
        <v>28</v>
      </c>
      <c r="G2481" s="4" t="s">
        <v>13</v>
      </c>
      <c r="H2481" s="4" t="s">
        <v>36</v>
      </c>
      <c r="I2481" s="5" t="str">
        <f>IFERROR(VLOOKUP(Consulta1[[#This Row],[Pozo largo]],'Lista YPF'!$B$3:$C$358,2,FALSE),"NO")</f>
        <v>NO</v>
      </c>
      <c r="J2481" s="5" t="str">
        <f>IFERROR(VLOOKUP(Consulta1[[#This Row],[Pozo]],'Lista Oportunidades'!B:C,2,FALSE),"NO")</f>
        <v>NO</v>
      </c>
      <c r="K2481" s="5">
        <f>IFERROR(VLOOKUP(Consulta1[[#This Row],[Pozo largo]],Controles!B:H,7,FALSE),"NO")</f>
        <v>0</v>
      </c>
      <c r="L2481" s="5">
        <f>IFERROR(VLOOKUP(Consulta1[[#This Row],[Pozo largo]],Controles!B:J,9,FALSE),"NO")</f>
        <v>0</v>
      </c>
    </row>
    <row r="2482" spans="2:12" x14ac:dyDescent="0.35">
      <c r="B2482" s="4" t="s">
        <v>4756</v>
      </c>
      <c r="C2482" s="4" t="s">
        <v>8189</v>
      </c>
      <c r="D2482" s="4" t="s">
        <v>5</v>
      </c>
      <c r="E2482" s="4" t="s">
        <v>12</v>
      </c>
      <c r="F2482" s="4" t="s">
        <v>7</v>
      </c>
      <c r="G2482" s="4" t="s">
        <v>13</v>
      </c>
      <c r="H2482" s="4" t="s">
        <v>33</v>
      </c>
      <c r="I2482" s="5" t="str">
        <f>IFERROR(VLOOKUP(Consulta1[[#This Row],[Pozo largo]],'Lista YPF'!$B$3:$C$358,2,FALSE),"NO")</f>
        <v>NO</v>
      </c>
      <c r="J2482" s="5" t="str">
        <f>IFERROR(VLOOKUP(Consulta1[[#This Row],[Pozo]],'Lista Oportunidades'!B:C,2,FALSE),"NO")</f>
        <v>NO</v>
      </c>
      <c r="K2482" s="5">
        <f>IFERROR(VLOOKUP(Consulta1[[#This Row],[Pozo largo]],Controles!B:H,7,FALSE),"NO")</f>
        <v>0.28600000000000003</v>
      </c>
      <c r="L2482" s="5">
        <f>IFERROR(VLOOKUP(Consulta1[[#This Row],[Pozo largo]],Controles!B:J,9,FALSE),"NO")</f>
        <v>0</v>
      </c>
    </row>
    <row r="2483" spans="2:12" x14ac:dyDescent="0.35">
      <c r="B2483" s="4" t="s">
        <v>4758</v>
      </c>
      <c r="C2483" s="4" t="s">
        <v>8190</v>
      </c>
      <c r="D2483" s="4" t="s">
        <v>5</v>
      </c>
      <c r="E2483" s="4" t="s">
        <v>57</v>
      </c>
      <c r="F2483" s="4" t="s">
        <v>28</v>
      </c>
      <c r="G2483" s="4" t="s">
        <v>5718</v>
      </c>
      <c r="H2483" s="4" t="s">
        <v>33</v>
      </c>
      <c r="I2483" s="5" t="str">
        <f>IFERROR(VLOOKUP(Consulta1[[#This Row],[Pozo largo]],'Lista YPF'!$B$3:$C$358,2,FALSE),"NO")</f>
        <v>En lista de Abandono</v>
      </c>
      <c r="J2483" s="5" t="str">
        <f>IFERROR(VLOOKUP(Consulta1[[#This Row],[Pozo]],'Lista Oportunidades'!B:C,2,FALSE),"NO")</f>
        <v>NO</v>
      </c>
      <c r="K2483" s="5">
        <f>IFERROR(VLOOKUP(Consulta1[[#This Row],[Pozo largo]],Controles!B:H,7,FALSE),"NO")</f>
        <v>0</v>
      </c>
      <c r="L2483" s="5">
        <f>IFERROR(VLOOKUP(Consulta1[[#This Row],[Pozo largo]],Controles!B:J,9,FALSE),"NO")</f>
        <v>0</v>
      </c>
    </row>
    <row r="2484" spans="2:12" x14ac:dyDescent="0.35">
      <c r="B2484" s="4" t="s">
        <v>4760</v>
      </c>
      <c r="C2484" s="4" t="s">
        <v>8191</v>
      </c>
      <c r="D2484" s="4" t="s">
        <v>5</v>
      </c>
      <c r="E2484" s="4" t="s">
        <v>6</v>
      </c>
      <c r="F2484" s="4" t="s">
        <v>7</v>
      </c>
      <c r="G2484" s="4" t="s">
        <v>5718</v>
      </c>
      <c r="H2484" s="4" t="s">
        <v>36</v>
      </c>
      <c r="I2484" s="5" t="str">
        <f>IFERROR(VLOOKUP(Consulta1[[#This Row],[Pozo largo]],'Lista YPF'!$B$3:$C$358,2,FALSE),"NO")</f>
        <v>En lista de Abandono</v>
      </c>
      <c r="J2484" s="5" t="str">
        <f>IFERROR(VLOOKUP(Consulta1[[#This Row],[Pozo]],'Lista Oportunidades'!B:C,2,FALSE),"NO")</f>
        <v>NO</v>
      </c>
      <c r="K2484" s="5">
        <f>IFERROR(VLOOKUP(Consulta1[[#This Row],[Pozo largo]],Controles!B:H,7,FALSE),"NO")</f>
        <v>0.8</v>
      </c>
      <c r="L2484" s="5">
        <f>IFERROR(VLOOKUP(Consulta1[[#This Row],[Pozo largo]],Controles!B:J,9,FALSE),"NO")</f>
        <v>0</v>
      </c>
    </row>
    <row r="2485" spans="2:12" x14ac:dyDescent="0.35">
      <c r="B2485" s="4" t="s">
        <v>4762</v>
      </c>
      <c r="C2485" s="4" t="s">
        <v>8192</v>
      </c>
      <c r="D2485" s="4" t="s">
        <v>5</v>
      </c>
      <c r="E2485" s="4" t="s">
        <v>30</v>
      </c>
      <c r="F2485" s="4" t="s">
        <v>31</v>
      </c>
      <c r="G2485" s="4" t="s">
        <v>32</v>
      </c>
      <c r="H2485" s="4" t="s">
        <v>80</v>
      </c>
      <c r="I2485" s="5" t="str">
        <f>IFERROR(VLOOKUP(Consulta1[[#This Row],[Pozo largo]],'Lista YPF'!$B$3:$C$358,2,FALSE),"NO")</f>
        <v>NO</v>
      </c>
      <c r="J2485" s="5" t="str">
        <f>IFERROR(VLOOKUP(Consulta1[[#This Row],[Pozo]],'Lista Oportunidades'!B:C,2,FALSE),"NO")</f>
        <v>NO</v>
      </c>
      <c r="K2485" s="5">
        <f>IFERROR(VLOOKUP(Consulta1[[#This Row],[Pozo largo]],Controles!B:H,7,FALSE),"NO")</f>
        <v>5.9850000000000003</v>
      </c>
      <c r="L2485" s="5">
        <f>IFERROR(VLOOKUP(Consulta1[[#This Row],[Pozo largo]],Controles!B:J,9,FALSE),"NO")</f>
        <v>0</v>
      </c>
    </row>
    <row r="2486" spans="2:12" x14ac:dyDescent="0.35">
      <c r="B2486" s="4" t="s">
        <v>4764</v>
      </c>
      <c r="C2486" s="4" t="s">
        <v>8193</v>
      </c>
      <c r="D2486" s="4" t="s">
        <v>5</v>
      </c>
      <c r="E2486" s="4" t="s">
        <v>24</v>
      </c>
      <c r="F2486" s="4" t="s">
        <v>28</v>
      </c>
      <c r="G2486" s="4" t="s">
        <v>8</v>
      </c>
      <c r="H2486" s="4" t="s">
        <v>80</v>
      </c>
      <c r="I2486" s="5" t="str">
        <f>IFERROR(VLOOKUP(Consulta1[[#This Row],[Pozo largo]],'Lista YPF'!$B$3:$C$358,2,FALSE),"NO")</f>
        <v>NO</v>
      </c>
      <c r="J2486" s="5" t="str">
        <f>IFERROR(VLOOKUP(Consulta1[[#This Row],[Pozo]],'Lista Oportunidades'!B:C,2,FALSE),"NO")</f>
        <v>NO</v>
      </c>
      <c r="K2486" s="5">
        <f>IFERROR(VLOOKUP(Consulta1[[#This Row],[Pozo largo]],Controles!B:H,7,FALSE),"NO")</f>
        <v>0</v>
      </c>
      <c r="L2486" s="5">
        <f>IFERROR(VLOOKUP(Consulta1[[#This Row],[Pozo largo]],Controles!B:J,9,FALSE),"NO")</f>
        <v>0</v>
      </c>
    </row>
    <row r="2487" spans="2:12" x14ac:dyDescent="0.35">
      <c r="B2487" s="4" t="s">
        <v>4766</v>
      </c>
      <c r="C2487" s="4" t="s">
        <v>8194</v>
      </c>
      <c r="D2487" s="4" t="s">
        <v>5</v>
      </c>
      <c r="E2487" s="4" t="s">
        <v>30</v>
      </c>
      <c r="F2487" s="4" t="s">
        <v>31</v>
      </c>
      <c r="G2487" s="4" t="s">
        <v>32</v>
      </c>
      <c r="H2487" s="4" t="s">
        <v>86</v>
      </c>
      <c r="I2487" s="5" t="str">
        <f>IFERROR(VLOOKUP(Consulta1[[#This Row],[Pozo largo]],'Lista YPF'!$B$3:$C$358,2,FALSE),"NO")</f>
        <v>NO</v>
      </c>
      <c r="J2487" s="5" t="str">
        <f>IFERROR(VLOOKUP(Consulta1[[#This Row],[Pozo]],'Lista Oportunidades'!B:C,2,FALSE),"NO")</f>
        <v>NO</v>
      </c>
      <c r="K2487" s="5">
        <f>IFERROR(VLOOKUP(Consulta1[[#This Row],[Pozo largo]],Controles!B:H,7,FALSE),"NO")</f>
        <v>0.25</v>
      </c>
      <c r="L2487" s="5">
        <f>IFERROR(VLOOKUP(Consulta1[[#This Row],[Pozo largo]],Controles!B:J,9,FALSE),"NO")</f>
        <v>0</v>
      </c>
    </row>
    <row r="2488" spans="2:12" x14ac:dyDescent="0.35">
      <c r="B2488" s="4" t="s">
        <v>4768</v>
      </c>
      <c r="C2488" s="4" t="s">
        <v>8195</v>
      </c>
      <c r="D2488" s="4" t="s">
        <v>5</v>
      </c>
      <c r="E2488" s="4" t="s">
        <v>24</v>
      </c>
      <c r="F2488" s="4" t="s">
        <v>31</v>
      </c>
      <c r="G2488" s="4" t="s">
        <v>8</v>
      </c>
      <c r="H2488" s="4" t="s">
        <v>141</v>
      </c>
      <c r="I2488" s="5" t="str">
        <f>IFERROR(VLOOKUP(Consulta1[[#This Row],[Pozo largo]],'Lista YPF'!$B$3:$C$358,2,FALSE),"NO")</f>
        <v>NO</v>
      </c>
      <c r="J2488" s="5" t="str">
        <f>IFERROR(VLOOKUP(Consulta1[[#This Row],[Pozo]],'Lista Oportunidades'!B:C,2,FALSE),"NO")</f>
        <v>NO</v>
      </c>
      <c r="K2488" s="5" t="str">
        <f>IFERROR(VLOOKUP(Consulta1[[#This Row],[Pozo largo]],Controles!B:H,7,FALSE),"NO")</f>
        <v>NO</v>
      </c>
      <c r="L2488" s="5" t="str">
        <f>IFERROR(VLOOKUP(Consulta1[[#This Row],[Pozo largo]],Controles!B:J,9,FALSE),"NO")</f>
        <v>NO</v>
      </c>
    </row>
    <row r="2489" spans="2:12" x14ac:dyDescent="0.35">
      <c r="B2489" s="4" t="s">
        <v>4769</v>
      </c>
      <c r="C2489" s="4" t="s">
        <v>8196</v>
      </c>
      <c r="D2489" s="4" t="s">
        <v>5</v>
      </c>
      <c r="E2489" s="4" t="s">
        <v>30</v>
      </c>
      <c r="F2489" s="4" t="s">
        <v>31</v>
      </c>
      <c r="G2489" s="4" t="s">
        <v>32</v>
      </c>
      <c r="H2489" s="4" t="s">
        <v>86</v>
      </c>
      <c r="I2489" s="5" t="str">
        <f>IFERROR(VLOOKUP(Consulta1[[#This Row],[Pozo largo]],'Lista YPF'!$B$3:$C$358,2,FALSE),"NO")</f>
        <v>NO</v>
      </c>
      <c r="J2489" s="5" t="str">
        <f>IFERROR(VLOOKUP(Consulta1[[#This Row],[Pozo]],'Lista Oportunidades'!B:C,2,FALSE),"NO")</f>
        <v>NO</v>
      </c>
      <c r="K2489" s="5" t="str">
        <f>IFERROR(VLOOKUP(Consulta1[[#This Row],[Pozo largo]],Controles!B:H,7,FALSE),"NO")</f>
        <v>NO</v>
      </c>
      <c r="L2489" s="5" t="str">
        <f>IFERROR(VLOOKUP(Consulta1[[#This Row],[Pozo largo]],Controles!B:J,9,FALSE),"NO")</f>
        <v>NO</v>
      </c>
    </row>
    <row r="2490" spans="2:12" x14ac:dyDescent="0.35">
      <c r="B2490" s="4" t="s">
        <v>4770</v>
      </c>
      <c r="C2490" s="4" t="s">
        <v>8197</v>
      </c>
      <c r="D2490" s="4" t="s">
        <v>5</v>
      </c>
      <c r="E2490" s="4" t="s">
        <v>30</v>
      </c>
      <c r="F2490" s="4" t="s">
        <v>31</v>
      </c>
      <c r="G2490" s="4" t="s">
        <v>32</v>
      </c>
      <c r="H2490" s="4" t="s">
        <v>21</v>
      </c>
      <c r="I2490" s="5" t="str">
        <f>IFERROR(VLOOKUP(Consulta1[[#This Row],[Pozo largo]],'Lista YPF'!$B$3:$C$358,2,FALSE),"NO")</f>
        <v>NO</v>
      </c>
      <c r="J2490" s="5" t="str">
        <f>IFERROR(VLOOKUP(Consulta1[[#This Row],[Pozo]],'Lista Oportunidades'!B:C,2,FALSE),"NO")</f>
        <v>NO</v>
      </c>
      <c r="K2490" s="5" t="str">
        <f>IFERROR(VLOOKUP(Consulta1[[#This Row],[Pozo largo]],Controles!B:H,7,FALSE),"NO")</f>
        <v>NO</v>
      </c>
      <c r="L2490" s="5" t="str">
        <f>IFERROR(VLOOKUP(Consulta1[[#This Row],[Pozo largo]],Controles!B:J,9,FALSE),"NO")</f>
        <v>NO</v>
      </c>
    </row>
    <row r="2491" spans="2:12" x14ac:dyDescent="0.35">
      <c r="B2491" s="4" t="s">
        <v>4771</v>
      </c>
      <c r="C2491" s="4" t="s">
        <v>8198</v>
      </c>
      <c r="D2491" s="4" t="s">
        <v>5</v>
      </c>
      <c r="E2491" s="4" t="s">
        <v>12</v>
      </c>
      <c r="F2491" s="4" t="s">
        <v>7</v>
      </c>
      <c r="G2491" s="4" t="s">
        <v>13</v>
      </c>
      <c r="H2491" s="4" t="s">
        <v>74</v>
      </c>
      <c r="I2491" s="5" t="str">
        <f>IFERROR(VLOOKUP(Consulta1[[#This Row],[Pozo largo]],'Lista YPF'!$B$3:$C$358,2,FALSE),"NO")</f>
        <v>NO</v>
      </c>
      <c r="J2491" s="5" t="str">
        <f>IFERROR(VLOOKUP(Consulta1[[#This Row],[Pozo]],'Lista Oportunidades'!B:C,2,FALSE),"NO")</f>
        <v>NO</v>
      </c>
      <c r="K2491" s="5">
        <f>IFERROR(VLOOKUP(Consulta1[[#This Row],[Pozo largo]],Controles!B:H,7,FALSE),"NO")</f>
        <v>1.5</v>
      </c>
      <c r="L2491" s="5">
        <f>IFERROR(VLOOKUP(Consulta1[[#This Row],[Pozo largo]],Controles!B:J,9,FALSE),"NO")</f>
        <v>0</v>
      </c>
    </row>
    <row r="2492" spans="2:12" x14ac:dyDescent="0.35">
      <c r="B2492" s="4" t="s">
        <v>4773</v>
      </c>
      <c r="C2492" s="4" t="s">
        <v>8199</v>
      </c>
      <c r="D2492" s="4" t="s">
        <v>5</v>
      </c>
      <c r="E2492" s="4" t="s">
        <v>57</v>
      </c>
      <c r="F2492" s="4" t="s">
        <v>7</v>
      </c>
      <c r="G2492" s="4" t="s">
        <v>5718</v>
      </c>
      <c r="H2492" s="4" t="s">
        <v>9</v>
      </c>
      <c r="I2492" s="5" t="str">
        <f>IFERROR(VLOOKUP(Consulta1[[#This Row],[Pozo largo]],'Lista YPF'!$B$3:$C$358,2,FALSE),"NO")</f>
        <v>En lista de Abandono</v>
      </c>
      <c r="J2492" s="5" t="str">
        <f>IFERROR(VLOOKUP(Consulta1[[#This Row],[Pozo]],'Lista Oportunidades'!B:C,2,FALSE),"NO")</f>
        <v>NO</v>
      </c>
      <c r="K2492" s="5">
        <f>IFERROR(VLOOKUP(Consulta1[[#This Row],[Pozo largo]],Controles!B:H,7,FALSE),"NO")</f>
        <v>1.8</v>
      </c>
      <c r="L2492" s="5">
        <f>IFERROR(VLOOKUP(Consulta1[[#This Row],[Pozo largo]],Controles!B:J,9,FALSE),"NO")</f>
        <v>0</v>
      </c>
    </row>
    <row r="2493" spans="2:12" x14ac:dyDescent="0.35">
      <c r="B2493" s="4" t="s">
        <v>4775</v>
      </c>
      <c r="C2493" s="4" t="s">
        <v>8200</v>
      </c>
      <c r="D2493" s="4" t="s">
        <v>5</v>
      </c>
      <c r="E2493" s="4" t="s">
        <v>12</v>
      </c>
      <c r="F2493" s="4" t="s">
        <v>7</v>
      </c>
      <c r="G2493" s="4" t="s">
        <v>13</v>
      </c>
      <c r="H2493" s="4" t="s">
        <v>9</v>
      </c>
      <c r="I2493" s="5" t="str">
        <f>IFERROR(VLOOKUP(Consulta1[[#This Row],[Pozo largo]],'Lista YPF'!$B$3:$C$358,2,FALSE),"NO")</f>
        <v>NO</v>
      </c>
      <c r="J2493" s="5" t="str">
        <f>IFERROR(VLOOKUP(Consulta1[[#This Row],[Pozo]],'Lista Oportunidades'!B:C,2,FALSE),"NO")</f>
        <v>NO</v>
      </c>
      <c r="K2493" s="5">
        <f>IFERROR(VLOOKUP(Consulta1[[#This Row],[Pozo largo]],Controles!B:H,7,FALSE),"NO")</f>
        <v>0.9</v>
      </c>
      <c r="L2493" s="5">
        <f>IFERROR(VLOOKUP(Consulta1[[#This Row],[Pozo largo]],Controles!B:J,9,FALSE),"NO")</f>
        <v>0</v>
      </c>
    </row>
    <row r="2494" spans="2:12" x14ac:dyDescent="0.35">
      <c r="B2494" s="4" t="s">
        <v>4777</v>
      </c>
      <c r="C2494" s="4" t="s">
        <v>8201</v>
      </c>
      <c r="D2494" s="4" t="s">
        <v>5</v>
      </c>
      <c r="E2494" s="4" t="s">
        <v>12</v>
      </c>
      <c r="F2494" s="4" t="s">
        <v>7</v>
      </c>
      <c r="G2494" s="4" t="s">
        <v>13</v>
      </c>
      <c r="H2494" s="4" t="s">
        <v>80</v>
      </c>
      <c r="I2494" s="5" t="str">
        <f>IFERROR(VLOOKUP(Consulta1[[#This Row],[Pozo largo]],'Lista YPF'!$B$3:$C$358,2,FALSE),"NO")</f>
        <v>NO</v>
      </c>
      <c r="J2494" s="5" t="str">
        <f>IFERROR(VLOOKUP(Consulta1[[#This Row],[Pozo]],'Lista Oportunidades'!B:C,2,FALSE),"NO")</f>
        <v>NO</v>
      </c>
      <c r="K2494" s="5">
        <f>IFERROR(VLOOKUP(Consulta1[[#This Row],[Pozo largo]],Controles!B:H,7,FALSE),"NO")</f>
        <v>1.5</v>
      </c>
      <c r="L2494" s="5">
        <f>IFERROR(VLOOKUP(Consulta1[[#This Row],[Pozo largo]],Controles!B:J,9,FALSE),"NO")</f>
        <v>0</v>
      </c>
    </row>
    <row r="2495" spans="2:12" x14ac:dyDescent="0.35">
      <c r="B2495" s="4" t="s">
        <v>4779</v>
      </c>
      <c r="C2495" s="4" t="s">
        <v>8202</v>
      </c>
      <c r="D2495" s="4" t="s">
        <v>5</v>
      </c>
      <c r="E2495" s="4" t="s">
        <v>12</v>
      </c>
      <c r="F2495" s="4" t="s">
        <v>7</v>
      </c>
      <c r="G2495" s="4" t="s">
        <v>13</v>
      </c>
      <c r="H2495" s="4" t="s">
        <v>185</v>
      </c>
      <c r="I2495" s="5" t="str">
        <f>IFERROR(VLOOKUP(Consulta1[[#This Row],[Pozo largo]],'Lista YPF'!$B$3:$C$358,2,FALSE),"NO")</f>
        <v>NO</v>
      </c>
      <c r="J2495" s="5" t="str">
        <f>IFERROR(VLOOKUP(Consulta1[[#This Row],[Pozo]],'Lista Oportunidades'!B:C,2,FALSE),"NO")</f>
        <v>NO</v>
      </c>
      <c r="K2495" s="5">
        <f>IFERROR(VLOOKUP(Consulta1[[#This Row],[Pozo largo]],Controles!B:H,7,FALSE),"NO")</f>
        <v>0.55000000000000004</v>
      </c>
      <c r="L2495" s="5">
        <f>IFERROR(VLOOKUP(Consulta1[[#This Row],[Pozo largo]],Controles!B:J,9,FALSE),"NO")</f>
        <v>0</v>
      </c>
    </row>
    <row r="2496" spans="2:12" x14ac:dyDescent="0.35">
      <c r="B2496" s="4" t="s">
        <v>4781</v>
      </c>
      <c r="C2496" s="4" t="s">
        <v>8203</v>
      </c>
      <c r="D2496" s="4" t="s">
        <v>5</v>
      </c>
      <c r="E2496" s="4" t="s">
        <v>30</v>
      </c>
      <c r="F2496" s="4" t="s">
        <v>31</v>
      </c>
      <c r="G2496" s="4" t="s">
        <v>32</v>
      </c>
      <c r="H2496" s="4" t="s">
        <v>80</v>
      </c>
      <c r="I2496" s="5" t="str">
        <f>IFERROR(VLOOKUP(Consulta1[[#This Row],[Pozo largo]],'Lista YPF'!$B$3:$C$358,2,FALSE),"NO")</f>
        <v>NO</v>
      </c>
      <c r="J2496" s="5" t="str">
        <f>IFERROR(VLOOKUP(Consulta1[[#This Row],[Pozo]],'Lista Oportunidades'!B:C,2,FALSE),"NO")</f>
        <v>NO</v>
      </c>
      <c r="K2496" s="5">
        <f>IFERROR(VLOOKUP(Consulta1[[#This Row],[Pozo largo]],Controles!B:H,7,FALSE),"NO")</f>
        <v>1.25</v>
      </c>
      <c r="L2496" s="5">
        <f>IFERROR(VLOOKUP(Consulta1[[#This Row],[Pozo largo]],Controles!B:J,9,FALSE),"NO")</f>
        <v>0</v>
      </c>
    </row>
    <row r="2497" spans="2:12" x14ac:dyDescent="0.35">
      <c r="B2497" s="4" t="s">
        <v>4783</v>
      </c>
      <c r="C2497" s="4" t="s">
        <v>8204</v>
      </c>
      <c r="D2497" s="4" t="s">
        <v>5</v>
      </c>
      <c r="E2497" s="4" t="s">
        <v>12</v>
      </c>
      <c r="F2497" s="4" t="s">
        <v>7</v>
      </c>
      <c r="G2497" s="4" t="s">
        <v>13</v>
      </c>
      <c r="H2497" s="4" t="s">
        <v>91</v>
      </c>
      <c r="I2497" s="5" t="str">
        <f>IFERROR(VLOOKUP(Consulta1[[#This Row],[Pozo largo]],'Lista YPF'!$B$3:$C$358,2,FALSE),"NO")</f>
        <v>NO</v>
      </c>
      <c r="J2497" s="5" t="str">
        <f>IFERROR(VLOOKUP(Consulta1[[#This Row],[Pozo]],'Lista Oportunidades'!B:C,2,FALSE),"NO")</f>
        <v>NO</v>
      </c>
      <c r="K2497" s="5">
        <f>IFERROR(VLOOKUP(Consulta1[[#This Row],[Pozo largo]],Controles!B:H,7,FALSE),"NO")</f>
        <v>1.2150000000000001</v>
      </c>
      <c r="L2497" s="5">
        <f>IFERROR(VLOOKUP(Consulta1[[#This Row],[Pozo largo]],Controles!B:J,9,FALSE),"NO")</f>
        <v>0</v>
      </c>
    </row>
    <row r="2498" spans="2:12" x14ac:dyDescent="0.35">
      <c r="B2498" s="4" t="s">
        <v>4785</v>
      </c>
      <c r="C2498" s="4" t="s">
        <v>8205</v>
      </c>
      <c r="D2498" s="4" t="s">
        <v>5</v>
      </c>
      <c r="E2498" s="4" t="s">
        <v>30</v>
      </c>
      <c r="F2498" s="4" t="s">
        <v>31</v>
      </c>
      <c r="G2498" s="4" t="s">
        <v>32</v>
      </c>
      <c r="H2498" s="4" t="s">
        <v>80</v>
      </c>
      <c r="I2498" s="5" t="str">
        <f>IFERROR(VLOOKUP(Consulta1[[#This Row],[Pozo largo]],'Lista YPF'!$B$3:$C$358,2,FALSE),"NO")</f>
        <v>NO</v>
      </c>
      <c r="J2498" s="5" t="str">
        <f>IFERROR(VLOOKUP(Consulta1[[#This Row],[Pozo]],'Lista Oportunidades'!B:C,2,FALSE),"NO")</f>
        <v>NO</v>
      </c>
      <c r="K2498" s="5">
        <f>IFERROR(VLOOKUP(Consulta1[[#This Row],[Pozo largo]],Controles!B:H,7,FALSE),"NO")</f>
        <v>0</v>
      </c>
      <c r="L2498" s="5">
        <f>IFERROR(VLOOKUP(Consulta1[[#This Row],[Pozo largo]],Controles!B:J,9,FALSE),"NO")</f>
        <v>0</v>
      </c>
    </row>
    <row r="2499" spans="2:12" x14ac:dyDescent="0.35">
      <c r="B2499" s="4" t="s">
        <v>4787</v>
      </c>
      <c r="C2499" s="4" t="s">
        <v>8206</v>
      </c>
      <c r="D2499" s="4" t="s">
        <v>5</v>
      </c>
      <c r="E2499" s="4" t="s">
        <v>30</v>
      </c>
      <c r="F2499" s="4" t="s">
        <v>31</v>
      </c>
      <c r="G2499" s="4" t="s">
        <v>32</v>
      </c>
      <c r="H2499" s="4" t="s">
        <v>91</v>
      </c>
      <c r="I2499" s="5" t="str">
        <f>IFERROR(VLOOKUP(Consulta1[[#This Row],[Pozo largo]],'Lista YPF'!$B$3:$C$358,2,FALSE),"NO")</f>
        <v>NO</v>
      </c>
      <c r="J2499" s="5" t="str">
        <f>IFERROR(VLOOKUP(Consulta1[[#This Row],[Pozo]],'Lista Oportunidades'!B:C,2,FALSE),"NO")</f>
        <v>NO</v>
      </c>
      <c r="K2499" s="5" t="str">
        <f>IFERROR(VLOOKUP(Consulta1[[#This Row],[Pozo largo]],Controles!B:H,7,FALSE),"NO")</f>
        <v>NO</v>
      </c>
      <c r="L2499" s="5" t="str">
        <f>IFERROR(VLOOKUP(Consulta1[[#This Row],[Pozo largo]],Controles!B:J,9,FALSE),"NO")</f>
        <v>NO</v>
      </c>
    </row>
    <row r="2500" spans="2:12" x14ac:dyDescent="0.35">
      <c r="B2500" s="4" t="s">
        <v>4788</v>
      </c>
      <c r="C2500" s="4" t="s">
        <v>8207</v>
      </c>
      <c r="D2500" s="4" t="s">
        <v>5</v>
      </c>
      <c r="E2500" s="4" t="s">
        <v>30</v>
      </c>
      <c r="F2500" s="4" t="s">
        <v>31</v>
      </c>
      <c r="G2500" s="4" t="s">
        <v>32</v>
      </c>
      <c r="H2500" s="4" t="s">
        <v>91</v>
      </c>
      <c r="I2500" s="5" t="str">
        <f>IFERROR(VLOOKUP(Consulta1[[#This Row],[Pozo largo]],'Lista YPF'!$B$3:$C$358,2,FALSE),"NO")</f>
        <v>NO</v>
      </c>
      <c r="J2500" s="5" t="str">
        <f>IFERROR(VLOOKUP(Consulta1[[#This Row],[Pozo]],'Lista Oportunidades'!B:C,2,FALSE),"NO")</f>
        <v>NO</v>
      </c>
      <c r="K2500" s="5" t="str">
        <f>IFERROR(VLOOKUP(Consulta1[[#This Row],[Pozo largo]],Controles!B:H,7,FALSE),"NO")</f>
        <v>NO</v>
      </c>
      <c r="L2500" s="5" t="str">
        <f>IFERROR(VLOOKUP(Consulta1[[#This Row],[Pozo largo]],Controles!B:J,9,FALSE),"NO")</f>
        <v>NO</v>
      </c>
    </row>
    <row r="2501" spans="2:12" x14ac:dyDescent="0.35">
      <c r="B2501" s="4" t="s">
        <v>4789</v>
      </c>
      <c r="C2501" s="4" t="s">
        <v>8208</v>
      </c>
      <c r="D2501" s="4" t="s">
        <v>5</v>
      </c>
      <c r="E2501" s="4" t="s">
        <v>6</v>
      </c>
      <c r="F2501" s="4" t="s">
        <v>7</v>
      </c>
      <c r="G2501" s="4" t="s">
        <v>11386</v>
      </c>
      <c r="H2501" s="4" t="s">
        <v>80</v>
      </c>
      <c r="I2501" s="5" t="str">
        <f>IFERROR(VLOOKUP(Consulta1[[#This Row],[Pozo largo]],'Lista YPF'!$B$3:$C$358,2,FALSE),"NO")</f>
        <v>NO</v>
      </c>
      <c r="J2501" s="5" t="str">
        <f>IFERROR(VLOOKUP(Consulta1[[#This Row],[Pozo]],'Lista Oportunidades'!B:C,2,FALSE),"NO")</f>
        <v>NO</v>
      </c>
      <c r="K2501" s="5">
        <f>IFERROR(VLOOKUP(Consulta1[[#This Row],[Pozo largo]],Controles!B:H,7,FALSE),"NO")</f>
        <v>0.52800000000000002</v>
      </c>
      <c r="L2501" s="5" t="str">
        <f>IFERROR(VLOOKUP(Consulta1[[#This Row],[Pozo largo]],Controles!B:J,9,FALSE),"NO")</f>
        <v>Ultimos 6 meses</v>
      </c>
    </row>
    <row r="2502" spans="2:12" x14ac:dyDescent="0.35">
      <c r="B2502" s="4" t="s">
        <v>4791</v>
      </c>
      <c r="C2502" s="4" t="s">
        <v>8209</v>
      </c>
      <c r="D2502" s="4" t="s">
        <v>5</v>
      </c>
      <c r="E2502" s="4" t="s">
        <v>57</v>
      </c>
      <c r="F2502" s="4" t="s">
        <v>31</v>
      </c>
      <c r="G2502" s="4" t="s">
        <v>11387</v>
      </c>
      <c r="H2502" s="4" t="s">
        <v>91</v>
      </c>
      <c r="I2502" s="5" t="str">
        <f>IFERROR(VLOOKUP(Consulta1[[#This Row],[Pozo largo]],'Lista YPF'!$B$3:$C$358,2,FALSE),"NO")</f>
        <v>NO</v>
      </c>
      <c r="J2502" s="5" t="str">
        <f>IFERROR(VLOOKUP(Consulta1[[#This Row],[Pozo]],'Lista Oportunidades'!B:C,2,FALSE),"NO")</f>
        <v>NO</v>
      </c>
      <c r="K2502" s="5">
        <f>IFERROR(VLOOKUP(Consulta1[[#This Row],[Pozo largo]],Controles!B:H,7,FALSE),"NO")</f>
        <v>0.86399999999999999</v>
      </c>
      <c r="L2502" s="5" t="str">
        <f>IFERROR(VLOOKUP(Consulta1[[#This Row],[Pozo largo]],Controles!B:J,9,FALSE),"NO")</f>
        <v>Ultimo Año</v>
      </c>
    </row>
    <row r="2503" spans="2:12" x14ac:dyDescent="0.35">
      <c r="B2503" s="4" t="s">
        <v>4793</v>
      </c>
      <c r="C2503" s="4" t="s">
        <v>8210</v>
      </c>
      <c r="D2503" s="4" t="s">
        <v>5</v>
      </c>
      <c r="E2503" s="4" t="s">
        <v>12</v>
      </c>
      <c r="F2503" s="4" t="s">
        <v>7</v>
      </c>
      <c r="G2503" s="4" t="s">
        <v>13</v>
      </c>
      <c r="H2503" s="4" t="s">
        <v>86</v>
      </c>
      <c r="I2503" s="5" t="str">
        <f>IFERROR(VLOOKUP(Consulta1[[#This Row],[Pozo largo]],'Lista YPF'!$B$3:$C$358,2,FALSE),"NO")</f>
        <v>NO</v>
      </c>
      <c r="J2503" s="5" t="str">
        <f>IFERROR(VLOOKUP(Consulta1[[#This Row],[Pozo]],'Lista Oportunidades'!B:C,2,FALSE),"NO")</f>
        <v>NO</v>
      </c>
      <c r="K2503" s="5">
        <f>IFERROR(VLOOKUP(Consulta1[[#This Row],[Pozo largo]],Controles!B:H,7,FALSE),"NO")</f>
        <v>1.9680000000000002</v>
      </c>
      <c r="L2503" s="5">
        <f>IFERROR(VLOOKUP(Consulta1[[#This Row],[Pozo largo]],Controles!B:J,9,FALSE),"NO")</f>
        <v>0</v>
      </c>
    </row>
    <row r="2504" spans="2:12" x14ac:dyDescent="0.35">
      <c r="B2504" s="4" t="s">
        <v>4795</v>
      </c>
      <c r="C2504" s="4" t="s">
        <v>8211</v>
      </c>
      <c r="D2504" s="4" t="s">
        <v>5</v>
      </c>
      <c r="E2504" s="4" t="s">
        <v>57</v>
      </c>
      <c r="F2504" s="4" t="s">
        <v>25</v>
      </c>
      <c r="G2504" s="4" t="s">
        <v>5718</v>
      </c>
      <c r="H2504" s="4" t="s">
        <v>86</v>
      </c>
      <c r="I2504" s="5" t="str">
        <f>IFERROR(VLOOKUP(Consulta1[[#This Row],[Pozo largo]],'Lista YPF'!$B$3:$C$358,2,FALSE),"NO")</f>
        <v>En lista de Abandono</v>
      </c>
      <c r="J2504" s="5" t="str">
        <f>IFERROR(VLOOKUP(Consulta1[[#This Row],[Pozo]],'Lista Oportunidades'!B:C,2,FALSE),"NO")</f>
        <v>NO</v>
      </c>
      <c r="K2504" s="5">
        <f>IFERROR(VLOOKUP(Consulta1[[#This Row],[Pozo largo]],Controles!B:H,7,FALSE),"NO")</f>
        <v>0.70000000000000007</v>
      </c>
      <c r="L2504" s="5">
        <f>IFERROR(VLOOKUP(Consulta1[[#This Row],[Pozo largo]],Controles!B:J,9,FALSE),"NO")</f>
        <v>0</v>
      </c>
    </row>
    <row r="2505" spans="2:12" x14ac:dyDescent="0.35">
      <c r="B2505" s="4" t="s">
        <v>4797</v>
      </c>
      <c r="C2505" s="4" t="s">
        <v>8212</v>
      </c>
      <c r="D2505" s="4" t="s">
        <v>5</v>
      </c>
      <c r="E2505" s="4" t="s">
        <v>12</v>
      </c>
      <c r="F2505" s="4" t="s">
        <v>7</v>
      </c>
      <c r="G2505" s="4" t="s">
        <v>13</v>
      </c>
      <c r="H2505" s="4" t="s">
        <v>86</v>
      </c>
      <c r="I2505" s="5" t="str">
        <f>IFERROR(VLOOKUP(Consulta1[[#This Row],[Pozo largo]],'Lista YPF'!$B$3:$C$358,2,FALSE),"NO")</f>
        <v>NO</v>
      </c>
      <c r="J2505" s="5" t="str">
        <f>IFERROR(VLOOKUP(Consulta1[[#This Row],[Pozo]],'Lista Oportunidades'!B:C,2,FALSE),"NO")</f>
        <v>NO</v>
      </c>
      <c r="K2505" s="5">
        <f>IFERROR(VLOOKUP(Consulta1[[#This Row],[Pozo largo]],Controles!B:H,7,FALSE),"NO")</f>
        <v>1.08</v>
      </c>
      <c r="L2505" s="5">
        <f>IFERROR(VLOOKUP(Consulta1[[#This Row],[Pozo largo]],Controles!B:J,9,FALSE),"NO")</f>
        <v>0</v>
      </c>
    </row>
    <row r="2506" spans="2:12" x14ac:dyDescent="0.35">
      <c r="B2506" s="4" t="s">
        <v>4799</v>
      </c>
      <c r="C2506" s="4" t="s">
        <v>8213</v>
      </c>
      <c r="D2506" s="4" t="s">
        <v>5</v>
      </c>
      <c r="E2506" s="4" t="s">
        <v>24</v>
      </c>
      <c r="F2506" s="4" t="s">
        <v>25</v>
      </c>
      <c r="G2506" s="4" t="s">
        <v>8</v>
      </c>
      <c r="H2506" s="4" t="s">
        <v>91</v>
      </c>
      <c r="I2506" s="5" t="str">
        <f>IFERROR(VLOOKUP(Consulta1[[#This Row],[Pozo largo]],'Lista YPF'!$B$3:$C$358,2,FALSE),"NO")</f>
        <v>NO</v>
      </c>
      <c r="J2506" s="5" t="str">
        <f>IFERROR(VLOOKUP(Consulta1[[#This Row],[Pozo]],'Lista Oportunidades'!B:C,2,FALSE),"NO")</f>
        <v>NO</v>
      </c>
      <c r="K2506" s="5">
        <f>IFERROR(VLOOKUP(Consulta1[[#This Row],[Pozo largo]],Controles!B:H,7,FALSE),"NO")</f>
        <v>0.155</v>
      </c>
      <c r="L2506" s="5">
        <f>IFERROR(VLOOKUP(Consulta1[[#This Row],[Pozo largo]],Controles!B:J,9,FALSE),"NO")</f>
        <v>0</v>
      </c>
    </row>
    <row r="2507" spans="2:12" x14ac:dyDescent="0.35">
      <c r="B2507" s="4" t="s">
        <v>4801</v>
      </c>
      <c r="C2507" s="4" t="s">
        <v>8214</v>
      </c>
      <c r="D2507" s="4" t="s">
        <v>5</v>
      </c>
      <c r="E2507" s="4" t="s">
        <v>6</v>
      </c>
      <c r="F2507" s="4" t="s">
        <v>7</v>
      </c>
      <c r="G2507" s="4" t="s">
        <v>5718</v>
      </c>
      <c r="H2507" s="4" t="s">
        <v>16</v>
      </c>
      <c r="I2507" s="5" t="str">
        <f>IFERROR(VLOOKUP(Consulta1[[#This Row],[Pozo largo]],'Lista YPF'!$B$3:$C$358,2,FALSE),"NO")</f>
        <v>En lista de Abandono</v>
      </c>
      <c r="J2507" s="5" t="str">
        <f>IFERROR(VLOOKUP(Consulta1[[#This Row],[Pozo]],'Lista Oportunidades'!B:C,2,FALSE),"NO")</f>
        <v>NO</v>
      </c>
      <c r="K2507" s="5">
        <f>IFERROR(VLOOKUP(Consulta1[[#This Row],[Pozo largo]],Controles!B:H,7,FALSE),"NO")</f>
        <v>0.61</v>
      </c>
      <c r="L2507" s="5">
        <f>IFERROR(VLOOKUP(Consulta1[[#This Row],[Pozo largo]],Controles!B:J,9,FALSE),"NO")</f>
        <v>0</v>
      </c>
    </row>
    <row r="2508" spans="2:12" x14ac:dyDescent="0.35">
      <c r="B2508" s="4" t="s">
        <v>4803</v>
      </c>
      <c r="C2508" s="4" t="s">
        <v>8215</v>
      </c>
      <c r="D2508" s="4" t="s">
        <v>5</v>
      </c>
      <c r="E2508" s="4" t="s">
        <v>57</v>
      </c>
      <c r="F2508" s="4" t="s">
        <v>7</v>
      </c>
      <c r="G2508" s="4" t="s">
        <v>8</v>
      </c>
      <c r="H2508" s="4" t="s">
        <v>71</v>
      </c>
      <c r="I2508" s="5" t="str">
        <f>IFERROR(VLOOKUP(Consulta1[[#This Row],[Pozo largo]],'Lista YPF'!$B$3:$C$358,2,FALSE),"NO")</f>
        <v>NO</v>
      </c>
      <c r="J2508" s="5" t="str">
        <f>IFERROR(VLOOKUP(Consulta1[[#This Row],[Pozo]],'Lista Oportunidades'!B:C,2,FALSE),"NO")</f>
        <v>NO</v>
      </c>
      <c r="K2508" s="5">
        <f>IFERROR(VLOOKUP(Consulta1[[#This Row],[Pozo largo]],Controles!B:H,7,FALSE),"NO")</f>
        <v>0.6</v>
      </c>
      <c r="L2508" s="5">
        <f>IFERROR(VLOOKUP(Consulta1[[#This Row],[Pozo largo]],Controles!B:J,9,FALSE),"NO")</f>
        <v>0</v>
      </c>
    </row>
    <row r="2509" spans="2:12" x14ac:dyDescent="0.35">
      <c r="B2509" s="4" t="s">
        <v>4805</v>
      </c>
      <c r="C2509" s="4" t="s">
        <v>8216</v>
      </c>
      <c r="D2509" s="4" t="s">
        <v>5</v>
      </c>
      <c r="E2509" s="4" t="s">
        <v>6</v>
      </c>
      <c r="F2509" s="4" t="s">
        <v>28</v>
      </c>
      <c r="G2509" s="4" t="s">
        <v>5718</v>
      </c>
      <c r="H2509" s="4" t="s">
        <v>185</v>
      </c>
      <c r="I2509" s="5" t="str">
        <f>IFERROR(VLOOKUP(Consulta1[[#This Row],[Pozo largo]],'Lista YPF'!$B$3:$C$358,2,FALSE),"NO")</f>
        <v>En lista de Abandono</v>
      </c>
      <c r="J2509" s="5" t="str">
        <f>IFERROR(VLOOKUP(Consulta1[[#This Row],[Pozo]],'Lista Oportunidades'!B:C,2,FALSE),"NO")</f>
        <v>NO</v>
      </c>
      <c r="K2509" s="5">
        <f>IFERROR(VLOOKUP(Consulta1[[#This Row],[Pozo largo]],Controles!B:H,7,FALSE),"NO")</f>
        <v>0</v>
      </c>
      <c r="L2509" s="5" t="str">
        <f>IFERROR(VLOOKUP(Consulta1[[#This Row],[Pozo largo]],Controles!B:J,9,FALSE),"NO")</f>
        <v>Ultimo Año</v>
      </c>
    </row>
    <row r="2510" spans="2:12" x14ac:dyDescent="0.35">
      <c r="B2510" s="4" t="s">
        <v>4807</v>
      </c>
      <c r="C2510" s="4" t="s">
        <v>8217</v>
      </c>
      <c r="D2510" s="4" t="s">
        <v>5</v>
      </c>
      <c r="E2510" s="4" t="s">
        <v>12</v>
      </c>
      <c r="F2510" s="4" t="s">
        <v>7</v>
      </c>
      <c r="G2510" s="4" t="s">
        <v>13</v>
      </c>
      <c r="H2510" s="4" t="s">
        <v>185</v>
      </c>
      <c r="I2510" s="5" t="str">
        <f>IFERROR(VLOOKUP(Consulta1[[#This Row],[Pozo largo]],'Lista YPF'!$B$3:$C$358,2,FALSE),"NO")</f>
        <v>NO</v>
      </c>
      <c r="J2510" s="5" t="str">
        <f>IFERROR(VLOOKUP(Consulta1[[#This Row],[Pozo]],'Lista Oportunidades'!B:C,2,FALSE),"NO")</f>
        <v>NO</v>
      </c>
      <c r="K2510" s="5">
        <f>IFERROR(VLOOKUP(Consulta1[[#This Row],[Pozo largo]],Controles!B:H,7,FALSE),"NO")</f>
        <v>0.92900000000000005</v>
      </c>
      <c r="L2510" s="5">
        <f>IFERROR(VLOOKUP(Consulta1[[#This Row],[Pozo largo]],Controles!B:J,9,FALSE),"NO")</f>
        <v>0</v>
      </c>
    </row>
    <row r="2511" spans="2:12" x14ac:dyDescent="0.35">
      <c r="B2511" s="4" t="s">
        <v>4809</v>
      </c>
      <c r="C2511" s="4" t="s">
        <v>8218</v>
      </c>
      <c r="D2511" s="4" t="s">
        <v>5</v>
      </c>
      <c r="E2511" s="4" t="s">
        <v>30</v>
      </c>
      <c r="F2511" s="4" t="s">
        <v>31</v>
      </c>
      <c r="G2511" s="4" t="s">
        <v>32</v>
      </c>
      <c r="H2511" s="4" t="s">
        <v>74</v>
      </c>
      <c r="I2511" s="5" t="str">
        <f>IFERROR(VLOOKUP(Consulta1[[#This Row],[Pozo largo]],'Lista YPF'!$B$3:$C$358,2,FALSE),"NO")</f>
        <v>NO</v>
      </c>
      <c r="J2511" s="5" t="str">
        <f>IFERROR(VLOOKUP(Consulta1[[#This Row],[Pozo]],'Lista Oportunidades'!B:C,2,FALSE),"NO")</f>
        <v>NO</v>
      </c>
      <c r="K2511" s="5" t="str">
        <f>IFERROR(VLOOKUP(Consulta1[[#This Row],[Pozo largo]],Controles!B:H,7,FALSE),"NO")</f>
        <v>NO</v>
      </c>
      <c r="L2511" s="5" t="str">
        <f>IFERROR(VLOOKUP(Consulta1[[#This Row],[Pozo largo]],Controles!B:J,9,FALSE),"NO")</f>
        <v>NO</v>
      </c>
    </row>
    <row r="2512" spans="2:12" x14ac:dyDescent="0.35">
      <c r="B2512" s="4" t="s">
        <v>4810</v>
      </c>
      <c r="C2512" s="4" t="s">
        <v>8219</v>
      </c>
      <c r="D2512" s="4" t="s">
        <v>5</v>
      </c>
      <c r="E2512" s="4" t="s">
        <v>12</v>
      </c>
      <c r="F2512" s="4" t="s">
        <v>7</v>
      </c>
      <c r="G2512" s="4" t="s">
        <v>13</v>
      </c>
      <c r="H2512" s="4" t="s">
        <v>141</v>
      </c>
      <c r="I2512" s="5" t="str">
        <f>IFERROR(VLOOKUP(Consulta1[[#This Row],[Pozo largo]],'Lista YPF'!$B$3:$C$358,2,FALSE),"NO")</f>
        <v>NO</v>
      </c>
      <c r="J2512" s="5" t="str">
        <f>IFERROR(VLOOKUP(Consulta1[[#This Row],[Pozo]],'Lista Oportunidades'!B:C,2,FALSE),"NO")</f>
        <v>NO</v>
      </c>
      <c r="K2512" s="5">
        <f>IFERROR(VLOOKUP(Consulta1[[#This Row],[Pozo largo]],Controles!B:H,7,FALSE),"NO")</f>
        <v>2.2960000000000003</v>
      </c>
      <c r="L2512" s="5">
        <f>IFERROR(VLOOKUP(Consulta1[[#This Row],[Pozo largo]],Controles!B:J,9,FALSE),"NO")</f>
        <v>0</v>
      </c>
    </row>
    <row r="2513" spans="2:12" x14ac:dyDescent="0.35">
      <c r="B2513" s="4" t="s">
        <v>4812</v>
      </c>
      <c r="C2513" s="4" t="s">
        <v>8220</v>
      </c>
      <c r="D2513" s="4" t="s">
        <v>5</v>
      </c>
      <c r="E2513" s="4" t="s">
        <v>57</v>
      </c>
      <c r="F2513" s="4" t="s">
        <v>31</v>
      </c>
      <c r="G2513" s="4" t="s">
        <v>5718</v>
      </c>
      <c r="H2513" s="4" t="s">
        <v>71</v>
      </c>
      <c r="I2513" s="5" t="str">
        <f>IFERROR(VLOOKUP(Consulta1[[#This Row],[Pozo largo]],'Lista YPF'!$B$3:$C$358,2,FALSE),"NO")</f>
        <v>En lista de Abandono</v>
      </c>
      <c r="J2513" s="5" t="str">
        <f>IFERROR(VLOOKUP(Consulta1[[#This Row],[Pozo]],'Lista Oportunidades'!B:C,2,FALSE),"NO")</f>
        <v>NO</v>
      </c>
      <c r="K2513" s="5">
        <f>IFERROR(VLOOKUP(Consulta1[[#This Row],[Pozo largo]],Controles!B:H,7,FALSE),"NO")</f>
        <v>0.48</v>
      </c>
      <c r="L2513" s="5">
        <f>IFERROR(VLOOKUP(Consulta1[[#This Row],[Pozo largo]],Controles!B:J,9,FALSE),"NO")</f>
        <v>0</v>
      </c>
    </row>
    <row r="2514" spans="2:12" x14ac:dyDescent="0.35">
      <c r="B2514" s="4" t="s">
        <v>4814</v>
      </c>
      <c r="C2514" s="4" t="s">
        <v>8221</v>
      </c>
      <c r="D2514" s="4" t="s">
        <v>5</v>
      </c>
      <c r="E2514" s="4" t="s">
        <v>12</v>
      </c>
      <c r="F2514" s="4" t="s">
        <v>238</v>
      </c>
      <c r="G2514" s="4" t="s">
        <v>13</v>
      </c>
      <c r="H2514" s="4" t="s">
        <v>71</v>
      </c>
      <c r="I2514" s="5" t="str">
        <f>IFERROR(VLOOKUP(Consulta1[[#This Row],[Pozo largo]],'Lista YPF'!$B$3:$C$358,2,FALSE),"NO")</f>
        <v>NO</v>
      </c>
      <c r="J2514" s="5" t="str">
        <f>IFERROR(VLOOKUP(Consulta1[[#This Row],[Pozo]],'Lista Oportunidades'!B:C,2,FALSE),"NO")</f>
        <v>NO</v>
      </c>
      <c r="K2514" s="5">
        <f>IFERROR(VLOOKUP(Consulta1[[#This Row],[Pozo largo]],Controles!B:H,7,FALSE),"NO")</f>
        <v>1.6</v>
      </c>
      <c r="L2514" s="5">
        <f>IFERROR(VLOOKUP(Consulta1[[#This Row],[Pozo largo]],Controles!B:J,9,FALSE),"NO")</f>
        <v>0</v>
      </c>
    </row>
    <row r="2515" spans="2:12" x14ac:dyDescent="0.35">
      <c r="B2515" s="4" t="s">
        <v>4816</v>
      </c>
      <c r="C2515" s="4" t="s">
        <v>8222</v>
      </c>
      <c r="D2515" s="4" t="s">
        <v>5</v>
      </c>
      <c r="E2515" s="4" t="s">
        <v>6</v>
      </c>
      <c r="F2515" s="4" t="s">
        <v>7</v>
      </c>
      <c r="G2515" s="4" t="s">
        <v>5718</v>
      </c>
      <c r="H2515" s="4" t="s">
        <v>71</v>
      </c>
      <c r="I2515" s="5" t="str">
        <f>IFERROR(VLOOKUP(Consulta1[[#This Row],[Pozo largo]],'Lista YPF'!$B$3:$C$358,2,FALSE),"NO")</f>
        <v>En lista de Abandono</v>
      </c>
      <c r="J2515" s="5" t="str">
        <f>IFERROR(VLOOKUP(Consulta1[[#This Row],[Pozo]],'Lista Oportunidades'!B:C,2,FALSE),"NO")</f>
        <v>NO</v>
      </c>
      <c r="K2515" s="5">
        <f>IFERROR(VLOOKUP(Consulta1[[#This Row],[Pozo largo]],Controles!B:H,7,FALSE),"NO")</f>
        <v>0</v>
      </c>
      <c r="L2515" s="5">
        <f>IFERROR(VLOOKUP(Consulta1[[#This Row],[Pozo largo]],Controles!B:J,9,FALSE),"NO")</f>
        <v>0</v>
      </c>
    </row>
    <row r="2516" spans="2:12" x14ac:dyDescent="0.35">
      <c r="B2516" s="4" t="s">
        <v>4818</v>
      </c>
      <c r="C2516" s="4" t="s">
        <v>8223</v>
      </c>
      <c r="D2516" s="4" t="s">
        <v>5</v>
      </c>
      <c r="E2516" s="4" t="s">
        <v>12</v>
      </c>
      <c r="F2516" s="4" t="s">
        <v>7</v>
      </c>
      <c r="G2516" s="4" t="s">
        <v>13</v>
      </c>
      <c r="H2516" s="4" t="s">
        <v>9</v>
      </c>
      <c r="I2516" s="5" t="str">
        <f>IFERROR(VLOOKUP(Consulta1[[#This Row],[Pozo largo]],'Lista YPF'!$B$3:$C$358,2,FALSE),"NO")</f>
        <v>NO</v>
      </c>
      <c r="J2516" s="5" t="str">
        <f>IFERROR(VLOOKUP(Consulta1[[#This Row],[Pozo]],'Lista Oportunidades'!B:C,2,FALSE),"NO")</f>
        <v>NO</v>
      </c>
      <c r="K2516" s="5">
        <f>IFERROR(VLOOKUP(Consulta1[[#This Row],[Pozo largo]],Controles!B:H,7,FALSE),"NO")</f>
        <v>0.70000000000000007</v>
      </c>
      <c r="L2516" s="5">
        <f>IFERROR(VLOOKUP(Consulta1[[#This Row],[Pozo largo]],Controles!B:J,9,FALSE),"NO")</f>
        <v>0</v>
      </c>
    </row>
    <row r="2517" spans="2:12" x14ac:dyDescent="0.35">
      <c r="B2517" s="4" t="s">
        <v>4820</v>
      </c>
      <c r="C2517" s="4" t="s">
        <v>8224</v>
      </c>
      <c r="D2517" s="4" t="s">
        <v>5</v>
      </c>
      <c r="E2517" s="4" t="s">
        <v>24</v>
      </c>
      <c r="F2517" s="4" t="s">
        <v>7</v>
      </c>
      <c r="G2517" s="4" t="s">
        <v>8</v>
      </c>
      <c r="H2517" s="4" t="s">
        <v>9</v>
      </c>
      <c r="I2517" s="5" t="str">
        <f>IFERROR(VLOOKUP(Consulta1[[#This Row],[Pozo largo]],'Lista YPF'!$B$3:$C$358,2,FALSE),"NO")</f>
        <v>NO</v>
      </c>
      <c r="J2517" s="5" t="str">
        <f>IFERROR(VLOOKUP(Consulta1[[#This Row],[Pozo]],'Lista Oportunidades'!B:C,2,FALSE),"NO")</f>
        <v>NO</v>
      </c>
      <c r="K2517" s="5">
        <f>IFERROR(VLOOKUP(Consulta1[[#This Row],[Pozo largo]],Controles!B:H,7,FALSE),"NO")</f>
        <v>0.44900000000000001</v>
      </c>
      <c r="L2517" s="5">
        <f>IFERROR(VLOOKUP(Consulta1[[#This Row],[Pozo largo]],Controles!B:J,9,FALSE),"NO")</f>
        <v>0</v>
      </c>
    </row>
    <row r="2518" spans="2:12" x14ac:dyDescent="0.35">
      <c r="B2518" s="4" t="s">
        <v>4822</v>
      </c>
      <c r="C2518" s="4" t="s">
        <v>8225</v>
      </c>
      <c r="D2518" s="4" t="s">
        <v>5</v>
      </c>
      <c r="E2518" s="4" t="s">
        <v>12</v>
      </c>
      <c r="F2518" s="4" t="s">
        <v>7</v>
      </c>
      <c r="G2518" s="4" t="s">
        <v>13</v>
      </c>
      <c r="H2518" s="4" t="s">
        <v>9</v>
      </c>
      <c r="I2518" s="5" t="str">
        <f>IFERROR(VLOOKUP(Consulta1[[#This Row],[Pozo largo]],'Lista YPF'!$B$3:$C$358,2,FALSE),"NO")</f>
        <v>NO</v>
      </c>
      <c r="J2518" s="5" t="str">
        <f>IFERROR(VLOOKUP(Consulta1[[#This Row],[Pozo]],'Lista Oportunidades'!B:C,2,FALSE),"NO")</f>
        <v>NO</v>
      </c>
      <c r="K2518" s="5">
        <f>IFERROR(VLOOKUP(Consulta1[[#This Row],[Pozo largo]],Controles!B:H,7,FALSE),"NO")</f>
        <v>0.88</v>
      </c>
      <c r="L2518" s="5">
        <f>IFERROR(VLOOKUP(Consulta1[[#This Row],[Pozo largo]],Controles!B:J,9,FALSE),"NO")</f>
        <v>0</v>
      </c>
    </row>
    <row r="2519" spans="2:12" x14ac:dyDescent="0.35">
      <c r="B2519" s="4" t="s">
        <v>4824</v>
      </c>
      <c r="C2519" s="4" t="s">
        <v>8226</v>
      </c>
      <c r="D2519" s="4" t="s">
        <v>5</v>
      </c>
      <c r="E2519" s="4" t="s">
        <v>24</v>
      </c>
      <c r="F2519" s="4" t="s">
        <v>31</v>
      </c>
      <c r="G2519" s="4" t="s">
        <v>8</v>
      </c>
      <c r="H2519" s="4" t="s">
        <v>21</v>
      </c>
      <c r="I2519" s="5" t="str">
        <f>IFERROR(VLOOKUP(Consulta1[[#This Row],[Pozo largo]],'Lista YPF'!$B$3:$C$358,2,FALSE),"NO")</f>
        <v>NO</v>
      </c>
      <c r="J2519" s="5" t="str">
        <f>IFERROR(VLOOKUP(Consulta1[[#This Row],[Pozo]],'Lista Oportunidades'!B:C,2,FALSE),"NO")</f>
        <v>NO</v>
      </c>
      <c r="K2519" s="5" t="str">
        <f>IFERROR(VLOOKUP(Consulta1[[#This Row],[Pozo largo]],Controles!B:H,7,FALSE),"NO")</f>
        <v>NO</v>
      </c>
      <c r="L2519" s="5" t="str">
        <f>IFERROR(VLOOKUP(Consulta1[[#This Row],[Pozo largo]],Controles!B:J,9,FALSE),"NO")</f>
        <v>NO</v>
      </c>
    </row>
    <row r="2520" spans="2:12" x14ac:dyDescent="0.35">
      <c r="B2520" s="4" t="s">
        <v>4825</v>
      </c>
      <c r="C2520" s="4" t="s">
        <v>8227</v>
      </c>
      <c r="D2520" s="4" t="s">
        <v>5</v>
      </c>
      <c r="E2520" s="4" t="s">
        <v>12</v>
      </c>
      <c r="F2520" s="4" t="s">
        <v>7</v>
      </c>
      <c r="G2520" s="4" t="s">
        <v>13</v>
      </c>
      <c r="H2520" s="4" t="s">
        <v>21</v>
      </c>
      <c r="I2520" s="5" t="str">
        <f>IFERROR(VLOOKUP(Consulta1[[#This Row],[Pozo largo]],'Lista YPF'!$B$3:$C$358,2,FALSE),"NO")</f>
        <v>NO</v>
      </c>
      <c r="J2520" s="5" t="str">
        <f>IFERROR(VLOOKUP(Consulta1[[#This Row],[Pozo]],'Lista Oportunidades'!B:C,2,FALSE),"NO")</f>
        <v>NO</v>
      </c>
      <c r="K2520" s="5">
        <f>IFERROR(VLOOKUP(Consulta1[[#This Row],[Pozo largo]],Controles!B:H,7,FALSE),"NO")</f>
        <v>0.51</v>
      </c>
      <c r="L2520" s="5">
        <f>IFERROR(VLOOKUP(Consulta1[[#This Row],[Pozo largo]],Controles!B:J,9,FALSE),"NO")</f>
        <v>0</v>
      </c>
    </row>
    <row r="2521" spans="2:12" x14ac:dyDescent="0.35">
      <c r="B2521" s="4" t="s">
        <v>4827</v>
      </c>
      <c r="C2521" s="4" t="s">
        <v>8228</v>
      </c>
      <c r="D2521" s="4" t="s">
        <v>5</v>
      </c>
      <c r="E2521" s="4" t="s">
        <v>30</v>
      </c>
      <c r="F2521" s="4" t="s">
        <v>31</v>
      </c>
      <c r="G2521" s="4" t="s">
        <v>32</v>
      </c>
      <c r="H2521" s="4" t="s">
        <v>33</v>
      </c>
      <c r="I2521" s="5" t="str">
        <f>IFERROR(VLOOKUP(Consulta1[[#This Row],[Pozo largo]],'Lista YPF'!$B$3:$C$358,2,FALSE),"NO")</f>
        <v>NO</v>
      </c>
      <c r="J2521" s="5" t="str">
        <f>IFERROR(VLOOKUP(Consulta1[[#This Row],[Pozo]],'Lista Oportunidades'!B:C,2,FALSE),"NO")</f>
        <v>NO</v>
      </c>
      <c r="K2521" s="5" t="str">
        <f>IFERROR(VLOOKUP(Consulta1[[#This Row],[Pozo largo]],Controles!B:H,7,FALSE),"NO")</f>
        <v>NO</v>
      </c>
      <c r="L2521" s="5" t="str">
        <f>IFERROR(VLOOKUP(Consulta1[[#This Row],[Pozo largo]],Controles!B:J,9,FALSE),"NO")</f>
        <v>NO</v>
      </c>
    </row>
    <row r="2522" spans="2:12" x14ac:dyDescent="0.35">
      <c r="B2522" s="4" t="s">
        <v>4828</v>
      </c>
      <c r="C2522" s="4" t="s">
        <v>8229</v>
      </c>
      <c r="D2522" s="4" t="s">
        <v>5</v>
      </c>
      <c r="E2522" s="4" t="s">
        <v>12</v>
      </c>
      <c r="F2522" s="4" t="s">
        <v>7</v>
      </c>
      <c r="G2522" s="4" t="s">
        <v>13</v>
      </c>
      <c r="H2522" s="4" t="s">
        <v>21</v>
      </c>
      <c r="I2522" s="5" t="str">
        <f>IFERROR(VLOOKUP(Consulta1[[#This Row],[Pozo largo]],'Lista YPF'!$B$3:$C$358,2,FALSE),"NO")</f>
        <v>NO</v>
      </c>
      <c r="J2522" s="5" t="str">
        <f>IFERROR(VLOOKUP(Consulta1[[#This Row],[Pozo]],'Lista Oportunidades'!B:C,2,FALSE),"NO")</f>
        <v>NO</v>
      </c>
      <c r="K2522" s="5">
        <f>IFERROR(VLOOKUP(Consulta1[[#This Row],[Pozo largo]],Controles!B:H,7,FALSE),"NO")</f>
        <v>0.93300000000000005</v>
      </c>
      <c r="L2522" s="5">
        <f>IFERROR(VLOOKUP(Consulta1[[#This Row],[Pozo largo]],Controles!B:J,9,FALSE),"NO")</f>
        <v>0</v>
      </c>
    </row>
    <row r="2523" spans="2:12" x14ac:dyDescent="0.35">
      <c r="B2523" s="4" t="s">
        <v>4830</v>
      </c>
      <c r="C2523" s="4" t="s">
        <v>8230</v>
      </c>
      <c r="D2523" s="4" t="s">
        <v>5</v>
      </c>
      <c r="E2523" s="4" t="s">
        <v>12</v>
      </c>
      <c r="F2523" s="4" t="s">
        <v>7</v>
      </c>
      <c r="G2523" s="4" t="s">
        <v>13</v>
      </c>
      <c r="H2523" s="4" t="s">
        <v>21</v>
      </c>
      <c r="I2523" s="5" t="str">
        <f>IFERROR(VLOOKUP(Consulta1[[#This Row],[Pozo largo]],'Lista YPF'!$B$3:$C$358,2,FALSE),"NO")</f>
        <v>NO</v>
      </c>
      <c r="J2523" s="5" t="str">
        <f>IFERROR(VLOOKUP(Consulta1[[#This Row],[Pozo]],'Lista Oportunidades'!B:C,2,FALSE),"NO")</f>
        <v>NO</v>
      </c>
      <c r="K2523" s="5">
        <f>IFERROR(VLOOKUP(Consulta1[[#This Row],[Pozo largo]],Controles!B:H,7,FALSE),"NO")</f>
        <v>1.92</v>
      </c>
      <c r="L2523" s="5">
        <f>IFERROR(VLOOKUP(Consulta1[[#This Row],[Pozo largo]],Controles!B:J,9,FALSE),"NO")</f>
        <v>0</v>
      </c>
    </row>
    <row r="2524" spans="2:12" x14ac:dyDescent="0.35">
      <c r="B2524" s="4" t="s">
        <v>4832</v>
      </c>
      <c r="C2524" s="4" t="s">
        <v>8231</v>
      </c>
      <c r="D2524" s="4" t="s">
        <v>5</v>
      </c>
      <c r="E2524" s="4" t="s">
        <v>57</v>
      </c>
      <c r="F2524" s="4" t="s">
        <v>7</v>
      </c>
      <c r="G2524" s="4" t="s">
        <v>5718</v>
      </c>
      <c r="H2524" s="4" t="s">
        <v>21</v>
      </c>
      <c r="I2524" s="5" t="str">
        <f>IFERROR(VLOOKUP(Consulta1[[#This Row],[Pozo largo]],'Lista YPF'!$B$3:$C$358,2,FALSE),"NO")</f>
        <v>En lista de Abandono</v>
      </c>
      <c r="J2524" s="5" t="str">
        <f>IFERROR(VLOOKUP(Consulta1[[#This Row],[Pozo]],'Lista Oportunidades'!B:C,2,FALSE),"NO")</f>
        <v>NO</v>
      </c>
      <c r="K2524" s="5">
        <f>IFERROR(VLOOKUP(Consulta1[[#This Row],[Pozo largo]],Controles!B:H,7,FALSE),"NO")</f>
        <v>0.6</v>
      </c>
      <c r="L2524" s="5">
        <f>IFERROR(VLOOKUP(Consulta1[[#This Row],[Pozo largo]],Controles!B:J,9,FALSE),"NO")</f>
        <v>0</v>
      </c>
    </row>
    <row r="2525" spans="2:12" x14ac:dyDescent="0.35">
      <c r="B2525" s="4" t="s">
        <v>4834</v>
      </c>
      <c r="C2525" s="4" t="s">
        <v>8232</v>
      </c>
      <c r="D2525" s="4" t="s">
        <v>5</v>
      </c>
      <c r="E2525" s="4" t="s">
        <v>12</v>
      </c>
      <c r="F2525" s="4" t="s">
        <v>7</v>
      </c>
      <c r="G2525" s="4" t="s">
        <v>13</v>
      </c>
      <c r="H2525" s="4" t="s">
        <v>21</v>
      </c>
      <c r="I2525" s="5" t="str">
        <f>IFERROR(VLOOKUP(Consulta1[[#This Row],[Pozo largo]],'Lista YPF'!$B$3:$C$358,2,FALSE),"NO")</f>
        <v>NO</v>
      </c>
      <c r="J2525" s="5" t="str">
        <f>IFERROR(VLOOKUP(Consulta1[[#This Row],[Pozo]],'Lista Oportunidades'!B:C,2,FALSE),"NO")</f>
        <v>NO</v>
      </c>
      <c r="K2525" s="5">
        <f>IFERROR(VLOOKUP(Consulta1[[#This Row],[Pozo largo]],Controles!B:H,7,FALSE),"NO")</f>
        <v>1.44</v>
      </c>
      <c r="L2525" s="5">
        <f>IFERROR(VLOOKUP(Consulta1[[#This Row],[Pozo largo]],Controles!B:J,9,FALSE),"NO")</f>
        <v>0</v>
      </c>
    </row>
    <row r="2526" spans="2:12" x14ac:dyDescent="0.35">
      <c r="B2526" s="4" t="s">
        <v>4836</v>
      </c>
      <c r="C2526" s="4" t="s">
        <v>8233</v>
      </c>
      <c r="D2526" s="4" t="s">
        <v>5</v>
      </c>
      <c r="E2526" s="4" t="s">
        <v>30</v>
      </c>
      <c r="F2526" s="4" t="s">
        <v>31</v>
      </c>
      <c r="G2526" s="4" t="s">
        <v>32</v>
      </c>
      <c r="H2526" s="4" t="s">
        <v>21</v>
      </c>
      <c r="I2526" s="5" t="str">
        <f>IFERROR(VLOOKUP(Consulta1[[#This Row],[Pozo largo]],'Lista YPF'!$B$3:$C$358,2,FALSE),"NO")</f>
        <v>NO</v>
      </c>
      <c r="J2526" s="5" t="str">
        <f>IFERROR(VLOOKUP(Consulta1[[#This Row],[Pozo]],'Lista Oportunidades'!B:C,2,FALSE),"NO")</f>
        <v>NO</v>
      </c>
      <c r="K2526" s="5">
        <f>IFERROR(VLOOKUP(Consulta1[[#This Row],[Pozo largo]],Controles!B:H,7,FALSE),"NO")</f>
        <v>0</v>
      </c>
      <c r="L2526" s="5">
        <f>IFERROR(VLOOKUP(Consulta1[[#This Row],[Pozo largo]],Controles!B:J,9,FALSE),"NO")</f>
        <v>0</v>
      </c>
    </row>
    <row r="2527" spans="2:12" x14ac:dyDescent="0.35">
      <c r="B2527" s="4" t="s">
        <v>4838</v>
      </c>
      <c r="C2527" s="4" t="s">
        <v>8234</v>
      </c>
      <c r="D2527" s="4" t="s">
        <v>5</v>
      </c>
      <c r="E2527" s="4" t="s">
        <v>12</v>
      </c>
      <c r="F2527" s="4" t="s">
        <v>28</v>
      </c>
      <c r="G2527" s="4" t="s">
        <v>13</v>
      </c>
      <c r="H2527" s="4" t="s">
        <v>21</v>
      </c>
      <c r="I2527" s="5" t="str">
        <f>IFERROR(VLOOKUP(Consulta1[[#This Row],[Pozo largo]],'Lista YPF'!$B$3:$C$358,2,FALSE),"NO")</f>
        <v>NO</v>
      </c>
      <c r="J2527" s="5" t="str">
        <f>IFERROR(VLOOKUP(Consulta1[[#This Row],[Pozo]],'Lista Oportunidades'!B:C,2,FALSE),"NO")</f>
        <v>NO</v>
      </c>
      <c r="K2527" s="5">
        <f>IFERROR(VLOOKUP(Consulta1[[#This Row],[Pozo largo]],Controles!B:H,7,FALSE),"NO")</f>
        <v>0</v>
      </c>
      <c r="L2527" s="5">
        <f>IFERROR(VLOOKUP(Consulta1[[#This Row],[Pozo largo]],Controles!B:J,9,FALSE),"NO")</f>
        <v>0</v>
      </c>
    </row>
    <row r="2528" spans="2:12" x14ac:dyDescent="0.35">
      <c r="B2528" s="4" t="s">
        <v>4840</v>
      </c>
      <c r="C2528" s="4" t="s">
        <v>8235</v>
      </c>
      <c r="D2528" s="4" t="s">
        <v>5</v>
      </c>
      <c r="E2528" s="4" t="s">
        <v>12</v>
      </c>
      <c r="F2528" s="4" t="s">
        <v>7</v>
      </c>
      <c r="G2528" s="4" t="s">
        <v>13</v>
      </c>
      <c r="H2528" s="4" t="s">
        <v>21</v>
      </c>
      <c r="I2528" s="5" t="str">
        <f>IFERROR(VLOOKUP(Consulta1[[#This Row],[Pozo largo]],'Lista YPF'!$B$3:$C$358,2,FALSE),"NO")</f>
        <v>NO</v>
      </c>
      <c r="J2528" s="5" t="str">
        <f>IFERROR(VLOOKUP(Consulta1[[#This Row],[Pozo]],'Lista Oportunidades'!B:C,2,FALSE),"NO")</f>
        <v>NO</v>
      </c>
      <c r="K2528" s="5">
        <f>IFERROR(VLOOKUP(Consulta1[[#This Row],[Pozo largo]],Controles!B:H,7,FALSE),"NO")</f>
        <v>0.85500000000000009</v>
      </c>
      <c r="L2528" s="5">
        <f>IFERROR(VLOOKUP(Consulta1[[#This Row],[Pozo largo]],Controles!B:J,9,FALSE),"NO")</f>
        <v>0</v>
      </c>
    </row>
    <row r="2529" spans="2:12" x14ac:dyDescent="0.35">
      <c r="B2529" s="4" t="s">
        <v>4842</v>
      </c>
      <c r="C2529" s="4" t="s">
        <v>8236</v>
      </c>
      <c r="D2529" s="4" t="s">
        <v>5</v>
      </c>
      <c r="E2529" s="4" t="s">
        <v>57</v>
      </c>
      <c r="F2529" s="4" t="s">
        <v>31</v>
      </c>
      <c r="G2529" s="4" t="s">
        <v>5718</v>
      </c>
      <c r="H2529" s="4" t="s">
        <v>21</v>
      </c>
      <c r="I2529" s="5" t="str">
        <f>IFERROR(VLOOKUP(Consulta1[[#This Row],[Pozo largo]],'Lista YPF'!$B$3:$C$358,2,FALSE),"NO")</f>
        <v>En lista de Abandono</v>
      </c>
      <c r="J2529" s="5" t="str">
        <f>IFERROR(VLOOKUP(Consulta1[[#This Row],[Pozo]],'Lista Oportunidades'!B:C,2,FALSE),"NO")</f>
        <v>NO</v>
      </c>
      <c r="K2529" s="5">
        <f>IFERROR(VLOOKUP(Consulta1[[#This Row],[Pozo largo]],Controles!B:H,7,FALSE),"NO")</f>
        <v>0.36</v>
      </c>
      <c r="L2529" s="5">
        <f>IFERROR(VLOOKUP(Consulta1[[#This Row],[Pozo largo]],Controles!B:J,9,FALSE),"NO")</f>
        <v>0</v>
      </c>
    </row>
    <row r="2530" spans="2:12" x14ac:dyDescent="0.35">
      <c r="B2530" s="4" t="s">
        <v>4844</v>
      </c>
      <c r="C2530" s="4" t="s">
        <v>8237</v>
      </c>
      <c r="D2530" s="4" t="s">
        <v>5</v>
      </c>
      <c r="E2530" s="4" t="s">
        <v>12</v>
      </c>
      <c r="F2530" s="4" t="s">
        <v>7</v>
      </c>
      <c r="G2530" s="4" t="s">
        <v>13</v>
      </c>
      <c r="H2530" s="4" t="s">
        <v>21</v>
      </c>
      <c r="I2530" s="5" t="str">
        <f>IFERROR(VLOOKUP(Consulta1[[#This Row],[Pozo largo]],'Lista YPF'!$B$3:$C$358,2,FALSE),"NO")</f>
        <v>NO</v>
      </c>
      <c r="J2530" s="5" t="str">
        <f>IFERROR(VLOOKUP(Consulta1[[#This Row],[Pozo]],'Lista Oportunidades'!B:C,2,FALSE),"NO")</f>
        <v>NO</v>
      </c>
      <c r="K2530" s="5">
        <f>IFERROR(VLOOKUP(Consulta1[[#This Row],[Pozo largo]],Controles!B:H,7,FALSE),"NO")</f>
        <v>1.44</v>
      </c>
      <c r="L2530" s="5">
        <f>IFERROR(VLOOKUP(Consulta1[[#This Row],[Pozo largo]],Controles!B:J,9,FALSE),"NO")</f>
        <v>0</v>
      </c>
    </row>
    <row r="2531" spans="2:12" x14ac:dyDescent="0.35">
      <c r="B2531" s="4" t="s">
        <v>4846</v>
      </c>
      <c r="C2531" s="4" t="s">
        <v>8238</v>
      </c>
      <c r="D2531" s="4" t="s">
        <v>5</v>
      </c>
      <c r="E2531" s="4" t="s">
        <v>6</v>
      </c>
      <c r="F2531" s="4" t="s">
        <v>7</v>
      </c>
      <c r="G2531" s="4" t="s">
        <v>5718</v>
      </c>
      <c r="H2531" s="4" t="s">
        <v>9</v>
      </c>
      <c r="I2531" s="5" t="str">
        <f>IFERROR(VLOOKUP(Consulta1[[#This Row],[Pozo largo]],'Lista YPF'!$B$3:$C$358,2,FALSE),"NO")</f>
        <v>En lista de Abandono</v>
      </c>
      <c r="J2531" s="5" t="str">
        <f>IFERROR(VLOOKUP(Consulta1[[#This Row],[Pozo]],'Lista Oportunidades'!B:C,2,FALSE),"NO")</f>
        <v>NO</v>
      </c>
      <c r="K2531" s="5">
        <f>IFERROR(VLOOKUP(Consulta1[[#This Row],[Pozo largo]],Controles!B:H,7,FALSE),"NO")</f>
        <v>0.8</v>
      </c>
      <c r="L2531" s="5">
        <f>IFERROR(VLOOKUP(Consulta1[[#This Row],[Pozo largo]],Controles!B:J,9,FALSE),"NO")</f>
        <v>0</v>
      </c>
    </row>
    <row r="2532" spans="2:12" x14ac:dyDescent="0.35">
      <c r="B2532" s="4" t="s">
        <v>4848</v>
      </c>
      <c r="C2532" s="4" t="s">
        <v>8239</v>
      </c>
      <c r="D2532" s="4" t="s">
        <v>5</v>
      </c>
      <c r="E2532" s="4" t="s">
        <v>12</v>
      </c>
      <c r="F2532" s="4" t="s">
        <v>7</v>
      </c>
      <c r="G2532" s="4" t="s">
        <v>13</v>
      </c>
      <c r="H2532" s="4" t="s">
        <v>86</v>
      </c>
      <c r="I2532" s="5" t="str">
        <f>IFERROR(VLOOKUP(Consulta1[[#This Row],[Pozo largo]],'Lista YPF'!$B$3:$C$358,2,FALSE),"NO")</f>
        <v>NO</v>
      </c>
      <c r="J2532" s="5" t="str">
        <f>IFERROR(VLOOKUP(Consulta1[[#This Row],[Pozo]],'Lista Oportunidades'!B:C,2,FALSE),"NO")</f>
        <v>NO</v>
      </c>
      <c r="K2532" s="5">
        <f>IFERROR(VLOOKUP(Consulta1[[#This Row],[Pozo largo]],Controles!B:H,7,FALSE),"NO")</f>
        <v>0.8</v>
      </c>
      <c r="L2532" s="5">
        <f>IFERROR(VLOOKUP(Consulta1[[#This Row],[Pozo largo]],Controles!B:J,9,FALSE),"NO")</f>
        <v>0</v>
      </c>
    </row>
    <row r="2533" spans="2:12" x14ac:dyDescent="0.35">
      <c r="B2533" s="4" t="s">
        <v>4850</v>
      </c>
      <c r="C2533" s="4" t="s">
        <v>8240</v>
      </c>
      <c r="D2533" s="4" t="s">
        <v>5</v>
      </c>
      <c r="E2533" s="4" t="s">
        <v>12</v>
      </c>
      <c r="F2533" s="4" t="s">
        <v>7</v>
      </c>
      <c r="G2533" s="4" t="s">
        <v>13</v>
      </c>
      <c r="H2533" s="4" t="s">
        <v>21</v>
      </c>
      <c r="I2533" s="5" t="str">
        <f>IFERROR(VLOOKUP(Consulta1[[#This Row],[Pozo largo]],'Lista YPF'!$B$3:$C$358,2,FALSE),"NO")</f>
        <v>NO</v>
      </c>
      <c r="J2533" s="5" t="str">
        <f>IFERROR(VLOOKUP(Consulta1[[#This Row],[Pozo]],'Lista Oportunidades'!B:C,2,FALSE),"NO")</f>
        <v>Oportunidad</v>
      </c>
      <c r="K2533" s="5">
        <f>IFERROR(VLOOKUP(Consulta1[[#This Row],[Pozo largo]],Controles!B:H,7,FALSE),"NO")</f>
        <v>0.48400000000000004</v>
      </c>
      <c r="L2533" s="5">
        <f>IFERROR(VLOOKUP(Consulta1[[#This Row],[Pozo largo]],Controles!B:J,9,FALSE),"NO")</f>
        <v>0</v>
      </c>
    </row>
    <row r="2534" spans="2:12" x14ac:dyDescent="0.35">
      <c r="B2534" s="4" t="s">
        <v>4852</v>
      </c>
      <c r="C2534" s="4" t="s">
        <v>8241</v>
      </c>
      <c r="D2534" s="4" t="s">
        <v>5</v>
      </c>
      <c r="E2534" s="4" t="s">
        <v>12</v>
      </c>
      <c r="F2534" s="4" t="s">
        <v>83</v>
      </c>
      <c r="G2534" s="4" t="s">
        <v>13</v>
      </c>
      <c r="H2534" s="4" t="s">
        <v>290</v>
      </c>
      <c r="I2534" s="5" t="str">
        <f>IFERROR(VLOOKUP(Consulta1[[#This Row],[Pozo largo]],'Lista YPF'!$B$3:$C$358,2,FALSE),"NO")</f>
        <v>NO</v>
      </c>
      <c r="J2534" s="5" t="str">
        <f>IFERROR(VLOOKUP(Consulta1[[#This Row],[Pozo]],'Lista Oportunidades'!B:C,2,FALSE),"NO")</f>
        <v>NO</v>
      </c>
      <c r="K2534" s="5">
        <f>IFERROR(VLOOKUP(Consulta1[[#This Row],[Pozo largo]],Controles!B:H,7,FALSE),"NO")</f>
        <v>4.5</v>
      </c>
      <c r="L2534" s="5">
        <f>IFERROR(VLOOKUP(Consulta1[[#This Row],[Pozo largo]],Controles!B:J,9,FALSE),"NO")</f>
        <v>0</v>
      </c>
    </row>
    <row r="2535" spans="2:12" x14ac:dyDescent="0.35">
      <c r="B2535" s="4" t="s">
        <v>4854</v>
      </c>
      <c r="C2535" s="4" t="s">
        <v>8242</v>
      </c>
      <c r="D2535" s="4" t="s">
        <v>5</v>
      </c>
      <c r="E2535" s="4" t="s">
        <v>12</v>
      </c>
      <c r="F2535" s="4" t="s">
        <v>7</v>
      </c>
      <c r="G2535" s="4" t="s">
        <v>13</v>
      </c>
      <c r="H2535" s="4" t="s">
        <v>91</v>
      </c>
      <c r="I2535" s="5" t="str">
        <f>IFERROR(VLOOKUP(Consulta1[[#This Row],[Pozo largo]],'Lista YPF'!$B$3:$C$358,2,FALSE),"NO")</f>
        <v>NO</v>
      </c>
      <c r="J2535" s="5" t="str">
        <f>IFERROR(VLOOKUP(Consulta1[[#This Row],[Pozo]],'Lista Oportunidades'!B:C,2,FALSE),"NO")</f>
        <v>NO</v>
      </c>
      <c r="K2535" s="5">
        <f>IFERROR(VLOOKUP(Consulta1[[#This Row],[Pozo largo]],Controles!B:H,7,FALSE),"NO")</f>
        <v>1.76</v>
      </c>
      <c r="L2535" s="5">
        <f>IFERROR(VLOOKUP(Consulta1[[#This Row],[Pozo largo]],Controles!B:J,9,FALSE),"NO")</f>
        <v>0</v>
      </c>
    </row>
    <row r="2536" spans="2:12" x14ac:dyDescent="0.35">
      <c r="B2536" s="4" t="s">
        <v>4856</v>
      </c>
      <c r="C2536" s="4" t="s">
        <v>8243</v>
      </c>
      <c r="D2536" s="4" t="s">
        <v>5</v>
      </c>
      <c r="E2536" s="4" t="s">
        <v>12</v>
      </c>
      <c r="F2536" s="4" t="s">
        <v>7</v>
      </c>
      <c r="G2536" s="4" t="s">
        <v>13</v>
      </c>
      <c r="H2536" s="4" t="s">
        <v>74</v>
      </c>
      <c r="I2536" s="5" t="str">
        <f>IFERROR(VLOOKUP(Consulta1[[#This Row],[Pozo largo]],'Lista YPF'!$B$3:$C$358,2,FALSE),"NO")</f>
        <v>NO</v>
      </c>
      <c r="J2536" s="5" t="str">
        <f>IFERROR(VLOOKUP(Consulta1[[#This Row],[Pozo]],'Lista Oportunidades'!B:C,2,FALSE),"NO")</f>
        <v>NO</v>
      </c>
      <c r="K2536" s="5">
        <f>IFERROR(VLOOKUP(Consulta1[[#This Row],[Pozo largo]],Controles!B:H,7,FALSE),"NO")</f>
        <v>2.99</v>
      </c>
      <c r="L2536" s="5">
        <f>IFERROR(VLOOKUP(Consulta1[[#This Row],[Pozo largo]],Controles!B:J,9,FALSE),"NO")</f>
        <v>0</v>
      </c>
    </row>
    <row r="2537" spans="2:12" x14ac:dyDescent="0.35">
      <c r="B2537" s="4" t="s">
        <v>4858</v>
      </c>
      <c r="C2537" s="4" t="s">
        <v>8244</v>
      </c>
      <c r="D2537" s="4" t="s">
        <v>5</v>
      </c>
      <c r="E2537" s="4" t="s">
        <v>12</v>
      </c>
      <c r="F2537" s="4" t="s">
        <v>25</v>
      </c>
      <c r="G2537" s="4" t="s">
        <v>13</v>
      </c>
      <c r="H2537" s="4" t="s">
        <v>185</v>
      </c>
      <c r="I2537" s="5" t="str">
        <f>IFERROR(VLOOKUP(Consulta1[[#This Row],[Pozo largo]],'Lista YPF'!$B$3:$C$358,2,FALSE),"NO")</f>
        <v>NO</v>
      </c>
      <c r="J2537" s="5" t="str">
        <f>IFERROR(VLOOKUP(Consulta1[[#This Row],[Pozo]],'Lista Oportunidades'!B:C,2,FALSE),"NO")</f>
        <v>NO</v>
      </c>
      <c r="K2537" s="5">
        <f>IFERROR(VLOOKUP(Consulta1[[#This Row],[Pozo largo]],Controles!B:H,7,FALSE),"NO")</f>
        <v>0.10400000000000001</v>
      </c>
      <c r="L2537" s="5">
        <f>IFERROR(VLOOKUP(Consulta1[[#This Row],[Pozo largo]],Controles!B:J,9,FALSE),"NO")</f>
        <v>0</v>
      </c>
    </row>
    <row r="2538" spans="2:12" x14ac:dyDescent="0.35">
      <c r="B2538" s="4" t="s">
        <v>4860</v>
      </c>
      <c r="C2538" s="4" t="s">
        <v>8245</v>
      </c>
      <c r="D2538" s="4" t="s">
        <v>5</v>
      </c>
      <c r="E2538" s="4" t="s">
        <v>12</v>
      </c>
      <c r="F2538" s="4" t="s">
        <v>83</v>
      </c>
      <c r="G2538" s="4" t="s">
        <v>13</v>
      </c>
      <c r="H2538" s="4" t="s">
        <v>185</v>
      </c>
      <c r="I2538" s="5" t="str">
        <f>IFERROR(VLOOKUP(Consulta1[[#This Row],[Pozo largo]],'Lista YPF'!$B$3:$C$358,2,FALSE),"NO")</f>
        <v>NO</v>
      </c>
      <c r="J2538" s="5" t="str">
        <f>IFERROR(VLOOKUP(Consulta1[[#This Row],[Pozo]],'Lista Oportunidades'!B:C,2,FALSE),"NO")</f>
        <v>NO</v>
      </c>
      <c r="K2538" s="5">
        <f>IFERROR(VLOOKUP(Consulta1[[#This Row],[Pozo largo]],Controles!B:H,7,FALSE),"NO")</f>
        <v>0.63</v>
      </c>
      <c r="L2538" s="5">
        <f>IFERROR(VLOOKUP(Consulta1[[#This Row],[Pozo largo]],Controles!B:J,9,FALSE),"NO")</f>
        <v>0</v>
      </c>
    </row>
    <row r="2539" spans="2:12" x14ac:dyDescent="0.35">
      <c r="B2539" s="4" t="s">
        <v>4862</v>
      </c>
      <c r="C2539" s="4" t="s">
        <v>8246</v>
      </c>
      <c r="D2539" s="4" t="s">
        <v>5</v>
      </c>
      <c r="E2539" s="4" t="s">
        <v>24</v>
      </c>
      <c r="F2539" s="4" t="s">
        <v>31</v>
      </c>
      <c r="G2539" s="4" t="s">
        <v>8</v>
      </c>
      <c r="H2539" s="4" t="s">
        <v>254</v>
      </c>
      <c r="I2539" s="5" t="str">
        <f>IFERROR(VLOOKUP(Consulta1[[#This Row],[Pozo largo]],'Lista YPF'!$B$3:$C$358,2,FALSE),"NO")</f>
        <v>NO</v>
      </c>
      <c r="J2539" s="5" t="str">
        <f>IFERROR(VLOOKUP(Consulta1[[#This Row],[Pozo]],'Lista Oportunidades'!B:C,2,FALSE),"NO")</f>
        <v>NO</v>
      </c>
      <c r="K2539" s="5" t="str">
        <f>IFERROR(VLOOKUP(Consulta1[[#This Row],[Pozo largo]],Controles!B:H,7,FALSE),"NO")</f>
        <v>NO</v>
      </c>
      <c r="L2539" s="5" t="str">
        <f>IFERROR(VLOOKUP(Consulta1[[#This Row],[Pozo largo]],Controles!B:J,9,FALSE),"NO")</f>
        <v>NO</v>
      </c>
    </row>
    <row r="2540" spans="2:12" x14ac:dyDescent="0.35">
      <c r="B2540" s="4" t="s">
        <v>4863</v>
      </c>
      <c r="C2540" s="4" t="s">
        <v>8247</v>
      </c>
      <c r="D2540" s="4" t="s">
        <v>5</v>
      </c>
      <c r="E2540" s="4" t="s">
        <v>12</v>
      </c>
      <c r="F2540" s="4" t="s">
        <v>7</v>
      </c>
      <c r="G2540" s="4" t="s">
        <v>13</v>
      </c>
      <c r="H2540" s="4" t="s">
        <v>36</v>
      </c>
      <c r="I2540" s="5" t="str">
        <f>IFERROR(VLOOKUP(Consulta1[[#This Row],[Pozo largo]],'Lista YPF'!$B$3:$C$358,2,FALSE),"NO")</f>
        <v>NO</v>
      </c>
      <c r="J2540" s="5" t="str">
        <f>IFERROR(VLOOKUP(Consulta1[[#This Row],[Pozo]],'Lista Oportunidades'!B:C,2,FALSE),"NO")</f>
        <v>NO</v>
      </c>
      <c r="K2540" s="5">
        <f>IFERROR(VLOOKUP(Consulta1[[#This Row],[Pozo largo]],Controles!B:H,7,FALSE),"NO")</f>
        <v>4.05</v>
      </c>
      <c r="L2540" s="5">
        <f>IFERROR(VLOOKUP(Consulta1[[#This Row],[Pozo largo]],Controles!B:J,9,FALSE),"NO")</f>
        <v>0</v>
      </c>
    </row>
    <row r="2541" spans="2:12" x14ac:dyDescent="0.35">
      <c r="B2541" s="4" t="s">
        <v>4865</v>
      </c>
      <c r="C2541" s="4" t="s">
        <v>8248</v>
      </c>
      <c r="D2541" s="4" t="s">
        <v>5</v>
      </c>
      <c r="E2541" s="4" t="s">
        <v>12</v>
      </c>
      <c r="F2541" s="4" t="s">
        <v>25</v>
      </c>
      <c r="G2541" s="4" t="s">
        <v>13</v>
      </c>
      <c r="H2541" s="4" t="s">
        <v>84</v>
      </c>
      <c r="I2541" s="5" t="str">
        <f>IFERROR(VLOOKUP(Consulta1[[#This Row],[Pozo largo]],'Lista YPF'!$B$3:$C$358,2,FALSE),"NO")</f>
        <v>NO</v>
      </c>
      <c r="J2541" s="5" t="str">
        <f>IFERROR(VLOOKUP(Consulta1[[#This Row],[Pozo]],'Lista Oportunidades'!B:C,2,FALSE),"NO")</f>
        <v>NO</v>
      </c>
      <c r="K2541" s="5">
        <f>IFERROR(VLOOKUP(Consulta1[[#This Row],[Pozo largo]],Controles!B:H,7,FALSE),"NO")</f>
        <v>1.6740000000000002</v>
      </c>
      <c r="L2541" s="5">
        <f>IFERROR(VLOOKUP(Consulta1[[#This Row],[Pozo largo]],Controles!B:J,9,FALSE),"NO")</f>
        <v>0</v>
      </c>
    </row>
    <row r="2542" spans="2:12" x14ac:dyDescent="0.35">
      <c r="B2542" s="4" t="s">
        <v>4867</v>
      </c>
      <c r="C2542" s="4" t="s">
        <v>8249</v>
      </c>
      <c r="D2542" s="4" t="s">
        <v>5</v>
      </c>
      <c r="E2542" s="4" t="s">
        <v>12</v>
      </c>
      <c r="F2542" s="4" t="s">
        <v>7</v>
      </c>
      <c r="G2542" s="4" t="s">
        <v>13</v>
      </c>
      <c r="H2542" s="4" t="s">
        <v>185</v>
      </c>
      <c r="I2542" s="5" t="str">
        <f>IFERROR(VLOOKUP(Consulta1[[#This Row],[Pozo largo]],'Lista YPF'!$B$3:$C$358,2,FALSE),"NO")</f>
        <v>NO</v>
      </c>
      <c r="J2542" s="5" t="str">
        <f>IFERROR(VLOOKUP(Consulta1[[#This Row],[Pozo]],'Lista Oportunidades'!B:C,2,FALSE),"NO")</f>
        <v>NO</v>
      </c>
      <c r="K2542" s="5">
        <f>IFERROR(VLOOKUP(Consulta1[[#This Row],[Pozo largo]],Controles!B:H,7,FALSE),"NO")</f>
        <v>1.26</v>
      </c>
      <c r="L2542" s="5">
        <f>IFERROR(VLOOKUP(Consulta1[[#This Row],[Pozo largo]],Controles!B:J,9,FALSE),"NO")</f>
        <v>0</v>
      </c>
    </row>
    <row r="2543" spans="2:12" x14ac:dyDescent="0.35">
      <c r="B2543" s="4" t="s">
        <v>4869</v>
      </c>
      <c r="C2543" s="4" t="s">
        <v>8250</v>
      </c>
      <c r="D2543" s="4" t="s">
        <v>5</v>
      </c>
      <c r="E2543" s="4" t="s">
        <v>12</v>
      </c>
      <c r="F2543" s="4" t="s">
        <v>7</v>
      </c>
      <c r="G2543" s="4" t="s">
        <v>13</v>
      </c>
      <c r="H2543" s="4" t="s">
        <v>80</v>
      </c>
      <c r="I2543" s="5" t="str">
        <f>IFERROR(VLOOKUP(Consulta1[[#This Row],[Pozo largo]],'Lista YPF'!$B$3:$C$358,2,FALSE),"NO")</f>
        <v>NO</v>
      </c>
      <c r="J2543" s="5" t="str">
        <f>IFERROR(VLOOKUP(Consulta1[[#This Row],[Pozo]],'Lista Oportunidades'!B:C,2,FALSE),"NO")</f>
        <v>NO</v>
      </c>
      <c r="K2543" s="5">
        <f>IFERROR(VLOOKUP(Consulta1[[#This Row],[Pozo largo]],Controles!B:H,7,FALSE),"NO")</f>
        <v>0.58800000000000008</v>
      </c>
      <c r="L2543" s="5">
        <f>IFERROR(VLOOKUP(Consulta1[[#This Row],[Pozo largo]],Controles!B:J,9,FALSE),"NO")</f>
        <v>0</v>
      </c>
    </row>
    <row r="2544" spans="2:12" x14ac:dyDescent="0.35">
      <c r="B2544" s="4" t="s">
        <v>4871</v>
      </c>
      <c r="C2544" s="4" t="s">
        <v>5758</v>
      </c>
      <c r="D2544" s="4" t="s">
        <v>5</v>
      </c>
      <c r="E2544" s="4" t="s">
        <v>6</v>
      </c>
      <c r="F2544" s="4" t="s">
        <v>7</v>
      </c>
      <c r="G2544" s="4" t="s">
        <v>8688</v>
      </c>
      <c r="H2544" s="4" t="s">
        <v>9</v>
      </c>
      <c r="I2544" s="5" t="str">
        <f>IFERROR(VLOOKUP(Consulta1[[#This Row],[Pozo largo]],'Lista YPF'!$B$3:$C$358,2,FALSE),"NO")</f>
        <v>En lista de Abandono</v>
      </c>
      <c r="J2544" s="5" t="str">
        <f>IFERROR(VLOOKUP(Consulta1[[#This Row],[Pozo]],'Lista Oportunidades'!B:C,2,FALSE),"NO")</f>
        <v>Oportunidad</v>
      </c>
      <c r="K2544" s="5">
        <f>IFERROR(VLOOKUP(Consulta1[[#This Row],[Pozo largo]],Controles!B:H,7,FALSE),"NO")</f>
        <v>0.71</v>
      </c>
      <c r="L2544" s="5">
        <f>IFERROR(VLOOKUP(Consulta1[[#This Row],[Pozo largo]],Controles!B:J,9,FALSE),"NO")</f>
        <v>0</v>
      </c>
    </row>
    <row r="2545" spans="2:12" x14ac:dyDescent="0.35">
      <c r="B2545" s="4" t="s">
        <v>4873</v>
      </c>
      <c r="C2545" s="4" t="s">
        <v>8251</v>
      </c>
      <c r="D2545" s="4" t="s">
        <v>5</v>
      </c>
      <c r="E2545" s="4" t="s">
        <v>12</v>
      </c>
      <c r="F2545" s="4" t="s">
        <v>7</v>
      </c>
      <c r="G2545" s="4" t="s">
        <v>13</v>
      </c>
      <c r="H2545" s="4" t="s">
        <v>36</v>
      </c>
      <c r="I2545" s="5" t="str">
        <f>IFERROR(VLOOKUP(Consulta1[[#This Row],[Pozo largo]],'Lista YPF'!$B$3:$C$358,2,FALSE),"NO")</f>
        <v>NO</v>
      </c>
      <c r="J2545" s="5" t="str">
        <f>IFERROR(VLOOKUP(Consulta1[[#This Row],[Pozo]],'Lista Oportunidades'!B:C,2,FALSE),"NO")</f>
        <v>NO</v>
      </c>
      <c r="K2545" s="5">
        <f>IFERROR(VLOOKUP(Consulta1[[#This Row],[Pozo largo]],Controles!B:H,7,FALSE),"NO")</f>
        <v>3.3000000000000003</v>
      </c>
      <c r="L2545" s="5">
        <f>IFERROR(VLOOKUP(Consulta1[[#This Row],[Pozo largo]],Controles!B:J,9,FALSE),"NO")</f>
        <v>0</v>
      </c>
    </row>
    <row r="2546" spans="2:12" x14ac:dyDescent="0.35">
      <c r="B2546" s="4" t="s">
        <v>4875</v>
      </c>
      <c r="C2546" s="4" t="s">
        <v>8252</v>
      </c>
      <c r="D2546" s="4" t="s">
        <v>5</v>
      </c>
      <c r="E2546" s="4" t="s">
        <v>30</v>
      </c>
      <c r="F2546" s="4" t="s">
        <v>31</v>
      </c>
      <c r="G2546" s="4" t="s">
        <v>32</v>
      </c>
      <c r="H2546" s="4" t="s">
        <v>33</v>
      </c>
      <c r="I2546" s="5" t="str">
        <f>IFERROR(VLOOKUP(Consulta1[[#This Row],[Pozo largo]],'Lista YPF'!$B$3:$C$358,2,FALSE),"NO")</f>
        <v>NO</v>
      </c>
      <c r="J2546" s="5" t="str">
        <f>IFERROR(VLOOKUP(Consulta1[[#This Row],[Pozo]],'Lista Oportunidades'!B:C,2,FALSE),"NO")</f>
        <v>NO</v>
      </c>
      <c r="K2546" s="5" t="str">
        <f>IFERROR(VLOOKUP(Consulta1[[#This Row],[Pozo largo]],Controles!B:H,7,FALSE),"NO")</f>
        <v>NO</v>
      </c>
      <c r="L2546" s="5" t="str">
        <f>IFERROR(VLOOKUP(Consulta1[[#This Row],[Pozo largo]],Controles!B:J,9,FALSE),"NO")</f>
        <v>NO</v>
      </c>
    </row>
    <row r="2547" spans="2:12" x14ac:dyDescent="0.35">
      <c r="B2547" s="4" t="s">
        <v>4876</v>
      </c>
      <c r="C2547" s="4" t="s">
        <v>8253</v>
      </c>
      <c r="D2547" s="4" t="s">
        <v>5</v>
      </c>
      <c r="E2547" s="4" t="s">
        <v>12</v>
      </c>
      <c r="F2547" s="4" t="s">
        <v>7</v>
      </c>
      <c r="G2547" s="4" t="s">
        <v>13</v>
      </c>
      <c r="H2547" s="4" t="s">
        <v>36</v>
      </c>
      <c r="I2547" s="5" t="str">
        <f>IFERROR(VLOOKUP(Consulta1[[#This Row],[Pozo largo]],'Lista YPF'!$B$3:$C$358,2,FALSE),"NO")</f>
        <v>NO</v>
      </c>
      <c r="J2547" s="5" t="str">
        <f>IFERROR(VLOOKUP(Consulta1[[#This Row],[Pozo]],'Lista Oportunidades'!B:C,2,FALSE),"NO")</f>
        <v>NO</v>
      </c>
      <c r="K2547" s="5">
        <f>IFERROR(VLOOKUP(Consulta1[[#This Row],[Pozo largo]],Controles!B:H,7,FALSE),"NO")</f>
        <v>0.75900000000000001</v>
      </c>
      <c r="L2547" s="5">
        <f>IFERROR(VLOOKUP(Consulta1[[#This Row],[Pozo largo]],Controles!B:J,9,FALSE),"NO")</f>
        <v>0</v>
      </c>
    </row>
    <row r="2548" spans="2:12" x14ac:dyDescent="0.35">
      <c r="B2548" s="4" t="s">
        <v>4878</v>
      </c>
      <c r="C2548" s="4" t="s">
        <v>8254</v>
      </c>
      <c r="D2548" s="4" t="s">
        <v>5</v>
      </c>
      <c r="E2548" s="4" t="s">
        <v>24</v>
      </c>
      <c r="F2548" s="4" t="s">
        <v>31</v>
      </c>
      <c r="G2548" s="4" t="s">
        <v>8</v>
      </c>
      <c r="H2548" s="4" t="s">
        <v>21</v>
      </c>
      <c r="I2548" s="5" t="str">
        <f>IFERROR(VLOOKUP(Consulta1[[#This Row],[Pozo largo]],'Lista YPF'!$B$3:$C$358,2,FALSE),"NO")</f>
        <v>NO</v>
      </c>
      <c r="J2548" s="5" t="str">
        <f>IFERROR(VLOOKUP(Consulta1[[#This Row],[Pozo]],'Lista Oportunidades'!B:C,2,FALSE),"NO")</f>
        <v>NO</v>
      </c>
      <c r="K2548" s="5" t="str">
        <f>IFERROR(VLOOKUP(Consulta1[[#This Row],[Pozo largo]],Controles!B:H,7,FALSE),"NO")</f>
        <v>NO</v>
      </c>
      <c r="L2548" s="5" t="str">
        <f>IFERROR(VLOOKUP(Consulta1[[#This Row],[Pozo largo]],Controles!B:J,9,FALSE),"NO")</f>
        <v>NO</v>
      </c>
    </row>
    <row r="2549" spans="2:12" x14ac:dyDescent="0.35">
      <c r="B2549" s="4" t="s">
        <v>4879</v>
      </c>
      <c r="C2549" s="4" t="s">
        <v>8255</v>
      </c>
      <c r="D2549" s="4" t="s">
        <v>5</v>
      </c>
      <c r="E2549" s="4" t="s">
        <v>24</v>
      </c>
      <c r="F2549" s="4" t="s">
        <v>7</v>
      </c>
      <c r="G2549" s="4" t="s">
        <v>8</v>
      </c>
      <c r="H2549" s="4" t="s">
        <v>80</v>
      </c>
      <c r="I2549" s="5" t="str">
        <f>IFERROR(VLOOKUP(Consulta1[[#This Row],[Pozo largo]],'Lista YPF'!$B$3:$C$358,2,FALSE),"NO")</f>
        <v>NO</v>
      </c>
      <c r="J2549" s="5" t="str">
        <f>IFERROR(VLOOKUP(Consulta1[[#This Row],[Pozo]],'Lista Oportunidades'!B:C,2,FALSE),"NO")</f>
        <v>NO</v>
      </c>
      <c r="K2549" s="5">
        <f>IFERROR(VLOOKUP(Consulta1[[#This Row],[Pozo largo]],Controles!B:H,7,FALSE),"NO")</f>
        <v>0.10600000000000001</v>
      </c>
      <c r="L2549" s="5">
        <f>IFERROR(VLOOKUP(Consulta1[[#This Row],[Pozo largo]],Controles!B:J,9,FALSE),"NO")</f>
        <v>0</v>
      </c>
    </row>
    <row r="2550" spans="2:12" x14ac:dyDescent="0.35">
      <c r="B2550" s="4" t="s">
        <v>4881</v>
      </c>
      <c r="C2550" s="4" t="s">
        <v>8256</v>
      </c>
      <c r="D2550" s="4" t="s">
        <v>5</v>
      </c>
      <c r="E2550" s="4" t="s">
        <v>30</v>
      </c>
      <c r="F2550" s="4" t="s">
        <v>31</v>
      </c>
      <c r="G2550" s="4" t="s">
        <v>32</v>
      </c>
      <c r="H2550" s="4" t="s">
        <v>91</v>
      </c>
      <c r="I2550" s="5" t="str">
        <f>IFERROR(VLOOKUP(Consulta1[[#This Row],[Pozo largo]],'Lista YPF'!$B$3:$C$358,2,FALSE),"NO")</f>
        <v>NO</v>
      </c>
      <c r="J2550" s="5" t="str">
        <f>IFERROR(VLOOKUP(Consulta1[[#This Row],[Pozo]],'Lista Oportunidades'!B:C,2,FALSE),"NO")</f>
        <v>NO</v>
      </c>
      <c r="K2550" s="5" t="str">
        <f>IFERROR(VLOOKUP(Consulta1[[#This Row],[Pozo largo]],Controles!B:H,7,FALSE),"NO")</f>
        <v>NO</v>
      </c>
      <c r="L2550" s="5" t="str">
        <f>IFERROR(VLOOKUP(Consulta1[[#This Row],[Pozo largo]],Controles!B:J,9,FALSE),"NO")</f>
        <v>NO</v>
      </c>
    </row>
    <row r="2551" spans="2:12" x14ac:dyDescent="0.35">
      <c r="B2551" s="4" t="s">
        <v>4882</v>
      </c>
      <c r="C2551" s="4" t="s">
        <v>8257</v>
      </c>
      <c r="D2551" s="4" t="s">
        <v>5</v>
      </c>
      <c r="E2551" s="4" t="s">
        <v>30</v>
      </c>
      <c r="F2551" s="4" t="s">
        <v>31</v>
      </c>
      <c r="G2551" s="4" t="s">
        <v>32</v>
      </c>
      <c r="H2551" s="4" t="s">
        <v>185</v>
      </c>
      <c r="I2551" s="5" t="str">
        <f>IFERROR(VLOOKUP(Consulta1[[#This Row],[Pozo largo]],'Lista YPF'!$B$3:$C$358,2,FALSE),"NO")</f>
        <v>NO</v>
      </c>
      <c r="J2551" s="5" t="str">
        <f>IFERROR(VLOOKUP(Consulta1[[#This Row],[Pozo]],'Lista Oportunidades'!B:C,2,FALSE),"NO")</f>
        <v>NO</v>
      </c>
      <c r="K2551" s="5" t="str">
        <f>IFERROR(VLOOKUP(Consulta1[[#This Row],[Pozo largo]],Controles!B:H,7,FALSE),"NO")</f>
        <v>NO</v>
      </c>
      <c r="L2551" s="5" t="str">
        <f>IFERROR(VLOOKUP(Consulta1[[#This Row],[Pozo largo]],Controles!B:J,9,FALSE),"NO")</f>
        <v>NO</v>
      </c>
    </row>
    <row r="2552" spans="2:12" x14ac:dyDescent="0.35">
      <c r="B2552" s="4" t="s">
        <v>4883</v>
      </c>
      <c r="C2552" s="4" t="s">
        <v>8258</v>
      </c>
      <c r="D2552" s="4" t="s">
        <v>5</v>
      </c>
      <c r="E2552" s="4" t="s">
        <v>24</v>
      </c>
      <c r="F2552" s="4" t="s">
        <v>7</v>
      </c>
      <c r="G2552" s="4" t="s">
        <v>8</v>
      </c>
      <c r="H2552" s="4" t="s">
        <v>21</v>
      </c>
      <c r="I2552" s="5" t="str">
        <f>IFERROR(VLOOKUP(Consulta1[[#This Row],[Pozo largo]],'Lista YPF'!$B$3:$C$358,2,FALSE),"NO")</f>
        <v>NO</v>
      </c>
      <c r="J2552" s="5" t="str">
        <f>IFERROR(VLOOKUP(Consulta1[[#This Row],[Pozo]],'Lista Oportunidades'!B:C,2,FALSE),"NO")</f>
        <v>NO</v>
      </c>
      <c r="K2552" s="5">
        <f>IFERROR(VLOOKUP(Consulta1[[#This Row],[Pozo largo]],Controles!B:H,7,FALSE),"NO")</f>
        <v>0.01</v>
      </c>
      <c r="L2552" s="5">
        <f>IFERROR(VLOOKUP(Consulta1[[#This Row],[Pozo largo]],Controles!B:J,9,FALSE),"NO")</f>
        <v>0</v>
      </c>
    </row>
    <row r="2553" spans="2:12" x14ac:dyDescent="0.35">
      <c r="B2553" s="4" t="s">
        <v>4885</v>
      </c>
      <c r="C2553" s="4" t="s">
        <v>8259</v>
      </c>
      <c r="D2553" s="4" t="s">
        <v>5</v>
      </c>
      <c r="E2553" s="4" t="s">
        <v>30</v>
      </c>
      <c r="F2553" s="4" t="s">
        <v>31</v>
      </c>
      <c r="G2553" s="4" t="s">
        <v>32</v>
      </c>
      <c r="H2553" s="4" t="s">
        <v>141</v>
      </c>
      <c r="I2553" s="5" t="str">
        <f>IFERROR(VLOOKUP(Consulta1[[#This Row],[Pozo largo]],'Lista YPF'!$B$3:$C$358,2,FALSE),"NO")</f>
        <v>NO</v>
      </c>
      <c r="J2553" s="5" t="str">
        <f>IFERROR(VLOOKUP(Consulta1[[#This Row],[Pozo]],'Lista Oportunidades'!B:C,2,FALSE),"NO")</f>
        <v>NO</v>
      </c>
      <c r="K2553" s="5" t="str">
        <f>IFERROR(VLOOKUP(Consulta1[[#This Row],[Pozo largo]],Controles!B:H,7,FALSE),"NO")</f>
        <v>NO</v>
      </c>
      <c r="L2553" s="5" t="str">
        <f>IFERROR(VLOOKUP(Consulta1[[#This Row],[Pozo largo]],Controles!B:J,9,FALSE),"NO")</f>
        <v>NO</v>
      </c>
    </row>
    <row r="2554" spans="2:12" x14ac:dyDescent="0.35">
      <c r="B2554" s="4" t="s">
        <v>4886</v>
      </c>
      <c r="C2554" s="4" t="s">
        <v>8260</v>
      </c>
      <c r="D2554" s="4" t="s">
        <v>5</v>
      </c>
      <c r="E2554" s="4" t="s">
        <v>24</v>
      </c>
      <c r="F2554" s="4" t="s">
        <v>31</v>
      </c>
      <c r="G2554" s="4" t="s">
        <v>8</v>
      </c>
      <c r="H2554" s="4" t="s">
        <v>185</v>
      </c>
      <c r="I2554" s="5" t="str">
        <f>IFERROR(VLOOKUP(Consulta1[[#This Row],[Pozo largo]],'Lista YPF'!$B$3:$C$358,2,FALSE),"NO")</f>
        <v>NO</v>
      </c>
      <c r="J2554" s="5" t="str">
        <f>IFERROR(VLOOKUP(Consulta1[[#This Row],[Pozo]],'Lista Oportunidades'!B:C,2,FALSE),"NO")</f>
        <v>NO</v>
      </c>
      <c r="K2554" s="5">
        <f>IFERROR(VLOOKUP(Consulta1[[#This Row],[Pozo largo]],Controles!B:H,7,FALSE),"NO")</f>
        <v>0.75600000000000001</v>
      </c>
      <c r="L2554" s="5">
        <f>IFERROR(VLOOKUP(Consulta1[[#This Row],[Pozo largo]],Controles!B:J,9,FALSE),"NO")</f>
        <v>0</v>
      </c>
    </row>
    <row r="2555" spans="2:12" x14ac:dyDescent="0.35">
      <c r="B2555" s="4" t="s">
        <v>4888</v>
      </c>
      <c r="C2555" s="4" t="s">
        <v>8261</v>
      </c>
      <c r="D2555" s="4" t="s">
        <v>5</v>
      </c>
      <c r="E2555" s="4" t="s">
        <v>57</v>
      </c>
      <c r="F2555" s="4" t="s">
        <v>7</v>
      </c>
      <c r="G2555" s="4" t="s">
        <v>5718</v>
      </c>
      <c r="H2555" s="4" t="s">
        <v>71</v>
      </c>
      <c r="I2555" s="5" t="str">
        <f>IFERROR(VLOOKUP(Consulta1[[#This Row],[Pozo largo]],'Lista YPF'!$B$3:$C$358,2,FALSE),"NO")</f>
        <v>En lista de Abandono</v>
      </c>
      <c r="J2555" s="5" t="str">
        <f>IFERROR(VLOOKUP(Consulta1[[#This Row],[Pozo]],'Lista Oportunidades'!B:C,2,FALSE),"NO")</f>
        <v>NO</v>
      </c>
      <c r="K2555" s="5">
        <f>IFERROR(VLOOKUP(Consulta1[[#This Row],[Pozo largo]],Controles!B:H,7,FALSE),"NO")</f>
        <v>0.95000000000000007</v>
      </c>
      <c r="L2555" s="5">
        <f>IFERROR(VLOOKUP(Consulta1[[#This Row],[Pozo largo]],Controles!B:J,9,FALSE),"NO")</f>
        <v>0</v>
      </c>
    </row>
    <row r="2556" spans="2:12" x14ac:dyDescent="0.35">
      <c r="B2556" s="4" t="s">
        <v>4890</v>
      </c>
      <c r="C2556" s="4" t="s">
        <v>8262</v>
      </c>
      <c r="D2556" s="4" t="s">
        <v>5</v>
      </c>
      <c r="E2556" s="4" t="s">
        <v>30</v>
      </c>
      <c r="F2556" s="4" t="s">
        <v>31</v>
      </c>
      <c r="G2556" s="4" t="s">
        <v>32</v>
      </c>
      <c r="H2556" s="4" t="s">
        <v>21</v>
      </c>
      <c r="I2556" s="5" t="str">
        <f>IFERROR(VLOOKUP(Consulta1[[#This Row],[Pozo largo]],'Lista YPF'!$B$3:$C$358,2,FALSE),"NO")</f>
        <v>NO</v>
      </c>
      <c r="J2556" s="5" t="str">
        <f>IFERROR(VLOOKUP(Consulta1[[#This Row],[Pozo]],'Lista Oportunidades'!B:C,2,FALSE),"NO")</f>
        <v>NO</v>
      </c>
      <c r="K2556" s="5">
        <f>IFERROR(VLOOKUP(Consulta1[[#This Row],[Pozo largo]],Controles!B:H,7,FALSE),"NO")</f>
        <v>9.9000000000000005E-2</v>
      </c>
      <c r="L2556" s="5">
        <f>IFERROR(VLOOKUP(Consulta1[[#This Row],[Pozo largo]],Controles!B:J,9,FALSE),"NO")</f>
        <v>0</v>
      </c>
    </row>
    <row r="2557" spans="2:12" x14ac:dyDescent="0.35">
      <c r="B2557" s="4" t="s">
        <v>4892</v>
      </c>
      <c r="C2557" s="4" t="s">
        <v>8263</v>
      </c>
      <c r="D2557" s="4" t="s">
        <v>5</v>
      </c>
      <c r="E2557" s="4" t="s">
        <v>12</v>
      </c>
      <c r="F2557" s="4" t="s">
        <v>7</v>
      </c>
      <c r="G2557" s="4" t="s">
        <v>13</v>
      </c>
      <c r="H2557" s="4" t="s">
        <v>36</v>
      </c>
      <c r="I2557" s="5" t="str">
        <f>IFERROR(VLOOKUP(Consulta1[[#This Row],[Pozo largo]],'Lista YPF'!$B$3:$C$358,2,FALSE),"NO")</f>
        <v>NO</v>
      </c>
      <c r="J2557" s="5" t="str">
        <f>IFERROR(VLOOKUP(Consulta1[[#This Row],[Pozo]],'Lista Oportunidades'!B:C,2,FALSE),"NO")</f>
        <v>NO</v>
      </c>
      <c r="K2557" s="5">
        <f>IFERROR(VLOOKUP(Consulta1[[#This Row],[Pozo largo]],Controles!B:H,7,FALSE),"NO")</f>
        <v>4.0860000000000003</v>
      </c>
      <c r="L2557" s="5">
        <f>IFERROR(VLOOKUP(Consulta1[[#This Row],[Pozo largo]],Controles!B:J,9,FALSE),"NO")</f>
        <v>0</v>
      </c>
    </row>
    <row r="2558" spans="2:12" x14ac:dyDescent="0.35">
      <c r="B2558" s="4" t="s">
        <v>4894</v>
      </c>
      <c r="C2558" s="4" t="s">
        <v>8264</v>
      </c>
      <c r="D2558" s="4" t="s">
        <v>5</v>
      </c>
      <c r="E2558" s="4" t="s">
        <v>12</v>
      </c>
      <c r="F2558" s="4" t="s">
        <v>25</v>
      </c>
      <c r="G2558" s="4" t="s">
        <v>13</v>
      </c>
      <c r="H2558" s="4" t="s">
        <v>91</v>
      </c>
      <c r="I2558" s="5" t="str">
        <f>IFERROR(VLOOKUP(Consulta1[[#This Row],[Pozo largo]],'Lista YPF'!$B$3:$C$358,2,FALSE),"NO")</f>
        <v>NO</v>
      </c>
      <c r="J2558" s="5" t="str">
        <f>IFERROR(VLOOKUP(Consulta1[[#This Row],[Pozo]],'Lista Oportunidades'!B:C,2,FALSE),"NO")</f>
        <v>NO</v>
      </c>
      <c r="K2558" s="5">
        <f>IFERROR(VLOOKUP(Consulta1[[#This Row],[Pozo largo]],Controles!B:H,7,FALSE),"NO")</f>
        <v>9.5000000000000001E-2</v>
      </c>
      <c r="L2558" s="5">
        <f>IFERROR(VLOOKUP(Consulta1[[#This Row],[Pozo largo]],Controles!B:J,9,FALSE),"NO")</f>
        <v>0</v>
      </c>
    </row>
    <row r="2559" spans="2:12" x14ac:dyDescent="0.35">
      <c r="B2559" s="4" t="s">
        <v>4896</v>
      </c>
      <c r="C2559" s="4" t="s">
        <v>8265</v>
      </c>
      <c r="D2559" s="4" t="s">
        <v>5</v>
      </c>
      <c r="E2559" s="4" t="s">
        <v>12</v>
      </c>
      <c r="F2559" s="4" t="s">
        <v>7</v>
      </c>
      <c r="G2559" s="4" t="s">
        <v>13</v>
      </c>
      <c r="H2559" s="4" t="s">
        <v>36</v>
      </c>
      <c r="I2559" s="5" t="str">
        <f>IFERROR(VLOOKUP(Consulta1[[#This Row],[Pozo largo]],'Lista YPF'!$B$3:$C$358,2,FALSE),"NO")</f>
        <v>NO</v>
      </c>
      <c r="J2559" s="5" t="str">
        <f>IFERROR(VLOOKUP(Consulta1[[#This Row],[Pozo]],'Lista Oportunidades'!B:C,2,FALSE),"NO")</f>
        <v>NO</v>
      </c>
      <c r="K2559" s="5">
        <f>IFERROR(VLOOKUP(Consulta1[[#This Row],[Pozo largo]],Controles!B:H,7,FALSE),"NO")</f>
        <v>10.120000000000001</v>
      </c>
      <c r="L2559" s="5">
        <f>IFERROR(VLOOKUP(Consulta1[[#This Row],[Pozo largo]],Controles!B:J,9,FALSE),"NO")</f>
        <v>0</v>
      </c>
    </row>
    <row r="2560" spans="2:12" x14ac:dyDescent="0.35">
      <c r="B2560" s="4" t="s">
        <v>4898</v>
      </c>
      <c r="C2560" s="4" t="s">
        <v>8266</v>
      </c>
      <c r="D2560" s="4" t="s">
        <v>5</v>
      </c>
      <c r="E2560" s="4" t="s">
        <v>30</v>
      </c>
      <c r="F2560" s="4" t="s">
        <v>31</v>
      </c>
      <c r="G2560" s="4" t="s">
        <v>32</v>
      </c>
      <c r="H2560" s="4" t="s">
        <v>36</v>
      </c>
      <c r="I2560" s="5" t="str">
        <f>IFERROR(VLOOKUP(Consulta1[[#This Row],[Pozo largo]],'Lista YPF'!$B$3:$C$358,2,FALSE),"NO")</f>
        <v>NO</v>
      </c>
      <c r="J2560" s="5" t="str">
        <f>IFERROR(VLOOKUP(Consulta1[[#This Row],[Pozo]],'Lista Oportunidades'!B:C,2,FALSE),"NO")</f>
        <v>NO</v>
      </c>
      <c r="K2560" s="5" t="str">
        <f>IFERROR(VLOOKUP(Consulta1[[#This Row],[Pozo largo]],Controles!B:H,7,FALSE),"NO")</f>
        <v>NO</v>
      </c>
      <c r="L2560" s="5" t="str">
        <f>IFERROR(VLOOKUP(Consulta1[[#This Row],[Pozo largo]],Controles!B:J,9,FALSE),"NO")</f>
        <v>NO</v>
      </c>
    </row>
    <row r="2561" spans="2:12" x14ac:dyDescent="0.35">
      <c r="B2561" s="4" t="s">
        <v>4899</v>
      </c>
      <c r="C2561" s="4" t="s">
        <v>8267</v>
      </c>
      <c r="D2561" s="4" t="s">
        <v>5</v>
      </c>
      <c r="E2561" s="4" t="s">
        <v>57</v>
      </c>
      <c r="F2561" s="4" t="s">
        <v>7</v>
      </c>
      <c r="G2561" s="4" t="s">
        <v>5718</v>
      </c>
      <c r="H2561" s="4" t="s">
        <v>149</v>
      </c>
      <c r="I2561" s="5" t="str">
        <f>IFERROR(VLOOKUP(Consulta1[[#This Row],[Pozo largo]],'Lista YPF'!$B$3:$C$358,2,FALSE),"NO")</f>
        <v>En lista de Abandono</v>
      </c>
      <c r="J2561" s="5" t="str">
        <f>IFERROR(VLOOKUP(Consulta1[[#This Row],[Pozo]],'Lista Oportunidades'!B:C,2,FALSE),"NO")</f>
        <v>NO</v>
      </c>
      <c r="K2561" s="5">
        <f>IFERROR(VLOOKUP(Consulta1[[#This Row],[Pozo largo]],Controles!B:H,7,FALSE),"NO")</f>
        <v>0.55000000000000004</v>
      </c>
      <c r="L2561" s="5">
        <f>IFERROR(VLOOKUP(Consulta1[[#This Row],[Pozo largo]],Controles!B:J,9,FALSE),"NO")</f>
        <v>0</v>
      </c>
    </row>
    <row r="2562" spans="2:12" x14ac:dyDescent="0.35">
      <c r="B2562" s="4" t="s">
        <v>4901</v>
      </c>
      <c r="C2562" s="4" t="s">
        <v>8268</v>
      </c>
      <c r="D2562" s="4" t="s">
        <v>5</v>
      </c>
      <c r="E2562" s="4" t="s">
        <v>30</v>
      </c>
      <c r="F2562" s="4" t="s">
        <v>31</v>
      </c>
      <c r="G2562" s="4" t="s">
        <v>32</v>
      </c>
      <c r="H2562" s="4" t="s">
        <v>91</v>
      </c>
      <c r="I2562" s="5" t="str">
        <f>IFERROR(VLOOKUP(Consulta1[[#This Row],[Pozo largo]],'Lista YPF'!$B$3:$C$358,2,FALSE),"NO")</f>
        <v>NO</v>
      </c>
      <c r="J2562" s="5" t="str">
        <f>IFERROR(VLOOKUP(Consulta1[[#This Row],[Pozo]],'Lista Oportunidades'!B:C,2,FALSE),"NO")</f>
        <v>NO</v>
      </c>
      <c r="K2562" s="5">
        <f>IFERROR(VLOOKUP(Consulta1[[#This Row],[Pozo largo]],Controles!B:H,7,FALSE),"NO")</f>
        <v>0.89700000000000002</v>
      </c>
      <c r="L2562" s="5">
        <f>IFERROR(VLOOKUP(Consulta1[[#This Row],[Pozo largo]],Controles!B:J,9,FALSE),"NO")</f>
        <v>0</v>
      </c>
    </row>
    <row r="2563" spans="2:12" x14ac:dyDescent="0.35">
      <c r="B2563" s="4" t="s">
        <v>4903</v>
      </c>
      <c r="C2563" s="4" t="s">
        <v>8269</v>
      </c>
      <c r="D2563" s="4" t="s">
        <v>5</v>
      </c>
      <c r="E2563" s="4" t="s">
        <v>12</v>
      </c>
      <c r="F2563" s="4" t="s">
        <v>7</v>
      </c>
      <c r="G2563" s="4" t="s">
        <v>13</v>
      </c>
      <c r="H2563" s="4" t="s">
        <v>66</v>
      </c>
      <c r="I2563" s="5" t="str">
        <f>IFERROR(VLOOKUP(Consulta1[[#This Row],[Pozo largo]],'Lista YPF'!$B$3:$C$358,2,FALSE),"NO")</f>
        <v>NO</v>
      </c>
      <c r="J2563" s="5" t="str">
        <f>IFERROR(VLOOKUP(Consulta1[[#This Row],[Pozo]],'Lista Oportunidades'!B:C,2,FALSE),"NO")</f>
        <v>NO</v>
      </c>
      <c r="K2563" s="5">
        <f>IFERROR(VLOOKUP(Consulta1[[#This Row],[Pozo largo]],Controles!B:H,7,FALSE),"NO")</f>
        <v>1.8900000000000001</v>
      </c>
      <c r="L2563" s="5">
        <f>IFERROR(VLOOKUP(Consulta1[[#This Row],[Pozo largo]],Controles!B:J,9,FALSE),"NO")</f>
        <v>0</v>
      </c>
    </row>
    <row r="2564" spans="2:12" x14ac:dyDescent="0.35">
      <c r="B2564" s="4" t="s">
        <v>4905</v>
      </c>
      <c r="C2564" s="4" t="s">
        <v>8270</v>
      </c>
      <c r="D2564" s="4" t="s">
        <v>5</v>
      </c>
      <c r="E2564" s="4" t="s">
        <v>30</v>
      </c>
      <c r="F2564" s="4" t="s">
        <v>31</v>
      </c>
      <c r="G2564" s="4" t="s">
        <v>32</v>
      </c>
      <c r="H2564" s="4" t="s">
        <v>254</v>
      </c>
      <c r="I2564" s="5" t="str">
        <f>IFERROR(VLOOKUP(Consulta1[[#This Row],[Pozo largo]],'Lista YPF'!$B$3:$C$358,2,FALSE),"NO")</f>
        <v>NO</v>
      </c>
      <c r="J2564" s="5" t="str">
        <f>IFERROR(VLOOKUP(Consulta1[[#This Row],[Pozo]],'Lista Oportunidades'!B:C,2,FALSE),"NO")</f>
        <v>NO</v>
      </c>
      <c r="K2564" s="5">
        <f>IFERROR(VLOOKUP(Consulta1[[#This Row],[Pozo largo]],Controles!B:H,7,FALSE),"NO")</f>
        <v>0.16800000000000001</v>
      </c>
      <c r="L2564" s="5">
        <f>IFERROR(VLOOKUP(Consulta1[[#This Row],[Pozo largo]],Controles!B:J,9,FALSE),"NO")</f>
        <v>0</v>
      </c>
    </row>
    <row r="2565" spans="2:12" x14ac:dyDescent="0.35">
      <c r="B2565" s="4" t="s">
        <v>4907</v>
      </c>
      <c r="C2565" s="4" t="s">
        <v>8271</v>
      </c>
      <c r="D2565" s="4" t="s">
        <v>5</v>
      </c>
      <c r="E2565" s="4" t="s">
        <v>12</v>
      </c>
      <c r="F2565" s="4" t="s">
        <v>7</v>
      </c>
      <c r="G2565" s="4" t="s">
        <v>13</v>
      </c>
      <c r="H2565" s="4" t="s">
        <v>84</v>
      </c>
      <c r="I2565" s="5" t="str">
        <f>IFERROR(VLOOKUP(Consulta1[[#This Row],[Pozo largo]],'Lista YPF'!$B$3:$C$358,2,FALSE),"NO")</f>
        <v>NO</v>
      </c>
      <c r="J2565" s="5" t="str">
        <f>IFERROR(VLOOKUP(Consulta1[[#This Row],[Pozo]],'Lista Oportunidades'!B:C,2,FALSE),"NO")</f>
        <v>NO</v>
      </c>
      <c r="K2565" s="5">
        <f>IFERROR(VLOOKUP(Consulta1[[#This Row],[Pozo largo]],Controles!B:H,7,FALSE),"NO")</f>
        <v>2</v>
      </c>
      <c r="L2565" s="5">
        <f>IFERROR(VLOOKUP(Consulta1[[#This Row],[Pozo largo]],Controles!B:J,9,FALSE),"NO")</f>
        <v>0</v>
      </c>
    </row>
    <row r="2566" spans="2:12" x14ac:dyDescent="0.35">
      <c r="B2566" s="4" t="s">
        <v>4909</v>
      </c>
      <c r="C2566" s="4" t="s">
        <v>8272</v>
      </c>
      <c r="D2566" s="4" t="s">
        <v>5</v>
      </c>
      <c r="E2566" s="4" t="s">
        <v>30</v>
      </c>
      <c r="F2566" s="4" t="s">
        <v>31</v>
      </c>
      <c r="G2566" s="4" t="s">
        <v>32</v>
      </c>
      <c r="H2566" s="4" t="s">
        <v>80</v>
      </c>
      <c r="I2566" s="5" t="str">
        <f>IFERROR(VLOOKUP(Consulta1[[#This Row],[Pozo largo]],'Lista YPF'!$B$3:$C$358,2,FALSE),"NO")</f>
        <v>NO</v>
      </c>
      <c r="J2566" s="5" t="str">
        <f>IFERROR(VLOOKUP(Consulta1[[#This Row],[Pozo]],'Lista Oportunidades'!B:C,2,FALSE),"NO")</f>
        <v>NO</v>
      </c>
      <c r="K2566" s="5" t="str">
        <f>IFERROR(VLOOKUP(Consulta1[[#This Row],[Pozo largo]],Controles!B:H,7,FALSE),"NO")</f>
        <v>NO</v>
      </c>
      <c r="L2566" s="5" t="str">
        <f>IFERROR(VLOOKUP(Consulta1[[#This Row],[Pozo largo]],Controles!B:J,9,FALSE),"NO")</f>
        <v>NO</v>
      </c>
    </row>
    <row r="2567" spans="2:12" x14ac:dyDescent="0.35">
      <c r="B2567" s="4" t="s">
        <v>4910</v>
      </c>
      <c r="C2567" s="4" t="s">
        <v>8273</v>
      </c>
      <c r="D2567" s="4" t="s">
        <v>5</v>
      </c>
      <c r="E2567" s="4" t="s">
        <v>30</v>
      </c>
      <c r="F2567" s="4" t="s">
        <v>31</v>
      </c>
      <c r="G2567" s="4" t="s">
        <v>32</v>
      </c>
      <c r="H2567" s="4" t="s">
        <v>141</v>
      </c>
      <c r="I2567" s="5" t="str">
        <f>IFERROR(VLOOKUP(Consulta1[[#This Row],[Pozo largo]],'Lista YPF'!$B$3:$C$358,2,FALSE),"NO")</f>
        <v>NO</v>
      </c>
      <c r="J2567" s="5" t="str">
        <f>IFERROR(VLOOKUP(Consulta1[[#This Row],[Pozo]],'Lista Oportunidades'!B:C,2,FALSE),"NO")</f>
        <v>NO</v>
      </c>
      <c r="K2567" s="5" t="str">
        <f>IFERROR(VLOOKUP(Consulta1[[#This Row],[Pozo largo]],Controles!B:H,7,FALSE),"NO")</f>
        <v>NO</v>
      </c>
      <c r="L2567" s="5" t="str">
        <f>IFERROR(VLOOKUP(Consulta1[[#This Row],[Pozo largo]],Controles!B:J,9,FALSE),"NO")</f>
        <v>NO</v>
      </c>
    </row>
    <row r="2568" spans="2:12" x14ac:dyDescent="0.35">
      <c r="B2568" s="4" t="s">
        <v>4911</v>
      </c>
      <c r="C2568" s="4" t="s">
        <v>8274</v>
      </c>
      <c r="D2568" s="4" t="s">
        <v>5</v>
      </c>
      <c r="E2568" s="4" t="s">
        <v>30</v>
      </c>
      <c r="F2568" s="4" t="s">
        <v>31</v>
      </c>
      <c r="G2568" s="4" t="s">
        <v>32</v>
      </c>
      <c r="H2568" s="4" t="s">
        <v>141</v>
      </c>
      <c r="I2568" s="5" t="str">
        <f>IFERROR(VLOOKUP(Consulta1[[#This Row],[Pozo largo]],'Lista YPF'!$B$3:$C$358,2,FALSE),"NO")</f>
        <v>NO</v>
      </c>
      <c r="J2568" s="5" t="str">
        <f>IFERROR(VLOOKUP(Consulta1[[#This Row],[Pozo]],'Lista Oportunidades'!B:C,2,FALSE),"NO")</f>
        <v>NO</v>
      </c>
      <c r="K2568" s="5" t="str">
        <f>IFERROR(VLOOKUP(Consulta1[[#This Row],[Pozo largo]],Controles!B:H,7,FALSE),"NO")</f>
        <v>NO</v>
      </c>
      <c r="L2568" s="5" t="str">
        <f>IFERROR(VLOOKUP(Consulta1[[#This Row],[Pozo largo]],Controles!B:J,9,FALSE),"NO")</f>
        <v>NO</v>
      </c>
    </row>
    <row r="2569" spans="2:12" x14ac:dyDescent="0.35">
      <c r="B2569" s="4" t="s">
        <v>4912</v>
      </c>
      <c r="C2569" s="4" t="s">
        <v>8275</v>
      </c>
      <c r="D2569" s="4" t="s">
        <v>5</v>
      </c>
      <c r="E2569" s="4" t="s">
        <v>30</v>
      </c>
      <c r="F2569" s="4" t="s">
        <v>31</v>
      </c>
      <c r="G2569" s="4" t="s">
        <v>32</v>
      </c>
      <c r="H2569" s="4" t="s">
        <v>91</v>
      </c>
      <c r="I2569" s="5" t="str">
        <f>IFERROR(VLOOKUP(Consulta1[[#This Row],[Pozo largo]],'Lista YPF'!$B$3:$C$358,2,FALSE),"NO")</f>
        <v>NO</v>
      </c>
      <c r="J2569" s="5" t="str">
        <f>IFERROR(VLOOKUP(Consulta1[[#This Row],[Pozo]],'Lista Oportunidades'!B:C,2,FALSE),"NO")</f>
        <v>NO</v>
      </c>
      <c r="K2569" s="5" t="str">
        <f>IFERROR(VLOOKUP(Consulta1[[#This Row],[Pozo largo]],Controles!B:H,7,FALSE),"NO")</f>
        <v>NO</v>
      </c>
      <c r="L2569" s="5" t="str">
        <f>IFERROR(VLOOKUP(Consulta1[[#This Row],[Pozo largo]],Controles!B:J,9,FALSE),"NO")</f>
        <v>NO</v>
      </c>
    </row>
    <row r="2570" spans="2:12" x14ac:dyDescent="0.35">
      <c r="B2570" s="4" t="s">
        <v>4913</v>
      </c>
      <c r="C2570" s="4" t="s">
        <v>8276</v>
      </c>
      <c r="D2570" s="4" t="s">
        <v>5</v>
      </c>
      <c r="E2570" s="4" t="s">
        <v>12</v>
      </c>
      <c r="F2570" s="4" t="s">
        <v>7</v>
      </c>
      <c r="G2570" s="4" t="s">
        <v>13</v>
      </c>
      <c r="H2570" s="4" t="s">
        <v>86</v>
      </c>
      <c r="I2570" s="5" t="str">
        <f>IFERROR(VLOOKUP(Consulta1[[#This Row],[Pozo largo]],'Lista YPF'!$B$3:$C$358,2,FALSE),"NO")</f>
        <v>NO</v>
      </c>
      <c r="J2570" s="5" t="str">
        <f>IFERROR(VLOOKUP(Consulta1[[#This Row],[Pozo]],'Lista Oportunidades'!B:C,2,FALSE),"NO")</f>
        <v>NO</v>
      </c>
      <c r="K2570" s="5">
        <f>IFERROR(VLOOKUP(Consulta1[[#This Row],[Pozo largo]],Controles!B:H,7,FALSE),"NO")</f>
        <v>1.05</v>
      </c>
      <c r="L2570" s="5">
        <f>IFERROR(VLOOKUP(Consulta1[[#This Row],[Pozo largo]],Controles!B:J,9,FALSE),"NO")</f>
        <v>0</v>
      </c>
    </row>
    <row r="2571" spans="2:12" x14ac:dyDescent="0.35">
      <c r="B2571" s="4" t="s">
        <v>4915</v>
      </c>
      <c r="C2571" s="4" t="s">
        <v>8277</v>
      </c>
      <c r="D2571" s="4" t="s">
        <v>5</v>
      </c>
      <c r="E2571" s="4" t="s">
        <v>24</v>
      </c>
      <c r="F2571" s="4" t="s">
        <v>25</v>
      </c>
      <c r="G2571" s="4" t="s">
        <v>8</v>
      </c>
      <c r="H2571" s="4" t="s">
        <v>86</v>
      </c>
      <c r="I2571" s="5" t="str">
        <f>IFERROR(VLOOKUP(Consulta1[[#This Row],[Pozo largo]],'Lista YPF'!$B$3:$C$358,2,FALSE),"NO")</f>
        <v>NO</v>
      </c>
      <c r="J2571" s="5" t="str">
        <f>IFERROR(VLOOKUP(Consulta1[[#This Row],[Pozo]],'Lista Oportunidades'!B:C,2,FALSE),"NO")</f>
        <v>NO</v>
      </c>
      <c r="K2571" s="5">
        <f>IFERROR(VLOOKUP(Consulta1[[#This Row],[Pozo largo]],Controles!B:H,7,FALSE),"NO")</f>
        <v>9.2999999999999999E-2</v>
      </c>
      <c r="L2571" s="5">
        <f>IFERROR(VLOOKUP(Consulta1[[#This Row],[Pozo largo]],Controles!B:J,9,FALSE),"NO")</f>
        <v>0</v>
      </c>
    </row>
    <row r="2572" spans="2:12" x14ac:dyDescent="0.35">
      <c r="B2572" s="4" t="s">
        <v>4917</v>
      </c>
      <c r="C2572" s="4" t="s">
        <v>8278</v>
      </c>
      <c r="D2572" s="4" t="s">
        <v>5</v>
      </c>
      <c r="E2572" s="4" t="s">
        <v>12</v>
      </c>
      <c r="F2572" s="4" t="s">
        <v>7</v>
      </c>
      <c r="G2572" s="4" t="s">
        <v>13</v>
      </c>
      <c r="H2572" s="4" t="s">
        <v>21</v>
      </c>
      <c r="I2572" s="5" t="str">
        <f>IFERROR(VLOOKUP(Consulta1[[#This Row],[Pozo largo]],'Lista YPF'!$B$3:$C$358,2,FALSE),"NO")</f>
        <v>NO</v>
      </c>
      <c r="J2572" s="5" t="str">
        <f>IFERROR(VLOOKUP(Consulta1[[#This Row],[Pozo]],'Lista Oportunidades'!B:C,2,FALSE),"NO")</f>
        <v>NO</v>
      </c>
      <c r="K2572" s="5">
        <f>IFERROR(VLOOKUP(Consulta1[[#This Row],[Pozo largo]],Controles!B:H,7,FALSE),"NO")</f>
        <v>2.3000000000000003</v>
      </c>
      <c r="L2572" s="5">
        <f>IFERROR(VLOOKUP(Consulta1[[#This Row],[Pozo largo]],Controles!B:J,9,FALSE),"NO")</f>
        <v>0</v>
      </c>
    </row>
    <row r="2573" spans="2:12" x14ac:dyDescent="0.35">
      <c r="B2573" s="4" t="s">
        <v>4919</v>
      </c>
      <c r="C2573" s="4" t="s">
        <v>8279</v>
      </c>
      <c r="D2573" s="4" t="s">
        <v>5</v>
      </c>
      <c r="E2573" s="4" t="s">
        <v>30</v>
      </c>
      <c r="F2573" s="4" t="s">
        <v>31</v>
      </c>
      <c r="G2573" s="4" t="s">
        <v>32</v>
      </c>
      <c r="H2573" s="4" t="s">
        <v>185</v>
      </c>
      <c r="I2573" s="5" t="str">
        <f>IFERROR(VLOOKUP(Consulta1[[#This Row],[Pozo largo]],'Lista YPF'!$B$3:$C$358,2,FALSE),"NO")</f>
        <v>NO</v>
      </c>
      <c r="J2573" s="5" t="str">
        <f>IFERROR(VLOOKUP(Consulta1[[#This Row],[Pozo]],'Lista Oportunidades'!B:C,2,FALSE),"NO")</f>
        <v>NO</v>
      </c>
      <c r="K2573" s="5" t="str">
        <f>IFERROR(VLOOKUP(Consulta1[[#This Row],[Pozo largo]],Controles!B:H,7,FALSE),"NO")</f>
        <v>NO</v>
      </c>
      <c r="L2573" s="5" t="str">
        <f>IFERROR(VLOOKUP(Consulta1[[#This Row],[Pozo largo]],Controles!B:J,9,FALSE),"NO")</f>
        <v>NO</v>
      </c>
    </row>
    <row r="2574" spans="2:12" x14ac:dyDescent="0.35">
      <c r="B2574" s="4" t="s">
        <v>4920</v>
      </c>
      <c r="C2574" s="4" t="s">
        <v>8280</v>
      </c>
      <c r="D2574" s="4" t="s">
        <v>5</v>
      </c>
      <c r="E2574" s="4" t="s">
        <v>12</v>
      </c>
      <c r="F2574" s="4" t="s">
        <v>7</v>
      </c>
      <c r="G2574" s="4" t="s">
        <v>13</v>
      </c>
      <c r="H2574" s="4" t="s">
        <v>260</v>
      </c>
      <c r="I2574" s="5" t="str">
        <f>IFERROR(VLOOKUP(Consulta1[[#This Row],[Pozo largo]],'Lista YPF'!$B$3:$C$358,2,FALSE),"NO")</f>
        <v>NO</v>
      </c>
      <c r="J2574" s="5" t="str">
        <f>IFERROR(VLOOKUP(Consulta1[[#This Row],[Pozo]],'Lista Oportunidades'!B:C,2,FALSE),"NO")</f>
        <v>NO</v>
      </c>
      <c r="K2574" s="5">
        <f>IFERROR(VLOOKUP(Consulta1[[#This Row],[Pozo largo]],Controles!B:H,7,FALSE),"NO")</f>
        <v>2</v>
      </c>
      <c r="L2574" s="5">
        <f>IFERROR(VLOOKUP(Consulta1[[#This Row],[Pozo largo]],Controles!B:J,9,FALSE),"NO")</f>
        <v>0</v>
      </c>
    </row>
    <row r="2575" spans="2:12" x14ac:dyDescent="0.35">
      <c r="B2575" s="4" t="s">
        <v>4922</v>
      </c>
      <c r="C2575" s="4" t="s">
        <v>5730</v>
      </c>
      <c r="D2575" s="4" t="s">
        <v>5</v>
      </c>
      <c r="E2575" s="4" t="s">
        <v>12</v>
      </c>
      <c r="F2575" s="4" t="s">
        <v>28</v>
      </c>
      <c r="G2575" s="4" t="s">
        <v>13</v>
      </c>
      <c r="H2575" s="4" t="s">
        <v>260</v>
      </c>
      <c r="I2575" s="5" t="str">
        <f>IFERROR(VLOOKUP(Consulta1[[#This Row],[Pozo largo]],'Lista YPF'!$B$3:$C$358,2,FALSE),"NO")</f>
        <v>NO</v>
      </c>
      <c r="J2575" s="5" t="str">
        <f>IFERROR(VLOOKUP(Consulta1[[#This Row],[Pozo]],'Lista Oportunidades'!B:C,2,FALSE),"NO")</f>
        <v>Oportunidad</v>
      </c>
      <c r="K2575" s="5">
        <f>IFERROR(VLOOKUP(Consulta1[[#This Row],[Pozo largo]],Controles!B:H,7,FALSE),"NO")</f>
        <v>0</v>
      </c>
      <c r="L2575" s="5">
        <f>IFERROR(VLOOKUP(Consulta1[[#This Row],[Pozo largo]],Controles!B:J,9,FALSE),"NO")</f>
        <v>0</v>
      </c>
    </row>
    <row r="2576" spans="2:12" x14ac:dyDescent="0.35">
      <c r="B2576" s="4" t="s">
        <v>4924</v>
      </c>
      <c r="C2576" s="4" t="s">
        <v>8281</v>
      </c>
      <c r="D2576" s="4" t="s">
        <v>5</v>
      </c>
      <c r="E2576" s="4" t="s">
        <v>156</v>
      </c>
      <c r="F2576" s="4" t="s">
        <v>31</v>
      </c>
      <c r="G2576" s="4" t="s">
        <v>157</v>
      </c>
      <c r="H2576" s="4" t="s">
        <v>66</v>
      </c>
      <c r="I2576" s="5" t="str">
        <f>IFERROR(VLOOKUP(Consulta1[[#This Row],[Pozo largo]],'Lista YPF'!$B$3:$C$358,2,FALSE),"NO")</f>
        <v>NO</v>
      </c>
      <c r="J2576" s="5" t="str">
        <f>IFERROR(VLOOKUP(Consulta1[[#This Row],[Pozo]],'Lista Oportunidades'!B:C,2,FALSE),"NO")</f>
        <v>NO</v>
      </c>
      <c r="K2576" s="5" t="str">
        <f>IFERROR(VLOOKUP(Consulta1[[#This Row],[Pozo largo]],Controles!B:H,7,FALSE),"NO")</f>
        <v>NO</v>
      </c>
      <c r="L2576" s="5" t="str">
        <f>IFERROR(VLOOKUP(Consulta1[[#This Row],[Pozo largo]],Controles!B:J,9,FALSE),"NO")</f>
        <v>NO</v>
      </c>
    </row>
    <row r="2577" spans="2:12" x14ac:dyDescent="0.35">
      <c r="B2577" s="4" t="s">
        <v>4925</v>
      </c>
      <c r="C2577" s="4" t="s">
        <v>8282</v>
      </c>
      <c r="D2577" s="4" t="s">
        <v>5</v>
      </c>
      <c r="E2577" s="4" t="s">
        <v>30</v>
      </c>
      <c r="F2577" s="4" t="s">
        <v>31</v>
      </c>
      <c r="G2577" s="4" t="s">
        <v>32</v>
      </c>
      <c r="H2577" s="4" t="s">
        <v>80</v>
      </c>
      <c r="I2577" s="5" t="str">
        <f>IFERROR(VLOOKUP(Consulta1[[#This Row],[Pozo largo]],'Lista YPF'!$B$3:$C$358,2,FALSE),"NO")</f>
        <v>NO</v>
      </c>
      <c r="J2577" s="5" t="str">
        <f>IFERROR(VLOOKUP(Consulta1[[#This Row],[Pozo]],'Lista Oportunidades'!B:C,2,FALSE),"NO")</f>
        <v>NO</v>
      </c>
      <c r="K2577" s="5">
        <f>IFERROR(VLOOKUP(Consulta1[[#This Row],[Pozo largo]],Controles!B:H,7,FALSE),"NO")</f>
        <v>0.63</v>
      </c>
      <c r="L2577" s="5">
        <f>IFERROR(VLOOKUP(Consulta1[[#This Row],[Pozo largo]],Controles!B:J,9,FALSE),"NO")</f>
        <v>0</v>
      </c>
    </row>
    <row r="2578" spans="2:12" x14ac:dyDescent="0.35">
      <c r="B2578" s="4" t="s">
        <v>4927</v>
      </c>
      <c r="C2578" s="4" t="s">
        <v>8283</v>
      </c>
      <c r="D2578" s="4" t="s">
        <v>5</v>
      </c>
      <c r="E2578" s="4" t="s">
        <v>30</v>
      </c>
      <c r="F2578" s="4" t="s">
        <v>31</v>
      </c>
      <c r="G2578" s="4" t="s">
        <v>32</v>
      </c>
      <c r="H2578" s="4" t="s">
        <v>21</v>
      </c>
      <c r="I2578" s="5" t="str">
        <f>IFERROR(VLOOKUP(Consulta1[[#This Row],[Pozo largo]],'Lista YPF'!$B$3:$C$358,2,FALSE),"NO")</f>
        <v>NO</v>
      </c>
      <c r="J2578" s="5" t="str">
        <f>IFERROR(VLOOKUP(Consulta1[[#This Row],[Pozo]],'Lista Oportunidades'!B:C,2,FALSE),"NO")</f>
        <v>NO</v>
      </c>
      <c r="K2578" s="5" t="str">
        <f>IFERROR(VLOOKUP(Consulta1[[#This Row],[Pozo largo]],Controles!B:H,7,FALSE),"NO")</f>
        <v>NO</v>
      </c>
      <c r="L2578" s="5" t="str">
        <f>IFERROR(VLOOKUP(Consulta1[[#This Row],[Pozo largo]],Controles!B:J,9,FALSE),"NO")</f>
        <v>NO</v>
      </c>
    </row>
    <row r="2579" spans="2:12" x14ac:dyDescent="0.35">
      <c r="B2579" s="4" t="s">
        <v>4928</v>
      </c>
      <c r="C2579" s="4" t="s">
        <v>8284</v>
      </c>
      <c r="D2579" s="4" t="s">
        <v>5</v>
      </c>
      <c r="E2579" s="4" t="s">
        <v>12</v>
      </c>
      <c r="F2579" s="4" t="s">
        <v>28</v>
      </c>
      <c r="G2579" s="4" t="s">
        <v>13</v>
      </c>
      <c r="H2579" s="4" t="s">
        <v>86</v>
      </c>
      <c r="I2579" s="5" t="str">
        <f>IFERROR(VLOOKUP(Consulta1[[#This Row],[Pozo largo]],'Lista YPF'!$B$3:$C$358,2,FALSE),"NO")</f>
        <v>NO</v>
      </c>
      <c r="J2579" s="5" t="str">
        <f>IFERROR(VLOOKUP(Consulta1[[#This Row],[Pozo]],'Lista Oportunidades'!B:C,2,FALSE),"NO")</f>
        <v>NO</v>
      </c>
      <c r="K2579" s="5">
        <f>IFERROR(VLOOKUP(Consulta1[[#This Row],[Pozo largo]],Controles!B:H,7,FALSE),"NO")</f>
        <v>0</v>
      </c>
      <c r="L2579" s="5">
        <f>IFERROR(VLOOKUP(Consulta1[[#This Row],[Pozo largo]],Controles!B:J,9,FALSE),"NO")</f>
        <v>0</v>
      </c>
    </row>
    <row r="2580" spans="2:12" x14ac:dyDescent="0.35">
      <c r="B2580" s="4" t="s">
        <v>4930</v>
      </c>
      <c r="C2580" s="4" t="s">
        <v>8285</v>
      </c>
      <c r="D2580" s="4" t="s">
        <v>5</v>
      </c>
      <c r="E2580" s="4" t="s">
        <v>12</v>
      </c>
      <c r="F2580" s="4" t="s">
        <v>7</v>
      </c>
      <c r="G2580" s="4" t="s">
        <v>13</v>
      </c>
      <c r="H2580" s="4" t="s">
        <v>86</v>
      </c>
      <c r="I2580" s="5" t="str">
        <f>IFERROR(VLOOKUP(Consulta1[[#This Row],[Pozo largo]],'Lista YPF'!$B$3:$C$358,2,FALSE),"NO")</f>
        <v>NO</v>
      </c>
      <c r="J2580" s="5" t="str">
        <f>IFERROR(VLOOKUP(Consulta1[[#This Row],[Pozo]],'Lista Oportunidades'!B:C,2,FALSE),"NO")</f>
        <v>NO</v>
      </c>
      <c r="K2580" s="5">
        <f>IFERROR(VLOOKUP(Consulta1[[#This Row],[Pozo largo]],Controles!B:H,7,FALSE),"NO")</f>
        <v>2.516</v>
      </c>
      <c r="L2580" s="5">
        <f>IFERROR(VLOOKUP(Consulta1[[#This Row],[Pozo largo]],Controles!B:J,9,FALSE),"NO")</f>
        <v>0</v>
      </c>
    </row>
    <row r="2581" spans="2:12" x14ac:dyDescent="0.35">
      <c r="B2581" s="4" t="s">
        <v>4932</v>
      </c>
      <c r="C2581" s="4" t="s">
        <v>8286</v>
      </c>
      <c r="D2581" s="4" t="s">
        <v>5</v>
      </c>
      <c r="E2581" s="4" t="s">
        <v>12</v>
      </c>
      <c r="F2581" s="4" t="s">
        <v>25</v>
      </c>
      <c r="G2581" s="4" t="s">
        <v>13</v>
      </c>
      <c r="H2581" s="4" t="s">
        <v>86</v>
      </c>
      <c r="I2581" s="5" t="str">
        <f>IFERROR(VLOOKUP(Consulta1[[#This Row],[Pozo largo]],'Lista YPF'!$B$3:$C$358,2,FALSE),"NO")</f>
        <v>NO</v>
      </c>
      <c r="J2581" s="5" t="str">
        <f>IFERROR(VLOOKUP(Consulta1[[#This Row],[Pozo]],'Lista Oportunidades'!B:C,2,FALSE),"NO")</f>
        <v>NO</v>
      </c>
      <c r="K2581" s="5">
        <f>IFERROR(VLOOKUP(Consulta1[[#This Row],[Pozo largo]],Controles!B:H,7,FALSE),"NO")</f>
        <v>8.6000000000000007E-2</v>
      </c>
      <c r="L2581" s="5">
        <f>IFERROR(VLOOKUP(Consulta1[[#This Row],[Pozo largo]],Controles!B:J,9,FALSE),"NO")</f>
        <v>0</v>
      </c>
    </row>
    <row r="2582" spans="2:12" x14ac:dyDescent="0.35">
      <c r="B2582" s="4" t="s">
        <v>4934</v>
      </c>
      <c r="C2582" s="4" t="s">
        <v>8287</v>
      </c>
      <c r="D2582" s="4" t="s">
        <v>5</v>
      </c>
      <c r="E2582" s="4" t="s">
        <v>6</v>
      </c>
      <c r="F2582" s="4" t="s">
        <v>28</v>
      </c>
      <c r="G2582" s="4" t="s">
        <v>8</v>
      </c>
      <c r="H2582" s="4" t="s">
        <v>86</v>
      </c>
      <c r="I2582" s="5" t="str">
        <f>IFERROR(VLOOKUP(Consulta1[[#This Row],[Pozo largo]],'Lista YPF'!$B$3:$C$358,2,FALSE),"NO")</f>
        <v>NO</v>
      </c>
      <c r="J2582" s="5" t="str">
        <f>IFERROR(VLOOKUP(Consulta1[[#This Row],[Pozo]],'Lista Oportunidades'!B:C,2,FALSE),"NO")</f>
        <v>NO</v>
      </c>
      <c r="K2582" s="5">
        <f>IFERROR(VLOOKUP(Consulta1[[#This Row],[Pozo largo]],Controles!B:H,7,FALSE),"NO")</f>
        <v>0</v>
      </c>
      <c r="L2582" s="5">
        <f>IFERROR(VLOOKUP(Consulta1[[#This Row],[Pozo largo]],Controles!B:J,9,FALSE),"NO")</f>
        <v>0</v>
      </c>
    </row>
    <row r="2583" spans="2:12" x14ac:dyDescent="0.35">
      <c r="B2583" s="4" t="s">
        <v>4936</v>
      </c>
      <c r="C2583" s="4" t="s">
        <v>8288</v>
      </c>
      <c r="D2583" s="4" t="s">
        <v>5</v>
      </c>
      <c r="E2583" s="4" t="s">
        <v>24</v>
      </c>
      <c r="F2583" s="4" t="s">
        <v>25</v>
      </c>
      <c r="G2583" s="4" t="s">
        <v>8</v>
      </c>
      <c r="H2583" s="4" t="s">
        <v>86</v>
      </c>
      <c r="I2583" s="5" t="str">
        <f>IFERROR(VLOOKUP(Consulta1[[#This Row],[Pozo largo]],'Lista YPF'!$B$3:$C$358,2,FALSE),"NO")</f>
        <v>NO</v>
      </c>
      <c r="J2583" s="5" t="str">
        <f>IFERROR(VLOOKUP(Consulta1[[#This Row],[Pozo]],'Lista Oportunidades'!B:C,2,FALSE),"NO")</f>
        <v>NO</v>
      </c>
      <c r="K2583" s="5">
        <f>IFERROR(VLOOKUP(Consulta1[[#This Row],[Pozo largo]],Controles!B:H,7,FALSE),"NO")</f>
        <v>0.69000000000000006</v>
      </c>
      <c r="L2583" s="5">
        <f>IFERROR(VLOOKUP(Consulta1[[#This Row],[Pozo largo]],Controles!B:J,9,FALSE),"NO")</f>
        <v>0</v>
      </c>
    </row>
    <row r="2584" spans="2:12" x14ac:dyDescent="0.35">
      <c r="B2584" s="4" t="s">
        <v>4938</v>
      </c>
      <c r="C2584" s="4" t="s">
        <v>8289</v>
      </c>
      <c r="D2584" s="4" t="s">
        <v>5</v>
      </c>
      <c r="E2584" s="4" t="s">
        <v>24</v>
      </c>
      <c r="F2584" s="4" t="s">
        <v>31</v>
      </c>
      <c r="G2584" s="4" t="s">
        <v>8</v>
      </c>
      <c r="H2584" s="4" t="s">
        <v>86</v>
      </c>
      <c r="I2584" s="5" t="str">
        <f>IFERROR(VLOOKUP(Consulta1[[#This Row],[Pozo largo]],'Lista YPF'!$B$3:$C$358,2,FALSE),"NO")</f>
        <v>NO</v>
      </c>
      <c r="J2584" s="5" t="str">
        <f>IFERROR(VLOOKUP(Consulta1[[#This Row],[Pozo]],'Lista Oportunidades'!B:C,2,FALSE),"NO")</f>
        <v>NO</v>
      </c>
      <c r="K2584" s="5">
        <f>IFERROR(VLOOKUP(Consulta1[[#This Row],[Pozo largo]],Controles!B:H,7,FALSE),"NO")</f>
        <v>0.08</v>
      </c>
      <c r="L2584" s="5">
        <f>IFERROR(VLOOKUP(Consulta1[[#This Row],[Pozo largo]],Controles!B:J,9,FALSE),"NO")</f>
        <v>0</v>
      </c>
    </row>
    <row r="2585" spans="2:12" x14ac:dyDescent="0.35">
      <c r="B2585" s="4" t="s">
        <v>4940</v>
      </c>
      <c r="C2585" s="4" t="s">
        <v>8290</v>
      </c>
      <c r="D2585" s="4" t="s">
        <v>5</v>
      </c>
      <c r="E2585" s="4" t="s">
        <v>12</v>
      </c>
      <c r="F2585" s="4" t="s">
        <v>238</v>
      </c>
      <c r="G2585" s="4" t="s">
        <v>13</v>
      </c>
      <c r="H2585" s="4" t="s">
        <v>86</v>
      </c>
      <c r="I2585" s="5" t="str">
        <f>IFERROR(VLOOKUP(Consulta1[[#This Row],[Pozo largo]],'Lista YPF'!$B$3:$C$358,2,FALSE),"NO")</f>
        <v>NO</v>
      </c>
      <c r="J2585" s="5" t="str">
        <f>IFERROR(VLOOKUP(Consulta1[[#This Row],[Pozo]],'Lista Oportunidades'!B:C,2,FALSE),"NO")</f>
        <v>NO</v>
      </c>
      <c r="K2585" s="5">
        <f>IFERROR(VLOOKUP(Consulta1[[#This Row],[Pozo largo]],Controles!B:H,7,FALSE),"NO")</f>
        <v>8.5000000000000006E-2</v>
      </c>
      <c r="L2585" s="5">
        <f>IFERROR(VLOOKUP(Consulta1[[#This Row],[Pozo largo]],Controles!B:J,9,FALSE),"NO")</f>
        <v>0</v>
      </c>
    </row>
    <row r="2586" spans="2:12" x14ac:dyDescent="0.35">
      <c r="B2586" s="4" t="s">
        <v>4942</v>
      </c>
      <c r="C2586" s="4" t="s">
        <v>8291</v>
      </c>
      <c r="D2586" s="4" t="s">
        <v>5</v>
      </c>
      <c r="E2586" s="4" t="s">
        <v>57</v>
      </c>
      <c r="F2586" s="4" t="s">
        <v>28</v>
      </c>
      <c r="G2586" s="4" t="s">
        <v>5718</v>
      </c>
      <c r="H2586" s="4" t="s">
        <v>86</v>
      </c>
      <c r="I2586" s="5" t="str">
        <f>IFERROR(VLOOKUP(Consulta1[[#This Row],[Pozo largo]],'Lista YPF'!$B$3:$C$358,2,FALSE),"NO")</f>
        <v>En lista de Abandono</v>
      </c>
      <c r="J2586" s="5" t="str">
        <f>IFERROR(VLOOKUP(Consulta1[[#This Row],[Pozo]],'Lista Oportunidades'!B:C,2,FALSE),"NO")</f>
        <v>NO</v>
      </c>
      <c r="K2586" s="5">
        <f>IFERROR(VLOOKUP(Consulta1[[#This Row],[Pozo largo]],Controles!B:H,7,FALSE),"NO")</f>
        <v>0</v>
      </c>
      <c r="L2586" s="5">
        <f>IFERROR(VLOOKUP(Consulta1[[#This Row],[Pozo largo]],Controles!B:J,9,FALSE),"NO")</f>
        <v>0</v>
      </c>
    </row>
    <row r="2587" spans="2:12" x14ac:dyDescent="0.35">
      <c r="B2587" s="4" t="s">
        <v>4944</v>
      </c>
      <c r="C2587" s="4" t="s">
        <v>8292</v>
      </c>
      <c r="D2587" s="4" t="s">
        <v>5</v>
      </c>
      <c r="E2587" s="4" t="s">
        <v>24</v>
      </c>
      <c r="F2587" s="4" t="s">
        <v>25</v>
      </c>
      <c r="G2587" s="4" t="s">
        <v>8</v>
      </c>
      <c r="H2587" s="4" t="s">
        <v>86</v>
      </c>
      <c r="I2587" s="5" t="str">
        <f>IFERROR(VLOOKUP(Consulta1[[#This Row],[Pozo largo]],'Lista YPF'!$B$3:$C$358,2,FALSE),"NO")</f>
        <v>NO</v>
      </c>
      <c r="J2587" s="5" t="str">
        <f>IFERROR(VLOOKUP(Consulta1[[#This Row],[Pozo]],'Lista Oportunidades'!B:C,2,FALSE),"NO")</f>
        <v>NO</v>
      </c>
      <c r="K2587" s="5">
        <f>IFERROR(VLOOKUP(Consulta1[[#This Row],[Pozo largo]],Controles!B:H,7,FALSE),"NO")</f>
        <v>6.6000000000000003E-2</v>
      </c>
      <c r="L2587" s="5">
        <f>IFERROR(VLOOKUP(Consulta1[[#This Row],[Pozo largo]],Controles!B:J,9,FALSE),"NO")</f>
        <v>0</v>
      </c>
    </row>
    <row r="2588" spans="2:12" x14ac:dyDescent="0.35">
      <c r="B2588" s="4" t="s">
        <v>4946</v>
      </c>
      <c r="C2588" s="4" t="s">
        <v>8293</v>
      </c>
      <c r="D2588" s="4" t="s">
        <v>5</v>
      </c>
      <c r="E2588" s="4" t="s">
        <v>24</v>
      </c>
      <c r="F2588" s="4" t="s">
        <v>25</v>
      </c>
      <c r="G2588" s="4" t="s">
        <v>11387</v>
      </c>
      <c r="H2588" s="4" t="s">
        <v>86</v>
      </c>
      <c r="I2588" s="5" t="str">
        <f>IFERROR(VLOOKUP(Consulta1[[#This Row],[Pozo largo]],'Lista YPF'!$B$3:$C$358,2,FALSE),"NO")</f>
        <v>NO</v>
      </c>
      <c r="J2588" s="5" t="str">
        <f>IFERROR(VLOOKUP(Consulta1[[#This Row],[Pozo]],'Lista Oportunidades'!B:C,2,FALSE),"NO")</f>
        <v>NO</v>
      </c>
      <c r="K2588" s="5">
        <f>IFERROR(VLOOKUP(Consulta1[[#This Row],[Pozo largo]],Controles!B:H,7,FALSE),"NO")</f>
        <v>1E-3</v>
      </c>
      <c r="L2588" s="5" t="str">
        <f>IFERROR(VLOOKUP(Consulta1[[#This Row],[Pozo largo]],Controles!B:J,9,FALSE),"NO")</f>
        <v>Ultimo Año</v>
      </c>
    </row>
    <row r="2589" spans="2:12" x14ac:dyDescent="0.35">
      <c r="B2589" s="4" t="s">
        <v>4948</v>
      </c>
      <c r="C2589" s="4" t="s">
        <v>8294</v>
      </c>
      <c r="D2589" s="4" t="s">
        <v>5</v>
      </c>
      <c r="E2589" s="4" t="s">
        <v>12</v>
      </c>
      <c r="F2589" s="4" t="s">
        <v>83</v>
      </c>
      <c r="G2589" s="4" t="s">
        <v>13</v>
      </c>
      <c r="H2589" s="4" t="s">
        <v>86</v>
      </c>
      <c r="I2589" s="5" t="str">
        <f>IFERROR(VLOOKUP(Consulta1[[#This Row],[Pozo largo]],'Lista YPF'!$B$3:$C$358,2,FALSE),"NO")</f>
        <v>NO</v>
      </c>
      <c r="J2589" s="5" t="str">
        <f>IFERROR(VLOOKUP(Consulta1[[#This Row],[Pozo]],'Lista Oportunidades'!B:C,2,FALSE),"NO")</f>
        <v>NO</v>
      </c>
      <c r="K2589" s="5">
        <f>IFERROR(VLOOKUP(Consulta1[[#This Row],[Pozo largo]],Controles!B:H,7,FALSE),"NO")</f>
        <v>0.59</v>
      </c>
      <c r="L2589" s="5">
        <f>IFERROR(VLOOKUP(Consulta1[[#This Row],[Pozo largo]],Controles!B:J,9,FALSE),"NO")</f>
        <v>0</v>
      </c>
    </row>
    <row r="2590" spans="2:12" x14ac:dyDescent="0.35">
      <c r="B2590" s="4" t="s">
        <v>4950</v>
      </c>
      <c r="C2590" s="4" t="s">
        <v>8295</v>
      </c>
      <c r="D2590" s="4" t="s">
        <v>5</v>
      </c>
      <c r="E2590" s="4" t="s">
        <v>30</v>
      </c>
      <c r="F2590" s="4" t="s">
        <v>31</v>
      </c>
      <c r="G2590" s="4" t="s">
        <v>32</v>
      </c>
      <c r="H2590" s="4" t="s">
        <v>86</v>
      </c>
      <c r="I2590" s="5" t="str">
        <f>IFERROR(VLOOKUP(Consulta1[[#This Row],[Pozo largo]],'Lista YPF'!$B$3:$C$358,2,FALSE),"NO")</f>
        <v>NO</v>
      </c>
      <c r="J2590" s="5" t="str">
        <f>IFERROR(VLOOKUP(Consulta1[[#This Row],[Pozo]],'Lista Oportunidades'!B:C,2,FALSE),"NO")</f>
        <v>NO</v>
      </c>
      <c r="K2590" s="5">
        <f>IFERROR(VLOOKUP(Consulta1[[#This Row],[Pozo largo]],Controles!B:H,7,FALSE),"NO")</f>
        <v>0</v>
      </c>
      <c r="L2590" s="5">
        <f>IFERROR(VLOOKUP(Consulta1[[#This Row],[Pozo largo]],Controles!B:J,9,FALSE),"NO")</f>
        <v>0</v>
      </c>
    </row>
    <row r="2591" spans="2:12" x14ac:dyDescent="0.35">
      <c r="B2591" s="4" t="s">
        <v>4952</v>
      </c>
      <c r="C2591" s="4" t="s">
        <v>8296</v>
      </c>
      <c r="D2591" s="4" t="s">
        <v>5</v>
      </c>
      <c r="E2591" s="4" t="s">
        <v>12</v>
      </c>
      <c r="F2591" s="4" t="s">
        <v>28</v>
      </c>
      <c r="G2591" s="4" t="s">
        <v>13</v>
      </c>
      <c r="H2591" s="4" t="s">
        <v>86</v>
      </c>
      <c r="I2591" s="5" t="str">
        <f>IFERROR(VLOOKUP(Consulta1[[#This Row],[Pozo largo]],'Lista YPF'!$B$3:$C$358,2,FALSE),"NO")</f>
        <v>NO</v>
      </c>
      <c r="J2591" s="5" t="str">
        <f>IFERROR(VLOOKUP(Consulta1[[#This Row],[Pozo]],'Lista Oportunidades'!B:C,2,FALSE),"NO")</f>
        <v>NO</v>
      </c>
      <c r="K2591" s="5">
        <f>IFERROR(VLOOKUP(Consulta1[[#This Row],[Pozo largo]],Controles!B:H,7,FALSE),"NO")</f>
        <v>0</v>
      </c>
      <c r="L2591" s="5">
        <f>IFERROR(VLOOKUP(Consulta1[[#This Row],[Pozo largo]],Controles!B:J,9,FALSE),"NO")</f>
        <v>0</v>
      </c>
    </row>
    <row r="2592" spans="2:12" x14ac:dyDescent="0.35">
      <c r="B2592" s="4" t="s">
        <v>4954</v>
      </c>
      <c r="C2592" s="4" t="s">
        <v>8297</v>
      </c>
      <c r="D2592" s="4" t="s">
        <v>5</v>
      </c>
      <c r="E2592" s="4" t="s">
        <v>24</v>
      </c>
      <c r="F2592" s="4" t="s">
        <v>25</v>
      </c>
      <c r="G2592" s="4" t="s">
        <v>8</v>
      </c>
      <c r="H2592" s="4" t="s">
        <v>91</v>
      </c>
      <c r="I2592" s="5" t="str">
        <f>IFERROR(VLOOKUP(Consulta1[[#This Row],[Pozo largo]],'Lista YPF'!$B$3:$C$358,2,FALSE),"NO")</f>
        <v>NO</v>
      </c>
      <c r="J2592" s="5" t="str">
        <f>IFERROR(VLOOKUP(Consulta1[[#This Row],[Pozo]],'Lista Oportunidades'!B:C,2,FALSE),"NO")</f>
        <v>NO</v>
      </c>
      <c r="K2592" s="5">
        <f>IFERROR(VLOOKUP(Consulta1[[#This Row],[Pozo largo]],Controles!B:H,7,FALSE),"NO")</f>
        <v>9.7000000000000003E-2</v>
      </c>
      <c r="L2592" s="5">
        <f>IFERROR(VLOOKUP(Consulta1[[#This Row],[Pozo largo]],Controles!B:J,9,FALSE),"NO")</f>
        <v>0</v>
      </c>
    </row>
    <row r="2593" spans="2:12" x14ac:dyDescent="0.35">
      <c r="B2593" s="4" t="s">
        <v>4956</v>
      </c>
      <c r="C2593" s="4" t="s">
        <v>8298</v>
      </c>
      <c r="D2593" s="4" t="s">
        <v>5</v>
      </c>
      <c r="E2593" s="4" t="s">
        <v>12</v>
      </c>
      <c r="F2593" s="4" t="s">
        <v>7</v>
      </c>
      <c r="G2593" s="4" t="s">
        <v>13</v>
      </c>
      <c r="H2593" s="4" t="s">
        <v>86</v>
      </c>
      <c r="I2593" s="5" t="str">
        <f>IFERROR(VLOOKUP(Consulta1[[#This Row],[Pozo largo]],'Lista YPF'!$B$3:$C$358,2,FALSE),"NO")</f>
        <v>NO</v>
      </c>
      <c r="J2593" s="5" t="str">
        <f>IFERROR(VLOOKUP(Consulta1[[#This Row],[Pozo]],'Lista Oportunidades'!B:C,2,FALSE),"NO")</f>
        <v>NO</v>
      </c>
      <c r="K2593" s="5">
        <f>IFERROR(VLOOKUP(Consulta1[[#This Row],[Pozo largo]],Controles!B:H,7,FALSE),"NO")</f>
        <v>1.45</v>
      </c>
      <c r="L2593" s="5">
        <f>IFERROR(VLOOKUP(Consulta1[[#This Row],[Pozo largo]],Controles!B:J,9,FALSE),"NO")</f>
        <v>0</v>
      </c>
    </row>
    <row r="2594" spans="2:12" x14ac:dyDescent="0.35">
      <c r="B2594" s="4" t="s">
        <v>4958</v>
      </c>
      <c r="C2594" s="4" t="s">
        <v>8299</v>
      </c>
      <c r="D2594" s="4" t="s">
        <v>5</v>
      </c>
      <c r="E2594" s="4" t="s">
        <v>6</v>
      </c>
      <c r="F2594" s="4" t="s">
        <v>28</v>
      </c>
      <c r="G2594" s="4" t="s">
        <v>5718</v>
      </c>
      <c r="H2594" s="4" t="s">
        <v>86</v>
      </c>
      <c r="I2594" s="5" t="str">
        <f>IFERROR(VLOOKUP(Consulta1[[#This Row],[Pozo largo]],'Lista YPF'!$B$3:$C$358,2,FALSE),"NO")</f>
        <v>En lista de Abandono</v>
      </c>
      <c r="J2594" s="5" t="str">
        <f>IFERROR(VLOOKUP(Consulta1[[#This Row],[Pozo]],'Lista Oportunidades'!B:C,2,FALSE),"NO")</f>
        <v>NO</v>
      </c>
      <c r="K2594" s="5">
        <f>IFERROR(VLOOKUP(Consulta1[[#This Row],[Pozo largo]],Controles!B:H,7,FALSE),"NO")</f>
        <v>0</v>
      </c>
      <c r="L2594" s="5" t="str">
        <f>IFERROR(VLOOKUP(Consulta1[[#This Row],[Pozo largo]],Controles!B:J,9,FALSE),"NO")</f>
        <v>Ultimo Año</v>
      </c>
    </row>
    <row r="2595" spans="2:12" x14ac:dyDescent="0.35">
      <c r="B2595" s="4" t="s">
        <v>4960</v>
      </c>
      <c r="C2595" s="4" t="s">
        <v>8300</v>
      </c>
      <c r="D2595" s="4" t="s">
        <v>5</v>
      </c>
      <c r="E2595" s="4" t="s">
        <v>30</v>
      </c>
      <c r="F2595" s="4" t="s">
        <v>31</v>
      </c>
      <c r="G2595" s="4" t="s">
        <v>32</v>
      </c>
      <c r="H2595" s="4" t="s">
        <v>86</v>
      </c>
      <c r="I2595" s="5" t="str">
        <f>IFERROR(VLOOKUP(Consulta1[[#This Row],[Pozo largo]],'Lista YPF'!$B$3:$C$358,2,FALSE),"NO")</f>
        <v>NO</v>
      </c>
      <c r="J2595" s="5" t="str">
        <f>IFERROR(VLOOKUP(Consulta1[[#This Row],[Pozo]],'Lista Oportunidades'!B:C,2,FALSE),"NO")</f>
        <v>NO</v>
      </c>
      <c r="K2595" s="5">
        <f>IFERROR(VLOOKUP(Consulta1[[#This Row],[Pozo largo]],Controles!B:H,7,FALSE),"NO")</f>
        <v>0</v>
      </c>
      <c r="L2595" s="5">
        <f>IFERROR(VLOOKUP(Consulta1[[#This Row],[Pozo largo]],Controles!B:J,9,FALSE),"NO")</f>
        <v>0</v>
      </c>
    </row>
    <row r="2596" spans="2:12" x14ac:dyDescent="0.35">
      <c r="B2596" s="4" t="s">
        <v>4962</v>
      </c>
      <c r="C2596" s="4" t="s">
        <v>8301</v>
      </c>
      <c r="D2596" s="4" t="s">
        <v>5</v>
      </c>
      <c r="E2596" s="4" t="s">
        <v>57</v>
      </c>
      <c r="F2596" s="4" t="s">
        <v>28</v>
      </c>
      <c r="G2596" s="4" t="s">
        <v>5718</v>
      </c>
      <c r="H2596" s="4" t="s">
        <v>80</v>
      </c>
      <c r="I2596" s="5" t="str">
        <f>IFERROR(VLOOKUP(Consulta1[[#This Row],[Pozo largo]],'Lista YPF'!$B$3:$C$358,2,FALSE),"NO")</f>
        <v>En lista de Abandono</v>
      </c>
      <c r="J2596" s="5" t="str">
        <f>IFERROR(VLOOKUP(Consulta1[[#This Row],[Pozo]],'Lista Oportunidades'!B:C,2,FALSE),"NO")</f>
        <v>NO</v>
      </c>
      <c r="K2596" s="5">
        <f>IFERROR(VLOOKUP(Consulta1[[#This Row],[Pozo largo]],Controles!B:H,7,FALSE),"NO")</f>
        <v>0</v>
      </c>
      <c r="L2596" s="5">
        <f>IFERROR(VLOOKUP(Consulta1[[#This Row],[Pozo largo]],Controles!B:J,9,FALSE),"NO")</f>
        <v>0</v>
      </c>
    </row>
    <row r="2597" spans="2:12" x14ac:dyDescent="0.35">
      <c r="B2597" s="4" t="s">
        <v>4964</v>
      </c>
      <c r="C2597" s="4" t="s">
        <v>8302</v>
      </c>
      <c r="D2597" s="4" t="s">
        <v>5</v>
      </c>
      <c r="E2597" s="4" t="s">
        <v>57</v>
      </c>
      <c r="F2597" s="4" t="s">
        <v>28</v>
      </c>
      <c r="G2597" s="4" t="s">
        <v>5718</v>
      </c>
      <c r="H2597" s="4" t="s">
        <v>80</v>
      </c>
      <c r="I2597" s="5" t="str">
        <f>IFERROR(VLOOKUP(Consulta1[[#This Row],[Pozo largo]],'Lista YPF'!$B$3:$C$358,2,FALSE),"NO")</f>
        <v>En lista de Abandono</v>
      </c>
      <c r="J2597" s="5" t="str">
        <f>IFERROR(VLOOKUP(Consulta1[[#This Row],[Pozo]],'Lista Oportunidades'!B:C,2,FALSE),"NO")</f>
        <v>NO</v>
      </c>
      <c r="K2597" s="5">
        <f>IFERROR(VLOOKUP(Consulta1[[#This Row],[Pozo largo]],Controles!B:H,7,FALSE),"NO")</f>
        <v>0</v>
      </c>
      <c r="L2597" s="5">
        <f>IFERROR(VLOOKUP(Consulta1[[#This Row],[Pozo largo]],Controles!B:J,9,FALSE),"NO")</f>
        <v>0</v>
      </c>
    </row>
    <row r="2598" spans="2:12" x14ac:dyDescent="0.35">
      <c r="B2598" s="4" t="s">
        <v>4966</v>
      </c>
      <c r="C2598" s="4" t="s">
        <v>8303</v>
      </c>
      <c r="D2598" s="4" t="s">
        <v>5</v>
      </c>
      <c r="E2598" s="4" t="s">
        <v>12</v>
      </c>
      <c r="F2598" s="4" t="s">
        <v>7</v>
      </c>
      <c r="G2598" s="4" t="s">
        <v>13</v>
      </c>
      <c r="H2598" s="4" t="s">
        <v>71</v>
      </c>
      <c r="I2598" s="5" t="str">
        <f>IFERROR(VLOOKUP(Consulta1[[#This Row],[Pozo largo]],'Lista YPF'!$B$3:$C$358,2,FALSE),"NO")</f>
        <v>NO</v>
      </c>
      <c r="J2598" s="5" t="str">
        <f>IFERROR(VLOOKUP(Consulta1[[#This Row],[Pozo]],'Lista Oportunidades'!B:C,2,FALSE),"NO")</f>
        <v>NO</v>
      </c>
      <c r="K2598" s="5">
        <f>IFERROR(VLOOKUP(Consulta1[[#This Row],[Pozo largo]],Controles!B:H,7,FALSE),"NO")</f>
        <v>3.24</v>
      </c>
      <c r="L2598" s="5">
        <f>IFERROR(VLOOKUP(Consulta1[[#This Row],[Pozo largo]],Controles!B:J,9,FALSE),"NO")</f>
        <v>0</v>
      </c>
    </row>
    <row r="2599" spans="2:12" x14ac:dyDescent="0.35">
      <c r="B2599" s="4" t="s">
        <v>4968</v>
      </c>
      <c r="C2599" s="4" t="s">
        <v>8304</v>
      </c>
      <c r="D2599" s="4" t="s">
        <v>5</v>
      </c>
      <c r="E2599" s="4" t="s">
        <v>24</v>
      </c>
      <c r="F2599" s="4" t="s">
        <v>31</v>
      </c>
      <c r="G2599" s="4" t="s">
        <v>8</v>
      </c>
      <c r="H2599" s="4" t="s">
        <v>141</v>
      </c>
      <c r="I2599" s="5" t="str">
        <f>IFERROR(VLOOKUP(Consulta1[[#This Row],[Pozo largo]],'Lista YPF'!$B$3:$C$358,2,FALSE),"NO")</f>
        <v>NO</v>
      </c>
      <c r="J2599" s="5" t="str">
        <f>IFERROR(VLOOKUP(Consulta1[[#This Row],[Pozo]],'Lista Oportunidades'!B:C,2,FALSE),"NO")</f>
        <v>NO</v>
      </c>
      <c r="K2599" s="5">
        <f>IFERROR(VLOOKUP(Consulta1[[#This Row],[Pozo largo]],Controles!B:H,7,FALSE),"NO")</f>
        <v>0</v>
      </c>
      <c r="L2599" s="5">
        <f>IFERROR(VLOOKUP(Consulta1[[#This Row],[Pozo largo]],Controles!B:J,9,FALSE),"NO")</f>
        <v>0</v>
      </c>
    </row>
    <row r="2600" spans="2:12" x14ac:dyDescent="0.35">
      <c r="B2600" s="4" t="s">
        <v>4970</v>
      </c>
      <c r="C2600" s="4" t="s">
        <v>8305</v>
      </c>
      <c r="D2600" s="4" t="s">
        <v>5</v>
      </c>
      <c r="E2600" s="4" t="s">
        <v>24</v>
      </c>
      <c r="F2600" s="4" t="s">
        <v>31</v>
      </c>
      <c r="G2600" s="4" t="s">
        <v>8</v>
      </c>
      <c r="H2600" s="4" t="s">
        <v>141</v>
      </c>
      <c r="I2600" s="5" t="str">
        <f>IFERROR(VLOOKUP(Consulta1[[#This Row],[Pozo largo]],'Lista YPF'!$B$3:$C$358,2,FALSE),"NO")</f>
        <v>NO</v>
      </c>
      <c r="J2600" s="5" t="str">
        <f>IFERROR(VLOOKUP(Consulta1[[#This Row],[Pozo]],'Lista Oportunidades'!B:C,2,FALSE),"NO")</f>
        <v>NO</v>
      </c>
      <c r="K2600" s="5" t="str">
        <f>IFERROR(VLOOKUP(Consulta1[[#This Row],[Pozo largo]],Controles!B:H,7,FALSE),"NO")</f>
        <v>NO</v>
      </c>
      <c r="L2600" s="5" t="str">
        <f>IFERROR(VLOOKUP(Consulta1[[#This Row],[Pozo largo]],Controles!B:J,9,FALSE),"NO")</f>
        <v>NO</v>
      </c>
    </row>
    <row r="2601" spans="2:12" x14ac:dyDescent="0.35">
      <c r="B2601" s="4" t="s">
        <v>4971</v>
      </c>
      <c r="C2601" s="4" t="s">
        <v>8306</v>
      </c>
      <c r="D2601" s="4" t="s">
        <v>5</v>
      </c>
      <c r="E2601" s="4" t="s">
        <v>12</v>
      </c>
      <c r="F2601" s="4" t="s">
        <v>7</v>
      </c>
      <c r="G2601" s="4" t="s">
        <v>13</v>
      </c>
      <c r="H2601" s="4" t="s">
        <v>185</v>
      </c>
      <c r="I2601" s="5" t="str">
        <f>IFERROR(VLOOKUP(Consulta1[[#This Row],[Pozo largo]],'Lista YPF'!$B$3:$C$358,2,FALSE),"NO")</f>
        <v>NO</v>
      </c>
      <c r="J2601" s="5" t="str">
        <f>IFERROR(VLOOKUP(Consulta1[[#This Row],[Pozo]],'Lista Oportunidades'!B:C,2,FALSE),"NO")</f>
        <v>NO</v>
      </c>
      <c r="K2601" s="5">
        <f>IFERROR(VLOOKUP(Consulta1[[#This Row],[Pozo largo]],Controles!B:H,7,FALSE),"NO")</f>
        <v>1.47</v>
      </c>
      <c r="L2601" s="5">
        <f>IFERROR(VLOOKUP(Consulta1[[#This Row],[Pozo largo]],Controles!B:J,9,FALSE),"NO")</f>
        <v>0</v>
      </c>
    </row>
    <row r="2602" spans="2:12" x14ac:dyDescent="0.35">
      <c r="B2602" s="4" t="s">
        <v>4973</v>
      </c>
      <c r="C2602" s="4" t="s">
        <v>8307</v>
      </c>
      <c r="D2602" s="4" t="s">
        <v>5</v>
      </c>
      <c r="E2602" s="4" t="s">
        <v>12</v>
      </c>
      <c r="F2602" s="4" t="s">
        <v>7</v>
      </c>
      <c r="G2602" s="4" t="s">
        <v>13</v>
      </c>
      <c r="H2602" s="4" t="s">
        <v>185</v>
      </c>
      <c r="I2602" s="5" t="str">
        <f>IFERROR(VLOOKUP(Consulta1[[#This Row],[Pozo largo]],'Lista YPF'!$B$3:$C$358,2,FALSE),"NO")</f>
        <v>NO</v>
      </c>
      <c r="J2602" s="5" t="str">
        <f>IFERROR(VLOOKUP(Consulta1[[#This Row],[Pozo]],'Lista Oportunidades'!B:C,2,FALSE),"NO")</f>
        <v>NO</v>
      </c>
      <c r="K2602" s="5">
        <f>IFERROR(VLOOKUP(Consulta1[[#This Row],[Pozo largo]],Controles!B:H,7,FALSE),"NO")</f>
        <v>1.2750000000000001</v>
      </c>
      <c r="L2602" s="5">
        <f>IFERROR(VLOOKUP(Consulta1[[#This Row],[Pozo largo]],Controles!B:J,9,FALSE),"NO")</f>
        <v>0</v>
      </c>
    </row>
    <row r="2603" spans="2:12" x14ac:dyDescent="0.35">
      <c r="B2603" s="4" t="s">
        <v>4975</v>
      </c>
      <c r="C2603" s="4" t="s">
        <v>8308</v>
      </c>
      <c r="D2603" s="4" t="s">
        <v>5</v>
      </c>
      <c r="E2603" s="4" t="s">
        <v>6</v>
      </c>
      <c r="F2603" s="4" t="s">
        <v>7</v>
      </c>
      <c r="G2603" s="4" t="s">
        <v>11386</v>
      </c>
      <c r="H2603" s="4" t="s">
        <v>185</v>
      </c>
      <c r="I2603" s="5" t="str">
        <f>IFERROR(VLOOKUP(Consulta1[[#This Row],[Pozo largo]],'Lista YPF'!$B$3:$C$358,2,FALSE),"NO")</f>
        <v>NO</v>
      </c>
      <c r="J2603" s="5" t="str">
        <f>IFERROR(VLOOKUP(Consulta1[[#This Row],[Pozo]],'Lista Oportunidades'!B:C,2,FALSE),"NO")</f>
        <v>NO</v>
      </c>
      <c r="K2603" s="5">
        <f>IFERROR(VLOOKUP(Consulta1[[#This Row],[Pozo largo]],Controles!B:H,7,FALSE),"NO")</f>
        <v>0.14400000000000002</v>
      </c>
      <c r="L2603" s="5" t="str">
        <f>IFERROR(VLOOKUP(Consulta1[[#This Row],[Pozo largo]],Controles!B:J,9,FALSE),"NO")</f>
        <v>Ultimos 6 meses</v>
      </c>
    </row>
    <row r="2604" spans="2:12" x14ac:dyDescent="0.35">
      <c r="B2604" s="4" t="s">
        <v>4977</v>
      </c>
      <c r="C2604" s="4" t="s">
        <v>8309</v>
      </c>
      <c r="D2604" s="4" t="s">
        <v>5</v>
      </c>
      <c r="E2604" s="4" t="s">
        <v>12</v>
      </c>
      <c r="F2604" s="4" t="s">
        <v>7</v>
      </c>
      <c r="G2604" s="4" t="s">
        <v>13</v>
      </c>
      <c r="H2604" s="4" t="s">
        <v>185</v>
      </c>
      <c r="I2604" s="5" t="str">
        <f>IFERROR(VLOOKUP(Consulta1[[#This Row],[Pozo largo]],'Lista YPF'!$B$3:$C$358,2,FALSE),"NO")</f>
        <v>NO</v>
      </c>
      <c r="J2604" s="5" t="str">
        <f>IFERROR(VLOOKUP(Consulta1[[#This Row],[Pozo]],'Lista Oportunidades'!B:C,2,FALSE),"NO")</f>
        <v>NO</v>
      </c>
      <c r="K2604" s="5">
        <f>IFERROR(VLOOKUP(Consulta1[[#This Row],[Pozo largo]],Controles!B:H,7,FALSE),"NO")</f>
        <v>1.022</v>
      </c>
      <c r="L2604" s="5">
        <f>IFERROR(VLOOKUP(Consulta1[[#This Row],[Pozo largo]],Controles!B:J,9,FALSE),"NO")</f>
        <v>0</v>
      </c>
    </row>
    <row r="2605" spans="2:12" x14ac:dyDescent="0.35">
      <c r="B2605" s="4" t="s">
        <v>4979</v>
      </c>
      <c r="C2605" s="4" t="s">
        <v>8310</v>
      </c>
      <c r="D2605" s="4" t="s">
        <v>5</v>
      </c>
      <c r="E2605" s="4" t="s">
        <v>30</v>
      </c>
      <c r="F2605" s="4" t="s">
        <v>31</v>
      </c>
      <c r="G2605" s="4" t="s">
        <v>32</v>
      </c>
      <c r="H2605" s="4" t="s">
        <v>71</v>
      </c>
      <c r="I2605" s="5" t="str">
        <f>IFERROR(VLOOKUP(Consulta1[[#This Row],[Pozo largo]],'Lista YPF'!$B$3:$C$358,2,FALSE),"NO")</f>
        <v>NO</v>
      </c>
      <c r="J2605" s="5" t="str">
        <f>IFERROR(VLOOKUP(Consulta1[[#This Row],[Pozo]],'Lista Oportunidades'!B:C,2,FALSE),"NO")</f>
        <v>NO</v>
      </c>
      <c r="K2605" s="5">
        <f>IFERROR(VLOOKUP(Consulta1[[#This Row],[Pozo largo]],Controles!B:H,7,FALSE),"NO")</f>
        <v>0</v>
      </c>
      <c r="L2605" s="5">
        <f>IFERROR(VLOOKUP(Consulta1[[#This Row],[Pozo largo]],Controles!B:J,9,FALSE),"NO")</f>
        <v>0</v>
      </c>
    </row>
    <row r="2606" spans="2:12" x14ac:dyDescent="0.35">
      <c r="B2606" s="4" t="s">
        <v>4981</v>
      </c>
      <c r="C2606" s="4" t="s">
        <v>8311</v>
      </c>
      <c r="D2606" s="4" t="s">
        <v>5</v>
      </c>
      <c r="E2606" s="4" t="s">
        <v>12</v>
      </c>
      <c r="F2606" s="4" t="s">
        <v>1151</v>
      </c>
      <c r="G2606" s="4" t="s">
        <v>13</v>
      </c>
      <c r="H2606" s="4" t="s">
        <v>290</v>
      </c>
      <c r="I2606" s="5" t="str">
        <f>IFERROR(VLOOKUP(Consulta1[[#This Row],[Pozo largo]],'Lista YPF'!$B$3:$C$358,2,FALSE),"NO")</f>
        <v>NO</v>
      </c>
      <c r="J2606" s="5" t="str">
        <f>IFERROR(VLOOKUP(Consulta1[[#This Row],[Pozo]],'Lista Oportunidades'!B:C,2,FALSE),"NO")</f>
        <v>NO</v>
      </c>
      <c r="K2606" s="5">
        <f>IFERROR(VLOOKUP(Consulta1[[#This Row],[Pozo largo]],Controles!B:H,7,FALSE),"NO")</f>
        <v>1.7</v>
      </c>
      <c r="L2606" s="5">
        <f>IFERROR(VLOOKUP(Consulta1[[#This Row],[Pozo largo]],Controles!B:J,9,FALSE),"NO")</f>
        <v>0</v>
      </c>
    </row>
    <row r="2607" spans="2:12" x14ac:dyDescent="0.35">
      <c r="B2607" s="4" t="s">
        <v>4983</v>
      </c>
      <c r="C2607" s="4" t="s">
        <v>8312</v>
      </c>
      <c r="D2607" s="4" t="s">
        <v>5</v>
      </c>
      <c r="E2607" s="4" t="s">
        <v>12</v>
      </c>
      <c r="F2607" s="4" t="s">
        <v>28</v>
      </c>
      <c r="G2607" s="4" t="s">
        <v>13</v>
      </c>
      <c r="H2607" s="4" t="s">
        <v>66</v>
      </c>
      <c r="I2607" s="5" t="str">
        <f>IFERROR(VLOOKUP(Consulta1[[#This Row],[Pozo largo]],'Lista YPF'!$B$3:$C$358,2,FALSE),"NO")</f>
        <v>NO</v>
      </c>
      <c r="J2607" s="5" t="str">
        <f>IFERROR(VLOOKUP(Consulta1[[#This Row],[Pozo]],'Lista Oportunidades'!B:C,2,FALSE),"NO")</f>
        <v>NO</v>
      </c>
      <c r="K2607" s="5">
        <f>IFERROR(VLOOKUP(Consulta1[[#This Row],[Pozo largo]],Controles!B:H,7,FALSE),"NO")</f>
        <v>0</v>
      </c>
      <c r="L2607" s="5">
        <f>IFERROR(VLOOKUP(Consulta1[[#This Row],[Pozo largo]],Controles!B:J,9,FALSE),"NO")</f>
        <v>0</v>
      </c>
    </row>
    <row r="2608" spans="2:12" x14ac:dyDescent="0.35">
      <c r="B2608" s="4" t="s">
        <v>4985</v>
      </c>
      <c r="C2608" s="4" t="s">
        <v>8313</v>
      </c>
      <c r="D2608" s="4" t="s">
        <v>5</v>
      </c>
      <c r="E2608" s="4" t="s">
        <v>57</v>
      </c>
      <c r="F2608" s="4" t="s">
        <v>31</v>
      </c>
      <c r="G2608" s="4" t="s">
        <v>5718</v>
      </c>
      <c r="H2608" s="4" t="s">
        <v>185</v>
      </c>
      <c r="I2608" s="5" t="str">
        <f>IFERROR(VLOOKUP(Consulta1[[#This Row],[Pozo largo]],'Lista YPF'!$B$3:$C$358,2,FALSE),"NO")</f>
        <v>En lista de Abandono</v>
      </c>
      <c r="J2608" s="5" t="str">
        <f>IFERROR(VLOOKUP(Consulta1[[#This Row],[Pozo]],'Lista Oportunidades'!B:C,2,FALSE),"NO")</f>
        <v>NO</v>
      </c>
      <c r="K2608" s="5" t="str">
        <f>IFERROR(VLOOKUP(Consulta1[[#This Row],[Pozo largo]],Controles!B:H,7,FALSE),"NO")</f>
        <v>NO</v>
      </c>
      <c r="L2608" s="5" t="str">
        <f>IFERROR(VLOOKUP(Consulta1[[#This Row],[Pozo largo]],Controles!B:J,9,FALSE),"NO")</f>
        <v>NO</v>
      </c>
    </row>
    <row r="2609" spans="2:12" x14ac:dyDescent="0.35">
      <c r="B2609" s="4" t="s">
        <v>4986</v>
      </c>
      <c r="C2609" s="4" t="s">
        <v>8314</v>
      </c>
      <c r="D2609" s="4" t="s">
        <v>5</v>
      </c>
      <c r="E2609" s="4" t="s">
        <v>12</v>
      </c>
      <c r="F2609" s="4" t="s">
        <v>7</v>
      </c>
      <c r="G2609" s="4" t="s">
        <v>13</v>
      </c>
      <c r="H2609" s="4" t="s">
        <v>71</v>
      </c>
      <c r="I2609" s="5" t="str">
        <f>IFERROR(VLOOKUP(Consulta1[[#This Row],[Pozo largo]],'Lista YPF'!$B$3:$C$358,2,FALSE),"NO")</f>
        <v>NO</v>
      </c>
      <c r="J2609" s="5" t="str">
        <f>IFERROR(VLOOKUP(Consulta1[[#This Row],[Pozo]],'Lista Oportunidades'!B:C,2,FALSE),"NO")</f>
        <v>NO</v>
      </c>
      <c r="K2609" s="5">
        <f>IFERROR(VLOOKUP(Consulta1[[#This Row],[Pozo largo]],Controles!B:H,7,FALSE),"NO")</f>
        <v>1.8900000000000001</v>
      </c>
      <c r="L2609" s="5">
        <f>IFERROR(VLOOKUP(Consulta1[[#This Row],[Pozo largo]],Controles!B:J,9,FALSE),"NO")</f>
        <v>0</v>
      </c>
    </row>
    <row r="2610" spans="2:12" x14ac:dyDescent="0.35">
      <c r="B2610" s="4" t="s">
        <v>4988</v>
      </c>
      <c r="C2610" s="4" t="s">
        <v>8315</v>
      </c>
      <c r="D2610" s="4" t="s">
        <v>5</v>
      </c>
      <c r="E2610" s="4" t="s">
        <v>12</v>
      </c>
      <c r="F2610" s="4" t="s">
        <v>7</v>
      </c>
      <c r="G2610" s="4" t="s">
        <v>13</v>
      </c>
      <c r="H2610" s="4" t="s">
        <v>71</v>
      </c>
      <c r="I2610" s="5" t="str">
        <f>IFERROR(VLOOKUP(Consulta1[[#This Row],[Pozo largo]],'Lista YPF'!$B$3:$C$358,2,FALSE),"NO")</f>
        <v>NO</v>
      </c>
      <c r="J2610" s="5" t="str">
        <f>IFERROR(VLOOKUP(Consulta1[[#This Row],[Pozo]],'Lista Oportunidades'!B:C,2,FALSE),"NO")</f>
        <v>NO</v>
      </c>
      <c r="K2610" s="5">
        <f>IFERROR(VLOOKUP(Consulta1[[#This Row],[Pozo largo]],Controles!B:H,7,FALSE),"NO")</f>
        <v>3.52</v>
      </c>
      <c r="L2610" s="5">
        <f>IFERROR(VLOOKUP(Consulta1[[#This Row],[Pozo largo]],Controles!B:J,9,FALSE),"NO")</f>
        <v>0</v>
      </c>
    </row>
    <row r="2611" spans="2:12" x14ac:dyDescent="0.35">
      <c r="B2611" s="4" t="s">
        <v>4990</v>
      </c>
      <c r="C2611" s="4" t="s">
        <v>8316</v>
      </c>
      <c r="D2611" s="4" t="s">
        <v>5</v>
      </c>
      <c r="E2611" s="4" t="s">
        <v>57</v>
      </c>
      <c r="F2611" s="4" t="s">
        <v>7</v>
      </c>
      <c r="G2611" s="4" t="s">
        <v>5718</v>
      </c>
      <c r="H2611" s="4" t="s">
        <v>254</v>
      </c>
      <c r="I2611" s="5" t="str">
        <f>IFERROR(VLOOKUP(Consulta1[[#This Row],[Pozo largo]],'Lista YPF'!$B$3:$C$358,2,FALSE),"NO")</f>
        <v>En lista de Abandono</v>
      </c>
      <c r="J2611" s="5" t="str">
        <f>IFERROR(VLOOKUP(Consulta1[[#This Row],[Pozo]],'Lista Oportunidades'!B:C,2,FALSE),"NO")</f>
        <v>NO</v>
      </c>
      <c r="K2611" s="5">
        <f>IFERROR(VLOOKUP(Consulta1[[#This Row],[Pozo largo]],Controles!B:H,7,FALSE),"NO")</f>
        <v>0.85</v>
      </c>
      <c r="L2611" s="5">
        <f>IFERROR(VLOOKUP(Consulta1[[#This Row],[Pozo largo]],Controles!B:J,9,FALSE),"NO")</f>
        <v>0</v>
      </c>
    </row>
    <row r="2612" spans="2:12" x14ac:dyDescent="0.35">
      <c r="B2612" s="4" t="s">
        <v>4992</v>
      </c>
      <c r="C2612" s="4" t="s">
        <v>8317</v>
      </c>
      <c r="D2612" s="4" t="s">
        <v>5</v>
      </c>
      <c r="E2612" s="4" t="s">
        <v>6</v>
      </c>
      <c r="F2612" s="4" t="s">
        <v>28</v>
      </c>
      <c r="G2612" s="4" t="s">
        <v>5718</v>
      </c>
      <c r="H2612" s="4" t="s">
        <v>71</v>
      </c>
      <c r="I2612" s="5" t="str">
        <f>IFERROR(VLOOKUP(Consulta1[[#This Row],[Pozo largo]],'Lista YPF'!$B$3:$C$358,2,FALSE),"NO")</f>
        <v>En lista de Abandono</v>
      </c>
      <c r="J2612" s="5" t="str">
        <f>IFERROR(VLOOKUP(Consulta1[[#This Row],[Pozo]],'Lista Oportunidades'!B:C,2,FALSE),"NO")</f>
        <v>NO</v>
      </c>
      <c r="K2612" s="5">
        <f>IFERROR(VLOOKUP(Consulta1[[#This Row],[Pozo largo]],Controles!B:H,7,FALSE),"NO")</f>
        <v>0</v>
      </c>
      <c r="L2612" s="5">
        <f>IFERROR(VLOOKUP(Consulta1[[#This Row],[Pozo largo]],Controles!B:J,9,FALSE),"NO")</f>
        <v>0</v>
      </c>
    </row>
    <row r="2613" spans="2:12" x14ac:dyDescent="0.35">
      <c r="B2613" s="4" t="s">
        <v>4994</v>
      </c>
      <c r="C2613" s="4" t="s">
        <v>8318</v>
      </c>
      <c r="D2613" s="4" t="s">
        <v>5</v>
      </c>
      <c r="E2613" s="4" t="s">
        <v>24</v>
      </c>
      <c r="F2613" s="4" t="s">
        <v>7</v>
      </c>
      <c r="G2613" s="4" t="s">
        <v>8</v>
      </c>
      <c r="H2613" s="4" t="s">
        <v>9</v>
      </c>
      <c r="I2613" s="5" t="str">
        <f>IFERROR(VLOOKUP(Consulta1[[#This Row],[Pozo largo]],'Lista YPF'!$B$3:$C$358,2,FALSE),"NO")</f>
        <v>NO</v>
      </c>
      <c r="J2613" s="5" t="str">
        <f>IFERROR(VLOOKUP(Consulta1[[#This Row],[Pozo]],'Lista Oportunidades'!B:C,2,FALSE),"NO")</f>
        <v>NO</v>
      </c>
      <c r="K2613" s="5">
        <f>IFERROR(VLOOKUP(Consulta1[[#This Row],[Pozo largo]],Controles!B:H,7,FALSE),"NO")</f>
        <v>0.28000000000000003</v>
      </c>
      <c r="L2613" s="5">
        <f>IFERROR(VLOOKUP(Consulta1[[#This Row],[Pozo largo]],Controles!B:J,9,FALSE),"NO")</f>
        <v>0</v>
      </c>
    </row>
    <row r="2614" spans="2:12" x14ac:dyDescent="0.35">
      <c r="B2614" s="4" t="s">
        <v>4996</v>
      </c>
      <c r="C2614" s="4" t="s">
        <v>8319</v>
      </c>
      <c r="D2614" s="4" t="s">
        <v>5</v>
      </c>
      <c r="E2614" s="4" t="s">
        <v>30</v>
      </c>
      <c r="F2614" s="4" t="s">
        <v>31</v>
      </c>
      <c r="G2614" s="4" t="s">
        <v>32</v>
      </c>
      <c r="H2614" s="4" t="s">
        <v>9</v>
      </c>
      <c r="I2614" s="5" t="str">
        <f>IFERROR(VLOOKUP(Consulta1[[#This Row],[Pozo largo]],'Lista YPF'!$B$3:$C$358,2,FALSE),"NO")</f>
        <v>NO</v>
      </c>
      <c r="J2614" s="5" t="str">
        <f>IFERROR(VLOOKUP(Consulta1[[#This Row],[Pozo]],'Lista Oportunidades'!B:C,2,FALSE),"NO")</f>
        <v>NO</v>
      </c>
      <c r="K2614" s="5">
        <f>IFERROR(VLOOKUP(Consulta1[[#This Row],[Pozo largo]],Controles!B:H,7,FALSE),"NO")</f>
        <v>0</v>
      </c>
      <c r="L2614" s="5">
        <f>IFERROR(VLOOKUP(Consulta1[[#This Row],[Pozo largo]],Controles!B:J,9,FALSE),"NO")</f>
        <v>0</v>
      </c>
    </row>
    <row r="2615" spans="2:12" x14ac:dyDescent="0.35">
      <c r="B2615" s="4" t="s">
        <v>4998</v>
      </c>
      <c r="C2615" s="4" t="s">
        <v>8320</v>
      </c>
      <c r="D2615" s="4" t="s">
        <v>5</v>
      </c>
      <c r="E2615" s="4" t="s">
        <v>24</v>
      </c>
      <c r="F2615" s="4" t="s">
        <v>31</v>
      </c>
      <c r="G2615" s="4" t="s">
        <v>8</v>
      </c>
      <c r="H2615" s="4" t="s">
        <v>9</v>
      </c>
      <c r="I2615" s="5" t="str">
        <f>IFERROR(VLOOKUP(Consulta1[[#This Row],[Pozo largo]],'Lista YPF'!$B$3:$C$358,2,FALSE),"NO")</f>
        <v>NO</v>
      </c>
      <c r="J2615" s="5" t="str">
        <f>IFERROR(VLOOKUP(Consulta1[[#This Row],[Pozo]],'Lista Oportunidades'!B:C,2,FALSE),"NO")</f>
        <v>NO</v>
      </c>
      <c r="K2615" s="5">
        <f>IFERROR(VLOOKUP(Consulta1[[#This Row],[Pozo largo]],Controles!B:H,7,FALSE),"NO")</f>
        <v>0</v>
      </c>
      <c r="L2615" s="5">
        <f>IFERROR(VLOOKUP(Consulta1[[#This Row],[Pozo largo]],Controles!B:J,9,FALSE),"NO")</f>
        <v>0</v>
      </c>
    </row>
    <row r="2616" spans="2:12" x14ac:dyDescent="0.35">
      <c r="B2616" s="4" t="s">
        <v>5000</v>
      </c>
      <c r="C2616" s="4" t="s">
        <v>8321</v>
      </c>
      <c r="D2616" s="4" t="s">
        <v>5</v>
      </c>
      <c r="E2616" s="4" t="s">
        <v>57</v>
      </c>
      <c r="F2616" s="4" t="s">
        <v>31</v>
      </c>
      <c r="G2616" s="4" t="s">
        <v>5718</v>
      </c>
      <c r="H2616" s="4" t="s">
        <v>21</v>
      </c>
      <c r="I2616" s="5" t="str">
        <f>IFERROR(VLOOKUP(Consulta1[[#This Row],[Pozo largo]],'Lista YPF'!$B$3:$C$358,2,FALSE),"NO")</f>
        <v>En lista de Abandono</v>
      </c>
      <c r="J2616" s="5" t="str">
        <f>IFERROR(VLOOKUP(Consulta1[[#This Row],[Pozo]],'Lista Oportunidades'!B:C,2,FALSE),"NO")</f>
        <v>NO</v>
      </c>
      <c r="K2616" s="5">
        <f>IFERROR(VLOOKUP(Consulta1[[#This Row],[Pozo largo]],Controles!B:H,7,FALSE),"NO")</f>
        <v>0.56000000000000005</v>
      </c>
      <c r="L2616" s="5">
        <f>IFERROR(VLOOKUP(Consulta1[[#This Row],[Pozo largo]],Controles!B:J,9,FALSE),"NO")</f>
        <v>0</v>
      </c>
    </row>
    <row r="2617" spans="2:12" x14ac:dyDescent="0.35">
      <c r="B2617" s="4" t="s">
        <v>5002</v>
      </c>
      <c r="C2617" s="4" t="s">
        <v>8322</v>
      </c>
      <c r="D2617" s="4" t="s">
        <v>5</v>
      </c>
      <c r="E2617" s="4" t="s">
        <v>24</v>
      </c>
      <c r="F2617" s="4" t="s">
        <v>7</v>
      </c>
      <c r="G2617" s="4" t="s">
        <v>8</v>
      </c>
      <c r="H2617" s="4" t="s">
        <v>21</v>
      </c>
      <c r="I2617" s="5" t="str">
        <f>IFERROR(VLOOKUP(Consulta1[[#This Row],[Pozo largo]],'Lista YPF'!$B$3:$C$358,2,FALSE),"NO")</f>
        <v>NO</v>
      </c>
      <c r="J2617" s="5" t="str">
        <f>IFERROR(VLOOKUP(Consulta1[[#This Row],[Pozo]],'Lista Oportunidades'!B:C,2,FALSE),"NO")</f>
        <v>NO</v>
      </c>
      <c r="K2617" s="5">
        <f>IFERROR(VLOOKUP(Consulta1[[#This Row],[Pozo largo]],Controles!B:H,7,FALSE),"NO")</f>
        <v>0.22</v>
      </c>
      <c r="L2617" s="5">
        <f>IFERROR(VLOOKUP(Consulta1[[#This Row],[Pozo largo]],Controles!B:J,9,FALSE),"NO")</f>
        <v>0</v>
      </c>
    </row>
    <row r="2618" spans="2:12" x14ac:dyDescent="0.35">
      <c r="B2618" s="4" t="s">
        <v>5004</v>
      </c>
      <c r="C2618" s="4" t="s">
        <v>8323</v>
      </c>
      <c r="D2618" s="4" t="s">
        <v>5</v>
      </c>
      <c r="E2618" s="4" t="s">
        <v>12</v>
      </c>
      <c r="F2618" s="4" t="s">
        <v>28</v>
      </c>
      <c r="G2618" s="4" t="s">
        <v>13</v>
      </c>
      <c r="H2618" s="4" t="s">
        <v>21</v>
      </c>
      <c r="I2618" s="5" t="str">
        <f>IFERROR(VLOOKUP(Consulta1[[#This Row],[Pozo largo]],'Lista YPF'!$B$3:$C$358,2,FALSE),"NO")</f>
        <v>NO</v>
      </c>
      <c r="J2618" s="5" t="str">
        <f>IFERROR(VLOOKUP(Consulta1[[#This Row],[Pozo]],'Lista Oportunidades'!B:C,2,FALSE),"NO")</f>
        <v>NO</v>
      </c>
      <c r="K2618" s="5">
        <f>IFERROR(VLOOKUP(Consulta1[[#This Row],[Pozo largo]],Controles!B:H,7,FALSE),"NO")</f>
        <v>0</v>
      </c>
      <c r="L2618" s="5">
        <f>IFERROR(VLOOKUP(Consulta1[[#This Row],[Pozo largo]],Controles!B:J,9,FALSE),"NO")</f>
        <v>0</v>
      </c>
    </row>
    <row r="2619" spans="2:12" x14ac:dyDescent="0.35">
      <c r="B2619" s="4" t="s">
        <v>5006</v>
      </c>
      <c r="C2619" s="4" t="s">
        <v>8324</v>
      </c>
      <c r="D2619" s="4" t="s">
        <v>5</v>
      </c>
      <c r="E2619" s="4" t="s">
        <v>12</v>
      </c>
      <c r="F2619" s="4" t="s">
        <v>25</v>
      </c>
      <c r="G2619" s="4" t="s">
        <v>13</v>
      </c>
      <c r="H2619" s="4" t="s">
        <v>33</v>
      </c>
      <c r="I2619" s="5" t="str">
        <f>IFERROR(VLOOKUP(Consulta1[[#This Row],[Pozo largo]],'Lista YPF'!$B$3:$C$358,2,FALSE),"NO")</f>
        <v>NO</v>
      </c>
      <c r="J2619" s="5" t="str">
        <f>IFERROR(VLOOKUP(Consulta1[[#This Row],[Pozo]],'Lista Oportunidades'!B:C,2,FALSE),"NO")</f>
        <v>NO</v>
      </c>
      <c r="K2619" s="5">
        <f>IFERROR(VLOOKUP(Consulta1[[#This Row],[Pozo largo]],Controles!B:H,7,FALSE),"NO")</f>
        <v>6.7000000000000004E-2</v>
      </c>
      <c r="L2619" s="5">
        <f>IFERROR(VLOOKUP(Consulta1[[#This Row],[Pozo largo]],Controles!B:J,9,FALSE),"NO")</f>
        <v>0</v>
      </c>
    </row>
    <row r="2620" spans="2:12" x14ac:dyDescent="0.35">
      <c r="B2620" s="4" t="s">
        <v>5008</v>
      </c>
      <c r="C2620" s="4" t="s">
        <v>8325</v>
      </c>
      <c r="D2620" s="4" t="s">
        <v>5</v>
      </c>
      <c r="E2620" s="4" t="s">
        <v>12</v>
      </c>
      <c r="F2620" s="4" t="s">
        <v>28</v>
      </c>
      <c r="G2620" s="4" t="s">
        <v>13</v>
      </c>
      <c r="H2620" s="4" t="s">
        <v>21</v>
      </c>
      <c r="I2620" s="5" t="str">
        <f>IFERROR(VLOOKUP(Consulta1[[#This Row],[Pozo largo]],'Lista YPF'!$B$3:$C$358,2,FALSE),"NO")</f>
        <v>NO</v>
      </c>
      <c r="J2620" s="5" t="str">
        <f>IFERROR(VLOOKUP(Consulta1[[#This Row],[Pozo]],'Lista Oportunidades'!B:C,2,FALSE),"NO")</f>
        <v>NO</v>
      </c>
      <c r="K2620" s="5">
        <f>IFERROR(VLOOKUP(Consulta1[[#This Row],[Pozo largo]],Controles!B:H,7,FALSE),"NO")</f>
        <v>0</v>
      </c>
      <c r="L2620" s="5">
        <f>IFERROR(VLOOKUP(Consulta1[[#This Row],[Pozo largo]],Controles!B:J,9,FALSE),"NO")</f>
        <v>0</v>
      </c>
    </row>
    <row r="2621" spans="2:12" x14ac:dyDescent="0.35">
      <c r="B2621" s="4" t="s">
        <v>5010</v>
      </c>
      <c r="C2621" s="4" t="s">
        <v>8326</v>
      </c>
      <c r="D2621" s="4" t="s">
        <v>5</v>
      </c>
      <c r="E2621" s="4" t="s">
        <v>24</v>
      </c>
      <c r="F2621" s="4" t="s">
        <v>7</v>
      </c>
      <c r="G2621" s="4" t="s">
        <v>8</v>
      </c>
      <c r="H2621" s="4" t="s">
        <v>9</v>
      </c>
      <c r="I2621" s="5" t="str">
        <f>IFERROR(VLOOKUP(Consulta1[[#This Row],[Pozo largo]],'Lista YPF'!$B$3:$C$358,2,FALSE),"NO")</f>
        <v>NO</v>
      </c>
      <c r="J2621" s="5" t="str">
        <f>IFERROR(VLOOKUP(Consulta1[[#This Row],[Pozo]],'Lista Oportunidades'!B:C,2,FALSE),"NO")</f>
        <v>NO</v>
      </c>
      <c r="K2621" s="5">
        <f>IFERROR(VLOOKUP(Consulta1[[#This Row],[Pozo largo]],Controles!B:H,7,FALSE),"NO")</f>
        <v>0.92600000000000005</v>
      </c>
      <c r="L2621" s="5">
        <f>IFERROR(VLOOKUP(Consulta1[[#This Row],[Pozo largo]],Controles!B:J,9,FALSE),"NO")</f>
        <v>0</v>
      </c>
    </row>
    <row r="2622" spans="2:12" x14ac:dyDescent="0.35">
      <c r="B2622" s="4" t="s">
        <v>5012</v>
      </c>
      <c r="C2622" s="4" t="s">
        <v>8327</v>
      </c>
      <c r="D2622" s="4" t="s">
        <v>5</v>
      </c>
      <c r="E2622" s="4" t="s">
        <v>12</v>
      </c>
      <c r="F2622" s="4" t="s">
        <v>28</v>
      </c>
      <c r="G2622" s="4" t="s">
        <v>13</v>
      </c>
      <c r="H2622" s="4" t="s">
        <v>21</v>
      </c>
      <c r="I2622" s="5" t="str">
        <f>IFERROR(VLOOKUP(Consulta1[[#This Row],[Pozo largo]],'Lista YPF'!$B$3:$C$358,2,FALSE),"NO")</f>
        <v>NO</v>
      </c>
      <c r="J2622" s="5" t="str">
        <f>IFERROR(VLOOKUP(Consulta1[[#This Row],[Pozo]],'Lista Oportunidades'!B:C,2,FALSE),"NO")</f>
        <v>NO</v>
      </c>
      <c r="K2622" s="5">
        <f>IFERROR(VLOOKUP(Consulta1[[#This Row],[Pozo largo]],Controles!B:H,7,FALSE),"NO")</f>
        <v>0</v>
      </c>
      <c r="L2622" s="5">
        <f>IFERROR(VLOOKUP(Consulta1[[#This Row],[Pozo largo]],Controles!B:J,9,FALSE),"NO")</f>
        <v>0</v>
      </c>
    </row>
    <row r="2623" spans="2:12" x14ac:dyDescent="0.35">
      <c r="B2623" s="4" t="s">
        <v>5014</v>
      </c>
      <c r="C2623" s="4" t="s">
        <v>8328</v>
      </c>
      <c r="D2623" s="4" t="s">
        <v>5</v>
      </c>
      <c r="E2623" s="4" t="s">
        <v>12</v>
      </c>
      <c r="F2623" s="4" t="s">
        <v>28</v>
      </c>
      <c r="G2623" s="4" t="s">
        <v>13</v>
      </c>
      <c r="H2623" s="4" t="s">
        <v>33</v>
      </c>
      <c r="I2623" s="5" t="str">
        <f>IFERROR(VLOOKUP(Consulta1[[#This Row],[Pozo largo]],'Lista YPF'!$B$3:$C$358,2,FALSE),"NO")</f>
        <v>NO</v>
      </c>
      <c r="J2623" s="5" t="str">
        <f>IFERROR(VLOOKUP(Consulta1[[#This Row],[Pozo]],'Lista Oportunidades'!B:C,2,FALSE),"NO")</f>
        <v>NO</v>
      </c>
      <c r="K2623" s="5">
        <f>IFERROR(VLOOKUP(Consulta1[[#This Row],[Pozo largo]],Controles!B:H,7,FALSE),"NO")</f>
        <v>0</v>
      </c>
      <c r="L2623" s="5">
        <f>IFERROR(VLOOKUP(Consulta1[[#This Row],[Pozo largo]],Controles!B:J,9,FALSE),"NO")</f>
        <v>0</v>
      </c>
    </row>
    <row r="2624" spans="2:12" x14ac:dyDescent="0.35">
      <c r="B2624" s="4" t="s">
        <v>5016</v>
      </c>
      <c r="C2624" s="4" t="s">
        <v>8329</v>
      </c>
      <c r="D2624" s="4" t="s">
        <v>5</v>
      </c>
      <c r="E2624" s="4" t="s">
        <v>12</v>
      </c>
      <c r="F2624" s="4" t="s">
        <v>238</v>
      </c>
      <c r="G2624" s="4" t="s">
        <v>13</v>
      </c>
      <c r="H2624" s="4" t="s">
        <v>36</v>
      </c>
      <c r="I2624" s="5" t="str">
        <f>IFERROR(VLOOKUP(Consulta1[[#This Row],[Pozo largo]],'Lista YPF'!$B$3:$C$358,2,FALSE),"NO")</f>
        <v>NO</v>
      </c>
      <c r="J2624" s="5" t="str">
        <f>IFERROR(VLOOKUP(Consulta1[[#This Row],[Pozo]],'Lista Oportunidades'!B:C,2,FALSE),"NO")</f>
        <v>NO</v>
      </c>
      <c r="K2624" s="5">
        <f>IFERROR(VLOOKUP(Consulta1[[#This Row],[Pozo largo]],Controles!B:H,7,FALSE),"NO")</f>
        <v>1.9000000000000001</v>
      </c>
      <c r="L2624" s="5">
        <f>IFERROR(VLOOKUP(Consulta1[[#This Row],[Pozo largo]],Controles!B:J,9,FALSE),"NO")</f>
        <v>0</v>
      </c>
    </row>
    <row r="2625" spans="2:12" x14ac:dyDescent="0.35">
      <c r="B2625" s="4" t="s">
        <v>5018</v>
      </c>
      <c r="C2625" s="4" t="s">
        <v>8330</v>
      </c>
      <c r="D2625" s="4" t="s">
        <v>5</v>
      </c>
      <c r="E2625" s="4" t="s">
        <v>12</v>
      </c>
      <c r="F2625" s="4" t="s">
        <v>28</v>
      </c>
      <c r="G2625" s="4" t="s">
        <v>13</v>
      </c>
      <c r="H2625" s="4" t="s">
        <v>36</v>
      </c>
      <c r="I2625" s="5" t="str">
        <f>IFERROR(VLOOKUP(Consulta1[[#This Row],[Pozo largo]],'Lista YPF'!$B$3:$C$358,2,FALSE),"NO")</f>
        <v>NO</v>
      </c>
      <c r="J2625" s="5" t="str">
        <f>IFERROR(VLOOKUP(Consulta1[[#This Row],[Pozo]],'Lista Oportunidades'!B:C,2,FALSE),"NO")</f>
        <v>NO</v>
      </c>
      <c r="K2625" s="5">
        <f>IFERROR(VLOOKUP(Consulta1[[#This Row],[Pozo largo]],Controles!B:H,7,FALSE),"NO")</f>
        <v>0</v>
      </c>
      <c r="L2625" s="5">
        <f>IFERROR(VLOOKUP(Consulta1[[#This Row],[Pozo largo]],Controles!B:J,9,FALSE),"NO")</f>
        <v>0</v>
      </c>
    </row>
    <row r="2626" spans="2:12" x14ac:dyDescent="0.35">
      <c r="B2626" s="4" t="s">
        <v>5020</v>
      </c>
      <c r="C2626" s="4" t="s">
        <v>8331</v>
      </c>
      <c r="D2626" s="4" t="s">
        <v>5</v>
      </c>
      <c r="E2626" s="4" t="s">
        <v>12</v>
      </c>
      <c r="F2626" s="4" t="s">
        <v>7</v>
      </c>
      <c r="G2626" s="4" t="s">
        <v>13</v>
      </c>
      <c r="H2626" s="4" t="s">
        <v>9</v>
      </c>
      <c r="I2626" s="5" t="str">
        <f>IFERROR(VLOOKUP(Consulta1[[#This Row],[Pozo largo]],'Lista YPF'!$B$3:$C$358,2,FALSE),"NO")</f>
        <v>NO</v>
      </c>
      <c r="J2626" s="5" t="str">
        <f>IFERROR(VLOOKUP(Consulta1[[#This Row],[Pozo]],'Lista Oportunidades'!B:C,2,FALSE),"NO")</f>
        <v>NO</v>
      </c>
      <c r="K2626" s="5">
        <f>IFERROR(VLOOKUP(Consulta1[[#This Row],[Pozo largo]],Controles!B:H,7,FALSE),"NO")</f>
        <v>1.61</v>
      </c>
      <c r="L2626" s="5">
        <f>IFERROR(VLOOKUP(Consulta1[[#This Row],[Pozo largo]],Controles!B:J,9,FALSE),"NO")</f>
        <v>0</v>
      </c>
    </row>
    <row r="2627" spans="2:12" x14ac:dyDescent="0.35">
      <c r="B2627" s="4" t="s">
        <v>5022</v>
      </c>
      <c r="C2627" s="4" t="s">
        <v>8332</v>
      </c>
      <c r="D2627" s="4" t="s">
        <v>5</v>
      </c>
      <c r="E2627" s="4" t="s">
        <v>24</v>
      </c>
      <c r="F2627" s="4" t="s">
        <v>7</v>
      </c>
      <c r="G2627" s="4" t="s">
        <v>8</v>
      </c>
      <c r="H2627" s="4" t="s">
        <v>86</v>
      </c>
      <c r="I2627" s="5" t="str">
        <f>IFERROR(VLOOKUP(Consulta1[[#This Row],[Pozo largo]],'Lista YPF'!$B$3:$C$358,2,FALSE),"NO")</f>
        <v>NO</v>
      </c>
      <c r="J2627" s="5" t="str">
        <f>IFERROR(VLOOKUP(Consulta1[[#This Row],[Pozo]],'Lista Oportunidades'!B:C,2,FALSE),"NO")</f>
        <v>NO</v>
      </c>
      <c r="K2627" s="5">
        <f>IFERROR(VLOOKUP(Consulta1[[#This Row],[Pozo largo]],Controles!B:H,7,FALSE),"NO")</f>
        <v>0.44</v>
      </c>
      <c r="L2627" s="5">
        <f>IFERROR(VLOOKUP(Consulta1[[#This Row],[Pozo largo]],Controles!B:J,9,FALSE),"NO")</f>
        <v>0</v>
      </c>
    </row>
    <row r="2628" spans="2:12" x14ac:dyDescent="0.35">
      <c r="B2628" s="4" t="s">
        <v>5024</v>
      </c>
      <c r="C2628" s="4" t="s">
        <v>8333</v>
      </c>
      <c r="D2628" s="4" t="s">
        <v>5</v>
      </c>
      <c r="E2628" s="4" t="s">
        <v>24</v>
      </c>
      <c r="F2628" s="4" t="s">
        <v>25</v>
      </c>
      <c r="G2628" s="4" t="s">
        <v>8</v>
      </c>
      <c r="H2628" s="4" t="s">
        <v>91</v>
      </c>
      <c r="I2628" s="5" t="str">
        <f>IFERROR(VLOOKUP(Consulta1[[#This Row],[Pozo largo]],'Lista YPF'!$B$3:$C$358,2,FALSE),"NO")</f>
        <v>NO</v>
      </c>
      <c r="J2628" s="5" t="str">
        <f>IFERROR(VLOOKUP(Consulta1[[#This Row],[Pozo]],'Lista Oportunidades'!B:C,2,FALSE),"NO")</f>
        <v>NO</v>
      </c>
      <c r="K2628" s="5">
        <f>IFERROR(VLOOKUP(Consulta1[[#This Row],[Pozo largo]],Controles!B:H,7,FALSE),"NO")</f>
        <v>0.20400000000000001</v>
      </c>
      <c r="L2628" s="5">
        <f>IFERROR(VLOOKUP(Consulta1[[#This Row],[Pozo largo]],Controles!B:J,9,FALSE),"NO")</f>
        <v>0</v>
      </c>
    </row>
    <row r="2629" spans="2:12" x14ac:dyDescent="0.35">
      <c r="B2629" s="4" t="s">
        <v>5026</v>
      </c>
      <c r="C2629" s="4" t="s">
        <v>8334</v>
      </c>
      <c r="D2629" s="4" t="s">
        <v>5</v>
      </c>
      <c r="E2629" s="4" t="s">
        <v>24</v>
      </c>
      <c r="F2629" s="4" t="s">
        <v>31</v>
      </c>
      <c r="G2629" s="4" t="s">
        <v>8</v>
      </c>
      <c r="H2629" s="4" t="s">
        <v>91</v>
      </c>
      <c r="I2629" s="5" t="str">
        <f>IFERROR(VLOOKUP(Consulta1[[#This Row],[Pozo largo]],'Lista YPF'!$B$3:$C$358,2,FALSE),"NO")</f>
        <v>NO</v>
      </c>
      <c r="J2629" s="5" t="str">
        <f>IFERROR(VLOOKUP(Consulta1[[#This Row],[Pozo]],'Lista Oportunidades'!B:C,2,FALSE),"NO")</f>
        <v>NO</v>
      </c>
      <c r="K2629" s="5" t="str">
        <f>IFERROR(VLOOKUP(Consulta1[[#This Row],[Pozo largo]],Controles!B:H,7,FALSE),"NO")</f>
        <v>NO</v>
      </c>
      <c r="L2629" s="5" t="str">
        <f>IFERROR(VLOOKUP(Consulta1[[#This Row],[Pozo largo]],Controles!B:J,9,FALSE),"NO")</f>
        <v>NO</v>
      </c>
    </row>
    <row r="2630" spans="2:12" x14ac:dyDescent="0.35">
      <c r="B2630" s="4" t="s">
        <v>5027</v>
      </c>
      <c r="C2630" s="4" t="s">
        <v>8335</v>
      </c>
      <c r="D2630" s="4" t="s">
        <v>5</v>
      </c>
      <c r="E2630" s="4" t="s">
        <v>6</v>
      </c>
      <c r="F2630" s="4" t="s">
        <v>7</v>
      </c>
      <c r="G2630" s="4" t="s">
        <v>5718</v>
      </c>
      <c r="H2630" s="4" t="s">
        <v>91</v>
      </c>
      <c r="I2630" s="5" t="str">
        <f>IFERROR(VLOOKUP(Consulta1[[#This Row],[Pozo largo]],'Lista YPF'!$B$3:$C$358,2,FALSE),"NO")</f>
        <v>En lista de Abandono</v>
      </c>
      <c r="J2630" s="5" t="str">
        <f>IFERROR(VLOOKUP(Consulta1[[#This Row],[Pozo]],'Lista Oportunidades'!B:C,2,FALSE),"NO")</f>
        <v>NO</v>
      </c>
      <c r="K2630" s="5">
        <f>IFERROR(VLOOKUP(Consulta1[[#This Row],[Pozo largo]],Controles!B:H,7,FALSE),"NO")</f>
        <v>0.94500000000000006</v>
      </c>
      <c r="L2630" s="5" t="str">
        <f>IFERROR(VLOOKUP(Consulta1[[#This Row],[Pozo largo]],Controles!B:J,9,FALSE),"NO")</f>
        <v>Ultimo Año</v>
      </c>
    </row>
    <row r="2631" spans="2:12" x14ac:dyDescent="0.35">
      <c r="B2631" s="4" t="s">
        <v>5029</v>
      </c>
      <c r="C2631" s="4" t="s">
        <v>8336</v>
      </c>
      <c r="D2631" s="4" t="s">
        <v>5</v>
      </c>
      <c r="E2631" s="4" t="s">
        <v>24</v>
      </c>
      <c r="F2631" s="4" t="s">
        <v>25</v>
      </c>
      <c r="G2631" s="4" t="s">
        <v>8</v>
      </c>
      <c r="H2631" s="4" t="s">
        <v>80</v>
      </c>
      <c r="I2631" s="5" t="str">
        <f>IFERROR(VLOOKUP(Consulta1[[#This Row],[Pozo largo]],'Lista YPF'!$B$3:$C$358,2,FALSE),"NO")</f>
        <v>NO</v>
      </c>
      <c r="J2631" s="5" t="str">
        <f>IFERROR(VLOOKUP(Consulta1[[#This Row],[Pozo]],'Lista Oportunidades'!B:C,2,FALSE),"NO")</f>
        <v>NO</v>
      </c>
      <c r="K2631" s="5">
        <f>IFERROR(VLOOKUP(Consulta1[[#This Row],[Pozo largo]],Controles!B:H,7,FALSE),"NO")</f>
        <v>0.155</v>
      </c>
      <c r="L2631" s="5">
        <f>IFERROR(VLOOKUP(Consulta1[[#This Row],[Pozo largo]],Controles!B:J,9,FALSE),"NO")</f>
        <v>0</v>
      </c>
    </row>
    <row r="2632" spans="2:12" x14ac:dyDescent="0.35">
      <c r="B2632" s="4" t="s">
        <v>5031</v>
      </c>
      <c r="C2632" s="4" t="s">
        <v>8337</v>
      </c>
      <c r="D2632" s="4" t="s">
        <v>5</v>
      </c>
      <c r="E2632" s="4" t="s">
        <v>6</v>
      </c>
      <c r="F2632" s="4" t="s">
        <v>28</v>
      </c>
      <c r="G2632" s="4" t="s">
        <v>5718</v>
      </c>
      <c r="H2632" s="4" t="s">
        <v>80</v>
      </c>
      <c r="I2632" s="5" t="str">
        <f>IFERROR(VLOOKUP(Consulta1[[#This Row],[Pozo largo]],'Lista YPF'!$B$3:$C$358,2,FALSE),"NO")</f>
        <v>En lista de Abandono</v>
      </c>
      <c r="J2632" s="5" t="str">
        <f>IFERROR(VLOOKUP(Consulta1[[#This Row],[Pozo]],'Lista Oportunidades'!B:C,2,FALSE),"NO")</f>
        <v>NO</v>
      </c>
      <c r="K2632" s="5">
        <f>IFERROR(VLOOKUP(Consulta1[[#This Row],[Pozo largo]],Controles!B:H,7,FALSE),"NO")</f>
        <v>0</v>
      </c>
      <c r="L2632" s="5">
        <f>IFERROR(VLOOKUP(Consulta1[[#This Row],[Pozo largo]],Controles!B:J,9,FALSE),"NO")</f>
        <v>0</v>
      </c>
    </row>
    <row r="2633" spans="2:12" x14ac:dyDescent="0.35">
      <c r="B2633" s="4" t="s">
        <v>5033</v>
      </c>
      <c r="C2633" s="4" t="s">
        <v>8338</v>
      </c>
      <c r="D2633" s="4" t="s">
        <v>5</v>
      </c>
      <c r="E2633" s="4" t="s">
        <v>24</v>
      </c>
      <c r="F2633" s="4" t="s">
        <v>25</v>
      </c>
      <c r="G2633" s="4" t="s">
        <v>8</v>
      </c>
      <c r="H2633" s="4" t="s">
        <v>86</v>
      </c>
      <c r="I2633" s="5" t="str">
        <f>IFERROR(VLOOKUP(Consulta1[[#This Row],[Pozo largo]],'Lista YPF'!$B$3:$C$358,2,FALSE),"NO")</f>
        <v>NO</v>
      </c>
      <c r="J2633" s="5" t="str">
        <f>IFERROR(VLOOKUP(Consulta1[[#This Row],[Pozo]],'Lista Oportunidades'!B:C,2,FALSE),"NO")</f>
        <v>NO</v>
      </c>
      <c r="K2633" s="5">
        <f>IFERROR(VLOOKUP(Consulta1[[#This Row],[Pozo largo]],Controles!B:H,7,FALSE),"NO")</f>
        <v>0.18</v>
      </c>
      <c r="L2633" s="5">
        <f>IFERROR(VLOOKUP(Consulta1[[#This Row],[Pozo largo]],Controles!B:J,9,FALSE),"NO")</f>
        <v>0</v>
      </c>
    </row>
    <row r="2634" spans="2:12" x14ac:dyDescent="0.35">
      <c r="B2634" s="4" t="s">
        <v>5035</v>
      </c>
      <c r="C2634" s="4" t="s">
        <v>8339</v>
      </c>
      <c r="D2634" s="4" t="s">
        <v>5</v>
      </c>
      <c r="E2634" s="4" t="s">
        <v>12</v>
      </c>
      <c r="F2634" s="4" t="s">
        <v>7</v>
      </c>
      <c r="G2634" s="4" t="s">
        <v>13</v>
      </c>
      <c r="H2634" s="4" t="s">
        <v>86</v>
      </c>
      <c r="I2634" s="5" t="str">
        <f>IFERROR(VLOOKUP(Consulta1[[#This Row],[Pozo largo]],'Lista YPF'!$B$3:$C$358,2,FALSE),"NO")</f>
        <v>NO</v>
      </c>
      <c r="J2634" s="5" t="str">
        <f>IFERROR(VLOOKUP(Consulta1[[#This Row],[Pozo]],'Lista Oportunidades'!B:C,2,FALSE),"NO")</f>
        <v>NO</v>
      </c>
      <c r="K2634" s="5">
        <f>IFERROR(VLOOKUP(Consulta1[[#This Row],[Pozo largo]],Controles!B:H,7,FALSE),"NO")</f>
        <v>1.419</v>
      </c>
      <c r="L2634" s="5">
        <f>IFERROR(VLOOKUP(Consulta1[[#This Row],[Pozo largo]],Controles!B:J,9,FALSE),"NO")</f>
        <v>0</v>
      </c>
    </row>
    <row r="2635" spans="2:12" x14ac:dyDescent="0.35">
      <c r="B2635" s="4" t="s">
        <v>5037</v>
      </c>
      <c r="C2635" s="4" t="s">
        <v>8340</v>
      </c>
      <c r="D2635" s="4" t="s">
        <v>5</v>
      </c>
      <c r="E2635" s="4" t="s">
        <v>12</v>
      </c>
      <c r="F2635" s="4" t="s">
        <v>7</v>
      </c>
      <c r="G2635" s="4" t="s">
        <v>13</v>
      </c>
      <c r="H2635" s="4" t="s">
        <v>86</v>
      </c>
      <c r="I2635" s="5" t="str">
        <f>IFERROR(VLOOKUP(Consulta1[[#This Row],[Pozo largo]],'Lista YPF'!$B$3:$C$358,2,FALSE),"NO")</f>
        <v>NO</v>
      </c>
      <c r="J2635" s="5" t="str">
        <f>IFERROR(VLOOKUP(Consulta1[[#This Row],[Pozo]],'Lista Oportunidades'!B:C,2,FALSE),"NO")</f>
        <v>NO</v>
      </c>
      <c r="K2635" s="5">
        <f>IFERROR(VLOOKUP(Consulta1[[#This Row],[Pozo largo]],Controles!B:H,7,FALSE),"NO")</f>
        <v>0.8</v>
      </c>
      <c r="L2635" s="5">
        <f>IFERROR(VLOOKUP(Consulta1[[#This Row],[Pozo largo]],Controles!B:J,9,FALSE),"NO")</f>
        <v>0</v>
      </c>
    </row>
    <row r="2636" spans="2:12" x14ac:dyDescent="0.35">
      <c r="B2636" s="4" t="s">
        <v>5039</v>
      </c>
      <c r="C2636" s="4" t="s">
        <v>8341</v>
      </c>
      <c r="D2636" s="4" t="s">
        <v>5</v>
      </c>
      <c r="E2636" s="4" t="s">
        <v>30</v>
      </c>
      <c r="F2636" s="4" t="s">
        <v>31</v>
      </c>
      <c r="G2636" s="4" t="s">
        <v>32</v>
      </c>
      <c r="H2636" s="4" t="s">
        <v>86</v>
      </c>
      <c r="I2636" s="5" t="str">
        <f>IFERROR(VLOOKUP(Consulta1[[#This Row],[Pozo largo]],'Lista YPF'!$B$3:$C$358,2,FALSE),"NO")</f>
        <v>NO</v>
      </c>
      <c r="J2636" s="5" t="str">
        <f>IFERROR(VLOOKUP(Consulta1[[#This Row],[Pozo]],'Lista Oportunidades'!B:C,2,FALSE),"NO")</f>
        <v>NO</v>
      </c>
      <c r="K2636" s="5">
        <f>IFERROR(VLOOKUP(Consulta1[[#This Row],[Pozo largo]],Controles!B:H,7,FALSE),"NO")</f>
        <v>0</v>
      </c>
      <c r="L2636" s="5">
        <f>IFERROR(VLOOKUP(Consulta1[[#This Row],[Pozo largo]],Controles!B:J,9,FALSE),"NO")</f>
        <v>0</v>
      </c>
    </row>
    <row r="2637" spans="2:12" x14ac:dyDescent="0.35">
      <c r="B2637" s="4" t="s">
        <v>5041</v>
      </c>
      <c r="C2637" s="4" t="s">
        <v>8342</v>
      </c>
      <c r="D2637" s="4" t="s">
        <v>5</v>
      </c>
      <c r="E2637" s="4" t="s">
        <v>6</v>
      </c>
      <c r="F2637" s="4" t="s">
        <v>7</v>
      </c>
      <c r="G2637" s="4" t="s">
        <v>5718</v>
      </c>
      <c r="H2637" s="4" t="s">
        <v>86</v>
      </c>
      <c r="I2637" s="5" t="str">
        <f>IFERROR(VLOOKUP(Consulta1[[#This Row],[Pozo largo]],'Lista YPF'!$B$3:$C$358,2,FALSE),"NO")</f>
        <v>En lista de Abandono</v>
      </c>
      <c r="J2637" s="5" t="str">
        <f>IFERROR(VLOOKUP(Consulta1[[#This Row],[Pozo]],'Lista Oportunidades'!B:C,2,FALSE),"NO")</f>
        <v>NO</v>
      </c>
      <c r="K2637" s="5">
        <f>IFERROR(VLOOKUP(Consulta1[[#This Row],[Pozo largo]],Controles!B:H,7,FALSE),"NO")</f>
        <v>0.8</v>
      </c>
      <c r="L2637" s="5" t="str">
        <f>IFERROR(VLOOKUP(Consulta1[[#This Row],[Pozo largo]],Controles!B:J,9,FALSE),"NO")</f>
        <v>Ultimo Año</v>
      </c>
    </row>
    <row r="2638" spans="2:12" x14ac:dyDescent="0.35">
      <c r="B2638" s="4" t="s">
        <v>5043</v>
      </c>
      <c r="C2638" s="4" t="s">
        <v>8343</v>
      </c>
      <c r="D2638" s="4" t="s">
        <v>5</v>
      </c>
      <c r="E2638" s="4" t="s">
        <v>30</v>
      </c>
      <c r="F2638" s="4" t="s">
        <v>31</v>
      </c>
      <c r="G2638" s="4" t="s">
        <v>32</v>
      </c>
      <c r="H2638" s="4" t="s">
        <v>80</v>
      </c>
      <c r="I2638" s="5" t="str">
        <f>IFERROR(VLOOKUP(Consulta1[[#This Row],[Pozo largo]],'Lista YPF'!$B$3:$C$358,2,FALSE),"NO")</f>
        <v>NO</v>
      </c>
      <c r="J2638" s="5" t="str">
        <f>IFERROR(VLOOKUP(Consulta1[[#This Row],[Pozo]],'Lista Oportunidades'!B:C,2,FALSE),"NO")</f>
        <v>NO</v>
      </c>
      <c r="K2638" s="5">
        <f>IFERROR(VLOOKUP(Consulta1[[#This Row],[Pozo largo]],Controles!B:H,7,FALSE),"NO")</f>
        <v>0</v>
      </c>
      <c r="L2638" s="5">
        <f>IFERROR(VLOOKUP(Consulta1[[#This Row],[Pozo largo]],Controles!B:J,9,FALSE),"NO")</f>
        <v>0</v>
      </c>
    </row>
    <row r="2639" spans="2:12" x14ac:dyDescent="0.35">
      <c r="B2639" s="4" t="s">
        <v>5045</v>
      </c>
      <c r="C2639" s="4" t="s">
        <v>8344</v>
      </c>
      <c r="D2639" s="4" t="s">
        <v>5</v>
      </c>
      <c r="E2639" s="4" t="s">
        <v>24</v>
      </c>
      <c r="F2639" s="4" t="s">
        <v>7</v>
      </c>
      <c r="G2639" s="4" t="s">
        <v>8</v>
      </c>
      <c r="H2639" s="4" t="s">
        <v>71</v>
      </c>
      <c r="I2639" s="5" t="str">
        <f>IFERROR(VLOOKUP(Consulta1[[#This Row],[Pozo largo]],'Lista YPF'!$B$3:$C$358,2,FALSE),"NO")</f>
        <v>NO</v>
      </c>
      <c r="J2639" s="5" t="str">
        <f>IFERROR(VLOOKUP(Consulta1[[#This Row],[Pozo]],'Lista Oportunidades'!B:C,2,FALSE),"NO")</f>
        <v>NO</v>
      </c>
      <c r="K2639" s="5">
        <f>IFERROR(VLOOKUP(Consulta1[[#This Row],[Pozo largo]],Controles!B:H,7,FALSE),"NO")</f>
        <v>0.8</v>
      </c>
      <c r="L2639" s="5">
        <f>IFERROR(VLOOKUP(Consulta1[[#This Row],[Pozo largo]],Controles!B:J,9,FALSE),"NO")</f>
        <v>0</v>
      </c>
    </row>
    <row r="2640" spans="2:12" x14ac:dyDescent="0.35">
      <c r="B2640" s="4" t="s">
        <v>5047</v>
      </c>
      <c r="C2640" s="4" t="s">
        <v>8345</v>
      </c>
      <c r="D2640" s="4" t="s">
        <v>5</v>
      </c>
      <c r="E2640" s="4" t="s">
        <v>6</v>
      </c>
      <c r="F2640" s="4" t="s">
        <v>28</v>
      </c>
      <c r="G2640" s="4" t="s">
        <v>8</v>
      </c>
      <c r="H2640" s="4" t="s">
        <v>71</v>
      </c>
      <c r="I2640" s="5" t="str">
        <f>IFERROR(VLOOKUP(Consulta1[[#This Row],[Pozo largo]],'Lista YPF'!$B$3:$C$358,2,FALSE),"NO")</f>
        <v>NO</v>
      </c>
      <c r="J2640" s="5" t="str">
        <f>IFERROR(VLOOKUP(Consulta1[[#This Row],[Pozo]],'Lista Oportunidades'!B:C,2,FALSE),"NO")</f>
        <v>NO</v>
      </c>
      <c r="K2640" s="5">
        <f>IFERROR(VLOOKUP(Consulta1[[#This Row],[Pozo largo]],Controles!B:H,7,FALSE),"NO")</f>
        <v>0</v>
      </c>
      <c r="L2640" s="5">
        <f>IFERROR(VLOOKUP(Consulta1[[#This Row],[Pozo largo]],Controles!B:J,9,FALSE),"NO")</f>
        <v>0</v>
      </c>
    </row>
    <row r="2641" spans="2:12" x14ac:dyDescent="0.35">
      <c r="B2641" s="4" t="s">
        <v>5049</v>
      </c>
      <c r="C2641" s="4" t="s">
        <v>8346</v>
      </c>
      <c r="D2641" s="4" t="s">
        <v>5</v>
      </c>
      <c r="E2641" s="4" t="s">
        <v>24</v>
      </c>
      <c r="F2641" s="4" t="s">
        <v>31</v>
      </c>
      <c r="G2641" s="4" t="s">
        <v>8</v>
      </c>
      <c r="H2641" s="4" t="s">
        <v>185</v>
      </c>
      <c r="I2641" s="5" t="str">
        <f>IFERROR(VLOOKUP(Consulta1[[#This Row],[Pozo largo]],'Lista YPF'!$B$3:$C$358,2,FALSE),"NO")</f>
        <v>NO</v>
      </c>
      <c r="J2641" s="5" t="str">
        <f>IFERROR(VLOOKUP(Consulta1[[#This Row],[Pozo]],'Lista Oportunidades'!B:C,2,FALSE),"NO")</f>
        <v>NO</v>
      </c>
      <c r="K2641" s="5">
        <f>IFERROR(VLOOKUP(Consulta1[[#This Row],[Pozo largo]],Controles!B:H,7,FALSE),"NO")</f>
        <v>0.5</v>
      </c>
      <c r="L2641" s="5">
        <f>IFERROR(VLOOKUP(Consulta1[[#This Row],[Pozo largo]],Controles!B:J,9,FALSE),"NO")</f>
        <v>0</v>
      </c>
    </row>
    <row r="2642" spans="2:12" x14ac:dyDescent="0.35">
      <c r="B2642" s="4" t="s">
        <v>5051</v>
      </c>
      <c r="C2642" s="4" t="s">
        <v>8347</v>
      </c>
      <c r="D2642" s="4" t="s">
        <v>5</v>
      </c>
      <c r="E2642" s="4" t="s">
        <v>24</v>
      </c>
      <c r="F2642" s="4" t="s">
        <v>31</v>
      </c>
      <c r="G2642" s="4" t="s">
        <v>8</v>
      </c>
      <c r="H2642" s="4" t="s">
        <v>71</v>
      </c>
      <c r="I2642" s="5" t="str">
        <f>IFERROR(VLOOKUP(Consulta1[[#This Row],[Pozo largo]],'Lista YPF'!$B$3:$C$358,2,FALSE),"NO")</f>
        <v>NO</v>
      </c>
      <c r="J2642" s="5" t="str">
        <f>IFERROR(VLOOKUP(Consulta1[[#This Row],[Pozo]],'Lista Oportunidades'!B:C,2,FALSE),"NO")</f>
        <v>NO</v>
      </c>
      <c r="K2642" s="5">
        <f>IFERROR(VLOOKUP(Consulta1[[#This Row],[Pozo largo]],Controles!B:H,7,FALSE),"NO")</f>
        <v>0.24</v>
      </c>
      <c r="L2642" s="5">
        <f>IFERROR(VLOOKUP(Consulta1[[#This Row],[Pozo largo]],Controles!B:J,9,FALSE),"NO")</f>
        <v>0</v>
      </c>
    </row>
    <row r="2643" spans="2:12" x14ac:dyDescent="0.35">
      <c r="B2643" s="4" t="s">
        <v>5053</v>
      </c>
      <c r="C2643" s="4" t="s">
        <v>8348</v>
      </c>
      <c r="D2643" s="4" t="s">
        <v>5</v>
      </c>
      <c r="E2643" s="4" t="s">
        <v>30</v>
      </c>
      <c r="F2643" s="4" t="s">
        <v>31</v>
      </c>
      <c r="G2643" s="4" t="s">
        <v>32</v>
      </c>
      <c r="H2643" s="4" t="s">
        <v>74</v>
      </c>
      <c r="I2643" s="5" t="str">
        <f>IFERROR(VLOOKUP(Consulta1[[#This Row],[Pozo largo]],'Lista YPF'!$B$3:$C$358,2,FALSE),"NO")</f>
        <v>NO</v>
      </c>
      <c r="J2643" s="5" t="str">
        <f>IFERROR(VLOOKUP(Consulta1[[#This Row],[Pozo]],'Lista Oportunidades'!B:C,2,FALSE),"NO")</f>
        <v>NO</v>
      </c>
      <c r="K2643" s="5">
        <f>IFERROR(VLOOKUP(Consulta1[[#This Row],[Pozo largo]],Controles!B:H,7,FALSE),"NO")</f>
        <v>0</v>
      </c>
      <c r="L2643" s="5">
        <f>IFERROR(VLOOKUP(Consulta1[[#This Row],[Pozo largo]],Controles!B:J,9,FALSE),"NO")</f>
        <v>0</v>
      </c>
    </row>
    <row r="2644" spans="2:12" x14ac:dyDescent="0.35">
      <c r="B2644" s="4" t="s">
        <v>5055</v>
      </c>
      <c r="C2644" s="4" t="s">
        <v>8349</v>
      </c>
      <c r="D2644" s="4" t="s">
        <v>5</v>
      </c>
      <c r="E2644" s="4" t="s">
        <v>430</v>
      </c>
      <c r="F2644" s="4" t="s">
        <v>7</v>
      </c>
      <c r="G2644" s="4" t="s">
        <v>5718</v>
      </c>
      <c r="H2644" s="4" t="s">
        <v>86</v>
      </c>
      <c r="I2644" s="5" t="str">
        <f>IFERROR(VLOOKUP(Consulta1[[#This Row],[Pozo largo]],'Lista YPF'!$B$3:$C$358,2,FALSE),"NO")</f>
        <v>En lista de Abandono</v>
      </c>
      <c r="J2644" s="5" t="str">
        <f>IFERROR(VLOOKUP(Consulta1[[#This Row],[Pozo]],'Lista Oportunidades'!B:C,2,FALSE),"NO")</f>
        <v>NO</v>
      </c>
      <c r="K2644" s="5">
        <f>IFERROR(VLOOKUP(Consulta1[[#This Row],[Pozo largo]],Controles!B:H,7,FALSE),"NO")</f>
        <v>0.61499999999999999</v>
      </c>
      <c r="L2644" s="5">
        <f>IFERROR(VLOOKUP(Consulta1[[#This Row],[Pozo largo]],Controles!B:J,9,FALSE),"NO")</f>
        <v>0</v>
      </c>
    </row>
    <row r="2645" spans="2:12" x14ac:dyDescent="0.35">
      <c r="B2645" s="4" t="s">
        <v>5057</v>
      </c>
      <c r="C2645" s="4" t="s">
        <v>8350</v>
      </c>
      <c r="D2645" s="4" t="s">
        <v>5</v>
      </c>
      <c r="E2645" s="4" t="s">
        <v>24</v>
      </c>
      <c r="F2645" s="4" t="s">
        <v>7</v>
      </c>
      <c r="G2645" s="4" t="s">
        <v>8</v>
      </c>
      <c r="H2645" s="4" t="s">
        <v>86</v>
      </c>
      <c r="I2645" s="5" t="str">
        <f>IFERROR(VLOOKUP(Consulta1[[#This Row],[Pozo largo]],'Lista YPF'!$B$3:$C$358,2,FALSE),"NO")</f>
        <v>NO</v>
      </c>
      <c r="J2645" s="5" t="str">
        <f>IFERROR(VLOOKUP(Consulta1[[#This Row],[Pozo]],'Lista Oportunidades'!B:C,2,FALSE),"NO")</f>
        <v>NO</v>
      </c>
      <c r="K2645" s="5">
        <f>IFERROR(VLOOKUP(Consulta1[[#This Row],[Pozo largo]],Controles!B:H,7,FALSE),"NO")</f>
        <v>0.42900000000000005</v>
      </c>
      <c r="L2645" s="5">
        <f>IFERROR(VLOOKUP(Consulta1[[#This Row],[Pozo largo]],Controles!B:J,9,FALSE),"NO")</f>
        <v>0</v>
      </c>
    </row>
    <row r="2646" spans="2:12" x14ac:dyDescent="0.35">
      <c r="B2646" s="4" t="s">
        <v>5059</v>
      </c>
      <c r="C2646" s="4" t="s">
        <v>8351</v>
      </c>
      <c r="D2646" s="4" t="s">
        <v>5</v>
      </c>
      <c r="E2646" s="4" t="s">
        <v>12</v>
      </c>
      <c r="F2646" s="4" t="s">
        <v>25</v>
      </c>
      <c r="G2646" s="4" t="s">
        <v>13</v>
      </c>
      <c r="H2646" s="4" t="s">
        <v>84</v>
      </c>
      <c r="I2646" s="5" t="str">
        <f>IFERROR(VLOOKUP(Consulta1[[#This Row],[Pozo largo]],'Lista YPF'!$B$3:$C$358,2,FALSE),"NO")</f>
        <v>NO</v>
      </c>
      <c r="J2646" s="5" t="str">
        <f>IFERROR(VLOOKUP(Consulta1[[#This Row],[Pozo]],'Lista Oportunidades'!B:C,2,FALSE),"NO")</f>
        <v>NO</v>
      </c>
      <c r="K2646" s="5">
        <f>IFERROR(VLOOKUP(Consulta1[[#This Row],[Pozo largo]],Controles!B:H,7,FALSE),"NO")</f>
        <v>0.10400000000000001</v>
      </c>
      <c r="L2646" s="5">
        <f>IFERROR(VLOOKUP(Consulta1[[#This Row],[Pozo largo]],Controles!B:J,9,FALSE),"NO")</f>
        <v>0</v>
      </c>
    </row>
    <row r="2647" spans="2:12" x14ac:dyDescent="0.35">
      <c r="B2647" s="4" t="s">
        <v>5061</v>
      </c>
      <c r="C2647" s="4" t="s">
        <v>8352</v>
      </c>
      <c r="D2647" s="4" t="s">
        <v>5</v>
      </c>
      <c r="E2647" s="4" t="s">
        <v>309</v>
      </c>
      <c r="F2647" s="4" t="s">
        <v>28</v>
      </c>
      <c r="G2647" s="4" t="s">
        <v>5718</v>
      </c>
      <c r="H2647" s="4" t="s">
        <v>80</v>
      </c>
      <c r="I2647" s="5" t="str">
        <f>IFERROR(VLOOKUP(Consulta1[[#This Row],[Pozo largo]],'Lista YPF'!$B$3:$C$358,2,FALSE),"NO")</f>
        <v>En lista de Abandono</v>
      </c>
      <c r="J2647" s="5" t="str">
        <f>IFERROR(VLOOKUP(Consulta1[[#This Row],[Pozo]],'Lista Oportunidades'!B:C,2,FALSE),"NO")</f>
        <v>NO</v>
      </c>
      <c r="K2647" s="5">
        <f>IFERROR(VLOOKUP(Consulta1[[#This Row],[Pozo largo]],Controles!B:H,7,FALSE),"NO")</f>
        <v>0</v>
      </c>
      <c r="L2647" s="5">
        <f>IFERROR(VLOOKUP(Consulta1[[#This Row],[Pozo largo]],Controles!B:J,9,FALSE),"NO")</f>
        <v>0</v>
      </c>
    </row>
    <row r="2648" spans="2:12" x14ac:dyDescent="0.35">
      <c r="B2648" s="4" t="s">
        <v>5063</v>
      </c>
      <c r="C2648" s="4" t="s">
        <v>8353</v>
      </c>
      <c r="D2648" s="4" t="s">
        <v>5</v>
      </c>
      <c r="E2648" s="4" t="s">
        <v>12</v>
      </c>
      <c r="F2648" s="4" t="s">
        <v>7</v>
      </c>
      <c r="G2648" s="4" t="s">
        <v>13</v>
      </c>
      <c r="H2648" s="4" t="s">
        <v>86</v>
      </c>
      <c r="I2648" s="5" t="str">
        <f>IFERROR(VLOOKUP(Consulta1[[#This Row],[Pozo largo]],'Lista YPF'!$B$3:$C$358,2,FALSE),"NO")</f>
        <v>NO</v>
      </c>
      <c r="J2648" s="5" t="str">
        <f>IFERROR(VLOOKUP(Consulta1[[#This Row],[Pozo]],'Lista Oportunidades'!B:C,2,FALSE),"NO")</f>
        <v>NO</v>
      </c>
      <c r="K2648" s="5">
        <f>IFERROR(VLOOKUP(Consulta1[[#This Row],[Pozo largo]],Controles!B:H,7,FALSE),"NO")</f>
        <v>1.0370000000000001</v>
      </c>
      <c r="L2648" s="5">
        <f>IFERROR(VLOOKUP(Consulta1[[#This Row],[Pozo largo]],Controles!B:J,9,FALSE),"NO")</f>
        <v>0</v>
      </c>
    </row>
    <row r="2649" spans="2:12" x14ac:dyDescent="0.35">
      <c r="B2649" s="4" t="s">
        <v>5065</v>
      </c>
      <c r="C2649" s="4" t="s">
        <v>8354</v>
      </c>
      <c r="D2649" s="4" t="s">
        <v>5</v>
      </c>
      <c r="E2649" s="4" t="s">
        <v>24</v>
      </c>
      <c r="F2649" s="4" t="s">
        <v>25</v>
      </c>
      <c r="G2649" s="4" t="s">
        <v>8</v>
      </c>
      <c r="H2649" s="4" t="s">
        <v>91</v>
      </c>
      <c r="I2649" s="5" t="str">
        <f>IFERROR(VLOOKUP(Consulta1[[#This Row],[Pozo largo]],'Lista YPF'!$B$3:$C$358,2,FALSE),"NO")</f>
        <v>NO</v>
      </c>
      <c r="J2649" s="5" t="str">
        <f>IFERROR(VLOOKUP(Consulta1[[#This Row],[Pozo]],'Lista Oportunidades'!B:C,2,FALSE),"NO")</f>
        <v>NO</v>
      </c>
      <c r="K2649" s="5">
        <f>IFERROR(VLOOKUP(Consulta1[[#This Row],[Pozo largo]],Controles!B:H,7,FALSE),"NO")</f>
        <v>9.7000000000000003E-2</v>
      </c>
      <c r="L2649" s="5">
        <f>IFERROR(VLOOKUP(Consulta1[[#This Row],[Pozo largo]],Controles!B:J,9,FALSE),"NO")</f>
        <v>0</v>
      </c>
    </row>
    <row r="2650" spans="2:12" x14ac:dyDescent="0.35">
      <c r="B2650" s="4" t="s">
        <v>5067</v>
      </c>
      <c r="C2650" s="4" t="s">
        <v>8355</v>
      </c>
      <c r="D2650" s="4" t="s">
        <v>5</v>
      </c>
      <c r="E2650" s="4" t="s">
        <v>12</v>
      </c>
      <c r="F2650" s="4" t="s">
        <v>7</v>
      </c>
      <c r="G2650" s="4" t="s">
        <v>13</v>
      </c>
      <c r="H2650" s="4" t="s">
        <v>80</v>
      </c>
      <c r="I2650" s="5" t="str">
        <f>IFERROR(VLOOKUP(Consulta1[[#This Row],[Pozo largo]],'Lista YPF'!$B$3:$C$358,2,FALSE),"NO")</f>
        <v>NO</v>
      </c>
      <c r="J2650" s="5" t="str">
        <f>IFERROR(VLOOKUP(Consulta1[[#This Row],[Pozo]],'Lista Oportunidades'!B:C,2,FALSE),"NO")</f>
        <v>NO</v>
      </c>
      <c r="K2650" s="5">
        <f>IFERROR(VLOOKUP(Consulta1[[#This Row],[Pozo largo]],Controles!B:H,7,FALSE),"NO")</f>
        <v>1.47</v>
      </c>
      <c r="L2650" s="5">
        <f>IFERROR(VLOOKUP(Consulta1[[#This Row],[Pozo largo]],Controles!B:J,9,FALSE),"NO")</f>
        <v>0</v>
      </c>
    </row>
    <row r="2651" spans="2:12" x14ac:dyDescent="0.35">
      <c r="B2651" s="4" t="s">
        <v>5069</v>
      </c>
      <c r="C2651" s="4" t="s">
        <v>8356</v>
      </c>
      <c r="D2651" s="4" t="s">
        <v>5</v>
      </c>
      <c r="E2651" s="4" t="s">
        <v>12</v>
      </c>
      <c r="F2651" s="4" t="s">
        <v>7</v>
      </c>
      <c r="G2651" s="4" t="s">
        <v>13</v>
      </c>
      <c r="H2651" s="4" t="s">
        <v>71</v>
      </c>
      <c r="I2651" s="5" t="str">
        <f>IFERROR(VLOOKUP(Consulta1[[#This Row],[Pozo largo]],'Lista YPF'!$B$3:$C$358,2,FALSE),"NO")</f>
        <v>NO</v>
      </c>
      <c r="J2651" s="5" t="str">
        <f>IFERROR(VLOOKUP(Consulta1[[#This Row],[Pozo]],'Lista Oportunidades'!B:C,2,FALSE),"NO")</f>
        <v>NO</v>
      </c>
      <c r="K2651" s="5">
        <f>IFERROR(VLOOKUP(Consulta1[[#This Row],[Pozo largo]],Controles!B:H,7,FALSE),"NO")</f>
        <v>1.05</v>
      </c>
      <c r="L2651" s="5">
        <f>IFERROR(VLOOKUP(Consulta1[[#This Row],[Pozo largo]],Controles!B:J,9,FALSE),"NO")</f>
        <v>0</v>
      </c>
    </row>
    <row r="2652" spans="2:12" x14ac:dyDescent="0.35">
      <c r="B2652" s="4" t="s">
        <v>5071</v>
      </c>
      <c r="C2652" s="4" t="s">
        <v>8357</v>
      </c>
      <c r="D2652" s="4" t="s">
        <v>5</v>
      </c>
      <c r="E2652" s="4" t="s">
        <v>12</v>
      </c>
      <c r="F2652" s="4" t="s">
        <v>7</v>
      </c>
      <c r="G2652" s="4" t="s">
        <v>13</v>
      </c>
      <c r="H2652" s="4" t="s">
        <v>185</v>
      </c>
      <c r="I2652" s="5" t="str">
        <f>IFERROR(VLOOKUP(Consulta1[[#This Row],[Pozo largo]],'Lista YPF'!$B$3:$C$358,2,FALSE),"NO")</f>
        <v>NO</v>
      </c>
      <c r="J2652" s="5" t="str">
        <f>IFERROR(VLOOKUP(Consulta1[[#This Row],[Pozo]],'Lista Oportunidades'!B:C,2,FALSE),"NO")</f>
        <v>NO</v>
      </c>
      <c r="K2652" s="5">
        <f>IFERROR(VLOOKUP(Consulta1[[#This Row],[Pozo largo]],Controles!B:H,7,FALSE),"NO")</f>
        <v>0.16500000000000001</v>
      </c>
      <c r="L2652" s="5">
        <f>IFERROR(VLOOKUP(Consulta1[[#This Row],[Pozo largo]],Controles!B:J,9,FALSE),"NO")</f>
        <v>0</v>
      </c>
    </row>
    <row r="2653" spans="2:12" x14ac:dyDescent="0.35">
      <c r="B2653" s="4" t="s">
        <v>5073</v>
      </c>
      <c r="C2653" s="4" t="s">
        <v>8358</v>
      </c>
      <c r="D2653" s="4" t="s">
        <v>5</v>
      </c>
      <c r="E2653" s="4" t="s">
        <v>24</v>
      </c>
      <c r="F2653" s="4" t="s">
        <v>31</v>
      </c>
      <c r="G2653" s="4" t="s">
        <v>8</v>
      </c>
      <c r="H2653" s="4" t="s">
        <v>16</v>
      </c>
      <c r="I2653" s="5" t="str">
        <f>IFERROR(VLOOKUP(Consulta1[[#This Row],[Pozo largo]],'Lista YPF'!$B$3:$C$358,2,FALSE),"NO")</f>
        <v>NO</v>
      </c>
      <c r="J2653" s="5" t="str">
        <f>IFERROR(VLOOKUP(Consulta1[[#This Row],[Pozo]],'Lista Oportunidades'!B:C,2,FALSE),"NO")</f>
        <v>NO</v>
      </c>
      <c r="K2653" s="5">
        <f>IFERROR(VLOOKUP(Consulta1[[#This Row],[Pozo largo]],Controles!B:H,7,FALSE),"NO")</f>
        <v>0</v>
      </c>
      <c r="L2653" s="5">
        <f>IFERROR(VLOOKUP(Consulta1[[#This Row],[Pozo largo]],Controles!B:J,9,FALSE),"NO")</f>
        <v>0</v>
      </c>
    </row>
    <row r="2654" spans="2:12" x14ac:dyDescent="0.35">
      <c r="B2654" s="4" t="s">
        <v>5075</v>
      </c>
      <c r="C2654" s="4" t="s">
        <v>8359</v>
      </c>
      <c r="D2654" s="4" t="s">
        <v>5</v>
      </c>
      <c r="E2654" s="4" t="s">
        <v>30</v>
      </c>
      <c r="F2654" s="4" t="s">
        <v>31</v>
      </c>
      <c r="G2654" s="4" t="s">
        <v>32</v>
      </c>
      <c r="H2654" s="4" t="s">
        <v>66</v>
      </c>
      <c r="I2654" s="5" t="str">
        <f>IFERROR(VLOOKUP(Consulta1[[#This Row],[Pozo largo]],'Lista YPF'!$B$3:$C$358,2,FALSE),"NO")</f>
        <v>NO</v>
      </c>
      <c r="J2654" s="5" t="str">
        <f>IFERROR(VLOOKUP(Consulta1[[#This Row],[Pozo]],'Lista Oportunidades'!B:C,2,FALSE),"NO")</f>
        <v>NO</v>
      </c>
      <c r="K2654" s="5">
        <f>IFERROR(VLOOKUP(Consulta1[[#This Row],[Pozo largo]],Controles!B:H,7,FALSE),"NO")</f>
        <v>7.8E-2</v>
      </c>
      <c r="L2654" s="5">
        <f>IFERROR(VLOOKUP(Consulta1[[#This Row],[Pozo largo]],Controles!B:J,9,FALSE),"NO")</f>
        <v>0</v>
      </c>
    </row>
    <row r="2655" spans="2:12" x14ac:dyDescent="0.35">
      <c r="B2655" s="4" t="s">
        <v>5077</v>
      </c>
      <c r="C2655" s="4" t="s">
        <v>8360</v>
      </c>
      <c r="D2655" s="4" t="s">
        <v>5</v>
      </c>
      <c r="E2655" s="4" t="s">
        <v>30</v>
      </c>
      <c r="F2655" s="4" t="s">
        <v>31</v>
      </c>
      <c r="G2655" s="4" t="s">
        <v>32</v>
      </c>
      <c r="H2655" s="4" t="s">
        <v>80</v>
      </c>
      <c r="I2655" s="5" t="str">
        <f>IFERROR(VLOOKUP(Consulta1[[#This Row],[Pozo largo]],'Lista YPF'!$B$3:$C$358,2,FALSE),"NO")</f>
        <v>NO</v>
      </c>
      <c r="J2655" s="5" t="str">
        <f>IFERROR(VLOOKUP(Consulta1[[#This Row],[Pozo]],'Lista Oportunidades'!B:C,2,FALSE),"NO")</f>
        <v>NO</v>
      </c>
      <c r="K2655" s="5" t="str">
        <f>IFERROR(VLOOKUP(Consulta1[[#This Row],[Pozo largo]],Controles!B:H,7,FALSE),"NO")</f>
        <v>NO</v>
      </c>
      <c r="L2655" s="5" t="str">
        <f>IFERROR(VLOOKUP(Consulta1[[#This Row],[Pozo largo]],Controles!B:J,9,FALSE),"NO")</f>
        <v>NO</v>
      </c>
    </row>
    <row r="2656" spans="2:12" x14ac:dyDescent="0.35">
      <c r="B2656" s="4" t="s">
        <v>5078</v>
      </c>
      <c r="C2656" s="4" t="s">
        <v>8361</v>
      </c>
      <c r="D2656" s="4" t="s">
        <v>5</v>
      </c>
      <c r="E2656" s="4" t="s">
        <v>12</v>
      </c>
      <c r="F2656" s="4" t="s">
        <v>28</v>
      </c>
      <c r="G2656" s="4" t="s">
        <v>13</v>
      </c>
      <c r="H2656" s="4" t="s">
        <v>71</v>
      </c>
      <c r="I2656" s="5" t="str">
        <f>IFERROR(VLOOKUP(Consulta1[[#This Row],[Pozo largo]],'Lista YPF'!$B$3:$C$358,2,FALSE),"NO")</f>
        <v>NO</v>
      </c>
      <c r="J2656" s="5" t="str">
        <f>IFERROR(VLOOKUP(Consulta1[[#This Row],[Pozo]],'Lista Oportunidades'!B:C,2,FALSE),"NO")</f>
        <v>NO</v>
      </c>
      <c r="K2656" s="5">
        <f>IFERROR(VLOOKUP(Consulta1[[#This Row],[Pozo largo]],Controles!B:H,7,FALSE),"NO")</f>
        <v>0</v>
      </c>
      <c r="L2656" s="5">
        <f>IFERROR(VLOOKUP(Consulta1[[#This Row],[Pozo largo]],Controles!B:J,9,FALSE),"NO")</f>
        <v>0</v>
      </c>
    </row>
    <row r="2657" spans="2:12" x14ac:dyDescent="0.35">
      <c r="B2657" s="4" t="s">
        <v>5080</v>
      </c>
      <c r="C2657" s="4" t="s">
        <v>8362</v>
      </c>
      <c r="D2657" s="4" t="s">
        <v>5</v>
      </c>
      <c r="E2657" s="4" t="s">
        <v>57</v>
      </c>
      <c r="F2657" s="4" t="s">
        <v>31</v>
      </c>
      <c r="G2657" s="4" t="s">
        <v>5718</v>
      </c>
      <c r="H2657" s="4" t="s">
        <v>9</v>
      </c>
      <c r="I2657" s="5" t="str">
        <f>IFERROR(VLOOKUP(Consulta1[[#This Row],[Pozo largo]],'Lista YPF'!$B$3:$C$358,2,FALSE),"NO")</f>
        <v>En lista de Abandono</v>
      </c>
      <c r="J2657" s="5" t="str">
        <f>IFERROR(VLOOKUP(Consulta1[[#This Row],[Pozo]],'Lista Oportunidades'!B:C,2,FALSE),"NO")</f>
        <v>NO</v>
      </c>
      <c r="K2657" s="5">
        <f>IFERROR(VLOOKUP(Consulta1[[#This Row],[Pozo largo]],Controles!B:H,7,FALSE),"NO")</f>
        <v>1.522</v>
      </c>
      <c r="L2657" s="5">
        <f>IFERROR(VLOOKUP(Consulta1[[#This Row],[Pozo largo]],Controles!B:J,9,FALSE),"NO")</f>
        <v>0</v>
      </c>
    </row>
    <row r="2658" spans="2:12" x14ac:dyDescent="0.35">
      <c r="B2658" s="4" t="s">
        <v>5082</v>
      </c>
      <c r="C2658" s="4" t="s">
        <v>8363</v>
      </c>
      <c r="D2658" s="4" t="s">
        <v>5</v>
      </c>
      <c r="E2658" s="4" t="s">
        <v>6</v>
      </c>
      <c r="F2658" s="4" t="s">
        <v>7</v>
      </c>
      <c r="G2658" s="4" t="s">
        <v>5718</v>
      </c>
      <c r="H2658" s="4" t="s">
        <v>149</v>
      </c>
      <c r="I2658" s="5" t="str">
        <f>IFERROR(VLOOKUP(Consulta1[[#This Row],[Pozo largo]],'Lista YPF'!$B$3:$C$358,2,FALSE),"NO")</f>
        <v>En lista de Abandono</v>
      </c>
      <c r="J2658" s="5" t="str">
        <f>IFERROR(VLOOKUP(Consulta1[[#This Row],[Pozo]],'Lista Oportunidades'!B:C,2,FALSE),"NO")</f>
        <v>NO</v>
      </c>
      <c r="K2658" s="5">
        <f>IFERROR(VLOOKUP(Consulta1[[#This Row],[Pozo largo]],Controles!B:H,7,FALSE),"NO")</f>
        <v>1.17</v>
      </c>
      <c r="L2658" s="5">
        <f>IFERROR(VLOOKUP(Consulta1[[#This Row],[Pozo largo]],Controles!B:J,9,FALSE),"NO")</f>
        <v>0</v>
      </c>
    </row>
    <row r="2659" spans="2:12" x14ac:dyDescent="0.35">
      <c r="B2659" s="4" t="s">
        <v>5084</v>
      </c>
      <c r="C2659" s="4" t="s">
        <v>8364</v>
      </c>
      <c r="D2659" s="4" t="s">
        <v>5</v>
      </c>
      <c r="E2659" s="4" t="s">
        <v>12</v>
      </c>
      <c r="F2659" s="4" t="s">
        <v>238</v>
      </c>
      <c r="G2659" s="4" t="s">
        <v>13</v>
      </c>
      <c r="H2659" s="4" t="s">
        <v>9</v>
      </c>
      <c r="I2659" s="5" t="str">
        <f>IFERROR(VLOOKUP(Consulta1[[#This Row],[Pozo largo]],'Lista YPF'!$B$3:$C$358,2,FALSE),"NO")</f>
        <v>NO</v>
      </c>
      <c r="J2659" s="5" t="str">
        <f>IFERROR(VLOOKUP(Consulta1[[#This Row],[Pozo]],'Lista Oportunidades'!B:C,2,FALSE),"NO")</f>
        <v>NO</v>
      </c>
      <c r="K2659" s="5">
        <f>IFERROR(VLOOKUP(Consulta1[[#This Row],[Pozo largo]],Controles!B:H,7,FALSE),"NO")</f>
        <v>1.5</v>
      </c>
      <c r="L2659" s="5">
        <f>IFERROR(VLOOKUP(Consulta1[[#This Row],[Pozo largo]],Controles!B:J,9,FALSE),"NO")</f>
        <v>0</v>
      </c>
    </row>
    <row r="2660" spans="2:12" x14ac:dyDescent="0.35">
      <c r="B2660" s="4" t="s">
        <v>5086</v>
      </c>
      <c r="C2660" s="4" t="s">
        <v>8365</v>
      </c>
      <c r="D2660" s="4" t="s">
        <v>5</v>
      </c>
      <c r="E2660" s="4" t="s">
        <v>12</v>
      </c>
      <c r="F2660" s="4" t="s">
        <v>7</v>
      </c>
      <c r="G2660" s="4" t="s">
        <v>13</v>
      </c>
      <c r="H2660" s="4" t="s">
        <v>9</v>
      </c>
      <c r="I2660" s="5" t="str">
        <f>IFERROR(VLOOKUP(Consulta1[[#This Row],[Pozo largo]],'Lista YPF'!$B$3:$C$358,2,FALSE),"NO")</f>
        <v>NO</v>
      </c>
      <c r="J2660" s="5" t="str">
        <f>IFERROR(VLOOKUP(Consulta1[[#This Row],[Pozo]],'Lista Oportunidades'!B:C,2,FALSE),"NO")</f>
        <v>NO</v>
      </c>
      <c r="K2660" s="5">
        <f>IFERROR(VLOOKUP(Consulta1[[#This Row],[Pozo largo]],Controles!B:H,7,FALSE),"NO")</f>
        <v>0.68</v>
      </c>
      <c r="L2660" s="5">
        <f>IFERROR(VLOOKUP(Consulta1[[#This Row],[Pozo largo]],Controles!B:J,9,FALSE),"NO")</f>
        <v>0</v>
      </c>
    </row>
    <row r="2661" spans="2:12" x14ac:dyDescent="0.35">
      <c r="B2661" s="4" t="s">
        <v>5088</v>
      </c>
      <c r="C2661" s="4" t="s">
        <v>8366</v>
      </c>
      <c r="D2661" s="4" t="s">
        <v>5</v>
      </c>
      <c r="E2661" s="4" t="s">
        <v>12</v>
      </c>
      <c r="F2661" s="4" t="s">
        <v>28</v>
      </c>
      <c r="G2661" s="4" t="s">
        <v>13</v>
      </c>
      <c r="H2661" s="4" t="s">
        <v>21</v>
      </c>
      <c r="I2661" s="5" t="str">
        <f>IFERROR(VLOOKUP(Consulta1[[#This Row],[Pozo largo]],'Lista YPF'!$B$3:$C$358,2,FALSE),"NO")</f>
        <v>NO</v>
      </c>
      <c r="J2661" s="5" t="str">
        <f>IFERROR(VLOOKUP(Consulta1[[#This Row],[Pozo]],'Lista Oportunidades'!B:C,2,FALSE),"NO")</f>
        <v>NO</v>
      </c>
      <c r="K2661" s="5">
        <f>IFERROR(VLOOKUP(Consulta1[[#This Row],[Pozo largo]],Controles!B:H,7,FALSE),"NO")</f>
        <v>0</v>
      </c>
      <c r="L2661" s="5">
        <f>IFERROR(VLOOKUP(Consulta1[[#This Row],[Pozo largo]],Controles!B:J,9,FALSE),"NO")</f>
        <v>0</v>
      </c>
    </row>
    <row r="2662" spans="2:12" x14ac:dyDescent="0.35">
      <c r="B2662" s="4" t="s">
        <v>5090</v>
      </c>
      <c r="C2662" s="4" t="s">
        <v>8367</v>
      </c>
      <c r="D2662" s="4" t="s">
        <v>5</v>
      </c>
      <c r="E2662" s="4" t="s">
        <v>6</v>
      </c>
      <c r="F2662" s="4" t="s">
        <v>28</v>
      </c>
      <c r="G2662" s="4" t="s">
        <v>8</v>
      </c>
      <c r="H2662" s="4" t="s">
        <v>21</v>
      </c>
      <c r="I2662" s="5" t="str">
        <f>IFERROR(VLOOKUP(Consulta1[[#This Row],[Pozo largo]],'Lista YPF'!$B$3:$C$358,2,FALSE),"NO")</f>
        <v>NO</v>
      </c>
      <c r="J2662" s="5" t="str">
        <f>IFERROR(VLOOKUP(Consulta1[[#This Row],[Pozo]],'Lista Oportunidades'!B:C,2,FALSE),"NO")</f>
        <v>NO</v>
      </c>
      <c r="K2662" s="5">
        <f>IFERROR(VLOOKUP(Consulta1[[#This Row],[Pozo largo]],Controles!B:H,7,FALSE),"NO")</f>
        <v>0</v>
      </c>
      <c r="L2662" s="5">
        <f>IFERROR(VLOOKUP(Consulta1[[#This Row],[Pozo largo]],Controles!B:J,9,FALSE),"NO")</f>
        <v>0</v>
      </c>
    </row>
    <row r="2663" spans="2:12" x14ac:dyDescent="0.35">
      <c r="B2663" s="4" t="s">
        <v>5092</v>
      </c>
      <c r="C2663" s="4" t="s">
        <v>8368</v>
      </c>
      <c r="D2663" s="4" t="s">
        <v>5</v>
      </c>
      <c r="E2663" s="4" t="s">
        <v>12</v>
      </c>
      <c r="F2663" s="4" t="s">
        <v>7</v>
      </c>
      <c r="G2663" s="4" t="s">
        <v>13</v>
      </c>
      <c r="H2663" s="4" t="s">
        <v>33</v>
      </c>
      <c r="I2663" s="5" t="str">
        <f>IFERROR(VLOOKUP(Consulta1[[#This Row],[Pozo largo]],'Lista YPF'!$B$3:$C$358,2,FALSE),"NO")</f>
        <v>NO</v>
      </c>
      <c r="J2663" s="5" t="str">
        <f>IFERROR(VLOOKUP(Consulta1[[#This Row],[Pozo]],'Lista Oportunidades'!B:C,2,FALSE),"NO")</f>
        <v>NO</v>
      </c>
      <c r="K2663" s="5">
        <f>IFERROR(VLOOKUP(Consulta1[[#This Row],[Pozo largo]],Controles!B:H,7,FALSE),"NO")</f>
        <v>1.1520000000000001</v>
      </c>
      <c r="L2663" s="5">
        <f>IFERROR(VLOOKUP(Consulta1[[#This Row],[Pozo largo]],Controles!B:J,9,FALSE),"NO")</f>
        <v>0</v>
      </c>
    </row>
    <row r="2664" spans="2:12" x14ac:dyDescent="0.35">
      <c r="B2664" s="4" t="s">
        <v>5094</v>
      </c>
      <c r="C2664" s="4" t="s">
        <v>8369</v>
      </c>
      <c r="D2664" s="4" t="s">
        <v>5</v>
      </c>
      <c r="E2664" s="4" t="s">
        <v>12</v>
      </c>
      <c r="F2664" s="4" t="s">
        <v>28</v>
      </c>
      <c r="G2664" s="4" t="s">
        <v>13</v>
      </c>
      <c r="H2664" s="4" t="s">
        <v>21</v>
      </c>
      <c r="I2664" s="5" t="str">
        <f>IFERROR(VLOOKUP(Consulta1[[#This Row],[Pozo largo]],'Lista YPF'!$B$3:$C$358,2,FALSE),"NO")</f>
        <v>NO</v>
      </c>
      <c r="J2664" s="5" t="str">
        <f>IFERROR(VLOOKUP(Consulta1[[#This Row],[Pozo]],'Lista Oportunidades'!B:C,2,FALSE),"NO")</f>
        <v>NO</v>
      </c>
      <c r="K2664" s="5">
        <f>IFERROR(VLOOKUP(Consulta1[[#This Row],[Pozo largo]],Controles!B:H,7,FALSE),"NO")</f>
        <v>0</v>
      </c>
      <c r="L2664" s="5">
        <f>IFERROR(VLOOKUP(Consulta1[[#This Row],[Pozo largo]],Controles!B:J,9,FALSE),"NO")</f>
        <v>0</v>
      </c>
    </row>
    <row r="2665" spans="2:12" x14ac:dyDescent="0.35">
      <c r="B2665" s="4" t="s">
        <v>5096</v>
      </c>
      <c r="C2665" s="4" t="s">
        <v>8370</v>
      </c>
      <c r="D2665" s="4" t="s">
        <v>5</v>
      </c>
      <c r="E2665" s="4" t="s">
        <v>12</v>
      </c>
      <c r="F2665" s="4" t="s">
        <v>7</v>
      </c>
      <c r="G2665" s="4" t="s">
        <v>13</v>
      </c>
      <c r="H2665" s="4" t="s">
        <v>21</v>
      </c>
      <c r="I2665" s="5" t="str">
        <f>IFERROR(VLOOKUP(Consulta1[[#This Row],[Pozo largo]],'Lista YPF'!$B$3:$C$358,2,FALSE),"NO")</f>
        <v>NO</v>
      </c>
      <c r="J2665" s="5" t="str">
        <f>IFERROR(VLOOKUP(Consulta1[[#This Row],[Pozo]],'Lista Oportunidades'!B:C,2,FALSE),"NO")</f>
        <v>NO</v>
      </c>
      <c r="K2665" s="5">
        <f>IFERROR(VLOOKUP(Consulta1[[#This Row],[Pozo largo]],Controles!B:H,7,FALSE),"NO")</f>
        <v>0.72</v>
      </c>
      <c r="L2665" s="5">
        <f>IFERROR(VLOOKUP(Consulta1[[#This Row],[Pozo largo]],Controles!B:J,9,FALSE),"NO")</f>
        <v>0</v>
      </c>
    </row>
    <row r="2666" spans="2:12" x14ac:dyDescent="0.35">
      <c r="B2666" s="4" t="s">
        <v>5098</v>
      </c>
      <c r="C2666" s="4" t="s">
        <v>8371</v>
      </c>
      <c r="D2666" s="4" t="s">
        <v>5</v>
      </c>
      <c r="E2666" s="4" t="s">
        <v>12</v>
      </c>
      <c r="F2666" s="4" t="s">
        <v>28</v>
      </c>
      <c r="G2666" s="4" t="s">
        <v>13</v>
      </c>
      <c r="H2666" s="4" t="s">
        <v>86</v>
      </c>
      <c r="I2666" s="5" t="str">
        <f>IFERROR(VLOOKUP(Consulta1[[#This Row],[Pozo largo]],'Lista YPF'!$B$3:$C$358,2,FALSE),"NO")</f>
        <v>NO</v>
      </c>
      <c r="J2666" s="5" t="str">
        <f>IFERROR(VLOOKUP(Consulta1[[#This Row],[Pozo]],'Lista Oportunidades'!B:C,2,FALSE),"NO")</f>
        <v>NO</v>
      </c>
      <c r="K2666" s="5">
        <f>IFERROR(VLOOKUP(Consulta1[[#This Row],[Pozo largo]],Controles!B:H,7,FALSE),"NO")</f>
        <v>0</v>
      </c>
      <c r="L2666" s="5">
        <f>IFERROR(VLOOKUP(Consulta1[[#This Row],[Pozo largo]],Controles!B:J,9,FALSE),"NO")</f>
        <v>0</v>
      </c>
    </row>
    <row r="2667" spans="2:12" x14ac:dyDescent="0.35">
      <c r="B2667" s="4" t="s">
        <v>5100</v>
      </c>
      <c r="C2667" s="4" t="s">
        <v>8372</v>
      </c>
      <c r="D2667" s="4" t="s">
        <v>5</v>
      </c>
      <c r="E2667" s="4" t="s">
        <v>12</v>
      </c>
      <c r="F2667" s="4" t="s">
        <v>25</v>
      </c>
      <c r="G2667" s="4" t="s">
        <v>13</v>
      </c>
      <c r="H2667" s="4" t="s">
        <v>86</v>
      </c>
      <c r="I2667" s="5" t="str">
        <f>IFERROR(VLOOKUP(Consulta1[[#This Row],[Pozo largo]],'Lista YPF'!$B$3:$C$358,2,FALSE),"NO")</f>
        <v>NO</v>
      </c>
      <c r="J2667" s="5" t="str">
        <f>IFERROR(VLOOKUP(Consulta1[[#This Row],[Pozo]],'Lista Oportunidades'!B:C,2,FALSE),"NO")</f>
        <v>NO</v>
      </c>
      <c r="K2667" s="5">
        <f>IFERROR(VLOOKUP(Consulta1[[#This Row],[Pozo largo]],Controles!B:H,7,FALSE),"NO")</f>
        <v>0.12300000000000001</v>
      </c>
      <c r="L2667" s="5">
        <f>IFERROR(VLOOKUP(Consulta1[[#This Row],[Pozo largo]],Controles!B:J,9,FALSE),"NO")</f>
        <v>0</v>
      </c>
    </row>
    <row r="2668" spans="2:12" x14ac:dyDescent="0.35">
      <c r="B2668" s="4" t="s">
        <v>5102</v>
      </c>
      <c r="C2668" s="4" t="s">
        <v>8373</v>
      </c>
      <c r="D2668" s="4" t="s">
        <v>5</v>
      </c>
      <c r="E2668" s="4" t="s">
        <v>12</v>
      </c>
      <c r="F2668" s="4" t="s">
        <v>28</v>
      </c>
      <c r="G2668" s="4" t="s">
        <v>13</v>
      </c>
      <c r="H2668" s="4" t="s">
        <v>86</v>
      </c>
      <c r="I2668" s="5" t="str">
        <f>IFERROR(VLOOKUP(Consulta1[[#This Row],[Pozo largo]],'Lista YPF'!$B$3:$C$358,2,FALSE),"NO")</f>
        <v>NO</v>
      </c>
      <c r="J2668" s="5" t="str">
        <f>IFERROR(VLOOKUP(Consulta1[[#This Row],[Pozo]],'Lista Oportunidades'!B:C,2,FALSE),"NO")</f>
        <v>NO</v>
      </c>
      <c r="K2668" s="5">
        <f>IFERROR(VLOOKUP(Consulta1[[#This Row],[Pozo largo]],Controles!B:H,7,FALSE),"NO")</f>
        <v>0</v>
      </c>
      <c r="L2668" s="5">
        <f>IFERROR(VLOOKUP(Consulta1[[#This Row],[Pozo largo]],Controles!B:J,9,FALSE),"NO")</f>
        <v>0</v>
      </c>
    </row>
    <row r="2669" spans="2:12" x14ac:dyDescent="0.35">
      <c r="B2669" s="4" t="s">
        <v>5104</v>
      </c>
      <c r="C2669" s="4" t="s">
        <v>8374</v>
      </c>
      <c r="D2669" s="4" t="s">
        <v>5</v>
      </c>
      <c r="E2669" s="4" t="s">
        <v>12</v>
      </c>
      <c r="F2669" s="4" t="s">
        <v>28</v>
      </c>
      <c r="G2669" s="4" t="s">
        <v>13</v>
      </c>
      <c r="H2669" s="4" t="s">
        <v>84</v>
      </c>
      <c r="I2669" s="5" t="str">
        <f>IFERROR(VLOOKUP(Consulta1[[#This Row],[Pozo largo]],'Lista YPF'!$B$3:$C$358,2,FALSE),"NO")</f>
        <v>NO</v>
      </c>
      <c r="J2669" s="5" t="str">
        <f>IFERROR(VLOOKUP(Consulta1[[#This Row],[Pozo]],'Lista Oportunidades'!B:C,2,FALSE),"NO")</f>
        <v>NO</v>
      </c>
      <c r="K2669" s="5">
        <f>IFERROR(VLOOKUP(Consulta1[[#This Row],[Pozo largo]],Controles!B:H,7,FALSE),"NO")</f>
        <v>0</v>
      </c>
      <c r="L2669" s="5">
        <f>IFERROR(VLOOKUP(Consulta1[[#This Row],[Pozo largo]],Controles!B:J,9,FALSE),"NO")</f>
        <v>0</v>
      </c>
    </row>
    <row r="2670" spans="2:12" x14ac:dyDescent="0.35">
      <c r="B2670" s="4" t="s">
        <v>5106</v>
      </c>
      <c r="C2670" s="4" t="s">
        <v>8375</v>
      </c>
      <c r="D2670" s="4" t="s">
        <v>5</v>
      </c>
      <c r="E2670" s="4" t="s">
        <v>30</v>
      </c>
      <c r="F2670" s="4" t="s">
        <v>31</v>
      </c>
      <c r="G2670" s="4" t="s">
        <v>32</v>
      </c>
      <c r="H2670" s="4" t="s">
        <v>91</v>
      </c>
      <c r="I2670" s="5" t="str">
        <f>IFERROR(VLOOKUP(Consulta1[[#This Row],[Pozo largo]],'Lista YPF'!$B$3:$C$358,2,FALSE),"NO")</f>
        <v>NO</v>
      </c>
      <c r="J2670" s="5" t="str">
        <f>IFERROR(VLOOKUP(Consulta1[[#This Row],[Pozo]],'Lista Oportunidades'!B:C,2,FALSE),"NO")</f>
        <v>NO</v>
      </c>
      <c r="K2670" s="5">
        <f>IFERROR(VLOOKUP(Consulta1[[#This Row],[Pozo largo]],Controles!B:H,7,FALSE),"NO")</f>
        <v>0.90300000000000002</v>
      </c>
      <c r="L2670" s="5">
        <f>IFERROR(VLOOKUP(Consulta1[[#This Row],[Pozo largo]],Controles!B:J,9,FALSE),"NO")</f>
        <v>0</v>
      </c>
    </row>
    <row r="2671" spans="2:12" x14ac:dyDescent="0.35">
      <c r="B2671" s="4" t="s">
        <v>5108</v>
      </c>
      <c r="C2671" s="4" t="s">
        <v>8376</v>
      </c>
      <c r="D2671" s="4" t="s">
        <v>5</v>
      </c>
      <c r="E2671" s="4" t="s">
        <v>30</v>
      </c>
      <c r="F2671" s="4" t="s">
        <v>31</v>
      </c>
      <c r="G2671" s="4" t="s">
        <v>32</v>
      </c>
      <c r="H2671" s="4" t="s">
        <v>80</v>
      </c>
      <c r="I2671" s="5" t="str">
        <f>IFERROR(VLOOKUP(Consulta1[[#This Row],[Pozo largo]],'Lista YPF'!$B$3:$C$358,2,FALSE),"NO")</f>
        <v>NO</v>
      </c>
      <c r="J2671" s="5" t="str">
        <f>IFERROR(VLOOKUP(Consulta1[[#This Row],[Pozo]],'Lista Oportunidades'!B:C,2,FALSE),"NO")</f>
        <v>NO</v>
      </c>
      <c r="K2671" s="5" t="str">
        <f>IFERROR(VLOOKUP(Consulta1[[#This Row],[Pozo largo]],Controles!B:H,7,FALSE),"NO")</f>
        <v>NO</v>
      </c>
      <c r="L2671" s="5" t="str">
        <f>IFERROR(VLOOKUP(Consulta1[[#This Row],[Pozo largo]],Controles!B:J,9,FALSE),"NO")</f>
        <v>NO</v>
      </c>
    </row>
    <row r="2672" spans="2:12" x14ac:dyDescent="0.35">
      <c r="B2672" s="4" t="s">
        <v>5109</v>
      </c>
      <c r="C2672" s="4" t="s">
        <v>8377</v>
      </c>
      <c r="D2672" s="4" t="s">
        <v>5</v>
      </c>
      <c r="E2672" s="4" t="s">
        <v>12</v>
      </c>
      <c r="F2672" s="4" t="s">
        <v>7</v>
      </c>
      <c r="G2672" s="4" t="s">
        <v>13</v>
      </c>
      <c r="H2672" s="4" t="s">
        <v>80</v>
      </c>
      <c r="I2672" s="5" t="str">
        <f>IFERROR(VLOOKUP(Consulta1[[#This Row],[Pozo largo]],'Lista YPF'!$B$3:$C$358,2,FALSE),"NO")</f>
        <v>NO</v>
      </c>
      <c r="J2672" s="5" t="str">
        <f>IFERROR(VLOOKUP(Consulta1[[#This Row],[Pozo]],'Lista Oportunidades'!B:C,2,FALSE),"NO")</f>
        <v>NO</v>
      </c>
      <c r="K2672" s="5">
        <f>IFERROR(VLOOKUP(Consulta1[[#This Row],[Pozo largo]],Controles!B:H,7,FALSE),"NO")</f>
        <v>0.40800000000000003</v>
      </c>
      <c r="L2672" s="5">
        <f>IFERROR(VLOOKUP(Consulta1[[#This Row],[Pozo largo]],Controles!B:J,9,FALSE),"NO")</f>
        <v>0</v>
      </c>
    </row>
    <row r="2673" spans="2:12" x14ac:dyDescent="0.35">
      <c r="B2673" s="4" t="s">
        <v>5111</v>
      </c>
      <c r="C2673" s="4" t="s">
        <v>8378</v>
      </c>
      <c r="D2673" s="4" t="s">
        <v>5</v>
      </c>
      <c r="E2673" s="4" t="s">
        <v>12</v>
      </c>
      <c r="F2673" s="4" t="s">
        <v>7</v>
      </c>
      <c r="G2673" s="4" t="s">
        <v>13</v>
      </c>
      <c r="H2673" s="4" t="s">
        <v>260</v>
      </c>
      <c r="I2673" s="5" t="str">
        <f>IFERROR(VLOOKUP(Consulta1[[#This Row],[Pozo largo]],'Lista YPF'!$B$3:$C$358,2,FALSE),"NO")</f>
        <v>NO</v>
      </c>
      <c r="J2673" s="5" t="str">
        <f>IFERROR(VLOOKUP(Consulta1[[#This Row],[Pozo]],'Lista Oportunidades'!B:C,2,FALSE),"NO")</f>
        <v>NO</v>
      </c>
      <c r="K2673" s="5">
        <f>IFERROR(VLOOKUP(Consulta1[[#This Row],[Pozo largo]],Controles!B:H,7,FALSE),"NO")</f>
        <v>1.26</v>
      </c>
      <c r="L2673" s="5">
        <f>IFERROR(VLOOKUP(Consulta1[[#This Row],[Pozo largo]],Controles!B:J,9,FALSE),"NO")</f>
        <v>0</v>
      </c>
    </row>
    <row r="2674" spans="2:12" x14ac:dyDescent="0.35">
      <c r="B2674" s="4" t="s">
        <v>5113</v>
      </c>
      <c r="C2674" s="4" t="s">
        <v>8379</v>
      </c>
      <c r="D2674" s="4" t="s">
        <v>5</v>
      </c>
      <c r="E2674" s="4" t="s">
        <v>12</v>
      </c>
      <c r="F2674" s="4" t="s">
        <v>7</v>
      </c>
      <c r="G2674" s="4" t="s">
        <v>13</v>
      </c>
      <c r="H2674" s="4" t="s">
        <v>185</v>
      </c>
      <c r="I2674" s="5" t="str">
        <f>IFERROR(VLOOKUP(Consulta1[[#This Row],[Pozo largo]],'Lista YPF'!$B$3:$C$358,2,FALSE),"NO")</f>
        <v>NO</v>
      </c>
      <c r="J2674" s="5" t="str">
        <f>IFERROR(VLOOKUP(Consulta1[[#This Row],[Pozo]],'Lista Oportunidades'!B:C,2,FALSE),"NO")</f>
        <v>NO</v>
      </c>
      <c r="K2674" s="5">
        <f>IFERROR(VLOOKUP(Consulta1[[#This Row],[Pozo largo]],Controles!B:H,7,FALSE),"NO")</f>
        <v>0.71400000000000008</v>
      </c>
      <c r="L2674" s="5">
        <f>IFERROR(VLOOKUP(Consulta1[[#This Row],[Pozo largo]],Controles!B:J,9,FALSE),"NO")</f>
        <v>0</v>
      </c>
    </row>
    <row r="2675" spans="2:12" x14ac:dyDescent="0.35">
      <c r="B2675" s="4" t="s">
        <v>5115</v>
      </c>
      <c r="C2675" s="4" t="s">
        <v>8380</v>
      </c>
      <c r="D2675" s="4" t="s">
        <v>5</v>
      </c>
      <c r="E2675" s="4" t="s">
        <v>12</v>
      </c>
      <c r="F2675" s="4" t="s">
        <v>7</v>
      </c>
      <c r="G2675" s="4" t="s">
        <v>13</v>
      </c>
      <c r="H2675" s="4" t="s">
        <v>141</v>
      </c>
      <c r="I2675" s="5" t="str">
        <f>IFERROR(VLOOKUP(Consulta1[[#This Row],[Pozo largo]],'Lista YPF'!$B$3:$C$358,2,FALSE),"NO")</f>
        <v>NO</v>
      </c>
      <c r="J2675" s="5" t="str">
        <f>IFERROR(VLOOKUP(Consulta1[[#This Row],[Pozo]],'Lista Oportunidades'!B:C,2,FALSE),"NO")</f>
        <v>NO</v>
      </c>
      <c r="K2675" s="5">
        <f>IFERROR(VLOOKUP(Consulta1[[#This Row],[Pozo largo]],Controles!B:H,7,FALSE),"NO")</f>
        <v>2.8000000000000003</v>
      </c>
      <c r="L2675" s="5">
        <f>IFERROR(VLOOKUP(Consulta1[[#This Row],[Pozo largo]],Controles!B:J,9,FALSE),"NO")</f>
        <v>0</v>
      </c>
    </row>
    <row r="2676" spans="2:12" x14ac:dyDescent="0.35">
      <c r="B2676" s="4" t="s">
        <v>5117</v>
      </c>
      <c r="C2676" s="4" t="s">
        <v>8381</v>
      </c>
      <c r="D2676" s="4" t="s">
        <v>5</v>
      </c>
      <c r="E2676" s="4" t="s">
        <v>12</v>
      </c>
      <c r="F2676" s="4" t="s">
        <v>238</v>
      </c>
      <c r="G2676" s="4" t="s">
        <v>13</v>
      </c>
      <c r="H2676" s="4" t="s">
        <v>141</v>
      </c>
      <c r="I2676" s="5" t="str">
        <f>IFERROR(VLOOKUP(Consulta1[[#This Row],[Pozo largo]],'Lista YPF'!$B$3:$C$358,2,FALSE),"NO")</f>
        <v>NO</v>
      </c>
      <c r="J2676" s="5" t="str">
        <f>IFERROR(VLOOKUP(Consulta1[[#This Row],[Pozo]],'Lista Oportunidades'!B:C,2,FALSE),"NO")</f>
        <v>NO</v>
      </c>
      <c r="K2676" s="5">
        <f>IFERROR(VLOOKUP(Consulta1[[#This Row],[Pozo largo]],Controles!B:H,7,FALSE),"NO")</f>
        <v>1.425</v>
      </c>
      <c r="L2676" s="5">
        <f>IFERROR(VLOOKUP(Consulta1[[#This Row],[Pozo largo]],Controles!B:J,9,FALSE),"NO")</f>
        <v>0</v>
      </c>
    </row>
    <row r="2677" spans="2:12" x14ac:dyDescent="0.35">
      <c r="B2677" s="4" t="s">
        <v>5119</v>
      </c>
      <c r="C2677" s="4" t="s">
        <v>8382</v>
      </c>
      <c r="D2677" s="4" t="s">
        <v>5</v>
      </c>
      <c r="E2677" s="4" t="s">
        <v>12</v>
      </c>
      <c r="F2677" s="4" t="s">
        <v>7</v>
      </c>
      <c r="G2677" s="4" t="s">
        <v>13</v>
      </c>
      <c r="H2677" s="4" t="s">
        <v>71</v>
      </c>
      <c r="I2677" s="5" t="str">
        <f>IFERROR(VLOOKUP(Consulta1[[#This Row],[Pozo largo]],'Lista YPF'!$B$3:$C$358,2,FALSE),"NO")</f>
        <v>NO</v>
      </c>
      <c r="J2677" s="5" t="str">
        <f>IFERROR(VLOOKUP(Consulta1[[#This Row],[Pozo]],'Lista Oportunidades'!B:C,2,FALSE),"NO")</f>
        <v>NO</v>
      </c>
      <c r="K2677" s="5">
        <f>IFERROR(VLOOKUP(Consulta1[[#This Row],[Pozo largo]],Controles!B:H,7,FALSE),"NO")</f>
        <v>0.75</v>
      </c>
      <c r="L2677" s="5">
        <f>IFERROR(VLOOKUP(Consulta1[[#This Row],[Pozo largo]],Controles!B:J,9,FALSE),"NO")</f>
        <v>0</v>
      </c>
    </row>
    <row r="2678" spans="2:12" x14ac:dyDescent="0.35">
      <c r="B2678" s="4" t="s">
        <v>5121</v>
      </c>
      <c r="C2678" s="4" t="s">
        <v>8383</v>
      </c>
      <c r="D2678" s="4" t="s">
        <v>5</v>
      </c>
      <c r="E2678" s="4" t="s">
        <v>12</v>
      </c>
      <c r="F2678" s="4" t="s">
        <v>7</v>
      </c>
      <c r="G2678" s="4" t="s">
        <v>13</v>
      </c>
      <c r="H2678" s="4" t="s">
        <v>71</v>
      </c>
      <c r="I2678" s="5" t="str">
        <f>IFERROR(VLOOKUP(Consulta1[[#This Row],[Pozo largo]],'Lista YPF'!$B$3:$C$358,2,FALSE),"NO")</f>
        <v>NO</v>
      </c>
      <c r="J2678" s="5" t="str">
        <f>IFERROR(VLOOKUP(Consulta1[[#This Row],[Pozo]],'Lista Oportunidades'!B:C,2,FALSE),"NO")</f>
        <v>NO</v>
      </c>
      <c r="K2678" s="5">
        <f>IFERROR(VLOOKUP(Consulta1[[#This Row],[Pozo largo]],Controles!B:H,7,FALSE),"NO")</f>
        <v>1.19</v>
      </c>
      <c r="L2678" s="5">
        <f>IFERROR(VLOOKUP(Consulta1[[#This Row],[Pozo largo]],Controles!B:J,9,FALSE),"NO")</f>
        <v>0</v>
      </c>
    </row>
    <row r="2679" spans="2:12" x14ac:dyDescent="0.35">
      <c r="B2679" s="4" t="s">
        <v>5123</v>
      </c>
      <c r="C2679" s="4" t="s">
        <v>8384</v>
      </c>
      <c r="D2679" s="4" t="s">
        <v>5</v>
      </c>
      <c r="E2679" s="4" t="s">
        <v>24</v>
      </c>
      <c r="F2679" s="4" t="s">
        <v>31</v>
      </c>
      <c r="G2679" s="4" t="s">
        <v>8</v>
      </c>
      <c r="H2679" s="4" t="s">
        <v>71</v>
      </c>
      <c r="I2679" s="5" t="str">
        <f>IFERROR(VLOOKUP(Consulta1[[#This Row],[Pozo largo]],'Lista YPF'!$B$3:$C$358,2,FALSE),"NO")</f>
        <v>NO</v>
      </c>
      <c r="J2679" s="5" t="str">
        <f>IFERROR(VLOOKUP(Consulta1[[#This Row],[Pozo]],'Lista Oportunidades'!B:C,2,FALSE),"NO")</f>
        <v>NO</v>
      </c>
      <c r="K2679" s="5">
        <f>IFERROR(VLOOKUP(Consulta1[[#This Row],[Pozo largo]],Controles!B:H,7,FALSE),"NO")</f>
        <v>1.4570000000000001</v>
      </c>
      <c r="L2679" s="5">
        <f>IFERROR(VLOOKUP(Consulta1[[#This Row],[Pozo largo]],Controles!B:J,9,FALSE),"NO")</f>
        <v>0</v>
      </c>
    </row>
    <row r="2680" spans="2:12" x14ac:dyDescent="0.35">
      <c r="B2680" s="4" t="s">
        <v>5125</v>
      </c>
      <c r="C2680" s="4" t="s">
        <v>8385</v>
      </c>
      <c r="D2680" s="4" t="s">
        <v>5</v>
      </c>
      <c r="E2680" s="4" t="s">
        <v>24</v>
      </c>
      <c r="F2680" s="4" t="s">
        <v>7</v>
      </c>
      <c r="G2680" s="4" t="s">
        <v>11387</v>
      </c>
      <c r="H2680" s="4" t="s">
        <v>146</v>
      </c>
      <c r="I2680" s="5" t="str">
        <f>IFERROR(VLOOKUP(Consulta1[[#This Row],[Pozo largo]],'Lista YPF'!$B$3:$C$358,2,FALSE),"NO")</f>
        <v>NO</v>
      </c>
      <c r="J2680" s="5" t="str">
        <f>IFERROR(VLOOKUP(Consulta1[[#This Row],[Pozo]],'Lista Oportunidades'!B:C,2,FALSE),"NO")</f>
        <v>NO</v>
      </c>
      <c r="K2680" s="5">
        <f>IFERROR(VLOOKUP(Consulta1[[#This Row],[Pozo largo]],Controles!B:H,7,FALSE),"NO")</f>
        <v>0.15</v>
      </c>
      <c r="L2680" s="5" t="str">
        <f>IFERROR(VLOOKUP(Consulta1[[#This Row],[Pozo largo]],Controles!B:J,9,FALSE),"NO")</f>
        <v>Ultimo Año</v>
      </c>
    </row>
    <row r="2681" spans="2:12" x14ac:dyDescent="0.35">
      <c r="B2681" s="4" t="s">
        <v>5127</v>
      </c>
      <c r="C2681" s="4" t="s">
        <v>8386</v>
      </c>
      <c r="D2681" s="4" t="s">
        <v>5</v>
      </c>
      <c r="E2681" s="4" t="s">
        <v>24</v>
      </c>
      <c r="F2681" s="4" t="s">
        <v>31</v>
      </c>
      <c r="G2681" s="4" t="s">
        <v>8</v>
      </c>
      <c r="H2681" s="4" t="s">
        <v>66</v>
      </c>
      <c r="I2681" s="5" t="str">
        <f>IFERROR(VLOOKUP(Consulta1[[#This Row],[Pozo largo]],'Lista YPF'!$B$3:$C$358,2,FALSE),"NO")</f>
        <v>NO</v>
      </c>
      <c r="J2681" s="5" t="str">
        <f>IFERROR(VLOOKUP(Consulta1[[#This Row],[Pozo]],'Lista Oportunidades'!B:C,2,FALSE),"NO")</f>
        <v>NO</v>
      </c>
      <c r="K2681" s="5">
        <f>IFERROR(VLOOKUP(Consulta1[[#This Row],[Pozo largo]],Controles!B:H,7,FALSE),"NO")</f>
        <v>0.54</v>
      </c>
      <c r="L2681" s="5">
        <f>IFERROR(VLOOKUP(Consulta1[[#This Row],[Pozo largo]],Controles!B:J,9,FALSE),"NO")</f>
        <v>0</v>
      </c>
    </row>
    <row r="2682" spans="2:12" x14ac:dyDescent="0.35">
      <c r="B2682" s="4" t="s">
        <v>5129</v>
      </c>
      <c r="C2682" s="4" t="s">
        <v>8387</v>
      </c>
      <c r="D2682" s="4" t="s">
        <v>5</v>
      </c>
      <c r="E2682" s="4" t="s">
        <v>30</v>
      </c>
      <c r="F2682" s="4" t="s">
        <v>31</v>
      </c>
      <c r="G2682" s="4" t="s">
        <v>32</v>
      </c>
      <c r="H2682" s="4" t="s">
        <v>66</v>
      </c>
      <c r="I2682" s="5" t="str">
        <f>IFERROR(VLOOKUP(Consulta1[[#This Row],[Pozo largo]],'Lista YPF'!$B$3:$C$358,2,FALSE),"NO")</f>
        <v>NO</v>
      </c>
      <c r="J2682" s="5" t="str">
        <f>IFERROR(VLOOKUP(Consulta1[[#This Row],[Pozo]],'Lista Oportunidades'!B:C,2,FALSE),"NO")</f>
        <v>NO</v>
      </c>
      <c r="K2682" s="5" t="str">
        <f>IFERROR(VLOOKUP(Consulta1[[#This Row],[Pozo largo]],Controles!B:H,7,FALSE),"NO")</f>
        <v>NO</v>
      </c>
      <c r="L2682" s="5" t="str">
        <f>IFERROR(VLOOKUP(Consulta1[[#This Row],[Pozo largo]],Controles!B:J,9,FALSE),"NO")</f>
        <v>NO</v>
      </c>
    </row>
    <row r="2683" spans="2:12" x14ac:dyDescent="0.35">
      <c r="B2683" s="4" t="s">
        <v>5130</v>
      </c>
      <c r="C2683" s="4" t="s">
        <v>8388</v>
      </c>
      <c r="D2683" s="4" t="s">
        <v>5</v>
      </c>
      <c r="E2683" s="4" t="s">
        <v>30</v>
      </c>
      <c r="F2683" s="4" t="s">
        <v>31</v>
      </c>
      <c r="G2683" s="4" t="s">
        <v>32</v>
      </c>
      <c r="H2683" s="4" t="s">
        <v>91</v>
      </c>
      <c r="I2683" s="5" t="str">
        <f>IFERROR(VLOOKUP(Consulta1[[#This Row],[Pozo largo]],'Lista YPF'!$B$3:$C$358,2,FALSE),"NO")</f>
        <v>NO</v>
      </c>
      <c r="J2683" s="5" t="str">
        <f>IFERROR(VLOOKUP(Consulta1[[#This Row],[Pozo]],'Lista Oportunidades'!B:C,2,FALSE),"NO")</f>
        <v>NO</v>
      </c>
      <c r="K2683" s="5" t="str">
        <f>IFERROR(VLOOKUP(Consulta1[[#This Row],[Pozo largo]],Controles!B:H,7,FALSE),"NO")</f>
        <v>NO</v>
      </c>
      <c r="L2683" s="5" t="str">
        <f>IFERROR(VLOOKUP(Consulta1[[#This Row],[Pozo largo]],Controles!B:J,9,FALSE),"NO")</f>
        <v>NO</v>
      </c>
    </row>
    <row r="2684" spans="2:12" x14ac:dyDescent="0.35">
      <c r="B2684" s="4" t="s">
        <v>5131</v>
      </c>
      <c r="C2684" s="4" t="s">
        <v>8389</v>
      </c>
      <c r="D2684" s="4" t="s">
        <v>5</v>
      </c>
      <c r="E2684" s="4" t="s">
        <v>6</v>
      </c>
      <c r="F2684" s="4" t="s">
        <v>28</v>
      </c>
      <c r="G2684" s="4" t="s">
        <v>5718</v>
      </c>
      <c r="H2684" s="4" t="s">
        <v>71</v>
      </c>
      <c r="I2684" s="5" t="str">
        <f>IFERROR(VLOOKUP(Consulta1[[#This Row],[Pozo largo]],'Lista YPF'!$B$3:$C$358,2,FALSE),"NO")</f>
        <v>En lista de Abandono</v>
      </c>
      <c r="J2684" s="5" t="str">
        <f>IFERROR(VLOOKUP(Consulta1[[#This Row],[Pozo]],'Lista Oportunidades'!B:C,2,FALSE),"NO")</f>
        <v>NO</v>
      </c>
      <c r="K2684" s="5">
        <f>IFERROR(VLOOKUP(Consulta1[[#This Row],[Pozo largo]],Controles!B:H,7,FALSE),"NO")</f>
        <v>0</v>
      </c>
      <c r="L2684" s="5" t="str">
        <f>IFERROR(VLOOKUP(Consulta1[[#This Row],[Pozo largo]],Controles!B:J,9,FALSE),"NO")</f>
        <v>Ultimo Año</v>
      </c>
    </row>
    <row r="2685" spans="2:12" x14ac:dyDescent="0.35">
      <c r="B2685" s="4" t="s">
        <v>5133</v>
      </c>
      <c r="C2685" s="4" t="s">
        <v>8390</v>
      </c>
      <c r="D2685" s="4" t="s">
        <v>5</v>
      </c>
      <c r="E2685" s="4" t="s">
        <v>24</v>
      </c>
      <c r="F2685" s="4" t="s">
        <v>25</v>
      </c>
      <c r="G2685" s="4" t="s">
        <v>8</v>
      </c>
      <c r="H2685" s="4" t="s">
        <v>149</v>
      </c>
      <c r="I2685" s="5" t="str">
        <f>IFERROR(VLOOKUP(Consulta1[[#This Row],[Pozo largo]],'Lista YPF'!$B$3:$C$358,2,FALSE),"NO")</f>
        <v>NO</v>
      </c>
      <c r="J2685" s="5" t="str">
        <f>IFERROR(VLOOKUP(Consulta1[[#This Row],[Pozo]],'Lista Oportunidades'!B:C,2,FALSE),"NO")</f>
        <v>NO</v>
      </c>
      <c r="K2685" s="5">
        <f>IFERROR(VLOOKUP(Consulta1[[#This Row],[Pozo largo]],Controles!B:H,7,FALSE),"NO")</f>
        <v>2.9000000000000001E-2</v>
      </c>
      <c r="L2685" s="5">
        <f>IFERROR(VLOOKUP(Consulta1[[#This Row],[Pozo largo]],Controles!B:J,9,FALSE),"NO")</f>
        <v>0</v>
      </c>
    </row>
    <row r="2686" spans="2:12" x14ac:dyDescent="0.35">
      <c r="B2686" s="4" t="s">
        <v>5135</v>
      </c>
      <c r="C2686" s="4" t="s">
        <v>8391</v>
      </c>
      <c r="D2686" s="4" t="s">
        <v>5</v>
      </c>
      <c r="E2686" s="4" t="s">
        <v>57</v>
      </c>
      <c r="F2686" s="4" t="s">
        <v>28</v>
      </c>
      <c r="G2686" s="4" t="s">
        <v>5718</v>
      </c>
      <c r="H2686" s="4" t="s">
        <v>9</v>
      </c>
      <c r="I2686" s="5" t="str">
        <f>IFERROR(VLOOKUP(Consulta1[[#This Row],[Pozo largo]],'Lista YPF'!$B$3:$C$358,2,FALSE),"NO")</f>
        <v>En lista de Abandono</v>
      </c>
      <c r="J2686" s="5" t="str">
        <f>IFERROR(VLOOKUP(Consulta1[[#This Row],[Pozo]],'Lista Oportunidades'!B:C,2,FALSE),"NO")</f>
        <v>NO</v>
      </c>
      <c r="K2686" s="5">
        <f>IFERROR(VLOOKUP(Consulta1[[#This Row],[Pozo largo]],Controles!B:H,7,FALSE),"NO")</f>
        <v>0</v>
      </c>
      <c r="L2686" s="5">
        <f>IFERROR(VLOOKUP(Consulta1[[#This Row],[Pozo largo]],Controles!B:J,9,FALSE),"NO")</f>
        <v>0</v>
      </c>
    </row>
    <row r="2687" spans="2:12" x14ac:dyDescent="0.35">
      <c r="B2687" s="4" t="s">
        <v>5137</v>
      </c>
      <c r="C2687" s="4" t="s">
        <v>8392</v>
      </c>
      <c r="D2687" s="4" t="s">
        <v>5</v>
      </c>
      <c r="E2687" s="4" t="s">
        <v>6</v>
      </c>
      <c r="F2687" s="4" t="s">
        <v>31</v>
      </c>
      <c r="G2687" s="4" t="s">
        <v>5718</v>
      </c>
      <c r="H2687" s="4" t="s">
        <v>21</v>
      </c>
      <c r="I2687" s="5" t="str">
        <f>IFERROR(VLOOKUP(Consulta1[[#This Row],[Pozo largo]],'Lista YPF'!$B$3:$C$358,2,FALSE),"NO")</f>
        <v>En lista de Abandono</v>
      </c>
      <c r="J2687" s="5" t="str">
        <f>IFERROR(VLOOKUP(Consulta1[[#This Row],[Pozo]],'Lista Oportunidades'!B:C,2,FALSE),"NO")</f>
        <v>NO</v>
      </c>
      <c r="K2687" s="5">
        <f>IFERROR(VLOOKUP(Consulta1[[#This Row],[Pozo largo]],Controles!B:H,7,FALSE),"NO")</f>
        <v>0.6</v>
      </c>
      <c r="L2687" s="5">
        <f>IFERROR(VLOOKUP(Consulta1[[#This Row],[Pozo largo]],Controles!B:J,9,FALSE),"NO")</f>
        <v>0</v>
      </c>
    </row>
    <row r="2688" spans="2:12" x14ac:dyDescent="0.35">
      <c r="B2688" s="4" t="s">
        <v>5139</v>
      </c>
      <c r="C2688" s="4" t="s">
        <v>8393</v>
      </c>
      <c r="D2688" s="4" t="s">
        <v>5</v>
      </c>
      <c r="E2688" s="4" t="s">
        <v>24</v>
      </c>
      <c r="F2688" s="4" t="s">
        <v>31</v>
      </c>
      <c r="G2688" s="4" t="s">
        <v>8</v>
      </c>
      <c r="H2688" s="4" t="s">
        <v>21</v>
      </c>
      <c r="I2688" s="5" t="str">
        <f>IFERROR(VLOOKUP(Consulta1[[#This Row],[Pozo largo]],'Lista YPF'!$B$3:$C$358,2,FALSE),"NO")</f>
        <v>NO</v>
      </c>
      <c r="J2688" s="5" t="str">
        <f>IFERROR(VLOOKUP(Consulta1[[#This Row],[Pozo]],'Lista Oportunidades'!B:C,2,FALSE),"NO")</f>
        <v>NO</v>
      </c>
      <c r="K2688" s="5">
        <f>IFERROR(VLOOKUP(Consulta1[[#This Row],[Pozo largo]],Controles!B:H,7,FALSE),"NO")</f>
        <v>0</v>
      </c>
      <c r="L2688" s="5">
        <f>IFERROR(VLOOKUP(Consulta1[[#This Row],[Pozo largo]],Controles!B:J,9,FALSE),"NO")</f>
        <v>0</v>
      </c>
    </row>
    <row r="2689" spans="2:12" x14ac:dyDescent="0.35">
      <c r="B2689" s="4" t="s">
        <v>5141</v>
      </c>
      <c r="C2689" s="4" t="s">
        <v>8394</v>
      </c>
      <c r="D2689" s="4" t="s">
        <v>5</v>
      </c>
      <c r="E2689" s="4" t="s">
        <v>30</v>
      </c>
      <c r="F2689" s="4" t="s">
        <v>31</v>
      </c>
      <c r="G2689" s="4" t="s">
        <v>32</v>
      </c>
      <c r="H2689" s="4" t="s">
        <v>33</v>
      </c>
      <c r="I2689" s="5" t="str">
        <f>IFERROR(VLOOKUP(Consulta1[[#This Row],[Pozo largo]],'Lista YPF'!$B$3:$C$358,2,FALSE),"NO")</f>
        <v>NO</v>
      </c>
      <c r="J2689" s="5" t="str">
        <f>IFERROR(VLOOKUP(Consulta1[[#This Row],[Pozo]],'Lista Oportunidades'!B:C,2,FALSE),"NO")</f>
        <v>NO</v>
      </c>
      <c r="K2689" s="5">
        <f>IFERROR(VLOOKUP(Consulta1[[#This Row],[Pozo largo]],Controles!B:H,7,FALSE),"NO")</f>
        <v>0</v>
      </c>
      <c r="L2689" s="5">
        <f>IFERROR(VLOOKUP(Consulta1[[#This Row],[Pozo largo]],Controles!B:J,9,FALSE),"NO")</f>
        <v>0</v>
      </c>
    </row>
    <row r="2690" spans="2:12" x14ac:dyDescent="0.35">
      <c r="B2690" s="4" t="s">
        <v>5143</v>
      </c>
      <c r="C2690" s="4" t="s">
        <v>8395</v>
      </c>
      <c r="D2690" s="4" t="s">
        <v>5</v>
      </c>
      <c r="E2690" s="4" t="s">
        <v>6</v>
      </c>
      <c r="F2690" s="4" t="s">
        <v>28</v>
      </c>
      <c r="G2690" s="4" t="s">
        <v>5718</v>
      </c>
      <c r="H2690" s="4" t="s">
        <v>33</v>
      </c>
      <c r="I2690" s="5" t="str">
        <f>IFERROR(VLOOKUP(Consulta1[[#This Row],[Pozo largo]],'Lista YPF'!$B$3:$C$358,2,FALSE),"NO")</f>
        <v>En lista de Abandono</v>
      </c>
      <c r="J2690" s="5" t="str">
        <f>IFERROR(VLOOKUP(Consulta1[[#This Row],[Pozo]],'Lista Oportunidades'!B:C,2,FALSE),"NO")</f>
        <v>NO</v>
      </c>
      <c r="K2690" s="5">
        <f>IFERROR(VLOOKUP(Consulta1[[#This Row],[Pozo largo]],Controles!B:H,7,FALSE),"NO")</f>
        <v>0</v>
      </c>
      <c r="L2690" s="5" t="str">
        <f>IFERROR(VLOOKUP(Consulta1[[#This Row],[Pozo largo]],Controles!B:J,9,FALSE),"NO")</f>
        <v>Ultimo Año</v>
      </c>
    </row>
    <row r="2691" spans="2:12" x14ac:dyDescent="0.35">
      <c r="B2691" s="4" t="s">
        <v>5145</v>
      </c>
      <c r="C2691" s="4" t="s">
        <v>8396</v>
      </c>
      <c r="D2691" s="4" t="s">
        <v>5</v>
      </c>
      <c r="E2691" s="4" t="s">
        <v>12</v>
      </c>
      <c r="F2691" s="4" t="s">
        <v>7</v>
      </c>
      <c r="G2691" s="4" t="s">
        <v>13</v>
      </c>
      <c r="H2691" s="4" t="s">
        <v>33</v>
      </c>
      <c r="I2691" s="5" t="str">
        <f>IFERROR(VLOOKUP(Consulta1[[#This Row],[Pozo largo]],'Lista YPF'!$B$3:$C$358,2,FALSE),"NO")</f>
        <v>NO</v>
      </c>
      <c r="J2691" s="5" t="str">
        <f>IFERROR(VLOOKUP(Consulta1[[#This Row],[Pozo]],'Lista Oportunidades'!B:C,2,FALSE),"NO")</f>
        <v>NO</v>
      </c>
      <c r="K2691" s="5">
        <f>IFERROR(VLOOKUP(Consulta1[[#This Row],[Pozo largo]],Controles!B:H,7,FALSE),"NO")</f>
        <v>0.75800000000000001</v>
      </c>
      <c r="L2691" s="5">
        <f>IFERROR(VLOOKUP(Consulta1[[#This Row],[Pozo largo]],Controles!B:J,9,FALSE),"NO")</f>
        <v>0</v>
      </c>
    </row>
    <row r="2692" spans="2:12" x14ac:dyDescent="0.35">
      <c r="B2692" s="4" t="s">
        <v>5147</v>
      </c>
      <c r="C2692" s="4" t="s">
        <v>8397</v>
      </c>
      <c r="D2692" s="4" t="s">
        <v>5</v>
      </c>
      <c r="E2692" s="4" t="s">
        <v>6</v>
      </c>
      <c r="F2692" s="4" t="s">
        <v>238</v>
      </c>
      <c r="G2692" s="4" t="s">
        <v>5718</v>
      </c>
      <c r="H2692" s="4" t="s">
        <v>21</v>
      </c>
      <c r="I2692" s="5" t="str">
        <f>IFERROR(VLOOKUP(Consulta1[[#This Row],[Pozo largo]],'Lista YPF'!$B$3:$C$358,2,FALSE),"NO")</f>
        <v>En lista de Abandono</v>
      </c>
      <c r="J2692" s="5" t="str">
        <f>IFERROR(VLOOKUP(Consulta1[[#This Row],[Pozo]],'Lista Oportunidades'!B:C,2,FALSE),"NO")</f>
        <v>NO</v>
      </c>
      <c r="K2692" s="5">
        <f>IFERROR(VLOOKUP(Consulta1[[#This Row],[Pozo largo]],Controles!B:H,7,FALSE),"NO")</f>
        <v>0.71</v>
      </c>
      <c r="L2692" s="5">
        <f>IFERROR(VLOOKUP(Consulta1[[#This Row],[Pozo largo]],Controles!B:J,9,FALSE),"NO")</f>
        <v>0</v>
      </c>
    </row>
    <row r="2693" spans="2:12" x14ac:dyDescent="0.35">
      <c r="B2693" s="4" t="s">
        <v>5149</v>
      </c>
      <c r="C2693" s="4" t="s">
        <v>8398</v>
      </c>
      <c r="D2693" s="4" t="s">
        <v>5</v>
      </c>
      <c r="E2693" s="4" t="s">
        <v>12</v>
      </c>
      <c r="F2693" s="4" t="s">
        <v>25</v>
      </c>
      <c r="G2693" s="4" t="s">
        <v>13</v>
      </c>
      <c r="H2693" s="4" t="s">
        <v>33</v>
      </c>
      <c r="I2693" s="5" t="str">
        <f>IFERROR(VLOOKUP(Consulta1[[#This Row],[Pozo largo]],'Lista YPF'!$B$3:$C$358,2,FALSE),"NO")</f>
        <v>NO</v>
      </c>
      <c r="J2693" s="5" t="str">
        <f>IFERROR(VLOOKUP(Consulta1[[#This Row],[Pozo]],'Lista Oportunidades'!B:C,2,FALSE),"NO")</f>
        <v>NO</v>
      </c>
      <c r="K2693" s="5">
        <f>IFERROR(VLOOKUP(Consulta1[[#This Row],[Pozo largo]],Controles!B:H,7,FALSE),"NO")</f>
        <v>0.115</v>
      </c>
      <c r="L2693" s="5">
        <f>IFERROR(VLOOKUP(Consulta1[[#This Row],[Pozo largo]],Controles!B:J,9,FALSE),"NO")</f>
        <v>0</v>
      </c>
    </row>
    <row r="2694" spans="2:12" x14ac:dyDescent="0.35">
      <c r="B2694" s="4" t="s">
        <v>5151</v>
      </c>
      <c r="C2694" s="4" t="s">
        <v>8399</v>
      </c>
      <c r="D2694" s="4" t="s">
        <v>5</v>
      </c>
      <c r="E2694" s="4" t="s">
        <v>12</v>
      </c>
      <c r="F2694" s="4" t="s">
        <v>238</v>
      </c>
      <c r="G2694" s="4" t="s">
        <v>13</v>
      </c>
      <c r="H2694" s="4" t="s">
        <v>21</v>
      </c>
      <c r="I2694" s="5" t="str">
        <f>IFERROR(VLOOKUP(Consulta1[[#This Row],[Pozo largo]],'Lista YPF'!$B$3:$C$358,2,FALSE),"NO")</f>
        <v>NO</v>
      </c>
      <c r="J2694" s="5" t="str">
        <f>IFERROR(VLOOKUP(Consulta1[[#This Row],[Pozo]],'Lista Oportunidades'!B:C,2,FALSE),"NO")</f>
        <v>NO</v>
      </c>
      <c r="K2694" s="5">
        <f>IFERROR(VLOOKUP(Consulta1[[#This Row],[Pozo largo]],Controles!B:H,7,FALSE),"NO")</f>
        <v>1.18</v>
      </c>
      <c r="L2694" s="5">
        <f>IFERROR(VLOOKUP(Consulta1[[#This Row],[Pozo largo]],Controles!B:J,9,FALSE),"NO")</f>
        <v>0</v>
      </c>
    </row>
    <row r="2695" spans="2:12" x14ac:dyDescent="0.35">
      <c r="B2695" s="4" t="s">
        <v>5153</v>
      </c>
      <c r="C2695" s="4" t="s">
        <v>8400</v>
      </c>
      <c r="D2695" s="4" t="s">
        <v>5</v>
      </c>
      <c r="E2695" s="4" t="s">
        <v>12</v>
      </c>
      <c r="F2695" s="4" t="s">
        <v>25</v>
      </c>
      <c r="G2695" s="4" t="s">
        <v>13</v>
      </c>
      <c r="H2695" s="4" t="s">
        <v>33</v>
      </c>
      <c r="I2695" s="5" t="str">
        <f>IFERROR(VLOOKUP(Consulta1[[#This Row],[Pozo largo]],'Lista YPF'!$B$3:$C$358,2,FALSE),"NO")</f>
        <v>NO</v>
      </c>
      <c r="J2695" s="5" t="str">
        <f>IFERROR(VLOOKUP(Consulta1[[#This Row],[Pozo]],'Lista Oportunidades'!B:C,2,FALSE),"NO")</f>
        <v>NO</v>
      </c>
      <c r="K2695" s="5">
        <f>IFERROR(VLOOKUP(Consulta1[[#This Row],[Pozo largo]],Controles!B:H,7,FALSE),"NO")</f>
        <v>4.8000000000000001E-2</v>
      </c>
      <c r="L2695" s="5">
        <f>IFERROR(VLOOKUP(Consulta1[[#This Row],[Pozo largo]],Controles!B:J,9,FALSE),"NO")</f>
        <v>0</v>
      </c>
    </row>
    <row r="2696" spans="2:12" x14ac:dyDescent="0.35">
      <c r="B2696" s="4" t="s">
        <v>5155</v>
      </c>
      <c r="C2696" s="4" t="s">
        <v>8401</v>
      </c>
      <c r="D2696" s="4" t="s">
        <v>5</v>
      </c>
      <c r="E2696" s="4" t="s">
        <v>12</v>
      </c>
      <c r="F2696" s="4" t="s">
        <v>7</v>
      </c>
      <c r="G2696" s="4" t="s">
        <v>13</v>
      </c>
      <c r="H2696" s="4" t="s">
        <v>185</v>
      </c>
      <c r="I2696" s="5" t="str">
        <f>IFERROR(VLOOKUP(Consulta1[[#This Row],[Pozo largo]],'Lista YPF'!$B$3:$C$358,2,FALSE),"NO")</f>
        <v>NO</v>
      </c>
      <c r="J2696" s="5" t="str">
        <f>IFERROR(VLOOKUP(Consulta1[[#This Row],[Pozo]],'Lista Oportunidades'!B:C,2,FALSE),"NO")</f>
        <v>NO</v>
      </c>
      <c r="K2696" s="5">
        <f>IFERROR(VLOOKUP(Consulta1[[#This Row],[Pozo largo]],Controles!B:H,7,FALSE),"NO")</f>
        <v>0.24200000000000002</v>
      </c>
      <c r="L2696" s="5">
        <f>IFERROR(VLOOKUP(Consulta1[[#This Row],[Pozo largo]],Controles!B:J,9,FALSE),"NO")</f>
        <v>0</v>
      </c>
    </row>
    <row r="2697" spans="2:12" x14ac:dyDescent="0.35">
      <c r="B2697" s="4" t="s">
        <v>5157</v>
      </c>
      <c r="C2697" s="4" t="s">
        <v>8402</v>
      </c>
      <c r="D2697" s="4" t="s">
        <v>5</v>
      </c>
      <c r="E2697" s="4" t="s">
        <v>24</v>
      </c>
      <c r="F2697" s="4" t="s">
        <v>7</v>
      </c>
      <c r="G2697" s="4" t="s">
        <v>8</v>
      </c>
      <c r="H2697" s="4" t="s">
        <v>71</v>
      </c>
      <c r="I2697" s="5" t="str">
        <f>IFERROR(VLOOKUP(Consulta1[[#This Row],[Pozo largo]],'Lista YPF'!$B$3:$C$358,2,FALSE),"NO")</f>
        <v>NO</v>
      </c>
      <c r="J2697" s="5" t="str">
        <f>IFERROR(VLOOKUP(Consulta1[[#This Row],[Pozo]],'Lista Oportunidades'!B:C,2,FALSE),"NO")</f>
        <v>NO</v>
      </c>
      <c r="K2697" s="5">
        <f>IFERROR(VLOOKUP(Consulta1[[#This Row],[Pozo largo]],Controles!B:H,7,FALSE),"NO")</f>
        <v>0.08</v>
      </c>
      <c r="L2697" s="5">
        <f>IFERROR(VLOOKUP(Consulta1[[#This Row],[Pozo largo]],Controles!B:J,9,FALSE),"NO")</f>
        <v>0</v>
      </c>
    </row>
    <row r="2698" spans="2:12" x14ac:dyDescent="0.35">
      <c r="B2698" s="4" t="s">
        <v>5159</v>
      </c>
      <c r="C2698" s="4" t="s">
        <v>8403</v>
      </c>
      <c r="D2698" s="4" t="s">
        <v>5</v>
      </c>
      <c r="E2698" s="4" t="s">
        <v>12</v>
      </c>
      <c r="F2698" s="4" t="s">
        <v>7</v>
      </c>
      <c r="G2698" s="4" t="s">
        <v>13</v>
      </c>
      <c r="H2698" s="4" t="s">
        <v>80</v>
      </c>
      <c r="I2698" s="5" t="str">
        <f>IFERROR(VLOOKUP(Consulta1[[#This Row],[Pozo largo]],'Lista YPF'!$B$3:$C$358,2,FALSE),"NO")</f>
        <v>NO</v>
      </c>
      <c r="J2698" s="5" t="str">
        <f>IFERROR(VLOOKUP(Consulta1[[#This Row],[Pozo]],'Lista Oportunidades'!B:C,2,FALSE),"NO")</f>
        <v>NO</v>
      </c>
      <c r="K2698" s="5">
        <f>IFERROR(VLOOKUP(Consulta1[[#This Row],[Pozo largo]],Controles!B:H,7,FALSE),"NO")</f>
        <v>1.06</v>
      </c>
      <c r="L2698" s="5">
        <f>IFERROR(VLOOKUP(Consulta1[[#This Row],[Pozo largo]],Controles!B:J,9,FALSE),"NO")</f>
        <v>0</v>
      </c>
    </row>
    <row r="2699" spans="2:12" x14ac:dyDescent="0.35">
      <c r="B2699" s="4" t="s">
        <v>5161</v>
      </c>
      <c r="C2699" s="4" t="s">
        <v>8404</v>
      </c>
      <c r="D2699" s="4" t="s">
        <v>5</v>
      </c>
      <c r="E2699" s="4" t="s">
        <v>12</v>
      </c>
      <c r="F2699" s="4" t="s">
        <v>7</v>
      </c>
      <c r="G2699" s="4" t="s">
        <v>13</v>
      </c>
      <c r="H2699" s="4" t="s">
        <v>86</v>
      </c>
      <c r="I2699" s="5" t="str">
        <f>IFERROR(VLOOKUP(Consulta1[[#This Row],[Pozo largo]],'Lista YPF'!$B$3:$C$358,2,FALSE),"NO")</f>
        <v>NO</v>
      </c>
      <c r="J2699" s="5" t="str">
        <f>IFERROR(VLOOKUP(Consulta1[[#This Row],[Pozo]],'Lista Oportunidades'!B:C,2,FALSE),"NO")</f>
        <v>NO</v>
      </c>
      <c r="K2699" s="5">
        <f>IFERROR(VLOOKUP(Consulta1[[#This Row],[Pozo largo]],Controles!B:H,7,FALSE),"NO")</f>
        <v>0.8</v>
      </c>
      <c r="L2699" s="5">
        <f>IFERROR(VLOOKUP(Consulta1[[#This Row],[Pozo largo]],Controles!B:J,9,FALSE),"NO")</f>
        <v>0</v>
      </c>
    </row>
    <row r="2700" spans="2:12" x14ac:dyDescent="0.35">
      <c r="B2700" s="4" t="s">
        <v>5163</v>
      </c>
      <c r="C2700" s="4" t="s">
        <v>8405</v>
      </c>
      <c r="D2700" s="4" t="s">
        <v>5</v>
      </c>
      <c r="E2700" s="4" t="s">
        <v>30</v>
      </c>
      <c r="F2700" s="4" t="s">
        <v>31</v>
      </c>
      <c r="G2700" s="4" t="s">
        <v>32</v>
      </c>
      <c r="H2700" s="4" t="s">
        <v>80</v>
      </c>
      <c r="I2700" s="5" t="str">
        <f>IFERROR(VLOOKUP(Consulta1[[#This Row],[Pozo largo]],'Lista YPF'!$B$3:$C$358,2,FALSE),"NO")</f>
        <v>NO</v>
      </c>
      <c r="J2700" s="5" t="str">
        <f>IFERROR(VLOOKUP(Consulta1[[#This Row],[Pozo]],'Lista Oportunidades'!B:C,2,FALSE),"NO")</f>
        <v>NO</v>
      </c>
      <c r="K2700" s="5">
        <f>IFERROR(VLOOKUP(Consulta1[[#This Row],[Pozo largo]],Controles!B:H,7,FALSE),"NO")</f>
        <v>0.95700000000000007</v>
      </c>
      <c r="L2700" s="5">
        <f>IFERROR(VLOOKUP(Consulta1[[#This Row],[Pozo largo]],Controles!B:J,9,FALSE),"NO")</f>
        <v>0</v>
      </c>
    </row>
    <row r="2701" spans="2:12" x14ac:dyDescent="0.35">
      <c r="B2701" s="4" t="s">
        <v>5165</v>
      </c>
      <c r="C2701" s="4" t="s">
        <v>8406</v>
      </c>
      <c r="D2701" s="4" t="s">
        <v>5</v>
      </c>
      <c r="E2701" s="4" t="s">
        <v>6</v>
      </c>
      <c r="F2701" s="4" t="s">
        <v>7</v>
      </c>
      <c r="G2701" s="4" t="s">
        <v>5718</v>
      </c>
      <c r="H2701" s="4" t="s">
        <v>86</v>
      </c>
      <c r="I2701" s="5" t="str">
        <f>IFERROR(VLOOKUP(Consulta1[[#This Row],[Pozo largo]],'Lista YPF'!$B$3:$C$358,2,FALSE),"NO")</f>
        <v>En lista de Abandono</v>
      </c>
      <c r="J2701" s="5" t="str">
        <f>IFERROR(VLOOKUP(Consulta1[[#This Row],[Pozo]],'Lista Oportunidades'!B:C,2,FALSE),"NO")</f>
        <v>NO</v>
      </c>
      <c r="K2701" s="5">
        <f>IFERROR(VLOOKUP(Consulta1[[#This Row],[Pozo largo]],Controles!B:H,7,FALSE),"NO")</f>
        <v>0.57500000000000007</v>
      </c>
      <c r="L2701" s="5">
        <f>IFERROR(VLOOKUP(Consulta1[[#This Row],[Pozo largo]],Controles!B:J,9,FALSE),"NO")</f>
        <v>0</v>
      </c>
    </row>
    <row r="2702" spans="2:12" x14ac:dyDescent="0.35">
      <c r="B2702" s="4" t="s">
        <v>5167</v>
      </c>
      <c r="C2702" s="4" t="s">
        <v>8407</v>
      </c>
      <c r="D2702" s="4" t="s">
        <v>5</v>
      </c>
      <c r="E2702" s="4" t="s">
        <v>12</v>
      </c>
      <c r="F2702" s="4" t="s">
        <v>7</v>
      </c>
      <c r="G2702" s="4" t="s">
        <v>13</v>
      </c>
      <c r="H2702" s="4" t="s">
        <v>185</v>
      </c>
      <c r="I2702" s="5" t="str">
        <f>IFERROR(VLOOKUP(Consulta1[[#This Row],[Pozo largo]],'Lista YPF'!$B$3:$C$358,2,FALSE),"NO")</f>
        <v>NO</v>
      </c>
      <c r="J2702" s="5" t="str">
        <f>IFERROR(VLOOKUP(Consulta1[[#This Row],[Pozo]],'Lista Oportunidades'!B:C,2,FALSE),"NO")</f>
        <v>NO</v>
      </c>
      <c r="K2702" s="5">
        <f>IFERROR(VLOOKUP(Consulta1[[#This Row],[Pozo largo]],Controles!B:H,7,FALSE),"NO")</f>
        <v>0.64500000000000002</v>
      </c>
      <c r="L2702" s="5">
        <f>IFERROR(VLOOKUP(Consulta1[[#This Row],[Pozo largo]],Controles!B:J,9,FALSE),"NO")</f>
        <v>0</v>
      </c>
    </row>
    <row r="2703" spans="2:12" x14ac:dyDescent="0.35">
      <c r="B2703" s="4" t="s">
        <v>5169</v>
      </c>
      <c r="C2703" s="4" t="s">
        <v>8408</v>
      </c>
      <c r="D2703" s="4" t="s">
        <v>5</v>
      </c>
      <c r="E2703" s="4" t="s">
        <v>12</v>
      </c>
      <c r="F2703" s="4" t="s">
        <v>7</v>
      </c>
      <c r="G2703" s="4" t="s">
        <v>13</v>
      </c>
      <c r="H2703" s="4" t="s">
        <v>9</v>
      </c>
      <c r="I2703" s="5" t="str">
        <f>IFERROR(VLOOKUP(Consulta1[[#This Row],[Pozo largo]],'Lista YPF'!$B$3:$C$358,2,FALSE),"NO")</f>
        <v>NO</v>
      </c>
      <c r="J2703" s="5" t="str">
        <f>IFERROR(VLOOKUP(Consulta1[[#This Row],[Pozo]],'Lista Oportunidades'!B:C,2,FALSE),"NO")</f>
        <v>NO</v>
      </c>
      <c r="K2703" s="5">
        <f>IFERROR(VLOOKUP(Consulta1[[#This Row],[Pozo largo]],Controles!B:H,7,FALSE),"NO")</f>
        <v>0.5</v>
      </c>
      <c r="L2703" s="5">
        <f>IFERROR(VLOOKUP(Consulta1[[#This Row],[Pozo largo]],Controles!B:J,9,FALSE),"NO")</f>
        <v>0</v>
      </c>
    </row>
    <row r="2704" spans="2:12" x14ac:dyDescent="0.35">
      <c r="B2704" s="4" t="s">
        <v>5171</v>
      </c>
      <c r="C2704" s="4" t="s">
        <v>8409</v>
      </c>
      <c r="D2704" s="4" t="s">
        <v>5</v>
      </c>
      <c r="E2704" s="4" t="s">
        <v>12</v>
      </c>
      <c r="F2704" s="4" t="s">
        <v>7</v>
      </c>
      <c r="G2704" s="4" t="s">
        <v>13</v>
      </c>
      <c r="H2704" s="4" t="s">
        <v>86</v>
      </c>
      <c r="I2704" s="5" t="str">
        <f>IFERROR(VLOOKUP(Consulta1[[#This Row],[Pozo largo]],'Lista YPF'!$B$3:$C$358,2,FALSE),"NO")</f>
        <v>NO</v>
      </c>
      <c r="J2704" s="5" t="str">
        <f>IFERROR(VLOOKUP(Consulta1[[#This Row],[Pozo]],'Lista Oportunidades'!B:C,2,FALSE),"NO")</f>
        <v>NO</v>
      </c>
      <c r="K2704" s="5">
        <f>IFERROR(VLOOKUP(Consulta1[[#This Row],[Pozo largo]],Controles!B:H,7,FALSE),"NO")</f>
        <v>2</v>
      </c>
      <c r="L2704" s="5">
        <f>IFERROR(VLOOKUP(Consulta1[[#This Row],[Pozo largo]],Controles!B:J,9,FALSE),"NO")</f>
        <v>0</v>
      </c>
    </row>
    <row r="2705" spans="2:12" x14ac:dyDescent="0.35">
      <c r="B2705" s="4" t="s">
        <v>5173</v>
      </c>
      <c r="C2705" s="4" t="s">
        <v>8410</v>
      </c>
      <c r="D2705" s="4" t="s">
        <v>5</v>
      </c>
      <c r="E2705" s="4" t="s">
        <v>12</v>
      </c>
      <c r="F2705" s="4" t="s">
        <v>7</v>
      </c>
      <c r="G2705" s="4" t="s">
        <v>13</v>
      </c>
      <c r="H2705" s="4" t="s">
        <v>9</v>
      </c>
      <c r="I2705" s="5" t="str">
        <f>IFERROR(VLOOKUP(Consulta1[[#This Row],[Pozo largo]],'Lista YPF'!$B$3:$C$358,2,FALSE),"NO")</f>
        <v>NO</v>
      </c>
      <c r="J2705" s="5" t="str">
        <f>IFERROR(VLOOKUP(Consulta1[[#This Row],[Pozo]],'Lista Oportunidades'!B:C,2,FALSE),"NO")</f>
        <v>NO</v>
      </c>
      <c r="K2705" s="5">
        <f>IFERROR(VLOOKUP(Consulta1[[#This Row],[Pozo largo]],Controles!B:H,7,FALSE),"NO")</f>
        <v>1.68</v>
      </c>
      <c r="L2705" s="5">
        <f>IFERROR(VLOOKUP(Consulta1[[#This Row],[Pozo largo]],Controles!B:J,9,FALSE),"NO")</f>
        <v>0</v>
      </c>
    </row>
    <row r="2706" spans="2:12" x14ac:dyDescent="0.35">
      <c r="B2706" s="4" t="s">
        <v>5175</v>
      </c>
      <c r="C2706" s="4" t="s">
        <v>8411</v>
      </c>
      <c r="D2706" s="4" t="s">
        <v>5</v>
      </c>
      <c r="E2706" s="4" t="s">
        <v>430</v>
      </c>
      <c r="F2706" s="4" t="s">
        <v>7</v>
      </c>
      <c r="G2706" s="4" t="s">
        <v>5718</v>
      </c>
      <c r="H2706" s="4" t="s">
        <v>33</v>
      </c>
      <c r="I2706" s="5" t="str">
        <f>IFERROR(VLOOKUP(Consulta1[[#This Row],[Pozo largo]],'Lista YPF'!$B$3:$C$358,2,FALSE),"NO")</f>
        <v>En lista de Abandono</v>
      </c>
      <c r="J2706" s="5" t="str">
        <f>IFERROR(VLOOKUP(Consulta1[[#This Row],[Pozo]],'Lista Oportunidades'!B:C,2,FALSE),"NO")</f>
        <v>NO</v>
      </c>
      <c r="K2706" s="5">
        <f>IFERROR(VLOOKUP(Consulta1[[#This Row],[Pozo largo]],Controles!B:H,7,FALSE),"NO")</f>
        <v>1.35</v>
      </c>
      <c r="L2706" s="5">
        <f>IFERROR(VLOOKUP(Consulta1[[#This Row],[Pozo largo]],Controles!B:J,9,FALSE),"NO")</f>
        <v>0</v>
      </c>
    </row>
    <row r="2707" spans="2:12" x14ac:dyDescent="0.35">
      <c r="B2707" s="4" t="s">
        <v>5177</v>
      </c>
      <c r="C2707" s="4" t="s">
        <v>8412</v>
      </c>
      <c r="D2707" s="4" t="s">
        <v>5</v>
      </c>
      <c r="E2707" s="4" t="s">
        <v>12</v>
      </c>
      <c r="F2707" s="4" t="s">
        <v>7</v>
      </c>
      <c r="G2707" s="4" t="s">
        <v>13</v>
      </c>
      <c r="H2707" s="4" t="s">
        <v>185</v>
      </c>
      <c r="I2707" s="5" t="str">
        <f>IFERROR(VLOOKUP(Consulta1[[#This Row],[Pozo largo]],'Lista YPF'!$B$3:$C$358,2,FALSE),"NO")</f>
        <v>NO</v>
      </c>
      <c r="J2707" s="5" t="str">
        <f>IFERROR(VLOOKUP(Consulta1[[#This Row],[Pozo]],'Lista Oportunidades'!B:C,2,FALSE),"NO")</f>
        <v>NO</v>
      </c>
      <c r="K2707" s="5">
        <f>IFERROR(VLOOKUP(Consulta1[[#This Row],[Pozo largo]],Controles!B:H,7,FALSE),"NO")</f>
        <v>1.798</v>
      </c>
      <c r="L2707" s="5">
        <f>IFERROR(VLOOKUP(Consulta1[[#This Row],[Pozo largo]],Controles!B:J,9,FALSE),"NO")</f>
        <v>0</v>
      </c>
    </row>
    <row r="2708" spans="2:12" x14ac:dyDescent="0.35">
      <c r="B2708" s="4" t="s">
        <v>5179</v>
      </c>
      <c r="C2708" s="4" t="s">
        <v>8413</v>
      </c>
      <c r="D2708" s="4" t="s">
        <v>5</v>
      </c>
      <c r="E2708" s="4" t="s">
        <v>24</v>
      </c>
      <c r="F2708" s="4" t="s">
        <v>7</v>
      </c>
      <c r="G2708" s="4" t="s">
        <v>8</v>
      </c>
      <c r="H2708" s="4" t="s">
        <v>33</v>
      </c>
      <c r="I2708" s="5" t="str">
        <f>IFERROR(VLOOKUP(Consulta1[[#This Row],[Pozo largo]],'Lista YPF'!$B$3:$C$358,2,FALSE),"NO")</f>
        <v>NO</v>
      </c>
      <c r="J2708" s="5" t="str">
        <f>IFERROR(VLOOKUP(Consulta1[[#This Row],[Pozo]],'Lista Oportunidades'!B:C,2,FALSE),"NO")</f>
        <v>NO</v>
      </c>
      <c r="K2708" s="5">
        <f>IFERROR(VLOOKUP(Consulta1[[#This Row],[Pozo largo]],Controles!B:H,7,FALSE),"NO")</f>
        <v>0.55500000000000005</v>
      </c>
      <c r="L2708" s="5">
        <f>IFERROR(VLOOKUP(Consulta1[[#This Row],[Pozo largo]],Controles!B:J,9,FALSE),"NO")</f>
        <v>0</v>
      </c>
    </row>
    <row r="2709" spans="2:12" x14ac:dyDescent="0.35">
      <c r="B2709" s="4" t="s">
        <v>5181</v>
      </c>
      <c r="C2709" s="4" t="s">
        <v>8414</v>
      </c>
      <c r="D2709" s="4" t="s">
        <v>5</v>
      </c>
      <c r="E2709" s="4" t="s">
        <v>12</v>
      </c>
      <c r="F2709" s="4" t="s">
        <v>7</v>
      </c>
      <c r="G2709" s="4" t="s">
        <v>13</v>
      </c>
      <c r="H2709" s="4" t="s">
        <v>84</v>
      </c>
      <c r="I2709" s="5" t="str">
        <f>IFERROR(VLOOKUP(Consulta1[[#This Row],[Pozo largo]],'Lista YPF'!$B$3:$C$358,2,FALSE),"NO")</f>
        <v>NO</v>
      </c>
      <c r="J2709" s="5" t="str">
        <f>IFERROR(VLOOKUP(Consulta1[[#This Row],[Pozo]],'Lista Oportunidades'!B:C,2,FALSE),"NO")</f>
        <v>NO</v>
      </c>
      <c r="K2709" s="5">
        <f>IFERROR(VLOOKUP(Consulta1[[#This Row],[Pozo largo]],Controles!B:H,7,FALSE),"NO")</f>
        <v>1.3360000000000001</v>
      </c>
      <c r="L2709" s="5">
        <f>IFERROR(VLOOKUP(Consulta1[[#This Row],[Pozo largo]],Controles!B:J,9,FALSE),"NO")</f>
        <v>0</v>
      </c>
    </row>
    <row r="2710" spans="2:12" x14ac:dyDescent="0.35">
      <c r="B2710" s="4" t="s">
        <v>5183</v>
      </c>
      <c r="C2710" s="4" t="s">
        <v>8415</v>
      </c>
      <c r="D2710" s="4" t="s">
        <v>5</v>
      </c>
      <c r="E2710" s="4" t="s">
        <v>12</v>
      </c>
      <c r="F2710" s="4" t="s">
        <v>7</v>
      </c>
      <c r="G2710" s="4" t="s">
        <v>13</v>
      </c>
      <c r="H2710" s="4" t="s">
        <v>86</v>
      </c>
      <c r="I2710" s="5" t="str">
        <f>IFERROR(VLOOKUP(Consulta1[[#This Row],[Pozo largo]],'Lista YPF'!$B$3:$C$358,2,FALSE),"NO")</f>
        <v>NO</v>
      </c>
      <c r="J2710" s="5" t="str">
        <f>IFERROR(VLOOKUP(Consulta1[[#This Row],[Pozo]],'Lista Oportunidades'!B:C,2,FALSE),"NO")</f>
        <v>NO</v>
      </c>
      <c r="K2710" s="5">
        <f>IFERROR(VLOOKUP(Consulta1[[#This Row],[Pozo largo]],Controles!B:H,7,FALSE),"NO")</f>
        <v>1.54</v>
      </c>
      <c r="L2710" s="5">
        <f>IFERROR(VLOOKUP(Consulta1[[#This Row],[Pozo largo]],Controles!B:J,9,FALSE),"NO")</f>
        <v>0</v>
      </c>
    </row>
    <row r="2711" spans="2:12" x14ac:dyDescent="0.35">
      <c r="B2711" s="4" t="s">
        <v>5185</v>
      </c>
      <c r="C2711" s="4" t="s">
        <v>8416</v>
      </c>
      <c r="D2711" s="4" t="s">
        <v>5</v>
      </c>
      <c r="E2711" s="4" t="s">
        <v>12</v>
      </c>
      <c r="F2711" s="4" t="s">
        <v>7</v>
      </c>
      <c r="G2711" s="4" t="s">
        <v>13</v>
      </c>
      <c r="H2711" s="4" t="s">
        <v>86</v>
      </c>
      <c r="I2711" s="5" t="str">
        <f>IFERROR(VLOOKUP(Consulta1[[#This Row],[Pozo largo]],'Lista YPF'!$B$3:$C$358,2,FALSE),"NO")</f>
        <v>NO</v>
      </c>
      <c r="J2711" s="5" t="str">
        <f>IFERROR(VLOOKUP(Consulta1[[#This Row],[Pozo]],'Lista Oportunidades'!B:C,2,FALSE),"NO")</f>
        <v>NO</v>
      </c>
      <c r="K2711" s="5">
        <f>IFERROR(VLOOKUP(Consulta1[[#This Row],[Pozo largo]],Controles!B:H,7,FALSE),"NO")</f>
        <v>0.14100000000000001</v>
      </c>
      <c r="L2711" s="5">
        <f>IFERROR(VLOOKUP(Consulta1[[#This Row],[Pozo largo]],Controles!B:J,9,FALSE),"NO")</f>
        <v>0</v>
      </c>
    </row>
    <row r="2712" spans="2:12" x14ac:dyDescent="0.35">
      <c r="B2712" s="4" t="s">
        <v>5187</v>
      </c>
      <c r="C2712" s="4" t="s">
        <v>8417</v>
      </c>
      <c r="D2712" s="4" t="s">
        <v>5</v>
      </c>
      <c r="E2712" s="4" t="s">
        <v>12</v>
      </c>
      <c r="F2712" s="4" t="s">
        <v>7</v>
      </c>
      <c r="G2712" s="4" t="s">
        <v>13</v>
      </c>
      <c r="H2712" s="4" t="s">
        <v>9</v>
      </c>
      <c r="I2712" s="5" t="str">
        <f>IFERROR(VLOOKUP(Consulta1[[#This Row],[Pozo largo]],'Lista YPF'!$B$3:$C$358,2,FALSE),"NO")</f>
        <v>NO</v>
      </c>
      <c r="J2712" s="5" t="str">
        <f>IFERROR(VLOOKUP(Consulta1[[#This Row],[Pozo]],'Lista Oportunidades'!B:C,2,FALSE),"NO")</f>
        <v>NO</v>
      </c>
      <c r="K2712" s="5">
        <f>IFERROR(VLOOKUP(Consulta1[[#This Row],[Pozo largo]],Controles!B:H,7,FALSE),"NO")</f>
        <v>2.0100000000000002</v>
      </c>
      <c r="L2712" s="5">
        <f>IFERROR(VLOOKUP(Consulta1[[#This Row],[Pozo largo]],Controles!B:J,9,FALSE),"NO")</f>
        <v>0</v>
      </c>
    </row>
    <row r="2713" spans="2:12" x14ac:dyDescent="0.35">
      <c r="B2713" s="4" t="s">
        <v>5189</v>
      </c>
      <c r="C2713" s="4" t="s">
        <v>8418</v>
      </c>
      <c r="D2713" s="4" t="s">
        <v>5</v>
      </c>
      <c r="E2713" s="4" t="s">
        <v>12</v>
      </c>
      <c r="F2713" s="4" t="s">
        <v>7</v>
      </c>
      <c r="G2713" s="4" t="s">
        <v>13</v>
      </c>
      <c r="H2713" s="4" t="s">
        <v>80</v>
      </c>
      <c r="I2713" s="5" t="str">
        <f>IFERROR(VLOOKUP(Consulta1[[#This Row],[Pozo largo]],'Lista YPF'!$B$3:$C$358,2,FALSE),"NO")</f>
        <v>NO</v>
      </c>
      <c r="J2713" s="5" t="str">
        <f>IFERROR(VLOOKUP(Consulta1[[#This Row],[Pozo]],'Lista Oportunidades'!B:C,2,FALSE),"NO")</f>
        <v>NO</v>
      </c>
      <c r="K2713" s="5">
        <f>IFERROR(VLOOKUP(Consulta1[[#This Row],[Pozo largo]],Controles!B:H,7,FALSE),"NO")</f>
        <v>0.91</v>
      </c>
      <c r="L2713" s="5">
        <f>IFERROR(VLOOKUP(Consulta1[[#This Row],[Pozo largo]],Controles!B:J,9,FALSE),"NO")</f>
        <v>0</v>
      </c>
    </row>
    <row r="2714" spans="2:12" x14ac:dyDescent="0.35">
      <c r="B2714" s="4" t="s">
        <v>5191</v>
      </c>
      <c r="C2714" s="4" t="s">
        <v>8419</v>
      </c>
      <c r="D2714" s="4" t="s">
        <v>5</v>
      </c>
      <c r="E2714" s="4" t="s">
        <v>30</v>
      </c>
      <c r="F2714" s="4" t="s">
        <v>31</v>
      </c>
      <c r="G2714" s="4" t="s">
        <v>32</v>
      </c>
      <c r="H2714" s="4" t="s">
        <v>91</v>
      </c>
      <c r="I2714" s="5" t="str">
        <f>IFERROR(VLOOKUP(Consulta1[[#This Row],[Pozo largo]],'Lista YPF'!$B$3:$C$358,2,FALSE),"NO")</f>
        <v>NO</v>
      </c>
      <c r="J2714" s="5" t="str">
        <f>IFERROR(VLOOKUP(Consulta1[[#This Row],[Pozo]],'Lista Oportunidades'!B:C,2,FALSE),"NO")</f>
        <v>NO</v>
      </c>
      <c r="K2714" s="5" t="str">
        <f>IFERROR(VLOOKUP(Consulta1[[#This Row],[Pozo largo]],Controles!B:H,7,FALSE),"NO")</f>
        <v>NO</v>
      </c>
      <c r="L2714" s="5" t="str">
        <f>IFERROR(VLOOKUP(Consulta1[[#This Row],[Pozo largo]],Controles!B:J,9,FALSE),"NO")</f>
        <v>NO</v>
      </c>
    </row>
    <row r="2715" spans="2:12" x14ac:dyDescent="0.35">
      <c r="B2715" s="4" t="s">
        <v>5192</v>
      </c>
      <c r="C2715" s="4" t="s">
        <v>8420</v>
      </c>
      <c r="D2715" s="4" t="s">
        <v>5</v>
      </c>
      <c r="E2715" s="4" t="s">
        <v>12</v>
      </c>
      <c r="F2715" s="4" t="s">
        <v>7</v>
      </c>
      <c r="G2715" s="4" t="s">
        <v>13</v>
      </c>
      <c r="H2715" s="4" t="s">
        <v>86</v>
      </c>
      <c r="I2715" s="5" t="str">
        <f>IFERROR(VLOOKUP(Consulta1[[#This Row],[Pozo largo]],'Lista YPF'!$B$3:$C$358,2,FALSE),"NO")</f>
        <v>NO</v>
      </c>
      <c r="J2715" s="5" t="str">
        <f>IFERROR(VLOOKUP(Consulta1[[#This Row],[Pozo]],'Lista Oportunidades'!B:C,2,FALSE),"NO")</f>
        <v>NO</v>
      </c>
      <c r="K2715" s="5">
        <f>IFERROR(VLOOKUP(Consulta1[[#This Row],[Pozo largo]],Controles!B:H,7,FALSE),"NO")</f>
        <v>1.502</v>
      </c>
      <c r="L2715" s="5">
        <f>IFERROR(VLOOKUP(Consulta1[[#This Row],[Pozo largo]],Controles!B:J,9,FALSE),"NO")</f>
        <v>0</v>
      </c>
    </row>
    <row r="2716" spans="2:12" x14ac:dyDescent="0.35">
      <c r="B2716" s="4" t="s">
        <v>5194</v>
      </c>
      <c r="C2716" s="4" t="s">
        <v>8421</v>
      </c>
      <c r="D2716" s="4" t="s">
        <v>5</v>
      </c>
      <c r="E2716" s="4" t="s">
        <v>30</v>
      </c>
      <c r="F2716" s="4" t="s">
        <v>31</v>
      </c>
      <c r="G2716" s="4" t="s">
        <v>32</v>
      </c>
      <c r="H2716" s="4" t="s">
        <v>80</v>
      </c>
      <c r="I2716" s="5" t="str">
        <f>IFERROR(VLOOKUP(Consulta1[[#This Row],[Pozo largo]],'Lista YPF'!$B$3:$C$358,2,FALSE),"NO")</f>
        <v>NO</v>
      </c>
      <c r="J2716" s="5" t="str">
        <f>IFERROR(VLOOKUP(Consulta1[[#This Row],[Pozo]],'Lista Oportunidades'!B:C,2,FALSE),"NO")</f>
        <v>NO</v>
      </c>
      <c r="K2716" s="5" t="str">
        <f>IFERROR(VLOOKUP(Consulta1[[#This Row],[Pozo largo]],Controles!B:H,7,FALSE),"NO")</f>
        <v>NO</v>
      </c>
      <c r="L2716" s="5" t="str">
        <f>IFERROR(VLOOKUP(Consulta1[[#This Row],[Pozo largo]],Controles!B:J,9,FALSE),"NO")</f>
        <v>NO</v>
      </c>
    </row>
    <row r="2717" spans="2:12" x14ac:dyDescent="0.35">
      <c r="B2717" s="4" t="s">
        <v>5195</v>
      </c>
      <c r="C2717" s="4" t="s">
        <v>8422</v>
      </c>
      <c r="D2717" s="4" t="s">
        <v>5</v>
      </c>
      <c r="E2717" s="4" t="s">
        <v>24</v>
      </c>
      <c r="F2717" s="4" t="s">
        <v>28</v>
      </c>
      <c r="G2717" s="4" t="s">
        <v>8</v>
      </c>
      <c r="H2717" s="4" t="s">
        <v>86</v>
      </c>
      <c r="I2717" s="5" t="str">
        <f>IFERROR(VLOOKUP(Consulta1[[#This Row],[Pozo largo]],'Lista YPF'!$B$3:$C$358,2,FALSE),"NO")</f>
        <v>NO</v>
      </c>
      <c r="J2717" s="5" t="str">
        <f>IFERROR(VLOOKUP(Consulta1[[#This Row],[Pozo]],'Lista Oportunidades'!B:C,2,FALSE),"NO")</f>
        <v>NO</v>
      </c>
      <c r="K2717" s="5">
        <f>IFERROR(VLOOKUP(Consulta1[[#This Row],[Pozo largo]],Controles!B:H,7,FALSE),"NO")</f>
        <v>0</v>
      </c>
      <c r="L2717" s="5">
        <f>IFERROR(VLOOKUP(Consulta1[[#This Row],[Pozo largo]],Controles!B:J,9,FALSE),"NO")</f>
        <v>0</v>
      </c>
    </row>
    <row r="2718" spans="2:12" x14ac:dyDescent="0.35">
      <c r="B2718" s="4" t="s">
        <v>5197</v>
      </c>
      <c r="C2718" s="4" t="s">
        <v>8423</v>
      </c>
      <c r="D2718" s="4" t="s">
        <v>5</v>
      </c>
      <c r="E2718" s="4" t="s">
        <v>30</v>
      </c>
      <c r="F2718" s="4" t="s">
        <v>31</v>
      </c>
      <c r="G2718" s="4" t="s">
        <v>32</v>
      </c>
      <c r="H2718" s="4" t="s">
        <v>86</v>
      </c>
      <c r="I2718" s="5" t="str">
        <f>IFERROR(VLOOKUP(Consulta1[[#This Row],[Pozo largo]],'Lista YPF'!$B$3:$C$358,2,FALSE),"NO")</f>
        <v>NO</v>
      </c>
      <c r="J2718" s="5" t="str">
        <f>IFERROR(VLOOKUP(Consulta1[[#This Row],[Pozo]],'Lista Oportunidades'!B:C,2,FALSE),"NO")</f>
        <v>NO</v>
      </c>
      <c r="K2718" s="5" t="str">
        <f>IFERROR(VLOOKUP(Consulta1[[#This Row],[Pozo largo]],Controles!B:H,7,FALSE),"NO")</f>
        <v>NO</v>
      </c>
      <c r="L2718" s="5" t="str">
        <f>IFERROR(VLOOKUP(Consulta1[[#This Row],[Pozo largo]],Controles!B:J,9,FALSE),"NO")</f>
        <v>NO</v>
      </c>
    </row>
    <row r="2719" spans="2:12" x14ac:dyDescent="0.35">
      <c r="B2719" s="4" t="s">
        <v>5198</v>
      </c>
      <c r="C2719" s="4" t="s">
        <v>8424</v>
      </c>
      <c r="D2719" s="4" t="s">
        <v>5</v>
      </c>
      <c r="E2719" s="4" t="s">
        <v>12</v>
      </c>
      <c r="F2719" s="4" t="s">
        <v>28</v>
      </c>
      <c r="G2719" s="4" t="s">
        <v>13</v>
      </c>
      <c r="H2719" s="4" t="s">
        <v>86</v>
      </c>
      <c r="I2719" s="5" t="str">
        <f>IFERROR(VLOOKUP(Consulta1[[#This Row],[Pozo largo]],'Lista YPF'!$B$3:$C$358,2,FALSE),"NO")</f>
        <v>NO</v>
      </c>
      <c r="J2719" s="5" t="str">
        <f>IFERROR(VLOOKUP(Consulta1[[#This Row],[Pozo]],'Lista Oportunidades'!B:C,2,FALSE),"NO")</f>
        <v>NO</v>
      </c>
      <c r="K2719" s="5">
        <f>IFERROR(VLOOKUP(Consulta1[[#This Row],[Pozo largo]],Controles!B:H,7,FALSE),"NO")</f>
        <v>0</v>
      </c>
      <c r="L2719" s="5">
        <f>IFERROR(VLOOKUP(Consulta1[[#This Row],[Pozo largo]],Controles!B:J,9,FALSE),"NO")</f>
        <v>0</v>
      </c>
    </row>
    <row r="2720" spans="2:12" x14ac:dyDescent="0.35">
      <c r="B2720" s="4" t="s">
        <v>5200</v>
      </c>
      <c r="C2720" s="4" t="s">
        <v>8425</v>
      </c>
      <c r="D2720" s="4" t="s">
        <v>5</v>
      </c>
      <c r="E2720" s="4" t="s">
        <v>6</v>
      </c>
      <c r="F2720" s="4" t="s">
        <v>28</v>
      </c>
      <c r="G2720" s="4" t="s">
        <v>5718</v>
      </c>
      <c r="H2720" s="4" t="s">
        <v>86</v>
      </c>
      <c r="I2720" s="5" t="str">
        <f>IFERROR(VLOOKUP(Consulta1[[#This Row],[Pozo largo]],'Lista YPF'!$B$3:$C$358,2,FALSE),"NO")</f>
        <v>En lista de Abandono</v>
      </c>
      <c r="J2720" s="5" t="str">
        <f>IFERROR(VLOOKUP(Consulta1[[#This Row],[Pozo]],'Lista Oportunidades'!B:C,2,FALSE),"NO")</f>
        <v>NO</v>
      </c>
      <c r="K2720" s="5">
        <f>IFERROR(VLOOKUP(Consulta1[[#This Row],[Pozo largo]],Controles!B:H,7,FALSE),"NO")</f>
        <v>0</v>
      </c>
      <c r="L2720" s="5">
        <f>IFERROR(VLOOKUP(Consulta1[[#This Row],[Pozo largo]],Controles!B:J,9,FALSE),"NO")</f>
        <v>0</v>
      </c>
    </row>
    <row r="2721" spans="2:12" x14ac:dyDescent="0.35">
      <c r="B2721" s="4" t="s">
        <v>5202</v>
      </c>
      <c r="C2721" s="4" t="s">
        <v>8426</v>
      </c>
      <c r="D2721" s="4" t="s">
        <v>5</v>
      </c>
      <c r="E2721" s="4" t="s">
        <v>12</v>
      </c>
      <c r="F2721" s="4" t="s">
        <v>7</v>
      </c>
      <c r="G2721" s="4" t="s">
        <v>13</v>
      </c>
      <c r="H2721" s="4" t="s">
        <v>91</v>
      </c>
      <c r="I2721" s="5" t="str">
        <f>IFERROR(VLOOKUP(Consulta1[[#This Row],[Pozo largo]],'Lista YPF'!$B$3:$C$358,2,FALSE),"NO")</f>
        <v>NO</v>
      </c>
      <c r="J2721" s="5" t="str">
        <f>IFERROR(VLOOKUP(Consulta1[[#This Row],[Pozo]],'Lista Oportunidades'!B:C,2,FALSE),"NO")</f>
        <v>NO</v>
      </c>
      <c r="K2721" s="5">
        <f>IFERROR(VLOOKUP(Consulta1[[#This Row],[Pozo largo]],Controles!B:H,7,FALSE),"NO")</f>
        <v>1.05</v>
      </c>
      <c r="L2721" s="5">
        <f>IFERROR(VLOOKUP(Consulta1[[#This Row],[Pozo largo]],Controles!B:J,9,FALSE),"NO")</f>
        <v>0</v>
      </c>
    </row>
    <row r="2722" spans="2:12" x14ac:dyDescent="0.35">
      <c r="B2722" s="4" t="s">
        <v>5204</v>
      </c>
      <c r="C2722" s="4" t="s">
        <v>8427</v>
      </c>
      <c r="D2722" s="4" t="s">
        <v>5</v>
      </c>
      <c r="E2722" s="4" t="s">
        <v>24</v>
      </c>
      <c r="F2722" s="4" t="s">
        <v>31</v>
      </c>
      <c r="G2722" s="4" t="s">
        <v>8</v>
      </c>
      <c r="H2722" s="4" t="s">
        <v>141</v>
      </c>
      <c r="I2722" s="5" t="str">
        <f>IFERROR(VLOOKUP(Consulta1[[#This Row],[Pozo largo]],'Lista YPF'!$B$3:$C$358,2,FALSE),"NO")</f>
        <v>NO</v>
      </c>
      <c r="J2722" s="5" t="str">
        <f>IFERROR(VLOOKUP(Consulta1[[#This Row],[Pozo]],'Lista Oportunidades'!B:C,2,FALSE),"NO")</f>
        <v>NO</v>
      </c>
      <c r="K2722" s="5" t="str">
        <f>IFERROR(VLOOKUP(Consulta1[[#This Row],[Pozo largo]],Controles!B:H,7,FALSE),"NO")</f>
        <v>NO</v>
      </c>
      <c r="L2722" s="5" t="str">
        <f>IFERROR(VLOOKUP(Consulta1[[#This Row],[Pozo largo]],Controles!B:J,9,FALSE),"NO")</f>
        <v>NO</v>
      </c>
    </row>
    <row r="2723" spans="2:12" x14ac:dyDescent="0.35">
      <c r="B2723" s="4" t="s">
        <v>5205</v>
      </c>
      <c r="C2723" s="4" t="s">
        <v>8428</v>
      </c>
      <c r="D2723" s="4" t="s">
        <v>5</v>
      </c>
      <c r="E2723" s="4" t="s">
        <v>12</v>
      </c>
      <c r="F2723" s="4" t="s">
        <v>7</v>
      </c>
      <c r="G2723" s="4" t="s">
        <v>13</v>
      </c>
      <c r="H2723" s="4" t="s">
        <v>141</v>
      </c>
      <c r="I2723" s="5" t="str">
        <f>IFERROR(VLOOKUP(Consulta1[[#This Row],[Pozo largo]],'Lista YPF'!$B$3:$C$358,2,FALSE),"NO")</f>
        <v>NO</v>
      </c>
      <c r="J2723" s="5" t="str">
        <f>IFERROR(VLOOKUP(Consulta1[[#This Row],[Pozo]],'Lista Oportunidades'!B:C,2,FALSE),"NO")</f>
        <v>NO</v>
      </c>
      <c r="K2723" s="5">
        <f>IFERROR(VLOOKUP(Consulta1[[#This Row],[Pozo largo]],Controles!B:H,7,FALSE),"NO")</f>
        <v>1.204</v>
      </c>
      <c r="L2723" s="5">
        <f>IFERROR(VLOOKUP(Consulta1[[#This Row],[Pozo largo]],Controles!B:J,9,FALSE),"NO")</f>
        <v>0</v>
      </c>
    </row>
    <row r="2724" spans="2:12" x14ac:dyDescent="0.35">
      <c r="B2724" s="4" t="s">
        <v>5207</v>
      </c>
      <c r="C2724" s="4" t="s">
        <v>8429</v>
      </c>
      <c r="D2724" s="4" t="s">
        <v>5</v>
      </c>
      <c r="E2724" s="4" t="s">
        <v>24</v>
      </c>
      <c r="F2724" s="4" t="s">
        <v>31</v>
      </c>
      <c r="G2724" s="4" t="s">
        <v>8</v>
      </c>
      <c r="H2724" s="4" t="s">
        <v>185</v>
      </c>
      <c r="I2724" s="5" t="str">
        <f>IFERROR(VLOOKUP(Consulta1[[#This Row],[Pozo largo]],'Lista YPF'!$B$3:$C$358,2,FALSE),"NO")</f>
        <v>NO</v>
      </c>
      <c r="J2724" s="5" t="str">
        <f>IFERROR(VLOOKUP(Consulta1[[#This Row],[Pozo]],'Lista Oportunidades'!B:C,2,FALSE),"NO")</f>
        <v>NO</v>
      </c>
      <c r="K2724" s="5">
        <f>IFERROR(VLOOKUP(Consulta1[[#This Row],[Pozo largo]],Controles!B:H,7,FALSE),"NO")</f>
        <v>0.5</v>
      </c>
      <c r="L2724" s="5">
        <f>IFERROR(VLOOKUP(Consulta1[[#This Row],[Pozo largo]],Controles!B:J,9,FALSE),"NO")</f>
        <v>0</v>
      </c>
    </row>
    <row r="2725" spans="2:12" x14ac:dyDescent="0.35">
      <c r="B2725" s="4" t="s">
        <v>5209</v>
      </c>
      <c r="C2725" s="4" t="s">
        <v>8430</v>
      </c>
      <c r="D2725" s="4" t="s">
        <v>5</v>
      </c>
      <c r="E2725" s="4" t="s">
        <v>12</v>
      </c>
      <c r="F2725" s="4" t="s">
        <v>7</v>
      </c>
      <c r="G2725" s="4" t="s">
        <v>13</v>
      </c>
      <c r="H2725" s="4" t="s">
        <v>146</v>
      </c>
      <c r="I2725" s="5" t="str">
        <f>IFERROR(VLOOKUP(Consulta1[[#This Row],[Pozo largo]],'Lista YPF'!$B$3:$C$358,2,FALSE),"NO")</f>
        <v>NO</v>
      </c>
      <c r="J2725" s="5" t="str">
        <f>IFERROR(VLOOKUP(Consulta1[[#This Row],[Pozo]],'Lista Oportunidades'!B:C,2,FALSE),"NO")</f>
        <v>NO</v>
      </c>
      <c r="K2725" s="5">
        <f>IFERROR(VLOOKUP(Consulta1[[#This Row],[Pozo largo]],Controles!B:H,7,FALSE),"NO")</f>
        <v>1.6520000000000001</v>
      </c>
      <c r="L2725" s="5">
        <f>IFERROR(VLOOKUP(Consulta1[[#This Row],[Pozo largo]],Controles!B:J,9,FALSE),"NO")</f>
        <v>0</v>
      </c>
    </row>
    <row r="2726" spans="2:12" x14ac:dyDescent="0.35">
      <c r="B2726" s="4" t="s">
        <v>5211</v>
      </c>
      <c r="C2726" s="4" t="s">
        <v>8431</v>
      </c>
      <c r="D2726" s="4" t="s">
        <v>5</v>
      </c>
      <c r="E2726" s="4" t="s">
        <v>6</v>
      </c>
      <c r="F2726" s="4" t="s">
        <v>28</v>
      </c>
      <c r="G2726" s="4" t="s">
        <v>5718</v>
      </c>
      <c r="H2726" s="4" t="s">
        <v>16</v>
      </c>
      <c r="I2726" s="5" t="str">
        <f>IFERROR(VLOOKUP(Consulta1[[#This Row],[Pozo largo]],'Lista YPF'!$B$3:$C$358,2,FALSE),"NO")</f>
        <v>En lista de Abandono</v>
      </c>
      <c r="J2726" s="5" t="str">
        <f>IFERROR(VLOOKUP(Consulta1[[#This Row],[Pozo]],'Lista Oportunidades'!B:C,2,FALSE),"NO")</f>
        <v>NO</v>
      </c>
      <c r="K2726" s="5">
        <f>IFERROR(VLOOKUP(Consulta1[[#This Row],[Pozo largo]],Controles!B:H,7,FALSE),"NO")</f>
        <v>0</v>
      </c>
      <c r="L2726" s="5">
        <f>IFERROR(VLOOKUP(Consulta1[[#This Row],[Pozo largo]],Controles!B:J,9,FALSE),"NO")</f>
        <v>0</v>
      </c>
    </row>
    <row r="2727" spans="2:12" x14ac:dyDescent="0.35">
      <c r="B2727" s="4" t="s">
        <v>5213</v>
      </c>
      <c r="C2727" s="4" t="s">
        <v>8432</v>
      </c>
      <c r="D2727" s="4" t="s">
        <v>5</v>
      </c>
      <c r="E2727" s="4" t="s">
        <v>30</v>
      </c>
      <c r="F2727" s="4" t="s">
        <v>31</v>
      </c>
      <c r="G2727" s="4" t="s">
        <v>32</v>
      </c>
      <c r="H2727" s="4" t="s">
        <v>146</v>
      </c>
      <c r="I2727" s="5" t="str">
        <f>IFERROR(VLOOKUP(Consulta1[[#This Row],[Pozo largo]],'Lista YPF'!$B$3:$C$358,2,FALSE),"NO")</f>
        <v>NO</v>
      </c>
      <c r="J2727" s="5" t="str">
        <f>IFERROR(VLOOKUP(Consulta1[[#This Row],[Pozo]],'Lista Oportunidades'!B:C,2,FALSE),"NO")</f>
        <v>NO</v>
      </c>
      <c r="K2727" s="5">
        <f>IFERROR(VLOOKUP(Consulta1[[#This Row],[Pozo largo]],Controles!B:H,7,FALSE),"NO")</f>
        <v>0</v>
      </c>
      <c r="L2727" s="5">
        <f>IFERROR(VLOOKUP(Consulta1[[#This Row],[Pozo largo]],Controles!B:J,9,FALSE),"NO")</f>
        <v>0</v>
      </c>
    </row>
    <row r="2728" spans="2:12" x14ac:dyDescent="0.35">
      <c r="B2728" s="4" t="s">
        <v>5215</v>
      </c>
      <c r="C2728" s="4" t="s">
        <v>8433</v>
      </c>
      <c r="D2728" s="4" t="s">
        <v>5</v>
      </c>
      <c r="E2728" s="4" t="s">
        <v>12</v>
      </c>
      <c r="F2728" s="4" t="s">
        <v>7</v>
      </c>
      <c r="G2728" s="4" t="s">
        <v>13</v>
      </c>
      <c r="H2728" s="4" t="s">
        <v>66</v>
      </c>
      <c r="I2728" s="5" t="str">
        <f>IFERROR(VLOOKUP(Consulta1[[#This Row],[Pozo largo]],'Lista YPF'!$B$3:$C$358,2,FALSE),"NO")</f>
        <v>NO</v>
      </c>
      <c r="J2728" s="5" t="str">
        <f>IFERROR(VLOOKUP(Consulta1[[#This Row],[Pozo]],'Lista Oportunidades'!B:C,2,FALSE),"NO")</f>
        <v>NO</v>
      </c>
      <c r="K2728" s="5">
        <f>IFERROR(VLOOKUP(Consulta1[[#This Row],[Pozo largo]],Controles!B:H,7,FALSE),"NO")</f>
        <v>3</v>
      </c>
      <c r="L2728" s="5">
        <f>IFERROR(VLOOKUP(Consulta1[[#This Row],[Pozo largo]],Controles!B:J,9,FALSE),"NO")</f>
        <v>0</v>
      </c>
    </row>
    <row r="2729" spans="2:12" x14ac:dyDescent="0.35">
      <c r="B2729" s="4" t="s">
        <v>5217</v>
      </c>
      <c r="C2729" s="4" t="s">
        <v>8434</v>
      </c>
      <c r="D2729" s="4" t="s">
        <v>5</v>
      </c>
      <c r="E2729" s="4" t="s">
        <v>24</v>
      </c>
      <c r="F2729" s="4" t="s">
        <v>7</v>
      </c>
      <c r="G2729" s="4" t="s">
        <v>8</v>
      </c>
      <c r="H2729" s="4" t="s">
        <v>149</v>
      </c>
      <c r="I2729" s="5" t="str">
        <f>IFERROR(VLOOKUP(Consulta1[[#This Row],[Pozo largo]],'Lista YPF'!$B$3:$C$358,2,FALSE),"NO")</f>
        <v>NO</v>
      </c>
      <c r="J2729" s="5" t="str">
        <f>IFERROR(VLOOKUP(Consulta1[[#This Row],[Pozo]],'Lista Oportunidades'!B:C,2,FALSE),"NO")</f>
        <v>NO</v>
      </c>
      <c r="K2729" s="5">
        <f>IFERROR(VLOOKUP(Consulta1[[#This Row],[Pozo largo]],Controles!B:H,7,FALSE),"NO")</f>
        <v>0.24</v>
      </c>
      <c r="L2729" s="5">
        <f>IFERROR(VLOOKUP(Consulta1[[#This Row],[Pozo largo]],Controles!B:J,9,FALSE),"NO")</f>
        <v>0</v>
      </c>
    </row>
    <row r="2730" spans="2:12" x14ac:dyDescent="0.35">
      <c r="B2730" s="4" t="s">
        <v>5219</v>
      </c>
      <c r="C2730" s="4" t="s">
        <v>5763</v>
      </c>
      <c r="D2730" s="4" t="s">
        <v>5</v>
      </c>
      <c r="E2730" s="4" t="s">
        <v>6</v>
      </c>
      <c r="F2730" s="4" t="s">
        <v>238</v>
      </c>
      <c r="G2730" s="4" t="s">
        <v>8689</v>
      </c>
      <c r="H2730" s="4" t="s">
        <v>9</v>
      </c>
      <c r="I2730" s="5" t="str">
        <f>IFERROR(VLOOKUP(Consulta1[[#This Row],[Pozo largo]],'Lista YPF'!$B$3:$C$358,2,FALSE),"NO")</f>
        <v>NO</v>
      </c>
      <c r="J2730" s="5" t="str">
        <f>IFERROR(VLOOKUP(Consulta1[[#This Row],[Pozo]],'Lista Oportunidades'!B:C,2,FALSE),"NO")</f>
        <v>Oportunidad</v>
      </c>
      <c r="K2730" s="5">
        <f>IFERROR(VLOOKUP(Consulta1[[#This Row],[Pozo largo]],Controles!B:H,7,FALSE),"NO")</f>
        <v>2.72</v>
      </c>
      <c r="L2730" s="5" t="str">
        <f>IFERROR(VLOOKUP(Consulta1[[#This Row],[Pozo largo]],Controles!B:J,9,FALSE),"NO")</f>
        <v>Ultimos 6 meses</v>
      </c>
    </row>
    <row r="2731" spans="2:12" x14ac:dyDescent="0.35">
      <c r="B2731" s="4" t="s">
        <v>5221</v>
      </c>
      <c r="C2731" s="4" t="s">
        <v>8435</v>
      </c>
      <c r="D2731" s="4" t="s">
        <v>5</v>
      </c>
      <c r="E2731" s="4" t="s">
        <v>30</v>
      </c>
      <c r="F2731" s="4" t="s">
        <v>31</v>
      </c>
      <c r="G2731" s="4" t="s">
        <v>32</v>
      </c>
      <c r="H2731" s="4" t="s">
        <v>21</v>
      </c>
      <c r="I2731" s="5" t="str">
        <f>IFERROR(VLOOKUP(Consulta1[[#This Row],[Pozo largo]],'Lista YPF'!$B$3:$C$358,2,FALSE),"NO")</f>
        <v>NO</v>
      </c>
      <c r="J2731" s="5" t="str">
        <f>IFERROR(VLOOKUP(Consulta1[[#This Row],[Pozo]],'Lista Oportunidades'!B:C,2,FALSE),"NO")</f>
        <v>NO</v>
      </c>
      <c r="K2731" s="5">
        <f>IFERROR(VLOOKUP(Consulta1[[#This Row],[Pozo largo]],Controles!B:H,7,FALSE),"NO")</f>
        <v>0.14000000000000001</v>
      </c>
      <c r="L2731" s="5">
        <f>IFERROR(VLOOKUP(Consulta1[[#This Row],[Pozo largo]],Controles!B:J,9,FALSE),"NO")</f>
        <v>0</v>
      </c>
    </row>
    <row r="2732" spans="2:12" x14ac:dyDescent="0.35">
      <c r="B2732" s="4" t="s">
        <v>5223</v>
      </c>
      <c r="C2732" s="4" t="s">
        <v>8436</v>
      </c>
      <c r="D2732" s="4" t="s">
        <v>5</v>
      </c>
      <c r="E2732" s="4" t="s">
        <v>430</v>
      </c>
      <c r="F2732" s="4" t="s">
        <v>7</v>
      </c>
      <c r="G2732" s="4" t="s">
        <v>5718</v>
      </c>
      <c r="H2732" s="4" t="s">
        <v>33</v>
      </c>
      <c r="I2732" s="5" t="str">
        <f>IFERROR(VLOOKUP(Consulta1[[#This Row],[Pozo largo]],'Lista YPF'!$B$3:$C$358,2,FALSE),"NO")</f>
        <v>En lista de Abandono</v>
      </c>
      <c r="J2732" s="5" t="str">
        <f>IFERROR(VLOOKUP(Consulta1[[#This Row],[Pozo]],'Lista Oportunidades'!B:C,2,FALSE),"NO")</f>
        <v>NO</v>
      </c>
      <c r="K2732" s="5">
        <f>IFERROR(VLOOKUP(Consulta1[[#This Row],[Pozo largo]],Controles!B:H,7,FALSE),"NO")</f>
        <v>0.4</v>
      </c>
      <c r="L2732" s="5">
        <f>IFERROR(VLOOKUP(Consulta1[[#This Row],[Pozo largo]],Controles!B:J,9,FALSE),"NO")</f>
        <v>0</v>
      </c>
    </row>
    <row r="2733" spans="2:12" x14ac:dyDescent="0.35">
      <c r="B2733" s="4" t="s">
        <v>5225</v>
      </c>
      <c r="C2733" s="4" t="s">
        <v>8437</v>
      </c>
      <c r="D2733" s="4" t="s">
        <v>5</v>
      </c>
      <c r="E2733" s="4" t="s">
        <v>30</v>
      </c>
      <c r="F2733" s="4" t="s">
        <v>31</v>
      </c>
      <c r="G2733" s="4" t="s">
        <v>32</v>
      </c>
      <c r="H2733" s="4" t="s">
        <v>36</v>
      </c>
      <c r="I2733" s="5" t="str">
        <f>IFERROR(VLOOKUP(Consulta1[[#This Row],[Pozo largo]],'Lista YPF'!$B$3:$C$358,2,FALSE),"NO")</f>
        <v>NO</v>
      </c>
      <c r="J2733" s="5" t="str">
        <f>IFERROR(VLOOKUP(Consulta1[[#This Row],[Pozo]],'Lista Oportunidades'!B:C,2,FALSE),"NO")</f>
        <v>NO</v>
      </c>
      <c r="K2733" s="5">
        <f>IFERROR(VLOOKUP(Consulta1[[#This Row],[Pozo largo]],Controles!B:H,7,FALSE),"NO")</f>
        <v>0</v>
      </c>
      <c r="L2733" s="5">
        <f>IFERROR(VLOOKUP(Consulta1[[#This Row],[Pozo largo]],Controles!B:J,9,FALSE),"NO")</f>
        <v>0</v>
      </c>
    </row>
    <row r="2734" spans="2:12" x14ac:dyDescent="0.35">
      <c r="B2734" s="4" t="s">
        <v>5227</v>
      </c>
      <c r="C2734" s="4" t="s">
        <v>8438</v>
      </c>
      <c r="D2734" s="4" t="s">
        <v>5</v>
      </c>
      <c r="E2734" s="4" t="s">
        <v>12</v>
      </c>
      <c r="F2734" s="4" t="s">
        <v>1151</v>
      </c>
      <c r="G2734" s="4" t="s">
        <v>13</v>
      </c>
      <c r="H2734" s="4" t="s">
        <v>36</v>
      </c>
      <c r="I2734" s="5" t="str">
        <f>IFERROR(VLOOKUP(Consulta1[[#This Row],[Pozo largo]],'Lista YPF'!$B$3:$C$358,2,FALSE),"NO")</f>
        <v>NO</v>
      </c>
      <c r="J2734" s="5" t="str">
        <f>IFERROR(VLOOKUP(Consulta1[[#This Row],[Pozo]],'Lista Oportunidades'!B:C,2,FALSE),"NO")</f>
        <v>NO</v>
      </c>
      <c r="K2734" s="5">
        <f>IFERROR(VLOOKUP(Consulta1[[#This Row],[Pozo largo]],Controles!B:H,7,FALSE),"NO")</f>
        <v>0.94500000000000006</v>
      </c>
      <c r="L2734" s="5">
        <f>IFERROR(VLOOKUP(Consulta1[[#This Row],[Pozo largo]],Controles!B:J,9,FALSE),"NO")</f>
        <v>0</v>
      </c>
    </row>
    <row r="2735" spans="2:12" x14ac:dyDescent="0.35">
      <c r="B2735" s="4" t="s">
        <v>5229</v>
      </c>
      <c r="C2735" s="4" t="s">
        <v>5746</v>
      </c>
      <c r="D2735" s="4" t="s">
        <v>5</v>
      </c>
      <c r="E2735" s="4" t="s">
        <v>430</v>
      </c>
      <c r="F2735" s="4" t="s">
        <v>7</v>
      </c>
      <c r="G2735" s="4" t="s">
        <v>8689</v>
      </c>
      <c r="H2735" s="4" t="s">
        <v>33</v>
      </c>
      <c r="I2735" s="5" t="str">
        <f>IFERROR(VLOOKUP(Consulta1[[#This Row],[Pozo largo]],'Lista YPF'!$B$3:$C$358,2,FALSE),"NO")</f>
        <v>NO</v>
      </c>
      <c r="J2735" s="5" t="str">
        <f>IFERROR(VLOOKUP(Consulta1[[#This Row],[Pozo]],'Lista Oportunidades'!B:C,2,FALSE),"NO")</f>
        <v>Oportunidad</v>
      </c>
      <c r="K2735" s="5">
        <f>IFERROR(VLOOKUP(Consulta1[[#This Row],[Pozo largo]],Controles!B:H,7,FALSE),"NO")</f>
        <v>1.1400000000000001</v>
      </c>
      <c r="L2735" s="5">
        <f>IFERROR(VLOOKUP(Consulta1[[#This Row],[Pozo largo]],Controles!B:J,9,FALSE),"NO")</f>
        <v>0</v>
      </c>
    </row>
    <row r="2736" spans="2:12" x14ac:dyDescent="0.35">
      <c r="B2736" s="4" t="s">
        <v>5231</v>
      </c>
      <c r="C2736" s="4" t="s">
        <v>8439</v>
      </c>
      <c r="D2736" s="4" t="s">
        <v>5</v>
      </c>
      <c r="E2736" s="4" t="s">
        <v>430</v>
      </c>
      <c r="F2736" s="4" t="s">
        <v>7</v>
      </c>
      <c r="G2736" s="4" t="s">
        <v>5718</v>
      </c>
      <c r="H2736" s="4" t="s">
        <v>33</v>
      </c>
      <c r="I2736" s="5" t="str">
        <f>IFERROR(VLOOKUP(Consulta1[[#This Row],[Pozo largo]],'Lista YPF'!$B$3:$C$358,2,FALSE),"NO")</f>
        <v>En lista de Abandono</v>
      </c>
      <c r="J2736" s="5" t="str">
        <f>IFERROR(VLOOKUP(Consulta1[[#This Row],[Pozo]],'Lista Oportunidades'!B:C,2,FALSE),"NO")</f>
        <v>NO</v>
      </c>
      <c r="K2736" s="5">
        <f>IFERROR(VLOOKUP(Consulta1[[#This Row],[Pozo largo]],Controles!B:H,7,FALSE),"NO")</f>
        <v>0</v>
      </c>
      <c r="L2736" s="5">
        <f>IFERROR(VLOOKUP(Consulta1[[#This Row],[Pozo largo]],Controles!B:J,9,FALSE),"NO")</f>
        <v>0</v>
      </c>
    </row>
    <row r="2737" spans="2:12" x14ac:dyDescent="0.35">
      <c r="B2737" s="4" t="s">
        <v>5233</v>
      </c>
      <c r="C2737" s="4" t="s">
        <v>8440</v>
      </c>
      <c r="D2737" s="4" t="s">
        <v>5</v>
      </c>
      <c r="E2737" s="4" t="s">
        <v>30</v>
      </c>
      <c r="F2737" s="4" t="s">
        <v>31</v>
      </c>
      <c r="G2737" s="4" t="s">
        <v>32</v>
      </c>
      <c r="H2737" s="4" t="s">
        <v>33</v>
      </c>
      <c r="I2737" s="5" t="str">
        <f>IFERROR(VLOOKUP(Consulta1[[#This Row],[Pozo largo]],'Lista YPF'!$B$3:$C$358,2,FALSE),"NO")</f>
        <v>NO</v>
      </c>
      <c r="J2737" s="5" t="str">
        <f>IFERROR(VLOOKUP(Consulta1[[#This Row],[Pozo]],'Lista Oportunidades'!B:C,2,FALSE),"NO")</f>
        <v>NO</v>
      </c>
      <c r="K2737" s="5">
        <f>IFERROR(VLOOKUP(Consulta1[[#This Row],[Pozo largo]],Controles!B:H,7,FALSE),"NO")</f>
        <v>0</v>
      </c>
      <c r="L2737" s="5">
        <f>IFERROR(VLOOKUP(Consulta1[[#This Row],[Pozo largo]],Controles!B:J,9,FALSE),"NO")</f>
        <v>0</v>
      </c>
    </row>
    <row r="2738" spans="2:12" x14ac:dyDescent="0.35">
      <c r="B2738" s="4" t="s">
        <v>5235</v>
      </c>
      <c r="C2738" s="4" t="s">
        <v>8441</v>
      </c>
      <c r="D2738" s="4" t="s">
        <v>5</v>
      </c>
      <c r="E2738" s="4" t="s">
        <v>30</v>
      </c>
      <c r="F2738" s="4" t="s">
        <v>31</v>
      </c>
      <c r="G2738" s="4" t="s">
        <v>32</v>
      </c>
      <c r="H2738" s="4" t="s">
        <v>185</v>
      </c>
      <c r="I2738" s="5" t="str">
        <f>IFERROR(VLOOKUP(Consulta1[[#This Row],[Pozo largo]],'Lista YPF'!$B$3:$C$358,2,FALSE),"NO")</f>
        <v>NO</v>
      </c>
      <c r="J2738" s="5" t="str">
        <f>IFERROR(VLOOKUP(Consulta1[[#This Row],[Pozo]],'Lista Oportunidades'!B:C,2,FALSE),"NO")</f>
        <v>NO</v>
      </c>
      <c r="K2738" s="5" t="str">
        <f>IFERROR(VLOOKUP(Consulta1[[#This Row],[Pozo largo]],Controles!B:H,7,FALSE),"NO")</f>
        <v>NO</v>
      </c>
      <c r="L2738" s="5" t="str">
        <f>IFERROR(VLOOKUP(Consulta1[[#This Row],[Pozo largo]],Controles!B:J,9,FALSE),"NO")</f>
        <v>NO</v>
      </c>
    </row>
    <row r="2739" spans="2:12" x14ac:dyDescent="0.35">
      <c r="B2739" s="4" t="s">
        <v>5236</v>
      </c>
      <c r="C2739" s="4" t="s">
        <v>8442</v>
      </c>
      <c r="D2739" s="4" t="s">
        <v>5</v>
      </c>
      <c r="E2739" s="4" t="s">
        <v>30</v>
      </c>
      <c r="F2739" s="4" t="s">
        <v>31</v>
      </c>
      <c r="G2739" s="4" t="s">
        <v>32</v>
      </c>
      <c r="H2739" s="4" t="s">
        <v>86</v>
      </c>
      <c r="I2739" s="5" t="str">
        <f>IFERROR(VLOOKUP(Consulta1[[#This Row],[Pozo largo]],'Lista YPF'!$B$3:$C$358,2,FALSE),"NO")</f>
        <v>NO</v>
      </c>
      <c r="J2739" s="5" t="str">
        <f>IFERROR(VLOOKUP(Consulta1[[#This Row],[Pozo]],'Lista Oportunidades'!B:C,2,FALSE),"NO")</f>
        <v>NO</v>
      </c>
      <c r="K2739" s="5">
        <f>IFERROR(VLOOKUP(Consulta1[[#This Row],[Pozo largo]],Controles!B:H,7,FALSE),"NO")</f>
        <v>1.131</v>
      </c>
      <c r="L2739" s="5">
        <f>IFERROR(VLOOKUP(Consulta1[[#This Row],[Pozo largo]],Controles!B:J,9,FALSE),"NO")</f>
        <v>0</v>
      </c>
    </row>
    <row r="2740" spans="2:12" x14ac:dyDescent="0.35">
      <c r="B2740" s="4" t="s">
        <v>5238</v>
      </c>
      <c r="C2740" s="4" t="s">
        <v>8443</v>
      </c>
      <c r="D2740" s="4" t="s">
        <v>5</v>
      </c>
      <c r="E2740" s="4" t="s">
        <v>30</v>
      </c>
      <c r="F2740" s="4" t="s">
        <v>31</v>
      </c>
      <c r="G2740" s="4" t="s">
        <v>32</v>
      </c>
      <c r="H2740" s="4" t="s">
        <v>74</v>
      </c>
      <c r="I2740" s="5" t="str">
        <f>IFERROR(VLOOKUP(Consulta1[[#This Row],[Pozo largo]],'Lista YPF'!$B$3:$C$358,2,FALSE),"NO")</f>
        <v>NO</v>
      </c>
      <c r="J2740" s="5" t="str">
        <f>IFERROR(VLOOKUP(Consulta1[[#This Row],[Pozo]],'Lista Oportunidades'!B:C,2,FALSE),"NO")</f>
        <v>NO</v>
      </c>
      <c r="K2740" s="5" t="str">
        <f>IFERROR(VLOOKUP(Consulta1[[#This Row],[Pozo largo]],Controles!B:H,7,FALSE),"NO")</f>
        <v>NO</v>
      </c>
      <c r="L2740" s="5" t="str">
        <f>IFERROR(VLOOKUP(Consulta1[[#This Row],[Pozo largo]],Controles!B:J,9,FALSE),"NO")</f>
        <v>NO</v>
      </c>
    </row>
    <row r="2741" spans="2:12" x14ac:dyDescent="0.35">
      <c r="B2741" s="4" t="s">
        <v>5239</v>
      </c>
      <c r="C2741" s="4" t="s">
        <v>8444</v>
      </c>
      <c r="D2741" s="4" t="s">
        <v>5</v>
      </c>
      <c r="E2741" s="4" t="s">
        <v>24</v>
      </c>
      <c r="F2741" s="4" t="s">
        <v>31</v>
      </c>
      <c r="G2741" s="4" t="s">
        <v>8</v>
      </c>
      <c r="H2741" s="4" t="s">
        <v>71</v>
      </c>
      <c r="I2741" s="5" t="str">
        <f>IFERROR(VLOOKUP(Consulta1[[#This Row],[Pozo largo]],'Lista YPF'!$B$3:$C$358,2,FALSE),"NO")</f>
        <v>NO</v>
      </c>
      <c r="J2741" s="5" t="str">
        <f>IFERROR(VLOOKUP(Consulta1[[#This Row],[Pozo]],'Lista Oportunidades'!B:C,2,FALSE),"NO")</f>
        <v>NO</v>
      </c>
      <c r="K2741" s="5">
        <f>IFERROR(VLOOKUP(Consulta1[[#This Row],[Pozo largo]],Controles!B:H,7,FALSE),"NO")</f>
        <v>0.83900000000000008</v>
      </c>
      <c r="L2741" s="5">
        <f>IFERROR(VLOOKUP(Consulta1[[#This Row],[Pozo largo]],Controles!B:J,9,FALSE),"NO")</f>
        <v>0</v>
      </c>
    </row>
    <row r="2742" spans="2:12" x14ac:dyDescent="0.35">
      <c r="B2742" s="4" t="s">
        <v>5241</v>
      </c>
      <c r="C2742" s="4" t="s">
        <v>8445</v>
      </c>
      <c r="D2742" s="4" t="s">
        <v>5</v>
      </c>
      <c r="E2742" s="4" t="s">
        <v>6</v>
      </c>
      <c r="F2742" s="4" t="s">
        <v>28</v>
      </c>
      <c r="G2742" s="4" t="s">
        <v>5718</v>
      </c>
      <c r="H2742" s="4" t="s">
        <v>86</v>
      </c>
      <c r="I2742" s="5" t="str">
        <f>IFERROR(VLOOKUP(Consulta1[[#This Row],[Pozo largo]],'Lista YPF'!$B$3:$C$358,2,FALSE),"NO")</f>
        <v>En lista de Abandono</v>
      </c>
      <c r="J2742" s="5" t="str">
        <f>IFERROR(VLOOKUP(Consulta1[[#This Row],[Pozo]],'Lista Oportunidades'!B:C,2,FALSE),"NO")</f>
        <v>NO</v>
      </c>
      <c r="K2742" s="5">
        <f>IFERROR(VLOOKUP(Consulta1[[#This Row],[Pozo largo]],Controles!B:H,7,FALSE),"NO")</f>
        <v>0</v>
      </c>
      <c r="L2742" s="5">
        <f>IFERROR(VLOOKUP(Consulta1[[#This Row],[Pozo largo]],Controles!B:J,9,FALSE),"NO")</f>
        <v>0</v>
      </c>
    </row>
    <row r="2743" spans="2:12" x14ac:dyDescent="0.35">
      <c r="B2743" s="4" t="s">
        <v>5243</v>
      </c>
      <c r="C2743" s="4" t="s">
        <v>8446</v>
      </c>
      <c r="D2743" s="4" t="s">
        <v>5</v>
      </c>
      <c r="E2743" s="4" t="s">
        <v>24</v>
      </c>
      <c r="F2743" s="4" t="s">
        <v>31</v>
      </c>
      <c r="G2743" s="4" t="s">
        <v>8</v>
      </c>
      <c r="H2743" s="4" t="s">
        <v>141</v>
      </c>
      <c r="I2743" s="5" t="str">
        <f>IFERROR(VLOOKUP(Consulta1[[#This Row],[Pozo largo]],'Lista YPF'!$B$3:$C$358,2,FALSE),"NO")</f>
        <v>NO</v>
      </c>
      <c r="J2743" s="5" t="str">
        <f>IFERROR(VLOOKUP(Consulta1[[#This Row],[Pozo]],'Lista Oportunidades'!B:C,2,FALSE),"NO")</f>
        <v>NO</v>
      </c>
      <c r="K2743" s="5">
        <f>IFERROR(VLOOKUP(Consulta1[[#This Row],[Pozo largo]],Controles!B:H,7,FALSE),"NO")</f>
        <v>1.1760000000000002</v>
      </c>
      <c r="L2743" s="5">
        <f>IFERROR(VLOOKUP(Consulta1[[#This Row],[Pozo largo]],Controles!B:J,9,FALSE),"NO")</f>
        <v>0</v>
      </c>
    </row>
    <row r="2744" spans="2:12" x14ac:dyDescent="0.35">
      <c r="B2744" s="4" t="s">
        <v>5245</v>
      </c>
      <c r="C2744" s="4" t="s">
        <v>8447</v>
      </c>
      <c r="D2744" s="4" t="s">
        <v>5</v>
      </c>
      <c r="E2744" s="4" t="s">
        <v>24</v>
      </c>
      <c r="F2744" s="4" t="s">
        <v>25</v>
      </c>
      <c r="G2744" s="4" t="s">
        <v>8</v>
      </c>
      <c r="H2744" s="4" t="s">
        <v>141</v>
      </c>
      <c r="I2744" s="5" t="str">
        <f>IFERROR(VLOOKUP(Consulta1[[#This Row],[Pozo largo]],'Lista YPF'!$B$3:$C$358,2,FALSE),"NO")</f>
        <v>NO</v>
      </c>
      <c r="J2744" s="5" t="str">
        <f>IFERROR(VLOOKUP(Consulta1[[#This Row],[Pozo]],'Lista Oportunidades'!B:C,2,FALSE),"NO")</f>
        <v>NO</v>
      </c>
      <c r="K2744" s="5">
        <f>IFERROR(VLOOKUP(Consulta1[[#This Row],[Pozo largo]],Controles!B:H,7,FALSE),"NO")</f>
        <v>0.24400000000000002</v>
      </c>
      <c r="L2744" s="5">
        <f>IFERROR(VLOOKUP(Consulta1[[#This Row],[Pozo largo]],Controles!B:J,9,FALSE),"NO")</f>
        <v>0</v>
      </c>
    </row>
    <row r="2745" spans="2:12" x14ac:dyDescent="0.35">
      <c r="B2745" s="4" t="s">
        <v>5247</v>
      </c>
      <c r="C2745" s="4" t="s">
        <v>8448</v>
      </c>
      <c r="D2745" s="4" t="s">
        <v>5</v>
      </c>
      <c r="E2745" s="4" t="s">
        <v>12</v>
      </c>
      <c r="F2745" s="4" t="s">
        <v>28</v>
      </c>
      <c r="G2745" s="4" t="s">
        <v>13</v>
      </c>
      <c r="H2745" s="4" t="s">
        <v>80</v>
      </c>
      <c r="I2745" s="5" t="str">
        <f>IFERROR(VLOOKUP(Consulta1[[#This Row],[Pozo largo]],'Lista YPF'!$B$3:$C$358,2,FALSE),"NO")</f>
        <v>NO</v>
      </c>
      <c r="J2745" s="5" t="str">
        <f>IFERROR(VLOOKUP(Consulta1[[#This Row],[Pozo]],'Lista Oportunidades'!B:C,2,FALSE),"NO")</f>
        <v>NO</v>
      </c>
      <c r="K2745" s="5">
        <f>IFERROR(VLOOKUP(Consulta1[[#This Row],[Pozo largo]],Controles!B:H,7,FALSE),"NO")</f>
        <v>0</v>
      </c>
      <c r="L2745" s="5">
        <f>IFERROR(VLOOKUP(Consulta1[[#This Row],[Pozo largo]],Controles!B:J,9,FALSE),"NO")</f>
        <v>0</v>
      </c>
    </row>
    <row r="2746" spans="2:12" x14ac:dyDescent="0.35">
      <c r="B2746" s="4" t="s">
        <v>5249</v>
      </c>
      <c r="C2746" s="4" t="s">
        <v>8449</v>
      </c>
      <c r="D2746" s="4" t="s">
        <v>5</v>
      </c>
      <c r="E2746" s="4" t="s">
        <v>12</v>
      </c>
      <c r="F2746" s="4" t="s">
        <v>7</v>
      </c>
      <c r="G2746" s="4" t="s">
        <v>13</v>
      </c>
      <c r="H2746" s="4" t="s">
        <v>86</v>
      </c>
      <c r="I2746" s="5" t="str">
        <f>IFERROR(VLOOKUP(Consulta1[[#This Row],[Pozo largo]],'Lista YPF'!$B$3:$C$358,2,FALSE),"NO")</f>
        <v>NO</v>
      </c>
      <c r="J2746" s="5" t="str">
        <f>IFERROR(VLOOKUP(Consulta1[[#This Row],[Pozo]],'Lista Oportunidades'!B:C,2,FALSE),"NO")</f>
        <v>NO</v>
      </c>
      <c r="K2746" s="5">
        <f>IFERROR(VLOOKUP(Consulta1[[#This Row],[Pozo largo]],Controles!B:H,7,FALSE),"NO")</f>
        <v>1.6</v>
      </c>
      <c r="L2746" s="5">
        <f>IFERROR(VLOOKUP(Consulta1[[#This Row],[Pozo largo]],Controles!B:J,9,FALSE),"NO")</f>
        <v>0</v>
      </c>
    </row>
    <row r="2747" spans="2:12" x14ac:dyDescent="0.35">
      <c r="B2747" s="4" t="s">
        <v>5251</v>
      </c>
      <c r="C2747" s="4" t="s">
        <v>8450</v>
      </c>
      <c r="D2747" s="4" t="s">
        <v>5</v>
      </c>
      <c r="E2747" s="4" t="s">
        <v>12</v>
      </c>
      <c r="F2747" s="4" t="s">
        <v>25</v>
      </c>
      <c r="G2747" s="4" t="s">
        <v>13</v>
      </c>
      <c r="H2747" s="4" t="s">
        <v>86</v>
      </c>
      <c r="I2747" s="5" t="str">
        <f>IFERROR(VLOOKUP(Consulta1[[#This Row],[Pozo largo]],'Lista YPF'!$B$3:$C$358,2,FALSE),"NO")</f>
        <v>NO</v>
      </c>
      <c r="J2747" s="5" t="str">
        <f>IFERROR(VLOOKUP(Consulta1[[#This Row],[Pozo]],'Lista Oportunidades'!B:C,2,FALSE),"NO")</f>
        <v>NO</v>
      </c>
      <c r="K2747" s="5">
        <f>IFERROR(VLOOKUP(Consulta1[[#This Row],[Pozo largo]],Controles!B:H,7,FALSE),"NO")</f>
        <v>1.0920000000000001</v>
      </c>
      <c r="L2747" s="5">
        <f>IFERROR(VLOOKUP(Consulta1[[#This Row],[Pozo largo]],Controles!B:J,9,FALSE),"NO")</f>
        <v>0</v>
      </c>
    </row>
    <row r="2748" spans="2:12" x14ac:dyDescent="0.35">
      <c r="B2748" s="4" t="s">
        <v>5253</v>
      </c>
      <c r="C2748" s="4" t="s">
        <v>8451</v>
      </c>
      <c r="D2748" s="4" t="s">
        <v>5</v>
      </c>
      <c r="E2748" s="4" t="s">
        <v>30</v>
      </c>
      <c r="F2748" s="4" t="s">
        <v>31</v>
      </c>
      <c r="G2748" s="4" t="s">
        <v>32</v>
      </c>
      <c r="H2748" s="4" t="s">
        <v>91</v>
      </c>
      <c r="I2748" s="5" t="str">
        <f>IFERROR(VLOOKUP(Consulta1[[#This Row],[Pozo largo]],'Lista YPF'!$B$3:$C$358,2,FALSE),"NO")</f>
        <v>NO</v>
      </c>
      <c r="J2748" s="5" t="str">
        <f>IFERROR(VLOOKUP(Consulta1[[#This Row],[Pozo]],'Lista Oportunidades'!B:C,2,FALSE),"NO")</f>
        <v>NO</v>
      </c>
      <c r="K2748" s="5" t="str">
        <f>IFERROR(VLOOKUP(Consulta1[[#This Row],[Pozo largo]],Controles!B:H,7,FALSE),"NO")</f>
        <v>NO</v>
      </c>
      <c r="L2748" s="5" t="str">
        <f>IFERROR(VLOOKUP(Consulta1[[#This Row],[Pozo largo]],Controles!B:J,9,FALSE),"NO")</f>
        <v>NO</v>
      </c>
    </row>
    <row r="2749" spans="2:12" x14ac:dyDescent="0.35">
      <c r="B2749" s="4" t="s">
        <v>5254</v>
      </c>
      <c r="C2749" s="4" t="s">
        <v>8452</v>
      </c>
      <c r="D2749" s="4" t="s">
        <v>5</v>
      </c>
      <c r="E2749" s="4" t="s">
        <v>24</v>
      </c>
      <c r="F2749" s="4" t="s">
        <v>31</v>
      </c>
      <c r="G2749" s="4" t="s">
        <v>8</v>
      </c>
      <c r="H2749" s="4" t="s">
        <v>84</v>
      </c>
      <c r="I2749" s="5" t="str">
        <f>IFERROR(VLOOKUP(Consulta1[[#This Row],[Pozo largo]],'Lista YPF'!$B$3:$C$358,2,FALSE),"NO")</f>
        <v>NO</v>
      </c>
      <c r="J2749" s="5" t="str">
        <f>IFERROR(VLOOKUP(Consulta1[[#This Row],[Pozo]],'Lista Oportunidades'!B:C,2,FALSE),"NO")</f>
        <v>NO</v>
      </c>
      <c r="K2749" s="5" t="str">
        <f>IFERROR(VLOOKUP(Consulta1[[#This Row],[Pozo largo]],Controles!B:H,7,FALSE),"NO")</f>
        <v>NO</v>
      </c>
      <c r="L2749" s="5" t="str">
        <f>IFERROR(VLOOKUP(Consulta1[[#This Row],[Pozo largo]],Controles!B:J,9,FALSE),"NO")</f>
        <v>NO</v>
      </c>
    </row>
    <row r="2750" spans="2:12" x14ac:dyDescent="0.35">
      <c r="B2750" s="4" t="s">
        <v>5255</v>
      </c>
      <c r="C2750" s="4" t="s">
        <v>8453</v>
      </c>
      <c r="D2750" s="4" t="s">
        <v>5</v>
      </c>
      <c r="E2750" s="4" t="s">
        <v>30</v>
      </c>
      <c r="F2750" s="4" t="s">
        <v>31</v>
      </c>
      <c r="G2750" s="4" t="s">
        <v>32</v>
      </c>
      <c r="H2750" s="4" t="s">
        <v>91</v>
      </c>
      <c r="I2750" s="5" t="str">
        <f>IFERROR(VLOOKUP(Consulta1[[#This Row],[Pozo largo]],'Lista YPF'!$B$3:$C$358,2,FALSE),"NO")</f>
        <v>NO</v>
      </c>
      <c r="J2750" s="5" t="str">
        <f>IFERROR(VLOOKUP(Consulta1[[#This Row],[Pozo]],'Lista Oportunidades'!B:C,2,FALSE),"NO")</f>
        <v>NO</v>
      </c>
      <c r="K2750" s="5">
        <f>IFERROR(VLOOKUP(Consulta1[[#This Row],[Pozo largo]],Controles!B:H,7,FALSE),"NO")</f>
        <v>0.45</v>
      </c>
      <c r="L2750" s="5">
        <f>IFERROR(VLOOKUP(Consulta1[[#This Row],[Pozo largo]],Controles!B:J,9,FALSE),"NO")</f>
        <v>0</v>
      </c>
    </row>
    <row r="2751" spans="2:12" x14ac:dyDescent="0.35">
      <c r="B2751" s="4" t="s">
        <v>5257</v>
      </c>
      <c r="C2751" s="4" t="s">
        <v>8454</v>
      </c>
      <c r="D2751" s="4" t="s">
        <v>5</v>
      </c>
      <c r="E2751" s="4" t="s">
        <v>24</v>
      </c>
      <c r="F2751" s="4" t="s">
        <v>31</v>
      </c>
      <c r="G2751" s="4" t="s">
        <v>8</v>
      </c>
      <c r="H2751" s="4" t="s">
        <v>71</v>
      </c>
      <c r="I2751" s="5" t="str">
        <f>IFERROR(VLOOKUP(Consulta1[[#This Row],[Pozo largo]],'Lista YPF'!$B$3:$C$358,2,FALSE),"NO")</f>
        <v>NO</v>
      </c>
      <c r="J2751" s="5" t="str">
        <f>IFERROR(VLOOKUP(Consulta1[[#This Row],[Pozo]],'Lista Oportunidades'!B:C,2,FALSE),"NO")</f>
        <v>NO</v>
      </c>
      <c r="K2751" s="5">
        <f>IFERROR(VLOOKUP(Consulta1[[#This Row],[Pozo largo]],Controles!B:H,7,FALSE),"NO")</f>
        <v>0.8</v>
      </c>
      <c r="L2751" s="5">
        <f>IFERROR(VLOOKUP(Consulta1[[#This Row],[Pozo largo]],Controles!B:J,9,FALSE),"NO")</f>
        <v>0</v>
      </c>
    </row>
    <row r="2752" spans="2:12" x14ac:dyDescent="0.35">
      <c r="B2752" s="4" t="s">
        <v>5259</v>
      </c>
      <c r="C2752" s="4" t="s">
        <v>8455</v>
      </c>
      <c r="D2752" s="4" t="s">
        <v>5</v>
      </c>
      <c r="E2752" s="4" t="s">
        <v>12</v>
      </c>
      <c r="F2752" s="4" t="s">
        <v>7</v>
      </c>
      <c r="G2752" s="4" t="s">
        <v>13</v>
      </c>
      <c r="H2752" s="4" t="s">
        <v>185</v>
      </c>
      <c r="I2752" s="5" t="str">
        <f>IFERROR(VLOOKUP(Consulta1[[#This Row],[Pozo largo]],'Lista YPF'!$B$3:$C$358,2,FALSE),"NO")</f>
        <v>NO</v>
      </c>
      <c r="J2752" s="5" t="str">
        <f>IFERROR(VLOOKUP(Consulta1[[#This Row],[Pozo]],'Lista Oportunidades'!B:C,2,FALSE),"NO")</f>
        <v>NO</v>
      </c>
      <c r="K2752" s="5">
        <f>IFERROR(VLOOKUP(Consulta1[[#This Row],[Pozo largo]],Controles!B:H,7,FALSE),"NO")</f>
        <v>2.2800000000000002</v>
      </c>
      <c r="L2752" s="5">
        <f>IFERROR(VLOOKUP(Consulta1[[#This Row],[Pozo largo]],Controles!B:J,9,FALSE),"NO")</f>
        <v>0</v>
      </c>
    </row>
    <row r="2753" spans="2:12" x14ac:dyDescent="0.35">
      <c r="B2753" s="4" t="s">
        <v>5261</v>
      </c>
      <c r="C2753" s="4" t="s">
        <v>8456</v>
      </c>
      <c r="D2753" s="4" t="s">
        <v>5</v>
      </c>
      <c r="E2753" s="4" t="s">
        <v>12</v>
      </c>
      <c r="F2753" s="4" t="s">
        <v>28</v>
      </c>
      <c r="G2753" s="4" t="s">
        <v>13</v>
      </c>
      <c r="H2753" s="4" t="s">
        <v>141</v>
      </c>
      <c r="I2753" s="5" t="str">
        <f>IFERROR(VLOOKUP(Consulta1[[#This Row],[Pozo largo]],'Lista YPF'!$B$3:$C$358,2,FALSE),"NO")</f>
        <v>NO</v>
      </c>
      <c r="J2753" s="5" t="str">
        <f>IFERROR(VLOOKUP(Consulta1[[#This Row],[Pozo]],'Lista Oportunidades'!B:C,2,FALSE),"NO")</f>
        <v>NO</v>
      </c>
      <c r="K2753" s="5">
        <f>IFERROR(VLOOKUP(Consulta1[[#This Row],[Pozo largo]],Controles!B:H,7,FALSE),"NO")</f>
        <v>0</v>
      </c>
      <c r="L2753" s="5">
        <f>IFERROR(VLOOKUP(Consulta1[[#This Row],[Pozo largo]],Controles!B:J,9,FALSE),"NO")</f>
        <v>0</v>
      </c>
    </row>
    <row r="2754" spans="2:12" x14ac:dyDescent="0.35">
      <c r="B2754" s="4" t="s">
        <v>5263</v>
      </c>
      <c r="C2754" s="4" t="s">
        <v>8457</v>
      </c>
      <c r="D2754" s="4" t="s">
        <v>5</v>
      </c>
      <c r="E2754" s="4" t="s">
        <v>12</v>
      </c>
      <c r="F2754" s="4" t="s">
        <v>7</v>
      </c>
      <c r="G2754" s="4" t="s">
        <v>13</v>
      </c>
      <c r="H2754" s="4" t="s">
        <v>71</v>
      </c>
      <c r="I2754" s="5" t="str">
        <f>IFERROR(VLOOKUP(Consulta1[[#This Row],[Pozo largo]],'Lista YPF'!$B$3:$C$358,2,FALSE),"NO")</f>
        <v>NO</v>
      </c>
      <c r="J2754" s="5" t="str">
        <f>IFERROR(VLOOKUP(Consulta1[[#This Row],[Pozo]],'Lista Oportunidades'!B:C,2,FALSE),"NO")</f>
        <v>NO</v>
      </c>
      <c r="K2754" s="5">
        <f>IFERROR(VLOOKUP(Consulta1[[#This Row],[Pozo largo]],Controles!B:H,7,FALSE),"NO")</f>
        <v>1.8</v>
      </c>
      <c r="L2754" s="5">
        <f>IFERROR(VLOOKUP(Consulta1[[#This Row],[Pozo largo]],Controles!B:J,9,FALSE),"NO")</f>
        <v>0</v>
      </c>
    </row>
    <row r="2755" spans="2:12" x14ac:dyDescent="0.35">
      <c r="B2755" s="4" t="s">
        <v>5265</v>
      </c>
      <c r="C2755" s="4" t="s">
        <v>8458</v>
      </c>
      <c r="D2755" s="4" t="s">
        <v>5</v>
      </c>
      <c r="E2755" s="4" t="s">
        <v>24</v>
      </c>
      <c r="F2755" s="4" t="s">
        <v>7</v>
      </c>
      <c r="G2755" s="4" t="s">
        <v>8</v>
      </c>
      <c r="H2755" s="4" t="s">
        <v>185</v>
      </c>
      <c r="I2755" s="5" t="str">
        <f>IFERROR(VLOOKUP(Consulta1[[#This Row],[Pozo largo]],'Lista YPF'!$B$3:$C$358,2,FALSE),"NO")</f>
        <v>NO</v>
      </c>
      <c r="J2755" s="5" t="str">
        <f>IFERROR(VLOOKUP(Consulta1[[#This Row],[Pozo]],'Lista Oportunidades'!B:C,2,FALSE),"NO")</f>
        <v>NO</v>
      </c>
      <c r="K2755" s="5">
        <f>IFERROR(VLOOKUP(Consulta1[[#This Row],[Pozo largo]],Controles!B:H,7,FALSE),"NO")</f>
        <v>1.1220000000000001</v>
      </c>
      <c r="L2755" s="5">
        <f>IFERROR(VLOOKUP(Consulta1[[#This Row],[Pozo largo]],Controles!B:J,9,FALSE),"NO")</f>
        <v>0</v>
      </c>
    </row>
    <row r="2756" spans="2:12" x14ac:dyDescent="0.35">
      <c r="B2756" s="4" t="s">
        <v>5267</v>
      </c>
      <c r="C2756" s="4" t="s">
        <v>8459</v>
      </c>
      <c r="D2756" s="4" t="s">
        <v>5</v>
      </c>
      <c r="E2756" s="4" t="s">
        <v>24</v>
      </c>
      <c r="F2756" s="4" t="s">
        <v>31</v>
      </c>
      <c r="G2756" s="4" t="s">
        <v>8</v>
      </c>
      <c r="H2756" s="4" t="s">
        <v>71</v>
      </c>
      <c r="I2756" s="5" t="str">
        <f>IFERROR(VLOOKUP(Consulta1[[#This Row],[Pozo largo]],'Lista YPF'!$B$3:$C$358,2,FALSE),"NO")</f>
        <v>NO</v>
      </c>
      <c r="J2756" s="5" t="str">
        <f>IFERROR(VLOOKUP(Consulta1[[#This Row],[Pozo]],'Lista Oportunidades'!B:C,2,FALSE),"NO")</f>
        <v>NO</v>
      </c>
      <c r="K2756" s="5">
        <f>IFERROR(VLOOKUP(Consulta1[[#This Row],[Pozo largo]],Controles!B:H,7,FALSE),"NO")</f>
        <v>0.68600000000000005</v>
      </c>
      <c r="L2756" s="5">
        <f>IFERROR(VLOOKUP(Consulta1[[#This Row],[Pozo largo]],Controles!B:J,9,FALSE),"NO")</f>
        <v>0</v>
      </c>
    </row>
    <row r="2757" spans="2:12" x14ac:dyDescent="0.35">
      <c r="B2757" s="4" t="s">
        <v>5269</v>
      </c>
      <c r="C2757" s="4" t="s">
        <v>8460</v>
      </c>
      <c r="D2757" s="4" t="s">
        <v>5</v>
      </c>
      <c r="E2757" s="4" t="s">
        <v>30</v>
      </c>
      <c r="F2757" s="4" t="s">
        <v>31</v>
      </c>
      <c r="G2757" s="4" t="s">
        <v>32</v>
      </c>
      <c r="H2757" s="4" t="s">
        <v>185</v>
      </c>
      <c r="I2757" s="5" t="str">
        <f>IFERROR(VLOOKUP(Consulta1[[#This Row],[Pozo largo]],'Lista YPF'!$B$3:$C$358,2,FALSE),"NO")</f>
        <v>NO</v>
      </c>
      <c r="J2757" s="5" t="str">
        <f>IFERROR(VLOOKUP(Consulta1[[#This Row],[Pozo]],'Lista Oportunidades'!B:C,2,FALSE),"NO")</f>
        <v>NO</v>
      </c>
      <c r="K2757" s="5" t="str">
        <f>IFERROR(VLOOKUP(Consulta1[[#This Row],[Pozo largo]],Controles!B:H,7,FALSE),"NO")</f>
        <v>NO</v>
      </c>
      <c r="L2757" s="5" t="str">
        <f>IFERROR(VLOOKUP(Consulta1[[#This Row],[Pozo largo]],Controles!B:J,9,FALSE),"NO")</f>
        <v>NO</v>
      </c>
    </row>
    <row r="2758" spans="2:12" x14ac:dyDescent="0.35">
      <c r="B2758" s="4" t="s">
        <v>5270</v>
      </c>
      <c r="C2758" s="4" t="s">
        <v>8461</v>
      </c>
      <c r="D2758" s="4" t="s">
        <v>5</v>
      </c>
      <c r="E2758" s="4" t="s">
        <v>12</v>
      </c>
      <c r="F2758" s="4" t="s">
        <v>7</v>
      </c>
      <c r="G2758" s="4" t="s">
        <v>13</v>
      </c>
      <c r="H2758" s="4" t="s">
        <v>185</v>
      </c>
      <c r="I2758" s="5" t="str">
        <f>IFERROR(VLOOKUP(Consulta1[[#This Row],[Pozo largo]],'Lista YPF'!$B$3:$C$358,2,FALSE),"NO")</f>
        <v>NO</v>
      </c>
      <c r="J2758" s="5" t="str">
        <f>IFERROR(VLOOKUP(Consulta1[[#This Row],[Pozo]],'Lista Oportunidades'!B:C,2,FALSE),"NO")</f>
        <v>NO</v>
      </c>
      <c r="K2758" s="5">
        <f>IFERROR(VLOOKUP(Consulta1[[#This Row],[Pozo largo]],Controles!B:H,7,FALSE),"NO")</f>
        <v>0.72</v>
      </c>
      <c r="L2758" s="5">
        <f>IFERROR(VLOOKUP(Consulta1[[#This Row],[Pozo largo]],Controles!B:J,9,FALSE),"NO")</f>
        <v>0</v>
      </c>
    </row>
    <row r="2759" spans="2:12" x14ac:dyDescent="0.35">
      <c r="B2759" s="4" t="s">
        <v>5272</v>
      </c>
      <c r="C2759" s="4" t="s">
        <v>8462</v>
      </c>
      <c r="D2759" s="4" t="s">
        <v>5</v>
      </c>
      <c r="E2759" s="4" t="s">
        <v>12</v>
      </c>
      <c r="F2759" s="4" t="s">
        <v>7</v>
      </c>
      <c r="G2759" s="4" t="s">
        <v>13</v>
      </c>
      <c r="H2759" s="4" t="s">
        <v>146</v>
      </c>
      <c r="I2759" s="5" t="str">
        <f>IFERROR(VLOOKUP(Consulta1[[#This Row],[Pozo largo]],'Lista YPF'!$B$3:$C$358,2,FALSE),"NO")</f>
        <v>NO</v>
      </c>
      <c r="J2759" s="5" t="str">
        <f>IFERROR(VLOOKUP(Consulta1[[#This Row],[Pozo]],'Lista Oportunidades'!B:C,2,FALSE),"NO")</f>
        <v>NO</v>
      </c>
      <c r="K2759" s="5">
        <f>IFERROR(VLOOKUP(Consulta1[[#This Row],[Pozo largo]],Controles!B:H,7,FALSE),"NO")</f>
        <v>0.434</v>
      </c>
      <c r="L2759" s="5">
        <f>IFERROR(VLOOKUP(Consulta1[[#This Row],[Pozo largo]],Controles!B:J,9,FALSE),"NO")</f>
        <v>0</v>
      </c>
    </row>
    <row r="2760" spans="2:12" x14ac:dyDescent="0.35">
      <c r="B2760" s="4" t="s">
        <v>5274</v>
      </c>
      <c r="C2760" s="4" t="s">
        <v>8463</v>
      </c>
      <c r="D2760" s="4" t="s">
        <v>5</v>
      </c>
      <c r="E2760" s="4" t="s">
        <v>30</v>
      </c>
      <c r="F2760" s="4" t="s">
        <v>31</v>
      </c>
      <c r="G2760" s="4" t="s">
        <v>32</v>
      </c>
      <c r="H2760" s="4" t="s">
        <v>77</v>
      </c>
      <c r="I2760" s="5" t="str">
        <f>IFERROR(VLOOKUP(Consulta1[[#This Row],[Pozo largo]],'Lista YPF'!$B$3:$C$358,2,FALSE),"NO")</f>
        <v>NO</v>
      </c>
      <c r="J2760" s="5" t="str">
        <f>IFERROR(VLOOKUP(Consulta1[[#This Row],[Pozo]],'Lista Oportunidades'!B:C,2,FALSE),"NO")</f>
        <v>NO</v>
      </c>
      <c r="K2760" s="5" t="str">
        <f>IFERROR(VLOOKUP(Consulta1[[#This Row],[Pozo largo]],Controles!B:H,7,FALSE),"NO")</f>
        <v>NO</v>
      </c>
      <c r="L2760" s="5" t="str">
        <f>IFERROR(VLOOKUP(Consulta1[[#This Row],[Pozo largo]],Controles!B:J,9,FALSE),"NO")</f>
        <v>NO</v>
      </c>
    </row>
    <row r="2761" spans="2:12" x14ac:dyDescent="0.35">
      <c r="B2761" s="4" t="s">
        <v>5275</v>
      </c>
      <c r="C2761" s="4" t="s">
        <v>8464</v>
      </c>
      <c r="D2761" s="4" t="s">
        <v>5</v>
      </c>
      <c r="E2761" s="4" t="s">
        <v>12</v>
      </c>
      <c r="F2761" s="4" t="s">
        <v>7</v>
      </c>
      <c r="G2761" s="4" t="s">
        <v>13</v>
      </c>
      <c r="H2761" s="4" t="s">
        <v>149</v>
      </c>
      <c r="I2761" s="5" t="str">
        <f>IFERROR(VLOOKUP(Consulta1[[#This Row],[Pozo largo]],'Lista YPF'!$B$3:$C$358,2,FALSE),"NO")</f>
        <v>NO</v>
      </c>
      <c r="J2761" s="5" t="str">
        <f>IFERROR(VLOOKUP(Consulta1[[#This Row],[Pozo]],'Lista Oportunidades'!B:C,2,FALSE),"NO")</f>
        <v>NO</v>
      </c>
      <c r="K2761" s="5">
        <f>IFERROR(VLOOKUP(Consulta1[[#This Row],[Pozo largo]],Controles!B:H,7,FALSE),"NO")</f>
        <v>1.26</v>
      </c>
      <c r="L2761" s="5">
        <f>IFERROR(VLOOKUP(Consulta1[[#This Row],[Pozo largo]],Controles!B:J,9,FALSE),"NO")</f>
        <v>0</v>
      </c>
    </row>
    <row r="2762" spans="2:12" x14ac:dyDescent="0.35">
      <c r="B2762" s="4" t="s">
        <v>5277</v>
      </c>
      <c r="C2762" s="4" t="s">
        <v>8465</v>
      </c>
      <c r="D2762" s="4" t="s">
        <v>5</v>
      </c>
      <c r="E2762" s="4" t="s">
        <v>12</v>
      </c>
      <c r="F2762" s="4" t="s">
        <v>25</v>
      </c>
      <c r="G2762" s="4" t="s">
        <v>13</v>
      </c>
      <c r="H2762" s="4" t="s">
        <v>254</v>
      </c>
      <c r="I2762" s="5" t="str">
        <f>IFERROR(VLOOKUP(Consulta1[[#This Row],[Pozo largo]],'Lista YPF'!$B$3:$C$358,2,FALSE),"NO")</f>
        <v>NO</v>
      </c>
      <c r="J2762" s="5" t="str">
        <f>IFERROR(VLOOKUP(Consulta1[[#This Row],[Pozo]],'Lista Oportunidades'!B:C,2,FALSE),"NO")</f>
        <v>NO</v>
      </c>
      <c r="K2762" s="5">
        <f>IFERROR(VLOOKUP(Consulta1[[#This Row],[Pozo largo]],Controles!B:H,7,FALSE),"NO")</f>
        <v>9.6000000000000002E-2</v>
      </c>
      <c r="L2762" s="5">
        <f>IFERROR(VLOOKUP(Consulta1[[#This Row],[Pozo largo]],Controles!B:J,9,FALSE),"NO")</f>
        <v>0</v>
      </c>
    </row>
    <row r="2763" spans="2:12" x14ac:dyDescent="0.35">
      <c r="B2763" s="4" t="s">
        <v>5279</v>
      </c>
      <c r="C2763" s="4" t="s">
        <v>8466</v>
      </c>
      <c r="D2763" s="4" t="s">
        <v>5</v>
      </c>
      <c r="E2763" s="4" t="s">
        <v>12</v>
      </c>
      <c r="F2763" s="4" t="s">
        <v>238</v>
      </c>
      <c r="G2763" s="4" t="s">
        <v>13</v>
      </c>
      <c r="H2763" s="4" t="s">
        <v>71</v>
      </c>
      <c r="I2763" s="5" t="str">
        <f>IFERROR(VLOOKUP(Consulta1[[#This Row],[Pozo largo]],'Lista YPF'!$B$3:$C$358,2,FALSE),"NO")</f>
        <v>NO</v>
      </c>
      <c r="J2763" s="5" t="str">
        <f>IFERROR(VLOOKUP(Consulta1[[#This Row],[Pozo]],'Lista Oportunidades'!B:C,2,FALSE),"NO")</f>
        <v>NO</v>
      </c>
      <c r="K2763" s="5">
        <f>IFERROR(VLOOKUP(Consulta1[[#This Row],[Pozo largo]],Controles!B:H,7,FALSE),"NO")</f>
        <v>1.01</v>
      </c>
      <c r="L2763" s="5">
        <f>IFERROR(VLOOKUP(Consulta1[[#This Row],[Pozo largo]],Controles!B:J,9,FALSE),"NO")</f>
        <v>0</v>
      </c>
    </row>
    <row r="2764" spans="2:12" x14ac:dyDescent="0.35">
      <c r="B2764" s="4" t="s">
        <v>5281</v>
      </c>
      <c r="C2764" s="4" t="s">
        <v>8467</v>
      </c>
      <c r="D2764" s="4" t="s">
        <v>5</v>
      </c>
      <c r="E2764" s="4" t="s">
        <v>12</v>
      </c>
      <c r="F2764" s="4" t="s">
        <v>7</v>
      </c>
      <c r="G2764" s="4" t="s">
        <v>13</v>
      </c>
      <c r="H2764" s="4" t="s">
        <v>9</v>
      </c>
      <c r="I2764" s="5" t="str">
        <f>IFERROR(VLOOKUP(Consulta1[[#This Row],[Pozo largo]],'Lista YPF'!$B$3:$C$358,2,FALSE),"NO")</f>
        <v>NO</v>
      </c>
      <c r="J2764" s="5" t="str">
        <f>IFERROR(VLOOKUP(Consulta1[[#This Row],[Pozo]],'Lista Oportunidades'!B:C,2,FALSE),"NO")</f>
        <v>NO</v>
      </c>
      <c r="K2764" s="5">
        <f>IFERROR(VLOOKUP(Consulta1[[#This Row],[Pozo largo]],Controles!B:H,7,FALSE),"NO")</f>
        <v>2.2000000000000002</v>
      </c>
      <c r="L2764" s="5">
        <f>IFERROR(VLOOKUP(Consulta1[[#This Row],[Pozo largo]],Controles!B:J,9,FALSE),"NO")</f>
        <v>0</v>
      </c>
    </row>
    <row r="2765" spans="2:12" x14ac:dyDescent="0.35">
      <c r="B2765" s="4" t="s">
        <v>5283</v>
      </c>
      <c r="C2765" s="4" t="s">
        <v>8468</v>
      </c>
      <c r="D2765" s="4" t="s">
        <v>5</v>
      </c>
      <c r="E2765" s="4" t="s">
        <v>12</v>
      </c>
      <c r="F2765" s="4" t="s">
        <v>25</v>
      </c>
      <c r="G2765" s="4" t="s">
        <v>13</v>
      </c>
      <c r="H2765" s="4" t="s">
        <v>9</v>
      </c>
      <c r="I2765" s="5" t="str">
        <f>IFERROR(VLOOKUP(Consulta1[[#This Row],[Pozo largo]],'Lista YPF'!$B$3:$C$358,2,FALSE),"NO")</f>
        <v>NO</v>
      </c>
      <c r="J2765" s="5" t="str">
        <f>IFERROR(VLOOKUP(Consulta1[[#This Row],[Pozo]],'Lista Oportunidades'!B:C,2,FALSE),"NO")</f>
        <v>NO</v>
      </c>
      <c r="K2765" s="5">
        <f>IFERROR(VLOOKUP(Consulta1[[#This Row],[Pozo largo]],Controles!B:H,7,FALSE),"NO")</f>
        <v>0.115</v>
      </c>
      <c r="L2765" s="5">
        <f>IFERROR(VLOOKUP(Consulta1[[#This Row],[Pozo largo]],Controles!B:J,9,FALSE),"NO")</f>
        <v>0</v>
      </c>
    </row>
    <row r="2766" spans="2:12" x14ac:dyDescent="0.35">
      <c r="B2766" s="4" t="s">
        <v>5285</v>
      </c>
      <c r="C2766" s="4" t="s">
        <v>8469</v>
      </c>
      <c r="D2766" s="4" t="s">
        <v>5</v>
      </c>
      <c r="E2766" s="4" t="s">
        <v>12</v>
      </c>
      <c r="F2766" s="4" t="s">
        <v>238</v>
      </c>
      <c r="G2766" s="4" t="s">
        <v>13</v>
      </c>
      <c r="H2766" s="4" t="s">
        <v>21</v>
      </c>
      <c r="I2766" s="5" t="str">
        <f>IFERROR(VLOOKUP(Consulta1[[#This Row],[Pozo largo]],'Lista YPF'!$B$3:$C$358,2,FALSE),"NO")</f>
        <v>NO</v>
      </c>
      <c r="J2766" s="5" t="str">
        <f>IFERROR(VLOOKUP(Consulta1[[#This Row],[Pozo]],'Lista Oportunidades'!B:C,2,FALSE),"NO")</f>
        <v>NO</v>
      </c>
      <c r="K2766" s="5">
        <f>IFERROR(VLOOKUP(Consulta1[[#This Row],[Pozo largo]],Controles!B:H,7,FALSE),"NO")</f>
        <v>1.98</v>
      </c>
      <c r="L2766" s="5">
        <f>IFERROR(VLOOKUP(Consulta1[[#This Row],[Pozo largo]],Controles!B:J,9,FALSE),"NO")</f>
        <v>0</v>
      </c>
    </row>
    <row r="2767" spans="2:12" x14ac:dyDescent="0.35">
      <c r="B2767" s="4" t="s">
        <v>5287</v>
      </c>
      <c r="C2767" s="4" t="s">
        <v>8470</v>
      </c>
      <c r="D2767" s="4" t="s">
        <v>5</v>
      </c>
      <c r="E2767" s="4" t="s">
        <v>12</v>
      </c>
      <c r="F2767" s="4" t="s">
        <v>7</v>
      </c>
      <c r="G2767" s="4" t="s">
        <v>13</v>
      </c>
      <c r="H2767" s="4" t="s">
        <v>36</v>
      </c>
      <c r="I2767" s="5" t="str">
        <f>IFERROR(VLOOKUP(Consulta1[[#This Row],[Pozo largo]],'Lista YPF'!$B$3:$C$358,2,FALSE),"NO")</f>
        <v>NO</v>
      </c>
      <c r="J2767" s="5" t="str">
        <f>IFERROR(VLOOKUP(Consulta1[[#This Row],[Pozo]],'Lista Oportunidades'!B:C,2,FALSE),"NO")</f>
        <v>NO</v>
      </c>
      <c r="K2767" s="5">
        <f>IFERROR(VLOOKUP(Consulta1[[#This Row],[Pozo largo]],Controles!B:H,7,FALSE),"NO")</f>
        <v>1.1200000000000001</v>
      </c>
      <c r="L2767" s="5">
        <f>IFERROR(VLOOKUP(Consulta1[[#This Row],[Pozo largo]],Controles!B:J,9,FALSE),"NO")</f>
        <v>0</v>
      </c>
    </row>
    <row r="2768" spans="2:12" x14ac:dyDescent="0.35">
      <c r="B2768" s="4" t="s">
        <v>5289</v>
      </c>
      <c r="C2768" s="4" t="s">
        <v>8471</v>
      </c>
      <c r="D2768" s="4" t="s">
        <v>5</v>
      </c>
      <c r="E2768" s="4" t="s">
        <v>24</v>
      </c>
      <c r="F2768" s="4" t="s">
        <v>31</v>
      </c>
      <c r="G2768" s="4" t="s">
        <v>8</v>
      </c>
      <c r="H2768" s="4" t="s">
        <v>254</v>
      </c>
      <c r="I2768" s="5" t="str">
        <f>IFERROR(VLOOKUP(Consulta1[[#This Row],[Pozo largo]],'Lista YPF'!$B$3:$C$358,2,FALSE),"NO")</f>
        <v>NO</v>
      </c>
      <c r="J2768" s="5" t="str">
        <f>IFERROR(VLOOKUP(Consulta1[[#This Row],[Pozo]],'Lista Oportunidades'!B:C,2,FALSE),"NO")</f>
        <v>NO</v>
      </c>
      <c r="K2768" s="5">
        <f>IFERROR(VLOOKUP(Consulta1[[#This Row],[Pozo largo]],Controles!B:H,7,FALSE),"NO")</f>
        <v>0.45</v>
      </c>
      <c r="L2768" s="5">
        <f>IFERROR(VLOOKUP(Consulta1[[#This Row],[Pozo largo]],Controles!B:J,9,FALSE),"NO")</f>
        <v>0</v>
      </c>
    </row>
    <row r="2769" spans="2:12" x14ac:dyDescent="0.35">
      <c r="B2769" s="4" t="s">
        <v>5291</v>
      </c>
      <c r="C2769" s="4" t="s">
        <v>8472</v>
      </c>
      <c r="D2769" s="4" t="s">
        <v>5</v>
      </c>
      <c r="E2769" s="4" t="s">
        <v>30</v>
      </c>
      <c r="F2769" s="4" t="s">
        <v>31</v>
      </c>
      <c r="G2769" s="4" t="s">
        <v>32</v>
      </c>
      <c r="H2769" s="4" t="s">
        <v>16</v>
      </c>
      <c r="I2769" s="5" t="str">
        <f>IFERROR(VLOOKUP(Consulta1[[#This Row],[Pozo largo]],'Lista YPF'!$B$3:$C$358,2,FALSE),"NO")</f>
        <v>NO</v>
      </c>
      <c r="J2769" s="5" t="str">
        <f>IFERROR(VLOOKUP(Consulta1[[#This Row],[Pozo]],'Lista Oportunidades'!B:C,2,FALSE),"NO")</f>
        <v>NO</v>
      </c>
      <c r="K2769" s="5" t="str">
        <f>IFERROR(VLOOKUP(Consulta1[[#This Row],[Pozo largo]],Controles!B:H,7,FALSE),"NO")</f>
        <v>NO</v>
      </c>
      <c r="L2769" s="5" t="str">
        <f>IFERROR(VLOOKUP(Consulta1[[#This Row],[Pozo largo]],Controles!B:J,9,FALSE),"NO")</f>
        <v>NO</v>
      </c>
    </row>
    <row r="2770" spans="2:12" x14ac:dyDescent="0.35">
      <c r="B2770" s="4" t="s">
        <v>5292</v>
      </c>
      <c r="C2770" s="4" t="s">
        <v>8473</v>
      </c>
      <c r="D2770" s="4" t="s">
        <v>5</v>
      </c>
      <c r="E2770" s="4" t="s">
        <v>30</v>
      </c>
      <c r="F2770" s="4" t="s">
        <v>31</v>
      </c>
      <c r="G2770" s="4" t="s">
        <v>32</v>
      </c>
      <c r="H2770" s="4" t="s">
        <v>66</v>
      </c>
      <c r="I2770" s="5" t="str">
        <f>IFERROR(VLOOKUP(Consulta1[[#This Row],[Pozo largo]],'Lista YPF'!$B$3:$C$358,2,FALSE),"NO")</f>
        <v>NO</v>
      </c>
      <c r="J2770" s="5" t="str">
        <f>IFERROR(VLOOKUP(Consulta1[[#This Row],[Pozo]],'Lista Oportunidades'!B:C,2,FALSE),"NO")</f>
        <v>NO</v>
      </c>
      <c r="K2770" s="5">
        <f>IFERROR(VLOOKUP(Consulta1[[#This Row],[Pozo largo]],Controles!B:H,7,FALSE),"NO")</f>
        <v>1.6640000000000001</v>
      </c>
      <c r="L2770" s="5">
        <f>IFERROR(VLOOKUP(Consulta1[[#This Row],[Pozo largo]],Controles!B:J,9,FALSE),"NO")</f>
        <v>0</v>
      </c>
    </row>
    <row r="2771" spans="2:12" x14ac:dyDescent="0.35">
      <c r="B2771" s="4" t="s">
        <v>5294</v>
      </c>
      <c r="C2771" s="4" t="s">
        <v>8474</v>
      </c>
      <c r="D2771" s="4" t="s">
        <v>5</v>
      </c>
      <c r="E2771" s="4" t="s">
        <v>24</v>
      </c>
      <c r="F2771" s="4" t="s">
        <v>31</v>
      </c>
      <c r="G2771" s="4" t="s">
        <v>8</v>
      </c>
      <c r="H2771" s="4" t="s">
        <v>71</v>
      </c>
      <c r="I2771" s="5" t="str">
        <f>IFERROR(VLOOKUP(Consulta1[[#This Row],[Pozo largo]],'Lista YPF'!$B$3:$C$358,2,FALSE),"NO")</f>
        <v>NO</v>
      </c>
      <c r="J2771" s="5" t="str">
        <f>IFERROR(VLOOKUP(Consulta1[[#This Row],[Pozo]],'Lista Oportunidades'!B:C,2,FALSE),"NO")</f>
        <v>NO</v>
      </c>
      <c r="K2771" s="5">
        <f>IFERROR(VLOOKUP(Consulta1[[#This Row],[Pozo largo]],Controles!B:H,7,FALSE),"NO")</f>
        <v>0.6</v>
      </c>
      <c r="L2771" s="5">
        <f>IFERROR(VLOOKUP(Consulta1[[#This Row],[Pozo largo]],Controles!B:J,9,FALSE),"NO")</f>
        <v>0</v>
      </c>
    </row>
    <row r="2772" spans="2:12" x14ac:dyDescent="0.35">
      <c r="B2772" s="4" t="s">
        <v>5296</v>
      </c>
      <c r="C2772" s="4" t="s">
        <v>8475</v>
      </c>
      <c r="D2772" s="4" t="s">
        <v>5</v>
      </c>
      <c r="E2772" s="4" t="s">
        <v>12</v>
      </c>
      <c r="F2772" s="4" t="s">
        <v>28</v>
      </c>
      <c r="G2772" s="4" t="s">
        <v>13</v>
      </c>
      <c r="H2772" s="4" t="s">
        <v>9</v>
      </c>
      <c r="I2772" s="5" t="str">
        <f>IFERROR(VLOOKUP(Consulta1[[#This Row],[Pozo largo]],'Lista YPF'!$B$3:$C$358,2,FALSE),"NO")</f>
        <v>NO</v>
      </c>
      <c r="J2772" s="5" t="str">
        <f>IFERROR(VLOOKUP(Consulta1[[#This Row],[Pozo]],'Lista Oportunidades'!B:C,2,FALSE),"NO")</f>
        <v>NO</v>
      </c>
      <c r="K2772" s="5">
        <f>IFERROR(VLOOKUP(Consulta1[[#This Row],[Pozo largo]],Controles!B:H,7,FALSE),"NO")</f>
        <v>0</v>
      </c>
      <c r="L2772" s="5">
        <f>IFERROR(VLOOKUP(Consulta1[[#This Row],[Pozo largo]],Controles!B:J,9,FALSE),"NO")</f>
        <v>0</v>
      </c>
    </row>
    <row r="2773" spans="2:12" x14ac:dyDescent="0.35">
      <c r="B2773" s="4" t="s">
        <v>5298</v>
      </c>
      <c r="C2773" s="4" t="s">
        <v>8476</v>
      </c>
      <c r="D2773" s="4" t="s">
        <v>5</v>
      </c>
      <c r="E2773" s="4" t="s">
        <v>12</v>
      </c>
      <c r="F2773" s="4" t="s">
        <v>7</v>
      </c>
      <c r="G2773" s="4" t="s">
        <v>13</v>
      </c>
      <c r="H2773" s="4" t="s">
        <v>9</v>
      </c>
      <c r="I2773" s="5" t="str">
        <f>IFERROR(VLOOKUP(Consulta1[[#This Row],[Pozo largo]],'Lista YPF'!$B$3:$C$358,2,FALSE),"NO")</f>
        <v>NO</v>
      </c>
      <c r="J2773" s="5" t="str">
        <f>IFERROR(VLOOKUP(Consulta1[[#This Row],[Pozo]],'Lista Oportunidades'!B:C,2,FALSE),"NO")</f>
        <v>NO</v>
      </c>
      <c r="K2773" s="5">
        <f>IFERROR(VLOOKUP(Consulta1[[#This Row],[Pozo largo]],Controles!B:H,7,FALSE),"NO")</f>
        <v>0.52500000000000002</v>
      </c>
      <c r="L2773" s="5">
        <f>IFERROR(VLOOKUP(Consulta1[[#This Row],[Pozo largo]],Controles!B:J,9,FALSE),"NO")</f>
        <v>0</v>
      </c>
    </row>
    <row r="2774" spans="2:12" x14ac:dyDescent="0.35">
      <c r="B2774" s="4" t="s">
        <v>5300</v>
      </c>
      <c r="C2774" s="4" t="s">
        <v>8477</v>
      </c>
      <c r="D2774" s="4" t="s">
        <v>5</v>
      </c>
      <c r="E2774" s="4" t="s">
        <v>12</v>
      </c>
      <c r="F2774" s="4" t="s">
        <v>7</v>
      </c>
      <c r="G2774" s="4" t="s">
        <v>13</v>
      </c>
      <c r="H2774" s="4" t="s">
        <v>9</v>
      </c>
      <c r="I2774" s="5" t="str">
        <f>IFERROR(VLOOKUP(Consulta1[[#This Row],[Pozo largo]],'Lista YPF'!$B$3:$C$358,2,FALSE),"NO")</f>
        <v>NO</v>
      </c>
      <c r="J2774" s="5" t="str">
        <f>IFERROR(VLOOKUP(Consulta1[[#This Row],[Pozo]],'Lista Oportunidades'!B:C,2,FALSE),"NO")</f>
        <v>NO</v>
      </c>
      <c r="K2774" s="5">
        <f>IFERROR(VLOOKUP(Consulta1[[#This Row],[Pozo largo]],Controles!B:H,7,FALSE),"NO")</f>
        <v>1.1400000000000001</v>
      </c>
      <c r="L2774" s="5">
        <f>IFERROR(VLOOKUP(Consulta1[[#This Row],[Pozo largo]],Controles!B:J,9,FALSE),"NO")</f>
        <v>0</v>
      </c>
    </row>
    <row r="2775" spans="2:12" x14ac:dyDescent="0.35">
      <c r="B2775" s="4" t="s">
        <v>5302</v>
      </c>
      <c r="C2775" s="4" t="s">
        <v>8478</v>
      </c>
      <c r="D2775" s="4" t="s">
        <v>5</v>
      </c>
      <c r="E2775" s="4" t="s">
        <v>12</v>
      </c>
      <c r="F2775" s="4" t="s">
        <v>7</v>
      </c>
      <c r="G2775" s="4" t="s">
        <v>13</v>
      </c>
      <c r="H2775" s="4" t="s">
        <v>9</v>
      </c>
      <c r="I2775" s="5" t="str">
        <f>IFERROR(VLOOKUP(Consulta1[[#This Row],[Pozo largo]],'Lista YPF'!$B$3:$C$358,2,FALSE),"NO")</f>
        <v>NO</v>
      </c>
      <c r="J2775" s="5" t="str">
        <f>IFERROR(VLOOKUP(Consulta1[[#This Row],[Pozo]],'Lista Oportunidades'!B:C,2,FALSE),"NO")</f>
        <v>NO</v>
      </c>
      <c r="K2775" s="5">
        <f>IFERROR(VLOOKUP(Consulta1[[#This Row],[Pozo largo]],Controles!B:H,7,FALSE),"NO")</f>
        <v>0.60799999999999998</v>
      </c>
      <c r="L2775" s="5">
        <f>IFERROR(VLOOKUP(Consulta1[[#This Row],[Pozo largo]],Controles!B:J,9,FALSE),"NO")</f>
        <v>0</v>
      </c>
    </row>
    <row r="2776" spans="2:12" x14ac:dyDescent="0.35">
      <c r="B2776" s="4" t="s">
        <v>5304</v>
      </c>
      <c r="C2776" s="4" t="s">
        <v>8479</v>
      </c>
      <c r="D2776" s="4" t="s">
        <v>5</v>
      </c>
      <c r="E2776" s="4" t="s">
        <v>12</v>
      </c>
      <c r="F2776" s="4" t="s">
        <v>7</v>
      </c>
      <c r="G2776" s="4" t="s">
        <v>13</v>
      </c>
      <c r="H2776" s="4" t="s">
        <v>33</v>
      </c>
      <c r="I2776" s="5" t="str">
        <f>IFERROR(VLOOKUP(Consulta1[[#This Row],[Pozo largo]],'Lista YPF'!$B$3:$C$358,2,FALSE),"NO")</f>
        <v>NO</v>
      </c>
      <c r="J2776" s="5" t="str">
        <f>IFERROR(VLOOKUP(Consulta1[[#This Row],[Pozo]],'Lista Oportunidades'!B:C,2,FALSE),"NO")</f>
        <v>NO</v>
      </c>
      <c r="K2776" s="5">
        <f>IFERROR(VLOOKUP(Consulta1[[#This Row],[Pozo largo]],Controles!B:H,7,FALSE),"NO")</f>
        <v>0.75</v>
      </c>
      <c r="L2776" s="5">
        <f>IFERROR(VLOOKUP(Consulta1[[#This Row],[Pozo largo]],Controles!B:J,9,FALSE),"NO")</f>
        <v>0</v>
      </c>
    </row>
    <row r="2777" spans="2:12" x14ac:dyDescent="0.35">
      <c r="B2777" s="4" t="s">
        <v>5306</v>
      </c>
      <c r="C2777" s="4" t="s">
        <v>8480</v>
      </c>
      <c r="D2777" s="4" t="s">
        <v>5</v>
      </c>
      <c r="E2777" s="4" t="s">
        <v>57</v>
      </c>
      <c r="F2777" s="4" t="s">
        <v>238</v>
      </c>
      <c r="G2777" s="4" t="s">
        <v>5718</v>
      </c>
      <c r="H2777" s="4" t="s">
        <v>21</v>
      </c>
      <c r="I2777" s="5" t="str">
        <f>IFERROR(VLOOKUP(Consulta1[[#This Row],[Pozo largo]],'Lista YPF'!$B$3:$C$358,2,FALSE),"NO")</f>
        <v>En lista de Abandono</v>
      </c>
      <c r="J2777" s="5" t="str">
        <f>IFERROR(VLOOKUP(Consulta1[[#This Row],[Pozo]],'Lista Oportunidades'!B:C,2,FALSE),"NO")</f>
        <v>NO</v>
      </c>
      <c r="K2777" s="5">
        <f>IFERROR(VLOOKUP(Consulta1[[#This Row],[Pozo largo]],Controles!B:H,7,FALSE),"NO")</f>
        <v>1.04</v>
      </c>
      <c r="L2777" s="5">
        <f>IFERROR(VLOOKUP(Consulta1[[#This Row],[Pozo largo]],Controles!B:J,9,FALSE),"NO")</f>
        <v>0</v>
      </c>
    </row>
    <row r="2778" spans="2:12" x14ac:dyDescent="0.35">
      <c r="B2778" s="4" t="s">
        <v>5308</v>
      </c>
      <c r="C2778" s="4" t="s">
        <v>8481</v>
      </c>
      <c r="D2778" s="4" t="s">
        <v>5</v>
      </c>
      <c r="E2778" s="4" t="s">
        <v>24</v>
      </c>
      <c r="F2778" s="4" t="s">
        <v>25</v>
      </c>
      <c r="G2778" s="4" t="s">
        <v>11387</v>
      </c>
      <c r="H2778" s="4" t="s">
        <v>36</v>
      </c>
      <c r="I2778" s="5" t="str">
        <f>IFERROR(VLOOKUP(Consulta1[[#This Row],[Pozo largo]],'Lista YPF'!$B$3:$C$358,2,FALSE),"NO")</f>
        <v>NO</v>
      </c>
      <c r="J2778" s="5" t="str">
        <f>IFERROR(VLOOKUP(Consulta1[[#This Row],[Pozo]],'Lista Oportunidades'!B:C,2,FALSE),"NO")</f>
        <v>NO</v>
      </c>
      <c r="K2778" s="5">
        <f>IFERROR(VLOOKUP(Consulta1[[#This Row],[Pozo largo]],Controles!B:H,7,FALSE),"NO")</f>
        <v>0.01</v>
      </c>
      <c r="L2778" s="5" t="str">
        <f>IFERROR(VLOOKUP(Consulta1[[#This Row],[Pozo largo]],Controles!B:J,9,FALSE),"NO")</f>
        <v>Ultimo Año</v>
      </c>
    </row>
    <row r="2779" spans="2:12" x14ac:dyDescent="0.35">
      <c r="B2779" s="4" t="s">
        <v>5310</v>
      </c>
      <c r="C2779" s="4" t="s">
        <v>8482</v>
      </c>
      <c r="D2779" s="4" t="s">
        <v>5</v>
      </c>
      <c r="E2779" s="4" t="s">
        <v>12</v>
      </c>
      <c r="F2779" s="4" t="s">
        <v>7</v>
      </c>
      <c r="G2779" s="4" t="s">
        <v>13</v>
      </c>
      <c r="H2779" s="4" t="s">
        <v>33</v>
      </c>
      <c r="I2779" s="5" t="str">
        <f>IFERROR(VLOOKUP(Consulta1[[#This Row],[Pozo largo]],'Lista YPF'!$B$3:$C$358,2,FALSE),"NO")</f>
        <v>NO</v>
      </c>
      <c r="J2779" s="5" t="str">
        <f>IFERROR(VLOOKUP(Consulta1[[#This Row],[Pozo]],'Lista Oportunidades'!B:C,2,FALSE),"NO")</f>
        <v>NO</v>
      </c>
      <c r="K2779" s="5">
        <f>IFERROR(VLOOKUP(Consulta1[[#This Row],[Pozo largo]],Controles!B:H,7,FALSE),"NO")</f>
        <v>0.27800000000000002</v>
      </c>
      <c r="L2779" s="5">
        <f>IFERROR(VLOOKUP(Consulta1[[#This Row],[Pozo largo]],Controles!B:J,9,FALSE),"NO")</f>
        <v>0</v>
      </c>
    </row>
    <row r="2780" spans="2:12" x14ac:dyDescent="0.35">
      <c r="B2780" s="4" t="s">
        <v>5312</v>
      </c>
      <c r="C2780" s="4" t="s">
        <v>5752</v>
      </c>
      <c r="D2780" s="4" t="s">
        <v>5</v>
      </c>
      <c r="E2780" s="4" t="s">
        <v>12</v>
      </c>
      <c r="F2780" s="4" t="s">
        <v>238</v>
      </c>
      <c r="G2780" s="4" t="s">
        <v>13</v>
      </c>
      <c r="H2780" s="4" t="s">
        <v>21</v>
      </c>
      <c r="I2780" s="5" t="str">
        <f>IFERROR(VLOOKUP(Consulta1[[#This Row],[Pozo largo]],'Lista YPF'!$B$3:$C$358,2,FALSE),"NO")</f>
        <v>NO</v>
      </c>
      <c r="J2780" s="5" t="str">
        <f>IFERROR(VLOOKUP(Consulta1[[#This Row],[Pozo]],'Lista Oportunidades'!B:C,2,FALSE),"NO")</f>
        <v>Oportunidad</v>
      </c>
      <c r="K2780" s="5">
        <f>IFERROR(VLOOKUP(Consulta1[[#This Row],[Pozo largo]],Controles!B:H,7,FALSE),"NO")</f>
        <v>2.4500000000000002</v>
      </c>
      <c r="L2780" s="5">
        <f>IFERROR(VLOOKUP(Consulta1[[#This Row],[Pozo largo]],Controles!B:J,9,FALSE),"NO")</f>
        <v>0</v>
      </c>
    </row>
    <row r="2781" spans="2:12" x14ac:dyDescent="0.35">
      <c r="B2781" s="4" t="s">
        <v>5314</v>
      </c>
      <c r="C2781" s="4" t="s">
        <v>8483</v>
      </c>
      <c r="D2781" s="4" t="s">
        <v>5</v>
      </c>
      <c r="E2781" s="4" t="s">
        <v>12</v>
      </c>
      <c r="F2781" s="4" t="s">
        <v>7</v>
      </c>
      <c r="G2781" s="4" t="s">
        <v>13</v>
      </c>
      <c r="H2781" s="4" t="s">
        <v>33</v>
      </c>
      <c r="I2781" s="5" t="str">
        <f>IFERROR(VLOOKUP(Consulta1[[#This Row],[Pozo largo]],'Lista YPF'!$B$3:$C$358,2,FALSE),"NO")</f>
        <v>NO</v>
      </c>
      <c r="J2781" s="5" t="str">
        <f>IFERROR(VLOOKUP(Consulta1[[#This Row],[Pozo]],'Lista Oportunidades'!B:C,2,FALSE),"NO")</f>
        <v>NO</v>
      </c>
      <c r="K2781" s="5">
        <f>IFERROR(VLOOKUP(Consulta1[[#This Row],[Pozo largo]],Controles!B:H,7,FALSE),"NO")</f>
        <v>2.875</v>
      </c>
      <c r="L2781" s="5">
        <f>IFERROR(VLOOKUP(Consulta1[[#This Row],[Pozo largo]],Controles!B:J,9,FALSE),"NO")</f>
        <v>0</v>
      </c>
    </row>
    <row r="2782" spans="2:12" x14ac:dyDescent="0.35">
      <c r="B2782" s="4" t="s">
        <v>5316</v>
      </c>
      <c r="C2782" s="4" t="s">
        <v>8484</v>
      </c>
      <c r="D2782" s="4" t="s">
        <v>5</v>
      </c>
      <c r="E2782" s="4" t="s">
        <v>30</v>
      </c>
      <c r="F2782" s="4" t="s">
        <v>31</v>
      </c>
      <c r="G2782" s="4" t="s">
        <v>32</v>
      </c>
      <c r="H2782" s="4" t="s">
        <v>36</v>
      </c>
      <c r="I2782" s="5" t="str">
        <f>IFERROR(VLOOKUP(Consulta1[[#This Row],[Pozo largo]],'Lista YPF'!$B$3:$C$358,2,FALSE),"NO")</f>
        <v>NO</v>
      </c>
      <c r="J2782" s="5" t="str">
        <f>IFERROR(VLOOKUP(Consulta1[[#This Row],[Pozo]],'Lista Oportunidades'!B:C,2,FALSE),"NO")</f>
        <v>NO</v>
      </c>
      <c r="K2782" s="5">
        <f>IFERROR(VLOOKUP(Consulta1[[#This Row],[Pozo largo]],Controles!B:H,7,FALSE),"NO")</f>
        <v>4.92</v>
      </c>
      <c r="L2782" s="5">
        <f>IFERROR(VLOOKUP(Consulta1[[#This Row],[Pozo largo]],Controles!B:J,9,FALSE),"NO")</f>
        <v>0</v>
      </c>
    </row>
    <row r="2783" spans="2:12" x14ac:dyDescent="0.35">
      <c r="B2783" s="4" t="s">
        <v>5318</v>
      </c>
      <c r="C2783" s="4" t="s">
        <v>8485</v>
      </c>
      <c r="D2783" s="4" t="s">
        <v>5</v>
      </c>
      <c r="E2783" s="4" t="s">
        <v>12</v>
      </c>
      <c r="F2783" s="4" t="s">
        <v>28</v>
      </c>
      <c r="G2783" s="4" t="s">
        <v>13</v>
      </c>
      <c r="H2783" s="4" t="s">
        <v>36</v>
      </c>
      <c r="I2783" s="5" t="str">
        <f>IFERROR(VLOOKUP(Consulta1[[#This Row],[Pozo largo]],'Lista YPF'!$B$3:$C$358,2,FALSE),"NO")</f>
        <v>NO</v>
      </c>
      <c r="J2783" s="5" t="str">
        <f>IFERROR(VLOOKUP(Consulta1[[#This Row],[Pozo]],'Lista Oportunidades'!B:C,2,FALSE),"NO")</f>
        <v>NO</v>
      </c>
      <c r="K2783" s="5">
        <f>IFERROR(VLOOKUP(Consulta1[[#This Row],[Pozo largo]],Controles!B:H,7,FALSE),"NO")</f>
        <v>0</v>
      </c>
      <c r="L2783" s="5">
        <f>IFERROR(VLOOKUP(Consulta1[[#This Row],[Pozo largo]],Controles!B:J,9,FALSE),"NO")</f>
        <v>0</v>
      </c>
    </row>
    <row r="2784" spans="2:12" x14ac:dyDescent="0.35">
      <c r="B2784" s="4" t="s">
        <v>5320</v>
      </c>
      <c r="C2784" s="4" t="s">
        <v>8486</v>
      </c>
      <c r="D2784" s="4" t="s">
        <v>5</v>
      </c>
      <c r="E2784" s="4" t="s">
        <v>30</v>
      </c>
      <c r="F2784" s="4" t="s">
        <v>31</v>
      </c>
      <c r="G2784" s="4" t="s">
        <v>32</v>
      </c>
      <c r="H2784" s="4" t="s">
        <v>84</v>
      </c>
      <c r="I2784" s="5" t="str">
        <f>IFERROR(VLOOKUP(Consulta1[[#This Row],[Pozo largo]],'Lista YPF'!$B$3:$C$358,2,FALSE),"NO")</f>
        <v>NO</v>
      </c>
      <c r="J2784" s="5" t="str">
        <f>IFERROR(VLOOKUP(Consulta1[[#This Row],[Pozo]],'Lista Oportunidades'!B:C,2,FALSE),"NO")</f>
        <v>NO</v>
      </c>
      <c r="K2784" s="5">
        <f>IFERROR(VLOOKUP(Consulta1[[#This Row],[Pozo largo]],Controles!B:H,7,FALSE),"NO")</f>
        <v>0.14400000000000002</v>
      </c>
      <c r="L2784" s="5">
        <f>IFERROR(VLOOKUP(Consulta1[[#This Row],[Pozo largo]],Controles!B:J,9,FALSE),"NO")</f>
        <v>0</v>
      </c>
    </row>
    <row r="2785" spans="2:12" x14ac:dyDescent="0.35">
      <c r="B2785" s="4" t="s">
        <v>5322</v>
      </c>
      <c r="C2785" s="4" t="s">
        <v>8487</v>
      </c>
      <c r="D2785" s="4" t="s">
        <v>5</v>
      </c>
      <c r="E2785" s="4" t="s">
        <v>24</v>
      </c>
      <c r="F2785" s="4" t="s">
        <v>31</v>
      </c>
      <c r="G2785" s="4" t="s">
        <v>8</v>
      </c>
      <c r="H2785" s="4" t="s">
        <v>86</v>
      </c>
      <c r="I2785" s="5" t="str">
        <f>IFERROR(VLOOKUP(Consulta1[[#This Row],[Pozo largo]],'Lista YPF'!$B$3:$C$358,2,FALSE),"NO")</f>
        <v>NO</v>
      </c>
      <c r="J2785" s="5" t="str">
        <f>IFERROR(VLOOKUP(Consulta1[[#This Row],[Pozo]],'Lista Oportunidades'!B:C,2,FALSE),"NO")</f>
        <v>NO</v>
      </c>
      <c r="K2785" s="5">
        <f>IFERROR(VLOOKUP(Consulta1[[#This Row],[Pozo largo]],Controles!B:H,7,FALSE),"NO")</f>
        <v>7.3000000000000009E-2</v>
      </c>
      <c r="L2785" s="5">
        <f>IFERROR(VLOOKUP(Consulta1[[#This Row],[Pozo largo]],Controles!B:J,9,FALSE),"NO")</f>
        <v>0</v>
      </c>
    </row>
    <row r="2786" spans="2:12" x14ac:dyDescent="0.35">
      <c r="B2786" s="4" t="s">
        <v>5324</v>
      </c>
      <c r="C2786" s="4" t="s">
        <v>8488</v>
      </c>
      <c r="D2786" s="4" t="s">
        <v>5</v>
      </c>
      <c r="E2786" s="4" t="s">
        <v>12</v>
      </c>
      <c r="F2786" s="4" t="s">
        <v>7</v>
      </c>
      <c r="G2786" s="4" t="s">
        <v>13</v>
      </c>
      <c r="H2786" s="4" t="s">
        <v>66</v>
      </c>
      <c r="I2786" s="5" t="str">
        <f>IFERROR(VLOOKUP(Consulta1[[#This Row],[Pozo largo]],'Lista YPF'!$B$3:$C$358,2,FALSE),"NO")</f>
        <v>NO</v>
      </c>
      <c r="J2786" s="5" t="str">
        <f>IFERROR(VLOOKUP(Consulta1[[#This Row],[Pozo]],'Lista Oportunidades'!B:C,2,FALSE),"NO")</f>
        <v>NO</v>
      </c>
      <c r="K2786" s="5">
        <f>IFERROR(VLOOKUP(Consulta1[[#This Row],[Pozo largo]],Controles!B:H,7,FALSE),"NO")</f>
        <v>0.44</v>
      </c>
      <c r="L2786" s="5">
        <f>IFERROR(VLOOKUP(Consulta1[[#This Row],[Pozo largo]],Controles!B:J,9,FALSE),"NO")</f>
        <v>0</v>
      </c>
    </row>
    <row r="2787" spans="2:12" x14ac:dyDescent="0.35">
      <c r="B2787" s="4" t="s">
        <v>5326</v>
      </c>
      <c r="C2787" s="4" t="s">
        <v>8489</v>
      </c>
      <c r="D2787" s="4" t="s">
        <v>5</v>
      </c>
      <c r="E2787" s="4" t="s">
        <v>12</v>
      </c>
      <c r="F2787" s="4" t="s">
        <v>28</v>
      </c>
      <c r="G2787" s="4" t="s">
        <v>13</v>
      </c>
      <c r="H2787" s="4" t="s">
        <v>21</v>
      </c>
      <c r="I2787" s="5" t="str">
        <f>IFERROR(VLOOKUP(Consulta1[[#This Row],[Pozo largo]],'Lista YPF'!$B$3:$C$358,2,FALSE),"NO")</f>
        <v>NO</v>
      </c>
      <c r="J2787" s="5" t="str">
        <f>IFERROR(VLOOKUP(Consulta1[[#This Row],[Pozo]],'Lista Oportunidades'!B:C,2,FALSE),"NO")</f>
        <v>NO</v>
      </c>
      <c r="K2787" s="5">
        <f>IFERROR(VLOOKUP(Consulta1[[#This Row],[Pozo largo]],Controles!B:H,7,FALSE),"NO")</f>
        <v>0</v>
      </c>
      <c r="L2787" s="5">
        <f>IFERROR(VLOOKUP(Consulta1[[#This Row],[Pozo largo]],Controles!B:J,9,FALSE),"NO")</f>
        <v>0</v>
      </c>
    </row>
    <row r="2788" spans="2:12" x14ac:dyDescent="0.35">
      <c r="B2788" s="4" t="s">
        <v>5328</v>
      </c>
      <c r="C2788" s="4" t="s">
        <v>8490</v>
      </c>
      <c r="D2788" s="4" t="s">
        <v>5</v>
      </c>
      <c r="E2788" s="4" t="s">
        <v>30</v>
      </c>
      <c r="F2788" s="4" t="s">
        <v>31</v>
      </c>
      <c r="G2788" s="4" t="s">
        <v>32</v>
      </c>
      <c r="H2788" s="4" t="s">
        <v>80</v>
      </c>
      <c r="I2788" s="5" t="str">
        <f>IFERROR(VLOOKUP(Consulta1[[#This Row],[Pozo largo]],'Lista YPF'!$B$3:$C$358,2,FALSE),"NO")</f>
        <v>NO</v>
      </c>
      <c r="J2788" s="5" t="str">
        <f>IFERROR(VLOOKUP(Consulta1[[#This Row],[Pozo]],'Lista Oportunidades'!B:C,2,FALSE),"NO")</f>
        <v>NO</v>
      </c>
      <c r="K2788" s="5">
        <f>IFERROR(VLOOKUP(Consulta1[[#This Row],[Pozo largo]],Controles!B:H,7,FALSE),"NO")</f>
        <v>1.7290000000000001</v>
      </c>
      <c r="L2788" s="5">
        <f>IFERROR(VLOOKUP(Consulta1[[#This Row],[Pozo largo]],Controles!B:J,9,FALSE),"NO")</f>
        <v>0</v>
      </c>
    </row>
    <row r="2789" spans="2:12" x14ac:dyDescent="0.35">
      <c r="B2789" s="4" t="s">
        <v>5330</v>
      </c>
      <c r="C2789" s="4" t="s">
        <v>8491</v>
      </c>
      <c r="D2789" s="4" t="s">
        <v>5</v>
      </c>
      <c r="E2789" s="4" t="s">
        <v>24</v>
      </c>
      <c r="F2789" s="4" t="s">
        <v>25</v>
      </c>
      <c r="G2789" s="4" t="s">
        <v>8</v>
      </c>
      <c r="H2789" s="4" t="s">
        <v>21</v>
      </c>
      <c r="I2789" s="5" t="str">
        <f>IFERROR(VLOOKUP(Consulta1[[#This Row],[Pozo largo]],'Lista YPF'!$B$3:$C$358,2,FALSE),"NO")</f>
        <v>NO</v>
      </c>
      <c r="J2789" s="5" t="str">
        <f>IFERROR(VLOOKUP(Consulta1[[#This Row],[Pozo]],'Lista Oportunidades'!B:C,2,FALSE),"NO")</f>
        <v>NO</v>
      </c>
      <c r="K2789" s="5">
        <f>IFERROR(VLOOKUP(Consulta1[[#This Row],[Pozo largo]],Controles!B:H,7,FALSE),"NO")</f>
        <v>2.9000000000000001E-2</v>
      </c>
      <c r="L2789" s="5">
        <f>IFERROR(VLOOKUP(Consulta1[[#This Row],[Pozo largo]],Controles!B:J,9,FALSE),"NO")</f>
        <v>0</v>
      </c>
    </row>
    <row r="2790" spans="2:12" x14ac:dyDescent="0.35">
      <c r="B2790" s="4" t="s">
        <v>5332</v>
      </c>
      <c r="C2790" s="4" t="s">
        <v>8492</v>
      </c>
      <c r="D2790" s="4" t="s">
        <v>5</v>
      </c>
      <c r="E2790" s="4" t="s">
        <v>12</v>
      </c>
      <c r="F2790" s="4" t="s">
        <v>7</v>
      </c>
      <c r="G2790" s="4" t="s">
        <v>13</v>
      </c>
      <c r="H2790" s="4" t="s">
        <v>86</v>
      </c>
      <c r="I2790" s="5" t="str">
        <f>IFERROR(VLOOKUP(Consulta1[[#This Row],[Pozo largo]],'Lista YPF'!$B$3:$C$358,2,FALSE),"NO")</f>
        <v>NO</v>
      </c>
      <c r="J2790" s="5" t="str">
        <f>IFERROR(VLOOKUP(Consulta1[[#This Row],[Pozo]],'Lista Oportunidades'!B:C,2,FALSE),"NO")</f>
        <v>NO</v>
      </c>
      <c r="K2790" s="5">
        <f>IFERROR(VLOOKUP(Consulta1[[#This Row],[Pozo largo]],Controles!B:H,7,FALSE),"NO")</f>
        <v>1.6280000000000001</v>
      </c>
      <c r="L2790" s="5">
        <f>IFERROR(VLOOKUP(Consulta1[[#This Row],[Pozo largo]],Controles!B:J,9,FALSE),"NO")</f>
        <v>0</v>
      </c>
    </row>
    <row r="2791" spans="2:12" x14ac:dyDescent="0.35">
      <c r="B2791" s="4" t="s">
        <v>5334</v>
      </c>
      <c r="C2791" s="4" t="s">
        <v>8493</v>
      </c>
      <c r="D2791" s="4" t="s">
        <v>5</v>
      </c>
      <c r="E2791" s="4" t="s">
        <v>12</v>
      </c>
      <c r="F2791" s="4" t="s">
        <v>28</v>
      </c>
      <c r="G2791" s="4" t="s">
        <v>13</v>
      </c>
      <c r="H2791" s="4" t="s">
        <v>74</v>
      </c>
      <c r="I2791" s="5" t="str">
        <f>IFERROR(VLOOKUP(Consulta1[[#This Row],[Pozo largo]],'Lista YPF'!$B$3:$C$358,2,FALSE),"NO")</f>
        <v>NO</v>
      </c>
      <c r="J2791" s="5" t="str">
        <f>IFERROR(VLOOKUP(Consulta1[[#This Row],[Pozo]],'Lista Oportunidades'!B:C,2,FALSE),"NO")</f>
        <v>NO</v>
      </c>
      <c r="K2791" s="5">
        <f>IFERROR(VLOOKUP(Consulta1[[#This Row],[Pozo largo]],Controles!B:H,7,FALSE),"NO")</f>
        <v>0</v>
      </c>
      <c r="L2791" s="5">
        <f>IFERROR(VLOOKUP(Consulta1[[#This Row],[Pozo largo]],Controles!B:J,9,FALSE),"NO")</f>
        <v>0</v>
      </c>
    </row>
    <row r="2792" spans="2:12" x14ac:dyDescent="0.35">
      <c r="B2792" s="4" t="s">
        <v>5336</v>
      </c>
      <c r="C2792" s="4" t="s">
        <v>8494</v>
      </c>
      <c r="D2792" s="4" t="s">
        <v>5</v>
      </c>
      <c r="E2792" s="4" t="s">
        <v>24</v>
      </c>
      <c r="F2792" s="4" t="s">
        <v>25</v>
      </c>
      <c r="G2792" s="4" t="s">
        <v>8</v>
      </c>
      <c r="H2792" s="4" t="s">
        <v>21</v>
      </c>
      <c r="I2792" s="5" t="str">
        <f>IFERROR(VLOOKUP(Consulta1[[#This Row],[Pozo largo]],'Lista YPF'!$B$3:$C$358,2,FALSE),"NO")</f>
        <v>NO</v>
      </c>
      <c r="J2792" s="5" t="str">
        <f>IFERROR(VLOOKUP(Consulta1[[#This Row],[Pozo]],'Lista Oportunidades'!B:C,2,FALSE),"NO")</f>
        <v>NO</v>
      </c>
      <c r="K2792" s="5">
        <f>IFERROR(VLOOKUP(Consulta1[[#This Row],[Pozo largo]],Controles!B:H,7,FALSE),"NO")</f>
        <v>0.192</v>
      </c>
      <c r="L2792" s="5">
        <f>IFERROR(VLOOKUP(Consulta1[[#This Row],[Pozo largo]],Controles!B:J,9,FALSE),"NO")</f>
        <v>0</v>
      </c>
    </row>
    <row r="2793" spans="2:12" x14ac:dyDescent="0.35">
      <c r="B2793" s="4" t="s">
        <v>5338</v>
      </c>
      <c r="C2793" s="4" t="s">
        <v>8495</v>
      </c>
      <c r="D2793" s="4" t="s">
        <v>5</v>
      </c>
      <c r="E2793" s="4" t="s">
        <v>12</v>
      </c>
      <c r="F2793" s="4" t="s">
        <v>238</v>
      </c>
      <c r="G2793" s="4" t="s">
        <v>13</v>
      </c>
      <c r="H2793" s="4" t="s">
        <v>36</v>
      </c>
      <c r="I2793" s="5" t="str">
        <f>IFERROR(VLOOKUP(Consulta1[[#This Row],[Pozo largo]],'Lista YPF'!$B$3:$C$358,2,FALSE),"NO")</f>
        <v>NO</v>
      </c>
      <c r="J2793" s="5" t="str">
        <f>IFERROR(VLOOKUP(Consulta1[[#This Row],[Pozo]],'Lista Oportunidades'!B:C,2,FALSE),"NO")</f>
        <v>NO</v>
      </c>
      <c r="K2793" s="5">
        <f>IFERROR(VLOOKUP(Consulta1[[#This Row],[Pozo largo]],Controles!B:H,7,FALSE),"NO")</f>
        <v>3.6</v>
      </c>
      <c r="L2793" s="5">
        <f>IFERROR(VLOOKUP(Consulta1[[#This Row],[Pozo largo]],Controles!B:J,9,FALSE),"NO")</f>
        <v>0</v>
      </c>
    </row>
    <row r="2794" spans="2:12" x14ac:dyDescent="0.35">
      <c r="B2794" s="4" t="s">
        <v>5340</v>
      </c>
      <c r="C2794" s="4" t="s">
        <v>8496</v>
      </c>
      <c r="D2794" s="4" t="s">
        <v>5</v>
      </c>
      <c r="E2794" s="4" t="s">
        <v>24</v>
      </c>
      <c r="F2794" s="4" t="s">
        <v>28</v>
      </c>
      <c r="G2794" s="4" t="s">
        <v>8</v>
      </c>
      <c r="H2794" s="4" t="s">
        <v>86</v>
      </c>
      <c r="I2794" s="5" t="str">
        <f>IFERROR(VLOOKUP(Consulta1[[#This Row],[Pozo largo]],'Lista YPF'!$B$3:$C$358,2,FALSE),"NO")</f>
        <v>NO</v>
      </c>
      <c r="J2794" s="5" t="str">
        <f>IFERROR(VLOOKUP(Consulta1[[#This Row],[Pozo]],'Lista Oportunidades'!B:C,2,FALSE),"NO")</f>
        <v>NO</v>
      </c>
      <c r="K2794" s="5">
        <f>IFERROR(VLOOKUP(Consulta1[[#This Row],[Pozo largo]],Controles!B:H,7,FALSE),"NO")</f>
        <v>0</v>
      </c>
      <c r="L2794" s="5">
        <f>IFERROR(VLOOKUP(Consulta1[[#This Row],[Pozo largo]],Controles!B:J,9,FALSE),"NO")</f>
        <v>0</v>
      </c>
    </row>
    <row r="2795" spans="2:12" x14ac:dyDescent="0.35">
      <c r="B2795" s="4" t="s">
        <v>5342</v>
      </c>
      <c r="C2795" s="4" t="s">
        <v>8497</v>
      </c>
      <c r="D2795" s="4" t="s">
        <v>5</v>
      </c>
      <c r="E2795" s="4" t="s">
        <v>6</v>
      </c>
      <c r="F2795" s="4" t="s">
        <v>7</v>
      </c>
      <c r="G2795" s="4" t="s">
        <v>5718</v>
      </c>
      <c r="H2795" s="4" t="s">
        <v>86</v>
      </c>
      <c r="I2795" s="5" t="str">
        <f>IFERROR(VLOOKUP(Consulta1[[#This Row],[Pozo largo]],'Lista YPF'!$B$3:$C$358,2,FALSE),"NO")</f>
        <v>En lista de Abandono</v>
      </c>
      <c r="J2795" s="5" t="str">
        <f>IFERROR(VLOOKUP(Consulta1[[#This Row],[Pozo]],'Lista Oportunidades'!B:C,2,FALSE),"NO")</f>
        <v>NO</v>
      </c>
      <c r="K2795" s="5">
        <f>IFERROR(VLOOKUP(Consulta1[[#This Row],[Pozo largo]],Controles!B:H,7,FALSE),"NO")</f>
        <v>1.2</v>
      </c>
      <c r="L2795" s="5" t="str">
        <f>IFERROR(VLOOKUP(Consulta1[[#This Row],[Pozo largo]],Controles!B:J,9,FALSE),"NO")</f>
        <v>Ultimo Año</v>
      </c>
    </row>
    <row r="2796" spans="2:12" x14ac:dyDescent="0.35">
      <c r="B2796" s="4" t="s">
        <v>5344</v>
      </c>
      <c r="C2796" s="4" t="s">
        <v>8498</v>
      </c>
      <c r="D2796" s="4" t="s">
        <v>5</v>
      </c>
      <c r="E2796" s="4" t="s">
        <v>12</v>
      </c>
      <c r="F2796" s="4" t="s">
        <v>7</v>
      </c>
      <c r="G2796" s="4" t="s">
        <v>13</v>
      </c>
      <c r="H2796" s="4" t="s">
        <v>86</v>
      </c>
      <c r="I2796" s="5" t="str">
        <f>IFERROR(VLOOKUP(Consulta1[[#This Row],[Pozo largo]],'Lista YPF'!$B$3:$C$358,2,FALSE),"NO")</f>
        <v>NO</v>
      </c>
      <c r="J2796" s="5" t="str">
        <f>IFERROR(VLOOKUP(Consulta1[[#This Row],[Pozo]],'Lista Oportunidades'!B:C,2,FALSE),"NO")</f>
        <v>NO</v>
      </c>
      <c r="K2796" s="5">
        <f>IFERROR(VLOOKUP(Consulta1[[#This Row],[Pozo largo]],Controles!B:H,7,FALSE),"NO")</f>
        <v>0.375</v>
      </c>
      <c r="L2796" s="5">
        <f>IFERROR(VLOOKUP(Consulta1[[#This Row],[Pozo largo]],Controles!B:J,9,FALSE),"NO")</f>
        <v>0</v>
      </c>
    </row>
    <row r="2797" spans="2:12" x14ac:dyDescent="0.35">
      <c r="B2797" s="4" t="s">
        <v>5346</v>
      </c>
      <c r="C2797" s="4" t="s">
        <v>8499</v>
      </c>
      <c r="D2797" s="4" t="s">
        <v>5</v>
      </c>
      <c r="E2797" s="4" t="s">
        <v>24</v>
      </c>
      <c r="F2797" s="4" t="s">
        <v>25</v>
      </c>
      <c r="G2797" s="4" t="s">
        <v>8</v>
      </c>
      <c r="H2797" s="4" t="s">
        <v>86</v>
      </c>
      <c r="I2797" s="5" t="str">
        <f>IFERROR(VLOOKUP(Consulta1[[#This Row],[Pozo largo]],'Lista YPF'!$B$3:$C$358,2,FALSE),"NO")</f>
        <v>NO</v>
      </c>
      <c r="J2797" s="5" t="str">
        <f>IFERROR(VLOOKUP(Consulta1[[#This Row],[Pozo]],'Lista Oportunidades'!B:C,2,FALSE),"NO")</f>
        <v>NO</v>
      </c>
      <c r="K2797" s="5">
        <f>IFERROR(VLOOKUP(Consulta1[[#This Row],[Pozo largo]],Controles!B:H,7,FALSE),"NO")</f>
        <v>0.38500000000000001</v>
      </c>
      <c r="L2797" s="5">
        <f>IFERROR(VLOOKUP(Consulta1[[#This Row],[Pozo largo]],Controles!B:J,9,FALSE),"NO")</f>
        <v>0</v>
      </c>
    </row>
    <row r="2798" spans="2:12" x14ac:dyDescent="0.35">
      <c r="B2798" s="4" t="s">
        <v>5348</v>
      </c>
      <c r="C2798" s="4" t="s">
        <v>8500</v>
      </c>
      <c r="D2798" s="4" t="s">
        <v>5</v>
      </c>
      <c r="E2798" s="4" t="s">
        <v>12</v>
      </c>
      <c r="F2798" s="4" t="s">
        <v>7</v>
      </c>
      <c r="G2798" s="4" t="s">
        <v>13</v>
      </c>
      <c r="H2798" s="4" t="s">
        <v>21</v>
      </c>
      <c r="I2798" s="5" t="str">
        <f>IFERROR(VLOOKUP(Consulta1[[#This Row],[Pozo largo]],'Lista YPF'!$B$3:$C$358,2,FALSE),"NO")</f>
        <v>NO</v>
      </c>
      <c r="J2798" s="5" t="str">
        <f>IFERROR(VLOOKUP(Consulta1[[#This Row],[Pozo]],'Lista Oportunidades'!B:C,2,FALSE),"NO")</f>
        <v>NO</v>
      </c>
      <c r="K2798" s="5">
        <f>IFERROR(VLOOKUP(Consulta1[[#This Row],[Pozo largo]],Controles!B:H,7,FALSE),"NO")</f>
        <v>1.6</v>
      </c>
      <c r="L2798" s="5">
        <f>IFERROR(VLOOKUP(Consulta1[[#This Row],[Pozo largo]],Controles!B:J,9,FALSE),"NO")</f>
        <v>0</v>
      </c>
    </row>
    <row r="2799" spans="2:12" x14ac:dyDescent="0.35">
      <c r="B2799" s="4" t="s">
        <v>5350</v>
      </c>
      <c r="C2799" s="4" t="s">
        <v>8501</v>
      </c>
      <c r="D2799" s="4" t="s">
        <v>5</v>
      </c>
      <c r="E2799" s="4" t="s">
        <v>12</v>
      </c>
      <c r="F2799" s="4" t="s">
        <v>7</v>
      </c>
      <c r="G2799" s="4" t="s">
        <v>13</v>
      </c>
      <c r="H2799" s="4" t="s">
        <v>16</v>
      </c>
      <c r="I2799" s="5" t="str">
        <f>IFERROR(VLOOKUP(Consulta1[[#This Row],[Pozo largo]],'Lista YPF'!$B$3:$C$358,2,FALSE),"NO")</f>
        <v>NO</v>
      </c>
      <c r="J2799" s="5" t="str">
        <f>IFERROR(VLOOKUP(Consulta1[[#This Row],[Pozo]],'Lista Oportunidades'!B:C,2,FALSE),"NO")</f>
        <v>NO</v>
      </c>
      <c r="K2799" s="5">
        <f>IFERROR(VLOOKUP(Consulta1[[#This Row],[Pozo largo]],Controles!B:H,7,FALSE),"NO")</f>
        <v>2.2200000000000002</v>
      </c>
      <c r="L2799" s="5">
        <f>IFERROR(VLOOKUP(Consulta1[[#This Row],[Pozo largo]],Controles!B:J,9,FALSE),"NO")</f>
        <v>0</v>
      </c>
    </row>
    <row r="2800" spans="2:12" x14ac:dyDescent="0.35">
      <c r="B2800" s="4" t="s">
        <v>5352</v>
      </c>
      <c r="C2800" s="4" t="s">
        <v>8502</v>
      </c>
      <c r="D2800" s="4" t="s">
        <v>5</v>
      </c>
      <c r="E2800" s="4" t="s">
        <v>30</v>
      </c>
      <c r="F2800" s="4" t="s">
        <v>31</v>
      </c>
      <c r="G2800" s="4" t="s">
        <v>5718</v>
      </c>
      <c r="H2800" s="4" t="s">
        <v>36</v>
      </c>
      <c r="I2800" s="5" t="str">
        <f>IFERROR(VLOOKUP(Consulta1[[#This Row],[Pozo largo]],'Lista YPF'!$B$3:$C$358,2,FALSE),"NO")</f>
        <v>En lista de Abandono</v>
      </c>
      <c r="J2800" s="5" t="str">
        <f>IFERROR(VLOOKUP(Consulta1[[#This Row],[Pozo]],'Lista Oportunidades'!B:C,2,FALSE),"NO")</f>
        <v>NO</v>
      </c>
      <c r="K2800" s="5" t="str">
        <f>IFERROR(VLOOKUP(Consulta1[[#This Row],[Pozo largo]],Controles!B:H,7,FALSE),"NO")</f>
        <v>NO</v>
      </c>
      <c r="L2800" s="5" t="str">
        <f>IFERROR(VLOOKUP(Consulta1[[#This Row],[Pozo largo]],Controles!B:J,9,FALSE),"NO")</f>
        <v>NO</v>
      </c>
    </row>
    <row r="2801" spans="2:12" x14ac:dyDescent="0.35">
      <c r="B2801" s="4" t="s">
        <v>5353</v>
      </c>
      <c r="C2801" s="4" t="s">
        <v>8503</v>
      </c>
      <c r="D2801" s="4" t="s">
        <v>5</v>
      </c>
      <c r="E2801" s="4" t="s">
        <v>12</v>
      </c>
      <c r="F2801" s="4" t="s">
        <v>28</v>
      </c>
      <c r="G2801" s="4" t="s">
        <v>13</v>
      </c>
      <c r="H2801" s="4" t="s">
        <v>80</v>
      </c>
      <c r="I2801" s="5" t="str">
        <f>IFERROR(VLOOKUP(Consulta1[[#This Row],[Pozo largo]],'Lista YPF'!$B$3:$C$358,2,FALSE),"NO")</f>
        <v>NO</v>
      </c>
      <c r="J2801" s="5" t="str">
        <f>IFERROR(VLOOKUP(Consulta1[[#This Row],[Pozo]],'Lista Oportunidades'!B:C,2,FALSE),"NO")</f>
        <v>NO</v>
      </c>
      <c r="K2801" s="5">
        <f>IFERROR(VLOOKUP(Consulta1[[#This Row],[Pozo largo]],Controles!B:H,7,FALSE),"NO")</f>
        <v>0</v>
      </c>
      <c r="L2801" s="5">
        <f>IFERROR(VLOOKUP(Consulta1[[#This Row],[Pozo largo]],Controles!B:J,9,FALSE),"NO")</f>
        <v>0</v>
      </c>
    </row>
    <row r="2802" spans="2:12" x14ac:dyDescent="0.35">
      <c r="B2802" s="4" t="s">
        <v>5355</v>
      </c>
      <c r="C2802" s="4" t="s">
        <v>8504</v>
      </c>
      <c r="D2802" s="4" t="s">
        <v>5</v>
      </c>
      <c r="E2802" s="4" t="s">
        <v>12</v>
      </c>
      <c r="F2802" s="4" t="s">
        <v>25</v>
      </c>
      <c r="G2802" s="4" t="s">
        <v>13</v>
      </c>
      <c r="H2802" s="4" t="s">
        <v>80</v>
      </c>
      <c r="I2802" s="5" t="str">
        <f>IFERROR(VLOOKUP(Consulta1[[#This Row],[Pozo largo]],'Lista YPF'!$B$3:$C$358,2,FALSE),"NO")</f>
        <v>NO</v>
      </c>
      <c r="J2802" s="5" t="str">
        <f>IFERROR(VLOOKUP(Consulta1[[#This Row],[Pozo]],'Lista Oportunidades'!B:C,2,FALSE),"NO")</f>
        <v>NO</v>
      </c>
      <c r="K2802" s="5">
        <f>IFERROR(VLOOKUP(Consulta1[[#This Row],[Pozo largo]],Controles!B:H,7,FALSE),"NO")</f>
        <v>0.221</v>
      </c>
      <c r="L2802" s="5">
        <f>IFERROR(VLOOKUP(Consulta1[[#This Row],[Pozo largo]],Controles!B:J,9,FALSE),"NO")</f>
        <v>0</v>
      </c>
    </row>
    <row r="2803" spans="2:12" x14ac:dyDescent="0.35">
      <c r="B2803" s="4" t="s">
        <v>5357</v>
      </c>
      <c r="C2803" s="4" t="s">
        <v>8505</v>
      </c>
      <c r="D2803" s="4" t="s">
        <v>5</v>
      </c>
      <c r="E2803" s="4" t="s">
        <v>30</v>
      </c>
      <c r="F2803" s="4" t="s">
        <v>31</v>
      </c>
      <c r="G2803" s="4" t="s">
        <v>32</v>
      </c>
      <c r="H2803" s="4" t="s">
        <v>80</v>
      </c>
      <c r="I2803" s="5" t="str">
        <f>IFERROR(VLOOKUP(Consulta1[[#This Row],[Pozo largo]],'Lista YPF'!$B$3:$C$358,2,FALSE),"NO")</f>
        <v>NO</v>
      </c>
      <c r="J2803" s="5" t="str">
        <f>IFERROR(VLOOKUP(Consulta1[[#This Row],[Pozo]],'Lista Oportunidades'!B:C,2,FALSE),"NO")</f>
        <v>NO</v>
      </c>
      <c r="K2803" s="5">
        <f>IFERROR(VLOOKUP(Consulta1[[#This Row],[Pozo largo]],Controles!B:H,7,FALSE),"NO")</f>
        <v>0</v>
      </c>
      <c r="L2803" s="5">
        <f>IFERROR(VLOOKUP(Consulta1[[#This Row],[Pozo largo]],Controles!B:J,9,FALSE),"NO")</f>
        <v>0</v>
      </c>
    </row>
    <row r="2804" spans="2:12" x14ac:dyDescent="0.35">
      <c r="B2804" s="4" t="s">
        <v>5359</v>
      </c>
      <c r="C2804" s="4" t="s">
        <v>8506</v>
      </c>
      <c r="D2804" s="4" t="s">
        <v>5</v>
      </c>
      <c r="E2804" s="4" t="s">
        <v>12</v>
      </c>
      <c r="F2804" s="4" t="s">
        <v>7</v>
      </c>
      <c r="G2804" s="4" t="s">
        <v>13</v>
      </c>
      <c r="H2804" s="4" t="s">
        <v>84</v>
      </c>
      <c r="I2804" s="5" t="str">
        <f>IFERROR(VLOOKUP(Consulta1[[#This Row],[Pozo largo]],'Lista YPF'!$B$3:$C$358,2,FALSE),"NO")</f>
        <v>NO</v>
      </c>
      <c r="J2804" s="5" t="str">
        <f>IFERROR(VLOOKUP(Consulta1[[#This Row],[Pozo]],'Lista Oportunidades'!B:C,2,FALSE),"NO")</f>
        <v>NO</v>
      </c>
      <c r="K2804" s="5">
        <f>IFERROR(VLOOKUP(Consulta1[[#This Row],[Pozo largo]],Controles!B:H,7,FALSE),"NO")</f>
        <v>0.70000000000000007</v>
      </c>
      <c r="L2804" s="5">
        <f>IFERROR(VLOOKUP(Consulta1[[#This Row],[Pozo largo]],Controles!B:J,9,FALSE),"NO")</f>
        <v>0</v>
      </c>
    </row>
    <row r="2805" spans="2:12" x14ac:dyDescent="0.35">
      <c r="B2805" s="4" t="s">
        <v>5361</v>
      </c>
      <c r="C2805" s="4" t="s">
        <v>8507</v>
      </c>
      <c r="D2805" s="4" t="s">
        <v>5</v>
      </c>
      <c r="E2805" s="4" t="s">
        <v>24</v>
      </c>
      <c r="F2805" s="4" t="s">
        <v>25</v>
      </c>
      <c r="G2805" s="4" t="s">
        <v>8</v>
      </c>
      <c r="H2805" s="4" t="s">
        <v>86</v>
      </c>
      <c r="I2805" s="5" t="str">
        <f>IFERROR(VLOOKUP(Consulta1[[#This Row],[Pozo largo]],'Lista YPF'!$B$3:$C$358,2,FALSE),"NO")</f>
        <v>NO</v>
      </c>
      <c r="J2805" s="5" t="str">
        <f>IFERROR(VLOOKUP(Consulta1[[#This Row],[Pozo]],'Lista Oportunidades'!B:C,2,FALSE),"NO")</f>
        <v>NO</v>
      </c>
      <c r="K2805" s="5">
        <f>IFERROR(VLOOKUP(Consulta1[[#This Row],[Pozo largo]],Controles!B:H,7,FALSE),"NO")</f>
        <v>2.8000000000000001E-2</v>
      </c>
      <c r="L2805" s="5">
        <f>IFERROR(VLOOKUP(Consulta1[[#This Row],[Pozo largo]],Controles!B:J,9,FALSE),"NO")</f>
        <v>0</v>
      </c>
    </row>
    <row r="2806" spans="2:12" x14ac:dyDescent="0.35">
      <c r="B2806" s="4" t="s">
        <v>5363</v>
      </c>
      <c r="C2806" s="4" t="s">
        <v>8508</v>
      </c>
      <c r="D2806" s="4" t="s">
        <v>5</v>
      </c>
      <c r="E2806" s="4" t="s">
        <v>24</v>
      </c>
      <c r="F2806" s="4" t="s">
        <v>31</v>
      </c>
      <c r="G2806" s="4" t="s">
        <v>8</v>
      </c>
      <c r="H2806" s="4" t="s">
        <v>86</v>
      </c>
      <c r="I2806" s="5" t="str">
        <f>IFERROR(VLOOKUP(Consulta1[[#This Row],[Pozo largo]],'Lista YPF'!$B$3:$C$358,2,FALSE),"NO")</f>
        <v>NO</v>
      </c>
      <c r="J2806" s="5" t="str">
        <f>IFERROR(VLOOKUP(Consulta1[[#This Row],[Pozo]],'Lista Oportunidades'!B:C,2,FALSE),"NO")</f>
        <v>NO</v>
      </c>
      <c r="K2806" s="5">
        <f>IFERROR(VLOOKUP(Consulta1[[#This Row],[Pozo largo]],Controles!B:H,7,FALSE),"NO")</f>
        <v>0.8</v>
      </c>
      <c r="L2806" s="5">
        <f>IFERROR(VLOOKUP(Consulta1[[#This Row],[Pozo largo]],Controles!B:J,9,FALSE),"NO")</f>
        <v>0</v>
      </c>
    </row>
    <row r="2807" spans="2:12" x14ac:dyDescent="0.35">
      <c r="B2807" s="4" t="s">
        <v>5365</v>
      </c>
      <c r="C2807" s="4" t="s">
        <v>8509</v>
      </c>
      <c r="D2807" s="4" t="s">
        <v>5</v>
      </c>
      <c r="E2807" s="4" t="s">
        <v>12</v>
      </c>
      <c r="F2807" s="4" t="s">
        <v>25</v>
      </c>
      <c r="G2807" s="4" t="s">
        <v>13</v>
      </c>
      <c r="H2807" s="4" t="s">
        <v>91</v>
      </c>
      <c r="I2807" s="5" t="str">
        <f>IFERROR(VLOOKUP(Consulta1[[#This Row],[Pozo largo]],'Lista YPF'!$B$3:$C$358,2,FALSE),"NO")</f>
        <v>NO</v>
      </c>
      <c r="J2807" s="5" t="str">
        <f>IFERROR(VLOOKUP(Consulta1[[#This Row],[Pozo]],'Lista Oportunidades'!B:C,2,FALSE),"NO")</f>
        <v>NO</v>
      </c>
      <c r="K2807" s="5">
        <f>IFERROR(VLOOKUP(Consulta1[[#This Row],[Pozo largo]],Controles!B:H,7,FALSE),"NO")</f>
        <v>0.113</v>
      </c>
      <c r="L2807" s="5">
        <f>IFERROR(VLOOKUP(Consulta1[[#This Row],[Pozo largo]],Controles!B:J,9,FALSE),"NO")</f>
        <v>0</v>
      </c>
    </row>
    <row r="2808" spans="2:12" x14ac:dyDescent="0.35">
      <c r="B2808" s="4" t="s">
        <v>5367</v>
      </c>
      <c r="C2808" s="4" t="s">
        <v>8510</v>
      </c>
      <c r="D2808" s="4" t="s">
        <v>5</v>
      </c>
      <c r="E2808" s="4" t="s">
        <v>24</v>
      </c>
      <c r="F2808" s="4" t="s">
        <v>7</v>
      </c>
      <c r="G2808" s="4" t="s">
        <v>8</v>
      </c>
      <c r="H2808" s="4" t="s">
        <v>86</v>
      </c>
      <c r="I2808" s="5" t="str">
        <f>IFERROR(VLOOKUP(Consulta1[[#This Row],[Pozo largo]],'Lista YPF'!$B$3:$C$358,2,FALSE),"NO")</f>
        <v>NO</v>
      </c>
      <c r="J2808" s="5" t="str">
        <f>IFERROR(VLOOKUP(Consulta1[[#This Row],[Pozo]],'Lista Oportunidades'!B:C,2,FALSE),"NO")</f>
        <v>NO</v>
      </c>
      <c r="K2808" s="5">
        <f>IFERROR(VLOOKUP(Consulta1[[#This Row],[Pozo largo]],Controles!B:H,7,FALSE),"NO")</f>
        <v>0.2</v>
      </c>
      <c r="L2808" s="5">
        <f>IFERROR(VLOOKUP(Consulta1[[#This Row],[Pozo largo]],Controles!B:J,9,FALSE),"NO")</f>
        <v>0</v>
      </c>
    </row>
    <row r="2809" spans="2:12" x14ac:dyDescent="0.35">
      <c r="B2809" s="4" t="s">
        <v>5369</v>
      </c>
      <c r="C2809" s="4" t="s">
        <v>8511</v>
      </c>
      <c r="D2809" s="4" t="s">
        <v>5</v>
      </c>
      <c r="E2809" s="4" t="s">
        <v>12</v>
      </c>
      <c r="F2809" s="4" t="s">
        <v>7</v>
      </c>
      <c r="G2809" s="4" t="s">
        <v>13</v>
      </c>
      <c r="H2809" s="4" t="s">
        <v>80</v>
      </c>
      <c r="I2809" s="5" t="str">
        <f>IFERROR(VLOOKUP(Consulta1[[#This Row],[Pozo largo]],'Lista YPF'!$B$3:$C$358,2,FALSE),"NO")</f>
        <v>NO</v>
      </c>
      <c r="J2809" s="5" t="str">
        <f>IFERROR(VLOOKUP(Consulta1[[#This Row],[Pozo]],'Lista Oportunidades'!B:C,2,FALSE),"NO")</f>
        <v>NO</v>
      </c>
      <c r="K2809" s="5">
        <f>IFERROR(VLOOKUP(Consulta1[[#This Row],[Pozo largo]],Controles!B:H,7,FALSE),"NO")</f>
        <v>1.085</v>
      </c>
      <c r="L2809" s="5">
        <f>IFERROR(VLOOKUP(Consulta1[[#This Row],[Pozo largo]],Controles!B:J,9,FALSE),"NO")</f>
        <v>0</v>
      </c>
    </row>
    <row r="2810" spans="2:12" x14ac:dyDescent="0.35">
      <c r="B2810" s="4" t="s">
        <v>5371</v>
      </c>
      <c r="C2810" s="4" t="s">
        <v>8512</v>
      </c>
      <c r="D2810" s="4" t="s">
        <v>5</v>
      </c>
      <c r="E2810" s="4" t="s">
        <v>12</v>
      </c>
      <c r="F2810" s="4" t="s">
        <v>7</v>
      </c>
      <c r="G2810" s="4" t="s">
        <v>13</v>
      </c>
      <c r="H2810" s="4" t="s">
        <v>146</v>
      </c>
      <c r="I2810" s="5" t="str">
        <f>IFERROR(VLOOKUP(Consulta1[[#This Row],[Pozo largo]],'Lista YPF'!$B$3:$C$358,2,FALSE),"NO")</f>
        <v>NO</v>
      </c>
      <c r="J2810" s="5" t="str">
        <f>IFERROR(VLOOKUP(Consulta1[[#This Row],[Pozo]],'Lista Oportunidades'!B:C,2,FALSE),"NO")</f>
        <v>NO</v>
      </c>
      <c r="K2810" s="5">
        <f>IFERROR(VLOOKUP(Consulta1[[#This Row],[Pozo largo]],Controles!B:H,7,FALSE),"NO")</f>
        <v>1.071</v>
      </c>
      <c r="L2810" s="5">
        <f>IFERROR(VLOOKUP(Consulta1[[#This Row],[Pozo largo]],Controles!B:J,9,FALSE),"NO")</f>
        <v>0</v>
      </c>
    </row>
    <row r="2811" spans="2:12" x14ac:dyDescent="0.35">
      <c r="B2811" s="4" t="s">
        <v>5373</v>
      </c>
      <c r="C2811" s="4" t="s">
        <v>8513</v>
      </c>
      <c r="D2811" s="4" t="s">
        <v>5</v>
      </c>
      <c r="E2811" s="4" t="s">
        <v>6</v>
      </c>
      <c r="F2811" s="4" t="s">
        <v>31</v>
      </c>
      <c r="G2811" s="4" t="s">
        <v>5718</v>
      </c>
      <c r="H2811" s="4" t="s">
        <v>71</v>
      </c>
      <c r="I2811" s="5" t="str">
        <f>IFERROR(VLOOKUP(Consulta1[[#This Row],[Pozo largo]],'Lista YPF'!$B$3:$C$358,2,FALSE),"NO")</f>
        <v>En lista de Abandono</v>
      </c>
      <c r="J2811" s="5" t="str">
        <f>IFERROR(VLOOKUP(Consulta1[[#This Row],[Pozo]],'Lista Oportunidades'!B:C,2,FALSE),"NO")</f>
        <v>NO</v>
      </c>
      <c r="K2811" s="5">
        <f>IFERROR(VLOOKUP(Consulta1[[#This Row],[Pozo largo]],Controles!B:H,7,FALSE),"NO")</f>
        <v>0.8</v>
      </c>
      <c r="L2811" s="5" t="str">
        <f>IFERROR(VLOOKUP(Consulta1[[#This Row],[Pozo largo]],Controles!B:J,9,FALSE),"NO")</f>
        <v>Ultimo Año</v>
      </c>
    </row>
    <row r="2812" spans="2:12" x14ac:dyDescent="0.35">
      <c r="B2812" s="4" t="s">
        <v>5375</v>
      </c>
      <c r="C2812" s="4" t="s">
        <v>8514</v>
      </c>
      <c r="D2812" s="4" t="s">
        <v>5</v>
      </c>
      <c r="E2812" s="4" t="s">
        <v>30</v>
      </c>
      <c r="F2812" s="4" t="s">
        <v>31</v>
      </c>
      <c r="G2812" s="4" t="s">
        <v>32</v>
      </c>
      <c r="H2812" s="4" t="s">
        <v>146</v>
      </c>
      <c r="I2812" s="5" t="str">
        <f>IFERROR(VLOOKUP(Consulta1[[#This Row],[Pozo largo]],'Lista YPF'!$B$3:$C$358,2,FALSE),"NO")</f>
        <v>NO</v>
      </c>
      <c r="J2812" s="5" t="str">
        <f>IFERROR(VLOOKUP(Consulta1[[#This Row],[Pozo]],'Lista Oportunidades'!B:C,2,FALSE),"NO")</f>
        <v>NO</v>
      </c>
      <c r="K2812" s="5">
        <f>IFERROR(VLOOKUP(Consulta1[[#This Row],[Pozo largo]],Controles!B:H,7,FALSE),"NO")</f>
        <v>0.03</v>
      </c>
      <c r="L2812" s="5">
        <f>IFERROR(VLOOKUP(Consulta1[[#This Row],[Pozo largo]],Controles!B:J,9,FALSE),"NO")</f>
        <v>0</v>
      </c>
    </row>
    <row r="2813" spans="2:12" x14ac:dyDescent="0.35">
      <c r="B2813" s="4" t="s">
        <v>5377</v>
      </c>
      <c r="C2813" s="4" t="s">
        <v>8515</v>
      </c>
      <c r="D2813" s="4" t="s">
        <v>5</v>
      </c>
      <c r="E2813" s="4" t="s">
        <v>12</v>
      </c>
      <c r="F2813" s="4" t="s">
        <v>28</v>
      </c>
      <c r="G2813" s="4" t="s">
        <v>13</v>
      </c>
      <c r="H2813" s="4" t="s">
        <v>185</v>
      </c>
      <c r="I2813" s="5" t="str">
        <f>IFERROR(VLOOKUP(Consulta1[[#This Row],[Pozo largo]],'Lista YPF'!$B$3:$C$358,2,FALSE),"NO")</f>
        <v>NO</v>
      </c>
      <c r="J2813" s="5" t="str">
        <f>IFERROR(VLOOKUP(Consulta1[[#This Row],[Pozo]],'Lista Oportunidades'!B:C,2,FALSE),"NO")</f>
        <v>NO</v>
      </c>
      <c r="K2813" s="5">
        <f>IFERROR(VLOOKUP(Consulta1[[#This Row],[Pozo largo]],Controles!B:H,7,FALSE),"NO")</f>
        <v>0</v>
      </c>
      <c r="L2813" s="5">
        <f>IFERROR(VLOOKUP(Consulta1[[#This Row],[Pozo largo]],Controles!B:J,9,FALSE),"NO")</f>
        <v>0</v>
      </c>
    </row>
    <row r="2814" spans="2:12" x14ac:dyDescent="0.35">
      <c r="B2814" s="4" t="s">
        <v>5379</v>
      </c>
      <c r="C2814" s="4" t="s">
        <v>8516</v>
      </c>
      <c r="D2814" s="4" t="s">
        <v>5</v>
      </c>
      <c r="E2814" s="4" t="s">
        <v>12</v>
      </c>
      <c r="F2814" s="4" t="s">
        <v>7</v>
      </c>
      <c r="G2814" s="4" t="s">
        <v>13</v>
      </c>
      <c r="H2814" s="4" t="s">
        <v>185</v>
      </c>
      <c r="I2814" s="5" t="str">
        <f>IFERROR(VLOOKUP(Consulta1[[#This Row],[Pozo largo]],'Lista YPF'!$B$3:$C$358,2,FALSE),"NO")</f>
        <v>NO</v>
      </c>
      <c r="J2814" s="5" t="str">
        <f>IFERROR(VLOOKUP(Consulta1[[#This Row],[Pozo]],'Lista Oportunidades'!B:C,2,FALSE),"NO")</f>
        <v>NO</v>
      </c>
      <c r="K2814" s="5">
        <f>IFERROR(VLOOKUP(Consulta1[[#This Row],[Pozo largo]],Controles!B:H,7,FALSE),"NO")</f>
        <v>1.1000000000000001</v>
      </c>
      <c r="L2814" s="5">
        <f>IFERROR(VLOOKUP(Consulta1[[#This Row],[Pozo largo]],Controles!B:J,9,FALSE),"NO")</f>
        <v>0</v>
      </c>
    </row>
    <row r="2815" spans="2:12" x14ac:dyDescent="0.35">
      <c r="B2815" s="4" t="s">
        <v>5381</v>
      </c>
      <c r="C2815" s="4" t="s">
        <v>8517</v>
      </c>
      <c r="D2815" s="4" t="s">
        <v>5</v>
      </c>
      <c r="E2815" s="4" t="s">
        <v>24</v>
      </c>
      <c r="F2815" s="4" t="s">
        <v>31</v>
      </c>
      <c r="G2815" s="4" t="s">
        <v>8</v>
      </c>
      <c r="H2815" s="4" t="s">
        <v>71</v>
      </c>
      <c r="I2815" s="5" t="str">
        <f>IFERROR(VLOOKUP(Consulta1[[#This Row],[Pozo largo]],'Lista YPF'!$B$3:$C$358,2,FALSE),"NO")</f>
        <v>NO</v>
      </c>
      <c r="J2815" s="5" t="str">
        <f>IFERROR(VLOOKUP(Consulta1[[#This Row],[Pozo]],'Lista Oportunidades'!B:C,2,FALSE),"NO")</f>
        <v>NO</v>
      </c>
      <c r="K2815" s="5">
        <f>IFERROR(VLOOKUP(Consulta1[[#This Row],[Pozo largo]],Controles!B:H,7,FALSE),"NO")</f>
        <v>0.46</v>
      </c>
      <c r="L2815" s="5">
        <f>IFERROR(VLOOKUP(Consulta1[[#This Row],[Pozo largo]],Controles!B:J,9,FALSE),"NO")</f>
        <v>0</v>
      </c>
    </row>
    <row r="2816" spans="2:12" x14ac:dyDescent="0.35">
      <c r="B2816" s="4" t="s">
        <v>5383</v>
      </c>
      <c r="C2816" s="4" t="s">
        <v>8518</v>
      </c>
      <c r="D2816" s="4" t="s">
        <v>5</v>
      </c>
      <c r="E2816" s="4" t="s">
        <v>24</v>
      </c>
      <c r="F2816" s="4" t="s">
        <v>28</v>
      </c>
      <c r="G2816" s="4" t="s">
        <v>8</v>
      </c>
      <c r="H2816" s="4" t="s">
        <v>71</v>
      </c>
      <c r="I2816" s="5" t="str">
        <f>IFERROR(VLOOKUP(Consulta1[[#This Row],[Pozo largo]],'Lista YPF'!$B$3:$C$358,2,FALSE),"NO")</f>
        <v>NO</v>
      </c>
      <c r="J2816" s="5" t="str">
        <f>IFERROR(VLOOKUP(Consulta1[[#This Row],[Pozo]],'Lista Oportunidades'!B:C,2,FALSE),"NO")</f>
        <v>NO</v>
      </c>
      <c r="K2816" s="5">
        <f>IFERROR(VLOOKUP(Consulta1[[#This Row],[Pozo largo]],Controles!B:H,7,FALSE),"NO")</f>
        <v>0</v>
      </c>
      <c r="L2816" s="5">
        <f>IFERROR(VLOOKUP(Consulta1[[#This Row],[Pozo largo]],Controles!B:J,9,FALSE),"NO")</f>
        <v>0</v>
      </c>
    </row>
    <row r="2817" spans="2:12" x14ac:dyDescent="0.35">
      <c r="B2817" s="4" t="s">
        <v>5385</v>
      </c>
      <c r="C2817" s="4" t="s">
        <v>8519</v>
      </c>
      <c r="D2817" s="4" t="s">
        <v>5</v>
      </c>
      <c r="E2817" s="4" t="s">
        <v>24</v>
      </c>
      <c r="F2817" s="4" t="s">
        <v>31</v>
      </c>
      <c r="G2817" s="4" t="s">
        <v>8</v>
      </c>
      <c r="H2817" s="4" t="s">
        <v>290</v>
      </c>
      <c r="I2817" s="5" t="str">
        <f>IFERROR(VLOOKUP(Consulta1[[#This Row],[Pozo largo]],'Lista YPF'!$B$3:$C$358,2,FALSE),"NO")</f>
        <v>NO</v>
      </c>
      <c r="J2817" s="5" t="str">
        <f>IFERROR(VLOOKUP(Consulta1[[#This Row],[Pozo]],'Lista Oportunidades'!B:C,2,FALSE),"NO")</f>
        <v>NO</v>
      </c>
      <c r="K2817" s="5">
        <f>IFERROR(VLOOKUP(Consulta1[[#This Row],[Pozo largo]],Controles!B:H,7,FALSE),"NO")</f>
        <v>0.65</v>
      </c>
      <c r="L2817" s="5">
        <f>IFERROR(VLOOKUP(Consulta1[[#This Row],[Pozo largo]],Controles!B:J,9,FALSE),"NO")</f>
        <v>0</v>
      </c>
    </row>
    <row r="2818" spans="2:12" x14ac:dyDescent="0.35">
      <c r="B2818" s="4" t="s">
        <v>5387</v>
      </c>
      <c r="C2818" s="4" t="s">
        <v>8520</v>
      </c>
      <c r="D2818" s="4" t="s">
        <v>5</v>
      </c>
      <c r="E2818" s="4" t="s">
        <v>12</v>
      </c>
      <c r="F2818" s="4" t="s">
        <v>7</v>
      </c>
      <c r="G2818" s="4" t="s">
        <v>13</v>
      </c>
      <c r="H2818" s="4" t="s">
        <v>66</v>
      </c>
      <c r="I2818" s="5" t="str">
        <f>IFERROR(VLOOKUP(Consulta1[[#This Row],[Pozo largo]],'Lista YPF'!$B$3:$C$358,2,FALSE),"NO")</f>
        <v>NO</v>
      </c>
      <c r="J2818" s="5" t="str">
        <f>IFERROR(VLOOKUP(Consulta1[[#This Row],[Pozo]],'Lista Oportunidades'!B:C,2,FALSE),"NO")</f>
        <v>NO</v>
      </c>
      <c r="K2818" s="5">
        <f>IFERROR(VLOOKUP(Consulta1[[#This Row],[Pozo largo]],Controles!B:H,7,FALSE),"NO")</f>
        <v>1.802</v>
      </c>
      <c r="L2818" s="5">
        <f>IFERROR(VLOOKUP(Consulta1[[#This Row],[Pozo largo]],Controles!B:J,9,FALSE),"NO")</f>
        <v>0</v>
      </c>
    </row>
    <row r="2819" spans="2:12" x14ac:dyDescent="0.35">
      <c r="B2819" s="4" t="s">
        <v>5389</v>
      </c>
      <c r="C2819" s="4" t="s">
        <v>8521</v>
      </c>
      <c r="D2819" s="4" t="s">
        <v>5</v>
      </c>
      <c r="E2819" s="4" t="s">
        <v>6</v>
      </c>
      <c r="F2819" s="4" t="s">
        <v>28</v>
      </c>
      <c r="G2819" s="4" t="s">
        <v>5718</v>
      </c>
      <c r="H2819" s="4" t="s">
        <v>71</v>
      </c>
      <c r="I2819" s="5" t="str">
        <f>IFERROR(VLOOKUP(Consulta1[[#This Row],[Pozo largo]],'Lista YPF'!$B$3:$C$358,2,FALSE),"NO")</f>
        <v>En lista de Abandono</v>
      </c>
      <c r="J2819" s="5" t="str">
        <f>IFERROR(VLOOKUP(Consulta1[[#This Row],[Pozo]],'Lista Oportunidades'!B:C,2,FALSE),"NO")</f>
        <v>NO</v>
      </c>
      <c r="K2819" s="5">
        <f>IFERROR(VLOOKUP(Consulta1[[#This Row],[Pozo largo]],Controles!B:H,7,FALSE),"NO")</f>
        <v>0</v>
      </c>
      <c r="L2819" s="5">
        <f>IFERROR(VLOOKUP(Consulta1[[#This Row],[Pozo largo]],Controles!B:J,9,FALSE),"NO")</f>
        <v>0</v>
      </c>
    </row>
    <row r="2820" spans="2:12" x14ac:dyDescent="0.35">
      <c r="B2820" s="4" t="s">
        <v>5391</v>
      </c>
      <c r="C2820" s="4" t="s">
        <v>8522</v>
      </c>
      <c r="D2820" s="4" t="s">
        <v>5</v>
      </c>
      <c r="E2820" s="4" t="s">
        <v>12</v>
      </c>
      <c r="F2820" s="4" t="s">
        <v>28</v>
      </c>
      <c r="G2820" s="4" t="s">
        <v>13</v>
      </c>
      <c r="H2820" s="4" t="s">
        <v>71</v>
      </c>
      <c r="I2820" s="5" t="str">
        <f>IFERROR(VLOOKUP(Consulta1[[#This Row],[Pozo largo]],'Lista YPF'!$B$3:$C$358,2,FALSE),"NO")</f>
        <v>NO</v>
      </c>
      <c r="J2820" s="5" t="str">
        <f>IFERROR(VLOOKUP(Consulta1[[#This Row],[Pozo]],'Lista Oportunidades'!B:C,2,FALSE),"NO")</f>
        <v>NO</v>
      </c>
      <c r="K2820" s="5">
        <f>IFERROR(VLOOKUP(Consulta1[[#This Row],[Pozo largo]],Controles!B:H,7,FALSE),"NO")</f>
        <v>0</v>
      </c>
      <c r="L2820" s="5">
        <f>IFERROR(VLOOKUP(Consulta1[[#This Row],[Pozo largo]],Controles!B:J,9,FALSE),"NO")</f>
        <v>0</v>
      </c>
    </row>
    <row r="2821" spans="2:12" x14ac:dyDescent="0.35">
      <c r="B2821" s="4" t="s">
        <v>5393</v>
      </c>
      <c r="C2821" s="4" t="s">
        <v>8523</v>
      </c>
      <c r="D2821" s="4" t="s">
        <v>5</v>
      </c>
      <c r="E2821" s="4" t="s">
        <v>12</v>
      </c>
      <c r="F2821" s="4" t="s">
        <v>7</v>
      </c>
      <c r="G2821" s="4" t="s">
        <v>13</v>
      </c>
      <c r="H2821" s="4" t="s">
        <v>9</v>
      </c>
      <c r="I2821" s="5" t="str">
        <f>IFERROR(VLOOKUP(Consulta1[[#This Row],[Pozo largo]],'Lista YPF'!$B$3:$C$358,2,FALSE),"NO")</f>
        <v>NO</v>
      </c>
      <c r="J2821" s="5" t="str">
        <f>IFERROR(VLOOKUP(Consulta1[[#This Row],[Pozo]],'Lista Oportunidades'!B:C,2,FALSE),"NO")</f>
        <v>NO</v>
      </c>
      <c r="K2821" s="5">
        <f>IFERROR(VLOOKUP(Consulta1[[#This Row],[Pozo largo]],Controles!B:H,7,FALSE),"NO")</f>
        <v>0.75</v>
      </c>
      <c r="L2821" s="5">
        <f>IFERROR(VLOOKUP(Consulta1[[#This Row],[Pozo largo]],Controles!B:J,9,FALSE),"NO")</f>
        <v>0</v>
      </c>
    </row>
    <row r="2822" spans="2:12" x14ac:dyDescent="0.35">
      <c r="B2822" s="4" t="s">
        <v>5395</v>
      </c>
      <c r="C2822" s="4" t="s">
        <v>8524</v>
      </c>
      <c r="D2822" s="4" t="s">
        <v>5</v>
      </c>
      <c r="E2822" s="4" t="s">
        <v>12</v>
      </c>
      <c r="F2822" s="4" t="s">
        <v>7</v>
      </c>
      <c r="G2822" s="4" t="s">
        <v>13</v>
      </c>
      <c r="H2822" s="4" t="s">
        <v>9</v>
      </c>
      <c r="I2822" s="5" t="str">
        <f>IFERROR(VLOOKUP(Consulta1[[#This Row],[Pozo largo]],'Lista YPF'!$B$3:$C$358,2,FALSE),"NO")</f>
        <v>NO</v>
      </c>
      <c r="J2822" s="5" t="str">
        <f>IFERROR(VLOOKUP(Consulta1[[#This Row],[Pozo]],'Lista Oportunidades'!B:C,2,FALSE),"NO")</f>
        <v>NO</v>
      </c>
      <c r="K2822" s="5">
        <f>IFERROR(VLOOKUP(Consulta1[[#This Row],[Pozo largo]],Controles!B:H,7,FALSE),"NO")</f>
        <v>0.71200000000000008</v>
      </c>
      <c r="L2822" s="5">
        <f>IFERROR(VLOOKUP(Consulta1[[#This Row],[Pozo largo]],Controles!B:J,9,FALSE),"NO")</f>
        <v>0</v>
      </c>
    </row>
    <row r="2823" spans="2:12" x14ac:dyDescent="0.35">
      <c r="B2823" s="4" t="s">
        <v>5397</v>
      </c>
      <c r="C2823" s="4" t="s">
        <v>8525</v>
      </c>
      <c r="D2823" s="4" t="s">
        <v>5</v>
      </c>
      <c r="E2823" s="4" t="s">
        <v>12</v>
      </c>
      <c r="F2823" s="4" t="s">
        <v>28</v>
      </c>
      <c r="G2823" s="4" t="s">
        <v>13</v>
      </c>
      <c r="H2823" s="4" t="s">
        <v>71</v>
      </c>
      <c r="I2823" s="5" t="str">
        <f>IFERROR(VLOOKUP(Consulta1[[#This Row],[Pozo largo]],'Lista YPF'!$B$3:$C$358,2,FALSE),"NO")</f>
        <v>NO</v>
      </c>
      <c r="J2823" s="5" t="str">
        <f>IFERROR(VLOOKUP(Consulta1[[#This Row],[Pozo]],'Lista Oportunidades'!B:C,2,FALSE),"NO")</f>
        <v>NO</v>
      </c>
      <c r="K2823" s="5">
        <f>IFERROR(VLOOKUP(Consulta1[[#This Row],[Pozo largo]],Controles!B:H,7,FALSE),"NO")</f>
        <v>0</v>
      </c>
      <c r="L2823" s="5">
        <f>IFERROR(VLOOKUP(Consulta1[[#This Row],[Pozo largo]],Controles!B:J,9,FALSE),"NO")</f>
        <v>0</v>
      </c>
    </row>
    <row r="2824" spans="2:12" x14ac:dyDescent="0.35">
      <c r="B2824" s="4" t="s">
        <v>5399</v>
      </c>
      <c r="C2824" s="4" t="s">
        <v>8526</v>
      </c>
      <c r="D2824" s="4" t="s">
        <v>5</v>
      </c>
      <c r="E2824" s="4" t="s">
        <v>24</v>
      </c>
      <c r="F2824" s="4" t="s">
        <v>31</v>
      </c>
      <c r="G2824" s="4" t="s">
        <v>8</v>
      </c>
      <c r="H2824" s="4" t="s">
        <v>21</v>
      </c>
      <c r="I2824" s="5" t="str">
        <f>IFERROR(VLOOKUP(Consulta1[[#This Row],[Pozo largo]],'Lista YPF'!$B$3:$C$358,2,FALSE),"NO")</f>
        <v>NO</v>
      </c>
      <c r="J2824" s="5" t="str">
        <f>IFERROR(VLOOKUP(Consulta1[[#This Row],[Pozo]],'Lista Oportunidades'!B:C,2,FALSE),"NO")</f>
        <v>NO</v>
      </c>
      <c r="K2824" s="5">
        <f>IFERROR(VLOOKUP(Consulta1[[#This Row],[Pozo largo]],Controles!B:H,7,FALSE),"NO")</f>
        <v>0.24</v>
      </c>
      <c r="L2824" s="5">
        <f>IFERROR(VLOOKUP(Consulta1[[#This Row],[Pozo largo]],Controles!B:J,9,FALSE),"NO")</f>
        <v>0</v>
      </c>
    </row>
    <row r="2825" spans="2:12" x14ac:dyDescent="0.35">
      <c r="B2825" s="4" t="s">
        <v>5401</v>
      </c>
      <c r="C2825" s="4" t="s">
        <v>8527</v>
      </c>
      <c r="D2825" s="4" t="s">
        <v>5</v>
      </c>
      <c r="E2825" s="4" t="s">
        <v>24</v>
      </c>
      <c r="F2825" s="4" t="s">
        <v>31</v>
      </c>
      <c r="G2825" s="4" t="s">
        <v>8</v>
      </c>
      <c r="H2825" s="4" t="s">
        <v>21</v>
      </c>
      <c r="I2825" s="5" t="str">
        <f>IFERROR(VLOOKUP(Consulta1[[#This Row],[Pozo largo]],'Lista YPF'!$B$3:$C$358,2,FALSE),"NO")</f>
        <v>NO</v>
      </c>
      <c r="J2825" s="5" t="str">
        <f>IFERROR(VLOOKUP(Consulta1[[#This Row],[Pozo]],'Lista Oportunidades'!B:C,2,FALSE),"NO")</f>
        <v>NO</v>
      </c>
      <c r="K2825" s="5">
        <f>IFERROR(VLOOKUP(Consulta1[[#This Row],[Pozo largo]],Controles!B:H,7,FALSE),"NO")</f>
        <v>0.88</v>
      </c>
      <c r="L2825" s="5">
        <f>IFERROR(VLOOKUP(Consulta1[[#This Row],[Pozo largo]],Controles!B:J,9,FALSE),"NO")</f>
        <v>0</v>
      </c>
    </row>
    <row r="2826" spans="2:12" x14ac:dyDescent="0.35">
      <c r="B2826" s="4" t="s">
        <v>5403</v>
      </c>
      <c r="C2826" s="4" t="s">
        <v>8528</v>
      </c>
      <c r="D2826" s="4" t="s">
        <v>5</v>
      </c>
      <c r="E2826" s="4" t="s">
        <v>12</v>
      </c>
      <c r="F2826" s="4" t="s">
        <v>7</v>
      </c>
      <c r="G2826" s="4" t="s">
        <v>13</v>
      </c>
      <c r="H2826" s="4" t="s">
        <v>21</v>
      </c>
      <c r="I2826" s="5" t="str">
        <f>IFERROR(VLOOKUP(Consulta1[[#This Row],[Pozo largo]],'Lista YPF'!$B$3:$C$358,2,FALSE),"NO")</f>
        <v>NO</v>
      </c>
      <c r="J2826" s="5" t="str">
        <f>IFERROR(VLOOKUP(Consulta1[[#This Row],[Pozo]],'Lista Oportunidades'!B:C,2,FALSE),"NO")</f>
        <v>NO</v>
      </c>
      <c r="K2826" s="5">
        <f>IFERROR(VLOOKUP(Consulta1[[#This Row],[Pozo largo]],Controles!B:H,7,FALSE),"NO")</f>
        <v>0.6</v>
      </c>
      <c r="L2826" s="5">
        <f>IFERROR(VLOOKUP(Consulta1[[#This Row],[Pozo largo]],Controles!B:J,9,FALSE),"NO")</f>
        <v>0</v>
      </c>
    </row>
    <row r="2827" spans="2:12" x14ac:dyDescent="0.35">
      <c r="B2827" s="4" t="s">
        <v>5405</v>
      </c>
      <c r="C2827" s="4" t="s">
        <v>8529</v>
      </c>
      <c r="D2827" s="4" t="s">
        <v>5</v>
      </c>
      <c r="E2827" s="4" t="s">
        <v>24</v>
      </c>
      <c r="F2827" s="4" t="s">
        <v>7</v>
      </c>
      <c r="G2827" s="4" t="s">
        <v>8</v>
      </c>
      <c r="H2827" s="4" t="s">
        <v>9</v>
      </c>
      <c r="I2827" s="5" t="str">
        <f>IFERROR(VLOOKUP(Consulta1[[#This Row],[Pozo largo]],'Lista YPF'!$B$3:$C$358,2,FALSE),"NO")</f>
        <v>NO</v>
      </c>
      <c r="J2827" s="5" t="str">
        <f>IFERROR(VLOOKUP(Consulta1[[#This Row],[Pozo]],'Lista Oportunidades'!B:C,2,FALSE),"NO")</f>
        <v>NO</v>
      </c>
      <c r="K2827" s="5">
        <f>IFERROR(VLOOKUP(Consulta1[[#This Row],[Pozo largo]],Controles!B:H,7,FALSE),"NO")</f>
        <v>0.51900000000000002</v>
      </c>
      <c r="L2827" s="5">
        <f>IFERROR(VLOOKUP(Consulta1[[#This Row],[Pozo largo]],Controles!B:J,9,FALSE),"NO")</f>
        <v>0</v>
      </c>
    </row>
    <row r="2828" spans="2:12" x14ac:dyDescent="0.35">
      <c r="B2828" s="4" t="s">
        <v>5407</v>
      </c>
      <c r="C2828" s="4" t="s">
        <v>8530</v>
      </c>
      <c r="D2828" s="4" t="s">
        <v>5</v>
      </c>
      <c r="E2828" s="4" t="s">
        <v>30</v>
      </c>
      <c r="F2828" s="4" t="s">
        <v>31</v>
      </c>
      <c r="G2828" s="4" t="s">
        <v>32</v>
      </c>
      <c r="H2828" s="4" t="s">
        <v>21</v>
      </c>
      <c r="I2828" s="5" t="str">
        <f>IFERROR(VLOOKUP(Consulta1[[#This Row],[Pozo largo]],'Lista YPF'!$B$3:$C$358,2,FALSE),"NO")</f>
        <v>NO</v>
      </c>
      <c r="J2828" s="5" t="str">
        <f>IFERROR(VLOOKUP(Consulta1[[#This Row],[Pozo]],'Lista Oportunidades'!B:C,2,FALSE),"NO")</f>
        <v>NO</v>
      </c>
      <c r="K2828" s="5">
        <f>IFERROR(VLOOKUP(Consulta1[[#This Row],[Pozo largo]],Controles!B:H,7,FALSE),"NO")</f>
        <v>0.18</v>
      </c>
      <c r="L2828" s="5">
        <f>IFERROR(VLOOKUP(Consulta1[[#This Row],[Pozo largo]],Controles!B:J,9,FALSE),"NO")</f>
        <v>0</v>
      </c>
    </row>
    <row r="2829" spans="2:12" x14ac:dyDescent="0.35">
      <c r="B2829" s="4" t="s">
        <v>5409</v>
      </c>
      <c r="C2829" s="4" t="s">
        <v>8531</v>
      </c>
      <c r="D2829" s="4" t="s">
        <v>5</v>
      </c>
      <c r="E2829" s="4" t="s">
        <v>30</v>
      </c>
      <c r="F2829" s="4" t="s">
        <v>25</v>
      </c>
      <c r="G2829" s="4" t="s">
        <v>5718</v>
      </c>
      <c r="H2829" s="4" t="s">
        <v>254</v>
      </c>
      <c r="I2829" s="5" t="str">
        <f>IFERROR(VLOOKUP(Consulta1[[#This Row],[Pozo largo]],'Lista YPF'!$B$3:$C$358,2,FALSE),"NO")</f>
        <v>En lista de Abandono</v>
      </c>
      <c r="J2829" s="5" t="str">
        <f>IFERROR(VLOOKUP(Consulta1[[#This Row],[Pozo]],'Lista Oportunidades'!B:C,2,FALSE),"NO")</f>
        <v>NO</v>
      </c>
      <c r="K2829" s="5">
        <f>IFERROR(VLOOKUP(Consulta1[[#This Row],[Pozo largo]],Controles!B:H,7,FALSE),"NO")</f>
        <v>0.192</v>
      </c>
      <c r="L2829" s="5">
        <f>IFERROR(VLOOKUP(Consulta1[[#This Row],[Pozo largo]],Controles!B:J,9,FALSE),"NO")</f>
        <v>0</v>
      </c>
    </row>
    <row r="2830" spans="2:12" x14ac:dyDescent="0.35">
      <c r="B2830" s="4" t="s">
        <v>5411</v>
      </c>
      <c r="C2830" s="4" t="s">
        <v>8532</v>
      </c>
      <c r="D2830" s="4" t="s">
        <v>5</v>
      </c>
      <c r="E2830" s="4" t="s">
        <v>30</v>
      </c>
      <c r="F2830" s="4" t="s">
        <v>31</v>
      </c>
      <c r="G2830" s="4" t="s">
        <v>32</v>
      </c>
      <c r="H2830" s="4" t="s">
        <v>9</v>
      </c>
      <c r="I2830" s="5" t="str">
        <f>IFERROR(VLOOKUP(Consulta1[[#This Row],[Pozo largo]],'Lista YPF'!$B$3:$C$358,2,FALSE),"NO")</f>
        <v>NO</v>
      </c>
      <c r="J2830" s="5" t="str">
        <f>IFERROR(VLOOKUP(Consulta1[[#This Row],[Pozo]],'Lista Oportunidades'!B:C,2,FALSE),"NO")</f>
        <v>NO</v>
      </c>
      <c r="K2830" s="5" t="str">
        <f>IFERROR(VLOOKUP(Consulta1[[#This Row],[Pozo largo]],Controles!B:H,7,FALSE),"NO")</f>
        <v>NO</v>
      </c>
      <c r="L2830" s="5" t="str">
        <f>IFERROR(VLOOKUP(Consulta1[[#This Row],[Pozo largo]],Controles!B:J,9,FALSE),"NO")</f>
        <v>NO</v>
      </c>
    </row>
    <row r="2831" spans="2:12" x14ac:dyDescent="0.35">
      <c r="B2831" s="4" t="s">
        <v>5412</v>
      </c>
      <c r="C2831" s="4" t="s">
        <v>8533</v>
      </c>
      <c r="D2831" s="4" t="s">
        <v>5</v>
      </c>
      <c r="E2831" s="4" t="s">
        <v>30</v>
      </c>
      <c r="F2831" s="4" t="s">
        <v>31</v>
      </c>
      <c r="G2831" s="4" t="s">
        <v>32</v>
      </c>
      <c r="H2831" s="4" t="s">
        <v>33</v>
      </c>
      <c r="I2831" s="5" t="str">
        <f>IFERROR(VLOOKUP(Consulta1[[#This Row],[Pozo largo]],'Lista YPF'!$B$3:$C$358,2,FALSE),"NO")</f>
        <v>NO</v>
      </c>
      <c r="J2831" s="5" t="str">
        <f>IFERROR(VLOOKUP(Consulta1[[#This Row],[Pozo]],'Lista Oportunidades'!B:C,2,FALSE),"NO")</f>
        <v>NO</v>
      </c>
      <c r="K2831" s="5" t="str">
        <f>IFERROR(VLOOKUP(Consulta1[[#This Row],[Pozo largo]],Controles!B:H,7,FALSE),"NO")</f>
        <v>NO</v>
      </c>
      <c r="L2831" s="5" t="str">
        <f>IFERROR(VLOOKUP(Consulta1[[#This Row],[Pozo largo]],Controles!B:J,9,FALSE),"NO")</f>
        <v>NO</v>
      </c>
    </row>
    <row r="2832" spans="2:12" x14ac:dyDescent="0.35">
      <c r="B2832" s="4" t="s">
        <v>5413</v>
      </c>
      <c r="C2832" s="4" t="s">
        <v>8534</v>
      </c>
      <c r="D2832" s="4" t="s">
        <v>5</v>
      </c>
      <c r="E2832" s="4" t="s">
        <v>24</v>
      </c>
      <c r="F2832" s="4" t="s">
        <v>31</v>
      </c>
      <c r="G2832" s="4" t="s">
        <v>8</v>
      </c>
      <c r="H2832" s="4" t="s">
        <v>71</v>
      </c>
      <c r="I2832" s="5" t="str">
        <f>IFERROR(VLOOKUP(Consulta1[[#This Row],[Pozo largo]],'Lista YPF'!$B$3:$C$358,2,FALSE),"NO")</f>
        <v>NO</v>
      </c>
      <c r="J2832" s="5" t="str">
        <f>IFERROR(VLOOKUP(Consulta1[[#This Row],[Pozo]],'Lista Oportunidades'!B:C,2,FALSE),"NO")</f>
        <v>NO</v>
      </c>
      <c r="K2832" s="5">
        <f>IFERROR(VLOOKUP(Consulta1[[#This Row],[Pozo largo]],Controles!B:H,7,FALSE),"NO")</f>
        <v>0.158</v>
      </c>
      <c r="L2832" s="5">
        <f>IFERROR(VLOOKUP(Consulta1[[#This Row],[Pozo largo]],Controles!B:J,9,FALSE),"NO")</f>
        <v>0</v>
      </c>
    </row>
    <row r="2833" spans="2:12" x14ac:dyDescent="0.35">
      <c r="B2833" s="4" t="s">
        <v>5415</v>
      </c>
      <c r="C2833" s="4" t="s">
        <v>8535</v>
      </c>
      <c r="D2833" s="4" t="s">
        <v>5</v>
      </c>
      <c r="E2833" s="4" t="s">
        <v>24</v>
      </c>
      <c r="F2833" s="4" t="s">
        <v>25</v>
      </c>
      <c r="G2833" s="4" t="s">
        <v>11387</v>
      </c>
      <c r="H2833" s="4" t="s">
        <v>86</v>
      </c>
      <c r="I2833" s="5" t="str">
        <f>IFERROR(VLOOKUP(Consulta1[[#This Row],[Pozo largo]],'Lista YPF'!$B$3:$C$358,2,FALSE),"NO")</f>
        <v>NO</v>
      </c>
      <c r="J2833" s="5" t="str">
        <f>IFERROR(VLOOKUP(Consulta1[[#This Row],[Pozo]],'Lista Oportunidades'!B:C,2,FALSE),"NO")</f>
        <v>NO</v>
      </c>
      <c r="K2833" s="5">
        <f>IFERROR(VLOOKUP(Consulta1[[#This Row],[Pozo largo]],Controles!B:H,7,FALSE),"NO")</f>
        <v>2.8000000000000001E-2</v>
      </c>
      <c r="L2833" s="5" t="str">
        <f>IFERROR(VLOOKUP(Consulta1[[#This Row],[Pozo largo]],Controles!B:J,9,FALSE),"NO")</f>
        <v>Ultimo Año</v>
      </c>
    </row>
    <row r="2834" spans="2:12" x14ac:dyDescent="0.35">
      <c r="B2834" s="4" t="s">
        <v>5417</v>
      </c>
      <c r="C2834" s="4" t="s">
        <v>8536</v>
      </c>
      <c r="D2834" s="4" t="s">
        <v>5</v>
      </c>
      <c r="E2834" s="4" t="s">
        <v>24</v>
      </c>
      <c r="F2834" s="4" t="s">
        <v>31</v>
      </c>
      <c r="G2834" s="4" t="s">
        <v>8</v>
      </c>
      <c r="H2834" s="4" t="s">
        <v>185</v>
      </c>
      <c r="I2834" s="5" t="str">
        <f>IFERROR(VLOOKUP(Consulta1[[#This Row],[Pozo largo]],'Lista YPF'!$B$3:$C$358,2,FALSE),"NO")</f>
        <v>NO</v>
      </c>
      <c r="J2834" s="5" t="str">
        <f>IFERROR(VLOOKUP(Consulta1[[#This Row],[Pozo]],'Lista Oportunidades'!B:C,2,FALSE),"NO")</f>
        <v>NO</v>
      </c>
      <c r="K2834" s="5" t="str">
        <f>IFERROR(VLOOKUP(Consulta1[[#This Row],[Pozo largo]],Controles!B:H,7,FALSE),"NO")</f>
        <v>NO</v>
      </c>
      <c r="L2834" s="5" t="str">
        <f>IFERROR(VLOOKUP(Consulta1[[#This Row],[Pozo largo]],Controles!B:J,9,FALSE),"NO")</f>
        <v>NO</v>
      </c>
    </row>
    <row r="2835" spans="2:12" x14ac:dyDescent="0.35">
      <c r="B2835" s="4" t="s">
        <v>5418</v>
      </c>
      <c r="C2835" s="4" t="s">
        <v>8537</v>
      </c>
      <c r="D2835" s="4" t="s">
        <v>5</v>
      </c>
      <c r="E2835" s="4" t="s">
        <v>30</v>
      </c>
      <c r="F2835" s="4" t="s">
        <v>31</v>
      </c>
      <c r="G2835" s="4" t="s">
        <v>32</v>
      </c>
      <c r="H2835" s="4" t="s">
        <v>80</v>
      </c>
      <c r="I2835" s="5" t="str">
        <f>IFERROR(VLOOKUP(Consulta1[[#This Row],[Pozo largo]],'Lista YPF'!$B$3:$C$358,2,FALSE),"NO")</f>
        <v>NO</v>
      </c>
      <c r="J2835" s="5" t="str">
        <f>IFERROR(VLOOKUP(Consulta1[[#This Row],[Pozo]],'Lista Oportunidades'!B:C,2,FALSE),"NO")</f>
        <v>NO</v>
      </c>
      <c r="K2835" s="5" t="str">
        <f>IFERROR(VLOOKUP(Consulta1[[#This Row],[Pozo largo]],Controles!B:H,7,FALSE),"NO")</f>
        <v>NO</v>
      </c>
      <c r="L2835" s="5" t="str">
        <f>IFERROR(VLOOKUP(Consulta1[[#This Row],[Pozo largo]],Controles!B:J,9,FALSE),"NO")</f>
        <v>NO</v>
      </c>
    </row>
    <row r="2836" spans="2:12" x14ac:dyDescent="0.35">
      <c r="B2836" s="4" t="s">
        <v>5419</v>
      </c>
      <c r="C2836" s="4" t="s">
        <v>8538</v>
      </c>
      <c r="D2836" s="4" t="s">
        <v>5</v>
      </c>
      <c r="E2836" s="4" t="s">
        <v>6</v>
      </c>
      <c r="F2836" s="4" t="s">
        <v>31</v>
      </c>
      <c r="G2836" s="4" t="s">
        <v>8</v>
      </c>
      <c r="H2836" s="4" t="s">
        <v>260</v>
      </c>
      <c r="I2836" s="5" t="str">
        <f>IFERROR(VLOOKUP(Consulta1[[#This Row],[Pozo largo]],'Lista YPF'!$B$3:$C$358,2,FALSE),"NO")</f>
        <v>NO</v>
      </c>
      <c r="J2836" s="5" t="str">
        <f>IFERROR(VLOOKUP(Consulta1[[#This Row],[Pozo]],'Lista Oportunidades'!B:C,2,FALSE),"NO")</f>
        <v>NO</v>
      </c>
      <c r="K2836" s="5">
        <f>IFERROR(VLOOKUP(Consulta1[[#This Row],[Pozo largo]],Controles!B:H,7,FALSE),"NO")</f>
        <v>0</v>
      </c>
      <c r="L2836" s="5">
        <f>IFERROR(VLOOKUP(Consulta1[[#This Row],[Pozo largo]],Controles!B:J,9,FALSE),"NO")</f>
        <v>0</v>
      </c>
    </row>
    <row r="2837" spans="2:12" x14ac:dyDescent="0.35">
      <c r="B2837" s="4" t="s">
        <v>5421</v>
      </c>
      <c r="C2837" s="4" t="s">
        <v>8539</v>
      </c>
      <c r="D2837" s="4" t="s">
        <v>5</v>
      </c>
      <c r="E2837" s="4" t="s">
        <v>24</v>
      </c>
      <c r="F2837" s="4" t="s">
        <v>31</v>
      </c>
      <c r="G2837" s="4" t="s">
        <v>8</v>
      </c>
      <c r="H2837" s="4" t="s">
        <v>21</v>
      </c>
      <c r="I2837" s="5" t="str">
        <f>IFERROR(VLOOKUP(Consulta1[[#This Row],[Pozo largo]],'Lista YPF'!$B$3:$C$358,2,FALSE),"NO")</f>
        <v>NO</v>
      </c>
      <c r="J2837" s="5" t="str">
        <f>IFERROR(VLOOKUP(Consulta1[[#This Row],[Pozo]],'Lista Oportunidades'!B:C,2,FALSE),"NO")</f>
        <v>NO</v>
      </c>
      <c r="K2837" s="5">
        <f>IFERROR(VLOOKUP(Consulta1[[#This Row],[Pozo largo]],Controles!B:H,7,FALSE),"NO")</f>
        <v>0.35000000000000003</v>
      </c>
      <c r="L2837" s="5">
        <f>IFERROR(VLOOKUP(Consulta1[[#This Row],[Pozo largo]],Controles!B:J,9,FALSE),"NO")</f>
        <v>0</v>
      </c>
    </row>
    <row r="2838" spans="2:12" x14ac:dyDescent="0.35">
      <c r="B2838" s="4" t="s">
        <v>5423</v>
      </c>
      <c r="C2838" s="4" t="s">
        <v>8540</v>
      </c>
      <c r="D2838" s="4" t="s">
        <v>5</v>
      </c>
      <c r="E2838" s="4" t="s">
        <v>12</v>
      </c>
      <c r="F2838" s="4" t="s">
        <v>7</v>
      </c>
      <c r="G2838" s="4" t="s">
        <v>13</v>
      </c>
      <c r="H2838" s="4" t="s">
        <v>80</v>
      </c>
      <c r="I2838" s="5" t="str">
        <f>IFERROR(VLOOKUP(Consulta1[[#This Row],[Pozo largo]],'Lista YPF'!$B$3:$C$358,2,FALSE),"NO")</f>
        <v>NO</v>
      </c>
      <c r="J2838" s="5" t="str">
        <f>IFERROR(VLOOKUP(Consulta1[[#This Row],[Pozo]],'Lista Oportunidades'!B:C,2,FALSE),"NO")</f>
        <v>NO</v>
      </c>
      <c r="K2838" s="5">
        <f>IFERROR(VLOOKUP(Consulta1[[#This Row],[Pozo largo]],Controles!B:H,7,FALSE),"NO")</f>
        <v>0.9</v>
      </c>
      <c r="L2838" s="5">
        <f>IFERROR(VLOOKUP(Consulta1[[#This Row],[Pozo largo]],Controles!B:J,9,FALSE),"NO")</f>
        <v>0</v>
      </c>
    </row>
    <row r="2839" spans="2:12" x14ac:dyDescent="0.35">
      <c r="B2839" s="4" t="s">
        <v>5425</v>
      </c>
      <c r="C2839" s="4" t="s">
        <v>8541</v>
      </c>
      <c r="D2839" s="4" t="s">
        <v>5</v>
      </c>
      <c r="E2839" s="4" t="s">
        <v>30</v>
      </c>
      <c r="F2839" s="4" t="s">
        <v>31</v>
      </c>
      <c r="G2839" s="4" t="s">
        <v>32</v>
      </c>
      <c r="H2839" s="4" t="s">
        <v>91</v>
      </c>
      <c r="I2839" s="5" t="str">
        <f>IFERROR(VLOOKUP(Consulta1[[#This Row],[Pozo largo]],'Lista YPF'!$B$3:$C$358,2,FALSE),"NO")</f>
        <v>NO</v>
      </c>
      <c r="J2839" s="5" t="str">
        <f>IFERROR(VLOOKUP(Consulta1[[#This Row],[Pozo]],'Lista Oportunidades'!B:C,2,FALSE),"NO")</f>
        <v>NO</v>
      </c>
      <c r="K2839" s="5">
        <f>IFERROR(VLOOKUP(Consulta1[[#This Row],[Pozo largo]],Controles!B:H,7,FALSE),"NO")</f>
        <v>0</v>
      </c>
      <c r="L2839" s="5">
        <f>IFERROR(VLOOKUP(Consulta1[[#This Row],[Pozo largo]],Controles!B:J,9,FALSE),"NO")</f>
        <v>0</v>
      </c>
    </row>
    <row r="2840" spans="2:12" x14ac:dyDescent="0.35">
      <c r="B2840" s="4" t="s">
        <v>5427</v>
      </c>
      <c r="C2840" s="4" t="s">
        <v>8542</v>
      </c>
      <c r="D2840" s="4" t="s">
        <v>5</v>
      </c>
      <c r="E2840" s="4" t="s">
        <v>24</v>
      </c>
      <c r="F2840" s="4" t="s">
        <v>25</v>
      </c>
      <c r="G2840" s="4" t="s">
        <v>8</v>
      </c>
      <c r="H2840" s="4" t="s">
        <v>84</v>
      </c>
      <c r="I2840" s="5" t="str">
        <f>IFERROR(VLOOKUP(Consulta1[[#This Row],[Pozo largo]],'Lista YPF'!$B$3:$C$358,2,FALSE),"NO")</f>
        <v>NO</v>
      </c>
      <c r="J2840" s="5" t="str">
        <f>IFERROR(VLOOKUP(Consulta1[[#This Row],[Pozo]],'Lista Oportunidades'!B:C,2,FALSE),"NO")</f>
        <v>NO</v>
      </c>
      <c r="K2840" s="5">
        <f>IFERROR(VLOOKUP(Consulta1[[#This Row],[Pozo largo]],Controles!B:H,7,FALSE),"NO")</f>
        <v>0.01</v>
      </c>
      <c r="L2840" s="5">
        <f>IFERROR(VLOOKUP(Consulta1[[#This Row],[Pozo largo]],Controles!B:J,9,FALSE),"NO")</f>
        <v>0</v>
      </c>
    </row>
    <row r="2841" spans="2:12" x14ac:dyDescent="0.35">
      <c r="B2841" s="4" t="s">
        <v>5429</v>
      </c>
      <c r="C2841" s="4" t="s">
        <v>8543</v>
      </c>
      <c r="D2841" s="4" t="s">
        <v>5</v>
      </c>
      <c r="E2841" s="4" t="s">
        <v>12</v>
      </c>
      <c r="F2841" s="4" t="s">
        <v>28</v>
      </c>
      <c r="G2841" s="4" t="s">
        <v>13</v>
      </c>
      <c r="H2841" s="4" t="s">
        <v>86</v>
      </c>
      <c r="I2841" s="5" t="str">
        <f>IFERROR(VLOOKUP(Consulta1[[#This Row],[Pozo largo]],'Lista YPF'!$B$3:$C$358,2,FALSE),"NO")</f>
        <v>NO</v>
      </c>
      <c r="J2841" s="5" t="str">
        <f>IFERROR(VLOOKUP(Consulta1[[#This Row],[Pozo]],'Lista Oportunidades'!B:C,2,FALSE),"NO")</f>
        <v>NO</v>
      </c>
      <c r="K2841" s="5">
        <f>IFERROR(VLOOKUP(Consulta1[[#This Row],[Pozo largo]],Controles!B:H,7,FALSE),"NO")</f>
        <v>0</v>
      </c>
      <c r="L2841" s="5">
        <f>IFERROR(VLOOKUP(Consulta1[[#This Row],[Pozo largo]],Controles!B:J,9,FALSE),"NO")</f>
        <v>0</v>
      </c>
    </row>
    <row r="2842" spans="2:12" x14ac:dyDescent="0.35">
      <c r="B2842" s="4" t="s">
        <v>5431</v>
      </c>
      <c r="C2842" s="4" t="s">
        <v>8544</v>
      </c>
      <c r="D2842" s="4" t="s">
        <v>5</v>
      </c>
      <c r="E2842" s="4" t="s">
        <v>12</v>
      </c>
      <c r="F2842" s="4" t="s">
        <v>7</v>
      </c>
      <c r="G2842" s="4" t="s">
        <v>13</v>
      </c>
      <c r="H2842" s="4" t="s">
        <v>80</v>
      </c>
      <c r="I2842" s="5" t="str">
        <f>IFERROR(VLOOKUP(Consulta1[[#This Row],[Pozo largo]],'Lista YPF'!$B$3:$C$358,2,FALSE),"NO")</f>
        <v>NO</v>
      </c>
      <c r="J2842" s="5" t="str">
        <f>IFERROR(VLOOKUP(Consulta1[[#This Row],[Pozo]],'Lista Oportunidades'!B:C,2,FALSE),"NO")</f>
        <v>NO</v>
      </c>
      <c r="K2842" s="5">
        <f>IFERROR(VLOOKUP(Consulta1[[#This Row],[Pozo largo]],Controles!B:H,7,FALSE),"NO")</f>
        <v>0.79200000000000004</v>
      </c>
      <c r="L2842" s="5">
        <f>IFERROR(VLOOKUP(Consulta1[[#This Row],[Pozo largo]],Controles!B:J,9,FALSE),"NO")</f>
        <v>0</v>
      </c>
    </row>
    <row r="2843" spans="2:12" x14ac:dyDescent="0.35">
      <c r="B2843" s="4" t="s">
        <v>5433</v>
      </c>
      <c r="C2843" s="4" t="s">
        <v>8545</v>
      </c>
      <c r="D2843" s="4" t="s">
        <v>5</v>
      </c>
      <c r="E2843" s="4" t="s">
        <v>12</v>
      </c>
      <c r="F2843" s="4" t="s">
        <v>7</v>
      </c>
      <c r="G2843" s="4" t="s">
        <v>13</v>
      </c>
      <c r="H2843" s="4" t="s">
        <v>86</v>
      </c>
      <c r="I2843" s="5" t="str">
        <f>IFERROR(VLOOKUP(Consulta1[[#This Row],[Pozo largo]],'Lista YPF'!$B$3:$C$358,2,FALSE),"NO")</f>
        <v>NO</v>
      </c>
      <c r="J2843" s="5" t="str">
        <f>IFERROR(VLOOKUP(Consulta1[[#This Row],[Pozo]],'Lista Oportunidades'!B:C,2,FALSE),"NO")</f>
        <v>NO</v>
      </c>
      <c r="K2843" s="5">
        <f>IFERROR(VLOOKUP(Consulta1[[#This Row],[Pozo largo]],Controles!B:H,7,FALSE),"NO")</f>
        <v>0.24700000000000003</v>
      </c>
      <c r="L2843" s="5">
        <f>IFERROR(VLOOKUP(Consulta1[[#This Row],[Pozo largo]],Controles!B:J,9,FALSE),"NO")</f>
        <v>0</v>
      </c>
    </row>
    <row r="2844" spans="2:12" x14ac:dyDescent="0.35">
      <c r="B2844" s="4" t="s">
        <v>5435</v>
      </c>
      <c r="C2844" s="4" t="s">
        <v>8546</v>
      </c>
      <c r="D2844" s="4" t="s">
        <v>5</v>
      </c>
      <c r="E2844" s="4" t="s">
        <v>12</v>
      </c>
      <c r="F2844" s="4" t="s">
        <v>25</v>
      </c>
      <c r="G2844" s="4" t="s">
        <v>13</v>
      </c>
      <c r="H2844" s="4" t="s">
        <v>91</v>
      </c>
      <c r="I2844" s="5" t="str">
        <f>IFERROR(VLOOKUP(Consulta1[[#This Row],[Pozo largo]],'Lista YPF'!$B$3:$C$358,2,FALSE),"NO")</f>
        <v>NO</v>
      </c>
      <c r="J2844" s="5" t="str">
        <f>IFERROR(VLOOKUP(Consulta1[[#This Row],[Pozo]],'Lista Oportunidades'!B:C,2,FALSE),"NO")</f>
        <v>NO</v>
      </c>
      <c r="K2844" s="5">
        <f>IFERROR(VLOOKUP(Consulta1[[#This Row],[Pozo largo]],Controles!B:H,7,FALSE),"NO")</f>
        <v>0.113</v>
      </c>
      <c r="L2844" s="5">
        <f>IFERROR(VLOOKUP(Consulta1[[#This Row],[Pozo largo]],Controles!B:J,9,FALSE),"NO")</f>
        <v>0</v>
      </c>
    </row>
    <row r="2845" spans="2:12" x14ac:dyDescent="0.35">
      <c r="B2845" s="4" t="s">
        <v>5437</v>
      </c>
      <c r="C2845" s="4" t="s">
        <v>8547</v>
      </c>
      <c r="D2845" s="4" t="s">
        <v>5</v>
      </c>
      <c r="E2845" s="4" t="s">
        <v>30</v>
      </c>
      <c r="F2845" s="4" t="s">
        <v>31</v>
      </c>
      <c r="G2845" s="4" t="s">
        <v>32</v>
      </c>
      <c r="H2845" s="4" t="s">
        <v>86</v>
      </c>
      <c r="I2845" s="5" t="str">
        <f>IFERROR(VLOOKUP(Consulta1[[#This Row],[Pozo largo]],'Lista YPF'!$B$3:$C$358,2,FALSE),"NO")</f>
        <v>NO</v>
      </c>
      <c r="J2845" s="5" t="str">
        <f>IFERROR(VLOOKUP(Consulta1[[#This Row],[Pozo]],'Lista Oportunidades'!B:C,2,FALSE),"NO")</f>
        <v>NO</v>
      </c>
      <c r="K2845" s="5" t="str">
        <f>IFERROR(VLOOKUP(Consulta1[[#This Row],[Pozo largo]],Controles!B:H,7,FALSE),"NO")</f>
        <v>NO</v>
      </c>
      <c r="L2845" s="5" t="str">
        <f>IFERROR(VLOOKUP(Consulta1[[#This Row],[Pozo largo]],Controles!B:J,9,FALSE),"NO")</f>
        <v>NO</v>
      </c>
    </row>
    <row r="2846" spans="2:12" x14ac:dyDescent="0.35">
      <c r="B2846" s="4" t="s">
        <v>5438</v>
      </c>
      <c r="C2846" s="4" t="s">
        <v>8548</v>
      </c>
      <c r="D2846" s="4" t="s">
        <v>5</v>
      </c>
      <c r="E2846" s="4" t="s">
        <v>12</v>
      </c>
      <c r="F2846" s="4" t="s">
        <v>83</v>
      </c>
      <c r="G2846" s="4" t="s">
        <v>13</v>
      </c>
      <c r="H2846" s="4" t="s">
        <v>91</v>
      </c>
      <c r="I2846" s="5" t="str">
        <f>IFERROR(VLOOKUP(Consulta1[[#This Row],[Pozo largo]],'Lista YPF'!$B$3:$C$358,2,FALSE),"NO")</f>
        <v>NO</v>
      </c>
      <c r="J2846" s="5" t="str">
        <f>IFERROR(VLOOKUP(Consulta1[[#This Row],[Pozo]],'Lista Oportunidades'!B:C,2,FALSE),"NO")</f>
        <v>NO</v>
      </c>
      <c r="K2846" s="5">
        <f>IFERROR(VLOOKUP(Consulta1[[#This Row],[Pozo largo]],Controles!B:H,7,FALSE),"NO")</f>
        <v>1.3360000000000001</v>
      </c>
      <c r="L2846" s="5">
        <f>IFERROR(VLOOKUP(Consulta1[[#This Row],[Pozo largo]],Controles!B:J,9,FALSE),"NO")</f>
        <v>0</v>
      </c>
    </row>
    <row r="2847" spans="2:12" x14ac:dyDescent="0.35">
      <c r="B2847" s="4" t="s">
        <v>5440</v>
      </c>
      <c r="C2847" s="4" t="s">
        <v>8549</v>
      </c>
      <c r="D2847" s="4" t="s">
        <v>5</v>
      </c>
      <c r="E2847" s="4" t="s">
        <v>12</v>
      </c>
      <c r="F2847" s="4" t="s">
        <v>28</v>
      </c>
      <c r="G2847" s="4" t="s">
        <v>13</v>
      </c>
      <c r="H2847" s="4" t="s">
        <v>91</v>
      </c>
      <c r="I2847" s="5" t="str">
        <f>IFERROR(VLOOKUP(Consulta1[[#This Row],[Pozo largo]],'Lista YPF'!$B$3:$C$358,2,FALSE),"NO")</f>
        <v>NO</v>
      </c>
      <c r="J2847" s="5" t="str">
        <f>IFERROR(VLOOKUP(Consulta1[[#This Row],[Pozo]],'Lista Oportunidades'!B:C,2,FALSE),"NO")</f>
        <v>NO</v>
      </c>
      <c r="K2847" s="5">
        <f>IFERROR(VLOOKUP(Consulta1[[#This Row],[Pozo largo]],Controles!B:H,7,FALSE),"NO")</f>
        <v>0</v>
      </c>
      <c r="L2847" s="5">
        <f>IFERROR(VLOOKUP(Consulta1[[#This Row],[Pozo largo]],Controles!B:J,9,FALSE),"NO")</f>
        <v>0</v>
      </c>
    </row>
    <row r="2848" spans="2:12" x14ac:dyDescent="0.35">
      <c r="B2848" s="4" t="s">
        <v>5442</v>
      </c>
      <c r="C2848" s="4" t="s">
        <v>8550</v>
      </c>
      <c r="D2848" s="4" t="s">
        <v>5</v>
      </c>
      <c r="E2848" s="4" t="s">
        <v>6</v>
      </c>
      <c r="F2848" s="4" t="s">
        <v>7</v>
      </c>
      <c r="G2848" s="4" t="s">
        <v>5718</v>
      </c>
      <c r="H2848" s="4" t="s">
        <v>91</v>
      </c>
      <c r="I2848" s="5" t="str">
        <f>IFERROR(VLOOKUP(Consulta1[[#This Row],[Pozo largo]],'Lista YPF'!$B$3:$C$358,2,FALSE),"NO")</f>
        <v>En lista de Abandono</v>
      </c>
      <c r="J2848" s="5" t="str">
        <f>IFERROR(VLOOKUP(Consulta1[[#This Row],[Pozo]],'Lista Oportunidades'!B:C,2,FALSE),"NO")</f>
        <v>NO</v>
      </c>
      <c r="K2848" s="5">
        <f>IFERROR(VLOOKUP(Consulta1[[#This Row],[Pozo largo]],Controles!B:H,7,FALSE),"NO")</f>
        <v>0.37</v>
      </c>
      <c r="L2848" s="5">
        <f>IFERROR(VLOOKUP(Consulta1[[#This Row],[Pozo largo]],Controles!B:J,9,FALSE),"NO")</f>
        <v>0</v>
      </c>
    </row>
    <row r="2849" spans="2:12" x14ac:dyDescent="0.35">
      <c r="B2849" s="4" t="s">
        <v>5444</v>
      </c>
      <c r="C2849" s="4" t="s">
        <v>8551</v>
      </c>
      <c r="D2849" s="4" t="s">
        <v>5</v>
      </c>
      <c r="E2849" s="4" t="s">
        <v>12</v>
      </c>
      <c r="F2849" s="4" t="s">
        <v>7</v>
      </c>
      <c r="G2849" s="4" t="s">
        <v>13</v>
      </c>
      <c r="H2849" s="4" t="s">
        <v>66</v>
      </c>
      <c r="I2849" s="5" t="str">
        <f>IFERROR(VLOOKUP(Consulta1[[#This Row],[Pozo largo]],'Lista YPF'!$B$3:$C$358,2,FALSE),"NO")</f>
        <v>NO</v>
      </c>
      <c r="J2849" s="5" t="str">
        <f>IFERROR(VLOOKUP(Consulta1[[#This Row],[Pozo]],'Lista Oportunidades'!B:C,2,FALSE),"NO")</f>
        <v>NO</v>
      </c>
      <c r="K2849" s="5">
        <f>IFERROR(VLOOKUP(Consulta1[[#This Row],[Pozo largo]],Controles!B:H,7,FALSE),"NO")</f>
        <v>0.57600000000000007</v>
      </c>
      <c r="L2849" s="5">
        <f>IFERROR(VLOOKUP(Consulta1[[#This Row],[Pozo largo]],Controles!B:J,9,FALSE),"NO")</f>
        <v>0</v>
      </c>
    </row>
    <row r="2850" spans="2:12" x14ac:dyDescent="0.35">
      <c r="B2850" s="4" t="s">
        <v>5446</v>
      </c>
      <c r="C2850" s="4" t="s">
        <v>8552</v>
      </c>
      <c r="D2850" s="4" t="s">
        <v>5</v>
      </c>
      <c r="E2850" s="4" t="s">
        <v>24</v>
      </c>
      <c r="F2850" s="4" t="s">
        <v>31</v>
      </c>
      <c r="G2850" s="4" t="s">
        <v>8</v>
      </c>
      <c r="H2850" s="4" t="s">
        <v>71</v>
      </c>
      <c r="I2850" s="5" t="str">
        <f>IFERROR(VLOOKUP(Consulta1[[#This Row],[Pozo largo]],'Lista YPF'!$B$3:$C$358,2,FALSE),"NO")</f>
        <v>NO</v>
      </c>
      <c r="J2850" s="5" t="str">
        <f>IFERROR(VLOOKUP(Consulta1[[#This Row],[Pozo]],'Lista Oportunidades'!B:C,2,FALSE),"NO")</f>
        <v>NO</v>
      </c>
      <c r="K2850" s="5">
        <f>IFERROR(VLOOKUP(Consulta1[[#This Row],[Pozo largo]],Controles!B:H,7,FALSE),"NO")</f>
        <v>0.496</v>
      </c>
      <c r="L2850" s="5">
        <f>IFERROR(VLOOKUP(Consulta1[[#This Row],[Pozo largo]],Controles!B:J,9,FALSE),"NO")</f>
        <v>0</v>
      </c>
    </row>
    <row r="2851" spans="2:12" x14ac:dyDescent="0.35">
      <c r="B2851" s="4" t="s">
        <v>5448</v>
      </c>
      <c r="C2851" s="4" t="s">
        <v>8553</v>
      </c>
      <c r="D2851" s="4" t="s">
        <v>5</v>
      </c>
      <c r="E2851" s="4" t="s">
        <v>12</v>
      </c>
      <c r="F2851" s="4" t="s">
        <v>28</v>
      </c>
      <c r="G2851" s="4" t="s">
        <v>13</v>
      </c>
      <c r="H2851" s="4" t="s">
        <v>71</v>
      </c>
      <c r="I2851" s="5" t="str">
        <f>IFERROR(VLOOKUP(Consulta1[[#This Row],[Pozo largo]],'Lista YPF'!$B$3:$C$358,2,FALSE),"NO")</f>
        <v>NO</v>
      </c>
      <c r="J2851" s="5" t="str">
        <f>IFERROR(VLOOKUP(Consulta1[[#This Row],[Pozo]],'Lista Oportunidades'!B:C,2,FALSE),"NO")</f>
        <v>NO</v>
      </c>
      <c r="K2851" s="5">
        <f>IFERROR(VLOOKUP(Consulta1[[#This Row],[Pozo largo]],Controles!B:H,7,FALSE),"NO")</f>
        <v>0</v>
      </c>
      <c r="L2851" s="5">
        <f>IFERROR(VLOOKUP(Consulta1[[#This Row],[Pozo largo]],Controles!B:J,9,FALSE),"NO")</f>
        <v>0</v>
      </c>
    </row>
    <row r="2852" spans="2:12" x14ac:dyDescent="0.35">
      <c r="B2852" s="4" t="s">
        <v>5450</v>
      </c>
      <c r="C2852" s="4" t="s">
        <v>8554</v>
      </c>
      <c r="D2852" s="4" t="s">
        <v>5</v>
      </c>
      <c r="E2852" s="4" t="s">
        <v>6</v>
      </c>
      <c r="F2852" s="4" t="s">
        <v>7</v>
      </c>
      <c r="G2852" s="4" t="s">
        <v>5718</v>
      </c>
      <c r="H2852" s="4" t="s">
        <v>71</v>
      </c>
      <c r="I2852" s="5" t="str">
        <f>IFERROR(VLOOKUP(Consulta1[[#This Row],[Pozo largo]],'Lista YPF'!$B$3:$C$358,2,FALSE),"NO")</f>
        <v>En lista de Abandono</v>
      </c>
      <c r="J2852" s="5" t="str">
        <f>IFERROR(VLOOKUP(Consulta1[[#This Row],[Pozo]],'Lista Oportunidades'!B:C,2,FALSE),"NO")</f>
        <v>NO</v>
      </c>
      <c r="K2852" s="5">
        <f>IFERROR(VLOOKUP(Consulta1[[#This Row],[Pozo largo]],Controles!B:H,7,FALSE),"NO")</f>
        <v>0.6</v>
      </c>
      <c r="L2852" s="5">
        <f>IFERROR(VLOOKUP(Consulta1[[#This Row],[Pozo largo]],Controles!B:J,9,FALSE),"NO")</f>
        <v>0</v>
      </c>
    </row>
    <row r="2853" spans="2:12" x14ac:dyDescent="0.35">
      <c r="B2853" s="4" t="s">
        <v>5452</v>
      </c>
      <c r="C2853" s="4" t="s">
        <v>8555</v>
      </c>
      <c r="D2853" s="4" t="s">
        <v>5</v>
      </c>
      <c r="E2853" s="4" t="s">
        <v>12</v>
      </c>
      <c r="F2853" s="4" t="s">
        <v>25</v>
      </c>
      <c r="G2853" s="4" t="s">
        <v>13</v>
      </c>
      <c r="H2853" s="4" t="s">
        <v>185</v>
      </c>
      <c r="I2853" s="5" t="str">
        <f>IFERROR(VLOOKUP(Consulta1[[#This Row],[Pozo largo]],'Lista YPF'!$B$3:$C$358,2,FALSE),"NO")</f>
        <v>NO</v>
      </c>
      <c r="J2853" s="5" t="str">
        <f>IFERROR(VLOOKUP(Consulta1[[#This Row],[Pozo]],'Lista Oportunidades'!B:C,2,FALSE),"NO")</f>
        <v>NO</v>
      </c>
      <c r="K2853" s="5">
        <f>IFERROR(VLOOKUP(Consulta1[[#This Row],[Pozo largo]],Controles!B:H,7,FALSE),"NO")</f>
        <v>0.12300000000000001</v>
      </c>
      <c r="L2853" s="5">
        <f>IFERROR(VLOOKUP(Consulta1[[#This Row],[Pozo largo]],Controles!B:J,9,FALSE),"NO")</f>
        <v>0</v>
      </c>
    </row>
    <row r="2854" spans="2:12" x14ac:dyDescent="0.35">
      <c r="B2854" s="4" t="s">
        <v>5454</v>
      </c>
      <c r="C2854" s="4" t="s">
        <v>8556</v>
      </c>
      <c r="D2854" s="4" t="s">
        <v>5</v>
      </c>
      <c r="E2854" s="4" t="s">
        <v>24</v>
      </c>
      <c r="F2854" s="4" t="s">
        <v>31</v>
      </c>
      <c r="G2854" s="4" t="s">
        <v>8</v>
      </c>
      <c r="H2854" s="4" t="s">
        <v>141</v>
      </c>
      <c r="I2854" s="5" t="str">
        <f>IFERROR(VLOOKUP(Consulta1[[#This Row],[Pozo largo]],'Lista YPF'!$B$3:$C$358,2,FALSE),"NO")</f>
        <v>NO</v>
      </c>
      <c r="J2854" s="5" t="str">
        <f>IFERROR(VLOOKUP(Consulta1[[#This Row],[Pozo]],'Lista Oportunidades'!B:C,2,FALSE),"NO")</f>
        <v>NO</v>
      </c>
      <c r="K2854" s="5">
        <f>IFERROR(VLOOKUP(Consulta1[[#This Row],[Pozo largo]],Controles!B:H,7,FALSE),"NO")</f>
        <v>0</v>
      </c>
      <c r="L2854" s="5">
        <f>IFERROR(VLOOKUP(Consulta1[[#This Row],[Pozo largo]],Controles!B:J,9,FALSE),"NO")</f>
        <v>0</v>
      </c>
    </row>
    <row r="2855" spans="2:12" x14ac:dyDescent="0.35">
      <c r="B2855" s="4" t="s">
        <v>5456</v>
      </c>
      <c r="C2855" s="4" t="s">
        <v>8557</v>
      </c>
      <c r="D2855" s="4" t="s">
        <v>5</v>
      </c>
      <c r="E2855" s="4" t="s">
        <v>24</v>
      </c>
      <c r="F2855" s="4" t="s">
        <v>31</v>
      </c>
      <c r="G2855" s="4" t="s">
        <v>8</v>
      </c>
      <c r="H2855" s="4" t="s">
        <v>185</v>
      </c>
      <c r="I2855" s="5" t="str">
        <f>IFERROR(VLOOKUP(Consulta1[[#This Row],[Pozo largo]],'Lista YPF'!$B$3:$C$358,2,FALSE),"NO")</f>
        <v>NO</v>
      </c>
      <c r="J2855" s="5" t="str">
        <f>IFERROR(VLOOKUP(Consulta1[[#This Row],[Pozo]],'Lista Oportunidades'!B:C,2,FALSE),"NO")</f>
        <v>NO</v>
      </c>
      <c r="K2855" s="5" t="str">
        <f>IFERROR(VLOOKUP(Consulta1[[#This Row],[Pozo largo]],Controles!B:H,7,FALSE),"NO")</f>
        <v>NO</v>
      </c>
      <c r="L2855" s="5" t="str">
        <f>IFERROR(VLOOKUP(Consulta1[[#This Row],[Pozo largo]],Controles!B:J,9,FALSE),"NO")</f>
        <v>NO</v>
      </c>
    </row>
    <row r="2856" spans="2:12" x14ac:dyDescent="0.35">
      <c r="B2856" s="4" t="s">
        <v>5457</v>
      </c>
      <c r="C2856" s="4" t="s">
        <v>8558</v>
      </c>
      <c r="D2856" s="4" t="s">
        <v>5</v>
      </c>
      <c r="E2856" s="4" t="s">
        <v>12</v>
      </c>
      <c r="F2856" s="4" t="s">
        <v>238</v>
      </c>
      <c r="G2856" s="4" t="s">
        <v>13</v>
      </c>
      <c r="H2856" s="4" t="s">
        <v>260</v>
      </c>
      <c r="I2856" s="5" t="str">
        <f>IFERROR(VLOOKUP(Consulta1[[#This Row],[Pozo largo]],'Lista YPF'!$B$3:$C$358,2,FALSE),"NO")</f>
        <v>NO</v>
      </c>
      <c r="J2856" s="5" t="str">
        <f>IFERROR(VLOOKUP(Consulta1[[#This Row],[Pozo]],'Lista Oportunidades'!B:C,2,FALSE),"NO")</f>
        <v>NO</v>
      </c>
      <c r="K2856" s="5">
        <f>IFERROR(VLOOKUP(Consulta1[[#This Row],[Pozo largo]],Controles!B:H,7,FALSE),"NO")</f>
        <v>4.7700000000000005</v>
      </c>
      <c r="L2856" s="5">
        <f>IFERROR(VLOOKUP(Consulta1[[#This Row],[Pozo largo]],Controles!B:J,9,FALSE),"NO")</f>
        <v>0</v>
      </c>
    </row>
    <row r="2857" spans="2:12" x14ac:dyDescent="0.35">
      <c r="B2857" s="4" t="s">
        <v>5459</v>
      </c>
      <c r="C2857" s="4" t="s">
        <v>8559</v>
      </c>
      <c r="D2857" s="4" t="s">
        <v>5</v>
      </c>
      <c r="E2857" s="4" t="s">
        <v>12</v>
      </c>
      <c r="F2857" s="4" t="s">
        <v>28</v>
      </c>
      <c r="G2857" s="4" t="s">
        <v>13</v>
      </c>
      <c r="H2857" s="4" t="s">
        <v>260</v>
      </c>
      <c r="I2857" s="5" t="str">
        <f>IFERROR(VLOOKUP(Consulta1[[#This Row],[Pozo largo]],'Lista YPF'!$B$3:$C$358,2,FALSE),"NO")</f>
        <v>NO</v>
      </c>
      <c r="J2857" s="5" t="str">
        <f>IFERROR(VLOOKUP(Consulta1[[#This Row],[Pozo]],'Lista Oportunidades'!B:C,2,FALSE),"NO")</f>
        <v>NO</v>
      </c>
      <c r="K2857" s="5">
        <f>IFERROR(VLOOKUP(Consulta1[[#This Row],[Pozo largo]],Controles!B:H,7,FALSE),"NO")</f>
        <v>0</v>
      </c>
      <c r="L2857" s="5">
        <f>IFERROR(VLOOKUP(Consulta1[[#This Row],[Pozo largo]],Controles!B:J,9,FALSE),"NO")</f>
        <v>0</v>
      </c>
    </row>
    <row r="2858" spans="2:12" x14ac:dyDescent="0.35">
      <c r="B2858" s="4" t="s">
        <v>5461</v>
      </c>
      <c r="C2858" s="4" t="s">
        <v>8560</v>
      </c>
      <c r="D2858" s="4" t="s">
        <v>5</v>
      </c>
      <c r="E2858" s="4" t="s">
        <v>24</v>
      </c>
      <c r="F2858" s="4" t="s">
        <v>31</v>
      </c>
      <c r="G2858" s="4" t="s">
        <v>8</v>
      </c>
      <c r="H2858" s="4" t="s">
        <v>185</v>
      </c>
      <c r="I2858" s="5" t="str">
        <f>IFERROR(VLOOKUP(Consulta1[[#This Row],[Pozo largo]],'Lista YPF'!$B$3:$C$358,2,FALSE),"NO")</f>
        <v>NO</v>
      </c>
      <c r="J2858" s="5" t="str">
        <f>IFERROR(VLOOKUP(Consulta1[[#This Row],[Pozo]],'Lista Oportunidades'!B:C,2,FALSE),"NO")</f>
        <v>NO</v>
      </c>
      <c r="K2858" s="5">
        <f>IFERROR(VLOOKUP(Consulta1[[#This Row],[Pozo largo]],Controles!B:H,7,FALSE),"NO")</f>
        <v>0.68</v>
      </c>
      <c r="L2858" s="5">
        <f>IFERROR(VLOOKUP(Consulta1[[#This Row],[Pozo largo]],Controles!B:J,9,FALSE),"NO")</f>
        <v>0</v>
      </c>
    </row>
    <row r="2859" spans="2:12" x14ac:dyDescent="0.35">
      <c r="B2859" s="4" t="s">
        <v>5463</v>
      </c>
      <c r="C2859" s="4" t="s">
        <v>8561</v>
      </c>
      <c r="D2859" s="4" t="s">
        <v>5</v>
      </c>
      <c r="E2859" s="4" t="s">
        <v>12</v>
      </c>
      <c r="F2859" s="4" t="s">
        <v>7</v>
      </c>
      <c r="G2859" s="4" t="s">
        <v>13</v>
      </c>
      <c r="H2859" s="4" t="s">
        <v>185</v>
      </c>
      <c r="I2859" s="5" t="str">
        <f>IFERROR(VLOOKUP(Consulta1[[#This Row],[Pozo largo]],'Lista YPF'!$B$3:$C$358,2,FALSE),"NO")</f>
        <v>NO</v>
      </c>
      <c r="J2859" s="5" t="str">
        <f>IFERROR(VLOOKUP(Consulta1[[#This Row],[Pozo]],'Lista Oportunidades'!B:C,2,FALSE),"NO")</f>
        <v>NO</v>
      </c>
      <c r="K2859" s="5">
        <f>IFERROR(VLOOKUP(Consulta1[[#This Row],[Pozo largo]],Controles!B:H,7,FALSE),"NO")</f>
        <v>1.5</v>
      </c>
      <c r="L2859" s="5">
        <f>IFERROR(VLOOKUP(Consulta1[[#This Row],[Pozo largo]],Controles!B:J,9,FALSE),"NO")</f>
        <v>0</v>
      </c>
    </row>
    <row r="2860" spans="2:12" x14ac:dyDescent="0.35">
      <c r="B2860" s="4" t="s">
        <v>5465</v>
      </c>
      <c r="C2860" s="4" t="s">
        <v>8562</v>
      </c>
      <c r="D2860" s="4" t="s">
        <v>5</v>
      </c>
      <c r="E2860" s="4" t="s">
        <v>6</v>
      </c>
      <c r="F2860" s="4" t="s">
        <v>7</v>
      </c>
      <c r="G2860" s="4" t="s">
        <v>5718</v>
      </c>
      <c r="H2860" s="4" t="s">
        <v>185</v>
      </c>
      <c r="I2860" s="5" t="str">
        <f>IFERROR(VLOOKUP(Consulta1[[#This Row],[Pozo largo]],'Lista YPF'!$B$3:$C$358,2,FALSE),"NO")</f>
        <v>En lista de Abandono</v>
      </c>
      <c r="J2860" s="5" t="str">
        <f>IFERROR(VLOOKUP(Consulta1[[#This Row],[Pozo]],'Lista Oportunidades'!B:C,2,FALSE),"NO")</f>
        <v>NO</v>
      </c>
      <c r="K2860" s="5">
        <f>IFERROR(VLOOKUP(Consulta1[[#This Row],[Pozo largo]],Controles!B:H,7,FALSE),"NO")</f>
        <v>0.23700000000000002</v>
      </c>
      <c r="L2860" s="5">
        <f>IFERROR(VLOOKUP(Consulta1[[#This Row],[Pozo largo]],Controles!B:J,9,FALSE),"NO")</f>
        <v>0</v>
      </c>
    </row>
    <row r="2861" spans="2:12" x14ac:dyDescent="0.35">
      <c r="B2861" s="4" t="s">
        <v>5467</v>
      </c>
      <c r="C2861" s="4" t="s">
        <v>5735</v>
      </c>
      <c r="D2861" s="4" t="s">
        <v>5</v>
      </c>
      <c r="E2861" s="4" t="s">
        <v>6</v>
      </c>
      <c r="F2861" s="4" t="s">
        <v>28</v>
      </c>
      <c r="G2861" s="4" t="s">
        <v>8689</v>
      </c>
      <c r="H2861" s="4" t="s">
        <v>71</v>
      </c>
      <c r="I2861" s="5" t="str">
        <f>IFERROR(VLOOKUP(Consulta1[[#This Row],[Pozo largo]],'Lista YPF'!$B$3:$C$358,2,FALSE),"NO")</f>
        <v>NO</v>
      </c>
      <c r="J2861" s="5" t="str">
        <f>IFERROR(VLOOKUP(Consulta1[[#This Row],[Pozo]],'Lista Oportunidades'!B:C,2,FALSE),"NO")</f>
        <v>Oportunidad</v>
      </c>
      <c r="K2861" s="5">
        <f>IFERROR(VLOOKUP(Consulta1[[#This Row],[Pozo largo]],Controles!B:H,7,FALSE),"NO")</f>
        <v>0</v>
      </c>
      <c r="L2861" s="5">
        <f>IFERROR(VLOOKUP(Consulta1[[#This Row],[Pozo largo]],Controles!B:J,9,FALSE),"NO")</f>
        <v>0</v>
      </c>
    </row>
    <row r="2862" spans="2:12" x14ac:dyDescent="0.35">
      <c r="B2862" s="4" t="s">
        <v>5469</v>
      </c>
      <c r="C2862" s="4" t="s">
        <v>8563</v>
      </c>
      <c r="D2862" s="4" t="s">
        <v>5</v>
      </c>
      <c r="E2862" s="4" t="s">
        <v>30</v>
      </c>
      <c r="F2862" s="4" t="s">
        <v>31</v>
      </c>
      <c r="G2862" s="4" t="s">
        <v>32</v>
      </c>
      <c r="H2862" s="4" t="s">
        <v>71</v>
      </c>
      <c r="I2862" s="5" t="str">
        <f>IFERROR(VLOOKUP(Consulta1[[#This Row],[Pozo largo]],'Lista YPF'!$B$3:$C$358,2,FALSE),"NO")</f>
        <v>NO</v>
      </c>
      <c r="J2862" s="5" t="str">
        <f>IFERROR(VLOOKUP(Consulta1[[#This Row],[Pozo]],'Lista Oportunidades'!B:C,2,FALSE),"NO")</f>
        <v>NO</v>
      </c>
      <c r="K2862" s="5">
        <f>IFERROR(VLOOKUP(Consulta1[[#This Row],[Pozo largo]],Controles!B:H,7,FALSE),"NO")</f>
        <v>0.42</v>
      </c>
      <c r="L2862" s="5">
        <f>IFERROR(VLOOKUP(Consulta1[[#This Row],[Pozo largo]],Controles!B:J,9,FALSE),"NO")</f>
        <v>0</v>
      </c>
    </row>
    <row r="2863" spans="2:12" x14ac:dyDescent="0.35">
      <c r="B2863" s="4" t="s">
        <v>5471</v>
      </c>
      <c r="C2863" s="4" t="s">
        <v>8564</v>
      </c>
      <c r="D2863" s="4" t="s">
        <v>5</v>
      </c>
      <c r="E2863" s="4" t="s">
        <v>12</v>
      </c>
      <c r="F2863" s="4" t="s">
        <v>25</v>
      </c>
      <c r="G2863" s="4" t="s">
        <v>13</v>
      </c>
      <c r="H2863" s="4" t="s">
        <v>9</v>
      </c>
      <c r="I2863" s="5" t="str">
        <f>IFERROR(VLOOKUP(Consulta1[[#This Row],[Pozo largo]],'Lista YPF'!$B$3:$C$358,2,FALSE),"NO")</f>
        <v>NO</v>
      </c>
      <c r="J2863" s="5" t="str">
        <f>IFERROR(VLOOKUP(Consulta1[[#This Row],[Pozo]],'Lista Oportunidades'!B:C,2,FALSE),"NO")</f>
        <v>NO</v>
      </c>
      <c r="K2863" s="5">
        <f>IFERROR(VLOOKUP(Consulta1[[#This Row],[Pozo largo]],Controles!B:H,7,FALSE),"NO")</f>
        <v>2.9000000000000001E-2</v>
      </c>
      <c r="L2863" s="5">
        <f>IFERROR(VLOOKUP(Consulta1[[#This Row],[Pozo largo]],Controles!B:J,9,FALSE),"NO")</f>
        <v>0</v>
      </c>
    </row>
    <row r="2864" spans="2:12" x14ac:dyDescent="0.35">
      <c r="B2864" s="4" t="s">
        <v>5473</v>
      </c>
      <c r="C2864" s="4" t="s">
        <v>8565</v>
      </c>
      <c r="D2864" s="4" t="s">
        <v>5</v>
      </c>
      <c r="E2864" s="4" t="s">
        <v>12</v>
      </c>
      <c r="F2864" s="4" t="s">
        <v>28</v>
      </c>
      <c r="G2864" s="4" t="s">
        <v>13</v>
      </c>
      <c r="H2864" s="4" t="s">
        <v>9</v>
      </c>
      <c r="I2864" s="5" t="str">
        <f>IFERROR(VLOOKUP(Consulta1[[#This Row],[Pozo largo]],'Lista YPF'!$B$3:$C$358,2,FALSE),"NO")</f>
        <v>NO</v>
      </c>
      <c r="J2864" s="5" t="str">
        <f>IFERROR(VLOOKUP(Consulta1[[#This Row],[Pozo]],'Lista Oportunidades'!B:C,2,FALSE),"NO")</f>
        <v>NO</v>
      </c>
      <c r="K2864" s="5">
        <f>IFERROR(VLOOKUP(Consulta1[[#This Row],[Pozo largo]],Controles!B:H,7,FALSE),"NO")</f>
        <v>0</v>
      </c>
      <c r="L2864" s="5">
        <f>IFERROR(VLOOKUP(Consulta1[[#This Row],[Pozo largo]],Controles!B:J,9,FALSE),"NO")</f>
        <v>0</v>
      </c>
    </row>
    <row r="2865" spans="2:12" x14ac:dyDescent="0.35">
      <c r="B2865" s="4" t="s">
        <v>5475</v>
      </c>
      <c r="C2865" s="4" t="s">
        <v>8566</v>
      </c>
      <c r="D2865" s="4" t="s">
        <v>5</v>
      </c>
      <c r="E2865" s="4" t="s">
        <v>12</v>
      </c>
      <c r="F2865" s="4" t="s">
        <v>7</v>
      </c>
      <c r="G2865" s="4" t="s">
        <v>13</v>
      </c>
      <c r="H2865" s="4" t="s">
        <v>9</v>
      </c>
      <c r="I2865" s="5" t="str">
        <f>IFERROR(VLOOKUP(Consulta1[[#This Row],[Pozo largo]],'Lista YPF'!$B$3:$C$358,2,FALSE),"NO")</f>
        <v>NO</v>
      </c>
      <c r="J2865" s="5" t="str">
        <f>IFERROR(VLOOKUP(Consulta1[[#This Row],[Pozo]],'Lista Oportunidades'!B:C,2,FALSE),"NO")</f>
        <v>NO</v>
      </c>
      <c r="K2865" s="5">
        <f>IFERROR(VLOOKUP(Consulta1[[#This Row],[Pozo largo]],Controles!B:H,7,FALSE),"NO")</f>
        <v>4.9000000000000004</v>
      </c>
      <c r="L2865" s="5">
        <f>IFERROR(VLOOKUP(Consulta1[[#This Row],[Pozo largo]],Controles!B:J,9,FALSE),"NO")</f>
        <v>0</v>
      </c>
    </row>
    <row r="2866" spans="2:12" x14ac:dyDescent="0.35">
      <c r="B2866" s="4" t="s">
        <v>5477</v>
      </c>
      <c r="C2866" s="4" t="s">
        <v>8567</v>
      </c>
      <c r="D2866" s="4" t="s">
        <v>5</v>
      </c>
      <c r="E2866" s="4" t="s">
        <v>12</v>
      </c>
      <c r="F2866" s="4" t="s">
        <v>28</v>
      </c>
      <c r="G2866" s="4" t="s">
        <v>13</v>
      </c>
      <c r="H2866" s="4" t="s">
        <v>21</v>
      </c>
      <c r="I2866" s="5" t="str">
        <f>IFERROR(VLOOKUP(Consulta1[[#This Row],[Pozo largo]],'Lista YPF'!$B$3:$C$358,2,FALSE),"NO")</f>
        <v>NO</v>
      </c>
      <c r="J2866" s="5" t="str">
        <f>IFERROR(VLOOKUP(Consulta1[[#This Row],[Pozo]],'Lista Oportunidades'!B:C,2,FALSE),"NO")</f>
        <v>NO</v>
      </c>
      <c r="K2866" s="5">
        <f>IFERROR(VLOOKUP(Consulta1[[#This Row],[Pozo largo]],Controles!B:H,7,FALSE),"NO")</f>
        <v>0</v>
      </c>
      <c r="L2866" s="5">
        <f>IFERROR(VLOOKUP(Consulta1[[#This Row],[Pozo largo]],Controles!B:J,9,FALSE),"NO")</f>
        <v>0</v>
      </c>
    </row>
    <row r="2867" spans="2:12" x14ac:dyDescent="0.35">
      <c r="B2867" s="4" t="s">
        <v>5479</v>
      </c>
      <c r="C2867" s="4" t="s">
        <v>8568</v>
      </c>
      <c r="D2867" s="4" t="s">
        <v>5</v>
      </c>
      <c r="E2867" s="4" t="s">
        <v>12</v>
      </c>
      <c r="F2867" s="4" t="s">
        <v>7</v>
      </c>
      <c r="G2867" s="4" t="s">
        <v>13</v>
      </c>
      <c r="H2867" s="4" t="s">
        <v>33</v>
      </c>
      <c r="I2867" s="5" t="str">
        <f>IFERROR(VLOOKUP(Consulta1[[#This Row],[Pozo largo]],'Lista YPF'!$B$3:$C$358,2,FALSE),"NO")</f>
        <v>NO</v>
      </c>
      <c r="J2867" s="5" t="str">
        <f>IFERROR(VLOOKUP(Consulta1[[#This Row],[Pozo]],'Lista Oportunidades'!B:C,2,FALSE),"NO")</f>
        <v>NO</v>
      </c>
      <c r="K2867" s="5">
        <f>IFERROR(VLOOKUP(Consulta1[[#This Row],[Pozo largo]],Controles!B:H,7,FALSE),"NO")</f>
        <v>1.296</v>
      </c>
      <c r="L2867" s="5">
        <f>IFERROR(VLOOKUP(Consulta1[[#This Row],[Pozo largo]],Controles!B:J,9,FALSE),"NO")</f>
        <v>0</v>
      </c>
    </row>
    <row r="2868" spans="2:12" x14ac:dyDescent="0.35">
      <c r="B2868" s="4" t="s">
        <v>5481</v>
      </c>
      <c r="C2868" s="4" t="s">
        <v>8569</v>
      </c>
      <c r="D2868" s="4" t="s">
        <v>5</v>
      </c>
      <c r="E2868" s="4" t="s">
        <v>24</v>
      </c>
      <c r="F2868" s="4" t="s">
        <v>7</v>
      </c>
      <c r="G2868" s="4" t="s">
        <v>8</v>
      </c>
      <c r="H2868" s="4" t="s">
        <v>33</v>
      </c>
      <c r="I2868" s="5" t="str">
        <f>IFERROR(VLOOKUP(Consulta1[[#This Row],[Pozo largo]],'Lista YPF'!$B$3:$C$358,2,FALSE),"NO")</f>
        <v>NO</v>
      </c>
      <c r="J2868" s="5" t="str">
        <f>IFERROR(VLOOKUP(Consulta1[[#This Row],[Pozo]],'Lista Oportunidades'!B:C,2,FALSE),"NO")</f>
        <v>NO</v>
      </c>
      <c r="K2868" s="5">
        <f>IFERROR(VLOOKUP(Consulta1[[#This Row],[Pozo largo]],Controles!B:H,7,FALSE),"NO")</f>
        <v>0.58400000000000007</v>
      </c>
      <c r="L2868" s="5">
        <f>IFERROR(VLOOKUP(Consulta1[[#This Row],[Pozo largo]],Controles!B:J,9,FALSE),"NO")</f>
        <v>0</v>
      </c>
    </row>
    <row r="2869" spans="2:12" x14ac:dyDescent="0.35">
      <c r="B2869" s="4" t="s">
        <v>5483</v>
      </c>
      <c r="C2869" s="4" t="s">
        <v>8570</v>
      </c>
      <c r="D2869" s="4" t="s">
        <v>5</v>
      </c>
      <c r="E2869" s="4" t="s">
        <v>12</v>
      </c>
      <c r="F2869" s="4" t="s">
        <v>28</v>
      </c>
      <c r="G2869" s="4" t="s">
        <v>13</v>
      </c>
      <c r="H2869" s="4" t="s">
        <v>33</v>
      </c>
      <c r="I2869" s="5" t="str">
        <f>IFERROR(VLOOKUP(Consulta1[[#This Row],[Pozo largo]],'Lista YPF'!$B$3:$C$358,2,FALSE),"NO")</f>
        <v>NO</v>
      </c>
      <c r="J2869" s="5" t="str">
        <f>IFERROR(VLOOKUP(Consulta1[[#This Row],[Pozo]],'Lista Oportunidades'!B:C,2,FALSE),"NO")</f>
        <v>NO</v>
      </c>
      <c r="K2869" s="5">
        <f>IFERROR(VLOOKUP(Consulta1[[#This Row],[Pozo largo]],Controles!B:H,7,FALSE),"NO")</f>
        <v>0</v>
      </c>
      <c r="L2869" s="5">
        <f>IFERROR(VLOOKUP(Consulta1[[#This Row],[Pozo largo]],Controles!B:J,9,FALSE),"NO")</f>
        <v>0</v>
      </c>
    </row>
    <row r="2870" spans="2:12" x14ac:dyDescent="0.35">
      <c r="B2870" s="4" t="s">
        <v>5485</v>
      </c>
      <c r="C2870" s="4" t="s">
        <v>8571</v>
      </c>
      <c r="D2870" s="4" t="s">
        <v>5</v>
      </c>
      <c r="E2870" s="4" t="s">
        <v>24</v>
      </c>
      <c r="F2870" s="4" t="s">
        <v>25</v>
      </c>
      <c r="G2870" s="4" t="s">
        <v>8</v>
      </c>
      <c r="H2870" s="4" t="s">
        <v>36</v>
      </c>
      <c r="I2870" s="5" t="str">
        <f>IFERROR(VLOOKUP(Consulta1[[#This Row],[Pozo largo]],'Lista YPF'!$B$3:$C$358,2,FALSE),"NO")</f>
        <v>NO</v>
      </c>
      <c r="J2870" s="5" t="str">
        <f>IFERROR(VLOOKUP(Consulta1[[#This Row],[Pozo]],'Lista Oportunidades'!B:C,2,FALSE),"NO")</f>
        <v>NO</v>
      </c>
      <c r="K2870" s="5">
        <f>IFERROR(VLOOKUP(Consulta1[[#This Row],[Pozo largo]],Controles!B:H,7,FALSE),"NO")</f>
        <v>2.9000000000000001E-2</v>
      </c>
      <c r="L2870" s="5">
        <f>IFERROR(VLOOKUP(Consulta1[[#This Row],[Pozo largo]],Controles!B:J,9,FALSE),"NO")</f>
        <v>0</v>
      </c>
    </row>
    <row r="2871" spans="2:12" x14ac:dyDescent="0.35">
      <c r="B2871" s="4" t="s">
        <v>5487</v>
      </c>
      <c r="C2871" s="4" t="s">
        <v>8572</v>
      </c>
      <c r="D2871" s="4" t="s">
        <v>5</v>
      </c>
      <c r="E2871" s="4" t="s">
        <v>57</v>
      </c>
      <c r="F2871" s="4" t="s">
        <v>7</v>
      </c>
      <c r="G2871" s="4" t="s">
        <v>5718</v>
      </c>
      <c r="H2871" s="4" t="s">
        <v>33</v>
      </c>
      <c r="I2871" s="5" t="str">
        <f>IFERROR(VLOOKUP(Consulta1[[#This Row],[Pozo largo]],'Lista YPF'!$B$3:$C$358,2,FALSE),"NO")</f>
        <v>En lista de Abandono</v>
      </c>
      <c r="J2871" s="5" t="str">
        <f>IFERROR(VLOOKUP(Consulta1[[#This Row],[Pozo]],'Lista Oportunidades'!B:C,2,FALSE),"NO")</f>
        <v>NO</v>
      </c>
      <c r="K2871" s="5">
        <f>IFERROR(VLOOKUP(Consulta1[[#This Row],[Pozo largo]],Controles!B:H,7,FALSE),"NO")</f>
        <v>0.41300000000000003</v>
      </c>
      <c r="L2871" s="5">
        <f>IFERROR(VLOOKUP(Consulta1[[#This Row],[Pozo largo]],Controles!B:J,9,FALSE),"NO")</f>
        <v>0</v>
      </c>
    </row>
    <row r="2872" spans="2:12" x14ac:dyDescent="0.35">
      <c r="B2872" s="4" t="s">
        <v>5489</v>
      </c>
      <c r="C2872" s="4" t="s">
        <v>8573</v>
      </c>
      <c r="D2872" s="4" t="s">
        <v>5</v>
      </c>
      <c r="E2872" s="4" t="s">
        <v>12</v>
      </c>
      <c r="F2872" s="4" t="s">
        <v>7</v>
      </c>
      <c r="G2872" s="4" t="s">
        <v>13</v>
      </c>
      <c r="H2872" s="4" t="s">
        <v>21</v>
      </c>
      <c r="I2872" s="5" t="str">
        <f>IFERROR(VLOOKUP(Consulta1[[#This Row],[Pozo largo]],'Lista YPF'!$B$3:$C$358,2,FALSE),"NO")</f>
        <v>NO</v>
      </c>
      <c r="J2872" s="5" t="str">
        <f>IFERROR(VLOOKUP(Consulta1[[#This Row],[Pozo]],'Lista Oportunidades'!B:C,2,FALSE),"NO")</f>
        <v>NO</v>
      </c>
      <c r="K2872" s="5">
        <f>IFERROR(VLOOKUP(Consulta1[[#This Row],[Pozo largo]],Controles!B:H,7,FALSE),"NO")</f>
        <v>4.3</v>
      </c>
      <c r="L2872" s="5">
        <f>IFERROR(VLOOKUP(Consulta1[[#This Row],[Pozo largo]],Controles!B:J,9,FALSE),"NO")</f>
        <v>0</v>
      </c>
    </row>
    <row r="2873" spans="2:12" x14ac:dyDescent="0.35">
      <c r="B2873" s="4" t="s">
        <v>5491</v>
      </c>
      <c r="C2873" s="4" t="s">
        <v>8574</v>
      </c>
      <c r="D2873" s="4" t="s">
        <v>5</v>
      </c>
      <c r="E2873" s="4" t="s">
        <v>24</v>
      </c>
      <c r="F2873" s="4" t="s">
        <v>7</v>
      </c>
      <c r="G2873" s="4" t="s">
        <v>8</v>
      </c>
      <c r="H2873" s="4" t="s">
        <v>33</v>
      </c>
      <c r="I2873" s="5" t="str">
        <f>IFERROR(VLOOKUP(Consulta1[[#This Row],[Pozo largo]],'Lista YPF'!$B$3:$C$358,2,FALSE),"NO")</f>
        <v>NO</v>
      </c>
      <c r="J2873" s="5" t="str">
        <f>IFERROR(VLOOKUP(Consulta1[[#This Row],[Pozo]],'Lista Oportunidades'!B:C,2,FALSE),"NO")</f>
        <v>NO</v>
      </c>
      <c r="K2873" s="5">
        <f>IFERROR(VLOOKUP(Consulta1[[#This Row],[Pozo largo]],Controles!B:H,7,FALSE),"NO")</f>
        <v>1.1520000000000001</v>
      </c>
      <c r="L2873" s="5">
        <f>IFERROR(VLOOKUP(Consulta1[[#This Row],[Pozo largo]],Controles!B:J,9,FALSE),"NO")</f>
        <v>0</v>
      </c>
    </row>
    <row r="2874" spans="2:12" x14ac:dyDescent="0.35">
      <c r="B2874" s="4" t="s">
        <v>5493</v>
      </c>
      <c r="C2874" s="4" t="s">
        <v>8575</v>
      </c>
      <c r="D2874" s="4" t="s">
        <v>5</v>
      </c>
      <c r="E2874" s="4" t="s">
        <v>12</v>
      </c>
      <c r="F2874" s="4" t="s">
        <v>25</v>
      </c>
      <c r="G2874" s="4" t="s">
        <v>13</v>
      </c>
      <c r="H2874" s="4" t="s">
        <v>33</v>
      </c>
      <c r="I2874" s="5" t="str">
        <f>IFERROR(VLOOKUP(Consulta1[[#This Row],[Pozo largo]],'Lista YPF'!$B$3:$C$358,2,FALSE),"NO")</f>
        <v>NO</v>
      </c>
      <c r="J2874" s="5" t="str">
        <f>IFERROR(VLOOKUP(Consulta1[[#This Row],[Pozo]],'Lista Oportunidades'!B:C,2,FALSE),"NO")</f>
        <v>NO</v>
      </c>
      <c r="K2874" s="5">
        <f>IFERROR(VLOOKUP(Consulta1[[#This Row],[Pozo largo]],Controles!B:H,7,FALSE),"NO")</f>
        <v>0.192</v>
      </c>
      <c r="L2874" s="5">
        <f>IFERROR(VLOOKUP(Consulta1[[#This Row],[Pozo largo]],Controles!B:J,9,FALSE),"NO")</f>
        <v>0</v>
      </c>
    </row>
    <row r="2875" spans="2:12" x14ac:dyDescent="0.35">
      <c r="B2875" s="4" t="s">
        <v>5495</v>
      </c>
      <c r="C2875" s="4" t="s">
        <v>8576</v>
      </c>
      <c r="D2875" s="4" t="s">
        <v>5</v>
      </c>
      <c r="E2875" s="4" t="s">
        <v>430</v>
      </c>
      <c r="F2875" s="4" t="s">
        <v>238</v>
      </c>
      <c r="G2875" s="4" t="s">
        <v>5718</v>
      </c>
      <c r="H2875" s="4" t="s">
        <v>21</v>
      </c>
      <c r="I2875" s="5" t="str">
        <f>IFERROR(VLOOKUP(Consulta1[[#This Row],[Pozo largo]],'Lista YPF'!$B$3:$C$358,2,FALSE),"NO")</f>
        <v>En lista de Abandono</v>
      </c>
      <c r="J2875" s="5" t="str">
        <f>IFERROR(VLOOKUP(Consulta1[[#This Row],[Pozo]],'Lista Oportunidades'!B:C,2,FALSE),"NO")</f>
        <v>NO</v>
      </c>
      <c r="K2875" s="5">
        <f>IFERROR(VLOOKUP(Consulta1[[#This Row],[Pozo largo]],Controles!B:H,7,FALSE),"NO")</f>
        <v>0.6</v>
      </c>
      <c r="L2875" s="5">
        <f>IFERROR(VLOOKUP(Consulta1[[#This Row],[Pozo largo]],Controles!B:J,9,FALSE),"NO")</f>
        <v>0</v>
      </c>
    </row>
    <row r="2876" spans="2:12" x14ac:dyDescent="0.35">
      <c r="B2876" s="4" t="s">
        <v>5497</v>
      </c>
      <c r="C2876" s="4" t="s">
        <v>8577</v>
      </c>
      <c r="D2876" s="4" t="s">
        <v>5</v>
      </c>
      <c r="E2876" s="4" t="s">
        <v>5499</v>
      </c>
      <c r="F2876" s="4" t="s">
        <v>7</v>
      </c>
      <c r="G2876" s="4" t="s">
        <v>5718</v>
      </c>
      <c r="H2876" s="4" t="s">
        <v>21</v>
      </c>
      <c r="I2876" s="5" t="str">
        <f>IFERROR(VLOOKUP(Consulta1[[#This Row],[Pozo largo]],'Lista YPF'!$B$3:$C$358,2,FALSE),"NO")</f>
        <v>En lista de Abandono</v>
      </c>
      <c r="J2876" s="5" t="str">
        <f>IFERROR(VLOOKUP(Consulta1[[#This Row],[Pozo]],'Lista Oportunidades'!B:C,2,FALSE),"NO")</f>
        <v>NO</v>
      </c>
      <c r="K2876" s="5">
        <f>IFERROR(VLOOKUP(Consulta1[[#This Row],[Pozo largo]],Controles!B:H,7,FALSE),"NO")</f>
        <v>0.45500000000000002</v>
      </c>
      <c r="L2876" s="5">
        <f>IFERROR(VLOOKUP(Consulta1[[#This Row],[Pozo largo]],Controles!B:J,9,FALSE),"NO")</f>
        <v>0</v>
      </c>
    </row>
    <row r="2877" spans="2:12" x14ac:dyDescent="0.35">
      <c r="B2877" s="4" t="s">
        <v>5500</v>
      </c>
      <c r="C2877" s="4" t="s">
        <v>8578</v>
      </c>
      <c r="D2877" s="4" t="s">
        <v>5</v>
      </c>
      <c r="E2877" s="4" t="s">
        <v>24</v>
      </c>
      <c r="F2877" s="4" t="s">
        <v>31</v>
      </c>
      <c r="G2877" s="4" t="s">
        <v>8</v>
      </c>
      <c r="H2877" s="4" t="s">
        <v>33</v>
      </c>
      <c r="I2877" s="5" t="str">
        <f>IFERROR(VLOOKUP(Consulta1[[#This Row],[Pozo largo]],'Lista YPF'!$B$3:$C$358,2,FALSE),"NO")</f>
        <v>NO</v>
      </c>
      <c r="J2877" s="5" t="str">
        <f>IFERROR(VLOOKUP(Consulta1[[#This Row],[Pozo]],'Lista Oportunidades'!B:C,2,FALSE),"NO")</f>
        <v>NO</v>
      </c>
      <c r="K2877" s="5">
        <f>IFERROR(VLOOKUP(Consulta1[[#This Row],[Pozo largo]],Controles!B:H,7,FALSE),"NO")</f>
        <v>0.67200000000000004</v>
      </c>
      <c r="L2877" s="5">
        <f>IFERROR(VLOOKUP(Consulta1[[#This Row],[Pozo largo]],Controles!B:J,9,FALSE),"NO")</f>
        <v>0</v>
      </c>
    </row>
    <row r="2878" spans="2:12" x14ac:dyDescent="0.35">
      <c r="B2878" s="4" t="s">
        <v>5502</v>
      </c>
      <c r="C2878" s="4" t="s">
        <v>8579</v>
      </c>
      <c r="D2878" s="4" t="s">
        <v>5</v>
      </c>
      <c r="E2878" s="4" t="s">
        <v>12</v>
      </c>
      <c r="F2878" s="4" t="s">
        <v>7</v>
      </c>
      <c r="G2878" s="4" t="s">
        <v>13</v>
      </c>
      <c r="H2878" s="4" t="s">
        <v>9</v>
      </c>
      <c r="I2878" s="5" t="str">
        <f>IFERROR(VLOOKUP(Consulta1[[#This Row],[Pozo largo]],'Lista YPF'!$B$3:$C$358,2,FALSE),"NO")</f>
        <v>NO</v>
      </c>
      <c r="J2878" s="5" t="str">
        <f>IFERROR(VLOOKUP(Consulta1[[#This Row],[Pozo]],'Lista Oportunidades'!B:C,2,FALSE),"NO")</f>
        <v>NO</v>
      </c>
      <c r="K2878" s="5">
        <f>IFERROR(VLOOKUP(Consulta1[[#This Row],[Pozo largo]],Controles!B:H,7,FALSE),"NO")</f>
        <v>1.24</v>
      </c>
      <c r="L2878" s="5">
        <f>IFERROR(VLOOKUP(Consulta1[[#This Row],[Pozo largo]],Controles!B:J,9,FALSE),"NO")</f>
        <v>0</v>
      </c>
    </row>
    <row r="2879" spans="2:12" x14ac:dyDescent="0.35">
      <c r="B2879" s="4" t="s">
        <v>5504</v>
      </c>
      <c r="C2879" s="4" t="s">
        <v>8580</v>
      </c>
      <c r="D2879" s="4" t="s">
        <v>5</v>
      </c>
      <c r="E2879" s="4" t="s">
        <v>6</v>
      </c>
      <c r="F2879" s="4" t="s">
        <v>7</v>
      </c>
      <c r="G2879" s="4" t="s">
        <v>5718</v>
      </c>
      <c r="H2879" s="4" t="s">
        <v>149</v>
      </c>
      <c r="I2879" s="5" t="str">
        <f>IFERROR(VLOOKUP(Consulta1[[#This Row],[Pozo largo]],'Lista YPF'!$B$3:$C$358,2,FALSE),"NO")</f>
        <v>En lista de Abandono</v>
      </c>
      <c r="J2879" s="5" t="str">
        <f>IFERROR(VLOOKUP(Consulta1[[#This Row],[Pozo]],'Lista Oportunidades'!B:C,2,FALSE),"NO")</f>
        <v>NO</v>
      </c>
      <c r="K2879" s="5">
        <f>IFERROR(VLOOKUP(Consulta1[[#This Row],[Pozo largo]],Controles!B:H,7,FALSE),"NO")</f>
        <v>0.75</v>
      </c>
      <c r="L2879" s="5">
        <f>IFERROR(VLOOKUP(Consulta1[[#This Row],[Pozo largo]],Controles!B:J,9,FALSE),"NO")</f>
        <v>0</v>
      </c>
    </row>
    <row r="2880" spans="2:12" x14ac:dyDescent="0.35">
      <c r="B2880" s="4" t="s">
        <v>5506</v>
      </c>
      <c r="C2880" s="4" t="s">
        <v>8581</v>
      </c>
      <c r="D2880" s="4" t="s">
        <v>5</v>
      </c>
      <c r="E2880" s="4" t="s">
        <v>24</v>
      </c>
      <c r="F2880" s="4" t="s">
        <v>7</v>
      </c>
      <c r="G2880" s="4" t="s">
        <v>8</v>
      </c>
      <c r="H2880" s="4" t="s">
        <v>36</v>
      </c>
      <c r="I2880" s="5" t="str">
        <f>IFERROR(VLOOKUP(Consulta1[[#This Row],[Pozo largo]],'Lista YPF'!$B$3:$C$358,2,FALSE),"NO")</f>
        <v>NO</v>
      </c>
      <c r="J2880" s="5" t="str">
        <f>IFERROR(VLOOKUP(Consulta1[[#This Row],[Pozo]],'Lista Oportunidades'!B:C,2,FALSE),"NO")</f>
        <v>NO</v>
      </c>
      <c r="K2880" s="5">
        <f>IFERROR(VLOOKUP(Consulta1[[#This Row],[Pozo largo]],Controles!B:H,7,FALSE),"NO")</f>
        <v>0.96</v>
      </c>
      <c r="L2880" s="5">
        <f>IFERROR(VLOOKUP(Consulta1[[#This Row],[Pozo largo]],Controles!B:J,9,FALSE),"NO")</f>
        <v>0</v>
      </c>
    </row>
    <row r="2881" spans="2:12" x14ac:dyDescent="0.35">
      <c r="B2881" s="4" t="s">
        <v>5508</v>
      </c>
      <c r="C2881" s="4" t="s">
        <v>8582</v>
      </c>
      <c r="D2881" s="4" t="s">
        <v>5</v>
      </c>
      <c r="E2881" s="4" t="s">
        <v>12</v>
      </c>
      <c r="F2881" s="4" t="s">
        <v>28</v>
      </c>
      <c r="G2881" s="4" t="s">
        <v>13</v>
      </c>
      <c r="H2881" s="4" t="s">
        <v>16</v>
      </c>
      <c r="I2881" s="5" t="str">
        <f>IFERROR(VLOOKUP(Consulta1[[#This Row],[Pozo largo]],'Lista YPF'!$B$3:$C$358,2,FALSE),"NO")</f>
        <v>NO</v>
      </c>
      <c r="J2881" s="5" t="str">
        <f>IFERROR(VLOOKUP(Consulta1[[#This Row],[Pozo]],'Lista Oportunidades'!B:C,2,FALSE),"NO")</f>
        <v>NO</v>
      </c>
      <c r="K2881" s="5">
        <f>IFERROR(VLOOKUP(Consulta1[[#This Row],[Pozo largo]],Controles!B:H,7,FALSE),"NO")</f>
        <v>0</v>
      </c>
      <c r="L2881" s="5">
        <f>IFERROR(VLOOKUP(Consulta1[[#This Row],[Pozo largo]],Controles!B:J,9,FALSE),"NO")</f>
        <v>0</v>
      </c>
    </row>
    <row r="2882" spans="2:12" x14ac:dyDescent="0.35">
      <c r="B2882" s="4" t="s">
        <v>5510</v>
      </c>
      <c r="C2882" s="4" t="s">
        <v>8583</v>
      </c>
      <c r="D2882" s="4" t="s">
        <v>5</v>
      </c>
      <c r="E2882" s="4" t="s">
        <v>12</v>
      </c>
      <c r="F2882" s="4" t="s">
        <v>7</v>
      </c>
      <c r="G2882" s="4" t="s">
        <v>13</v>
      </c>
      <c r="H2882" s="4" t="s">
        <v>86</v>
      </c>
      <c r="I2882" s="5" t="str">
        <f>IFERROR(VLOOKUP(Consulta1[[#This Row],[Pozo largo]],'Lista YPF'!$B$3:$C$358,2,FALSE),"NO")</f>
        <v>NO</v>
      </c>
      <c r="J2882" s="5" t="str">
        <f>IFERROR(VLOOKUP(Consulta1[[#This Row],[Pozo]],'Lista Oportunidades'!B:C,2,FALSE),"NO")</f>
        <v>NO</v>
      </c>
      <c r="K2882" s="5">
        <f>IFERROR(VLOOKUP(Consulta1[[#This Row],[Pozo largo]],Controles!B:H,7,FALSE),"NO")</f>
        <v>0.71</v>
      </c>
      <c r="L2882" s="5">
        <f>IFERROR(VLOOKUP(Consulta1[[#This Row],[Pozo largo]],Controles!B:J,9,FALSE),"NO")</f>
        <v>0</v>
      </c>
    </row>
    <row r="2883" spans="2:12" x14ac:dyDescent="0.35">
      <c r="B2883" s="4" t="s">
        <v>5512</v>
      </c>
      <c r="C2883" s="4" t="s">
        <v>8584</v>
      </c>
      <c r="D2883" s="4" t="s">
        <v>5</v>
      </c>
      <c r="E2883" s="4" t="s">
        <v>12</v>
      </c>
      <c r="F2883" s="4" t="s">
        <v>7</v>
      </c>
      <c r="G2883" s="4" t="s">
        <v>13</v>
      </c>
      <c r="H2883" s="4" t="s">
        <v>185</v>
      </c>
      <c r="I2883" s="5" t="str">
        <f>IFERROR(VLOOKUP(Consulta1[[#This Row],[Pozo largo]],'Lista YPF'!$B$3:$C$358,2,FALSE),"NO")</f>
        <v>NO</v>
      </c>
      <c r="J2883" s="5" t="str">
        <f>IFERROR(VLOOKUP(Consulta1[[#This Row],[Pozo]],'Lista Oportunidades'!B:C,2,FALSE),"NO")</f>
        <v>NO</v>
      </c>
      <c r="K2883" s="5">
        <f>IFERROR(VLOOKUP(Consulta1[[#This Row],[Pozo largo]],Controles!B:H,7,FALSE),"NO")</f>
        <v>1.45</v>
      </c>
      <c r="L2883" s="5">
        <f>IFERROR(VLOOKUP(Consulta1[[#This Row],[Pozo largo]],Controles!B:J,9,FALSE),"NO")</f>
        <v>0</v>
      </c>
    </row>
    <row r="2884" spans="2:12" x14ac:dyDescent="0.35">
      <c r="B2884" s="4" t="s">
        <v>5514</v>
      </c>
      <c r="C2884" s="4" t="s">
        <v>8585</v>
      </c>
      <c r="D2884" s="4" t="s">
        <v>5</v>
      </c>
      <c r="E2884" s="4" t="s">
        <v>12</v>
      </c>
      <c r="F2884" s="4" t="s">
        <v>28</v>
      </c>
      <c r="G2884" s="4" t="s">
        <v>13</v>
      </c>
      <c r="H2884" s="4" t="s">
        <v>185</v>
      </c>
      <c r="I2884" s="5" t="str">
        <f>IFERROR(VLOOKUP(Consulta1[[#This Row],[Pozo largo]],'Lista YPF'!$B$3:$C$358,2,FALSE),"NO")</f>
        <v>NO</v>
      </c>
      <c r="J2884" s="5" t="str">
        <f>IFERROR(VLOOKUP(Consulta1[[#This Row],[Pozo]],'Lista Oportunidades'!B:C,2,FALSE),"NO")</f>
        <v>NO</v>
      </c>
      <c r="K2884" s="5">
        <f>IFERROR(VLOOKUP(Consulta1[[#This Row],[Pozo largo]],Controles!B:H,7,FALSE),"NO")</f>
        <v>0</v>
      </c>
      <c r="L2884" s="5">
        <f>IFERROR(VLOOKUP(Consulta1[[#This Row],[Pozo largo]],Controles!B:J,9,FALSE),"NO")</f>
        <v>0</v>
      </c>
    </row>
    <row r="2885" spans="2:12" x14ac:dyDescent="0.35">
      <c r="B2885" s="4" t="s">
        <v>5516</v>
      </c>
      <c r="C2885" s="4" t="s">
        <v>8586</v>
      </c>
      <c r="D2885" s="4" t="s">
        <v>5</v>
      </c>
      <c r="E2885" s="4" t="s">
        <v>57</v>
      </c>
      <c r="F2885" s="4" t="s">
        <v>31</v>
      </c>
      <c r="G2885" s="4" t="s">
        <v>5718</v>
      </c>
      <c r="H2885" s="4" t="s">
        <v>21</v>
      </c>
      <c r="I2885" s="5" t="str">
        <f>IFERROR(VLOOKUP(Consulta1[[#This Row],[Pozo largo]],'Lista YPF'!$B$3:$C$358,2,FALSE),"NO")</f>
        <v>En lista de Abandono</v>
      </c>
      <c r="J2885" s="5" t="str">
        <f>IFERROR(VLOOKUP(Consulta1[[#This Row],[Pozo]],'Lista Oportunidades'!B:C,2,FALSE),"NO")</f>
        <v>NO</v>
      </c>
      <c r="K2885" s="5" t="str">
        <f>IFERROR(VLOOKUP(Consulta1[[#This Row],[Pozo largo]],Controles!B:H,7,FALSE),"NO")</f>
        <v>NO</v>
      </c>
      <c r="L2885" s="5" t="str">
        <f>IFERROR(VLOOKUP(Consulta1[[#This Row],[Pozo largo]],Controles!B:J,9,FALSE),"NO")</f>
        <v>NO</v>
      </c>
    </row>
    <row r="2886" spans="2:12" x14ac:dyDescent="0.35">
      <c r="B2886" s="4" t="s">
        <v>5517</v>
      </c>
      <c r="C2886" s="4" t="s">
        <v>8587</v>
      </c>
      <c r="D2886" s="4" t="s">
        <v>5</v>
      </c>
      <c r="E2886" s="4" t="s">
        <v>12</v>
      </c>
      <c r="F2886" s="4" t="s">
        <v>7</v>
      </c>
      <c r="G2886" s="4" t="s">
        <v>13</v>
      </c>
      <c r="H2886" s="4" t="s">
        <v>185</v>
      </c>
      <c r="I2886" s="5" t="str">
        <f>IFERROR(VLOOKUP(Consulta1[[#This Row],[Pozo largo]],'Lista YPF'!$B$3:$C$358,2,FALSE),"NO")</f>
        <v>NO</v>
      </c>
      <c r="J2886" s="5" t="str">
        <f>IFERROR(VLOOKUP(Consulta1[[#This Row],[Pozo]],'Lista Oportunidades'!B:C,2,FALSE),"NO")</f>
        <v>NO</v>
      </c>
      <c r="K2886" s="5">
        <f>IFERROR(VLOOKUP(Consulta1[[#This Row],[Pozo largo]],Controles!B:H,7,FALSE),"NO")</f>
        <v>1.113</v>
      </c>
      <c r="L2886" s="5">
        <f>IFERROR(VLOOKUP(Consulta1[[#This Row],[Pozo largo]],Controles!B:J,9,FALSE),"NO")</f>
        <v>0</v>
      </c>
    </row>
    <row r="2887" spans="2:12" x14ac:dyDescent="0.35">
      <c r="B2887" s="4" t="s">
        <v>5519</v>
      </c>
      <c r="C2887" s="4" t="s">
        <v>8588</v>
      </c>
      <c r="D2887" s="4" t="s">
        <v>5</v>
      </c>
      <c r="E2887" s="4" t="s">
        <v>12</v>
      </c>
      <c r="F2887" s="4" t="s">
        <v>28</v>
      </c>
      <c r="G2887" s="4" t="s">
        <v>13</v>
      </c>
      <c r="H2887" s="4" t="s">
        <v>9</v>
      </c>
      <c r="I2887" s="5" t="str">
        <f>IFERROR(VLOOKUP(Consulta1[[#This Row],[Pozo largo]],'Lista YPF'!$B$3:$C$358,2,FALSE),"NO")</f>
        <v>NO</v>
      </c>
      <c r="J2887" s="5" t="str">
        <f>IFERROR(VLOOKUP(Consulta1[[#This Row],[Pozo]],'Lista Oportunidades'!B:C,2,FALSE),"NO")</f>
        <v>NO</v>
      </c>
      <c r="K2887" s="5">
        <f>IFERROR(VLOOKUP(Consulta1[[#This Row],[Pozo largo]],Controles!B:H,7,FALSE),"NO")</f>
        <v>0</v>
      </c>
      <c r="L2887" s="5">
        <f>IFERROR(VLOOKUP(Consulta1[[#This Row],[Pozo largo]],Controles!B:J,9,FALSE),"NO")</f>
        <v>0</v>
      </c>
    </row>
    <row r="2888" spans="2:12" x14ac:dyDescent="0.35">
      <c r="B2888" s="4" t="s">
        <v>5521</v>
      </c>
      <c r="C2888" s="4" t="s">
        <v>8589</v>
      </c>
      <c r="D2888" s="4" t="s">
        <v>5</v>
      </c>
      <c r="E2888" s="4" t="s">
        <v>12</v>
      </c>
      <c r="F2888" s="4" t="s">
        <v>28</v>
      </c>
      <c r="G2888" s="4" t="s">
        <v>13</v>
      </c>
      <c r="H2888" s="4" t="s">
        <v>9</v>
      </c>
      <c r="I2888" s="5" t="str">
        <f>IFERROR(VLOOKUP(Consulta1[[#This Row],[Pozo largo]],'Lista YPF'!$B$3:$C$358,2,FALSE),"NO")</f>
        <v>NO</v>
      </c>
      <c r="J2888" s="5" t="str">
        <f>IFERROR(VLOOKUP(Consulta1[[#This Row],[Pozo]],'Lista Oportunidades'!B:C,2,FALSE),"NO")</f>
        <v>NO</v>
      </c>
      <c r="K2888" s="5">
        <f>IFERROR(VLOOKUP(Consulta1[[#This Row],[Pozo largo]],Controles!B:H,7,FALSE),"NO")</f>
        <v>0</v>
      </c>
      <c r="L2888" s="5">
        <f>IFERROR(VLOOKUP(Consulta1[[#This Row],[Pozo largo]],Controles!B:J,9,FALSE),"NO")</f>
        <v>0</v>
      </c>
    </row>
    <row r="2889" spans="2:12" x14ac:dyDescent="0.35">
      <c r="B2889" s="4" t="s">
        <v>5523</v>
      </c>
      <c r="C2889" s="4" t="s">
        <v>8590</v>
      </c>
      <c r="D2889" s="4" t="s">
        <v>5</v>
      </c>
      <c r="E2889" s="4" t="s">
        <v>12</v>
      </c>
      <c r="F2889" s="4" t="s">
        <v>7</v>
      </c>
      <c r="G2889" s="4" t="s">
        <v>13</v>
      </c>
      <c r="H2889" s="4" t="s">
        <v>185</v>
      </c>
      <c r="I2889" s="5" t="str">
        <f>IFERROR(VLOOKUP(Consulta1[[#This Row],[Pozo largo]],'Lista YPF'!$B$3:$C$358,2,FALSE),"NO")</f>
        <v>NO</v>
      </c>
      <c r="J2889" s="5" t="str">
        <f>IFERROR(VLOOKUP(Consulta1[[#This Row],[Pozo]],'Lista Oportunidades'!B:C,2,FALSE),"NO")</f>
        <v>NO</v>
      </c>
      <c r="K2889" s="5">
        <f>IFERROR(VLOOKUP(Consulta1[[#This Row],[Pozo largo]],Controles!B:H,7,FALSE),"NO")</f>
        <v>1.1500000000000001</v>
      </c>
      <c r="L2889" s="5">
        <f>IFERROR(VLOOKUP(Consulta1[[#This Row],[Pozo largo]],Controles!B:J,9,FALSE),"NO")</f>
        <v>0</v>
      </c>
    </row>
    <row r="2890" spans="2:12" x14ac:dyDescent="0.35">
      <c r="B2890" s="4" t="s">
        <v>5525</v>
      </c>
      <c r="C2890" s="4" t="s">
        <v>8591</v>
      </c>
      <c r="D2890" s="4" t="s">
        <v>5</v>
      </c>
      <c r="E2890" s="4" t="s">
        <v>12</v>
      </c>
      <c r="F2890" s="4" t="s">
        <v>7</v>
      </c>
      <c r="G2890" s="4" t="s">
        <v>13</v>
      </c>
      <c r="H2890" s="4" t="s">
        <v>80</v>
      </c>
      <c r="I2890" s="5" t="str">
        <f>IFERROR(VLOOKUP(Consulta1[[#This Row],[Pozo largo]],'Lista YPF'!$B$3:$C$358,2,FALSE),"NO")</f>
        <v>NO</v>
      </c>
      <c r="J2890" s="5" t="str">
        <f>IFERROR(VLOOKUP(Consulta1[[#This Row],[Pozo]],'Lista Oportunidades'!B:C,2,FALSE),"NO")</f>
        <v>NO</v>
      </c>
      <c r="K2890" s="5">
        <f>IFERROR(VLOOKUP(Consulta1[[#This Row],[Pozo largo]],Controles!B:H,7,FALSE),"NO")</f>
        <v>1.159</v>
      </c>
      <c r="L2890" s="5">
        <f>IFERROR(VLOOKUP(Consulta1[[#This Row],[Pozo largo]],Controles!B:J,9,FALSE),"NO")</f>
        <v>0</v>
      </c>
    </row>
    <row r="2891" spans="2:12" x14ac:dyDescent="0.35">
      <c r="B2891" s="4" t="s">
        <v>5527</v>
      </c>
      <c r="C2891" s="4" t="s">
        <v>8592</v>
      </c>
      <c r="D2891" s="4" t="s">
        <v>5</v>
      </c>
      <c r="E2891" s="4" t="s">
        <v>57</v>
      </c>
      <c r="F2891" s="4" t="s">
        <v>7</v>
      </c>
      <c r="G2891" s="4" t="s">
        <v>11387</v>
      </c>
      <c r="H2891" s="4" t="s">
        <v>86</v>
      </c>
      <c r="I2891" s="5" t="str">
        <f>IFERROR(VLOOKUP(Consulta1[[#This Row],[Pozo largo]],'Lista YPF'!$B$3:$C$358,2,FALSE),"NO")</f>
        <v>NO</v>
      </c>
      <c r="J2891" s="5" t="str">
        <f>IFERROR(VLOOKUP(Consulta1[[#This Row],[Pozo]],'Lista Oportunidades'!B:C,2,FALSE),"NO")</f>
        <v>NO</v>
      </c>
      <c r="K2891" s="5">
        <f>IFERROR(VLOOKUP(Consulta1[[#This Row],[Pozo largo]],Controles!B:H,7,FALSE),"NO")</f>
        <v>0.93</v>
      </c>
      <c r="L2891" s="5" t="str">
        <f>IFERROR(VLOOKUP(Consulta1[[#This Row],[Pozo largo]],Controles!B:J,9,FALSE),"NO")</f>
        <v>Ultimo Año</v>
      </c>
    </row>
    <row r="2892" spans="2:12" x14ac:dyDescent="0.35">
      <c r="B2892" s="4" t="s">
        <v>5529</v>
      </c>
      <c r="C2892" s="4" t="s">
        <v>8593</v>
      </c>
      <c r="D2892" s="4" t="s">
        <v>5</v>
      </c>
      <c r="E2892" s="4" t="s">
        <v>6</v>
      </c>
      <c r="F2892" s="4" t="s">
        <v>31</v>
      </c>
      <c r="G2892" s="4" t="s">
        <v>8</v>
      </c>
      <c r="H2892" s="4" t="s">
        <v>185</v>
      </c>
      <c r="I2892" s="5" t="str">
        <f>IFERROR(VLOOKUP(Consulta1[[#This Row],[Pozo largo]],'Lista YPF'!$B$3:$C$358,2,FALSE),"NO")</f>
        <v>NO</v>
      </c>
      <c r="J2892" s="5" t="str">
        <f>IFERROR(VLOOKUP(Consulta1[[#This Row],[Pozo]],'Lista Oportunidades'!B:C,2,FALSE),"NO")</f>
        <v>NO</v>
      </c>
      <c r="K2892" s="5">
        <f>IFERROR(VLOOKUP(Consulta1[[#This Row],[Pozo largo]],Controles!B:H,7,FALSE),"NO")</f>
        <v>0</v>
      </c>
      <c r="L2892" s="5">
        <f>IFERROR(VLOOKUP(Consulta1[[#This Row],[Pozo largo]],Controles!B:J,9,FALSE),"NO")</f>
        <v>0</v>
      </c>
    </row>
    <row r="2893" spans="2:12" x14ac:dyDescent="0.35">
      <c r="B2893" s="4" t="s">
        <v>5531</v>
      </c>
      <c r="C2893" s="4" t="s">
        <v>8594</v>
      </c>
      <c r="D2893" s="4" t="s">
        <v>5</v>
      </c>
      <c r="E2893" s="4" t="s">
        <v>12</v>
      </c>
      <c r="F2893" s="4" t="s">
        <v>7</v>
      </c>
      <c r="G2893" s="4" t="s">
        <v>13</v>
      </c>
      <c r="H2893" s="4" t="s">
        <v>9</v>
      </c>
      <c r="I2893" s="5" t="str">
        <f>IFERROR(VLOOKUP(Consulta1[[#This Row],[Pozo largo]],'Lista YPF'!$B$3:$C$358,2,FALSE),"NO")</f>
        <v>NO</v>
      </c>
      <c r="J2893" s="5" t="str">
        <f>IFERROR(VLOOKUP(Consulta1[[#This Row],[Pozo]],'Lista Oportunidades'!B:C,2,FALSE),"NO")</f>
        <v>NO</v>
      </c>
      <c r="K2893" s="5">
        <f>IFERROR(VLOOKUP(Consulta1[[#This Row],[Pozo largo]],Controles!B:H,7,FALSE),"NO")</f>
        <v>0.88</v>
      </c>
      <c r="L2893" s="5">
        <f>IFERROR(VLOOKUP(Consulta1[[#This Row],[Pozo largo]],Controles!B:J,9,FALSE),"NO")</f>
        <v>0</v>
      </c>
    </row>
    <row r="2894" spans="2:12" x14ac:dyDescent="0.35">
      <c r="B2894" s="4" t="s">
        <v>5533</v>
      </c>
      <c r="C2894" s="4" t="s">
        <v>8595</v>
      </c>
      <c r="D2894" s="4" t="s">
        <v>5</v>
      </c>
      <c r="E2894" s="4" t="s">
        <v>24</v>
      </c>
      <c r="F2894" s="4" t="s">
        <v>7</v>
      </c>
      <c r="G2894" s="4" t="s">
        <v>8</v>
      </c>
      <c r="H2894" s="4" t="s">
        <v>185</v>
      </c>
      <c r="I2894" s="5" t="str">
        <f>IFERROR(VLOOKUP(Consulta1[[#This Row],[Pozo largo]],'Lista YPF'!$B$3:$C$358,2,FALSE),"NO")</f>
        <v>NO</v>
      </c>
      <c r="J2894" s="5" t="str">
        <f>IFERROR(VLOOKUP(Consulta1[[#This Row],[Pozo]],'Lista Oportunidades'!B:C,2,FALSE),"NO")</f>
        <v>NO</v>
      </c>
      <c r="K2894" s="5">
        <f>IFERROR(VLOOKUP(Consulta1[[#This Row],[Pozo largo]],Controles!B:H,7,FALSE),"NO")</f>
        <v>0.126</v>
      </c>
      <c r="L2894" s="5">
        <f>IFERROR(VLOOKUP(Consulta1[[#This Row],[Pozo largo]],Controles!B:J,9,FALSE),"NO")</f>
        <v>0</v>
      </c>
    </row>
    <row r="2895" spans="2:12" x14ac:dyDescent="0.35">
      <c r="B2895" s="4" t="s">
        <v>5535</v>
      </c>
      <c r="C2895" s="4" t="s">
        <v>8596</v>
      </c>
      <c r="D2895" s="4" t="s">
        <v>5</v>
      </c>
      <c r="E2895" s="4" t="s">
        <v>6</v>
      </c>
      <c r="F2895" s="4" t="s">
        <v>7</v>
      </c>
      <c r="G2895" s="4" t="s">
        <v>5718</v>
      </c>
      <c r="H2895" s="4" t="s">
        <v>185</v>
      </c>
      <c r="I2895" s="5" t="str">
        <f>IFERROR(VLOOKUP(Consulta1[[#This Row],[Pozo largo]],'Lista YPF'!$B$3:$C$358,2,FALSE),"NO")</f>
        <v>En lista de Abandono</v>
      </c>
      <c r="J2895" s="5" t="str">
        <f>IFERROR(VLOOKUP(Consulta1[[#This Row],[Pozo]],'Lista Oportunidades'!B:C,2,FALSE),"NO")</f>
        <v>NO</v>
      </c>
      <c r="K2895" s="5">
        <f>IFERROR(VLOOKUP(Consulta1[[#This Row],[Pozo largo]],Controles!B:H,7,FALSE),"NO")</f>
        <v>0.70500000000000007</v>
      </c>
      <c r="L2895" s="5" t="str">
        <f>IFERROR(VLOOKUP(Consulta1[[#This Row],[Pozo largo]],Controles!B:J,9,FALSE),"NO")</f>
        <v>Ultimo Año</v>
      </c>
    </row>
    <row r="2896" spans="2:12" x14ac:dyDescent="0.35">
      <c r="B2896" s="4" t="s">
        <v>5537</v>
      </c>
      <c r="C2896" s="4" t="s">
        <v>8597</v>
      </c>
      <c r="D2896" s="4" t="s">
        <v>5</v>
      </c>
      <c r="E2896" s="4" t="s">
        <v>12</v>
      </c>
      <c r="F2896" s="4" t="s">
        <v>7</v>
      </c>
      <c r="G2896" s="4" t="s">
        <v>13</v>
      </c>
      <c r="H2896" s="4" t="s">
        <v>185</v>
      </c>
      <c r="I2896" s="5" t="str">
        <f>IFERROR(VLOOKUP(Consulta1[[#This Row],[Pozo largo]],'Lista YPF'!$B$3:$C$358,2,FALSE),"NO")</f>
        <v>NO</v>
      </c>
      <c r="J2896" s="5" t="str">
        <f>IFERROR(VLOOKUP(Consulta1[[#This Row],[Pozo]],'Lista Oportunidades'!B:C,2,FALSE),"NO")</f>
        <v>NO</v>
      </c>
      <c r="K2896" s="5">
        <f>IFERROR(VLOOKUP(Consulta1[[#This Row],[Pozo largo]],Controles!B:H,7,FALSE),"NO")</f>
        <v>0.28000000000000003</v>
      </c>
      <c r="L2896" s="5">
        <f>IFERROR(VLOOKUP(Consulta1[[#This Row],[Pozo largo]],Controles!B:J,9,FALSE),"NO")</f>
        <v>0</v>
      </c>
    </row>
    <row r="2897" spans="2:12" x14ac:dyDescent="0.35">
      <c r="B2897" s="4" t="s">
        <v>5539</v>
      </c>
      <c r="C2897" s="4" t="s">
        <v>8598</v>
      </c>
      <c r="D2897" s="4" t="s">
        <v>5</v>
      </c>
      <c r="E2897" s="4" t="s">
        <v>12</v>
      </c>
      <c r="F2897" s="4" t="s">
        <v>7</v>
      </c>
      <c r="G2897" s="4" t="s">
        <v>13</v>
      </c>
      <c r="H2897" s="4" t="s">
        <v>86</v>
      </c>
      <c r="I2897" s="5" t="str">
        <f>IFERROR(VLOOKUP(Consulta1[[#This Row],[Pozo largo]],'Lista YPF'!$B$3:$C$358,2,FALSE),"NO")</f>
        <v>NO</v>
      </c>
      <c r="J2897" s="5" t="str">
        <f>IFERROR(VLOOKUP(Consulta1[[#This Row],[Pozo]],'Lista Oportunidades'!B:C,2,FALSE),"NO")</f>
        <v>NO</v>
      </c>
      <c r="K2897" s="5">
        <f>IFERROR(VLOOKUP(Consulta1[[#This Row],[Pozo largo]],Controles!B:H,7,FALSE),"NO")</f>
        <v>1.3860000000000001</v>
      </c>
      <c r="L2897" s="5">
        <f>IFERROR(VLOOKUP(Consulta1[[#This Row],[Pozo largo]],Controles!B:J,9,FALSE),"NO")</f>
        <v>0</v>
      </c>
    </row>
    <row r="2898" spans="2:12" x14ac:dyDescent="0.35">
      <c r="B2898" s="4" t="s">
        <v>5541</v>
      </c>
      <c r="C2898" s="4" t="s">
        <v>8599</v>
      </c>
      <c r="D2898" s="4" t="s">
        <v>5</v>
      </c>
      <c r="E2898" s="4" t="s">
        <v>12</v>
      </c>
      <c r="F2898" s="4" t="s">
        <v>7</v>
      </c>
      <c r="G2898" s="4" t="s">
        <v>13</v>
      </c>
      <c r="H2898" s="4" t="s">
        <v>33</v>
      </c>
      <c r="I2898" s="5" t="str">
        <f>IFERROR(VLOOKUP(Consulta1[[#This Row],[Pozo largo]],'Lista YPF'!$B$3:$C$358,2,FALSE),"NO")</f>
        <v>NO</v>
      </c>
      <c r="J2898" s="5" t="str">
        <f>IFERROR(VLOOKUP(Consulta1[[#This Row],[Pozo]],'Lista Oportunidades'!B:C,2,FALSE),"NO")</f>
        <v>NO</v>
      </c>
      <c r="K2898" s="5">
        <f>IFERROR(VLOOKUP(Consulta1[[#This Row],[Pozo largo]],Controles!B:H,7,FALSE),"NO")</f>
        <v>0.108</v>
      </c>
      <c r="L2898" s="5">
        <f>IFERROR(VLOOKUP(Consulta1[[#This Row],[Pozo largo]],Controles!B:J,9,FALSE),"NO")</f>
        <v>0</v>
      </c>
    </row>
    <row r="2899" spans="2:12" x14ac:dyDescent="0.35">
      <c r="B2899" s="4" t="s">
        <v>5543</v>
      </c>
      <c r="C2899" s="4" t="s">
        <v>8600</v>
      </c>
      <c r="D2899" s="4" t="s">
        <v>5</v>
      </c>
      <c r="E2899" s="4" t="s">
        <v>12</v>
      </c>
      <c r="F2899" s="4" t="s">
        <v>7</v>
      </c>
      <c r="G2899" s="4" t="s">
        <v>13</v>
      </c>
      <c r="H2899" s="4" t="s">
        <v>21</v>
      </c>
      <c r="I2899" s="5" t="str">
        <f>IFERROR(VLOOKUP(Consulta1[[#This Row],[Pozo largo]],'Lista YPF'!$B$3:$C$358,2,FALSE),"NO")</f>
        <v>NO</v>
      </c>
      <c r="J2899" s="5" t="str">
        <f>IFERROR(VLOOKUP(Consulta1[[#This Row],[Pozo]],'Lista Oportunidades'!B:C,2,FALSE),"NO")</f>
        <v>NO</v>
      </c>
      <c r="K2899" s="5">
        <f>IFERROR(VLOOKUP(Consulta1[[#This Row],[Pozo largo]],Controles!B:H,7,FALSE),"NO")</f>
        <v>1.2</v>
      </c>
      <c r="L2899" s="5">
        <f>IFERROR(VLOOKUP(Consulta1[[#This Row],[Pozo largo]],Controles!B:J,9,FALSE),"NO")</f>
        <v>0</v>
      </c>
    </row>
    <row r="2900" spans="2:12" x14ac:dyDescent="0.35">
      <c r="B2900" s="4" t="s">
        <v>5545</v>
      </c>
      <c r="C2900" s="4" t="s">
        <v>8601</v>
      </c>
      <c r="D2900" s="4" t="s">
        <v>5</v>
      </c>
      <c r="E2900" s="4" t="s">
        <v>12</v>
      </c>
      <c r="F2900" s="4" t="s">
        <v>7</v>
      </c>
      <c r="G2900" s="4" t="s">
        <v>13</v>
      </c>
      <c r="H2900" s="4" t="s">
        <v>185</v>
      </c>
      <c r="I2900" s="5" t="str">
        <f>IFERROR(VLOOKUP(Consulta1[[#This Row],[Pozo largo]],'Lista YPF'!$B$3:$C$358,2,FALSE),"NO")</f>
        <v>NO</v>
      </c>
      <c r="J2900" s="5" t="str">
        <f>IFERROR(VLOOKUP(Consulta1[[#This Row],[Pozo]],'Lista Oportunidades'!B:C,2,FALSE),"NO")</f>
        <v>NO</v>
      </c>
      <c r="K2900" s="5">
        <f>IFERROR(VLOOKUP(Consulta1[[#This Row],[Pozo largo]],Controles!B:H,7,FALSE),"NO")</f>
        <v>5.5200000000000005</v>
      </c>
      <c r="L2900" s="5">
        <f>IFERROR(VLOOKUP(Consulta1[[#This Row],[Pozo largo]],Controles!B:J,9,FALSE),"NO")</f>
        <v>0</v>
      </c>
    </row>
    <row r="2901" spans="2:12" x14ac:dyDescent="0.35">
      <c r="B2901" s="4" t="s">
        <v>5547</v>
      </c>
      <c r="C2901" s="4" t="s">
        <v>8602</v>
      </c>
      <c r="D2901" s="4" t="s">
        <v>5</v>
      </c>
      <c r="E2901" s="4" t="s">
        <v>12</v>
      </c>
      <c r="F2901" s="4" t="s">
        <v>7</v>
      </c>
      <c r="G2901" s="4" t="s">
        <v>13</v>
      </c>
      <c r="H2901" s="4" t="s">
        <v>149</v>
      </c>
      <c r="I2901" s="5" t="str">
        <f>IFERROR(VLOOKUP(Consulta1[[#This Row],[Pozo largo]],'Lista YPF'!$B$3:$C$358,2,FALSE),"NO")</f>
        <v>NO</v>
      </c>
      <c r="J2901" s="5" t="str">
        <f>IFERROR(VLOOKUP(Consulta1[[#This Row],[Pozo]],'Lista Oportunidades'!B:C,2,FALSE),"NO")</f>
        <v>NO</v>
      </c>
      <c r="K2901" s="5">
        <f>IFERROR(VLOOKUP(Consulta1[[#This Row],[Pozo largo]],Controles!B:H,7,FALSE),"NO")</f>
        <v>0.52200000000000002</v>
      </c>
      <c r="L2901" s="5">
        <f>IFERROR(VLOOKUP(Consulta1[[#This Row],[Pozo largo]],Controles!B:J,9,FALSE),"NO")</f>
        <v>0</v>
      </c>
    </row>
    <row r="2902" spans="2:12" x14ac:dyDescent="0.35">
      <c r="B2902" s="4" t="s">
        <v>5549</v>
      </c>
      <c r="C2902" s="4" t="s">
        <v>8603</v>
      </c>
      <c r="D2902" s="4" t="s">
        <v>5</v>
      </c>
      <c r="E2902" s="4" t="s">
        <v>12</v>
      </c>
      <c r="F2902" s="4" t="s">
        <v>7</v>
      </c>
      <c r="G2902" s="4" t="s">
        <v>13</v>
      </c>
      <c r="H2902" s="4" t="s">
        <v>146</v>
      </c>
      <c r="I2902" s="5" t="str">
        <f>IFERROR(VLOOKUP(Consulta1[[#This Row],[Pozo largo]],'Lista YPF'!$B$3:$C$358,2,FALSE),"NO")</f>
        <v>NO</v>
      </c>
      <c r="J2902" s="5" t="str">
        <f>IFERROR(VLOOKUP(Consulta1[[#This Row],[Pozo]],'Lista Oportunidades'!B:C,2,FALSE),"NO")</f>
        <v>NO</v>
      </c>
      <c r="K2902" s="5">
        <f>IFERROR(VLOOKUP(Consulta1[[#This Row],[Pozo largo]],Controles!B:H,7,FALSE),"NO")</f>
        <v>3.42</v>
      </c>
      <c r="L2902" s="5">
        <f>IFERROR(VLOOKUP(Consulta1[[#This Row],[Pozo largo]],Controles!B:J,9,FALSE),"NO")</f>
        <v>0</v>
      </c>
    </row>
    <row r="2903" spans="2:12" x14ac:dyDescent="0.35">
      <c r="B2903" s="4" t="s">
        <v>5551</v>
      </c>
      <c r="C2903" s="4" t="s">
        <v>8604</v>
      </c>
      <c r="D2903" s="4" t="s">
        <v>5</v>
      </c>
      <c r="E2903" s="4" t="s">
        <v>12</v>
      </c>
      <c r="F2903" s="4" t="s">
        <v>7</v>
      </c>
      <c r="G2903" s="4" t="s">
        <v>13</v>
      </c>
      <c r="H2903" s="4" t="s">
        <v>36</v>
      </c>
      <c r="I2903" s="5" t="str">
        <f>IFERROR(VLOOKUP(Consulta1[[#This Row],[Pozo largo]],'Lista YPF'!$B$3:$C$358,2,FALSE),"NO")</f>
        <v>NO</v>
      </c>
      <c r="J2903" s="5" t="str">
        <f>IFERROR(VLOOKUP(Consulta1[[#This Row],[Pozo]],'Lista Oportunidades'!B:C,2,FALSE),"NO")</f>
        <v>NO</v>
      </c>
      <c r="K2903" s="5">
        <f>IFERROR(VLOOKUP(Consulta1[[#This Row],[Pozo largo]],Controles!B:H,7,FALSE),"NO")</f>
        <v>0.57200000000000006</v>
      </c>
      <c r="L2903" s="5">
        <f>IFERROR(VLOOKUP(Consulta1[[#This Row],[Pozo largo]],Controles!B:J,9,FALSE),"NO")</f>
        <v>0</v>
      </c>
    </row>
    <row r="2904" spans="2:12" x14ac:dyDescent="0.35">
      <c r="B2904" s="4" t="s">
        <v>5553</v>
      </c>
      <c r="C2904" s="4" t="s">
        <v>8605</v>
      </c>
      <c r="D2904" s="4" t="s">
        <v>5</v>
      </c>
      <c r="E2904" s="4" t="s">
        <v>57</v>
      </c>
      <c r="F2904" s="4" t="s">
        <v>7</v>
      </c>
      <c r="G2904" s="4" t="s">
        <v>5718</v>
      </c>
      <c r="H2904" s="4" t="s">
        <v>149</v>
      </c>
      <c r="I2904" s="5" t="str">
        <f>IFERROR(VLOOKUP(Consulta1[[#This Row],[Pozo largo]],'Lista YPF'!$B$3:$C$358,2,FALSE),"NO")</f>
        <v>En lista de Abandono</v>
      </c>
      <c r="J2904" s="5" t="str">
        <f>IFERROR(VLOOKUP(Consulta1[[#This Row],[Pozo]],'Lista Oportunidades'!B:C,2,FALSE),"NO")</f>
        <v>NO</v>
      </c>
      <c r="K2904" s="5">
        <f>IFERROR(VLOOKUP(Consulta1[[#This Row],[Pozo largo]],Controles!B:H,7,FALSE),"NO")</f>
        <v>2.6</v>
      </c>
      <c r="L2904" s="5">
        <f>IFERROR(VLOOKUP(Consulta1[[#This Row],[Pozo largo]],Controles!B:J,9,FALSE),"NO")</f>
        <v>0</v>
      </c>
    </row>
    <row r="2905" spans="2:12" x14ac:dyDescent="0.35">
      <c r="B2905" s="4" t="s">
        <v>5555</v>
      </c>
      <c r="C2905" s="4" t="s">
        <v>8606</v>
      </c>
      <c r="D2905" s="4" t="s">
        <v>5</v>
      </c>
      <c r="E2905" s="4" t="s">
        <v>12</v>
      </c>
      <c r="F2905" s="4" t="s">
        <v>7</v>
      </c>
      <c r="G2905" s="4" t="s">
        <v>13</v>
      </c>
      <c r="H2905" s="4" t="s">
        <v>9</v>
      </c>
      <c r="I2905" s="5" t="str">
        <f>IFERROR(VLOOKUP(Consulta1[[#This Row],[Pozo largo]],'Lista YPF'!$B$3:$C$358,2,FALSE),"NO")</f>
        <v>NO</v>
      </c>
      <c r="J2905" s="5" t="str">
        <f>IFERROR(VLOOKUP(Consulta1[[#This Row],[Pozo]],'Lista Oportunidades'!B:C,2,FALSE),"NO")</f>
        <v>NO</v>
      </c>
      <c r="K2905" s="5">
        <f>IFERROR(VLOOKUP(Consulta1[[#This Row],[Pozo largo]],Controles!B:H,7,FALSE),"NO")</f>
        <v>0.84</v>
      </c>
      <c r="L2905" s="5">
        <f>IFERROR(VLOOKUP(Consulta1[[#This Row],[Pozo largo]],Controles!B:J,9,FALSE),"NO")</f>
        <v>0</v>
      </c>
    </row>
    <row r="2906" spans="2:12" x14ac:dyDescent="0.35">
      <c r="B2906" s="4" t="s">
        <v>5557</v>
      </c>
      <c r="C2906" s="4" t="s">
        <v>8607</v>
      </c>
      <c r="D2906" s="4" t="s">
        <v>5</v>
      </c>
      <c r="E2906" s="4" t="s">
        <v>12</v>
      </c>
      <c r="F2906" s="4" t="s">
        <v>7</v>
      </c>
      <c r="G2906" s="4" t="s">
        <v>13</v>
      </c>
      <c r="H2906" s="4" t="s">
        <v>80</v>
      </c>
      <c r="I2906" s="5" t="str">
        <f>IFERROR(VLOOKUP(Consulta1[[#This Row],[Pozo largo]],'Lista YPF'!$B$3:$C$358,2,FALSE),"NO")</f>
        <v>NO</v>
      </c>
      <c r="J2906" s="5" t="str">
        <f>IFERROR(VLOOKUP(Consulta1[[#This Row],[Pozo]],'Lista Oportunidades'!B:C,2,FALSE),"NO")</f>
        <v>NO</v>
      </c>
      <c r="K2906" s="5">
        <f>IFERROR(VLOOKUP(Consulta1[[#This Row],[Pozo largo]],Controles!B:H,7,FALSE),"NO")</f>
        <v>1.3050000000000002</v>
      </c>
      <c r="L2906" s="5">
        <f>IFERROR(VLOOKUP(Consulta1[[#This Row],[Pozo largo]],Controles!B:J,9,FALSE),"NO")</f>
        <v>0</v>
      </c>
    </row>
    <row r="2907" spans="2:12" x14ac:dyDescent="0.35">
      <c r="B2907" s="4" t="s">
        <v>5559</v>
      </c>
      <c r="C2907" s="4" t="s">
        <v>8608</v>
      </c>
      <c r="D2907" s="4" t="s">
        <v>5</v>
      </c>
      <c r="E2907" s="4" t="s">
        <v>12</v>
      </c>
      <c r="F2907" s="4" t="s">
        <v>83</v>
      </c>
      <c r="G2907" s="4" t="s">
        <v>13</v>
      </c>
      <c r="H2907" s="4" t="s">
        <v>80</v>
      </c>
      <c r="I2907" s="5" t="str">
        <f>IFERROR(VLOOKUP(Consulta1[[#This Row],[Pozo largo]],'Lista YPF'!$B$3:$C$358,2,FALSE),"NO")</f>
        <v>NO</v>
      </c>
      <c r="J2907" s="5" t="str">
        <f>IFERROR(VLOOKUP(Consulta1[[#This Row],[Pozo]],'Lista Oportunidades'!B:C,2,FALSE),"NO")</f>
        <v>NO</v>
      </c>
      <c r="K2907" s="5">
        <f>IFERROR(VLOOKUP(Consulta1[[#This Row],[Pozo largo]],Controles!B:H,7,FALSE),"NO")</f>
        <v>0.18</v>
      </c>
      <c r="L2907" s="5">
        <f>IFERROR(VLOOKUP(Consulta1[[#This Row],[Pozo largo]],Controles!B:J,9,FALSE),"NO")</f>
        <v>0</v>
      </c>
    </row>
    <row r="2908" spans="2:12" x14ac:dyDescent="0.35">
      <c r="B2908" s="4" t="s">
        <v>5561</v>
      </c>
      <c r="C2908" s="4" t="s">
        <v>8609</v>
      </c>
      <c r="D2908" s="4" t="s">
        <v>5</v>
      </c>
      <c r="E2908" s="4" t="s">
        <v>12</v>
      </c>
      <c r="F2908" s="4" t="s">
        <v>7</v>
      </c>
      <c r="G2908" s="4" t="s">
        <v>13</v>
      </c>
      <c r="H2908" s="4" t="s">
        <v>80</v>
      </c>
      <c r="I2908" s="5" t="str">
        <f>IFERROR(VLOOKUP(Consulta1[[#This Row],[Pozo largo]],'Lista YPF'!$B$3:$C$358,2,FALSE),"NO")</f>
        <v>NO</v>
      </c>
      <c r="J2908" s="5" t="str">
        <f>IFERROR(VLOOKUP(Consulta1[[#This Row],[Pozo]],'Lista Oportunidades'!B:C,2,FALSE),"NO")</f>
        <v>NO</v>
      </c>
      <c r="K2908" s="5">
        <f>IFERROR(VLOOKUP(Consulta1[[#This Row],[Pozo largo]],Controles!B:H,7,FALSE),"NO")</f>
        <v>0.93700000000000006</v>
      </c>
      <c r="L2908" s="5">
        <f>IFERROR(VLOOKUP(Consulta1[[#This Row],[Pozo largo]],Controles!B:J,9,FALSE),"NO")</f>
        <v>0</v>
      </c>
    </row>
    <row r="2909" spans="2:12" x14ac:dyDescent="0.35">
      <c r="B2909" s="4" t="s">
        <v>5563</v>
      </c>
      <c r="C2909" s="4" t="s">
        <v>8610</v>
      </c>
      <c r="D2909" s="4" t="s">
        <v>5</v>
      </c>
      <c r="E2909" s="4" t="s">
        <v>24</v>
      </c>
      <c r="F2909" s="4" t="s">
        <v>25</v>
      </c>
      <c r="G2909" s="4" t="s">
        <v>8</v>
      </c>
      <c r="H2909" s="4" t="s">
        <v>91</v>
      </c>
      <c r="I2909" s="5" t="str">
        <f>IFERROR(VLOOKUP(Consulta1[[#This Row],[Pozo largo]],'Lista YPF'!$B$3:$C$358,2,FALSE),"NO")</f>
        <v>NO</v>
      </c>
      <c r="J2909" s="5" t="str">
        <f>IFERROR(VLOOKUP(Consulta1[[#This Row],[Pozo]],'Lista Oportunidades'!B:C,2,FALSE),"NO")</f>
        <v>NO</v>
      </c>
      <c r="K2909" s="5">
        <f>IFERROR(VLOOKUP(Consulta1[[#This Row],[Pozo largo]],Controles!B:H,7,FALSE),"NO")</f>
        <v>0.54</v>
      </c>
      <c r="L2909" s="5">
        <f>IFERROR(VLOOKUP(Consulta1[[#This Row],[Pozo largo]],Controles!B:J,9,FALSE),"NO")</f>
        <v>0</v>
      </c>
    </row>
    <row r="2910" spans="2:12" x14ac:dyDescent="0.35">
      <c r="B2910" s="4" t="s">
        <v>5565</v>
      </c>
      <c r="C2910" s="4" t="s">
        <v>8611</v>
      </c>
      <c r="D2910" s="4" t="s">
        <v>5</v>
      </c>
      <c r="E2910" s="4" t="s">
        <v>6</v>
      </c>
      <c r="F2910" s="4" t="s">
        <v>28</v>
      </c>
      <c r="G2910" s="4" t="s">
        <v>5718</v>
      </c>
      <c r="H2910" s="4" t="s">
        <v>9</v>
      </c>
      <c r="I2910" s="5" t="str">
        <f>IFERROR(VLOOKUP(Consulta1[[#This Row],[Pozo largo]],'Lista YPF'!$B$3:$C$358,2,FALSE),"NO")</f>
        <v>En lista de Abandono</v>
      </c>
      <c r="J2910" s="5" t="str">
        <f>IFERROR(VLOOKUP(Consulta1[[#This Row],[Pozo]],'Lista Oportunidades'!B:C,2,FALSE),"NO")</f>
        <v>NO</v>
      </c>
      <c r="K2910" s="5">
        <f>IFERROR(VLOOKUP(Consulta1[[#This Row],[Pozo largo]],Controles!B:H,7,FALSE),"NO")</f>
        <v>0</v>
      </c>
      <c r="L2910" s="5" t="str">
        <f>IFERROR(VLOOKUP(Consulta1[[#This Row],[Pozo largo]],Controles!B:J,9,FALSE),"NO")</f>
        <v>Ultimo Año</v>
      </c>
    </row>
    <row r="2911" spans="2:12" x14ac:dyDescent="0.35">
      <c r="B2911" s="4" t="s">
        <v>5567</v>
      </c>
      <c r="C2911" s="4" t="s">
        <v>8612</v>
      </c>
      <c r="D2911" s="4" t="s">
        <v>5</v>
      </c>
      <c r="E2911" s="4" t="s">
        <v>12</v>
      </c>
      <c r="F2911" s="4" t="s">
        <v>7</v>
      </c>
      <c r="G2911" s="4" t="s">
        <v>13</v>
      </c>
      <c r="H2911" s="4" t="s">
        <v>86</v>
      </c>
      <c r="I2911" s="5" t="str">
        <f>IFERROR(VLOOKUP(Consulta1[[#This Row],[Pozo largo]],'Lista YPF'!$B$3:$C$358,2,FALSE),"NO")</f>
        <v>NO</v>
      </c>
      <c r="J2911" s="5" t="str">
        <f>IFERROR(VLOOKUP(Consulta1[[#This Row],[Pozo]],'Lista Oportunidades'!B:C,2,FALSE),"NO")</f>
        <v>NO</v>
      </c>
      <c r="K2911" s="5">
        <f>IFERROR(VLOOKUP(Consulta1[[#This Row],[Pozo largo]],Controles!B:H,7,FALSE),"NO")</f>
        <v>1.8660000000000001</v>
      </c>
      <c r="L2911" s="5">
        <f>IFERROR(VLOOKUP(Consulta1[[#This Row],[Pozo largo]],Controles!B:J,9,FALSE),"NO")</f>
        <v>0</v>
      </c>
    </row>
    <row r="2912" spans="2:12" x14ac:dyDescent="0.35">
      <c r="B2912" s="4" t="s">
        <v>5569</v>
      </c>
      <c r="C2912" s="4" t="s">
        <v>8613</v>
      </c>
      <c r="D2912" s="4" t="s">
        <v>5</v>
      </c>
      <c r="E2912" s="4" t="s">
        <v>12</v>
      </c>
      <c r="F2912" s="4" t="s">
        <v>7</v>
      </c>
      <c r="G2912" s="4" t="s">
        <v>13</v>
      </c>
      <c r="H2912" s="4" t="s">
        <v>86</v>
      </c>
      <c r="I2912" s="5" t="str">
        <f>IFERROR(VLOOKUP(Consulta1[[#This Row],[Pozo largo]],'Lista YPF'!$B$3:$C$358,2,FALSE),"NO")</f>
        <v>NO</v>
      </c>
      <c r="J2912" s="5" t="str">
        <f>IFERROR(VLOOKUP(Consulta1[[#This Row],[Pozo]],'Lista Oportunidades'!B:C,2,FALSE),"NO")</f>
        <v>NO</v>
      </c>
      <c r="K2912" s="5">
        <f>IFERROR(VLOOKUP(Consulta1[[#This Row],[Pozo largo]],Controles!B:H,7,FALSE),"NO")</f>
        <v>3.2560000000000002</v>
      </c>
      <c r="L2912" s="5">
        <f>IFERROR(VLOOKUP(Consulta1[[#This Row],[Pozo largo]],Controles!B:J,9,FALSE),"NO")</f>
        <v>0</v>
      </c>
    </row>
    <row r="2913" spans="2:12" x14ac:dyDescent="0.35">
      <c r="B2913" s="4" t="s">
        <v>5571</v>
      </c>
      <c r="C2913" s="4" t="s">
        <v>8614</v>
      </c>
      <c r="D2913" s="4" t="s">
        <v>5</v>
      </c>
      <c r="E2913" s="4" t="s">
        <v>57</v>
      </c>
      <c r="F2913" s="4" t="s">
        <v>7</v>
      </c>
      <c r="G2913" s="4" t="s">
        <v>5718</v>
      </c>
      <c r="H2913" s="4" t="s">
        <v>86</v>
      </c>
      <c r="I2913" s="5" t="str">
        <f>IFERROR(VLOOKUP(Consulta1[[#This Row],[Pozo largo]],'Lista YPF'!$B$3:$C$358,2,FALSE),"NO")</f>
        <v>En lista de Abandono</v>
      </c>
      <c r="J2913" s="5" t="str">
        <f>IFERROR(VLOOKUP(Consulta1[[#This Row],[Pozo]],'Lista Oportunidades'!B:C,2,FALSE),"NO")</f>
        <v>NO</v>
      </c>
      <c r="K2913" s="5">
        <f>IFERROR(VLOOKUP(Consulta1[[#This Row],[Pozo largo]],Controles!B:H,7,FALSE),"NO")</f>
        <v>0.68</v>
      </c>
      <c r="L2913" s="5">
        <f>IFERROR(VLOOKUP(Consulta1[[#This Row],[Pozo largo]],Controles!B:J,9,FALSE),"NO")</f>
        <v>0</v>
      </c>
    </row>
    <row r="2914" spans="2:12" x14ac:dyDescent="0.35">
      <c r="B2914" s="4" t="s">
        <v>5573</v>
      </c>
      <c r="C2914" s="4" t="s">
        <v>8615</v>
      </c>
      <c r="D2914" s="4" t="s">
        <v>5</v>
      </c>
      <c r="E2914" s="4" t="s">
        <v>12</v>
      </c>
      <c r="F2914" s="4" t="s">
        <v>7</v>
      </c>
      <c r="G2914" s="4" t="s">
        <v>13</v>
      </c>
      <c r="H2914" s="4" t="s">
        <v>86</v>
      </c>
      <c r="I2914" s="5" t="str">
        <f>IFERROR(VLOOKUP(Consulta1[[#This Row],[Pozo largo]],'Lista YPF'!$B$3:$C$358,2,FALSE),"NO")</f>
        <v>NO</v>
      </c>
      <c r="J2914" s="5" t="str">
        <f>IFERROR(VLOOKUP(Consulta1[[#This Row],[Pozo]],'Lista Oportunidades'!B:C,2,FALSE),"NO")</f>
        <v>NO</v>
      </c>
      <c r="K2914" s="5">
        <f>IFERROR(VLOOKUP(Consulta1[[#This Row],[Pozo largo]],Controles!B:H,7,FALSE),"NO")</f>
        <v>1.04</v>
      </c>
      <c r="L2914" s="5">
        <f>IFERROR(VLOOKUP(Consulta1[[#This Row],[Pozo largo]],Controles!B:J,9,FALSE),"NO")</f>
        <v>0</v>
      </c>
    </row>
    <row r="2915" spans="2:12" x14ac:dyDescent="0.35">
      <c r="B2915" s="4" t="s">
        <v>5575</v>
      </c>
      <c r="C2915" s="4" t="s">
        <v>8616</v>
      </c>
      <c r="D2915" s="4" t="s">
        <v>5</v>
      </c>
      <c r="E2915" s="4" t="s">
        <v>24</v>
      </c>
      <c r="F2915" s="4" t="s">
        <v>7</v>
      </c>
      <c r="G2915" s="4" t="s">
        <v>8</v>
      </c>
      <c r="H2915" s="4" t="s">
        <v>80</v>
      </c>
      <c r="I2915" s="5" t="str">
        <f>IFERROR(VLOOKUP(Consulta1[[#This Row],[Pozo largo]],'Lista YPF'!$B$3:$C$358,2,FALSE),"NO")</f>
        <v>NO</v>
      </c>
      <c r="J2915" s="5" t="str">
        <f>IFERROR(VLOOKUP(Consulta1[[#This Row],[Pozo]],'Lista Oportunidades'!B:C,2,FALSE),"NO")</f>
        <v>NO</v>
      </c>
      <c r="K2915" s="5">
        <f>IFERROR(VLOOKUP(Consulta1[[#This Row],[Pozo largo]],Controles!B:H,7,FALSE),"NO")</f>
        <v>0.54500000000000004</v>
      </c>
      <c r="L2915" s="5">
        <f>IFERROR(VLOOKUP(Consulta1[[#This Row],[Pozo largo]],Controles!B:J,9,FALSE),"NO")</f>
        <v>0</v>
      </c>
    </row>
    <row r="2916" spans="2:12" x14ac:dyDescent="0.35">
      <c r="B2916" s="4" t="s">
        <v>5577</v>
      </c>
      <c r="C2916" s="4" t="s">
        <v>8617</v>
      </c>
      <c r="D2916" s="4" t="s">
        <v>5</v>
      </c>
      <c r="E2916" s="4" t="s">
        <v>12</v>
      </c>
      <c r="F2916" s="4" t="s">
        <v>7</v>
      </c>
      <c r="G2916" s="4" t="s">
        <v>13</v>
      </c>
      <c r="H2916" s="4" t="s">
        <v>86</v>
      </c>
      <c r="I2916" s="5" t="str">
        <f>IFERROR(VLOOKUP(Consulta1[[#This Row],[Pozo largo]],'Lista YPF'!$B$3:$C$358,2,FALSE),"NO")</f>
        <v>NO</v>
      </c>
      <c r="J2916" s="5" t="str">
        <f>IFERROR(VLOOKUP(Consulta1[[#This Row],[Pozo]],'Lista Oportunidades'!B:C,2,FALSE),"NO")</f>
        <v>NO</v>
      </c>
      <c r="K2916" s="5">
        <f>IFERROR(VLOOKUP(Consulta1[[#This Row],[Pozo largo]],Controles!B:H,7,FALSE),"NO")</f>
        <v>1.44</v>
      </c>
      <c r="L2916" s="5">
        <f>IFERROR(VLOOKUP(Consulta1[[#This Row],[Pozo largo]],Controles!B:J,9,FALSE),"NO")</f>
        <v>0</v>
      </c>
    </row>
    <row r="2917" spans="2:12" x14ac:dyDescent="0.35">
      <c r="B2917" s="4" t="s">
        <v>5579</v>
      </c>
      <c r="C2917" s="4" t="s">
        <v>8618</v>
      </c>
      <c r="D2917" s="4" t="s">
        <v>5</v>
      </c>
      <c r="E2917" s="4" t="s">
        <v>12</v>
      </c>
      <c r="F2917" s="4" t="s">
        <v>25</v>
      </c>
      <c r="G2917" s="4" t="s">
        <v>13</v>
      </c>
      <c r="H2917" s="4" t="s">
        <v>86</v>
      </c>
      <c r="I2917" s="5" t="str">
        <f>IFERROR(VLOOKUP(Consulta1[[#This Row],[Pozo largo]],'Lista YPF'!$B$3:$C$358,2,FALSE),"NO")</f>
        <v>NO</v>
      </c>
      <c r="J2917" s="5" t="str">
        <f>IFERROR(VLOOKUP(Consulta1[[#This Row],[Pozo]],'Lista Oportunidades'!B:C,2,FALSE),"NO")</f>
        <v>NO</v>
      </c>
      <c r="K2917" s="5">
        <f>IFERROR(VLOOKUP(Consulta1[[#This Row],[Pozo largo]],Controles!B:H,7,FALSE),"NO")</f>
        <v>0.154</v>
      </c>
      <c r="L2917" s="5">
        <f>IFERROR(VLOOKUP(Consulta1[[#This Row],[Pozo largo]],Controles!B:J,9,FALSE),"NO")</f>
        <v>0</v>
      </c>
    </row>
    <row r="2918" spans="2:12" x14ac:dyDescent="0.35">
      <c r="B2918" s="4" t="s">
        <v>5581</v>
      </c>
      <c r="C2918" s="4" t="s">
        <v>8619</v>
      </c>
      <c r="D2918" s="4" t="s">
        <v>5</v>
      </c>
      <c r="E2918" s="4" t="s">
        <v>12</v>
      </c>
      <c r="F2918" s="4" t="s">
        <v>28</v>
      </c>
      <c r="G2918" s="4" t="s">
        <v>13</v>
      </c>
      <c r="H2918" s="4" t="s">
        <v>9</v>
      </c>
      <c r="I2918" s="5" t="str">
        <f>IFERROR(VLOOKUP(Consulta1[[#This Row],[Pozo largo]],'Lista YPF'!$B$3:$C$358,2,FALSE),"NO")</f>
        <v>NO</v>
      </c>
      <c r="J2918" s="5" t="str">
        <f>IFERROR(VLOOKUP(Consulta1[[#This Row],[Pozo]],'Lista Oportunidades'!B:C,2,FALSE),"NO")</f>
        <v>NO</v>
      </c>
      <c r="K2918" s="5">
        <f>IFERROR(VLOOKUP(Consulta1[[#This Row],[Pozo largo]],Controles!B:H,7,FALSE),"NO")</f>
        <v>0</v>
      </c>
      <c r="L2918" s="5">
        <f>IFERROR(VLOOKUP(Consulta1[[#This Row],[Pozo largo]],Controles!B:J,9,FALSE),"NO")</f>
        <v>0</v>
      </c>
    </row>
    <row r="2919" spans="2:12" x14ac:dyDescent="0.35">
      <c r="B2919" s="4" t="s">
        <v>5583</v>
      </c>
      <c r="C2919" s="4" t="s">
        <v>8620</v>
      </c>
      <c r="D2919" s="4" t="s">
        <v>5</v>
      </c>
      <c r="E2919" s="4" t="s">
        <v>12</v>
      </c>
      <c r="F2919" s="4" t="s">
        <v>7</v>
      </c>
      <c r="G2919" s="4" t="s">
        <v>13</v>
      </c>
      <c r="H2919" s="4" t="s">
        <v>80</v>
      </c>
      <c r="I2919" s="5" t="str">
        <f>IFERROR(VLOOKUP(Consulta1[[#This Row],[Pozo largo]],'Lista YPF'!$B$3:$C$358,2,FALSE),"NO")</f>
        <v>NO</v>
      </c>
      <c r="J2919" s="5" t="str">
        <f>IFERROR(VLOOKUP(Consulta1[[#This Row],[Pozo]],'Lista Oportunidades'!B:C,2,FALSE),"NO")</f>
        <v>NO</v>
      </c>
      <c r="K2919" s="5">
        <f>IFERROR(VLOOKUP(Consulta1[[#This Row],[Pozo largo]],Controles!B:H,7,FALSE),"NO")</f>
        <v>0.70000000000000007</v>
      </c>
      <c r="L2919" s="5">
        <f>IFERROR(VLOOKUP(Consulta1[[#This Row],[Pozo largo]],Controles!B:J,9,FALSE),"NO")</f>
        <v>0</v>
      </c>
    </row>
    <row r="2920" spans="2:12" x14ac:dyDescent="0.35">
      <c r="B2920" s="4" t="s">
        <v>5585</v>
      </c>
      <c r="C2920" s="4" t="s">
        <v>8621</v>
      </c>
      <c r="D2920" s="4" t="s">
        <v>5</v>
      </c>
      <c r="E2920" s="4" t="s">
        <v>12</v>
      </c>
      <c r="F2920" s="4" t="s">
        <v>7</v>
      </c>
      <c r="G2920" s="4" t="s">
        <v>13</v>
      </c>
      <c r="H2920" s="4" t="s">
        <v>86</v>
      </c>
      <c r="I2920" s="5" t="str">
        <f>IFERROR(VLOOKUP(Consulta1[[#This Row],[Pozo largo]],'Lista YPF'!$B$3:$C$358,2,FALSE),"NO")</f>
        <v>NO</v>
      </c>
      <c r="J2920" s="5" t="str">
        <f>IFERROR(VLOOKUP(Consulta1[[#This Row],[Pozo]],'Lista Oportunidades'!B:C,2,FALSE),"NO")</f>
        <v>NO</v>
      </c>
      <c r="K2920" s="5">
        <f>IFERROR(VLOOKUP(Consulta1[[#This Row],[Pozo largo]],Controles!B:H,7,FALSE),"NO")</f>
        <v>0.91</v>
      </c>
      <c r="L2920" s="5">
        <f>IFERROR(VLOOKUP(Consulta1[[#This Row],[Pozo largo]],Controles!B:J,9,FALSE),"NO")</f>
        <v>0</v>
      </c>
    </row>
    <row r="2921" spans="2:12" x14ac:dyDescent="0.35">
      <c r="B2921" s="4" t="s">
        <v>5587</v>
      </c>
      <c r="C2921" s="4" t="s">
        <v>8622</v>
      </c>
      <c r="D2921" s="4" t="s">
        <v>5</v>
      </c>
      <c r="E2921" s="4" t="s">
        <v>12</v>
      </c>
      <c r="F2921" s="4" t="s">
        <v>28</v>
      </c>
      <c r="G2921" s="4" t="s">
        <v>13</v>
      </c>
      <c r="H2921" s="4" t="s">
        <v>21</v>
      </c>
      <c r="I2921" s="5" t="str">
        <f>IFERROR(VLOOKUP(Consulta1[[#This Row],[Pozo largo]],'Lista YPF'!$B$3:$C$358,2,FALSE),"NO")</f>
        <v>NO</v>
      </c>
      <c r="J2921" s="5" t="str">
        <f>IFERROR(VLOOKUP(Consulta1[[#This Row],[Pozo]],'Lista Oportunidades'!B:C,2,FALSE),"NO")</f>
        <v>NO</v>
      </c>
      <c r="K2921" s="5">
        <f>IFERROR(VLOOKUP(Consulta1[[#This Row],[Pozo largo]],Controles!B:H,7,FALSE),"NO")</f>
        <v>0</v>
      </c>
      <c r="L2921" s="5">
        <f>IFERROR(VLOOKUP(Consulta1[[#This Row],[Pozo largo]],Controles!B:J,9,FALSE),"NO")</f>
        <v>0</v>
      </c>
    </row>
    <row r="2922" spans="2:12" x14ac:dyDescent="0.35">
      <c r="B2922" s="4" t="s">
        <v>5589</v>
      </c>
      <c r="C2922" s="4" t="s">
        <v>8623</v>
      </c>
      <c r="D2922" s="4" t="s">
        <v>5</v>
      </c>
      <c r="E2922" s="4" t="s">
        <v>12</v>
      </c>
      <c r="F2922" s="4" t="s">
        <v>7</v>
      </c>
      <c r="G2922" s="4" t="s">
        <v>13</v>
      </c>
      <c r="H2922" s="4" t="s">
        <v>91</v>
      </c>
      <c r="I2922" s="5" t="str">
        <f>IFERROR(VLOOKUP(Consulta1[[#This Row],[Pozo largo]],'Lista YPF'!$B$3:$C$358,2,FALSE),"NO")</f>
        <v>NO</v>
      </c>
      <c r="J2922" s="5" t="str">
        <f>IFERROR(VLOOKUP(Consulta1[[#This Row],[Pozo]],'Lista Oportunidades'!B:C,2,FALSE),"NO")</f>
        <v>NO</v>
      </c>
      <c r="K2922" s="5">
        <f>IFERROR(VLOOKUP(Consulta1[[#This Row],[Pozo largo]],Controles!B:H,7,FALSE),"NO")</f>
        <v>0.91</v>
      </c>
      <c r="L2922" s="5">
        <f>IFERROR(VLOOKUP(Consulta1[[#This Row],[Pozo largo]],Controles!B:J,9,FALSE),"NO")</f>
        <v>0</v>
      </c>
    </row>
    <row r="2923" spans="2:12" x14ac:dyDescent="0.35">
      <c r="B2923" s="4" t="s">
        <v>5591</v>
      </c>
      <c r="C2923" s="4" t="s">
        <v>8624</v>
      </c>
      <c r="D2923" s="4" t="s">
        <v>5</v>
      </c>
      <c r="E2923" s="4" t="s">
        <v>12</v>
      </c>
      <c r="F2923" s="4" t="s">
        <v>7</v>
      </c>
      <c r="G2923" s="4" t="s">
        <v>13</v>
      </c>
      <c r="H2923" s="4" t="s">
        <v>86</v>
      </c>
      <c r="I2923" s="5" t="str">
        <f>IFERROR(VLOOKUP(Consulta1[[#This Row],[Pozo largo]],'Lista YPF'!$B$3:$C$358,2,FALSE),"NO")</f>
        <v>NO</v>
      </c>
      <c r="J2923" s="5" t="str">
        <f>IFERROR(VLOOKUP(Consulta1[[#This Row],[Pozo]],'Lista Oportunidades'!B:C,2,FALSE),"NO")</f>
        <v>NO</v>
      </c>
      <c r="K2923" s="5">
        <f>IFERROR(VLOOKUP(Consulta1[[#This Row],[Pozo largo]],Controles!B:H,7,FALSE),"NO")</f>
        <v>1.1880000000000002</v>
      </c>
      <c r="L2923" s="5">
        <f>IFERROR(VLOOKUP(Consulta1[[#This Row],[Pozo largo]],Controles!B:J,9,FALSE),"NO")</f>
        <v>0</v>
      </c>
    </row>
    <row r="2924" spans="2:12" x14ac:dyDescent="0.35">
      <c r="B2924" s="4" t="s">
        <v>5593</v>
      </c>
      <c r="C2924" s="4" t="s">
        <v>8625</v>
      </c>
      <c r="D2924" s="4" t="s">
        <v>5</v>
      </c>
      <c r="E2924" s="4" t="s">
        <v>24</v>
      </c>
      <c r="F2924" s="4" t="s">
        <v>28</v>
      </c>
      <c r="G2924" s="4" t="s">
        <v>8</v>
      </c>
      <c r="H2924" s="4" t="s">
        <v>185</v>
      </c>
      <c r="I2924" s="5" t="str">
        <f>IFERROR(VLOOKUP(Consulta1[[#This Row],[Pozo largo]],'Lista YPF'!$B$3:$C$358,2,FALSE),"NO")</f>
        <v>NO</v>
      </c>
      <c r="J2924" s="5" t="str">
        <f>IFERROR(VLOOKUP(Consulta1[[#This Row],[Pozo]],'Lista Oportunidades'!B:C,2,FALSE),"NO")</f>
        <v>NO</v>
      </c>
      <c r="K2924" s="5">
        <f>IFERROR(VLOOKUP(Consulta1[[#This Row],[Pozo largo]],Controles!B:H,7,FALSE),"NO")</f>
        <v>0</v>
      </c>
      <c r="L2924" s="5">
        <f>IFERROR(VLOOKUP(Consulta1[[#This Row],[Pozo largo]],Controles!B:J,9,FALSE),"NO")</f>
        <v>0</v>
      </c>
    </row>
    <row r="2925" spans="2:12" x14ac:dyDescent="0.35">
      <c r="B2925" s="4" t="s">
        <v>5595</v>
      </c>
      <c r="C2925" s="4" t="s">
        <v>8626</v>
      </c>
      <c r="D2925" s="4" t="s">
        <v>5</v>
      </c>
      <c r="E2925" s="4" t="s">
        <v>12</v>
      </c>
      <c r="F2925" s="4" t="s">
        <v>7</v>
      </c>
      <c r="G2925" s="4" t="s">
        <v>13</v>
      </c>
      <c r="H2925" s="4" t="s">
        <v>185</v>
      </c>
      <c r="I2925" s="5" t="str">
        <f>IFERROR(VLOOKUP(Consulta1[[#This Row],[Pozo largo]],'Lista YPF'!$B$3:$C$358,2,FALSE),"NO")</f>
        <v>NO</v>
      </c>
      <c r="J2925" s="5" t="str">
        <f>IFERROR(VLOOKUP(Consulta1[[#This Row],[Pozo]],'Lista Oportunidades'!B:C,2,FALSE),"NO")</f>
        <v>NO</v>
      </c>
      <c r="K2925" s="5">
        <f>IFERROR(VLOOKUP(Consulta1[[#This Row],[Pozo largo]],Controles!B:H,7,FALSE),"NO")</f>
        <v>1.391</v>
      </c>
      <c r="L2925" s="5">
        <f>IFERROR(VLOOKUP(Consulta1[[#This Row],[Pozo largo]],Controles!B:J,9,FALSE),"NO")</f>
        <v>0</v>
      </c>
    </row>
    <row r="2926" spans="2:12" x14ac:dyDescent="0.35">
      <c r="B2926" s="4" t="s">
        <v>5597</v>
      </c>
      <c r="C2926" s="4" t="s">
        <v>8627</v>
      </c>
      <c r="D2926" s="4" t="s">
        <v>5</v>
      </c>
      <c r="E2926" s="4" t="s">
        <v>12</v>
      </c>
      <c r="F2926" s="4" t="s">
        <v>7</v>
      </c>
      <c r="G2926" s="4" t="s">
        <v>13</v>
      </c>
      <c r="H2926" s="4" t="s">
        <v>9</v>
      </c>
      <c r="I2926" s="5" t="str">
        <f>IFERROR(VLOOKUP(Consulta1[[#This Row],[Pozo largo]],'Lista YPF'!$B$3:$C$358,2,FALSE),"NO")</f>
        <v>NO</v>
      </c>
      <c r="J2926" s="5" t="str">
        <f>IFERROR(VLOOKUP(Consulta1[[#This Row],[Pozo]],'Lista Oportunidades'!B:C,2,FALSE),"NO")</f>
        <v>NO</v>
      </c>
      <c r="K2926" s="5">
        <f>IFERROR(VLOOKUP(Consulta1[[#This Row],[Pozo largo]],Controles!B:H,7,FALSE),"NO")</f>
        <v>0.70000000000000007</v>
      </c>
      <c r="L2926" s="5">
        <f>IFERROR(VLOOKUP(Consulta1[[#This Row],[Pozo largo]],Controles!B:J,9,FALSE),"NO")</f>
        <v>0</v>
      </c>
    </row>
    <row r="2927" spans="2:12" x14ac:dyDescent="0.35">
      <c r="B2927" s="4" t="s">
        <v>5599</v>
      </c>
      <c r="C2927" s="4" t="s">
        <v>8628</v>
      </c>
      <c r="D2927" s="4" t="s">
        <v>5</v>
      </c>
      <c r="E2927" s="4" t="s">
        <v>12</v>
      </c>
      <c r="F2927" s="4" t="s">
        <v>7</v>
      </c>
      <c r="G2927" s="4" t="s">
        <v>13</v>
      </c>
      <c r="H2927" s="4" t="s">
        <v>185</v>
      </c>
      <c r="I2927" s="5" t="str">
        <f>IFERROR(VLOOKUP(Consulta1[[#This Row],[Pozo largo]],'Lista YPF'!$B$3:$C$358,2,FALSE),"NO")</f>
        <v>NO</v>
      </c>
      <c r="J2927" s="5" t="str">
        <f>IFERROR(VLOOKUP(Consulta1[[#This Row],[Pozo]],'Lista Oportunidades'!B:C,2,FALSE),"NO")</f>
        <v>NO</v>
      </c>
      <c r="K2927" s="5">
        <f>IFERROR(VLOOKUP(Consulta1[[#This Row],[Pozo largo]],Controles!B:H,7,FALSE),"NO")</f>
        <v>0.2</v>
      </c>
      <c r="L2927" s="5">
        <f>IFERROR(VLOOKUP(Consulta1[[#This Row],[Pozo largo]],Controles!B:J,9,FALSE),"NO")</f>
        <v>0</v>
      </c>
    </row>
    <row r="2928" spans="2:12" x14ac:dyDescent="0.35">
      <c r="B2928" s="4" t="s">
        <v>5601</v>
      </c>
      <c r="C2928" s="4" t="s">
        <v>8629</v>
      </c>
      <c r="D2928" s="4" t="s">
        <v>5</v>
      </c>
      <c r="E2928" s="4" t="s">
        <v>30</v>
      </c>
      <c r="F2928" s="4" t="s">
        <v>31</v>
      </c>
      <c r="G2928" s="4" t="s">
        <v>32</v>
      </c>
      <c r="H2928" s="4" t="s">
        <v>21</v>
      </c>
      <c r="I2928" s="5" t="str">
        <f>IFERROR(VLOOKUP(Consulta1[[#This Row],[Pozo largo]],'Lista YPF'!$B$3:$C$358,2,FALSE),"NO")</f>
        <v>NO</v>
      </c>
      <c r="J2928" s="5" t="str">
        <f>IFERROR(VLOOKUP(Consulta1[[#This Row],[Pozo]],'Lista Oportunidades'!B:C,2,FALSE),"NO")</f>
        <v>NO</v>
      </c>
      <c r="K2928" s="5">
        <f>IFERROR(VLOOKUP(Consulta1[[#This Row],[Pozo largo]],Controles!B:H,7,FALSE),"NO")</f>
        <v>0</v>
      </c>
      <c r="L2928" s="5">
        <f>IFERROR(VLOOKUP(Consulta1[[#This Row],[Pozo largo]],Controles!B:J,9,FALSE),"NO")</f>
        <v>0</v>
      </c>
    </row>
    <row r="2929" spans="2:12" x14ac:dyDescent="0.35">
      <c r="B2929" s="4" t="s">
        <v>5603</v>
      </c>
      <c r="C2929" s="4" t="s">
        <v>8630</v>
      </c>
      <c r="D2929" s="4" t="s">
        <v>5</v>
      </c>
      <c r="E2929" s="4" t="s">
        <v>12</v>
      </c>
      <c r="F2929" s="4" t="s">
        <v>238</v>
      </c>
      <c r="G2929" s="4" t="s">
        <v>13</v>
      </c>
      <c r="H2929" s="4" t="s">
        <v>9</v>
      </c>
      <c r="I2929" s="5" t="str">
        <f>IFERROR(VLOOKUP(Consulta1[[#This Row],[Pozo largo]],'Lista YPF'!$B$3:$C$358,2,FALSE),"NO")</f>
        <v>NO</v>
      </c>
      <c r="J2929" s="5" t="str">
        <f>IFERROR(VLOOKUP(Consulta1[[#This Row],[Pozo]],'Lista Oportunidades'!B:C,2,FALSE),"NO")</f>
        <v>NO</v>
      </c>
      <c r="K2929" s="5">
        <f>IFERROR(VLOOKUP(Consulta1[[#This Row],[Pozo largo]],Controles!B:H,7,FALSE),"NO")</f>
        <v>0.78</v>
      </c>
      <c r="L2929" s="5">
        <f>IFERROR(VLOOKUP(Consulta1[[#This Row],[Pozo largo]],Controles!B:J,9,FALSE),"NO")</f>
        <v>0</v>
      </c>
    </row>
    <row r="2930" spans="2:12" x14ac:dyDescent="0.35">
      <c r="B2930" s="4" t="s">
        <v>5605</v>
      </c>
      <c r="C2930" s="4" t="s">
        <v>8631</v>
      </c>
      <c r="D2930" s="4" t="s">
        <v>5</v>
      </c>
      <c r="E2930" s="4" t="s">
        <v>12</v>
      </c>
      <c r="F2930" s="4" t="s">
        <v>7</v>
      </c>
      <c r="G2930" s="4" t="s">
        <v>13</v>
      </c>
      <c r="H2930" s="4" t="s">
        <v>80</v>
      </c>
      <c r="I2930" s="5" t="str">
        <f>IFERROR(VLOOKUP(Consulta1[[#This Row],[Pozo largo]],'Lista YPF'!$B$3:$C$358,2,FALSE),"NO")</f>
        <v>NO</v>
      </c>
      <c r="J2930" s="5" t="str">
        <f>IFERROR(VLOOKUP(Consulta1[[#This Row],[Pozo]],'Lista Oportunidades'!B:C,2,FALSE),"NO")</f>
        <v>NO</v>
      </c>
      <c r="K2930" s="5">
        <f>IFERROR(VLOOKUP(Consulta1[[#This Row],[Pozo largo]],Controles!B:H,7,FALSE),"NO")</f>
        <v>2.4210000000000003</v>
      </c>
      <c r="L2930" s="5">
        <f>IFERROR(VLOOKUP(Consulta1[[#This Row],[Pozo largo]],Controles!B:J,9,FALSE),"NO")</f>
        <v>0</v>
      </c>
    </row>
    <row r="2931" spans="2:12" x14ac:dyDescent="0.35">
      <c r="B2931" s="4" t="s">
        <v>5607</v>
      </c>
      <c r="C2931" s="4" t="s">
        <v>8632</v>
      </c>
      <c r="D2931" s="4" t="s">
        <v>5</v>
      </c>
      <c r="E2931" s="4" t="s">
        <v>12</v>
      </c>
      <c r="F2931" s="4" t="s">
        <v>83</v>
      </c>
      <c r="G2931" s="4" t="s">
        <v>13</v>
      </c>
      <c r="H2931" s="4" t="s">
        <v>80</v>
      </c>
      <c r="I2931" s="5" t="str">
        <f>IFERROR(VLOOKUP(Consulta1[[#This Row],[Pozo largo]],'Lista YPF'!$B$3:$C$358,2,FALSE),"NO")</f>
        <v>NO</v>
      </c>
      <c r="J2931" s="5" t="str">
        <f>IFERROR(VLOOKUP(Consulta1[[#This Row],[Pozo]],'Lista Oportunidades'!B:C,2,FALSE),"NO")</f>
        <v>NO</v>
      </c>
      <c r="K2931" s="5">
        <f>IFERROR(VLOOKUP(Consulta1[[#This Row],[Pozo largo]],Controles!B:H,7,FALSE),"NO")</f>
        <v>0.27</v>
      </c>
      <c r="L2931" s="5">
        <f>IFERROR(VLOOKUP(Consulta1[[#This Row],[Pozo largo]],Controles!B:J,9,FALSE),"NO")</f>
        <v>0</v>
      </c>
    </row>
    <row r="2932" spans="2:12" x14ac:dyDescent="0.35">
      <c r="B2932" s="4" t="s">
        <v>5609</v>
      </c>
      <c r="C2932" s="4" t="s">
        <v>8633</v>
      </c>
      <c r="D2932" s="4" t="s">
        <v>5</v>
      </c>
      <c r="E2932" s="4" t="s">
        <v>12</v>
      </c>
      <c r="F2932" s="4" t="s">
        <v>7</v>
      </c>
      <c r="G2932" s="4" t="s">
        <v>13</v>
      </c>
      <c r="H2932" s="4" t="s">
        <v>185</v>
      </c>
      <c r="I2932" s="5" t="str">
        <f>IFERROR(VLOOKUP(Consulta1[[#This Row],[Pozo largo]],'Lista YPF'!$B$3:$C$358,2,FALSE),"NO")</f>
        <v>NO</v>
      </c>
      <c r="J2932" s="5" t="str">
        <f>IFERROR(VLOOKUP(Consulta1[[#This Row],[Pozo]],'Lista Oportunidades'!B:C,2,FALSE),"NO")</f>
        <v>NO</v>
      </c>
      <c r="K2932" s="5">
        <f>IFERROR(VLOOKUP(Consulta1[[#This Row],[Pozo largo]],Controles!B:H,7,FALSE),"NO")</f>
        <v>0.68900000000000006</v>
      </c>
      <c r="L2932" s="5">
        <f>IFERROR(VLOOKUP(Consulta1[[#This Row],[Pozo largo]],Controles!B:J,9,FALSE),"NO")</f>
        <v>0</v>
      </c>
    </row>
    <row r="2933" spans="2:12" x14ac:dyDescent="0.35">
      <c r="B2933" s="4" t="s">
        <v>5611</v>
      </c>
      <c r="C2933" s="4" t="s">
        <v>8634</v>
      </c>
      <c r="D2933" s="4" t="s">
        <v>5</v>
      </c>
      <c r="E2933" s="4" t="s">
        <v>12</v>
      </c>
      <c r="F2933" s="4" t="s">
        <v>7</v>
      </c>
      <c r="G2933" s="4" t="s">
        <v>13</v>
      </c>
      <c r="H2933" s="4" t="s">
        <v>185</v>
      </c>
      <c r="I2933" s="5" t="str">
        <f>IFERROR(VLOOKUP(Consulta1[[#This Row],[Pozo largo]],'Lista YPF'!$B$3:$C$358,2,FALSE),"NO")</f>
        <v>NO</v>
      </c>
      <c r="J2933" s="5" t="str">
        <f>IFERROR(VLOOKUP(Consulta1[[#This Row],[Pozo]],'Lista Oportunidades'!B:C,2,FALSE),"NO")</f>
        <v>NO</v>
      </c>
      <c r="K2933" s="5">
        <f>IFERROR(VLOOKUP(Consulta1[[#This Row],[Pozo largo]],Controles!B:H,7,FALSE),"NO")</f>
        <v>1.08</v>
      </c>
      <c r="L2933" s="5">
        <f>IFERROR(VLOOKUP(Consulta1[[#This Row],[Pozo largo]],Controles!B:J,9,FALSE),"NO")</f>
        <v>0</v>
      </c>
    </row>
    <row r="2934" spans="2:12" x14ac:dyDescent="0.35">
      <c r="B2934" s="4" t="s">
        <v>5613</v>
      </c>
      <c r="C2934" s="4" t="s">
        <v>8635</v>
      </c>
      <c r="D2934" s="4" t="s">
        <v>5</v>
      </c>
      <c r="E2934" s="4" t="s">
        <v>12</v>
      </c>
      <c r="F2934" s="4" t="s">
        <v>28</v>
      </c>
      <c r="G2934" s="4" t="s">
        <v>13</v>
      </c>
      <c r="H2934" s="4" t="s">
        <v>9</v>
      </c>
      <c r="I2934" s="5" t="str">
        <f>IFERROR(VLOOKUP(Consulta1[[#This Row],[Pozo largo]],'Lista YPF'!$B$3:$C$358,2,FALSE),"NO")</f>
        <v>NO</v>
      </c>
      <c r="J2934" s="5" t="str">
        <f>IFERROR(VLOOKUP(Consulta1[[#This Row],[Pozo]],'Lista Oportunidades'!B:C,2,FALSE),"NO")</f>
        <v>NO</v>
      </c>
      <c r="K2934" s="5">
        <f>IFERROR(VLOOKUP(Consulta1[[#This Row],[Pozo largo]],Controles!B:H,7,FALSE),"NO")</f>
        <v>0</v>
      </c>
      <c r="L2934" s="5">
        <f>IFERROR(VLOOKUP(Consulta1[[#This Row],[Pozo largo]],Controles!B:J,9,FALSE),"NO")</f>
        <v>0</v>
      </c>
    </row>
    <row r="2935" spans="2:12" x14ac:dyDescent="0.35">
      <c r="B2935" s="4" t="s">
        <v>5615</v>
      </c>
      <c r="C2935" s="4" t="s">
        <v>8636</v>
      </c>
      <c r="D2935" s="4" t="s">
        <v>5</v>
      </c>
      <c r="E2935" s="4" t="s">
        <v>24</v>
      </c>
      <c r="F2935" s="4" t="s">
        <v>25</v>
      </c>
      <c r="G2935" s="4" t="s">
        <v>8</v>
      </c>
      <c r="H2935" s="4" t="s">
        <v>36</v>
      </c>
      <c r="I2935" s="5" t="str">
        <f>IFERROR(VLOOKUP(Consulta1[[#This Row],[Pozo largo]],'Lista YPF'!$B$3:$C$358,2,FALSE),"NO")</f>
        <v>NO</v>
      </c>
      <c r="J2935" s="5" t="str">
        <f>IFERROR(VLOOKUP(Consulta1[[#This Row],[Pozo]],'Lista Oportunidades'!B:C,2,FALSE),"NO")</f>
        <v>NO</v>
      </c>
      <c r="K2935" s="5">
        <f>IFERROR(VLOOKUP(Consulta1[[#This Row],[Pozo largo]],Controles!B:H,7,FALSE),"NO")</f>
        <v>0</v>
      </c>
      <c r="L2935" s="5">
        <f>IFERROR(VLOOKUP(Consulta1[[#This Row],[Pozo largo]],Controles!B:J,9,FALSE),"NO")</f>
        <v>0</v>
      </c>
    </row>
    <row r="2936" spans="2:12" x14ac:dyDescent="0.35">
      <c r="B2936" s="4" t="s">
        <v>5617</v>
      </c>
      <c r="C2936" s="4" t="s">
        <v>8637</v>
      </c>
      <c r="D2936" s="4" t="s">
        <v>5</v>
      </c>
      <c r="E2936" s="4" t="s">
        <v>12</v>
      </c>
      <c r="F2936" s="4" t="s">
        <v>28</v>
      </c>
      <c r="G2936" s="4" t="s">
        <v>13</v>
      </c>
      <c r="H2936" s="4" t="s">
        <v>21</v>
      </c>
      <c r="I2936" s="5" t="str">
        <f>IFERROR(VLOOKUP(Consulta1[[#This Row],[Pozo largo]],'Lista YPF'!$B$3:$C$358,2,FALSE),"NO")</f>
        <v>NO</v>
      </c>
      <c r="J2936" s="5" t="str">
        <f>IFERROR(VLOOKUP(Consulta1[[#This Row],[Pozo]],'Lista Oportunidades'!B:C,2,FALSE),"NO")</f>
        <v>NO</v>
      </c>
      <c r="K2936" s="5">
        <f>IFERROR(VLOOKUP(Consulta1[[#This Row],[Pozo largo]],Controles!B:H,7,FALSE),"NO")</f>
        <v>0</v>
      </c>
      <c r="L2936" s="5">
        <f>IFERROR(VLOOKUP(Consulta1[[#This Row],[Pozo largo]],Controles!B:J,9,FALSE),"NO")</f>
        <v>0</v>
      </c>
    </row>
    <row r="2937" spans="2:12" x14ac:dyDescent="0.35">
      <c r="B2937" s="4" t="s">
        <v>5619</v>
      </c>
      <c r="C2937" s="4" t="s">
        <v>8638</v>
      </c>
      <c r="D2937" s="4" t="s">
        <v>5</v>
      </c>
      <c r="E2937" s="4" t="s">
        <v>6</v>
      </c>
      <c r="F2937" s="4" t="s">
        <v>238</v>
      </c>
      <c r="G2937" s="4" t="s">
        <v>5718</v>
      </c>
      <c r="H2937" s="4" t="s">
        <v>33</v>
      </c>
      <c r="I2937" s="5" t="str">
        <f>IFERROR(VLOOKUP(Consulta1[[#This Row],[Pozo largo]],'Lista YPF'!$B$3:$C$358,2,FALSE),"NO")</f>
        <v>En lista de Abandono</v>
      </c>
      <c r="J2937" s="5" t="str">
        <f>IFERROR(VLOOKUP(Consulta1[[#This Row],[Pozo]],'Lista Oportunidades'!B:C,2,FALSE),"NO")</f>
        <v>NO</v>
      </c>
      <c r="K2937" s="5">
        <f>IFERROR(VLOOKUP(Consulta1[[#This Row],[Pozo largo]],Controles!B:H,7,FALSE),"NO")</f>
        <v>1</v>
      </c>
      <c r="L2937" s="5">
        <f>IFERROR(VLOOKUP(Consulta1[[#This Row],[Pozo largo]],Controles!B:J,9,FALSE),"NO")</f>
        <v>0</v>
      </c>
    </row>
    <row r="2938" spans="2:12" x14ac:dyDescent="0.35">
      <c r="B2938" s="4" t="s">
        <v>5621</v>
      </c>
      <c r="C2938" s="4" t="s">
        <v>8639</v>
      </c>
      <c r="D2938" s="4" t="s">
        <v>5</v>
      </c>
      <c r="E2938" s="4" t="s">
        <v>30</v>
      </c>
      <c r="F2938" s="4" t="s">
        <v>31</v>
      </c>
      <c r="G2938" s="4" t="s">
        <v>32</v>
      </c>
      <c r="H2938" s="4" t="s">
        <v>36</v>
      </c>
      <c r="I2938" s="5" t="str">
        <f>IFERROR(VLOOKUP(Consulta1[[#This Row],[Pozo largo]],'Lista YPF'!$B$3:$C$358,2,FALSE),"NO")</f>
        <v>NO</v>
      </c>
      <c r="J2938" s="5" t="str">
        <f>IFERROR(VLOOKUP(Consulta1[[#This Row],[Pozo]],'Lista Oportunidades'!B:C,2,FALSE),"NO")</f>
        <v>NO</v>
      </c>
      <c r="K2938" s="5">
        <f>IFERROR(VLOOKUP(Consulta1[[#This Row],[Pozo largo]],Controles!B:H,7,FALSE),"NO")</f>
        <v>0</v>
      </c>
      <c r="L2938" s="5">
        <f>IFERROR(VLOOKUP(Consulta1[[#This Row],[Pozo largo]],Controles!B:J,9,FALSE),"NO")</f>
        <v>0</v>
      </c>
    </row>
    <row r="2939" spans="2:12" x14ac:dyDescent="0.35">
      <c r="B2939" s="4" t="s">
        <v>5623</v>
      </c>
      <c r="C2939" s="4" t="s">
        <v>5743</v>
      </c>
      <c r="D2939" s="4" t="s">
        <v>5</v>
      </c>
      <c r="E2939" s="4" t="s">
        <v>6</v>
      </c>
      <c r="F2939" s="4" t="s">
        <v>1151</v>
      </c>
      <c r="G2939" s="4" t="s">
        <v>8689</v>
      </c>
      <c r="H2939" s="4" t="s">
        <v>36</v>
      </c>
      <c r="I2939" s="5" t="str">
        <f>IFERROR(VLOOKUP(Consulta1[[#This Row],[Pozo largo]],'Lista YPF'!$B$3:$C$358,2,FALSE),"NO")</f>
        <v>NO</v>
      </c>
      <c r="J2939" s="5" t="str">
        <f>IFERROR(VLOOKUP(Consulta1[[#This Row],[Pozo]],'Lista Oportunidades'!B:C,2,FALSE),"NO")</f>
        <v>Oportunidad</v>
      </c>
      <c r="K2939" s="5">
        <f>IFERROR(VLOOKUP(Consulta1[[#This Row],[Pozo largo]],Controles!B:H,7,FALSE),"NO")</f>
        <v>7.0000000000000001E-3</v>
      </c>
      <c r="L2939" s="5">
        <f>IFERROR(VLOOKUP(Consulta1[[#This Row],[Pozo largo]],Controles!B:J,9,FALSE),"NO")</f>
        <v>0</v>
      </c>
    </row>
    <row r="2940" spans="2:12" x14ac:dyDescent="0.35">
      <c r="B2940" s="4" t="s">
        <v>5625</v>
      </c>
      <c r="C2940" s="4" t="s">
        <v>8640</v>
      </c>
      <c r="D2940" s="4" t="s">
        <v>5</v>
      </c>
      <c r="E2940" s="4" t="s">
        <v>24</v>
      </c>
      <c r="F2940" s="4" t="s">
        <v>31</v>
      </c>
      <c r="G2940" s="4" t="s">
        <v>8</v>
      </c>
      <c r="H2940" s="4" t="s">
        <v>9</v>
      </c>
      <c r="I2940" s="5" t="str">
        <f>IFERROR(VLOOKUP(Consulta1[[#This Row],[Pozo largo]],'Lista YPF'!$B$3:$C$358,2,FALSE),"NO")</f>
        <v>NO</v>
      </c>
      <c r="J2940" s="5" t="str">
        <f>IFERROR(VLOOKUP(Consulta1[[#This Row],[Pozo]],'Lista Oportunidades'!B:C,2,FALSE),"NO")</f>
        <v>NO</v>
      </c>
      <c r="K2940" s="5" t="str">
        <f>IFERROR(VLOOKUP(Consulta1[[#This Row],[Pozo largo]],Controles!B:H,7,FALSE),"NO")</f>
        <v>NO</v>
      </c>
      <c r="L2940" s="5" t="str">
        <f>IFERROR(VLOOKUP(Consulta1[[#This Row],[Pozo largo]],Controles!B:J,9,FALSE),"NO")</f>
        <v>NO</v>
      </c>
    </row>
    <row r="2941" spans="2:12" x14ac:dyDescent="0.35">
      <c r="B2941" s="4" t="s">
        <v>5626</v>
      </c>
      <c r="C2941" s="4" t="s">
        <v>8641</v>
      </c>
      <c r="D2941" s="4" t="s">
        <v>5</v>
      </c>
      <c r="E2941" s="4" t="s">
        <v>12</v>
      </c>
      <c r="F2941" s="4" t="s">
        <v>1151</v>
      </c>
      <c r="G2941" s="4" t="s">
        <v>13</v>
      </c>
      <c r="H2941" s="4" t="s">
        <v>86</v>
      </c>
      <c r="I2941" s="5" t="str">
        <f>IFERROR(VLOOKUP(Consulta1[[#This Row],[Pozo largo]],'Lista YPF'!$B$3:$C$358,2,FALSE),"NO")</f>
        <v>NO</v>
      </c>
      <c r="J2941" s="5" t="str">
        <f>IFERROR(VLOOKUP(Consulta1[[#This Row],[Pozo]],'Lista Oportunidades'!B:C,2,FALSE),"NO")</f>
        <v>NO</v>
      </c>
      <c r="K2941" s="5">
        <f>IFERROR(VLOOKUP(Consulta1[[#This Row],[Pozo largo]],Controles!B:H,7,FALSE),"NO")</f>
        <v>4.1000000000000002E-2</v>
      </c>
      <c r="L2941" s="5">
        <f>IFERROR(VLOOKUP(Consulta1[[#This Row],[Pozo largo]],Controles!B:J,9,FALSE),"NO")</f>
        <v>0</v>
      </c>
    </row>
    <row r="2942" spans="2:12" x14ac:dyDescent="0.35">
      <c r="B2942" s="4" t="s">
        <v>5628</v>
      </c>
      <c r="C2942" s="4" t="s">
        <v>8642</v>
      </c>
      <c r="D2942" s="4" t="s">
        <v>5</v>
      </c>
      <c r="E2942" s="4" t="s">
        <v>12</v>
      </c>
      <c r="F2942" s="4" t="s">
        <v>25</v>
      </c>
      <c r="G2942" s="4" t="s">
        <v>13</v>
      </c>
      <c r="H2942" s="4" t="s">
        <v>21</v>
      </c>
      <c r="I2942" s="5" t="str">
        <f>IFERROR(VLOOKUP(Consulta1[[#This Row],[Pozo largo]],'Lista YPF'!$B$3:$C$358,2,FALSE),"NO")</f>
        <v>NO</v>
      </c>
      <c r="J2942" s="5" t="str">
        <f>IFERROR(VLOOKUP(Consulta1[[#This Row],[Pozo]],'Lista Oportunidades'!B:C,2,FALSE),"NO")</f>
        <v>NO</v>
      </c>
      <c r="K2942" s="5">
        <f>IFERROR(VLOOKUP(Consulta1[[#This Row],[Pozo largo]],Controles!B:H,7,FALSE),"NO")</f>
        <v>9.5000000000000001E-2</v>
      </c>
      <c r="L2942" s="5">
        <f>IFERROR(VLOOKUP(Consulta1[[#This Row],[Pozo largo]],Controles!B:J,9,FALSE),"NO")</f>
        <v>0</v>
      </c>
    </row>
    <row r="2943" spans="2:12" x14ac:dyDescent="0.35">
      <c r="B2943" s="4" t="s">
        <v>5630</v>
      </c>
      <c r="C2943" s="4" t="s">
        <v>8643</v>
      </c>
      <c r="D2943" s="4" t="s">
        <v>5</v>
      </c>
      <c r="E2943" s="4" t="s">
        <v>30</v>
      </c>
      <c r="F2943" s="4" t="s">
        <v>31</v>
      </c>
      <c r="G2943" s="4" t="s">
        <v>32</v>
      </c>
      <c r="H2943" s="4" t="s">
        <v>86</v>
      </c>
      <c r="I2943" s="5" t="str">
        <f>IFERROR(VLOOKUP(Consulta1[[#This Row],[Pozo largo]],'Lista YPF'!$B$3:$C$358,2,FALSE),"NO")</f>
        <v>NO</v>
      </c>
      <c r="J2943" s="5" t="str">
        <f>IFERROR(VLOOKUP(Consulta1[[#This Row],[Pozo]],'Lista Oportunidades'!B:C,2,FALSE),"NO")</f>
        <v>NO</v>
      </c>
      <c r="K2943" s="5" t="str">
        <f>IFERROR(VLOOKUP(Consulta1[[#This Row],[Pozo largo]],Controles!B:H,7,FALSE),"NO")</f>
        <v>NO</v>
      </c>
      <c r="L2943" s="5" t="str">
        <f>IFERROR(VLOOKUP(Consulta1[[#This Row],[Pozo largo]],Controles!B:J,9,FALSE),"NO")</f>
        <v>NO</v>
      </c>
    </row>
    <row r="2944" spans="2:12" x14ac:dyDescent="0.35">
      <c r="B2944" s="4" t="s">
        <v>5631</v>
      </c>
      <c r="C2944" s="4" t="s">
        <v>8644</v>
      </c>
      <c r="D2944" s="4" t="s">
        <v>5</v>
      </c>
      <c r="E2944" s="4" t="s">
        <v>30</v>
      </c>
      <c r="F2944" s="4" t="s">
        <v>31</v>
      </c>
      <c r="G2944" s="4" t="s">
        <v>32</v>
      </c>
      <c r="H2944" s="4" t="s">
        <v>86</v>
      </c>
      <c r="I2944" s="5" t="str">
        <f>IFERROR(VLOOKUP(Consulta1[[#This Row],[Pozo largo]],'Lista YPF'!$B$3:$C$358,2,FALSE),"NO")</f>
        <v>NO</v>
      </c>
      <c r="J2944" s="5" t="str">
        <f>IFERROR(VLOOKUP(Consulta1[[#This Row],[Pozo]],'Lista Oportunidades'!B:C,2,FALSE),"NO")</f>
        <v>NO</v>
      </c>
      <c r="K2944" s="5" t="str">
        <f>IFERROR(VLOOKUP(Consulta1[[#This Row],[Pozo largo]],Controles!B:H,7,FALSE),"NO")</f>
        <v>NO</v>
      </c>
      <c r="L2944" s="5" t="str">
        <f>IFERROR(VLOOKUP(Consulta1[[#This Row],[Pozo largo]],Controles!B:J,9,FALSE),"NO")</f>
        <v>NO</v>
      </c>
    </row>
    <row r="2945" spans="2:12" x14ac:dyDescent="0.35">
      <c r="B2945" s="4" t="s">
        <v>5632</v>
      </c>
      <c r="C2945" s="4" t="s">
        <v>8645</v>
      </c>
      <c r="D2945" s="4" t="s">
        <v>5</v>
      </c>
      <c r="E2945" s="4" t="s">
        <v>30</v>
      </c>
      <c r="F2945" s="4" t="s">
        <v>31</v>
      </c>
      <c r="G2945" s="4" t="s">
        <v>32</v>
      </c>
      <c r="H2945" s="4" t="s">
        <v>86</v>
      </c>
      <c r="I2945" s="5" t="str">
        <f>IFERROR(VLOOKUP(Consulta1[[#This Row],[Pozo largo]],'Lista YPF'!$B$3:$C$358,2,FALSE),"NO")</f>
        <v>NO</v>
      </c>
      <c r="J2945" s="5" t="str">
        <f>IFERROR(VLOOKUP(Consulta1[[#This Row],[Pozo]],'Lista Oportunidades'!B:C,2,FALSE),"NO")</f>
        <v>NO</v>
      </c>
      <c r="K2945" s="5">
        <f>IFERROR(VLOOKUP(Consulta1[[#This Row],[Pozo largo]],Controles!B:H,7,FALSE),"NO")</f>
        <v>5.9850000000000003</v>
      </c>
      <c r="L2945" s="5">
        <f>IFERROR(VLOOKUP(Consulta1[[#This Row],[Pozo largo]],Controles!B:J,9,FALSE),"NO")</f>
        <v>0</v>
      </c>
    </row>
    <row r="2946" spans="2:12" x14ac:dyDescent="0.35">
      <c r="B2946" s="4" t="s">
        <v>5634</v>
      </c>
      <c r="C2946" s="4" t="s">
        <v>8646</v>
      </c>
      <c r="D2946" s="4" t="s">
        <v>5</v>
      </c>
      <c r="E2946" s="4" t="s">
        <v>12</v>
      </c>
      <c r="F2946" s="4" t="s">
        <v>83</v>
      </c>
      <c r="G2946" s="4" t="s">
        <v>13</v>
      </c>
      <c r="H2946" s="4" t="s">
        <v>260</v>
      </c>
      <c r="I2946" s="5" t="str">
        <f>IFERROR(VLOOKUP(Consulta1[[#This Row],[Pozo largo]],'Lista YPF'!$B$3:$C$358,2,FALSE),"NO")</f>
        <v>NO</v>
      </c>
      <c r="J2946" s="5" t="str">
        <f>IFERROR(VLOOKUP(Consulta1[[#This Row],[Pozo]],'Lista Oportunidades'!B:C,2,FALSE),"NO")</f>
        <v>NO</v>
      </c>
      <c r="K2946" s="5">
        <f>IFERROR(VLOOKUP(Consulta1[[#This Row],[Pozo largo]],Controles!B:H,7,FALSE),"NO")</f>
        <v>1.8800000000000001</v>
      </c>
      <c r="L2946" s="5">
        <f>IFERROR(VLOOKUP(Consulta1[[#This Row],[Pozo largo]],Controles!B:J,9,FALSE),"NO")</f>
        <v>0</v>
      </c>
    </row>
    <row r="2947" spans="2:12" x14ac:dyDescent="0.35">
      <c r="B2947" s="4" t="s">
        <v>5636</v>
      </c>
      <c r="C2947" s="4" t="s">
        <v>8647</v>
      </c>
      <c r="D2947" s="4" t="s">
        <v>5</v>
      </c>
      <c r="E2947" s="4" t="s">
        <v>12</v>
      </c>
      <c r="F2947" s="4" t="s">
        <v>7</v>
      </c>
      <c r="G2947" s="4" t="s">
        <v>13</v>
      </c>
      <c r="H2947" s="4" t="s">
        <v>71</v>
      </c>
      <c r="I2947" s="5" t="str">
        <f>IFERROR(VLOOKUP(Consulta1[[#This Row],[Pozo largo]],'Lista YPF'!$B$3:$C$358,2,FALSE),"NO")</f>
        <v>NO</v>
      </c>
      <c r="J2947" s="5" t="str">
        <f>IFERROR(VLOOKUP(Consulta1[[#This Row],[Pozo]],'Lista Oportunidades'!B:C,2,FALSE),"NO")</f>
        <v>NO</v>
      </c>
      <c r="K2947" s="5">
        <f>IFERROR(VLOOKUP(Consulta1[[#This Row],[Pozo largo]],Controles!B:H,7,FALSE),"NO")</f>
        <v>1.1000000000000001</v>
      </c>
      <c r="L2947" s="5">
        <f>IFERROR(VLOOKUP(Consulta1[[#This Row],[Pozo largo]],Controles!B:J,9,FALSE),"NO")</f>
        <v>0</v>
      </c>
    </row>
    <row r="2948" spans="2:12" x14ac:dyDescent="0.35">
      <c r="B2948" s="4" t="s">
        <v>5638</v>
      </c>
      <c r="C2948" s="4" t="s">
        <v>8648</v>
      </c>
      <c r="D2948" s="4" t="s">
        <v>5</v>
      </c>
      <c r="E2948" s="4" t="s">
        <v>30</v>
      </c>
      <c r="F2948" s="4" t="s">
        <v>31</v>
      </c>
      <c r="G2948" s="4" t="s">
        <v>32</v>
      </c>
      <c r="H2948" s="4" t="s">
        <v>9</v>
      </c>
      <c r="I2948" s="5" t="str">
        <f>IFERROR(VLOOKUP(Consulta1[[#This Row],[Pozo largo]],'Lista YPF'!$B$3:$C$358,2,FALSE),"NO")</f>
        <v>NO</v>
      </c>
      <c r="J2948" s="5" t="str">
        <f>IFERROR(VLOOKUP(Consulta1[[#This Row],[Pozo]],'Lista Oportunidades'!B:C,2,FALSE),"NO")</f>
        <v>NO</v>
      </c>
      <c r="K2948" s="5" t="str">
        <f>IFERROR(VLOOKUP(Consulta1[[#This Row],[Pozo largo]],Controles!B:H,7,FALSE),"NO")</f>
        <v>NO</v>
      </c>
      <c r="L2948" s="5" t="str">
        <f>IFERROR(VLOOKUP(Consulta1[[#This Row],[Pozo largo]],Controles!B:J,9,FALSE),"NO")</f>
        <v>NO</v>
      </c>
    </row>
    <row r="2949" spans="2:12" x14ac:dyDescent="0.35">
      <c r="B2949" s="4" t="s">
        <v>5639</v>
      </c>
      <c r="C2949" s="4" t="s">
        <v>8649</v>
      </c>
      <c r="D2949" s="4" t="s">
        <v>5</v>
      </c>
      <c r="E2949" s="4" t="s">
        <v>12</v>
      </c>
      <c r="F2949" s="4" t="s">
        <v>28</v>
      </c>
      <c r="G2949" s="4" t="s">
        <v>13</v>
      </c>
      <c r="H2949" s="4" t="s">
        <v>80</v>
      </c>
      <c r="I2949" s="5" t="str">
        <f>IFERROR(VLOOKUP(Consulta1[[#This Row],[Pozo largo]],'Lista YPF'!$B$3:$C$358,2,FALSE),"NO")</f>
        <v>NO</v>
      </c>
      <c r="J2949" s="5" t="str">
        <f>IFERROR(VLOOKUP(Consulta1[[#This Row],[Pozo]],'Lista Oportunidades'!B:C,2,FALSE),"NO")</f>
        <v>NO</v>
      </c>
      <c r="K2949" s="5">
        <f>IFERROR(VLOOKUP(Consulta1[[#This Row],[Pozo largo]],Controles!B:H,7,FALSE),"NO")</f>
        <v>0</v>
      </c>
      <c r="L2949" s="5">
        <f>IFERROR(VLOOKUP(Consulta1[[#This Row],[Pozo largo]],Controles!B:J,9,FALSE),"NO")</f>
        <v>0</v>
      </c>
    </row>
    <row r="2950" spans="2:12" x14ac:dyDescent="0.35">
      <c r="B2950" s="4" t="s">
        <v>5641</v>
      </c>
      <c r="C2950" s="4" t="s">
        <v>8650</v>
      </c>
      <c r="D2950" s="4" t="s">
        <v>5</v>
      </c>
      <c r="E2950" s="4" t="s">
        <v>12</v>
      </c>
      <c r="F2950" s="4" t="s">
        <v>238</v>
      </c>
      <c r="G2950" s="4" t="s">
        <v>13</v>
      </c>
      <c r="H2950" s="4" t="s">
        <v>21</v>
      </c>
      <c r="I2950" s="5" t="str">
        <f>IFERROR(VLOOKUP(Consulta1[[#This Row],[Pozo largo]],'Lista YPF'!$B$3:$C$358,2,FALSE),"NO")</f>
        <v>NO</v>
      </c>
      <c r="J2950" s="5" t="str">
        <f>IFERROR(VLOOKUP(Consulta1[[#This Row],[Pozo]],'Lista Oportunidades'!B:C,2,FALSE),"NO")</f>
        <v>NO</v>
      </c>
      <c r="K2950" s="5">
        <f>IFERROR(VLOOKUP(Consulta1[[#This Row],[Pozo largo]],Controles!B:H,7,FALSE),"NO")</f>
        <v>2.2600000000000002</v>
      </c>
      <c r="L2950" s="5">
        <f>IFERROR(VLOOKUP(Consulta1[[#This Row],[Pozo largo]],Controles!B:J,9,FALSE),"NO")</f>
        <v>0</v>
      </c>
    </row>
    <row r="2951" spans="2:12" x14ac:dyDescent="0.35">
      <c r="B2951" s="4" t="s">
        <v>5643</v>
      </c>
      <c r="C2951" s="4" t="s">
        <v>8651</v>
      </c>
      <c r="D2951" s="4" t="s">
        <v>5</v>
      </c>
      <c r="E2951" s="4" t="s">
        <v>12</v>
      </c>
      <c r="F2951" s="4" t="s">
        <v>7</v>
      </c>
      <c r="G2951" s="4" t="s">
        <v>13</v>
      </c>
      <c r="H2951" s="4" t="s">
        <v>86</v>
      </c>
      <c r="I2951" s="5" t="str">
        <f>IFERROR(VLOOKUP(Consulta1[[#This Row],[Pozo largo]],'Lista YPF'!$B$3:$C$358,2,FALSE),"NO")</f>
        <v>NO</v>
      </c>
      <c r="J2951" s="5" t="str">
        <f>IFERROR(VLOOKUP(Consulta1[[#This Row],[Pozo]],'Lista Oportunidades'!B:C,2,FALSE),"NO")</f>
        <v>NO</v>
      </c>
      <c r="K2951" s="5">
        <f>IFERROR(VLOOKUP(Consulta1[[#This Row],[Pozo largo]],Controles!B:H,7,FALSE),"NO")</f>
        <v>0.127</v>
      </c>
      <c r="L2951" s="5">
        <f>IFERROR(VLOOKUP(Consulta1[[#This Row],[Pozo largo]],Controles!B:J,9,FALSE),"NO")</f>
        <v>0</v>
      </c>
    </row>
    <row r="2952" spans="2:12" x14ac:dyDescent="0.35">
      <c r="B2952" s="4" t="s">
        <v>5645</v>
      </c>
      <c r="C2952" s="4" t="s">
        <v>8652</v>
      </c>
      <c r="D2952" s="4" t="s">
        <v>5</v>
      </c>
      <c r="E2952" s="4" t="s">
        <v>12</v>
      </c>
      <c r="F2952" s="4" t="s">
        <v>7</v>
      </c>
      <c r="G2952" s="4" t="s">
        <v>13</v>
      </c>
      <c r="H2952" s="4" t="s">
        <v>91</v>
      </c>
      <c r="I2952" s="5" t="str">
        <f>IFERROR(VLOOKUP(Consulta1[[#This Row],[Pozo largo]],'Lista YPF'!$B$3:$C$358,2,FALSE),"NO")</f>
        <v>NO</v>
      </c>
      <c r="J2952" s="5" t="str">
        <f>IFERROR(VLOOKUP(Consulta1[[#This Row],[Pozo]],'Lista Oportunidades'!B:C,2,FALSE),"NO")</f>
        <v>NO</v>
      </c>
      <c r="K2952" s="5">
        <f>IFERROR(VLOOKUP(Consulta1[[#This Row],[Pozo largo]],Controles!B:H,7,FALSE),"NO")</f>
        <v>0.44700000000000001</v>
      </c>
      <c r="L2952" s="5">
        <f>IFERROR(VLOOKUP(Consulta1[[#This Row],[Pozo largo]],Controles!B:J,9,FALSE),"NO")</f>
        <v>0</v>
      </c>
    </row>
    <row r="2953" spans="2:12" x14ac:dyDescent="0.35">
      <c r="B2953" s="4" t="s">
        <v>5647</v>
      </c>
      <c r="C2953" s="4" t="s">
        <v>8653</v>
      </c>
      <c r="D2953" s="4" t="s">
        <v>5</v>
      </c>
      <c r="E2953" s="4" t="s">
        <v>12</v>
      </c>
      <c r="F2953" s="4" t="s">
        <v>7</v>
      </c>
      <c r="G2953" s="4" t="s">
        <v>13</v>
      </c>
      <c r="H2953" s="4" t="s">
        <v>86</v>
      </c>
      <c r="I2953" s="5" t="str">
        <f>IFERROR(VLOOKUP(Consulta1[[#This Row],[Pozo largo]],'Lista YPF'!$B$3:$C$358,2,FALSE),"NO")</f>
        <v>NO</v>
      </c>
      <c r="J2953" s="5" t="str">
        <f>IFERROR(VLOOKUP(Consulta1[[#This Row],[Pozo]],'Lista Oportunidades'!B:C,2,FALSE),"NO")</f>
        <v>NO</v>
      </c>
      <c r="K2953" s="5">
        <f>IFERROR(VLOOKUP(Consulta1[[#This Row],[Pozo largo]],Controles!B:H,7,FALSE),"NO")</f>
        <v>1.508</v>
      </c>
      <c r="L2953" s="5">
        <f>IFERROR(VLOOKUP(Consulta1[[#This Row],[Pozo largo]],Controles!B:J,9,FALSE),"NO")</f>
        <v>0</v>
      </c>
    </row>
    <row r="2954" spans="2:12" x14ac:dyDescent="0.35">
      <c r="B2954" s="4" t="s">
        <v>5649</v>
      </c>
      <c r="C2954" s="4" t="s">
        <v>8654</v>
      </c>
      <c r="D2954" s="4" t="s">
        <v>5</v>
      </c>
      <c r="E2954" s="4" t="s">
        <v>12</v>
      </c>
      <c r="F2954" s="4" t="s">
        <v>25</v>
      </c>
      <c r="G2954" s="4" t="s">
        <v>13</v>
      </c>
      <c r="H2954" s="4" t="s">
        <v>254</v>
      </c>
      <c r="I2954" s="5" t="str">
        <f>IFERROR(VLOOKUP(Consulta1[[#This Row],[Pozo largo]],'Lista YPF'!$B$3:$C$358,2,FALSE),"NO")</f>
        <v>NO</v>
      </c>
      <c r="J2954" s="5" t="str">
        <f>IFERROR(VLOOKUP(Consulta1[[#This Row],[Pozo]],'Lista Oportunidades'!B:C,2,FALSE),"NO")</f>
        <v>NO</v>
      </c>
      <c r="K2954" s="5">
        <f>IFERROR(VLOOKUP(Consulta1[[#This Row],[Pozo largo]],Controles!B:H,7,FALSE),"NO")</f>
        <v>0.24</v>
      </c>
      <c r="L2954" s="5">
        <f>IFERROR(VLOOKUP(Consulta1[[#This Row],[Pozo largo]],Controles!B:J,9,FALSE),"NO")</f>
        <v>0</v>
      </c>
    </row>
    <row r="2955" spans="2:12" x14ac:dyDescent="0.35">
      <c r="B2955" s="4" t="s">
        <v>5651</v>
      </c>
      <c r="C2955" s="4" t="s">
        <v>8655</v>
      </c>
      <c r="D2955" s="4" t="s">
        <v>5</v>
      </c>
      <c r="E2955" s="4" t="s">
        <v>30</v>
      </c>
      <c r="F2955" s="4" t="s">
        <v>31</v>
      </c>
      <c r="G2955" s="4" t="s">
        <v>32</v>
      </c>
      <c r="H2955" s="4" t="s">
        <v>254</v>
      </c>
      <c r="I2955" s="5" t="str">
        <f>IFERROR(VLOOKUP(Consulta1[[#This Row],[Pozo largo]],'Lista YPF'!$B$3:$C$358,2,FALSE),"NO")</f>
        <v>NO</v>
      </c>
      <c r="J2955" s="5" t="str">
        <f>IFERROR(VLOOKUP(Consulta1[[#This Row],[Pozo]],'Lista Oportunidades'!B:C,2,FALSE),"NO")</f>
        <v>NO</v>
      </c>
      <c r="K2955" s="5">
        <f>IFERROR(VLOOKUP(Consulta1[[#This Row],[Pozo largo]],Controles!B:H,7,FALSE),"NO")</f>
        <v>0.45</v>
      </c>
      <c r="L2955" s="5">
        <f>IFERROR(VLOOKUP(Consulta1[[#This Row],[Pozo largo]],Controles!B:J,9,FALSE),"NO")</f>
        <v>0</v>
      </c>
    </row>
    <row r="2956" spans="2:12" x14ac:dyDescent="0.35">
      <c r="B2956" s="4" t="s">
        <v>5653</v>
      </c>
      <c r="C2956" s="4" t="s">
        <v>8656</v>
      </c>
      <c r="D2956" s="4" t="s">
        <v>5</v>
      </c>
      <c r="E2956" s="4" t="s">
        <v>12</v>
      </c>
      <c r="F2956" s="4" t="s">
        <v>1114</v>
      </c>
      <c r="G2956" s="4" t="s">
        <v>13</v>
      </c>
      <c r="H2956" s="4" t="s">
        <v>84</v>
      </c>
      <c r="I2956" s="5" t="str">
        <f>IFERROR(VLOOKUP(Consulta1[[#This Row],[Pozo largo]],'Lista YPF'!$B$3:$C$358,2,FALSE),"NO")</f>
        <v>NO</v>
      </c>
      <c r="J2956" s="5" t="str">
        <f>IFERROR(VLOOKUP(Consulta1[[#This Row],[Pozo]],'Lista Oportunidades'!B:C,2,FALSE),"NO")</f>
        <v>NO</v>
      </c>
      <c r="K2956" s="5">
        <f>IFERROR(VLOOKUP(Consulta1[[#This Row],[Pozo largo]],Controles!B:H,7,FALSE),"NO")</f>
        <v>1.26</v>
      </c>
      <c r="L2956" s="5">
        <f>IFERROR(VLOOKUP(Consulta1[[#This Row],[Pozo largo]],Controles!B:J,9,FALSE),"NO")</f>
        <v>0</v>
      </c>
    </row>
    <row r="2957" spans="2:12" x14ac:dyDescent="0.35">
      <c r="B2957" s="4" t="s">
        <v>5655</v>
      </c>
      <c r="C2957" s="4" t="s">
        <v>8657</v>
      </c>
      <c r="D2957" s="4" t="s">
        <v>5</v>
      </c>
      <c r="E2957" s="4" t="s">
        <v>6</v>
      </c>
      <c r="F2957" s="4" t="s">
        <v>7</v>
      </c>
      <c r="G2957" s="4" t="s">
        <v>11386</v>
      </c>
      <c r="H2957" s="4" t="s">
        <v>185</v>
      </c>
      <c r="I2957" s="5" t="str">
        <f>IFERROR(VLOOKUP(Consulta1[[#This Row],[Pozo largo]],'Lista YPF'!$B$3:$C$358,2,FALSE),"NO")</f>
        <v>NO</v>
      </c>
      <c r="J2957" s="5" t="str">
        <f>IFERROR(VLOOKUP(Consulta1[[#This Row],[Pozo]],'Lista Oportunidades'!B:C,2,FALSE),"NO")</f>
        <v>NO</v>
      </c>
      <c r="K2957" s="5">
        <f>IFERROR(VLOOKUP(Consulta1[[#This Row],[Pozo largo]],Controles!B:H,7,FALSE),"NO")</f>
        <v>1</v>
      </c>
      <c r="L2957" s="5" t="str">
        <f>IFERROR(VLOOKUP(Consulta1[[#This Row],[Pozo largo]],Controles!B:J,9,FALSE),"NO")</f>
        <v>Ultimos 6 meses</v>
      </c>
    </row>
    <row r="2958" spans="2:12" x14ac:dyDescent="0.35">
      <c r="B2958" s="4" t="s">
        <v>5657</v>
      </c>
      <c r="C2958" s="4" t="s">
        <v>8658</v>
      </c>
      <c r="D2958" s="4" t="s">
        <v>5</v>
      </c>
      <c r="E2958" s="4" t="s">
        <v>12</v>
      </c>
      <c r="F2958" s="4" t="s">
        <v>7</v>
      </c>
      <c r="G2958" s="4" t="s">
        <v>13</v>
      </c>
      <c r="H2958" s="4" t="s">
        <v>36</v>
      </c>
      <c r="I2958" s="5" t="str">
        <f>IFERROR(VLOOKUP(Consulta1[[#This Row],[Pozo largo]],'Lista YPF'!$B$3:$C$358,2,FALSE),"NO")</f>
        <v>NO</v>
      </c>
      <c r="J2958" s="5" t="str">
        <f>IFERROR(VLOOKUP(Consulta1[[#This Row],[Pozo]],'Lista Oportunidades'!B:C,2,FALSE),"NO")</f>
        <v>NO</v>
      </c>
      <c r="K2958" s="5">
        <f>IFERROR(VLOOKUP(Consulta1[[#This Row],[Pozo largo]],Controles!B:H,7,FALSE),"NO")</f>
        <v>1.0350000000000001</v>
      </c>
      <c r="L2958" s="5">
        <f>IFERROR(VLOOKUP(Consulta1[[#This Row],[Pozo largo]],Controles!B:J,9,FALSE),"NO")</f>
        <v>0</v>
      </c>
    </row>
    <row r="2959" spans="2:12" x14ac:dyDescent="0.35">
      <c r="B2959" s="4" t="s">
        <v>5659</v>
      </c>
      <c r="C2959" s="4" t="s">
        <v>8659</v>
      </c>
      <c r="D2959" s="4" t="s">
        <v>5</v>
      </c>
      <c r="E2959" s="4" t="s">
        <v>57</v>
      </c>
      <c r="F2959" s="4" t="s">
        <v>31</v>
      </c>
      <c r="G2959" s="4" t="s">
        <v>5718</v>
      </c>
      <c r="H2959" s="4" t="s">
        <v>149</v>
      </c>
      <c r="I2959" s="5" t="str">
        <f>IFERROR(VLOOKUP(Consulta1[[#This Row],[Pozo largo]],'Lista YPF'!$B$3:$C$358,2,FALSE),"NO")</f>
        <v>En lista de Abandono</v>
      </c>
      <c r="J2959" s="5" t="str">
        <f>IFERROR(VLOOKUP(Consulta1[[#This Row],[Pozo]],'Lista Oportunidades'!B:C,2,FALSE),"NO")</f>
        <v>NO</v>
      </c>
      <c r="K2959" s="5" t="str">
        <f>IFERROR(VLOOKUP(Consulta1[[#This Row],[Pozo largo]],Controles!B:H,7,FALSE),"NO")</f>
        <v>NO</v>
      </c>
      <c r="L2959" s="5" t="str">
        <f>IFERROR(VLOOKUP(Consulta1[[#This Row],[Pozo largo]],Controles!B:J,9,FALSE),"NO")</f>
        <v>NO</v>
      </c>
    </row>
    <row r="2960" spans="2:12" x14ac:dyDescent="0.35">
      <c r="B2960" s="4" t="s">
        <v>5660</v>
      </c>
      <c r="C2960" s="4" t="s">
        <v>8660</v>
      </c>
      <c r="D2960" s="4" t="s">
        <v>5</v>
      </c>
      <c r="E2960" s="4" t="s">
        <v>12</v>
      </c>
      <c r="F2960" s="4" t="s">
        <v>28</v>
      </c>
      <c r="G2960" s="4" t="s">
        <v>13</v>
      </c>
      <c r="H2960" s="4" t="s">
        <v>16</v>
      </c>
      <c r="I2960" s="5" t="str">
        <f>IFERROR(VLOOKUP(Consulta1[[#This Row],[Pozo largo]],'Lista YPF'!$B$3:$C$358,2,FALSE),"NO")</f>
        <v>NO</v>
      </c>
      <c r="J2960" s="5" t="str">
        <f>IFERROR(VLOOKUP(Consulta1[[#This Row],[Pozo]],'Lista Oportunidades'!B:C,2,FALSE),"NO")</f>
        <v>NO</v>
      </c>
      <c r="K2960" s="5">
        <f>IFERROR(VLOOKUP(Consulta1[[#This Row],[Pozo largo]],Controles!B:H,7,FALSE),"NO")</f>
        <v>0</v>
      </c>
      <c r="L2960" s="5">
        <f>IFERROR(VLOOKUP(Consulta1[[#This Row],[Pozo largo]],Controles!B:J,9,FALSE),"NO")</f>
        <v>0</v>
      </c>
    </row>
    <row r="2961" spans="2:12" x14ac:dyDescent="0.35">
      <c r="B2961" s="4" t="s">
        <v>5662</v>
      </c>
      <c r="C2961" s="4" t="s">
        <v>8661</v>
      </c>
      <c r="D2961" s="4" t="s">
        <v>5</v>
      </c>
      <c r="E2961" s="4" t="s">
        <v>12</v>
      </c>
      <c r="F2961" s="4" t="s">
        <v>7</v>
      </c>
      <c r="G2961" s="4" t="s">
        <v>13</v>
      </c>
      <c r="H2961" s="4" t="s">
        <v>185</v>
      </c>
      <c r="I2961" s="5" t="str">
        <f>IFERROR(VLOOKUP(Consulta1[[#This Row],[Pozo largo]],'Lista YPF'!$B$3:$C$358,2,FALSE),"NO")</f>
        <v>NO</v>
      </c>
      <c r="J2961" s="5" t="str">
        <f>IFERROR(VLOOKUP(Consulta1[[#This Row],[Pozo]],'Lista Oportunidades'!B:C,2,FALSE),"NO")</f>
        <v>NO</v>
      </c>
      <c r="K2961" s="5">
        <f>IFERROR(VLOOKUP(Consulta1[[#This Row],[Pozo largo]],Controles!B:H,7,FALSE),"NO")</f>
        <v>2.0680000000000001</v>
      </c>
      <c r="L2961" s="5">
        <f>IFERROR(VLOOKUP(Consulta1[[#This Row],[Pozo largo]],Controles!B:J,9,FALSE),"NO")</f>
        <v>0</v>
      </c>
    </row>
    <row r="2962" spans="2:12" x14ac:dyDescent="0.35">
      <c r="B2962" s="4" t="s">
        <v>5664</v>
      </c>
      <c r="C2962" s="4" t="s">
        <v>8662</v>
      </c>
      <c r="D2962" s="4" t="s">
        <v>5</v>
      </c>
      <c r="E2962" s="4" t="s">
        <v>24</v>
      </c>
      <c r="F2962" s="4" t="s">
        <v>25</v>
      </c>
      <c r="G2962" s="4" t="s">
        <v>8</v>
      </c>
      <c r="H2962" s="4" t="s">
        <v>91</v>
      </c>
      <c r="I2962" s="5" t="str">
        <f>IFERROR(VLOOKUP(Consulta1[[#This Row],[Pozo largo]],'Lista YPF'!$B$3:$C$358,2,FALSE),"NO")</f>
        <v>NO</v>
      </c>
      <c r="J2962" s="5" t="str">
        <f>IFERROR(VLOOKUP(Consulta1[[#This Row],[Pozo]],'Lista Oportunidades'!B:C,2,FALSE),"NO")</f>
        <v>NO</v>
      </c>
      <c r="K2962" s="5">
        <f>IFERROR(VLOOKUP(Consulta1[[#This Row],[Pozo largo]],Controles!B:H,7,FALSE),"NO")</f>
        <v>1.5000000000000001E-2</v>
      </c>
      <c r="L2962" s="5">
        <f>IFERROR(VLOOKUP(Consulta1[[#This Row],[Pozo largo]],Controles!B:J,9,FALSE),"NO")</f>
        <v>0</v>
      </c>
    </row>
    <row r="2963" spans="2:12" x14ac:dyDescent="0.35">
      <c r="B2963" s="4" t="s">
        <v>5666</v>
      </c>
      <c r="C2963" s="4" t="s">
        <v>8663</v>
      </c>
      <c r="D2963" s="4" t="s">
        <v>5</v>
      </c>
      <c r="E2963" s="4" t="s">
        <v>30</v>
      </c>
      <c r="F2963" s="4" t="s">
        <v>31</v>
      </c>
      <c r="G2963" s="4" t="s">
        <v>32</v>
      </c>
      <c r="H2963" s="4" t="s">
        <v>86</v>
      </c>
      <c r="I2963" s="5" t="str">
        <f>IFERROR(VLOOKUP(Consulta1[[#This Row],[Pozo largo]],'Lista YPF'!$B$3:$C$358,2,FALSE),"NO")</f>
        <v>NO</v>
      </c>
      <c r="J2963" s="5" t="str">
        <f>IFERROR(VLOOKUP(Consulta1[[#This Row],[Pozo]],'Lista Oportunidades'!B:C,2,FALSE),"NO")</f>
        <v>NO</v>
      </c>
      <c r="K2963" s="5">
        <f>IFERROR(VLOOKUP(Consulta1[[#This Row],[Pozo largo]],Controles!B:H,7,FALSE),"NO")</f>
        <v>0</v>
      </c>
      <c r="L2963" s="5">
        <f>IFERROR(VLOOKUP(Consulta1[[#This Row],[Pozo largo]],Controles!B:J,9,FALSE),"NO")</f>
        <v>0</v>
      </c>
    </row>
    <row r="2964" spans="2:12" x14ac:dyDescent="0.35">
      <c r="B2964" s="4" t="s">
        <v>5668</v>
      </c>
      <c r="C2964" s="4" t="s">
        <v>8664</v>
      </c>
      <c r="D2964" s="4" t="s">
        <v>5</v>
      </c>
      <c r="E2964" s="4" t="s">
        <v>12</v>
      </c>
      <c r="F2964" s="4" t="s">
        <v>25</v>
      </c>
      <c r="G2964" s="4" t="s">
        <v>13</v>
      </c>
      <c r="H2964" s="4" t="s">
        <v>86</v>
      </c>
      <c r="I2964" s="5" t="str">
        <f>IFERROR(VLOOKUP(Consulta1[[#This Row],[Pozo largo]],'Lista YPF'!$B$3:$C$358,2,FALSE),"NO")</f>
        <v>NO</v>
      </c>
      <c r="J2964" s="5" t="str">
        <f>IFERROR(VLOOKUP(Consulta1[[#This Row],[Pozo]],'Lista Oportunidades'!B:C,2,FALSE),"NO")</f>
        <v>NO</v>
      </c>
      <c r="K2964" s="5">
        <f>IFERROR(VLOOKUP(Consulta1[[#This Row],[Pozo largo]],Controles!B:H,7,FALSE),"NO")</f>
        <v>0.32</v>
      </c>
      <c r="L2964" s="5">
        <f>IFERROR(VLOOKUP(Consulta1[[#This Row],[Pozo largo]],Controles!B:J,9,FALSE),"NO")</f>
        <v>0</v>
      </c>
    </row>
    <row r="2965" spans="2:12" x14ac:dyDescent="0.35">
      <c r="B2965" s="4" t="s">
        <v>5670</v>
      </c>
      <c r="C2965" s="4" t="s">
        <v>8665</v>
      </c>
      <c r="D2965" s="4" t="s">
        <v>5</v>
      </c>
      <c r="E2965" s="4" t="s">
        <v>12</v>
      </c>
      <c r="F2965" s="4" t="s">
        <v>7</v>
      </c>
      <c r="G2965" s="4" t="s">
        <v>13</v>
      </c>
      <c r="H2965" s="4" t="s">
        <v>80</v>
      </c>
      <c r="I2965" s="5" t="str">
        <f>IFERROR(VLOOKUP(Consulta1[[#This Row],[Pozo largo]],'Lista YPF'!$B$3:$C$358,2,FALSE),"NO")</f>
        <v>NO</v>
      </c>
      <c r="J2965" s="5" t="str">
        <f>IFERROR(VLOOKUP(Consulta1[[#This Row],[Pozo]],'Lista Oportunidades'!B:C,2,FALSE),"NO")</f>
        <v>NO</v>
      </c>
      <c r="K2965" s="5">
        <f>IFERROR(VLOOKUP(Consulta1[[#This Row],[Pozo largo]],Controles!B:H,7,FALSE),"NO")</f>
        <v>1.722</v>
      </c>
      <c r="L2965" s="5">
        <f>IFERROR(VLOOKUP(Consulta1[[#This Row],[Pozo largo]],Controles!B:J,9,FALSE),"NO")</f>
        <v>0</v>
      </c>
    </row>
    <row r="2966" spans="2:12" x14ac:dyDescent="0.35">
      <c r="B2966" s="4" t="s">
        <v>5672</v>
      </c>
      <c r="C2966" s="4" t="s">
        <v>8666</v>
      </c>
      <c r="D2966" s="4" t="s">
        <v>5</v>
      </c>
      <c r="E2966" s="4" t="s">
        <v>12</v>
      </c>
      <c r="F2966" s="4" t="s">
        <v>25</v>
      </c>
      <c r="G2966" s="4" t="s">
        <v>13</v>
      </c>
      <c r="H2966" s="4" t="s">
        <v>91</v>
      </c>
      <c r="I2966" s="5" t="str">
        <f>IFERROR(VLOOKUP(Consulta1[[#This Row],[Pozo largo]],'Lista YPF'!$B$3:$C$358,2,FALSE),"NO")</f>
        <v>NO</v>
      </c>
      <c r="J2966" s="5" t="str">
        <f>IFERROR(VLOOKUP(Consulta1[[#This Row],[Pozo]],'Lista Oportunidades'!B:C,2,FALSE),"NO")</f>
        <v>NO</v>
      </c>
      <c r="K2966" s="5">
        <f>IFERROR(VLOOKUP(Consulta1[[#This Row],[Pozo largo]],Controles!B:H,7,FALSE),"NO")</f>
        <v>0.10500000000000001</v>
      </c>
      <c r="L2966" s="5">
        <f>IFERROR(VLOOKUP(Consulta1[[#This Row],[Pozo largo]],Controles!B:J,9,FALSE),"NO")</f>
        <v>0</v>
      </c>
    </row>
    <row r="2967" spans="2:12" x14ac:dyDescent="0.35">
      <c r="B2967" s="4" t="s">
        <v>5674</v>
      </c>
      <c r="C2967" s="4" t="s">
        <v>8667</v>
      </c>
      <c r="D2967" s="4" t="s">
        <v>5</v>
      </c>
      <c r="E2967" s="4" t="s">
        <v>24</v>
      </c>
      <c r="F2967" s="4" t="s">
        <v>25</v>
      </c>
      <c r="G2967" s="4" t="s">
        <v>8</v>
      </c>
      <c r="H2967" s="4" t="s">
        <v>91</v>
      </c>
      <c r="I2967" s="5" t="str">
        <f>IFERROR(VLOOKUP(Consulta1[[#This Row],[Pozo largo]],'Lista YPF'!$B$3:$C$358,2,FALSE),"NO")</f>
        <v>NO</v>
      </c>
      <c r="J2967" s="5" t="str">
        <f>IFERROR(VLOOKUP(Consulta1[[#This Row],[Pozo]],'Lista Oportunidades'!B:C,2,FALSE),"NO")</f>
        <v>NO</v>
      </c>
      <c r="K2967" s="5">
        <f>IFERROR(VLOOKUP(Consulta1[[#This Row],[Pozo largo]],Controles!B:H,7,FALSE),"NO")</f>
        <v>0.01</v>
      </c>
      <c r="L2967" s="5">
        <f>IFERROR(VLOOKUP(Consulta1[[#This Row],[Pozo largo]],Controles!B:J,9,FALSE),"NO")</f>
        <v>0</v>
      </c>
    </row>
    <row r="2968" spans="2:12" x14ac:dyDescent="0.35">
      <c r="B2968" s="4" t="s">
        <v>5676</v>
      </c>
      <c r="C2968" s="4" t="s">
        <v>8668</v>
      </c>
      <c r="D2968" s="4" t="s">
        <v>5</v>
      </c>
      <c r="E2968" s="4" t="s">
        <v>12</v>
      </c>
      <c r="F2968" s="4" t="s">
        <v>28</v>
      </c>
      <c r="G2968" s="4" t="s">
        <v>13</v>
      </c>
      <c r="H2968" s="4" t="s">
        <v>86</v>
      </c>
      <c r="I2968" s="5" t="str">
        <f>IFERROR(VLOOKUP(Consulta1[[#This Row],[Pozo largo]],'Lista YPF'!$B$3:$C$358,2,FALSE),"NO")</f>
        <v>NO</v>
      </c>
      <c r="J2968" s="5" t="str">
        <f>IFERROR(VLOOKUP(Consulta1[[#This Row],[Pozo]],'Lista Oportunidades'!B:C,2,FALSE),"NO")</f>
        <v>NO</v>
      </c>
      <c r="K2968" s="5">
        <f>IFERROR(VLOOKUP(Consulta1[[#This Row],[Pozo largo]],Controles!B:H,7,FALSE),"NO")</f>
        <v>0</v>
      </c>
      <c r="L2968" s="5">
        <f>IFERROR(VLOOKUP(Consulta1[[#This Row],[Pozo largo]],Controles!B:J,9,FALSE),"NO")</f>
        <v>0</v>
      </c>
    </row>
    <row r="2969" spans="2:12" x14ac:dyDescent="0.35">
      <c r="B2969" s="4" t="s">
        <v>5678</v>
      </c>
      <c r="C2969" s="4" t="s">
        <v>8669</v>
      </c>
      <c r="D2969" s="4" t="s">
        <v>5</v>
      </c>
      <c r="E2969" s="4" t="s">
        <v>12</v>
      </c>
      <c r="F2969" s="4" t="s">
        <v>83</v>
      </c>
      <c r="G2969" s="4" t="s">
        <v>13</v>
      </c>
      <c r="H2969" s="4" t="s">
        <v>146</v>
      </c>
      <c r="I2969" s="5" t="str">
        <f>IFERROR(VLOOKUP(Consulta1[[#This Row],[Pozo largo]],'Lista YPF'!$B$3:$C$358,2,FALSE),"NO")</f>
        <v>NO</v>
      </c>
      <c r="J2969" s="5" t="str">
        <f>IFERROR(VLOOKUP(Consulta1[[#This Row],[Pozo]],'Lista Oportunidades'!B:C,2,FALSE),"NO")</f>
        <v>NO</v>
      </c>
      <c r="K2969" s="5">
        <f>IFERROR(VLOOKUP(Consulta1[[#This Row],[Pozo largo]],Controles!B:H,7,FALSE),"NO")</f>
        <v>0.77500000000000002</v>
      </c>
      <c r="L2969" s="5">
        <f>IFERROR(VLOOKUP(Consulta1[[#This Row],[Pozo largo]],Controles!B:J,9,FALSE),"NO")</f>
        <v>0</v>
      </c>
    </row>
    <row r="2970" spans="2:12" x14ac:dyDescent="0.35">
      <c r="B2970" s="4" t="s">
        <v>5680</v>
      </c>
      <c r="C2970" s="4" t="s">
        <v>8670</v>
      </c>
      <c r="D2970" s="4" t="s">
        <v>5</v>
      </c>
      <c r="E2970" s="4" t="s">
        <v>12</v>
      </c>
      <c r="F2970" s="4" t="s">
        <v>7</v>
      </c>
      <c r="G2970" s="4" t="s">
        <v>13</v>
      </c>
      <c r="H2970" s="4" t="s">
        <v>71</v>
      </c>
      <c r="I2970" s="5" t="str">
        <f>IFERROR(VLOOKUP(Consulta1[[#This Row],[Pozo largo]],'Lista YPF'!$B$3:$C$358,2,FALSE),"NO")</f>
        <v>NO</v>
      </c>
      <c r="J2970" s="5" t="str">
        <f>IFERROR(VLOOKUP(Consulta1[[#This Row],[Pozo]],'Lista Oportunidades'!B:C,2,FALSE),"NO")</f>
        <v>NO</v>
      </c>
      <c r="K2970" s="5">
        <f>IFERROR(VLOOKUP(Consulta1[[#This Row],[Pozo largo]],Controles!B:H,7,FALSE),"NO")</f>
        <v>2</v>
      </c>
      <c r="L2970" s="5">
        <f>IFERROR(VLOOKUP(Consulta1[[#This Row],[Pozo largo]],Controles!B:J,9,FALSE),"NO")</f>
        <v>0</v>
      </c>
    </row>
    <row r="2971" spans="2:12" x14ac:dyDescent="0.35">
      <c r="B2971" s="4" t="s">
        <v>5682</v>
      </c>
      <c r="C2971" s="4" t="s">
        <v>8671</v>
      </c>
      <c r="D2971" s="4" t="s">
        <v>5</v>
      </c>
      <c r="E2971" s="4" t="s">
        <v>24</v>
      </c>
      <c r="F2971" s="4" t="s">
        <v>7</v>
      </c>
      <c r="G2971" s="4" t="s">
        <v>8</v>
      </c>
      <c r="H2971" s="4" t="s">
        <v>185</v>
      </c>
      <c r="I2971" s="5" t="str">
        <f>IFERROR(VLOOKUP(Consulta1[[#This Row],[Pozo largo]],'Lista YPF'!$B$3:$C$358,2,FALSE),"NO")</f>
        <v>NO</v>
      </c>
      <c r="J2971" s="5" t="str">
        <f>IFERROR(VLOOKUP(Consulta1[[#This Row],[Pozo]],'Lista Oportunidades'!B:C,2,FALSE),"NO")</f>
        <v>NO</v>
      </c>
      <c r="K2971" s="5">
        <f>IFERROR(VLOOKUP(Consulta1[[#This Row],[Pozo largo]],Controles!B:H,7,FALSE),"NO")</f>
        <v>0.47000000000000003</v>
      </c>
      <c r="L2971" s="5">
        <f>IFERROR(VLOOKUP(Consulta1[[#This Row],[Pozo largo]],Controles!B:J,9,FALSE),"NO")</f>
        <v>0</v>
      </c>
    </row>
    <row r="2972" spans="2:12" x14ac:dyDescent="0.35">
      <c r="B2972" s="4" t="s">
        <v>5684</v>
      </c>
      <c r="C2972" s="4" t="s">
        <v>8672</v>
      </c>
      <c r="D2972" s="4" t="s">
        <v>5</v>
      </c>
      <c r="E2972" s="4" t="s">
        <v>57</v>
      </c>
      <c r="F2972" s="4" t="s">
        <v>7</v>
      </c>
      <c r="G2972" s="4" t="s">
        <v>5718</v>
      </c>
      <c r="H2972" s="4" t="s">
        <v>185</v>
      </c>
      <c r="I2972" s="5" t="str">
        <f>IFERROR(VLOOKUP(Consulta1[[#This Row],[Pozo largo]],'Lista YPF'!$B$3:$C$358,2,FALSE),"NO")</f>
        <v>En lista de Abandono</v>
      </c>
      <c r="J2972" s="5" t="str">
        <f>IFERROR(VLOOKUP(Consulta1[[#This Row],[Pozo]],'Lista Oportunidades'!B:C,2,FALSE),"NO")</f>
        <v>NO</v>
      </c>
      <c r="K2972" s="5">
        <f>IFERROR(VLOOKUP(Consulta1[[#This Row],[Pozo largo]],Controles!B:H,7,FALSE),"NO")</f>
        <v>0.96600000000000008</v>
      </c>
      <c r="L2972" s="5">
        <f>IFERROR(VLOOKUP(Consulta1[[#This Row],[Pozo largo]],Controles!B:J,9,FALSE),"NO")</f>
        <v>0</v>
      </c>
    </row>
    <row r="2973" spans="2:12" x14ac:dyDescent="0.35">
      <c r="B2973" s="4" t="s">
        <v>5686</v>
      </c>
      <c r="C2973" s="4" t="s">
        <v>8673</v>
      </c>
      <c r="D2973" s="4" t="s">
        <v>5</v>
      </c>
      <c r="E2973" s="4" t="s">
        <v>12</v>
      </c>
      <c r="F2973" s="4" t="s">
        <v>25</v>
      </c>
      <c r="G2973" s="4" t="s">
        <v>13</v>
      </c>
      <c r="H2973" s="4" t="s">
        <v>185</v>
      </c>
      <c r="I2973" s="5" t="str">
        <f>IFERROR(VLOOKUP(Consulta1[[#This Row],[Pozo largo]],'Lista YPF'!$B$3:$C$358,2,FALSE),"NO")</f>
        <v>NO</v>
      </c>
      <c r="J2973" s="5" t="str">
        <f>IFERROR(VLOOKUP(Consulta1[[#This Row],[Pozo]],'Lista Oportunidades'!B:C,2,FALSE),"NO")</f>
        <v>NO</v>
      </c>
      <c r="K2973" s="5">
        <f>IFERROR(VLOOKUP(Consulta1[[#This Row],[Pozo largo]],Controles!B:H,7,FALSE),"NO")</f>
        <v>0.10300000000000001</v>
      </c>
      <c r="L2973" s="5">
        <f>IFERROR(VLOOKUP(Consulta1[[#This Row],[Pozo largo]],Controles!B:J,9,FALSE),"NO")</f>
        <v>0</v>
      </c>
    </row>
    <row r="2974" spans="2:12" x14ac:dyDescent="0.35">
      <c r="B2974" s="4" t="s">
        <v>5688</v>
      </c>
      <c r="C2974" s="4" t="s">
        <v>8674</v>
      </c>
      <c r="D2974" s="4" t="s">
        <v>5</v>
      </c>
      <c r="E2974" s="4" t="s">
        <v>12</v>
      </c>
      <c r="F2974" s="4" t="s">
        <v>7</v>
      </c>
      <c r="G2974" s="4" t="s">
        <v>13</v>
      </c>
      <c r="H2974" s="4" t="s">
        <v>185</v>
      </c>
      <c r="I2974" s="5" t="str">
        <f>IFERROR(VLOOKUP(Consulta1[[#This Row],[Pozo largo]],'Lista YPF'!$B$3:$C$358,2,FALSE),"NO")</f>
        <v>NO</v>
      </c>
      <c r="J2974" s="5" t="str">
        <f>IFERROR(VLOOKUP(Consulta1[[#This Row],[Pozo]],'Lista Oportunidades'!B:C,2,FALSE),"NO")</f>
        <v>NO</v>
      </c>
      <c r="K2974" s="5">
        <f>IFERROR(VLOOKUP(Consulta1[[#This Row],[Pozo largo]],Controles!B:H,7,FALSE),"NO")</f>
        <v>2.0100000000000002</v>
      </c>
      <c r="L2974" s="5">
        <f>IFERROR(VLOOKUP(Consulta1[[#This Row],[Pozo largo]],Controles!B:J,9,FALSE),"NO")</f>
        <v>0</v>
      </c>
    </row>
    <row r="2975" spans="2:12" x14ac:dyDescent="0.35">
      <c r="B2975" s="4" t="s">
        <v>5690</v>
      </c>
      <c r="C2975" s="4" t="s">
        <v>8675</v>
      </c>
      <c r="D2975" s="4" t="s">
        <v>5</v>
      </c>
      <c r="E2975" s="4" t="s">
        <v>12</v>
      </c>
      <c r="F2975" s="4" t="s">
        <v>25</v>
      </c>
      <c r="G2975" s="4" t="s">
        <v>13</v>
      </c>
      <c r="H2975" s="4" t="s">
        <v>141</v>
      </c>
      <c r="I2975" s="5" t="str">
        <f>IFERROR(VLOOKUP(Consulta1[[#This Row],[Pozo largo]],'Lista YPF'!$B$3:$C$358,2,FALSE),"NO")</f>
        <v>NO</v>
      </c>
      <c r="J2975" s="5" t="str">
        <f>IFERROR(VLOOKUP(Consulta1[[#This Row],[Pozo]],'Lista Oportunidades'!B:C,2,FALSE),"NO")</f>
        <v>NO</v>
      </c>
      <c r="K2975" s="5">
        <f>IFERROR(VLOOKUP(Consulta1[[#This Row],[Pozo largo]],Controles!B:H,7,FALSE),"NO")</f>
        <v>0.10400000000000001</v>
      </c>
      <c r="L2975" s="5">
        <f>IFERROR(VLOOKUP(Consulta1[[#This Row],[Pozo largo]],Controles!B:J,9,FALSE),"NO")</f>
        <v>0</v>
      </c>
    </row>
    <row r="2976" spans="2:12" x14ac:dyDescent="0.35">
      <c r="B2976" s="4" t="s">
        <v>5692</v>
      </c>
      <c r="C2976" s="4" t="s">
        <v>8676</v>
      </c>
      <c r="D2976" s="4" t="s">
        <v>5</v>
      </c>
      <c r="E2976" s="4" t="s">
        <v>24</v>
      </c>
      <c r="F2976" s="4" t="s">
        <v>31</v>
      </c>
      <c r="G2976" s="4" t="s">
        <v>8</v>
      </c>
      <c r="H2976" s="4" t="s">
        <v>71</v>
      </c>
      <c r="I2976" s="5" t="str">
        <f>IFERROR(VLOOKUP(Consulta1[[#This Row],[Pozo largo]],'Lista YPF'!$B$3:$C$358,2,FALSE),"NO")</f>
        <v>NO</v>
      </c>
      <c r="J2976" s="5" t="str">
        <f>IFERROR(VLOOKUP(Consulta1[[#This Row],[Pozo]],'Lista Oportunidades'!B:C,2,FALSE),"NO")</f>
        <v>NO</v>
      </c>
      <c r="K2976" s="5">
        <f>IFERROR(VLOOKUP(Consulta1[[#This Row],[Pozo largo]],Controles!B:H,7,FALSE),"NO")</f>
        <v>1.03</v>
      </c>
      <c r="L2976" s="5">
        <f>IFERROR(VLOOKUP(Consulta1[[#This Row],[Pozo largo]],Controles!B:J,9,FALSE),"NO")</f>
        <v>0</v>
      </c>
    </row>
    <row r="2977" spans="2:12" x14ac:dyDescent="0.35">
      <c r="B2977" s="4" t="s">
        <v>5694</v>
      </c>
      <c r="C2977" s="4" t="s">
        <v>8677</v>
      </c>
      <c r="D2977" s="4" t="s">
        <v>5</v>
      </c>
      <c r="E2977" s="4" t="s">
        <v>12</v>
      </c>
      <c r="F2977" s="4" t="s">
        <v>7</v>
      </c>
      <c r="G2977" s="4" t="s">
        <v>13</v>
      </c>
      <c r="H2977" s="4" t="s">
        <v>74</v>
      </c>
      <c r="I2977" s="5" t="str">
        <f>IFERROR(VLOOKUP(Consulta1[[#This Row],[Pozo largo]],'Lista YPF'!$B$3:$C$358,2,FALSE),"NO")</f>
        <v>NO</v>
      </c>
      <c r="J2977" s="5" t="str">
        <f>IFERROR(VLOOKUP(Consulta1[[#This Row],[Pozo]],'Lista Oportunidades'!B:C,2,FALSE),"NO")</f>
        <v>NO</v>
      </c>
      <c r="K2977" s="5">
        <f>IFERROR(VLOOKUP(Consulta1[[#This Row],[Pozo largo]],Controles!B:H,7,FALSE),"NO")</f>
        <v>4.05</v>
      </c>
      <c r="L2977" s="5">
        <f>IFERROR(VLOOKUP(Consulta1[[#This Row],[Pozo largo]],Controles!B:J,9,FALSE),"NO")</f>
        <v>0</v>
      </c>
    </row>
    <row r="2978" spans="2:12" x14ac:dyDescent="0.35">
      <c r="B2978" s="4" t="s">
        <v>5696</v>
      </c>
      <c r="C2978" s="4" t="s">
        <v>8678</v>
      </c>
      <c r="D2978" s="4" t="s">
        <v>5</v>
      </c>
      <c r="E2978" s="4" t="s">
        <v>12</v>
      </c>
      <c r="F2978" s="4" t="s">
        <v>7</v>
      </c>
      <c r="G2978" s="4" t="s">
        <v>13</v>
      </c>
      <c r="H2978" s="4" t="s">
        <v>80</v>
      </c>
      <c r="I2978" s="5" t="str">
        <f>IFERROR(VLOOKUP(Consulta1[[#This Row],[Pozo largo]],'Lista YPF'!$B$3:$C$358,2,FALSE),"NO")</f>
        <v>NO</v>
      </c>
      <c r="J2978" s="5" t="str">
        <f>IFERROR(VLOOKUP(Consulta1[[#This Row],[Pozo]],'Lista Oportunidades'!B:C,2,FALSE),"NO")</f>
        <v>NO</v>
      </c>
      <c r="K2978" s="5">
        <f>IFERROR(VLOOKUP(Consulta1[[#This Row],[Pozo largo]],Controles!B:H,7,FALSE),"NO")</f>
        <v>0.32</v>
      </c>
      <c r="L2978" s="5">
        <f>IFERROR(VLOOKUP(Consulta1[[#This Row],[Pozo largo]],Controles!B:J,9,FALSE),"NO")</f>
        <v>0</v>
      </c>
    </row>
    <row r="2979" spans="2:12" x14ac:dyDescent="0.35">
      <c r="B2979" s="4" t="s">
        <v>5698</v>
      </c>
      <c r="C2979" s="4" t="s">
        <v>8679</v>
      </c>
      <c r="D2979" s="4" t="s">
        <v>5</v>
      </c>
      <c r="E2979" s="4" t="s">
        <v>24</v>
      </c>
      <c r="F2979" s="4" t="s">
        <v>25</v>
      </c>
      <c r="G2979" s="4" t="s">
        <v>8</v>
      </c>
      <c r="H2979" s="4" t="s">
        <v>86</v>
      </c>
      <c r="I2979" s="5" t="str">
        <f>IFERROR(VLOOKUP(Consulta1[[#This Row],[Pozo largo]],'Lista YPF'!$B$3:$C$358,2,FALSE),"NO")</f>
        <v>NO</v>
      </c>
      <c r="J2979" s="5" t="str">
        <f>IFERROR(VLOOKUP(Consulta1[[#This Row],[Pozo]],'Lista Oportunidades'!B:C,2,FALSE),"NO")</f>
        <v>NO</v>
      </c>
      <c r="K2979" s="5">
        <f>IFERROR(VLOOKUP(Consulta1[[#This Row],[Pozo largo]],Controles!B:H,7,FALSE),"NO")</f>
        <v>9.7000000000000003E-2</v>
      </c>
      <c r="L2979" s="5">
        <f>IFERROR(VLOOKUP(Consulta1[[#This Row],[Pozo largo]],Controles!B:J,9,FALSE),"NO")</f>
        <v>0</v>
      </c>
    </row>
    <row r="2980" spans="2:12" x14ac:dyDescent="0.35">
      <c r="B2980" s="4" t="s">
        <v>5700</v>
      </c>
      <c r="C2980" s="4" t="s">
        <v>8680</v>
      </c>
      <c r="D2980" s="4" t="s">
        <v>5</v>
      </c>
      <c r="E2980" s="4" t="s">
        <v>12</v>
      </c>
      <c r="F2980" s="4" t="s">
        <v>7</v>
      </c>
      <c r="G2980" s="4" t="s">
        <v>13</v>
      </c>
      <c r="H2980" s="4" t="s">
        <v>86</v>
      </c>
      <c r="I2980" s="5" t="str">
        <f>IFERROR(VLOOKUP(Consulta1[[#This Row],[Pozo largo]],'Lista YPF'!$B$3:$C$358,2,FALSE),"NO")</f>
        <v>NO</v>
      </c>
      <c r="J2980" s="5" t="str">
        <f>IFERROR(VLOOKUP(Consulta1[[#This Row],[Pozo]],'Lista Oportunidades'!B:C,2,FALSE),"NO")</f>
        <v>NO</v>
      </c>
      <c r="K2980" s="5">
        <f>IFERROR(VLOOKUP(Consulta1[[#This Row],[Pozo largo]],Controles!B:H,7,FALSE),"NO")</f>
        <v>0.36</v>
      </c>
      <c r="L2980" s="5">
        <f>IFERROR(VLOOKUP(Consulta1[[#This Row],[Pozo largo]],Controles!B:J,9,FALSE),"NO")</f>
        <v>0</v>
      </c>
    </row>
    <row r="2981" spans="2:12" x14ac:dyDescent="0.35">
      <c r="B2981" s="4" t="s">
        <v>5702</v>
      </c>
      <c r="C2981" s="4" t="s">
        <v>8681</v>
      </c>
      <c r="D2981" s="4" t="s">
        <v>5</v>
      </c>
      <c r="E2981" s="4" t="s">
        <v>4603</v>
      </c>
      <c r="F2981" s="4" t="s">
        <v>31</v>
      </c>
      <c r="G2981" s="4" t="s">
        <v>8</v>
      </c>
      <c r="I2981" s="5" t="str">
        <f>IFERROR(VLOOKUP(Consulta1[[#This Row],[Pozo largo]],'Lista YPF'!$B$3:$C$358,2,FALSE),"NO")</f>
        <v>NO</v>
      </c>
      <c r="J2981" s="5" t="str">
        <f>IFERROR(VLOOKUP(Consulta1[[#This Row],[Pozo]],'Lista Oportunidades'!B:C,2,FALSE),"NO")</f>
        <v>NO</v>
      </c>
      <c r="K2981" s="5" t="str">
        <f>IFERROR(VLOOKUP(Consulta1[[#This Row],[Pozo largo]],Controles!B:H,7,FALSE),"NO")</f>
        <v>NO</v>
      </c>
      <c r="L2981" s="5" t="str">
        <f>IFERROR(VLOOKUP(Consulta1[[#This Row],[Pozo largo]],Controles!B:J,9,FALSE),"NO")</f>
        <v>NO</v>
      </c>
    </row>
    <row r="2982" spans="2:12" x14ac:dyDescent="0.35">
      <c r="B2982" s="4" t="s">
        <v>5703</v>
      </c>
      <c r="C2982" s="4" t="s">
        <v>8682</v>
      </c>
      <c r="D2982" s="4" t="s">
        <v>5</v>
      </c>
      <c r="E2982" s="4" t="s">
        <v>4603</v>
      </c>
      <c r="F2982" s="4" t="s">
        <v>31</v>
      </c>
      <c r="G2982" s="4" t="s">
        <v>8</v>
      </c>
      <c r="I2982" s="5" t="str">
        <f>IFERROR(VLOOKUP(Consulta1[[#This Row],[Pozo largo]],'Lista YPF'!$B$3:$C$358,2,FALSE),"NO")</f>
        <v>NO</v>
      </c>
      <c r="J2982" s="5" t="str">
        <f>IFERROR(VLOOKUP(Consulta1[[#This Row],[Pozo]],'Lista Oportunidades'!B:C,2,FALSE),"NO")</f>
        <v>NO</v>
      </c>
      <c r="K2982" s="5" t="str">
        <f>IFERROR(VLOOKUP(Consulta1[[#This Row],[Pozo largo]],Controles!B:H,7,FALSE),"NO")</f>
        <v>NO</v>
      </c>
      <c r="L2982" s="5" t="str">
        <f>IFERROR(VLOOKUP(Consulta1[[#This Row],[Pozo largo]],Controles!B:J,9,FALSE),"NO")</f>
        <v>NO</v>
      </c>
    </row>
    <row r="2983" spans="2:12" x14ac:dyDescent="0.35">
      <c r="B2983" s="4" t="s">
        <v>5704</v>
      </c>
      <c r="C2983" s="4" t="s">
        <v>8683</v>
      </c>
      <c r="D2983" s="4" t="s">
        <v>5</v>
      </c>
      <c r="E2983" s="4" t="s">
        <v>30</v>
      </c>
      <c r="F2983" s="4" t="s">
        <v>31</v>
      </c>
      <c r="G2983" s="4" t="s">
        <v>32</v>
      </c>
      <c r="I2983" s="5" t="str">
        <f>IFERROR(VLOOKUP(Consulta1[[#This Row],[Pozo largo]],'Lista YPF'!$B$3:$C$358,2,FALSE),"NO")</f>
        <v>NO</v>
      </c>
      <c r="J2983" s="5" t="str">
        <f>IFERROR(VLOOKUP(Consulta1[[#This Row],[Pozo]],'Lista Oportunidades'!B:C,2,FALSE),"NO")</f>
        <v>NO</v>
      </c>
      <c r="K2983" s="5" t="str">
        <f>IFERROR(VLOOKUP(Consulta1[[#This Row],[Pozo largo]],Controles!B:H,7,FALSE),"NO")</f>
        <v>NO</v>
      </c>
      <c r="L2983" s="5" t="str">
        <f>IFERROR(VLOOKUP(Consulta1[[#This Row],[Pozo largo]],Controles!B:J,9,FALSE),"NO")</f>
        <v>NO</v>
      </c>
    </row>
    <row r="2984" spans="2:12" x14ac:dyDescent="0.35">
      <c r="B2984" s="4" t="s">
        <v>5705</v>
      </c>
      <c r="C2984" s="4" t="s">
        <v>8684</v>
      </c>
      <c r="D2984" s="4" t="s">
        <v>5</v>
      </c>
      <c r="E2984" s="4" t="s">
        <v>4603</v>
      </c>
      <c r="F2984" s="4" t="s">
        <v>31</v>
      </c>
      <c r="G2984" s="4" t="s">
        <v>8</v>
      </c>
      <c r="I2984" s="5" t="str">
        <f>IFERROR(VLOOKUP(Consulta1[[#This Row],[Pozo largo]],'Lista YPF'!$B$3:$C$358,2,FALSE),"NO")</f>
        <v>NO</v>
      </c>
      <c r="J2984" s="5" t="str">
        <f>IFERROR(VLOOKUP(Consulta1[[#This Row],[Pozo]],'Lista Oportunidades'!B:C,2,FALSE),"NO")</f>
        <v>NO</v>
      </c>
      <c r="K2984" s="5" t="str">
        <f>IFERROR(VLOOKUP(Consulta1[[#This Row],[Pozo largo]],Controles!B:H,7,FALSE),"NO")</f>
        <v>NO</v>
      </c>
      <c r="L2984" s="5" t="str">
        <f>IFERROR(VLOOKUP(Consulta1[[#This Row],[Pozo largo]],Controles!B:J,9,FALSE),"NO")</f>
        <v>NO</v>
      </c>
    </row>
    <row r="2985" spans="2:12" x14ac:dyDescent="0.35">
      <c r="B2985" s="4" t="s">
        <v>5706</v>
      </c>
      <c r="C2985" s="4" t="s">
        <v>8685</v>
      </c>
      <c r="D2985" s="4" t="s">
        <v>5</v>
      </c>
      <c r="E2985" s="4" t="s">
        <v>30</v>
      </c>
      <c r="F2985" s="4" t="s">
        <v>31</v>
      </c>
      <c r="G2985" s="4" t="s">
        <v>32</v>
      </c>
      <c r="I2985" s="5" t="str">
        <f>IFERROR(VLOOKUP(Consulta1[[#This Row],[Pozo largo]],'Lista YPF'!$B$3:$C$358,2,FALSE),"NO")</f>
        <v>NO</v>
      </c>
      <c r="J2985" s="5" t="str">
        <f>IFERROR(VLOOKUP(Consulta1[[#This Row],[Pozo]],'Lista Oportunidades'!B:C,2,FALSE),"NO")</f>
        <v>NO</v>
      </c>
      <c r="K2985" s="5" t="str">
        <f>IFERROR(VLOOKUP(Consulta1[[#This Row],[Pozo largo]],Controles!B:H,7,FALSE),"NO")</f>
        <v>NO</v>
      </c>
      <c r="L2985" s="5" t="str">
        <f>IFERROR(VLOOKUP(Consulta1[[#This Row],[Pozo largo]],Controles!B:J,9,FALSE),"NO")</f>
        <v>NO</v>
      </c>
    </row>
    <row r="2986" spans="2:12" x14ac:dyDescent="0.35">
      <c r="B2986" s="4" t="s">
        <v>5707</v>
      </c>
      <c r="C2986" s="4" t="s">
        <v>5708</v>
      </c>
      <c r="D2986" s="4" t="s">
        <v>5</v>
      </c>
      <c r="E2986" s="4" t="s">
        <v>4603</v>
      </c>
      <c r="F2986" s="4" t="s">
        <v>31</v>
      </c>
      <c r="G2986" s="4" t="s">
        <v>8</v>
      </c>
      <c r="I2986" s="5" t="str">
        <f>IFERROR(VLOOKUP(Consulta1[[#This Row],[Pozo largo]],'Lista YPF'!$B$3:$C$358,2,FALSE),"NO")</f>
        <v>NO</v>
      </c>
      <c r="J2986" s="5" t="str">
        <f>IFERROR(VLOOKUP(Consulta1[[#This Row],[Pozo]],'Lista Oportunidades'!B:C,2,FALSE),"NO")</f>
        <v>NO</v>
      </c>
      <c r="K2986" s="5" t="str">
        <f>IFERROR(VLOOKUP(Consulta1[[#This Row],[Pozo largo]],Controles!B:H,7,FALSE),"NO")</f>
        <v>NO</v>
      </c>
      <c r="L2986" s="5" t="str">
        <f>IFERROR(VLOOKUP(Consulta1[[#This Row],[Pozo largo]],Controles!B:J,9,FALSE),"NO")</f>
        <v>NO</v>
      </c>
    </row>
  </sheetData>
  <conditionalFormatting sqref="E2:E2986">
    <cfRule type="containsText" dxfId="1" priority="1" operator="containsText" text="Produciendo">
      <formula>NOT(ISERROR(SEARCH("Produciendo",E2)))</formula>
    </cfRule>
  </conditionalFormatting>
  <pageMargins left="0.7" right="0.7" top="0.75" bottom="0.75" header="0.3" footer="0.3"/>
  <headerFooter>
    <oddHeader>&amp;R&amp;"Calibri"&amp;10&amp;K000000 Documento: YPF-Público&amp;1#_x000D_</oddHeader>
    <oddFooter>&amp;R_x000D_&amp;1#&amp;"Calibri"&amp;10&amp;K000000 Documento: YPF-Público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9FA86-3D69-406F-AF0B-9880E0224F2F}">
  <sheetPr>
    <tabColor theme="3"/>
  </sheetPr>
  <dimension ref="B3:C358"/>
  <sheetViews>
    <sheetView workbookViewId="0">
      <selection activeCell="B2" sqref="B2:L2986"/>
    </sheetView>
  </sheetViews>
  <sheetFormatPr baseColWidth="10" defaultRowHeight="14.5" x14ac:dyDescent="0.35"/>
  <cols>
    <col min="2" max="2" width="17.6328125" bestFit="1" customWidth="1"/>
    <col min="3" max="3" width="18.81640625" bestFit="1" customWidth="1"/>
  </cols>
  <sheetData>
    <row r="3" spans="2:3" x14ac:dyDescent="0.35">
      <c r="B3" s="1" t="s">
        <v>2930</v>
      </c>
      <c r="C3" t="s">
        <v>5715</v>
      </c>
    </row>
    <row r="4" spans="2:3" x14ac:dyDescent="0.35">
      <c r="B4" s="2" t="s">
        <v>4047</v>
      </c>
      <c r="C4" t="s">
        <v>5715</v>
      </c>
    </row>
    <row r="5" spans="2:3" x14ac:dyDescent="0.35">
      <c r="B5" s="1" t="s">
        <v>96</v>
      </c>
      <c r="C5" t="s">
        <v>5715</v>
      </c>
    </row>
    <row r="6" spans="2:3" x14ac:dyDescent="0.35">
      <c r="B6" s="2" t="s">
        <v>2676</v>
      </c>
      <c r="C6" t="s">
        <v>5715</v>
      </c>
    </row>
    <row r="7" spans="2:3" x14ac:dyDescent="0.35">
      <c r="B7" s="1" t="s">
        <v>4985</v>
      </c>
      <c r="C7" t="s">
        <v>5715</v>
      </c>
    </row>
    <row r="8" spans="2:3" x14ac:dyDescent="0.35">
      <c r="B8" s="2" t="s">
        <v>4812</v>
      </c>
      <c r="C8" t="s">
        <v>5715</v>
      </c>
    </row>
    <row r="9" spans="2:3" x14ac:dyDescent="0.35">
      <c r="B9" s="1" t="s">
        <v>335</v>
      </c>
      <c r="C9" t="s">
        <v>5715</v>
      </c>
    </row>
    <row r="10" spans="2:3" x14ac:dyDescent="0.35">
      <c r="B10" s="2" t="s">
        <v>2101</v>
      </c>
      <c r="C10" t="s">
        <v>5715</v>
      </c>
    </row>
    <row r="11" spans="2:3" x14ac:dyDescent="0.35">
      <c r="B11" s="1" t="s">
        <v>5373</v>
      </c>
      <c r="C11" t="s">
        <v>5715</v>
      </c>
    </row>
    <row r="12" spans="2:3" x14ac:dyDescent="0.35">
      <c r="B12" s="2" t="s">
        <v>3906</v>
      </c>
      <c r="C12" t="s">
        <v>5715</v>
      </c>
    </row>
    <row r="13" spans="2:3" x14ac:dyDescent="0.35">
      <c r="B13" s="1" t="s">
        <v>192</v>
      </c>
      <c r="C13" t="s">
        <v>5715</v>
      </c>
    </row>
    <row r="14" spans="2:3" x14ac:dyDescent="0.35">
      <c r="B14" s="2" t="s">
        <v>2904</v>
      </c>
      <c r="C14" t="s">
        <v>5715</v>
      </c>
    </row>
    <row r="15" spans="2:3" x14ac:dyDescent="0.35">
      <c r="B15" s="1" t="s">
        <v>2194</v>
      </c>
      <c r="C15" t="s">
        <v>5715</v>
      </c>
    </row>
    <row r="16" spans="2:3" x14ac:dyDescent="0.35">
      <c r="B16" s="2" t="s">
        <v>5027</v>
      </c>
      <c r="C16" t="s">
        <v>5715</v>
      </c>
    </row>
    <row r="17" spans="2:3" x14ac:dyDescent="0.35">
      <c r="B17" s="1" t="s">
        <v>2156</v>
      </c>
      <c r="C17" t="s">
        <v>5715</v>
      </c>
    </row>
    <row r="18" spans="2:3" x14ac:dyDescent="0.35">
      <c r="B18" s="2" t="s">
        <v>1769</v>
      </c>
      <c r="C18" t="s">
        <v>5715</v>
      </c>
    </row>
    <row r="19" spans="2:3" x14ac:dyDescent="0.35">
      <c r="B19" s="1" t="s">
        <v>4628</v>
      </c>
      <c r="C19" t="s">
        <v>5715</v>
      </c>
    </row>
    <row r="20" spans="2:3" x14ac:dyDescent="0.35">
      <c r="B20" s="2" t="s">
        <v>5041</v>
      </c>
      <c r="C20" t="s">
        <v>5715</v>
      </c>
    </row>
    <row r="21" spans="2:3" x14ac:dyDescent="0.35">
      <c r="B21" s="1" t="s">
        <v>5442</v>
      </c>
      <c r="C21" t="s">
        <v>5715</v>
      </c>
    </row>
    <row r="22" spans="2:3" x14ac:dyDescent="0.35">
      <c r="B22" s="2" t="s">
        <v>5342</v>
      </c>
      <c r="C22" t="s">
        <v>5715</v>
      </c>
    </row>
    <row r="23" spans="2:3" x14ac:dyDescent="0.35">
      <c r="B23" s="1" t="s">
        <v>579</v>
      </c>
      <c r="C23" t="s">
        <v>5715</v>
      </c>
    </row>
    <row r="24" spans="2:3" x14ac:dyDescent="0.35">
      <c r="B24" s="2" t="s">
        <v>2435</v>
      </c>
      <c r="C24" t="s">
        <v>5715</v>
      </c>
    </row>
    <row r="25" spans="2:3" x14ac:dyDescent="0.35">
      <c r="B25" s="1" t="s">
        <v>410</v>
      </c>
      <c r="C25" t="s">
        <v>5715</v>
      </c>
    </row>
    <row r="26" spans="2:3" x14ac:dyDescent="0.35">
      <c r="B26" s="2" t="s">
        <v>3110</v>
      </c>
      <c r="C26" t="s">
        <v>5715</v>
      </c>
    </row>
    <row r="27" spans="2:3" x14ac:dyDescent="0.35">
      <c r="B27" s="1" t="s">
        <v>1943</v>
      </c>
      <c r="C27" t="s">
        <v>5715</v>
      </c>
    </row>
    <row r="28" spans="2:3" x14ac:dyDescent="0.35">
      <c r="B28" s="2" t="s">
        <v>2592</v>
      </c>
      <c r="C28" t="s">
        <v>5715</v>
      </c>
    </row>
    <row r="29" spans="2:3" x14ac:dyDescent="0.35">
      <c r="B29" s="1" t="s">
        <v>1868</v>
      </c>
      <c r="C29" t="s">
        <v>5715</v>
      </c>
    </row>
    <row r="30" spans="2:3" x14ac:dyDescent="0.35">
      <c r="B30" s="2" t="s">
        <v>5571</v>
      </c>
      <c r="C30" t="s">
        <v>5715</v>
      </c>
    </row>
    <row r="31" spans="2:3" x14ac:dyDescent="0.35">
      <c r="B31" s="1" t="s">
        <v>808</v>
      </c>
      <c r="C31" t="s">
        <v>5715</v>
      </c>
    </row>
    <row r="32" spans="2:3" x14ac:dyDescent="0.35">
      <c r="B32" s="2" t="s">
        <v>3248</v>
      </c>
      <c r="C32" t="s">
        <v>5715</v>
      </c>
    </row>
    <row r="33" spans="2:3" x14ac:dyDescent="0.35">
      <c r="B33" s="1" t="s">
        <v>2520</v>
      </c>
      <c r="C33" t="s">
        <v>5715</v>
      </c>
    </row>
    <row r="34" spans="2:3" x14ac:dyDescent="0.35">
      <c r="B34" s="2" t="s">
        <v>5055</v>
      </c>
      <c r="C34" t="s">
        <v>5715</v>
      </c>
    </row>
    <row r="35" spans="2:3" x14ac:dyDescent="0.35">
      <c r="B35" s="1" t="s">
        <v>1289</v>
      </c>
      <c r="C35" t="s">
        <v>5715</v>
      </c>
    </row>
    <row r="36" spans="2:3" x14ac:dyDescent="0.35">
      <c r="B36" s="2" t="s">
        <v>428</v>
      </c>
      <c r="C36" t="s">
        <v>5715</v>
      </c>
    </row>
    <row r="37" spans="2:3" x14ac:dyDescent="0.35">
      <c r="B37" s="1" t="s">
        <v>1041</v>
      </c>
      <c r="C37" t="s">
        <v>5715</v>
      </c>
    </row>
    <row r="38" spans="2:3" x14ac:dyDescent="0.35">
      <c r="B38" s="2" t="s">
        <v>3837</v>
      </c>
      <c r="C38" t="s">
        <v>5715</v>
      </c>
    </row>
    <row r="39" spans="2:3" x14ac:dyDescent="0.35">
      <c r="B39" s="1" t="s">
        <v>2610</v>
      </c>
      <c r="C39" t="s">
        <v>5715</v>
      </c>
    </row>
    <row r="40" spans="2:3" x14ac:dyDescent="0.35">
      <c r="B40" s="2" t="s">
        <v>3143</v>
      </c>
      <c r="C40" t="s">
        <v>5715</v>
      </c>
    </row>
    <row r="41" spans="2:3" x14ac:dyDescent="0.35">
      <c r="B41" s="1" t="s">
        <v>5165</v>
      </c>
      <c r="C41" t="s">
        <v>5715</v>
      </c>
    </row>
    <row r="42" spans="2:3" x14ac:dyDescent="0.35">
      <c r="B42" s="2" t="s">
        <v>820</v>
      </c>
      <c r="C42" t="s">
        <v>5715</v>
      </c>
    </row>
    <row r="43" spans="2:3" x14ac:dyDescent="0.35">
      <c r="B43" s="1" t="s">
        <v>1186</v>
      </c>
      <c r="C43" t="s">
        <v>5715</v>
      </c>
    </row>
    <row r="44" spans="2:3" x14ac:dyDescent="0.35">
      <c r="B44" s="2" t="s">
        <v>2600</v>
      </c>
      <c r="C44" t="s">
        <v>5715</v>
      </c>
    </row>
    <row r="45" spans="2:3" x14ac:dyDescent="0.35">
      <c r="B45" s="1" t="s">
        <v>4019</v>
      </c>
      <c r="C45" t="s">
        <v>5715</v>
      </c>
    </row>
    <row r="46" spans="2:3" x14ac:dyDescent="0.35">
      <c r="B46" s="2" t="s">
        <v>2853</v>
      </c>
      <c r="C46" t="s">
        <v>5715</v>
      </c>
    </row>
    <row r="47" spans="2:3" x14ac:dyDescent="0.35">
      <c r="B47" s="1" t="s">
        <v>957</v>
      </c>
      <c r="C47" t="s">
        <v>5715</v>
      </c>
    </row>
    <row r="48" spans="2:3" x14ac:dyDescent="0.35">
      <c r="B48" s="2" t="s">
        <v>1687</v>
      </c>
      <c r="C48" t="s">
        <v>5715</v>
      </c>
    </row>
    <row r="49" spans="2:3" x14ac:dyDescent="0.35">
      <c r="B49" s="1" t="s">
        <v>1872</v>
      </c>
      <c r="C49" t="s">
        <v>5715</v>
      </c>
    </row>
    <row r="50" spans="2:3" x14ac:dyDescent="0.35">
      <c r="B50" s="2" t="s">
        <v>2066</v>
      </c>
      <c r="C50" t="s">
        <v>5715</v>
      </c>
    </row>
    <row r="51" spans="2:3" x14ac:dyDescent="0.35">
      <c r="B51" s="1" t="s">
        <v>433</v>
      </c>
      <c r="C51" t="s">
        <v>5715</v>
      </c>
    </row>
    <row r="52" spans="2:3" x14ac:dyDescent="0.35">
      <c r="B52" s="2" t="s">
        <v>2449</v>
      </c>
      <c r="C52" t="s">
        <v>5715</v>
      </c>
    </row>
    <row r="53" spans="2:3" x14ac:dyDescent="0.35">
      <c r="B53" s="1" t="s">
        <v>121</v>
      </c>
      <c r="C53" t="s">
        <v>5715</v>
      </c>
    </row>
    <row r="54" spans="2:3" x14ac:dyDescent="0.35">
      <c r="B54" s="2" t="s">
        <v>1945</v>
      </c>
      <c r="C54" t="s">
        <v>5715</v>
      </c>
    </row>
    <row r="55" spans="2:3" x14ac:dyDescent="0.35">
      <c r="B55" s="1" t="s">
        <v>642</v>
      </c>
      <c r="C55" t="s">
        <v>5715</v>
      </c>
    </row>
    <row r="56" spans="2:3" x14ac:dyDescent="0.35">
      <c r="B56" s="2" t="s">
        <v>2409</v>
      </c>
      <c r="C56" t="s">
        <v>5715</v>
      </c>
    </row>
    <row r="57" spans="2:3" x14ac:dyDescent="0.35">
      <c r="B57" s="1" t="s">
        <v>4472</v>
      </c>
      <c r="C57" t="s">
        <v>5715</v>
      </c>
    </row>
    <row r="58" spans="2:3" x14ac:dyDescent="0.35">
      <c r="B58" s="2" t="s">
        <v>937</v>
      </c>
      <c r="C58" t="s">
        <v>5715</v>
      </c>
    </row>
    <row r="59" spans="2:3" x14ac:dyDescent="0.35">
      <c r="B59" s="1" t="s">
        <v>5061</v>
      </c>
      <c r="C59" t="s">
        <v>5715</v>
      </c>
    </row>
    <row r="60" spans="2:3" x14ac:dyDescent="0.35">
      <c r="B60" s="2" t="s">
        <v>2588</v>
      </c>
      <c r="C60" t="s">
        <v>5715</v>
      </c>
    </row>
    <row r="61" spans="2:3" x14ac:dyDescent="0.35">
      <c r="B61" s="1" t="s">
        <v>824</v>
      </c>
      <c r="C61" t="s">
        <v>5715</v>
      </c>
    </row>
    <row r="62" spans="2:3" x14ac:dyDescent="0.35">
      <c r="B62" s="2" t="s">
        <v>3734</v>
      </c>
      <c r="C62" t="s">
        <v>5715</v>
      </c>
    </row>
    <row r="63" spans="2:3" x14ac:dyDescent="0.35">
      <c r="B63" s="1" t="s">
        <v>3711</v>
      </c>
      <c r="C63" t="s">
        <v>5715</v>
      </c>
    </row>
    <row r="64" spans="2:3" x14ac:dyDescent="0.35">
      <c r="B64" s="2" t="s">
        <v>264</v>
      </c>
      <c r="C64" t="s">
        <v>5715</v>
      </c>
    </row>
    <row r="65" spans="2:3" x14ac:dyDescent="0.35">
      <c r="B65" s="1" t="s">
        <v>4299</v>
      </c>
      <c r="C65" t="s">
        <v>5715</v>
      </c>
    </row>
    <row r="66" spans="2:3" x14ac:dyDescent="0.35">
      <c r="B66" s="2" t="s">
        <v>5031</v>
      </c>
      <c r="C66" t="s">
        <v>5715</v>
      </c>
    </row>
    <row r="67" spans="2:3" x14ac:dyDescent="0.35">
      <c r="B67" s="1" t="s">
        <v>511</v>
      </c>
      <c r="C67" t="s">
        <v>5715</v>
      </c>
    </row>
    <row r="68" spans="2:3" x14ac:dyDescent="0.35">
      <c r="B68" s="2" t="s">
        <v>4305</v>
      </c>
      <c r="C68" t="s">
        <v>5715</v>
      </c>
    </row>
    <row r="69" spans="2:3" x14ac:dyDescent="0.35">
      <c r="B69" s="1" t="s">
        <v>4121</v>
      </c>
      <c r="C69" t="s">
        <v>5715</v>
      </c>
    </row>
    <row r="70" spans="2:3" x14ac:dyDescent="0.35">
      <c r="B70" s="2" t="s">
        <v>3258</v>
      </c>
      <c r="C70" t="s">
        <v>5715</v>
      </c>
    </row>
    <row r="71" spans="2:3" x14ac:dyDescent="0.35">
      <c r="B71" s="1" t="s">
        <v>3090</v>
      </c>
      <c r="C71" t="s">
        <v>5715</v>
      </c>
    </row>
    <row r="72" spans="2:3" x14ac:dyDescent="0.35">
      <c r="B72" s="2" t="s">
        <v>5200</v>
      </c>
      <c r="C72" t="s">
        <v>5715</v>
      </c>
    </row>
    <row r="73" spans="2:3" x14ac:dyDescent="0.35">
      <c r="B73" s="1" t="s">
        <v>166</v>
      </c>
      <c r="C73" t="s">
        <v>5715</v>
      </c>
    </row>
    <row r="74" spans="2:3" x14ac:dyDescent="0.35">
      <c r="B74" s="2" t="s">
        <v>4958</v>
      </c>
      <c r="C74" t="s">
        <v>5715</v>
      </c>
    </row>
    <row r="75" spans="2:3" x14ac:dyDescent="0.35">
      <c r="B75" s="1" t="s">
        <v>5241</v>
      </c>
      <c r="C75" t="s">
        <v>5715</v>
      </c>
    </row>
    <row r="76" spans="2:3" x14ac:dyDescent="0.35">
      <c r="B76" s="2" t="s">
        <v>4395</v>
      </c>
      <c r="C76" t="s">
        <v>5715</v>
      </c>
    </row>
    <row r="77" spans="2:3" x14ac:dyDescent="0.35">
      <c r="B77" s="1" t="s">
        <v>4572</v>
      </c>
      <c r="C77" t="s">
        <v>5715</v>
      </c>
    </row>
    <row r="78" spans="2:3" x14ac:dyDescent="0.35">
      <c r="B78" s="2" t="s">
        <v>1702</v>
      </c>
      <c r="C78" t="s">
        <v>5715</v>
      </c>
    </row>
    <row r="79" spans="2:3" x14ac:dyDescent="0.35">
      <c r="B79" s="1" t="s">
        <v>2346</v>
      </c>
      <c r="C79" t="s">
        <v>5715</v>
      </c>
    </row>
    <row r="80" spans="2:3" x14ac:dyDescent="0.35">
      <c r="B80" s="2" t="s">
        <v>4596</v>
      </c>
      <c r="C80" t="s">
        <v>5715</v>
      </c>
    </row>
    <row r="81" spans="2:3" x14ac:dyDescent="0.35">
      <c r="B81" s="1" t="s">
        <v>435</v>
      </c>
      <c r="C81" t="s">
        <v>5715</v>
      </c>
    </row>
    <row r="82" spans="2:3" x14ac:dyDescent="0.35">
      <c r="B82" s="2" t="s">
        <v>948</v>
      </c>
      <c r="C82" t="s">
        <v>5715</v>
      </c>
    </row>
    <row r="83" spans="2:3" x14ac:dyDescent="0.35">
      <c r="B83" s="1" t="s">
        <v>3422</v>
      </c>
      <c r="C83" t="s">
        <v>5715</v>
      </c>
    </row>
    <row r="84" spans="2:3" x14ac:dyDescent="0.35">
      <c r="B84" s="2" t="s">
        <v>4942</v>
      </c>
      <c r="C84" t="s">
        <v>5715</v>
      </c>
    </row>
    <row r="85" spans="2:3" x14ac:dyDescent="0.35">
      <c r="B85" s="1" t="s">
        <v>4962</v>
      </c>
      <c r="C85" t="s">
        <v>5715</v>
      </c>
    </row>
    <row r="86" spans="2:3" x14ac:dyDescent="0.35">
      <c r="B86" s="2" t="s">
        <v>4964</v>
      </c>
      <c r="C86" t="s">
        <v>5715</v>
      </c>
    </row>
    <row r="87" spans="2:3" x14ac:dyDescent="0.35">
      <c r="B87" s="1" t="s">
        <v>3855</v>
      </c>
      <c r="C87" t="s">
        <v>5715</v>
      </c>
    </row>
    <row r="88" spans="2:3" x14ac:dyDescent="0.35">
      <c r="B88" s="2" t="s">
        <v>1160</v>
      </c>
      <c r="C88" t="s">
        <v>5715</v>
      </c>
    </row>
    <row r="89" spans="2:3" x14ac:dyDescent="0.35">
      <c r="B89" s="1" t="s">
        <v>2697</v>
      </c>
      <c r="C89" t="s">
        <v>5715</v>
      </c>
    </row>
    <row r="90" spans="2:3" x14ac:dyDescent="0.35">
      <c r="B90" s="2" t="s">
        <v>2256</v>
      </c>
      <c r="C90" t="s">
        <v>5715</v>
      </c>
    </row>
    <row r="91" spans="2:3" x14ac:dyDescent="0.35">
      <c r="B91" s="1" t="s">
        <v>4795</v>
      </c>
      <c r="C91" t="s">
        <v>5715</v>
      </c>
    </row>
    <row r="92" spans="2:3" x14ac:dyDescent="0.35">
      <c r="B92" s="2" t="s">
        <v>1704</v>
      </c>
      <c r="C92" t="s">
        <v>5715</v>
      </c>
    </row>
    <row r="93" spans="2:3" x14ac:dyDescent="0.35">
      <c r="B93" s="1" t="s">
        <v>646</v>
      </c>
      <c r="C93" t="s">
        <v>5715</v>
      </c>
    </row>
    <row r="94" spans="2:3" x14ac:dyDescent="0.35">
      <c r="B94" s="2" t="s">
        <v>4311</v>
      </c>
      <c r="C94" t="s">
        <v>5715</v>
      </c>
    </row>
    <row r="95" spans="2:3" x14ac:dyDescent="0.35">
      <c r="B95" s="1" t="s">
        <v>841</v>
      </c>
      <c r="C95" t="s">
        <v>5715</v>
      </c>
    </row>
    <row r="96" spans="2:3" x14ac:dyDescent="0.35">
      <c r="B96" s="2" t="s">
        <v>3126</v>
      </c>
      <c r="C96" t="s">
        <v>5715</v>
      </c>
    </row>
    <row r="97" spans="2:3" x14ac:dyDescent="0.35">
      <c r="B97" s="1" t="s">
        <v>1110</v>
      </c>
      <c r="C97" t="s">
        <v>5715</v>
      </c>
    </row>
    <row r="98" spans="2:3" x14ac:dyDescent="0.35">
      <c r="B98" s="2" t="s">
        <v>3476</v>
      </c>
      <c r="C98" t="s">
        <v>5715</v>
      </c>
    </row>
    <row r="99" spans="2:3" x14ac:dyDescent="0.35">
      <c r="B99" s="1" t="s">
        <v>982</v>
      </c>
      <c r="C99" t="s">
        <v>5715</v>
      </c>
    </row>
    <row r="100" spans="2:3" x14ac:dyDescent="0.35">
      <c r="B100" s="2" t="s">
        <v>3782</v>
      </c>
      <c r="C100" t="s">
        <v>5715</v>
      </c>
    </row>
    <row r="101" spans="2:3" x14ac:dyDescent="0.35">
      <c r="B101" s="1" t="s">
        <v>1321</v>
      </c>
      <c r="C101" t="s">
        <v>5715</v>
      </c>
    </row>
    <row r="102" spans="2:3" x14ac:dyDescent="0.35">
      <c r="B102" s="2" t="s">
        <v>4075</v>
      </c>
      <c r="C102" t="s">
        <v>5715</v>
      </c>
    </row>
    <row r="103" spans="2:3" x14ac:dyDescent="0.35">
      <c r="B103" s="1" t="s">
        <v>2691</v>
      </c>
      <c r="C103" t="s">
        <v>5715</v>
      </c>
    </row>
    <row r="104" spans="2:3" x14ac:dyDescent="0.35">
      <c r="B104" s="2" t="s">
        <v>3509</v>
      </c>
      <c r="C104" t="s">
        <v>5715</v>
      </c>
    </row>
    <row r="105" spans="2:3" x14ac:dyDescent="0.35">
      <c r="B105" s="1" t="s">
        <v>55</v>
      </c>
      <c r="C105" t="s">
        <v>5715</v>
      </c>
    </row>
    <row r="106" spans="2:3" x14ac:dyDescent="0.35">
      <c r="B106" s="2" t="s">
        <v>408</v>
      </c>
      <c r="C106" t="s">
        <v>5715</v>
      </c>
    </row>
    <row r="107" spans="2:3" x14ac:dyDescent="0.35">
      <c r="B107" s="1" t="s">
        <v>49</v>
      </c>
      <c r="C107" t="s">
        <v>5715</v>
      </c>
    </row>
    <row r="108" spans="2:3" x14ac:dyDescent="0.35">
      <c r="B108" s="2" t="s">
        <v>5352</v>
      </c>
      <c r="C108" t="s">
        <v>5715</v>
      </c>
    </row>
    <row r="109" spans="2:3" x14ac:dyDescent="0.35">
      <c r="B109" s="1" t="s">
        <v>1673</v>
      </c>
      <c r="C109" t="s">
        <v>5715</v>
      </c>
    </row>
    <row r="110" spans="2:3" x14ac:dyDescent="0.35">
      <c r="B110" s="2" t="s">
        <v>2668</v>
      </c>
      <c r="C110" t="s">
        <v>5715</v>
      </c>
    </row>
    <row r="111" spans="2:3" x14ac:dyDescent="0.35">
      <c r="B111" s="1" t="s">
        <v>3199</v>
      </c>
      <c r="C111" t="s">
        <v>5715</v>
      </c>
    </row>
    <row r="112" spans="2:3" x14ac:dyDescent="0.35">
      <c r="B112" s="2" t="s">
        <v>1734</v>
      </c>
      <c r="C112" t="s">
        <v>5715</v>
      </c>
    </row>
    <row r="113" spans="2:3" x14ac:dyDescent="0.35">
      <c r="B113" s="1" t="s">
        <v>1127</v>
      </c>
      <c r="C113" t="s">
        <v>5715</v>
      </c>
    </row>
    <row r="114" spans="2:3" x14ac:dyDescent="0.35">
      <c r="B114" s="2" t="s">
        <v>4349</v>
      </c>
      <c r="C114" t="s">
        <v>5715</v>
      </c>
    </row>
    <row r="115" spans="2:3" x14ac:dyDescent="0.35">
      <c r="B115" s="1" t="s">
        <v>1633</v>
      </c>
      <c r="C115" t="s">
        <v>5715</v>
      </c>
    </row>
    <row r="116" spans="2:3" x14ac:dyDescent="0.35">
      <c r="B116" s="2" t="s">
        <v>3291</v>
      </c>
      <c r="C116" t="s">
        <v>5715</v>
      </c>
    </row>
    <row r="117" spans="2:3" x14ac:dyDescent="0.35">
      <c r="B117" s="1" t="s">
        <v>2546</v>
      </c>
      <c r="C117" t="s">
        <v>5715</v>
      </c>
    </row>
    <row r="118" spans="2:3" x14ac:dyDescent="0.35">
      <c r="B118" s="2" t="s">
        <v>5082</v>
      </c>
      <c r="C118" t="s">
        <v>5715</v>
      </c>
    </row>
    <row r="119" spans="2:3" x14ac:dyDescent="0.35">
      <c r="B119" s="1" t="s">
        <v>297</v>
      </c>
      <c r="C119" t="s">
        <v>5715</v>
      </c>
    </row>
    <row r="120" spans="2:3" x14ac:dyDescent="0.35">
      <c r="B120" s="2" t="s">
        <v>733</v>
      </c>
      <c r="C120" t="s">
        <v>5715</v>
      </c>
    </row>
    <row r="121" spans="2:3" x14ac:dyDescent="0.35">
      <c r="B121" s="1" t="s">
        <v>2427</v>
      </c>
      <c r="C121" t="s">
        <v>5715</v>
      </c>
    </row>
    <row r="122" spans="2:3" x14ac:dyDescent="0.35">
      <c r="B122" s="2" t="s">
        <v>3314</v>
      </c>
      <c r="C122" t="s">
        <v>5715</v>
      </c>
    </row>
    <row r="123" spans="2:3" x14ac:dyDescent="0.35">
      <c r="B123" s="1" t="s">
        <v>3139</v>
      </c>
      <c r="C123" t="s">
        <v>5715</v>
      </c>
    </row>
    <row r="124" spans="2:3" x14ac:dyDescent="0.35">
      <c r="B124" s="2" t="s">
        <v>4098</v>
      </c>
      <c r="C124" t="s">
        <v>5715</v>
      </c>
    </row>
    <row r="125" spans="2:3" x14ac:dyDescent="0.35">
      <c r="B125" s="1" t="s">
        <v>2076</v>
      </c>
      <c r="C125" t="s">
        <v>5715</v>
      </c>
    </row>
    <row r="126" spans="2:3" x14ac:dyDescent="0.35">
      <c r="B126" s="2" t="s">
        <v>453</v>
      </c>
      <c r="C126" t="s">
        <v>5715</v>
      </c>
    </row>
    <row r="127" spans="2:3" x14ac:dyDescent="0.35">
      <c r="B127" s="1" t="s">
        <v>1839</v>
      </c>
      <c r="C127" t="s">
        <v>5715</v>
      </c>
    </row>
    <row r="128" spans="2:3" x14ac:dyDescent="0.35">
      <c r="B128" s="2" t="s">
        <v>596</v>
      </c>
      <c r="C128" t="s">
        <v>5715</v>
      </c>
    </row>
    <row r="129" spans="2:3" x14ac:dyDescent="0.35">
      <c r="B129" s="1" t="s">
        <v>394</v>
      </c>
      <c r="C129" t="s">
        <v>5715</v>
      </c>
    </row>
    <row r="130" spans="2:3" x14ac:dyDescent="0.35">
      <c r="B130" s="2" t="s">
        <v>4218</v>
      </c>
      <c r="C130" t="s">
        <v>5715</v>
      </c>
    </row>
    <row r="131" spans="2:3" x14ac:dyDescent="0.35">
      <c r="B131" s="1" t="s">
        <v>2785</v>
      </c>
      <c r="C131" t="s">
        <v>5715</v>
      </c>
    </row>
    <row r="132" spans="2:3" x14ac:dyDescent="0.35">
      <c r="B132" s="2" t="s">
        <v>2699</v>
      </c>
      <c r="C132" t="s">
        <v>5715</v>
      </c>
    </row>
    <row r="133" spans="2:3" x14ac:dyDescent="0.35">
      <c r="B133" s="1" t="s">
        <v>4871</v>
      </c>
      <c r="C133" t="s">
        <v>5715</v>
      </c>
    </row>
    <row r="134" spans="2:3" x14ac:dyDescent="0.35">
      <c r="B134" s="2" t="s">
        <v>502</v>
      </c>
      <c r="C134" t="s">
        <v>5715</v>
      </c>
    </row>
    <row r="135" spans="2:3" x14ac:dyDescent="0.35">
      <c r="B135" s="1" t="s">
        <v>4523</v>
      </c>
      <c r="C135" t="s">
        <v>5715</v>
      </c>
    </row>
    <row r="136" spans="2:3" x14ac:dyDescent="0.35">
      <c r="B136" s="2" t="s">
        <v>2274</v>
      </c>
      <c r="C136" t="s">
        <v>5715</v>
      </c>
    </row>
    <row r="137" spans="2:3" x14ac:dyDescent="0.35">
      <c r="B137" s="1" t="s">
        <v>5619</v>
      </c>
      <c r="C137" t="s">
        <v>5715</v>
      </c>
    </row>
    <row r="138" spans="2:3" x14ac:dyDescent="0.35">
      <c r="B138" s="2" t="s">
        <v>5147</v>
      </c>
      <c r="C138" t="s">
        <v>5715</v>
      </c>
    </row>
    <row r="139" spans="2:3" x14ac:dyDescent="0.35">
      <c r="B139" s="1" t="s">
        <v>541</v>
      </c>
      <c r="C139" t="s">
        <v>5715</v>
      </c>
    </row>
    <row r="140" spans="2:3" x14ac:dyDescent="0.35">
      <c r="B140" s="2" t="s">
        <v>4355</v>
      </c>
      <c r="C140" t="s">
        <v>5715</v>
      </c>
    </row>
    <row r="141" spans="2:3" x14ac:dyDescent="0.35">
      <c r="B141" s="1" t="s">
        <v>1001</v>
      </c>
      <c r="C141" t="s">
        <v>5715</v>
      </c>
    </row>
    <row r="142" spans="2:3" x14ac:dyDescent="0.35">
      <c r="B142" s="2" t="s">
        <v>1069</v>
      </c>
      <c r="C142" t="s">
        <v>5715</v>
      </c>
    </row>
    <row r="143" spans="2:3" x14ac:dyDescent="0.35">
      <c r="B143" s="1" t="s">
        <v>672</v>
      </c>
      <c r="C143" t="s">
        <v>5715</v>
      </c>
    </row>
    <row r="144" spans="2:3" x14ac:dyDescent="0.35">
      <c r="B144" s="2" t="s">
        <v>4750</v>
      </c>
      <c r="C144" t="s">
        <v>5715</v>
      </c>
    </row>
    <row r="145" spans="2:3" x14ac:dyDescent="0.35">
      <c r="B145" s="1" t="s">
        <v>4169</v>
      </c>
      <c r="C145" t="s">
        <v>5715</v>
      </c>
    </row>
    <row r="146" spans="2:3" x14ac:dyDescent="0.35">
      <c r="B146" s="2" t="s">
        <v>859</v>
      </c>
      <c r="C146" t="s">
        <v>5715</v>
      </c>
    </row>
    <row r="147" spans="2:3" x14ac:dyDescent="0.35">
      <c r="B147" s="1" t="s">
        <v>1077</v>
      </c>
      <c r="C147" t="s">
        <v>5715</v>
      </c>
    </row>
    <row r="148" spans="2:3" x14ac:dyDescent="0.35">
      <c r="B148" s="2" t="s">
        <v>2120</v>
      </c>
      <c r="C148" t="s">
        <v>5715</v>
      </c>
    </row>
    <row r="149" spans="2:3" x14ac:dyDescent="0.35">
      <c r="B149" s="1" t="s">
        <v>2305</v>
      </c>
      <c r="C149" t="s">
        <v>5715</v>
      </c>
    </row>
    <row r="150" spans="2:3" x14ac:dyDescent="0.35">
      <c r="B150" s="2" t="s">
        <v>239</v>
      </c>
      <c r="C150" t="s">
        <v>5715</v>
      </c>
    </row>
    <row r="151" spans="2:3" x14ac:dyDescent="0.35">
      <c r="B151" s="1" t="s">
        <v>751</v>
      </c>
      <c r="C151" t="s">
        <v>5715</v>
      </c>
    </row>
    <row r="152" spans="2:3" x14ac:dyDescent="0.35">
      <c r="B152" s="2" t="s">
        <v>1250</v>
      </c>
      <c r="C152" t="s">
        <v>5715</v>
      </c>
    </row>
    <row r="153" spans="2:3" x14ac:dyDescent="0.35">
      <c r="B153" s="1" t="s">
        <v>2578</v>
      </c>
      <c r="C153" t="s">
        <v>5715</v>
      </c>
    </row>
    <row r="154" spans="2:3" x14ac:dyDescent="0.35">
      <c r="B154" s="2" t="s">
        <v>247</v>
      </c>
      <c r="C154" t="s">
        <v>5715</v>
      </c>
    </row>
    <row r="155" spans="2:3" x14ac:dyDescent="0.35">
      <c r="B155" s="1" t="s">
        <v>2140</v>
      </c>
      <c r="C155" t="s">
        <v>5715</v>
      </c>
    </row>
    <row r="156" spans="2:3" x14ac:dyDescent="0.35">
      <c r="B156" s="2" t="s">
        <v>1488</v>
      </c>
      <c r="C156" t="s">
        <v>5715</v>
      </c>
    </row>
    <row r="157" spans="2:3" x14ac:dyDescent="0.35">
      <c r="B157" s="1" t="s">
        <v>4108</v>
      </c>
      <c r="C157" t="s">
        <v>5715</v>
      </c>
    </row>
    <row r="158" spans="2:3" x14ac:dyDescent="0.35">
      <c r="B158" s="2" t="s">
        <v>4490</v>
      </c>
      <c r="C158" t="s">
        <v>5715</v>
      </c>
    </row>
    <row r="159" spans="2:3" x14ac:dyDescent="0.35">
      <c r="B159" s="1" t="s">
        <v>2084</v>
      </c>
      <c r="C159" t="s">
        <v>5715</v>
      </c>
    </row>
    <row r="160" spans="2:3" x14ac:dyDescent="0.35">
      <c r="B160" s="2" t="s">
        <v>1926</v>
      </c>
      <c r="C160" t="s">
        <v>5715</v>
      </c>
    </row>
    <row r="161" spans="2:3" x14ac:dyDescent="0.35">
      <c r="B161" s="1" t="s">
        <v>4210</v>
      </c>
      <c r="C161" t="s">
        <v>5715</v>
      </c>
    </row>
    <row r="162" spans="2:3" x14ac:dyDescent="0.35">
      <c r="B162" s="2" t="s">
        <v>1139</v>
      </c>
      <c r="C162" t="s">
        <v>5715</v>
      </c>
    </row>
    <row r="163" spans="2:3" x14ac:dyDescent="0.35">
      <c r="B163" s="1" t="s">
        <v>4588</v>
      </c>
      <c r="C163" t="s">
        <v>5715</v>
      </c>
    </row>
    <row r="164" spans="2:3" x14ac:dyDescent="0.35">
      <c r="B164" s="2" t="s">
        <v>5306</v>
      </c>
      <c r="C164" t="s">
        <v>5715</v>
      </c>
    </row>
    <row r="165" spans="2:3" x14ac:dyDescent="0.35">
      <c r="B165" s="1" t="s">
        <v>4145</v>
      </c>
      <c r="C165" t="s">
        <v>5715</v>
      </c>
    </row>
    <row r="166" spans="2:3" x14ac:dyDescent="0.35">
      <c r="B166" s="2" t="s">
        <v>3286</v>
      </c>
      <c r="C166" t="s">
        <v>5715</v>
      </c>
    </row>
    <row r="167" spans="2:3" x14ac:dyDescent="0.35">
      <c r="B167" s="1" t="s">
        <v>743</v>
      </c>
      <c r="C167" t="s">
        <v>5715</v>
      </c>
    </row>
    <row r="168" spans="2:3" x14ac:dyDescent="0.35">
      <c r="B168" s="2" t="s">
        <v>5231</v>
      </c>
      <c r="C168" t="s">
        <v>5715</v>
      </c>
    </row>
    <row r="169" spans="2:3" x14ac:dyDescent="0.35">
      <c r="B169" s="1" t="s">
        <v>5175</v>
      </c>
      <c r="C169" t="s">
        <v>5715</v>
      </c>
    </row>
    <row r="170" spans="2:3" x14ac:dyDescent="0.35">
      <c r="B170" s="2" t="s">
        <v>4713</v>
      </c>
      <c r="C170" t="s">
        <v>5715</v>
      </c>
    </row>
    <row r="171" spans="2:3" x14ac:dyDescent="0.35">
      <c r="B171" s="1" t="s">
        <v>2841</v>
      </c>
      <c r="C171" t="s">
        <v>5715</v>
      </c>
    </row>
    <row r="172" spans="2:3" x14ac:dyDescent="0.35">
      <c r="B172" s="2" t="s">
        <v>4165</v>
      </c>
      <c r="C172" t="s">
        <v>5715</v>
      </c>
    </row>
    <row r="173" spans="2:3" x14ac:dyDescent="0.35">
      <c r="B173" s="1" t="s">
        <v>925</v>
      </c>
      <c r="C173" t="s">
        <v>5715</v>
      </c>
    </row>
    <row r="174" spans="2:3" x14ac:dyDescent="0.35">
      <c r="B174" s="2" t="s">
        <v>492</v>
      </c>
      <c r="C174" t="s">
        <v>5715</v>
      </c>
    </row>
    <row r="175" spans="2:3" x14ac:dyDescent="0.35">
      <c r="B175" s="1" t="s">
        <v>3892</v>
      </c>
      <c r="C175" t="s">
        <v>5715</v>
      </c>
    </row>
    <row r="176" spans="2:3" x14ac:dyDescent="0.35">
      <c r="B176" s="2" t="s">
        <v>2375</v>
      </c>
      <c r="C176" t="s">
        <v>5715</v>
      </c>
    </row>
    <row r="177" spans="2:3" x14ac:dyDescent="0.35">
      <c r="B177" s="1" t="s">
        <v>5497</v>
      </c>
      <c r="C177" t="s">
        <v>5715</v>
      </c>
    </row>
    <row r="178" spans="2:3" x14ac:dyDescent="0.35">
      <c r="B178" s="2" t="s">
        <v>3869</v>
      </c>
      <c r="C178" t="s">
        <v>5715</v>
      </c>
    </row>
    <row r="179" spans="2:3" x14ac:dyDescent="0.35">
      <c r="B179" s="1" t="s">
        <v>3295</v>
      </c>
      <c r="C179" t="s">
        <v>5715</v>
      </c>
    </row>
    <row r="180" spans="2:3" x14ac:dyDescent="0.35">
      <c r="B180" s="2" t="s">
        <v>4816</v>
      </c>
      <c r="C180" t="s">
        <v>5715</v>
      </c>
    </row>
    <row r="181" spans="2:3" x14ac:dyDescent="0.35">
      <c r="B181" s="1" t="s">
        <v>3306</v>
      </c>
      <c r="C181" t="s">
        <v>5715</v>
      </c>
    </row>
    <row r="182" spans="2:3" x14ac:dyDescent="0.35">
      <c r="B182" s="2" t="s">
        <v>1359</v>
      </c>
      <c r="C182" t="s">
        <v>5715</v>
      </c>
    </row>
    <row r="183" spans="2:3" x14ac:dyDescent="0.35">
      <c r="B183" s="1" t="s">
        <v>3766</v>
      </c>
      <c r="C183" t="s">
        <v>5715</v>
      </c>
    </row>
    <row r="184" spans="2:3" x14ac:dyDescent="0.35">
      <c r="B184" s="2" t="s">
        <v>1266</v>
      </c>
      <c r="C184" t="s">
        <v>5715</v>
      </c>
    </row>
    <row r="185" spans="2:3" x14ac:dyDescent="0.35">
      <c r="B185" s="1" t="s">
        <v>1023</v>
      </c>
      <c r="C185" t="s">
        <v>5715</v>
      </c>
    </row>
    <row r="186" spans="2:3" x14ac:dyDescent="0.35">
      <c r="B186" s="2" t="s">
        <v>5504</v>
      </c>
      <c r="C186" t="s">
        <v>5715</v>
      </c>
    </row>
    <row r="187" spans="2:3" x14ac:dyDescent="0.35">
      <c r="B187" s="1" t="s">
        <v>4760</v>
      </c>
      <c r="C187" t="s">
        <v>5715</v>
      </c>
    </row>
    <row r="188" spans="2:3" x14ac:dyDescent="0.35">
      <c r="B188" s="2" t="s">
        <v>4846</v>
      </c>
      <c r="C188" t="s">
        <v>5715</v>
      </c>
    </row>
    <row r="189" spans="2:3" x14ac:dyDescent="0.35">
      <c r="B189" s="1" t="s">
        <v>3497</v>
      </c>
      <c r="C189" t="s">
        <v>5715</v>
      </c>
    </row>
    <row r="190" spans="2:3" x14ac:dyDescent="0.35">
      <c r="B190" s="2" t="s">
        <v>3478</v>
      </c>
      <c r="C190" t="s">
        <v>5715</v>
      </c>
    </row>
    <row r="191" spans="2:3" x14ac:dyDescent="0.35">
      <c r="B191" s="1" t="s">
        <v>3041</v>
      </c>
      <c r="C191" t="s">
        <v>5715</v>
      </c>
    </row>
    <row r="192" spans="2:3" x14ac:dyDescent="0.35">
      <c r="B192" s="2" t="s">
        <v>1570</v>
      </c>
      <c r="C192" t="s">
        <v>5715</v>
      </c>
    </row>
    <row r="193" spans="2:3" x14ac:dyDescent="0.35">
      <c r="B193" s="1" t="s">
        <v>392</v>
      </c>
      <c r="C193" t="s">
        <v>5715</v>
      </c>
    </row>
    <row r="194" spans="2:3" x14ac:dyDescent="0.35">
      <c r="B194" s="2" t="s">
        <v>2787</v>
      </c>
      <c r="C194" t="s">
        <v>5715</v>
      </c>
    </row>
    <row r="195" spans="2:3" x14ac:dyDescent="0.35">
      <c r="B195" s="1" t="s">
        <v>1847</v>
      </c>
      <c r="C195" t="s">
        <v>5715</v>
      </c>
    </row>
    <row r="196" spans="2:3" x14ac:dyDescent="0.35">
      <c r="B196" s="2" t="s">
        <v>2703</v>
      </c>
      <c r="C196" t="s">
        <v>5715</v>
      </c>
    </row>
    <row r="197" spans="2:3" x14ac:dyDescent="0.35">
      <c r="B197" s="1" t="s">
        <v>1060</v>
      </c>
      <c r="C197" t="s">
        <v>5715</v>
      </c>
    </row>
    <row r="198" spans="2:3" x14ac:dyDescent="0.35">
      <c r="B198" s="2" t="s">
        <v>2544</v>
      </c>
      <c r="C198" t="s">
        <v>5715</v>
      </c>
    </row>
    <row r="199" spans="2:3" x14ac:dyDescent="0.35">
      <c r="B199" s="1" t="s">
        <v>4990</v>
      </c>
      <c r="C199" t="s">
        <v>5715</v>
      </c>
    </row>
    <row r="200" spans="2:3" x14ac:dyDescent="0.35">
      <c r="B200" s="2" t="s">
        <v>2560</v>
      </c>
      <c r="C200" t="s">
        <v>5715</v>
      </c>
    </row>
    <row r="201" spans="2:3" x14ac:dyDescent="0.35">
      <c r="B201" s="1" t="s">
        <v>4832</v>
      </c>
      <c r="C201" t="s">
        <v>5715</v>
      </c>
    </row>
    <row r="202" spans="2:3" x14ac:dyDescent="0.35">
      <c r="B202" s="2" t="s">
        <v>3322</v>
      </c>
      <c r="C202" t="s">
        <v>5715</v>
      </c>
    </row>
    <row r="203" spans="2:3" x14ac:dyDescent="0.35">
      <c r="B203" s="1" t="s">
        <v>562</v>
      </c>
      <c r="C203" t="s">
        <v>5715</v>
      </c>
    </row>
    <row r="204" spans="2:3" x14ac:dyDescent="0.35">
      <c r="B204" s="2" t="s">
        <v>2183</v>
      </c>
      <c r="C204" t="s">
        <v>5715</v>
      </c>
    </row>
    <row r="205" spans="2:3" x14ac:dyDescent="0.35">
      <c r="B205" s="1" t="s">
        <v>4261</v>
      </c>
      <c r="C205" t="s">
        <v>5715</v>
      </c>
    </row>
    <row r="206" spans="2:3" x14ac:dyDescent="0.35">
      <c r="B206" s="2" t="s">
        <v>5487</v>
      </c>
      <c r="C206" t="s">
        <v>5715</v>
      </c>
    </row>
    <row r="207" spans="2:3" x14ac:dyDescent="0.35">
      <c r="B207" s="1" t="s">
        <v>2664</v>
      </c>
      <c r="C207" t="s">
        <v>5715</v>
      </c>
    </row>
    <row r="208" spans="2:3" x14ac:dyDescent="0.35">
      <c r="B208" s="2" t="s">
        <v>3320</v>
      </c>
      <c r="C208" t="s">
        <v>5715</v>
      </c>
    </row>
    <row r="209" spans="2:3" x14ac:dyDescent="0.35">
      <c r="B209" s="1" t="s">
        <v>4632</v>
      </c>
      <c r="C209" t="s">
        <v>5715</v>
      </c>
    </row>
    <row r="210" spans="2:3" x14ac:dyDescent="0.35">
      <c r="B210" s="2" t="s">
        <v>3450</v>
      </c>
      <c r="C210" t="s">
        <v>5715</v>
      </c>
    </row>
    <row r="211" spans="2:3" x14ac:dyDescent="0.35">
      <c r="B211" s="1" t="s">
        <v>4899</v>
      </c>
      <c r="C211" t="s">
        <v>5715</v>
      </c>
    </row>
    <row r="212" spans="2:3" x14ac:dyDescent="0.35">
      <c r="B212" s="2" t="s">
        <v>2342</v>
      </c>
      <c r="C212" t="s">
        <v>5715</v>
      </c>
    </row>
    <row r="213" spans="2:3" x14ac:dyDescent="0.35">
      <c r="B213" s="1" t="s">
        <v>4094</v>
      </c>
      <c r="C213" t="s">
        <v>5715</v>
      </c>
    </row>
    <row r="214" spans="2:3" x14ac:dyDescent="0.35">
      <c r="B214" s="2" t="s">
        <v>4773</v>
      </c>
      <c r="C214" t="s">
        <v>5715</v>
      </c>
    </row>
    <row r="215" spans="2:3" x14ac:dyDescent="0.35">
      <c r="B215" s="1" t="s">
        <v>1562</v>
      </c>
      <c r="C215" t="s">
        <v>5715</v>
      </c>
    </row>
    <row r="216" spans="2:3" x14ac:dyDescent="0.35">
      <c r="B216" s="2" t="s">
        <v>1884</v>
      </c>
      <c r="C216" t="s">
        <v>5715</v>
      </c>
    </row>
    <row r="217" spans="2:3" x14ac:dyDescent="0.35">
      <c r="B217" s="1" t="s">
        <v>3480</v>
      </c>
      <c r="C217" t="s">
        <v>5715</v>
      </c>
    </row>
    <row r="218" spans="2:3" x14ac:dyDescent="0.35">
      <c r="B218" s="2" t="s">
        <v>2759</v>
      </c>
      <c r="C218" t="s">
        <v>5715</v>
      </c>
    </row>
    <row r="219" spans="2:3" x14ac:dyDescent="0.35">
      <c r="B219" s="1" t="s">
        <v>3592</v>
      </c>
      <c r="C219" t="s">
        <v>5715</v>
      </c>
    </row>
    <row r="220" spans="2:3" x14ac:dyDescent="0.35">
      <c r="B220" s="2" t="s">
        <v>2214</v>
      </c>
      <c r="C220" t="s">
        <v>5715</v>
      </c>
    </row>
    <row r="221" spans="2:3" x14ac:dyDescent="0.35">
      <c r="B221" s="1" t="s">
        <v>4527</v>
      </c>
      <c r="C221" t="s">
        <v>5715</v>
      </c>
    </row>
    <row r="222" spans="2:3" x14ac:dyDescent="0.35">
      <c r="B222" s="2" t="s">
        <v>4529</v>
      </c>
      <c r="C222" t="s">
        <v>5715</v>
      </c>
    </row>
    <row r="223" spans="2:3" x14ac:dyDescent="0.35">
      <c r="B223" s="1" t="s">
        <v>3598</v>
      </c>
      <c r="C223" t="s">
        <v>5715</v>
      </c>
    </row>
    <row r="224" spans="2:3" x14ac:dyDescent="0.35">
      <c r="B224" s="2" t="s">
        <v>498</v>
      </c>
      <c r="C224" t="s">
        <v>5715</v>
      </c>
    </row>
    <row r="225" spans="2:3" x14ac:dyDescent="0.35">
      <c r="B225" s="1" t="s">
        <v>1317</v>
      </c>
      <c r="C225" t="s">
        <v>5715</v>
      </c>
    </row>
    <row r="226" spans="2:3" x14ac:dyDescent="0.35">
      <c r="B226" s="2" t="s">
        <v>3600</v>
      </c>
      <c r="C226" t="s">
        <v>5715</v>
      </c>
    </row>
    <row r="227" spans="2:3" x14ac:dyDescent="0.35">
      <c r="B227" s="1" t="s">
        <v>5553</v>
      </c>
      <c r="C227" t="s">
        <v>5715</v>
      </c>
    </row>
    <row r="228" spans="2:3" x14ac:dyDescent="0.35">
      <c r="B228" s="2" t="s">
        <v>1218</v>
      </c>
      <c r="C228" t="s">
        <v>5715</v>
      </c>
    </row>
    <row r="229" spans="2:3" x14ac:dyDescent="0.35">
      <c r="B229" s="1" t="s">
        <v>2799</v>
      </c>
      <c r="C229" t="s">
        <v>5715</v>
      </c>
    </row>
    <row r="230" spans="2:3" x14ac:dyDescent="0.35">
      <c r="B230" s="2" t="s">
        <v>723</v>
      </c>
      <c r="C230" t="s">
        <v>5715</v>
      </c>
    </row>
    <row r="231" spans="2:3" x14ac:dyDescent="0.35">
      <c r="B231" s="1" t="s">
        <v>991</v>
      </c>
      <c r="C231" t="s">
        <v>5715</v>
      </c>
    </row>
    <row r="232" spans="2:3" x14ac:dyDescent="0.35">
      <c r="B232" s="2" t="s">
        <v>729</v>
      </c>
      <c r="C232" t="s">
        <v>5715</v>
      </c>
    </row>
    <row r="233" spans="2:3" x14ac:dyDescent="0.35">
      <c r="B233" s="1" t="s">
        <v>1653</v>
      </c>
      <c r="C233" t="s">
        <v>5715</v>
      </c>
    </row>
    <row r="234" spans="2:3" x14ac:dyDescent="0.35">
      <c r="B234" s="2" t="s">
        <v>5223</v>
      </c>
      <c r="C234" t="s">
        <v>5715</v>
      </c>
    </row>
    <row r="235" spans="2:3" x14ac:dyDescent="0.35">
      <c r="B235" s="1" t="s">
        <v>2294</v>
      </c>
      <c r="C235" t="s">
        <v>5715</v>
      </c>
    </row>
    <row r="236" spans="2:3" x14ac:dyDescent="0.35">
      <c r="B236" s="2" t="s">
        <v>4456</v>
      </c>
      <c r="C236" t="s">
        <v>5715</v>
      </c>
    </row>
    <row r="237" spans="2:3" x14ac:dyDescent="0.35">
      <c r="B237" s="1" t="s">
        <v>3335</v>
      </c>
      <c r="C237" t="s">
        <v>5715</v>
      </c>
    </row>
    <row r="238" spans="2:3" x14ac:dyDescent="0.35">
      <c r="B238" s="2" t="s">
        <v>3959</v>
      </c>
      <c r="C238" t="s">
        <v>5715</v>
      </c>
    </row>
    <row r="239" spans="2:3" x14ac:dyDescent="0.35">
      <c r="B239" s="1" t="s">
        <v>3637</v>
      </c>
      <c r="C239" t="s">
        <v>5715</v>
      </c>
    </row>
    <row r="240" spans="2:3" x14ac:dyDescent="0.35">
      <c r="B240" s="2" t="s">
        <v>5495</v>
      </c>
      <c r="C240" t="s">
        <v>5715</v>
      </c>
    </row>
    <row r="241" spans="2:3" x14ac:dyDescent="0.35">
      <c r="B241" s="1" t="s">
        <v>3407</v>
      </c>
      <c r="C241" t="s">
        <v>5715</v>
      </c>
    </row>
    <row r="242" spans="2:3" x14ac:dyDescent="0.35">
      <c r="B242" s="2" t="s">
        <v>5389</v>
      </c>
      <c r="C242" t="s">
        <v>5715</v>
      </c>
    </row>
    <row r="243" spans="2:3" x14ac:dyDescent="0.35">
      <c r="B243" s="1" t="s">
        <v>5131</v>
      </c>
      <c r="C243" t="s">
        <v>5715</v>
      </c>
    </row>
    <row r="244" spans="2:3" x14ac:dyDescent="0.35">
      <c r="B244" s="2" t="s">
        <v>4437</v>
      </c>
      <c r="C244" t="s">
        <v>5715</v>
      </c>
    </row>
    <row r="245" spans="2:3" x14ac:dyDescent="0.35">
      <c r="B245" s="1" t="s">
        <v>1216</v>
      </c>
      <c r="C245" t="s">
        <v>5715</v>
      </c>
    </row>
    <row r="246" spans="2:3" x14ac:dyDescent="0.35">
      <c r="B246" s="2" t="s">
        <v>2620</v>
      </c>
      <c r="C246" t="s">
        <v>5715</v>
      </c>
    </row>
    <row r="247" spans="2:3" x14ac:dyDescent="0.35">
      <c r="B247" s="1" t="s">
        <v>1220</v>
      </c>
      <c r="C247" t="s">
        <v>5715</v>
      </c>
    </row>
    <row r="248" spans="2:3" x14ac:dyDescent="0.35">
      <c r="B248" s="2" t="s">
        <v>995</v>
      </c>
      <c r="C248" t="s">
        <v>5715</v>
      </c>
    </row>
    <row r="249" spans="2:3" x14ac:dyDescent="0.35">
      <c r="B249" s="1" t="s">
        <v>1455</v>
      </c>
      <c r="C249" t="s">
        <v>5715</v>
      </c>
    </row>
    <row r="250" spans="2:3" x14ac:dyDescent="0.35">
      <c r="B250" s="2" t="s">
        <v>1639</v>
      </c>
      <c r="C250" t="s">
        <v>5715</v>
      </c>
    </row>
    <row r="251" spans="2:3" x14ac:dyDescent="0.35">
      <c r="B251" s="1" t="s">
        <v>4992</v>
      </c>
      <c r="C251" t="s">
        <v>5715</v>
      </c>
    </row>
    <row r="252" spans="2:3" x14ac:dyDescent="0.35">
      <c r="B252" s="2" t="s">
        <v>2556</v>
      </c>
      <c r="C252" t="s">
        <v>5715</v>
      </c>
    </row>
    <row r="253" spans="2:3" x14ac:dyDescent="0.35">
      <c r="B253" s="1" t="s">
        <v>1258</v>
      </c>
      <c r="C253" t="s">
        <v>5715</v>
      </c>
    </row>
    <row r="254" spans="2:3" x14ac:dyDescent="0.35">
      <c r="B254" s="2" t="s">
        <v>3236</v>
      </c>
      <c r="C254" t="s">
        <v>5715</v>
      </c>
    </row>
    <row r="255" spans="2:3" x14ac:dyDescent="0.35">
      <c r="B255" s="1" t="s">
        <v>1461</v>
      </c>
      <c r="C255" t="s">
        <v>5715</v>
      </c>
    </row>
    <row r="256" spans="2:3" x14ac:dyDescent="0.35">
      <c r="B256" s="2" t="s">
        <v>5143</v>
      </c>
      <c r="C256" t="s">
        <v>5715</v>
      </c>
    </row>
    <row r="257" spans="2:3" x14ac:dyDescent="0.35">
      <c r="B257" s="1" t="s">
        <v>3886</v>
      </c>
      <c r="C257" t="s">
        <v>5715</v>
      </c>
    </row>
    <row r="258" spans="2:3" x14ac:dyDescent="0.35">
      <c r="B258" s="2" t="s">
        <v>2132</v>
      </c>
      <c r="C258" t="s">
        <v>5715</v>
      </c>
    </row>
    <row r="259" spans="2:3" x14ac:dyDescent="0.35">
      <c r="B259" s="1" t="s">
        <v>1243</v>
      </c>
      <c r="C259" t="s">
        <v>5715</v>
      </c>
    </row>
    <row r="260" spans="2:3" x14ac:dyDescent="0.35">
      <c r="B260" s="2" t="s">
        <v>1026</v>
      </c>
      <c r="C260" t="s">
        <v>5715</v>
      </c>
    </row>
    <row r="261" spans="2:3" x14ac:dyDescent="0.35">
      <c r="B261" s="1" t="s">
        <v>869</v>
      </c>
      <c r="C261" t="s">
        <v>5715</v>
      </c>
    </row>
    <row r="262" spans="2:3" x14ac:dyDescent="0.35">
      <c r="B262" s="2" t="s">
        <v>3492</v>
      </c>
      <c r="C262" t="s">
        <v>5715</v>
      </c>
    </row>
    <row r="263" spans="2:3" x14ac:dyDescent="0.35">
      <c r="B263" s="1" t="s">
        <v>2352</v>
      </c>
      <c r="C263" t="s">
        <v>5715</v>
      </c>
    </row>
    <row r="264" spans="2:3" x14ac:dyDescent="0.35">
      <c r="B264" s="2" t="s">
        <v>5565</v>
      </c>
      <c r="C264" t="s">
        <v>5715</v>
      </c>
    </row>
    <row r="265" spans="2:3" x14ac:dyDescent="0.35">
      <c r="B265" s="1" t="s">
        <v>3161</v>
      </c>
      <c r="C265" t="s">
        <v>5715</v>
      </c>
    </row>
    <row r="266" spans="2:3" x14ac:dyDescent="0.35">
      <c r="B266" s="2" t="s">
        <v>4744</v>
      </c>
      <c r="C266" t="s">
        <v>5715</v>
      </c>
    </row>
    <row r="267" spans="2:3" x14ac:dyDescent="0.35">
      <c r="B267" s="1" t="s">
        <v>5135</v>
      </c>
      <c r="C267" t="s">
        <v>5715</v>
      </c>
    </row>
    <row r="268" spans="2:3" x14ac:dyDescent="0.35">
      <c r="B268" s="2" t="s">
        <v>1067</v>
      </c>
      <c r="C268" t="s">
        <v>5715</v>
      </c>
    </row>
    <row r="269" spans="2:3" x14ac:dyDescent="0.35">
      <c r="B269" s="1" t="s">
        <v>4283</v>
      </c>
      <c r="C269" t="s">
        <v>5715</v>
      </c>
    </row>
    <row r="270" spans="2:3" x14ac:dyDescent="0.35">
      <c r="B270" s="2" t="s">
        <v>1019</v>
      </c>
      <c r="C270" t="s">
        <v>5715</v>
      </c>
    </row>
    <row r="271" spans="2:3" x14ac:dyDescent="0.35">
      <c r="B271" s="1" t="s">
        <v>741</v>
      </c>
      <c r="C271" t="s">
        <v>5715</v>
      </c>
    </row>
    <row r="272" spans="2:3" x14ac:dyDescent="0.35">
      <c r="B272" s="2" t="s">
        <v>4758</v>
      </c>
      <c r="C272" t="s">
        <v>5715</v>
      </c>
    </row>
    <row r="273" spans="2:3" x14ac:dyDescent="0.35">
      <c r="B273" s="1" t="s">
        <v>3349</v>
      </c>
      <c r="C273" t="s">
        <v>5715</v>
      </c>
    </row>
    <row r="274" spans="2:3" x14ac:dyDescent="0.35">
      <c r="B274" s="2" t="s">
        <v>3318</v>
      </c>
      <c r="C274" t="s">
        <v>5715</v>
      </c>
    </row>
    <row r="275" spans="2:3" x14ac:dyDescent="0.35">
      <c r="B275" s="1" t="s">
        <v>307</v>
      </c>
      <c r="C275" t="s">
        <v>5715</v>
      </c>
    </row>
    <row r="276" spans="2:3" x14ac:dyDescent="0.35">
      <c r="B276" s="2" t="s">
        <v>2025</v>
      </c>
      <c r="C276" t="s">
        <v>5715</v>
      </c>
    </row>
    <row r="277" spans="2:3" x14ac:dyDescent="0.35">
      <c r="B277" s="1" t="s">
        <v>1279</v>
      </c>
      <c r="C277" t="s">
        <v>5715</v>
      </c>
    </row>
    <row r="278" spans="2:3" x14ac:dyDescent="0.35">
      <c r="B278" s="2" t="s">
        <v>4267</v>
      </c>
      <c r="C278" t="s">
        <v>5715</v>
      </c>
    </row>
    <row r="279" spans="2:3" x14ac:dyDescent="0.35">
      <c r="B279" s="1" t="s">
        <v>3683</v>
      </c>
      <c r="C279" t="s">
        <v>5715</v>
      </c>
    </row>
    <row r="280" spans="2:3" x14ac:dyDescent="0.35">
      <c r="B280" s="2" t="s">
        <v>5409</v>
      </c>
      <c r="C280" t="s">
        <v>5715</v>
      </c>
    </row>
    <row r="281" spans="2:3" x14ac:dyDescent="0.35">
      <c r="B281" s="1" t="s">
        <v>861</v>
      </c>
      <c r="C281" t="s">
        <v>5715</v>
      </c>
    </row>
    <row r="282" spans="2:3" x14ac:dyDescent="0.35">
      <c r="B282" s="2" t="s">
        <v>3302</v>
      </c>
      <c r="C282" t="s">
        <v>5715</v>
      </c>
    </row>
    <row r="283" spans="2:3" x14ac:dyDescent="0.35">
      <c r="B283" s="1" t="s">
        <v>3282</v>
      </c>
      <c r="C283" t="s">
        <v>5715</v>
      </c>
    </row>
    <row r="284" spans="2:3" x14ac:dyDescent="0.35">
      <c r="B284" s="2" t="s">
        <v>3994</v>
      </c>
      <c r="C284" t="s">
        <v>5715</v>
      </c>
    </row>
    <row r="285" spans="2:3" x14ac:dyDescent="0.35">
      <c r="B285" s="1" t="s">
        <v>1647</v>
      </c>
      <c r="C285" t="s">
        <v>5715</v>
      </c>
    </row>
    <row r="286" spans="2:3" x14ac:dyDescent="0.35">
      <c r="B286" s="2" t="s">
        <v>5137</v>
      </c>
      <c r="C286" t="s">
        <v>5715</v>
      </c>
    </row>
    <row r="287" spans="2:3" x14ac:dyDescent="0.35">
      <c r="B287" s="1" t="s">
        <v>1028</v>
      </c>
      <c r="C287" t="s">
        <v>5715</v>
      </c>
    </row>
    <row r="288" spans="2:3" x14ac:dyDescent="0.35">
      <c r="B288" s="2" t="s">
        <v>2324</v>
      </c>
      <c r="C288" t="s">
        <v>5715</v>
      </c>
    </row>
    <row r="289" spans="2:3" x14ac:dyDescent="0.35">
      <c r="B289" s="1" t="s">
        <v>3732</v>
      </c>
      <c r="C289" t="s">
        <v>5715</v>
      </c>
    </row>
    <row r="290" spans="2:3" x14ac:dyDescent="0.35">
      <c r="B290" s="2" t="s">
        <v>2317</v>
      </c>
      <c r="C290" t="s">
        <v>5715</v>
      </c>
    </row>
    <row r="291" spans="2:3" x14ac:dyDescent="0.35">
      <c r="B291" s="1" t="s">
        <v>4359</v>
      </c>
      <c r="C291" t="s">
        <v>5715</v>
      </c>
    </row>
    <row r="292" spans="2:3" x14ac:dyDescent="0.35">
      <c r="B292" s="2" t="s">
        <v>2112</v>
      </c>
      <c r="C292" t="s">
        <v>5715</v>
      </c>
    </row>
    <row r="293" spans="2:3" x14ac:dyDescent="0.35">
      <c r="B293" s="1" t="s">
        <v>2660</v>
      </c>
      <c r="C293" t="s">
        <v>5715</v>
      </c>
    </row>
    <row r="294" spans="2:3" x14ac:dyDescent="0.35">
      <c r="B294" s="2" t="s">
        <v>674</v>
      </c>
      <c r="C294" t="s">
        <v>5715</v>
      </c>
    </row>
    <row r="295" spans="2:3" x14ac:dyDescent="0.35">
      <c r="B295" s="1" t="s">
        <v>1661</v>
      </c>
      <c r="C295" t="s">
        <v>5715</v>
      </c>
    </row>
    <row r="296" spans="2:3" x14ac:dyDescent="0.35">
      <c r="B296" s="2" t="s">
        <v>2311</v>
      </c>
      <c r="C296" t="s">
        <v>5715</v>
      </c>
    </row>
    <row r="297" spans="2:3" x14ac:dyDescent="0.35">
      <c r="B297" s="1" t="s">
        <v>2576</v>
      </c>
      <c r="C297" t="s">
        <v>5715</v>
      </c>
    </row>
    <row r="298" spans="2:3" x14ac:dyDescent="0.35">
      <c r="B298" s="2" t="s">
        <v>2453</v>
      </c>
      <c r="C298" t="s">
        <v>5715</v>
      </c>
    </row>
    <row r="299" spans="2:3" x14ac:dyDescent="0.35">
      <c r="B299" s="1" t="s">
        <v>2733</v>
      </c>
      <c r="C299" t="s">
        <v>5715</v>
      </c>
    </row>
    <row r="300" spans="2:3" x14ac:dyDescent="0.35">
      <c r="B300" s="2" t="s">
        <v>2979</v>
      </c>
      <c r="C300" t="s">
        <v>5715</v>
      </c>
    </row>
    <row r="301" spans="2:3" x14ac:dyDescent="0.35">
      <c r="B301" s="1" t="s">
        <v>291</v>
      </c>
      <c r="C301" t="s">
        <v>5715</v>
      </c>
    </row>
    <row r="302" spans="2:3" x14ac:dyDescent="0.35">
      <c r="B302" s="2" t="s">
        <v>1786</v>
      </c>
      <c r="C302" t="s">
        <v>5715</v>
      </c>
    </row>
    <row r="303" spans="2:3" x14ac:dyDescent="0.35">
      <c r="B303" s="1" t="s">
        <v>5080</v>
      </c>
      <c r="C303" t="s">
        <v>5715</v>
      </c>
    </row>
    <row r="304" spans="2:3" x14ac:dyDescent="0.35">
      <c r="B304" s="2" t="s">
        <v>5000</v>
      </c>
      <c r="C304" t="s">
        <v>5715</v>
      </c>
    </row>
    <row r="305" spans="2:3" x14ac:dyDescent="0.35">
      <c r="B305" s="1" t="s">
        <v>3009</v>
      </c>
      <c r="C305" t="s">
        <v>5715</v>
      </c>
    </row>
    <row r="306" spans="2:3" x14ac:dyDescent="0.35">
      <c r="B306" s="2" t="s">
        <v>1746</v>
      </c>
      <c r="C306" t="s">
        <v>5715</v>
      </c>
    </row>
    <row r="307" spans="2:3" x14ac:dyDescent="0.35">
      <c r="B307" s="1" t="s">
        <v>1967</v>
      </c>
      <c r="C307" t="s">
        <v>5715</v>
      </c>
    </row>
    <row r="308" spans="2:3" x14ac:dyDescent="0.35">
      <c r="B308" s="2" t="s">
        <v>2879</v>
      </c>
      <c r="C308" t="s">
        <v>5715</v>
      </c>
    </row>
    <row r="309" spans="2:3" x14ac:dyDescent="0.35">
      <c r="B309" s="1" t="s">
        <v>4183</v>
      </c>
      <c r="C309" t="s">
        <v>5715</v>
      </c>
    </row>
    <row r="310" spans="2:3" x14ac:dyDescent="0.35">
      <c r="B310" s="2" t="s">
        <v>2019</v>
      </c>
      <c r="C310" t="s">
        <v>5715</v>
      </c>
    </row>
    <row r="311" spans="2:3" x14ac:dyDescent="0.35">
      <c r="B311" s="1" t="s">
        <v>3409</v>
      </c>
      <c r="C311" t="s">
        <v>5715</v>
      </c>
    </row>
    <row r="312" spans="2:3" x14ac:dyDescent="0.35">
      <c r="B312" s="2" t="s">
        <v>2134</v>
      </c>
      <c r="C312" t="s">
        <v>5715</v>
      </c>
    </row>
    <row r="313" spans="2:3" x14ac:dyDescent="0.35">
      <c r="B313" s="1" t="s">
        <v>4842</v>
      </c>
      <c r="C313" t="s">
        <v>5715</v>
      </c>
    </row>
    <row r="314" spans="2:3" x14ac:dyDescent="0.35">
      <c r="B314" s="2" t="s">
        <v>3896</v>
      </c>
      <c r="C314" t="s">
        <v>5715</v>
      </c>
    </row>
    <row r="315" spans="2:3" x14ac:dyDescent="0.35">
      <c r="B315" s="1" t="s">
        <v>5516</v>
      </c>
      <c r="C315" t="s">
        <v>5715</v>
      </c>
    </row>
    <row r="316" spans="2:3" x14ac:dyDescent="0.35">
      <c r="B316" s="2" t="s">
        <v>5659</v>
      </c>
      <c r="C316" t="s">
        <v>5715</v>
      </c>
    </row>
    <row r="317" spans="2:3" x14ac:dyDescent="0.35">
      <c r="B317" s="1" t="s">
        <v>2891</v>
      </c>
      <c r="C317" t="s">
        <v>5715</v>
      </c>
    </row>
    <row r="318" spans="2:3" x14ac:dyDescent="0.35">
      <c r="B318" s="2" t="s">
        <v>1222</v>
      </c>
      <c r="C318" t="s">
        <v>5715</v>
      </c>
    </row>
    <row r="319" spans="2:3" x14ac:dyDescent="0.35">
      <c r="B319" s="1" t="s">
        <v>3661</v>
      </c>
      <c r="C319" t="s">
        <v>5715</v>
      </c>
    </row>
    <row r="320" spans="2:3" x14ac:dyDescent="0.35">
      <c r="B320" s="2" t="s">
        <v>2950</v>
      </c>
      <c r="C320" t="s">
        <v>5715</v>
      </c>
    </row>
    <row r="321" spans="2:3" x14ac:dyDescent="0.35">
      <c r="B321" s="1" t="s">
        <v>4801</v>
      </c>
      <c r="C321" t="s">
        <v>5715</v>
      </c>
    </row>
    <row r="322" spans="2:3" x14ac:dyDescent="0.35">
      <c r="B322" s="2" t="s">
        <v>5450</v>
      </c>
      <c r="C322" t="s">
        <v>5715</v>
      </c>
    </row>
    <row r="323" spans="2:3" x14ac:dyDescent="0.35">
      <c r="B323" s="1" t="s">
        <v>4725</v>
      </c>
      <c r="C323" t="s">
        <v>5715</v>
      </c>
    </row>
    <row r="324" spans="2:3" x14ac:dyDescent="0.35">
      <c r="B324" s="2" t="s">
        <v>651</v>
      </c>
      <c r="C324" t="s">
        <v>5715</v>
      </c>
    </row>
    <row r="325" spans="2:3" x14ac:dyDescent="0.35">
      <c r="B325" s="1" t="s">
        <v>655</v>
      </c>
      <c r="C325" t="s">
        <v>5715</v>
      </c>
    </row>
    <row r="326" spans="2:3" x14ac:dyDescent="0.35">
      <c r="B326" s="2" t="s">
        <v>5465</v>
      </c>
      <c r="C326" t="s">
        <v>5715</v>
      </c>
    </row>
    <row r="327" spans="2:3" x14ac:dyDescent="0.35">
      <c r="B327" s="1" t="s">
        <v>4650</v>
      </c>
      <c r="C327" t="s">
        <v>5715</v>
      </c>
    </row>
    <row r="328" spans="2:3" x14ac:dyDescent="0.35">
      <c r="B328" s="2" t="s">
        <v>3130</v>
      </c>
      <c r="C328" t="s">
        <v>5715</v>
      </c>
    </row>
    <row r="329" spans="2:3" x14ac:dyDescent="0.35">
      <c r="B329" s="1" t="s">
        <v>2226</v>
      </c>
      <c r="C329" t="s">
        <v>5715</v>
      </c>
    </row>
    <row r="330" spans="2:3" x14ac:dyDescent="0.35">
      <c r="B330" s="2" t="s">
        <v>608</v>
      </c>
      <c r="C330" t="s">
        <v>5715</v>
      </c>
    </row>
    <row r="331" spans="2:3" x14ac:dyDescent="0.35">
      <c r="B331" s="1" t="s">
        <v>1348</v>
      </c>
      <c r="C331" t="s">
        <v>5715</v>
      </c>
    </row>
    <row r="332" spans="2:3" x14ac:dyDescent="0.35">
      <c r="B332" s="2" t="s">
        <v>3982</v>
      </c>
      <c r="C332" t="s">
        <v>5715</v>
      </c>
    </row>
    <row r="333" spans="2:3" x14ac:dyDescent="0.35">
      <c r="B333" s="1" t="s">
        <v>220</v>
      </c>
      <c r="C333" t="s">
        <v>5715</v>
      </c>
    </row>
    <row r="334" spans="2:3" x14ac:dyDescent="0.35">
      <c r="B334" s="2" t="s">
        <v>1986</v>
      </c>
      <c r="C334" t="s">
        <v>5715</v>
      </c>
    </row>
    <row r="335" spans="2:3" x14ac:dyDescent="0.35">
      <c r="B335" s="1" t="s">
        <v>4888</v>
      </c>
      <c r="C335" t="s">
        <v>5715</v>
      </c>
    </row>
    <row r="336" spans="2:3" x14ac:dyDescent="0.35">
      <c r="B336" s="2" t="s">
        <v>592</v>
      </c>
      <c r="C336" t="s">
        <v>5715</v>
      </c>
    </row>
    <row r="337" spans="2:3" x14ac:dyDescent="0.35">
      <c r="B337" s="1" t="s">
        <v>1325</v>
      </c>
      <c r="C337" t="s">
        <v>5715</v>
      </c>
    </row>
    <row r="338" spans="2:3" x14ac:dyDescent="0.35">
      <c r="B338" s="2" t="s">
        <v>3961</v>
      </c>
      <c r="C338" t="s">
        <v>5715</v>
      </c>
    </row>
    <row r="339" spans="2:3" x14ac:dyDescent="0.35">
      <c r="B339" s="1" t="s">
        <v>1437</v>
      </c>
      <c r="C339" t="s">
        <v>5715</v>
      </c>
    </row>
    <row r="340" spans="2:3" x14ac:dyDescent="0.35">
      <c r="B340" s="2" t="s">
        <v>1174</v>
      </c>
      <c r="C340" t="s">
        <v>5715</v>
      </c>
    </row>
    <row r="341" spans="2:3" x14ac:dyDescent="0.35">
      <c r="B341" s="1" t="s">
        <v>3385</v>
      </c>
      <c r="C341" t="s">
        <v>5715</v>
      </c>
    </row>
    <row r="342" spans="2:3" x14ac:dyDescent="0.35">
      <c r="B342" s="2" t="s">
        <v>1560</v>
      </c>
      <c r="C342" t="s">
        <v>5715</v>
      </c>
    </row>
    <row r="343" spans="2:3" x14ac:dyDescent="0.35">
      <c r="B343" s="1" t="s">
        <v>5535</v>
      </c>
      <c r="C343" t="s">
        <v>5715</v>
      </c>
    </row>
    <row r="344" spans="2:3" x14ac:dyDescent="0.35">
      <c r="B344" s="2" t="s">
        <v>2765</v>
      </c>
      <c r="C344" t="s">
        <v>5715</v>
      </c>
    </row>
    <row r="345" spans="2:3" x14ac:dyDescent="0.35">
      <c r="B345" s="1" t="s">
        <v>1168</v>
      </c>
      <c r="C345" t="s">
        <v>5715</v>
      </c>
    </row>
    <row r="346" spans="2:3" x14ac:dyDescent="0.35">
      <c r="B346" s="2" t="s">
        <v>5684</v>
      </c>
      <c r="C346" t="s">
        <v>5715</v>
      </c>
    </row>
    <row r="347" spans="2:3" x14ac:dyDescent="0.35">
      <c r="B347" s="1" t="s">
        <v>4253</v>
      </c>
      <c r="C347" t="s">
        <v>5715</v>
      </c>
    </row>
    <row r="348" spans="2:3" x14ac:dyDescent="0.35">
      <c r="B348" s="2" t="s">
        <v>813</v>
      </c>
      <c r="C348" t="s">
        <v>5715</v>
      </c>
    </row>
    <row r="349" spans="2:3" x14ac:dyDescent="0.35">
      <c r="B349" s="1" t="s">
        <v>4378</v>
      </c>
      <c r="C349" t="s">
        <v>5715</v>
      </c>
    </row>
    <row r="350" spans="2:3" x14ac:dyDescent="0.35">
      <c r="B350" s="2" t="s">
        <v>1407</v>
      </c>
      <c r="C350" t="s">
        <v>5715</v>
      </c>
    </row>
    <row r="351" spans="2:3" x14ac:dyDescent="0.35">
      <c r="B351" s="1" t="s">
        <v>4245</v>
      </c>
      <c r="C351" t="s">
        <v>5715</v>
      </c>
    </row>
    <row r="352" spans="2:3" x14ac:dyDescent="0.35">
      <c r="B352" s="2" t="s">
        <v>3657</v>
      </c>
      <c r="C352" t="s">
        <v>5715</v>
      </c>
    </row>
    <row r="353" spans="2:3" x14ac:dyDescent="0.35">
      <c r="B353" s="1" t="s">
        <v>4805</v>
      </c>
      <c r="C353" t="s">
        <v>5715</v>
      </c>
    </row>
    <row r="354" spans="2:3" x14ac:dyDescent="0.35">
      <c r="B354" s="2" t="s">
        <v>186</v>
      </c>
      <c r="C354" t="s">
        <v>5715</v>
      </c>
    </row>
    <row r="355" spans="2:3" x14ac:dyDescent="0.35">
      <c r="B355" s="1" t="s">
        <v>3430</v>
      </c>
      <c r="C355" t="s">
        <v>5715</v>
      </c>
    </row>
    <row r="356" spans="2:3" x14ac:dyDescent="0.35">
      <c r="B356" s="2" t="s">
        <v>1445</v>
      </c>
      <c r="C356" t="s">
        <v>5715</v>
      </c>
    </row>
    <row r="357" spans="2:3" x14ac:dyDescent="0.35">
      <c r="B357" s="1" t="s">
        <v>2658</v>
      </c>
      <c r="C357" t="s">
        <v>5715</v>
      </c>
    </row>
    <row r="358" spans="2:3" x14ac:dyDescent="0.35">
      <c r="B358" s="2" t="s">
        <v>5211</v>
      </c>
      <c r="C358" t="s">
        <v>5715</v>
      </c>
    </row>
  </sheetData>
  <pageMargins left="0.7" right="0.7" top="0.75" bottom="0.75" header="0.3" footer="0.3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CD8E2-34FF-4E58-9E46-A873F39F254A}">
  <sheetPr>
    <tabColor theme="3"/>
  </sheetPr>
  <dimension ref="B2:D67"/>
  <sheetViews>
    <sheetView workbookViewId="0">
      <selection activeCell="B2" sqref="B2:L2986"/>
    </sheetView>
  </sheetViews>
  <sheetFormatPr baseColWidth="10" defaultRowHeight="14.5" x14ac:dyDescent="0.35"/>
  <cols>
    <col min="3" max="3" width="14.08984375" customWidth="1"/>
    <col min="4" max="4" width="38.1796875" customWidth="1"/>
  </cols>
  <sheetData>
    <row r="2" spans="2:4" x14ac:dyDescent="0.35">
      <c r="B2" s="4" t="s">
        <v>5713</v>
      </c>
      <c r="C2" t="s">
        <v>8686</v>
      </c>
      <c r="D2" t="s">
        <v>8687</v>
      </c>
    </row>
    <row r="3" spans="2:4" x14ac:dyDescent="0.35">
      <c r="B3" s="4" t="s">
        <v>5720</v>
      </c>
      <c r="C3" t="s">
        <v>5766</v>
      </c>
      <c r="D3" t="str">
        <f>VLOOKUP(B3,Lista!C:G,5,FALSE)</f>
        <v>NO ABANDONAR</v>
      </c>
    </row>
    <row r="4" spans="2:4" x14ac:dyDescent="0.35">
      <c r="B4" s="4" t="s">
        <v>7184</v>
      </c>
      <c r="C4" t="s">
        <v>5766</v>
      </c>
      <c r="D4" t="str">
        <f>VLOOKUP(B4,Lista!C:G,5,FALSE)</f>
        <v>ABA O OPORTUNIDAD</v>
      </c>
    </row>
    <row r="5" spans="2:4" x14ac:dyDescent="0.35">
      <c r="B5" s="4" t="s">
        <v>5721</v>
      </c>
      <c r="C5" t="s">
        <v>5766</v>
      </c>
      <c r="D5" t="str">
        <f>VLOOKUP(B5,Lista!C:G,5,FALSE)</f>
        <v>NO ABANDONAR</v>
      </c>
    </row>
    <row r="6" spans="2:4" x14ac:dyDescent="0.35">
      <c r="B6" s="4" t="s">
        <v>5722</v>
      </c>
      <c r="C6" t="s">
        <v>5766</v>
      </c>
      <c r="D6" t="str">
        <f>VLOOKUP(B6,Lista!C:G,5,FALSE)</f>
        <v>NO ABANDONAR</v>
      </c>
    </row>
    <row r="7" spans="2:4" x14ac:dyDescent="0.35">
      <c r="B7" s="4" t="s">
        <v>5723</v>
      </c>
      <c r="C7" t="s">
        <v>5766</v>
      </c>
      <c r="D7" t="str">
        <f>VLOOKUP(B7,Lista!C:G,5,FALSE)</f>
        <v>NO ABANDONAR</v>
      </c>
    </row>
    <row r="8" spans="2:4" x14ac:dyDescent="0.35">
      <c r="B8" s="4" t="s">
        <v>6555</v>
      </c>
      <c r="C8" t="s">
        <v>5766</v>
      </c>
      <c r="D8" t="str">
        <f>VLOOKUP(B8,Lista!C:G,5,FALSE)</f>
        <v>NO ABANDONAR</v>
      </c>
    </row>
    <row r="9" spans="2:4" x14ac:dyDescent="0.35">
      <c r="B9" s="4" t="s">
        <v>5724</v>
      </c>
      <c r="C9" t="s">
        <v>5766</v>
      </c>
      <c r="D9" t="str">
        <f>VLOOKUP(B9,Lista!C:G,5,FALSE)</f>
        <v>ABA O OPORTUNIDAD</v>
      </c>
    </row>
    <row r="10" spans="2:4" x14ac:dyDescent="0.35">
      <c r="B10" s="4" t="s">
        <v>7062</v>
      </c>
      <c r="C10" t="s">
        <v>5766</v>
      </c>
      <c r="D10" t="str">
        <f>VLOOKUP(B10,Lista!C:G,5,FALSE)</f>
        <v>NO ABANDONAR</v>
      </c>
    </row>
    <row r="11" spans="2:4" x14ac:dyDescent="0.35">
      <c r="B11" s="4" t="s">
        <v>5725</v>
      </c>
      <c r="C11" t="s">
        <v>5766</v>
      </c>
      <c r="D11" t="str">
        <f>VLOOKUP(B11,Lista!C:G,5,FALSE)</f>
        <v>NO ABANDONAR</v>
      </c>
    </row>
    <row r="12" spans="2:4" x14ac:dyDescent="0.35">
      <c r="B12" s="4" t="s">
        <v>7101</v>
      </c>
      <c r="C12" t="s">
        <v>5766</v>
      </c>
      <c r="D12" t="str">
        <f>VLOOKUP(B12,Lista!C:G,5,FALSE)</f>
        <v>NO ABANDONAR</v>
      </c>
    </row>
    <row r="13" spans="2:4" x14ac:dyDescent="0.35">
      <c r="B13" s="4" t="s">
        <v>5726</v>
      </c>
      <c r="C13" t="s">
        <v>5766</v>
      </c>
      <c r="D13" t="str">
        <f>VLOOKUP(B13,Lista!C:G,5,FALSE)</f>
        <v>ABA O OPORTUNIDAD</v>
      </c>
    </row>
    <row r="14" spans="2:4" x14ac:dyDescent="0.35">
      <c r="B14" s="4" t="s">
        <v>5727</v>
      </c>
      <c r="C14" t="s">
        <v>5766</v>
      </c>
      <c r="D14" t="str">
        <f>VLOOKUP(B14,Lista!C:G,5,FALSE)</f>
        <v>SACAR DE LA LISTA YPF</v>
      </c>
    </row>
    <row r="15" spans="2:4" x14ac:dyDescent="0.35">
      <c r="B15" s="4" t="s">
        <v>5728</v>
      </c>
      <c r="C15" t="s">
        <v>5766</v>
      </c>
      <c r="D15" t="str">
        <f>VLOOKUP(B15,Lista!C:G,5,FALSE)</f>
        <v>ABA O OPORTUNIDAD</v>
      </c>
    </row>
    <row r="16" spans="2:4" x14ac:dyDescent="0.35">
      <c r="B16" s="4" t="s">
        <v>5729</v>
      </c>
      <c r="C16" t="s">
        <v>5766</v>
      </c>
      <c r="D16" t="str">
        <f>VLOOKUP(B16,Lista!C:G,5,FALSE)</f>
        <v>NO ABANDONAR</v>
      </c>
    </row>
    <row r="17" spans="2:4" x14ac:dyDescent="0.35">
      <c r="B17" s="4" t="s">
        <v>5730</v>
      </c>
      <c r="C17" t="s">
        <v>5766</v>
      </c>
      <c r="D17" t="str">
        <f>VLOOKUP(B17,Lista!C:G,5,FALSE)</f>
        <v>NO ABANDONAR</v>
      </c>
    </row>
    <row r="18" spans="2:4" x14ac:dyDescent="0.35">
      <c r="B18" s="4" t="s">
        <v>8240</v>
      </c>
      <c r="C18" t="s">
        <v>5766</v>
      </c>
      <c r="D18" t="str">
        <f>VLOOKUP(B18,Lista!C:G,5,FALSE)</f>
        <v>NO ABANDONAR</v>
      </c>
    </row>
    <row r="19" spans="2:4" x14ac:dyDescent="0.35">
      <c r="B19" s="4" t="s">
        <v>6671</v>
      </c>
      <c r="C19" t="s">
        <v>5766</v>
      </c>
      <c r="D19" t="str">
        <f>VLOOKUP(B19,Lista!C:G,5,FALSE)</f>
        <v>ABA O OPORTUNIDAD</v>
      </c>
    </row>
    <row r="20" spans="2:4" x14ac:dyDescent="0.35">
      <c r="B20" s="4" t="s">
        <v>5731</v>
      </c>
      <c r="C20" t="s">
        <v>5766</v>
      </c>
      <c r="D20" t="str">
        <f>VLOOKUP(B20,Lista!C:G,5,FALSE)</f>
        <v>ABA O OPORTUNIDAD</v>
      </c>
    </row>
    <row r="21" spans="2:4" x14ac:dyDescent="0.35">
      <c r="B21" s="4" t="s">
        <v>7315</v>
      </c>
      <c r="C21" t="s">
        <v>5766</v>
      </c>
      <c r="D21" t="str">
        <f>VLOOKUP(B21,Lista!C:G,5,FALSE)</f>
        <v>NO ABANDONAR</v>
      </c>
    </row>
    <row r="22" spans="2:4" x14ac:dyDescent="0.35">
      <c r="B22" s="4" t="s">
        <v>5934</v>
      </c>
      <c r="C22" t="s">
        <v>5766</v>
      </c>
      <c r="D22" t="str">
        <f>VLOOKUP(B22,Lista!C:G,5,FALSE)</f>
        <v>ABA O OPORTUNIDAD</v>
      </c>
    </row>
    <row r="23" spans="2:4" x14ac:dyDescent="0.35">
      <c r="B23" s="4" t="s">
        <v>5732</v>
      </c>
      <c r="C23" t="s">
        <v>5766</v>
      </c>
      <c r="D23" t="str">
        <f>VLOOKUP(B23,Lista!C:G,5,FALSE)</f>
        <v>ABA O OPORTUNIDAD</v>
      </c>
    </row>
    <row r="24" spans="2:4" x14ac:dyDescent="0.35">
      <c r="B24" s="4" t="s">
        <v>5733</v>
      </c>
      <c r="C24" t="s">
        <v>5766</v>
      </c>
      <c r="D24" t="str">
        <f>VLOOKUP(B24,Lista!C:G,5,FALSE)</f>
        <v>ABA O OPORTUNIDAD</v>
      </c>
    </row>
    <row r="25" spans="2:4" x14ac:dyDescent="0.35">
      <c r="B25" s="4" t="s">
        <v>5734</v>
      </c>
      <c r="C25" t="s">
        <v>5766</v>
      </c>
      <c r="D25" t="str">
        <f>VLOOKUP(B25,Lista!C:G,5,FALSE)</f>
        <v>ABA O OPORTUNIDAD</v>
      </c>
    </row>
    <row r="26" spans="2:4" x14ac:dyDescent="0.35">
      <c r="B26" s="4" t="s">
        <v>5735</v>
      </c>
      <c r="C26" t="s">
        <v>5766</v>
      </c>
      <c r="D26" t="str">
        <f>VLOOKUP(B26,Lista!C:G,5,FALSE)</f>
        <v>ABA O OPORTUNIDAD</v>
      </c>
    </row>
    <row r="27" spans="2:4" x14ac:dyDescent="0.35">
      <c r="B27" s="4" t="s">
        <v>5736</v>
      </c>
      <c r="C27" t="s">
        <v>5766</v>
      </c>
      <c r="D27" t="str">
        <f>VLOOKUP(B27,Lista!C:G,5,FALSE)</f>
        <v>NO ABANDONAR</v>
      </c>
    </row>
    <row r="28" spans="2:4" x14ac:dyDescent="0.35">
      <c r="B28" s="4" t="s">
        <v>5737</v>
      </c>
      <c r="C28" t="s">
        <v>5766</v>
      </c>
      <c r="D28" t="str">
        <f>VLOOKUP(B28,Lista!C:G,5,FALSE)</f>
        <v>ABA O OPORTUNIDAD</v>
      </c>
    </row>
    <row r="29" spans="2:4" x14ac:dyDescent="0.35">
      <c r="B29" s="4" t="s">
        <v>6251</v>
      </c>
      <c r="C29" t="s">
        <v>5766</v>
      </c>
      <c r="D29" t="str">
        <f>VLOOKUP(B29,Lista!C:G,5,FALSE)</f>
        <v>NO ABANDONAR</v>
      </c>
    </row>
    <row r="30" spans="2:4" x14ac:dyDescent="0.35">
      <c r="B30" s="4" t="s">
        <v>5738</v>
      </c>
      <c r="C30" t="s">
        <v>5766</v>
      </c>
      <c r="D30" t="str">
        <f>VLOOKUP(B30,Lista!C:G,5,FALSE)</f>
        <v>ABA O OPORTUNIDAD</v>
      </c>
    </row>
    <row r="31" spans="2:4" x14ac:dyDescent="0.35">
      <c r="B31" s="4" t="s">
        <v>5739</v>
      </c>
      <c r="C31" t="s">
        <v>5766</v>
      </c>
      <c r="D31" t="str">
        <f>VLOOKUP(B31,Lista!C:G,5,FALSE)</f>
        <v>NO ABANDONAR</v>
      </c>
    </row>
    <row r="32" spans="2:4" x14ac:dyDescent="0.35">
      <c r="B32" s="4" t="s">
        <v>5740</v>
      </c>
      <c r="C32" t="s">
        <v>5766</v>
      </c>
      <c r="D32" t="str">
        <f>VLOOKUP(B32,Lista!C:G,5,FALSE)</f>
        <v>ABA O OPORTUNIDAD</v>
      </c>
    </row>
    <row r="33" spans="2:4" x14ac:dyDescent="0.35">
      <c r="B33" s="4" t="s">
        <v>5741</v>
      </c>
      <c r="C33" t="s">
        <v>5766</v>
      </c>
      <c r="D33" t="str">
        <f>VLOOKUP(B33,Lista!C:G,5,FALSE)</f>
        <v>ABA O OPORTUNIDAD</v>
      </c>
    </row>
    <row r="34" spans="2:4" x14ac:dyDescent="0.35">
      <c r="B34" s="4" t="s">
        <v>5941</v>
      </c>
      <c r="C34" t="s">
        <v>5766</v>
      </c>
      <c r="D34" t="str">
        <f>VLOOKUP(B34,Lista!C:G,5,FALSE)</f>
        <v>NO ABANDONAR</v>
      </c>
    </row>
    <row r="35" spans="2:4" x14ac:dyDescent="0.35">
      <c r="B35" s="4" t="s">
        <v>5742</v>
      </c>
      <c r="C35" t="s">
        <v>5766</v>
      </c>
      <c r="D35" t="str">
        <f>VLOOKUP(B35,Lista!C:G,5,FALSE)</f>
        <v>ABA O OPORTUNIDAD</v>
      </c>
    </row>
    <row r="36" spans="2:4" x14ac:dyDescent="0.35">
      <c r="B36" s="4" t="s">
        <v>5743</v>
      </c>
      <c r="C36" t="s">
        <v>5766</v>
      </c>
      <c r="D36" t="str">
        <f>VLOOKUP(B36,Lista!C:G,5,FALSE)</f>
        <v>ABA O OPORTUNIDAD</v>
      </c>
    </row>
    <row r="37" spans="2:4" x14ac:dyDescent="0.35">
      <c r="B37" s="4" t="s">
        <v>7782</v>
      </c>
      <c r="C37" t="s">
        <v>5766</v>
      </c>
      <c r="D37" t="str">
        <f>VLOOKUP(B37,Lista!C:G,5,FALSE)</f>
        <v>NO ABANDONAR</v>
      </c>
    </row>
    <row r="38" spans="2:4" x14ac:dyDescent="0.35">
      <c r="B38" s="4" t="s">
        <v>6473</v>
      </c>
      <c r="C38" t="s">
        <v>5766</v>
      </c>
      <c r="D38" t="str">
        <f>VLOOKUP(B38,Lista!C:G,5,FALSE)</f>
        <v>NO ABANDONAR</v>
      </c>
    </row>
    <row r="39" spans="2:4" x14ac:dyDescent="0.35">
      <c r="B39" s="4" t="s">
        <v>7755</v>
      </c>
      <c r="C39" t="s">
        <v>5766</v>
      </c>
      <c r="D39" t="str">
        <f>VLOOKUP(B39,Lista!C:G,5,FALSE)</f>
        <v>NO ABANDONAR</v>
      </c>
    </row>
    <row r="40" spans="2:4" x14ac:dyDescent="0.35">
      <c r="B40" s="4" t="s">
        <v>5744</v>
      </c>
      <c r="C40" t="s">
        <v>5766</v>
      </c>
      <c r="D40" t="str">
        <f>VLOOKUP(B40,Lista!C:G,5,FALSE)</f>
        <v>NO ABANDONAR</v>
      </c>
    </row>
    <row r="41" spans="2:4" x14ac:dyDescent="0.35">
      <c r="B41" s="4" t="s">
        <v>5745</v>
      </c>
      <c r="C41" t="s">
        <v>5766</v>
      </c>
      <c r="D41" t="str">
        <f>VLOOKUP(B41,Lista!C:G,5,FALSE)</f>
        <v>ABA O OPORTUNIDAD</v>
      </c>
    </row>
    <row r="42" spans="2:4" x14ac:dyDescent="0.35">
      <c r="B42" s="4" t="s">
        <v>5746</v>
      </c>
      <c r="C42" t="s">
        <v>5766</v>
      </c>
      <c r="D42" t="str">
        <f>VLOOKUP(B42,Lista!C:G,5,FALSE)</f>
        <v>ABA O OPORTUNIDAD</v>
      </c>
    </row>
    <row r="43" spans="2:4" x14ac:dyDescent="0.35">
      <c r="B43" s="4" t="s">
        <v>5747</v>
      </c>
      <c r="C43" t="s">
        <v>5766</v>
      </c>
      <c r="D43" t="str">
        <f>VLOOKUP(B43,Lista!C:G,5,FALSE)</f>
        <v>ABA O OPORTUNIDAD</v>
      </c>
    </row>
    <row r="44" spans="2:4" x14ac:dyDescent="0.35">
      <c r="B44" s="4" t="s">
        <v>5748</v>
      </c>
      <c r="C44" t="s">
        <v>5766</v>
      </c>
      <c r="D44" t="str">
        <f>VLOOKUP(B44,Lista!C:G,5,FALSE)</f>
        <v>ABA O OPORTUNIDAD</v>
      </c>
    </row>
    <row r="45" spans="2:4" x14ac:dyDescent="0.35">
      <c r="B45" s="4" t="s">
        <v>5749</v>
      </c>
      <c r="C45" t="s">
        <v>5766</v>
      </c>
      <c r="D45" t="str">
        <f>VLOOKUP(B45,Lista!C:G,5,FALSE)</f>
        <v>NO ABANDONAR</v>
      </c>
    </row>
    <row r="46" spans="2:4" x14ac:dyDescent="0.35">
      <c r="B46" s="4" t="s">
        <v>6316</v>
      </c>
      <c r="C46" t="s">
        <v>5766</v>
      </c>
      <c r="D46" t="str">
        <f>VLOOKUP(B46,Lista!C:G,5,FALSE)</f>
        <v>ABA O OPORTUNIDAD</v>
      </c>
    </row>
    <row r="47" spans="2:4" x14ac:dyDescent="0.35">
      <c r="B47" s="4" t="s">
        <v>7316</v>
      </c>
      <c r="C47" t="s">
        <v>5766</v>
      </c>
      <c r="D47" t="str">
        <f>VLOOKUP(B47,Lista!C:G,5,FALSE)</f>
        <v>ABA O OPORTUNIDAD</v>
      </c>
    </row>
    <row r="48" spans="2:4" x14ac:dyDescent="0.35">
      <c r="B48" s="4" t="s">
        <v>6066</v>
      </c>
      <c r="C48" t="s">
        <v>5766</v>
      </c>
      <c r="D48" t="str">
        <f>VLOOKUP(B48,Lista!C:G,5,FALSE)</f>
        <v>NO ABANDONAR</v>
      </c>
    </row>
    <row r="49" spans="2:4" x14ac:dyDescent="0.35">
      <c r="B49" s="4" t="s">
        <v>5924</v>
      </c>
      <c r="C49" t="s">
        <v>5766</v>
      </c>
      <c r="D49" t="str">
        <f>VLOOKUP(B49,Lista!C:G,5,FALSE)</f>
        <v>ABA O OPORTUNIDAD</v>
      </c>
    </row>
    <row r="50" spans="2:4" x14ac:dyDescent="0.35">
      <c r="B50" s="4" t="s">
        <v>6721</v>
      </c>
      <c r="C50" t="s">
        <v>5766</v>
      </c>
      <c r="D50" t="str">
        <f>VLOOKUP(B50,Lista!C:G,5,FALSE)</f>
        <v>NO ABANDONAR</v>
      </c>
    </row>
    <row r="51" spans="2:4" x14ac:dyDescent="0.35">
      <c r="B51" s="4" t="s">
        <v>5750</v>
      </c>
      <c r="C51" t="s">
        <v>5766</v>
      </c>
      <c r="D51" t="str">
        <f>VLOOKUP(B51,Lista!C:G,5,FALSE)</f>
        <v>ABA O OPORTUNIDAD</v>
      </c>
    </row>
    <row r="52" spans="2:4" x14ac:dyDescent="0.35">
      <c r="B52" s="4" t="s">
        <v>5751</v>
      </c>
      <c r="C52" t="s">
        <v>5766</v>
      </c>
      <c r="D52" t="str">
        <f>VLOOKUP(B52,Lista!C:G,5,FALSE)</f>
        <v>ABA O OPORTUNIDAD</v>
      </c>
    </row>
    <row r="53" spans="2:4" x14ac:dyDescent="0.35">
      <c r="B53" s="4" t="s">
        <v>5752</v>
      </c>
      <c r="C53" t="s">
        <v>5766</v>
      </c>
      <c r="D53" t="str">
        <f>VLOOKUP(B53,Lista!C:G,5,FALSE)</f>
        <v>NO ABANDONAR</v>
      </c>
    </row>
    <row r="54" spans="2:4" x14ac:dyDescent="0.35">
      <c r="B54" s="4" t="s">
        <v>5753</v>
      </c>
      <c r="C54" t="s">
        <v>5766</v>
      </c>
      <c r="D54" t="str">
        <f>VLOOKUP(B54,Lista!C:G,5,FALSE)</f>
        <v>NO ABANDONAR</v>
      </c>
    </row>
    <row r="55" spans="2:4" x14ac:dyDescent="0.35">
      <c r="B55" s="4" t="s">
        <v>5754</v>
      </c>
      <c r="C55" t="s">
        <v>5766</v>
      </c>
      <c r="D55" t="str">
        <f>VLOOKUP(B55,Lista!C:G,5,FALSE)</f>
        <v>NO ABANDONAR</v>
      </c>
    </row>
    <row r="56" spans="2:4" x14ac:dyDescent="0.35">
      <c r="B56" s="4" t="s">
        <v>5755</v>
      </c>
      <c r="C56" t="s">
        <v>5766</v>
      </c>
      <c r="D56" t="str">
        <f>VLOOKUP(B56,Lista!C:G,5,FALSE)</f>
        <v>NO ABANDONAR</v>
      </c>
    </row>
    <row r="57" spans="2:4" x14ac:dyDescent="0.35">
      <c r="B57" s="4" t="s">
        <v>7354</v>
      </c>
      <c r="C57" t="s">
        <v>5766</v>
      </c>
      <c r="D57" t="str">
        <f>VLOOKUP(B57,Lista!C:G,5,FALSE)</f>
        <v>ABA O OPORTUNIDAD</v>
      </c>
    </row>
    <row r="58" spans="2:4" x14ac:dyDescent="0.35">
      <c r="B58" s="4" t="s">
        <v>5756</v>
      </c>
      <c r="C58" t="s">
        <v>5766</v>
      </c>
      <c r="D58" t="str">
        <f>VLOOKUP(B58,Lista!C:G,5,FALSE)</f>
        <v>NO ABANDONAR</v>
      </c>
    </row>
    <row r="59" spans="2:4" x14ac:dyDescent="0.35">
      <c r="B59" s="4" t="s">
        <v>5757</v>
      </c>
      <c r="C59" t="s">
        <v>5766</v>
      </c>
      <c r="D59" t="str">
        <f>VLOOKUP(B59,Lista!C:G,5,FALSE)</f>
        <v>SACAR DE LA LISTA YPF</v>
      </c>
    </row>
    <row r="60" spans="2:4" x14ac:dyDescent="0.35">
      <c r="B60" s="4" t="s">
        <v>5758</v>
      </c>
      <c r="C60" t="s">
        <v>5766</v>
      </c>
      <c r="D60" t="str">
        <f>VLOOKUP(B60,Lista!C:G,5,FALSE)</f>
        <v>SACAR DE LA LISTA YPF</v>
      </c>
    </row>
    <row r="61" spans="2:4" x14ac:dyDescent="0.35">
      <c r="B61" s="4" t="s">
        <v>5759</v>
      </c>
      <c r="C61" t="s">
        <v>5766</v>
      </c>
      <c r="D61" t="str">
        <f>VLOOKUP(B61,Lista!C:G,5,FALSE)</f>
        <v>SACAR DE LA LISTA YPF</v>
      </c>
    </row>
    <row r="62" spans="2:4" x14ac:dyDescent="0.35">
      <c r="B62" s="4" t="s">
        <v>5760</v>
      </c>
      <c r="C62" t="s">
        <v>5766</v>
      </c>
      <c r="D62" t="str">
        <f>VLOOKUP(B62,Lista!C:G,5,FALSE)</f>
        <v>ABA O OPORTUNIDAD</v>
      </c>
    </row>
    <row r="63" spans="2:4" x14ac:dyDescent="0.35">
      <c r="B63" s="4" t="s">
        <v>5761</v>
      </c>
      <c r="C63" t="s">
        <v>5766</v>
      </c>
      <c r="D63" t="str">
        <f>VLOOKUP(B63,Lista!C:G,5,FALSE)</f>
        <v>SACAR DE LA LISTA YPF</v>
      </c>
    </row>
    <row r="64" spans="2:4" x14ac:dyDescent="0.35">
      <c r="B64" s="4" t="s">
        <v>5762</v>
      </c>
      <c r="C64" t="s">
        <v>5766</v>
      </c>
      <c r="D64" t="str">
        <f>VLOOKUP(B64,Lista!C:G,5,FALSE)</f>
        <v>ABA O OPORTUNIDAD</v>
      </c>
    </row>
    <row r="65" spans="2:4" x14ac:dyDescent="0.35">
      <c r="B65" s="4" t="s">
        <v>5763</v>
      </c>
      <c r="C65" t="s">
        <v>5766</v>
      </c>
      <c r="D65" t="str">
        <f>VLOOKUP(B65,Lista!C:G,5,FALSE)</f>
        <v>ABA O OPORTUNIDAD</v>
      </c>
    </row>
    <row r="66" spans="2:4" x14ac:dyDescent="0.35">
      <c r="B66" s="4" t="s">
        <v>5764</v>
      </c>
      <c r="C66" t="s">
        <v>5766</v>
      </c>
      <c r="D66" t="str">
        <f>VLOOKUP(B66,Lista!C:G,5,FALSE)</f>
        <v>ABA O OPORTUNIDAD</v>
      </c>
    </row>
    <row r="67" spans="2:4" x14ac:dyDescent="0.35">
      <c r="B67" s="4" t="s">
        <v>5765</v>
      </c>
      <c r="C67" t="s">
        <v>5766</v>
      </c>
      <c r="D67" t="str">
        <f>VLOOKUP(B67,Lista!C:G,5,FALSE)</f>
        <v>ABA O OPORTUNIDAD</v>
      </c>
    </row>
  </sheetData>
  <conditionalFormatting sqref="B2:B67">
    <cfRule type="duplicateValues" dxfId="0" priority="1"/>
  </conditionalFormatting>
  <pageMargins left="0.7" right="0.7" top="0.75" bottom="0.75" header="0.3" footer="0.3"/>
  <headerFooter>
    <oddHeader>&amp;R&amp;"Calibri"&amp;10&amp;K000000 Documento: YPF-Público&amp;1#_x000D_</oddHeader>
    <oddFooter>&amp;R_x000D_&amp;1#&amp;"Calibri"&amp;10&amp;K000000 Documento: YPF-Público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89B5-7624-42CE-878F-F1CB1C5FC530}">
  <sheetPr>
    <tabColor theme="3"/>
  </sheetPr>
  <dimension ref="A1:J2668"/>
  <sheetViews>
    <sheetView workbookViewId="0">
      <selection activeCell="B2" sqref="B2:L2986"/>
    </sheetView>
  </sheetViews>
  <sheetFormatPr baseColWidth="10" defaultRowHeight="14.5" x14ac:dyDescent="0.35"/>
  <cols>
    <col min="1" max="1" width="13" bestFit="1" customWidth="1"/>
    <col min="2" max="2" width="17.6328125" bestFit="1" customWidth="1"/>
    <col min="3" max="3" width="16.36328125" bestFit="1" customWidth="1"/>
    <col min="4" max="4" width="19.08984375" bestFit="1" customWidth="1"/>
    <col min="5" max="5" width="15" bestFit="1" customWidth="1"/>
    <col min="6" max="6" width="8.1796875" bestFit="1" customWidth="1"/>
    <col min="7" max="7" width="8.453125" bestFit="1" customWidth="1"/>
    <col min="8" max="8" width="7.453125" bestFit="1" customWidth="1"/>
    <col min="9" max="9" width="23.54296875" customWidth="1"/>
    <col min="10" max="10" width="15.1796875" customWidth="1"/>
  </cols>
  <sheetData>
    <row r="1" spans="1:10" x14ac:dyDescent="0.35">
      <c r="A1" t="s">
        <v>8691</v>
      </c>
      <c r="B1" t="s">
        <v>0</v>
      </c>
      <c r="C1" t="s">
        <v>1</v>
      </c>
      <c r="D1" t="s">
        <v>8692</v>
      </c>
      <c r="E1" t="s">
        <v>8693</v>
      </c>
      <c r="F1" t="s">
        <v>8694</v>
      </c>
      <c r="G1" t="s">
        <v>8695</v>
      </c>
      <c r="H1" t="s">
        <v>8696</v>
      </c>
      <c r="I1" t="s">
        <v>8697</v>
      </c>
      <c r="J1" t="s">
        <v>11381</v>
      </c>
    </row>
    <row r="2" spans="1:10" x14ac:dyDescent="0.35">
      <c r="A2" s="3" t="s">
        <v>8832</v>
      </c>
      <c r="B2" s="3" t="s">
        <v>317</v>
      </c>
      <c r="C2" s="3" t="s">
        <v>318</v>
      </c>
      <c r="D2">
        <v>2</v>
      </c>
      <c r="E2" s="6">
        <v>45973</v>
      </c>
      <c r="F2">
        <v>0</v>
      </c>
      <c r="G2">
        <v>0.17500000000000002</v>
      </c>
      <c r="H2">
        <v>0.52500000000000002</v>
      </c>
      <c r="I2" s="3" t="s">
        <v>8699</v>
      </c>
      <c r="J2" t="s">
        <v>11382</v>
      </c>
    </row>
    <row r="3" spans="1:10" x14ac:dyDescent="0.35">
      <c r="A3" s="3" t="s">
        <v>8700</v>
      </c>
      <c r="B3" s="3" t="s">
        <v>10</v>
      </c>
      <c r="C3" s="3" t="s">
        <v>11</v>
      </c>
      <c r="D3">
        <v>144</v>
      </c>
      <c r="E3" s="6">
        <v>45831</v>
      </c>
      <c r="F3">
        <v>0</v>
      </c>
      <c r="G3">
        <v>1.5</v>
      </c>
      <c r="H3">
        <v>1</v>
      </c>
      <c r="I3" s="3" t="s">
        <v>8701</v>
      </c>
    </row>
    <row r="4" spans="1:10" x14ac:dyDescent="0.35">
      <c r="A4" s="3" t="s">
        <v>8702</v>
      </c>
      <c r="B4" s="3" t="s">
        <v>14</v>
      </c>
      <c r="C4" s="3" t="s">
        <v>15</v>
      </c>
      <c r="D4">
        <v>50</v>
      </c>
      <c r="E4" s="6">
        <v>45925</v>
      </c>
      <c r="F4">
        <v>526.63</v>
      </c>
      <c r="G4">
        <v>65.927999999999997</v>
      </c>
      <c r="H4">
        <v>4.9620000000000006</v>
      </c>
      <c r="I4" s="3" t="s">
        <v>8703</v>
      </c>
    </row>
    <row r="5" spans="1:10" x14ac:dyDescent="0.35">
      <c r="A5" s="3" t="s">
        <v>8704</v>
      </c>
      <c r="B5" s="3" t="s">
        <v>17</v>
      </c>
      <c r="C5" s="3" t="s">
        <v>18</v>
      </c>
      <c r="D5">
        <v>12</v>
      </c>
      <c r="E5" s="6">
        <v>45963</v>
      </c>
      <c r="F5">
        <v>0</v>
      </c>
      <c r="G5">
        <v>20.75</v>
      </c>
      <c r="H5">
        <v>4.25</v>
      </c>
      <c r="I5" s="3" t="s">
        <v>8705</v>
      </c>
    </row>
    <row r="6" spans="1:10" x14ac:dyDescent="0.35">
      <c r="A6" s="3" t="s">
        <v>8706</v>
      </c>
      <c r="B6" s="3" t="s">
        <v>19</v>
      </c>
      <c r="C6" s="3" t="s">
        <v>20</v>
      </c>
      <c r="D6">
        <v>133</v>
      </c>
      <c r="E6" s="6">
        <v>45842</v>
      </c>
      <c r="F6">
        <v>0</v>
      </c>
      <c r="G6">
        <v>29.063000000000002</v>
      </c>
      <c r="H6">
        <v>0.83700000000000008</v>
      </c>
      <c r="I6" s="3" t="s">
        <v>8701</v>
      </c>
    </row>
    <row r="7" spans="1:10" x14ac:dyDescent="0.35">
      <c r="A7" s="3" t="s">
        <v>9374</v>
      </c>
      <c r="B7" s="3" t="s">
        <v>1457</v>
      </c>
      <c r="C7" s="3" t="s">
        <v>1458</v>
      </c>
      <c r="D7">
        <v>16</v>
      </c>
      <c r="E7" s="6">
        <v>45959</v>
      </c>
      <c r="F7">
        <v>0</v>
      </c>
      <c r="G7">
        <v>47.025000000000006</v>
      </c>
      <c r="H7">
        <v>0.47500000000000003</v>
      </c>
      <c r="I7" s="3" t="s">
        <v>8699</v>
      </c>
      <c r="J7" t="s">
        <v>11382</v>
      </c>
    </row>
    <row r="8" spans="1:10" x14ac:dyDescent="0.35">
      <c r="A8" s="3" t="s">
        <v>8708</v>
      </c>
      <c r="B8" s="3" t="s">
        <v>26</v>
      </c>
      <c r="C8" s="3" t="s">
        <v>27</v>
      </c>
      <c r="D8">
        <v>955</v>
      </c>
      <c r="E8" s="6">
        <v>45020</v>
      </c>
      <c r="F8">
        <v>0</v>
      </c>
      <c r="G8">
        <v>0</v>
      </c>
      <c r="H8">
        <v>0</v>
      </c>
      <c r="I8" s="3" t="s">
        <v>28</v>
      </c>
    </row>
    <row r="9" spans="1:10" x14ac:dyDescent="0.35">
      <c r="A9" s="3" t="s">
        <v>8709</v>
      </c>
      <c r="B9" s="3" t="s">
        <v>34</v>
      </c>
      <c r="C9" s="3" t="s">
        <v>35</v>
      </c>
      <c r="D9">
        <v>726</v>
      </c>
      <c r="E9" s="6">
        <v>45249</v>
      </c>
      <c r="F9">
        <v>0</v>
      </c>
      <c r="G9">
        <v>0</v>
      </c>
      <c r="H9">
        <v>0</v>
      </c>
      <c r="I9" s="3" t="s">
        <v>28</v>
      </c>
    </row>
    <row r="10" spans="1:10" x14ac:dyDescent="0.35">
      <c r="A10" s="3" t="s">
        <v>8710</v>
      </c>
      <c r="B10" s="3" t="s">
        <v>37</v>
      </c>
      <c r="C10" s="3" t="s">
        <v>38</v>
      </c>
      <c r="D10">
        <v>955</v>
      </c>
      <c r="E10" s="6">
        <v>45020</v>
      </c>
      <c r="F10">
        <v>0</v>
      </c>
      <c r="G10">
        <v>0</v>
      </c>
      <c r="H10">
        <v>0</v>
      </c>
      <c r="I10" s="3" t="s">
        <v>28</v>
      </c>
    </row>
    <row r="11" spans="1:10" x14ac:dyDescent="0.35">
      <c r="A11" s="3" t="s">
        <v>8711</v>
      </c>
      <c r="B11" s="3" t="s">
        <v>39</v>
      </c>
      <c r="C11" s="3" t="s">
        <v>40</v>
      </c>
      <c r="D11">
        <v>270</v>
      </c>
      <c r="E11" s="6">
        <v>45705</v>
      </c>
      <c r="F11">
        <v>0</v>
      </c>
      <c r="G11">
        <v>3.0000000000000001E-3</v>
      </c>
      <c r="H11">
        <v>6.7000000000000004E-2</v>
      </c>
      <c r="I11" s="3" t="s">
        <v>8712</v>
      </c>
    </row>
    <row r="12" spans="1:10" x14ac:dyDescent="0.35">
      <c r="A12" s="3" t="s">
        <v>8713</v>
      </c>
      <c r="B12" s="3" t="s">
        <v>41</v>
      </c>
      <c r="C12" s="3" t="s">
        <v>42</v>
      </c>
      <c r="D12">
        <v>23</v>
      </c>
      <c r="E12" s="6">
        <v>45952</v>
      </c>
      <c r="F12">
        <v>0</v>
      </c>
      <c r="G12">
        <v>1E-3</v>
      </c>
      <c r="H12">
        <v>2.9000000000000001E-2</v>
      </c>
      <c r="I12" s="3" t="s">
        <v>8712</v>
      </c>
    </row>
    <row r="13" spans="1:10" x14ac:dyDescent="0.35">
      <c r="A13" s="3" t="s">
        <v>9741</v>
      </c>
      <c r="B13" s="3" t="s">
        <v>2230</v>
      </c>
      <c r="C13" s="3" t="s">
        <v>2231</v>
      </c>
      <c r="D13">
        <v>16</v>
      </c>
      <c r="E13" s="6">
        <v>45959</v>
      </c>
      <c r="F13">
        <v>0</v>
      </c>
      <c r="G13">
        <v>29.1</v>
      </c>
      <c r="H13">
        <v>0.9</v>
      </c>
      <c r="I13" s="3" t="s">
        <v>8699</v>
      </c>
      <c r="J13" t="s">
        <v>11382</v>
      </c>
    </row>
    <row r="14" spans="1:10" x14ac:dyDescent="0.35">
      <c r="A14" s="3" t="s">
        <v>8698</v>
      </c>
      <c r="B14" s="3" t="s">
        <v>3</v>
      </c>
      <c r="C14" s="3" t="s">
        <v>4</v>
      </c>
      <c r="D14">
        <v>21</v>
      </c>
      <c r="E14" s="6">
        <v>45954</v>
      </c>
      <c r="F14">
        <v>0</v>
      </c>
      <c r="G14">
        <v>10.34</v>
      </c>
      <c r="H14">
        <v>0.66</v>
      </c>
      <c r="I14" s="3" t="s">
        <v>8699</v>
      </c>
      <c r="J14" t="s">
        <v>11382</v>
      </c>
    </row>
    <row r="15" spans="1:10" x14ac:dyDescent="0.35">
      <c r="A15" s="3" t="s">
        <v>8716</v>
      </c>
      <c r="B15" s="3" t="s">
        <v>47</v>
      </c>
      <c r="C15" s="3" t="s">
        <v>48</v>
      </c>
      <c r="D15">
        <v>955</v>
      </c>
      <c r="E15" s="6">
        <v>45020</v>
      </c>
      <c r="F15">
        <v>0</v>
      </c>
      <c r="G15">
        <v>0</v>
      </c>
      <c r="H15">
        <v>0</v>
      </c>
      <c r="I15" s="3" t="s">
        <v>28</v>
      </c>
    </row>
    <row r="16" spans="1:10" x14ac:dyDescent="0.35">
      <c r="A16" s="3" t="s">
        <v>8791</v>
      </c>
      <c r="B16" s="3" t="s">
        <v>222</v>
      </c>
      <c r="C16" s="3" t="s">
        <v>223</v>
      </c>
      <c r="D16">
        <v>23</v>
      </c>
      <c r="E16" s="6">
        <v>45952</v>
      </c>
      <c r="F16">
        <v>0</v>
      </c>
      <c r="G16">
        <v>3.0000000000000001E-3</v>
      </c>
      <c r="H16">
        <v>4.0000000000000001E-3</v>
      </c>
      <c r="I16" s="3" t="s">
        <v>8699</v>
      </c>
      <c r="J16" t="s">
        <v>11382</v>
      </c>
    </row>
    <row r="17" spans="1:10" x14ac:dyDescent="0.35">
      <c r="A17" s="3" t="s">
        <v>8718</v>
      </c>
      <c r="B17" s="3" t="s">
        <v>51</v>
      </c>
      <c r="C17" s="3" t="s">
        <v>52</v>
      </c>
      <c r="D17">
        <v>56</v>
      </c>
      <c r="E17" s="6">
        <v>45919</v>
      </c>
      <c r="F17">
        <v>0</v>
      </c>
      <c r="G17">
        <v>27.84</v>
      </c>
      <c r="H17">
        <v>4.16</v>
      </c>
      <c r="I17" s="3" t="s">
        <v>8701</v>
      </c>
    </row>
    <row r="18" spans="1:10" x14ac:dyDescent="0.35">
      <c r="A18" s="3" t="s">
        <v>8886</v>
      </c>
      <c r="B18" s="3" t="s">
        <v>431</v>
      </c>
      <c r="C18" s="3" t="s">
        <v>432</v>
      </c>
      <c r="D18">
        <v>23</v>
      </c>
      <c r="E18" s="6">
        <v>45952</v>
      </c>
      <c r="F18">
        <v>0</v>
      </c>
      <c r="G18">
        <v>2.8080000000000003</v>
      </c>
      <c r="H18">
        <v>0.79200000000000004</v>
      </c>
      <c r="I18" s="3" t="s">
        <v>8699</v>
      </c>
      <c r="J18" t="s">
        <v>11382</v>
      </c>
    </row>
    <row r="19" spans="1:10" x14ac:dyDescent="0.35">
      <c r="A19" s="3" t="s">
        <v>9302</v>
      </c>
      <c r="B19" s="3" t="s">
        <v>1305</v>
      </c>
      <c r="C19" s="3" t="s">
        <v>1306</v>
      </c>
      <c r="D19">
        <v>23</v>
      </c>
      <c r="E19" s="6">
        <v>45952</v>
      </c>
      <c r="F19">
        <v>0</v>
      </c>
      <c r="G19">
        <v>3.9</v>
      </c>
      <c r="H19">
        <v>0.1</v>
      </c>
      <c r="I19" s="3" t="s">
        <v>8699</v>
      </c>
      <c r="J19" t="s">
        <v>11382</v>
      </c>
    </row>
    <row r="20" spans="1:10" x14ac:dyDescent="0.35">
      <c r="A20" s="3" t="s">
        <v>8721</v>
      </c>
      <c r="B20" s="3" t="s">
        <v>58</v>
      </c>
      <c r="C20" s="3" t="s">
        <v>59</v>
      </c>
      <c r="D20">
        <v>25</v>
      </c>
      <c r="E20" s="6">
        <v>45950</v>
      </c>
      <c r="F20">
        <v>0</v>
      </c>
      <c r="G20">
        <v>8.6</v>
      </c>
      <c r="H20">
        <v>1.4000000000000001</v>
      </c>
      <c r="I20" s="3" t="s">
        <v>8701</v>
      </c>
    </row>
    <row r="21" spans="1:10" x14ac:dyDescent="0.35">
      <c r="A21" s="3" t="s">
        <v>8722</v>
      </c>
      <c r="B21" s="3" t="s">
        <v>60</v>
      </c>
      <c r="C21" s="3" t="s">
        <v>61</v>
      </c>
      <c r="D21">
        <v>955</v>
      </c>
      <c r="E21" s="6">
        <v>45020</v>
      </c>
      <c r="F21">
        <v>0</v>
      </c>
      <c r="G21">
        <v>0</v>
      </c>
      <c r="H21">
        <v>0</v>
      </c>
      <c r="I21" s="3" t="s">
        <v>28</v>
      </c>
    </row>
    <row r="22" spans="1:10" x14ac:dyDescent="0.35">
      <c r="A22" s="3" t="s">
        <v>10044</v>
      </c>
      <c r="B22" s="3" t="s">
        <v>2873</v>
      </c>
      <c r="C22" s="3" t="s">
        <v>2874</v>
      </c>
      <c r="D22">
        <v>23</v>
      </c>
      <c r="E22" s="6">
        <v>45952</v>
      </c>
      <c r="F22">
        <v>0</v>
      </c>
      <c r="G22">
        <v>47.53</v>
      </c>
      <c r="H22">
        <v>1.47</v>
      </c>
      <c r="I22" s="3" t="s">
        <v>8699</v>
      </c>
      <c r="J22" t="s">
        <v>11382</v>
      </c>
    </row>
    <row r="23" spans="1:10" x14ac:dyDescent="0.35">
      <c r="A23" s="3" t="s">
        <v>10848</v>
      </c>
      <c r="B23" s="3" t="s">
        <v>4578</v>
      </c>
      <c r="C23" s="3" t="s">
        <v>4579</v>
      </c>
      <c r="D23">
        <v>23</v>
      </c>
      <c r="E23" s="6">
        <v>45952</v>
      </c>
      <c r="F23">
        <v>0</v>
      </c>
      <c r="G23">
        <v>1.8000000000000002E-2</v>
      </c>
      <c r="H23">
        <v>0.88200000000000001</v>
      </c>
      <c r="I23" s="3" t="s">
        <v>8699</v>
      </c>
      <c r="J23" t="s">
        <v>11382</v>
      </c>
    </row>
    <row r="24" spans="1:10" x14ac:dyDescent="0.35">
      <c r="A24" s="3" t="s">
        <v>8725</v>
      </c>
      <c r="B24" s="3" t="s">
        <v>67</v>
      </c>
      <c r="C24" s="3" t="s">
        <v>68</v>
      </c>
      <c r="D24">
        <v>78</v>
      </c>
      <c r="E24" s="6">
        <v>45897</v>
      </c>
      <c r="F24">
        <v>0</v>
      </c>
      <c r="G24">
        <v>0.1</v>
      </c>
      <c r="H24">
        <v>0</v>
      </c>
      <c r="I24" s="3" t="s">
        <v>8712</v>
      </c>
    </row>
    <row r="25" spans="1:10" x14ac:dyDescent="0.35">
      <c r="A25" s="3" t="s">
        <v>8733</v>
      </c>
      <c r="B25" s="3" t="s">
        <v>98</v>
      </c>
      <c r="C25" s="3" t="s">
        <v>99</v>
      </c>
      <c r="D25">
        <v>24</v>
      </c>
      <c r="E25" s="6">
        <v>45951</v>
      </c>
      <c r="F25">
        <v>0</v>
      </c>
      <c r="G25">
        <v>4.0000000000000001E-3</v>
      </c>
      <c r="H25">
        <v>9.6000000000000002E-2</v>
      </c>
      <c r="I25" s="3" t="s">
        <v>8699</v>
      </c>
      <c r="J25" t="s">
        <v>11382</v>
      </c>
    </row>
    <row r="26" spans="1:10" x14ac:dyDescent="0.35">
      <c r="A26" s="3" t="s">
        <v>10117</v>
      </c>
      <c r="B26" s="3" t="s">
        <v>3037</v>
      </c>
      <c r="C26" s="3" t="s">
        <v>3038</v>
      </c>
      <c r="D26">
        <v>24</v>
      </c>
      <c r="E26" s="6">
        <v>45951</v>
      </c>
      <c r="F26">
        <v>0</v>
      </c>
      <c r="G26">
        <v>4.0000000000000001E-3</v>
      </c>
      <c r="H26">
        <v>9.6000000000000002E-2</v>
      </c>
      <c r="I26" s="3" t="s">
        <v>8699</v>
      </c>
      <c r="J26" t="s">
        <v>11382</v>
      </c>
    </row>
    <row r="27" spans="1:10" x14ac:dyDescent="0.35">
      <c r="A27" s="3" t="s">
        <v>8728</v>
      </c>
      <c r="B27" s="3" t="s">
        <v>81</v>
      </c>
      <c r="C27" s="3" t="s">
        <v>82</v>
      </c>
      <c r="D27">
        <v>108</v>
      </c>
      <c r="E27" s="6">
        <v>45867</v>
      </c>
      <c r="F27">
        <v>180</v>
      </c>
      <c r="G27">
        <v>2.6680000000000001</v>
      </c>
      <c r="H27">
        <v>1.9320000000000002</v>
      </c>
      <c r="I27" s="3" t="s">
        <v>8729</v>
      </c>
    </row>
    <row r="28" spans="1:10" x14ac:dyDescent="0.35">
      <c r="A28" s="3" t="s">
        <v>8730</v>
      </c>
      <c r="B28" s="3" t="s">
        <v>87</v>
      </c>
      <c r="C28" s="3" t="s">
        <v>88</v>
      </c>
      <c r="D28">
        <v>25</v>
      </c>
      <c r="E28" s="6">
        <v>45950</v>
      </c>
      <c r="F28">
        <v>100</v>
      </c>
      <c r="G28">
        <v>7.8E-2</v>
      </c>
      <c r="H28">
        <v>1.222</v>
      </c>
      <c r="I28" s="3" t="s">
        <v>8701</v>
      </c>
    </row>
    <row r="29" spans="1:10" x14ac:dyDescent="0.35">
      <c r="A29" s="3" t="s">
        <v>10121</v>
      </c>
      <c r="B29" s="3" t="s">
        <v>3045</v>
      </c>
      <c r="C29" s="3" t="s">
        <v>3046</v>
      </c>
      <c r="D29">
        <v>25</v>
      </c>
      <c r="E29" s="6">
        <v>45950</v>
      </c>
      <c r="F29">
        <v>0</v>
      </c>
      <c r="G29">
        <v>33.44</v>
      </c>
      <c r="H29">
        <v>4.5600000000000005</v>
      </c>
      <c r="I29" s="3" t="s">
        <v>8699</v>
      </c>
      <c r="J29" t="s">
        <v>11382</v>
      </c>
    </row>
    <row r="30" spans="1:10" x14ac:dyDescent="0.35">
      <c r="A30" s="3" t="s">
        <v>10125</v>
      </c>
      <c r="B30" s="3" t="s">
        <v>3053</v>
      </c>
      <c r="C30" s="3" t="s">
        <v>3054</v>
      </c>
      <c r="D30">
        <v>25</v>
      </c>
      <c r="E30" s="6">
        <v>45950</v>
      </c>
      <c r="F30">
        <v>0</v>
      </c>
      <c r="G30">
        <v>3.11</v>
      </c>
      <c r="H30">
        <v>1.21</v>
      </c>
      <c r="I30" s="3" t="s">
        <v>8699</v>
      </c>
      <c r="J30" t="s">
        <v>11382</v>
      </c>
    </row>
    <row r="31" spans="1:10" x14ac:dyDescent="0.35">
      <c r="A31" s="3" t="s">
        <v>9985</v>
      </c>
      <c r="B31" s="3" t="s">
        <v>2749</v>
      </c>
      <c r="C31" s="3" t="s">
        <v>2750</v>
      </c>
      <c r="D31">
        <v>28</v>
      </c>
      <c r="E31" s="6">
        <v>45947</v>
      </c>
      <c r="F31">
        <v>0</v>
      </c>
      <c r="G31">
        <v>0.40500000000000003</v>
      </c>
      <c r="H31">
        <v>0.49500000000000005</v>
      </c>
      <c r="I31" s="3" t="s">
        <v>8699</v>
      </c>
      <c r="J31" t="s">
        <v>11382</v>
      </c>
    </row>
    <row r="32" spans="1:10" x14ac:dyDescent="0.35">
      <c r="A32" s="3" t="s">
        <v>8806</v>
      </c>
      <c r="B32" s="3" t="s">
        <v>258</v>
      </c>
      <c r="C32" s="3" t="s">
        <v>259</v>
      </c>
      <c r="D32">
        <v>30</v>
      </c>
      <c r="E32" s="6">
        <v>45945</v>
      </c>
      <c r="F32">
        <v>160</v>
      </c>
      <c r="G32">
        <v>5.46</v>
      </c>
      <c r="H32">
        <v>2.34</v>
      </c>
      <c r="I32" s="3" t="s">
        <v>8699</v>
      </c>
      <c r="J32" t="s">
        <v>11382</v>
      </c>
    </row>
    <row r="33" spans="1:10" x14ac:dyDescent="0.35">
      <c r="A33" s="3" t="s">
        <v>8735</v>
      </c>
      <c r="B33" s="3" t="s">
        <v>102</v>
      </c>
      <c r="C33" s="3" t="s">
        <v>103</v>
      </c>
      <c r="D33">
        <v>46</v>
      </c>
      <c r="E33" s="6">
        <v>45929</v>
      </c>
      <c r="F33">
        <v>0</v>
      </c>
      <c r="G33">
        <v>39.200000000000003</v>
      </c>
      <c r="H33">
        <v>0.8</v>
      </c>
      <c r="I33" s="3" t="s">
        <v>8701</v>
      </c>
    </row>
    <row r="34" spans="1:10" x14ac:dyDescent="0.35">
      <c r="A34" s="3" t="s">
        <v>9038</v>
      </c>
      <c r="B34" s="3" t="s">
        <v>749</v>
      </c>
      <c r="C34" s="3" t="s">
        <v>750</v>
      </c>
      <c r="D34">
        <v>30</v>
      </c>
      <c r="E34" s="6">
        <v>45945</v>
      </c>
      <c r="F34">
        <v>0</v>
      </c>
      <c r="G34">
        <v>33.25</v>
      </c>
      <c r="H34">
        <v>1.75</v>
      </c>
      <c r="I34" s="3" t="s">
        <v>8699</v>
      </c>
      <c r="J34" t="s">
        <v>11382</v>
      </c>
    </row>
    <row r="35" spans="1:10" x14ac:dyDescent="0.35">
      <c r="A35" s="3" t="s">
        <v>8737</v>
      </c>
      <c r="B35" s="3" t="s">
        <v>106</v>
      </c>
      <c r="C35" s="3" t="s">
        <v>107</v>
      </c>
      <c r="D35">
        <v>62</v>
      </c>
      <c r="E35" s="6">
        <v>45913</v>
      </c>
      <c r="F35">
        <v>0</v>
      </c>
      <c r="G35">
        <v>8.2799999999999994</v>
      </c>
      <c r="H35">
        <v>0.72</v>
      </c>
      <c r="I35" s="3" t="s">
        <v>8738</v>
      </c>
    </row>
    <row r="36" spans="1:10" x14ac:dyDescent="0.35">
      <c r="A36" s="3" t="s">
        <v>8739</v>
      </c>
      <c r="B36" s="3" t="s">
        <v>108</v>
      </c>
      <c r="C36" s="3" t="s">
        <v>109</v>
      </c>
      <c r="D36">
        <v>955</v>
      </c>
      <c r="E36" s="6">
        <v>45020</v>
      </c>
      <c r="F36">
        <v>0</v>
      </c>
      <c r="G36">
        <v>0</v>
      </c>
      <c r="H36">
        <v>0</v>
      </c>
      <c r="I36" s="3" t="s">
        <v>28</v>
      </c>
    </row>
    <row r="37" spans="1:10" x14ac:dyDescent="0.35">
      <c r="A37" s="3" t="s">
        <v>9574</v>
      </c>
      <c r="B37" s="3" t="s">
        <v>1876</v>
      </c>
      <c r="C37" s="3" t="s">
        <v>1877</v>
      </c>
      <c r="D37">
        <v>30</v>
      </c>
      <c r="E37" s="6">
        <v>45945</v>
      </c>
      <c r="F37">
        <v>100</v>
      </c>
      <c r="G37">
        <v>0.32</v>
      </c>
      <c r="H37">
        <v>1.28</v>
      </c>
      <c r="I37" s="3" t="s">
        <v>8699</v>
      </c>
      <c r="J37" t="s">
        <v>11382</v>
      </c>
    </row>
    <row r="38" spans="1:10" x14ac:dyDescent="0.35">
      <c r="A38" s="3" t="s">
        <v>8741</v>
      </c>
      <c r="B38" s="3" t="s">
        <v>112</v>
      </c>
      <c r="C38" s="3" t="s">
        <v>113</v>
      </c>
      <c r="D38">
        <v>32</v>
      </c>
      <c r="E38" s="6">
        <v>45943</v>
      </c>
      <c r="F38">
        <v>0</v>
      </c>
      <c r="G38">
        <v>24.75</v>
      </c>
      <c r="H38">
        <v>0.25</v>
      </c>
      <c r="I38" s="3" t="s">
        <v>8701</v>
      </c>
    </row>
    <row r="39" spans="1:10" x14ac:dyDescent="0.35">
      <c r="A39" s="3" t="s">
        <v>8742</v>
      </c>
      <c r="B39" s="3" t="s">
        <v>114</v>
      </c>
      <c r="C39" s="3" t="s">
        <v>115</v>
      </c>
      <c r="D39">
        <v>26</v>
      </c>
      <c r="E39" s="6">
        <v>45949</v>
      </c>
      <c r="F39">
        <v>0</v>
      </c>
      <c r="G39">
        <v>9.1</v>
      </c>
      <c r="H39">
        <v>0.9</v>
      </c>
      <c r="I39" s="3" t="s">
        <v>8701</v>
      </c>
    </row>
    <row r="40" spans="1:10" x14ac:dyDescent="0.35">
      <c r="A40" s="3" t="s">
        <v>8743</v>
      </c>
      <c r="B40" s="3" t="s">
        <v>116</v>
      </c>
      <c r="C40" s="3" t="s">
        <v>117</v>
      </c>
      <c r="D40">
        <v>368</v>
      </c>
      <c r="E40" s="6">
        <v>45607</v>
      </c>
      <c r="F40">
        <v>0</v>
      </c>
      <c r="G40">
        <v>7.0000000000000001E-3</v>
      </c>
      <c r="H40">
        <v>0.12300000000000001</v>
      </c>
      <c r="I40" s="3" t="s">
        <v>8712</v>
      </c>
    </row>
    <row r="41" spans="1:10" x14ac:dyDescent="0.35">
      <c r="A41" s="3" t="s">
        <v>8744</v>
      </c>
      <c r="B41" s="3" t="s">
        <v>119</v>
      </c>
      <c r="C41" s="3" t="s">
        <v>120</v>
      </c>
      <c r="D41">
        <v>955</v>
      </c>
      <c r="E41" s="6">
        <v>45020</v>
      </c>
      <c r="F41">
        <v>0</v>
      </c>
      <c r="G41">
        <v>0</v>
      </c>
      <c r="H41">
        <v>0</v>
      </c>
      <c r="I41" s="3" t="s">
        <v>28</v>
      </c>
    </row>
    <row r="42" spans="1:10" x14ac:dyDescent="0.35">
      <c r="A42" s="3" t="s">
        <v>9657</v>
      </c>
      <c r="B42" s="3" t="s">
        <v>2054</v>
      </c>
      <c r="C42" s="3" t="s">
        <v>2055</v>
      </c>
      <c r="D42">
        <v>30</v>
      </c>
      <c r="E42" s="6">
        <v>45945</v>
      </c>
      <c r="F42">
        <v>0</v>
      </c>
      <c r="G42">
        <v>27.225000000000001</v>
      </c>
      <c r="H42">
        <v>0.27500000000000002</v>
      </c>
      <c r="I42" s="3" t="s">
        <v>8699</v>
      </c>
      <c r="J42" t="s">
        <v>11382</v>
      </c>
    </row>
    <row r="43" spans="1:10" x14ac:dyDescent="0.35">
      <c r="A43" s="3" t="s">
        <v>9832</v>
      </c>
      <c r="B43" s="3" t="s">
        <v>2425</v>
      </c>
      <c r="C43" s="3" t="s">
        <v>2426</v>
      </c>
      <c r="D43">
        <v>30</v>
      </c>
      <c r="E43" s="6">
        <v>45945</v>
      </c>
      <c r="F43">
        <v>0</v>
      </c>
      <c r="G43">
        <v>30.240000000000002</v>
      </c>
      <c r="H43">
        <v>1.76</v>
      </c>
      <c r="I43" s="3" t="s">
        <v>8699</v>
      </c>
      <c r="J43" t="s">
        <v>11382</v>
      </c>
    </row>
    <row r="44" spans="1:10" x14ac:dyDescent="0.35">
      <c r="A44" s="3" t="s">
        <v>8747</v>
      </c>
      <c r="B44" s="3" t="s">
        <v>125</v>
      </c>
      <c r="C44" s="3" t="s">
        <v>126</v>
      </c>
      <c r="D44">
        <v>46</v>
      </c>
      <c r="E44" s="6">
        <v>45929</v>
      </c>
      <c r="F44">
        <v>50</v>
      </c>
      <c r="G44">
        <v>0.12</v>
      </c>
      <c r="H44">
        <v>1.08</v>
      </c>
      <c r="I44" s="3" t="s">
        <v>8701</v>
      </c>
    </row>
    <row r="45" spans="1:10" x14ac:dyDescent="0.35">
      <c r="A45" s="3" t="s">
        <v>10103</v>
      </c>
      <c r="B45" s="3" t="s">
        <v>3007</v>
      </c>
      <c r="C45" s="3" t="s">
        <v>3008</v>
      </c>
      <c r="D45">
        <v>30</v>
      </c>
      <c r="E45" s="6">
        <v>45945</v>
      </c>
      <c r="F45">
        <v>0</v>
      </c>
      <c r="G45">
        <v>93.12</v>
      </c>
      <c r="H45">
        <v>3.88</v>
      </c>
      <c r="I45" s="3" t="s">
        <v>8699</v>
      </c>
      <c r="J45" t="s">
        <v>11382</v>
      </c>
    </row>
    <row r="46" spans="1:10" x14ac:dyDescent="0.35">
      <c r="A46" s="3" t="s">
        <v>8749</v>
      </c>
      <c r="B46" s="3" t="s">
        <v>129</v>
      </c>
      <c r="C46" s="3" t="s">
        <v>130</v>
      </c>
      <c r="D46">
        <v>87</v>
      </c>
      <c r="E46" s="6">
        <v>45888</v>
      </c>
      <c r="F46">
        <v>10</v>
      </c>
      <c r="G46">
        <v>35.819000000000003</v>
      </c>
      <c r="H46">
        <v>0.73099999999999998</v>
      </c>
      <c r="I46" s="3" t="s">
        <v>8701</v>
      </c>
    </row>
    <row r="47" spans="1:10" x14ac:dyDescent="0.35">
      <c r="A47" s="3" t="s">
        <v>8750</v>
      </c>
      <c r="B47" s="3" t="s">
        <v>131</v>
      </c>
      <c r="C47" s="3" t="s">
        <v>132</v>
      </c>
      <c r="D47">
        <v>5646</v>
      </c>
      <c r="E47" s="6">
        <v>40329</v>
      </c>
      <c r="F47">
        <v>0</v>
      </c>
      <c r="G47">
        <v>1.8000000000000002E-2</v>
      </c>
      <c r="H47">
        <v>0.48200000000000004</v>
      </c>
      <c r="I47" s="3" t="s">
        <v>8712</v>
      </c>
    </row>
    <row r="48" spans="1:10" x14ac:dyDescent="0.35">
      <c r="A48" s="3" t="s">
        <v>8751</v>
      </c>
      <c r="B48" s="3" t="s">
        <v>133</v>
      </c>
      <c r="C48" s="3" t="s">
        <v>134</v>
      </c>
      <c r="D48">
        <v>25</v>
      </c>
      <c r="E48" s="6">
        <v>45950</v>
      </c>
      <c r="F48">
        <v>100</v>
      </c>
      <c r="G48">
        <v>0.42500000000000004</v>
      </c>
      <c r="H48">
        <v>1.2750000000000001</v>
      </c>
      <c r="I48" s="3" t="s">
        <v>8701</v>
      </c>
    </row>
    <row r="49" spans="1:10" x14ac:dyDescent="0.35">
      <c r="A49" s="3" t="s">
        <v>8752</v>
      </c>
      <c r="B49" s="3" t="s">
        <v>135</v>
      </c>
      <c r="C49" s="3" t="s">
        <v>136</v>
      </c>
      <c r="D49">
        <v>955</v>
      </c>
      <c r="E49" s="6">
        <v>45020</v>
      </c>
      <c r="F49">
        <v>0</v>
      </c>
      <c r="G49">
        <v>0</v>
      </c>
      <c r="H49">
        <v>0</v>
      </c>
      <c r="I49" s="3" t="s">
        <v>28</v>
      </c>
    </row>
    <row r="50" spans="1:10" x14ac:dyDescent="0.35">
      <c r="A50" s="3" t="s">
        <v>10310</v>
      </c>
      <c r="B50" s="3" t="s">
        <v>3442</v>
      </c>
      <c r="C50" s="3" t="s">
        <v>3443</v>
      </c>
      <c r="D50">
        <v>30</v>
      </c>
      <c r="E50" s="6">
        <v>45945</v>
      </c>
      <c r="F50">
        <v>0</v>
      </c>
      <c r="G50">
        <v>41.4</v>
      </c>
      <c r="H50">
        <v>4.6000000000000005</v>
      </c>
      <c r="I50" s="3" t="s">
        <v>8699</v>
      </c>
      <c r="J50" t="s">
        <v>11382</v>
      </c>
    </row>
    <row r="51" spans="1:10" x14ac:dyDescent="0.35">
      <c r="A51" s="3" t="s">
        <v>8754</v>
      </c>
      <c r="B51" s="3" t="s">
        <v>139</v>
      </c>
      <c r="C51" s="3" t="s">
        <v>140</v>
      </c>
      <c r="D51">
        <v>217</v>
      </c>
      <c r="E51" s="6">
        <v>45758</v>
      </c>
      <c r="F51">
        <v>0</v>
      </c>
      <c r="G51">
        <v>10.875</v>
      </c>
      <c r="H51">
        <v>1.625</v>
      </c>
      <c r="I51" s="3" t="s">
        <v>8701</v>
      </c>
    </row>
    <row r="52" spans="1:10" x14ac:dyDescent="0.35">
      <c r="A52" s="3" t="s">
        <v>8755</v>
      </c>
      <c r="B52" s="3" t="s">
        <v>142</v>
      </c>
      <c r="C52" s="3" t="s">
        <v>143</v>
      </c>
      <c r="D52">
        <v>56</v>
      </c>
      <c r="E52" s="6">
        <v>45919</v>
      </c>
      <c r="F52">
        <v>0</v>
      </c>
      <c r="G52">
        <v>18</v>
      </c>
      <c r="H52">
        <v>2</v>
      </c>
      <c r="I52" s="3" t="s">
        <v>8756</v>
      </c>
    </row>
    <row r="53" spans="1:10" x14ac:dyDescent="0.35">
      <c r="A53" s="3" t="s">
        <v>8757</v>
      </c>
      <c r="B53" s="3" t="s">
        <v>144</v>
      </c>
      <c r="C53" s="3" t="s">
        <v>145</v>
      </c>
      <c r="D53">
        <v>185</v>
      </c>
      <c r="E53" s="6">
        <v>45790</v>
      </c>
      <c r="F53">
        <v>0</v>
      </c>
      <c r="G53">
        <v>1.5960000000000001</v>
      </c>
      <c r="H53">
        <v>0.30399999999999999</v>
      </c>
      <c r="I53" s="3" t="s">
        <v>8701</v>
      </c>
    </row>
    <row r="54" spans="1:10" x14ac:dyDescent="0.35">
      <c r="A54" s="3" t="s">
        <v>10431</v>
      </c>
      <c r="B54" s="3" t="s">
        <v>3701</v>
      </c>
      <c r="C54" s="3" t="s">
        <v>3702</v>
      </c>
      <c r="D54">
        <v>30</v>
      </c>
      <c r="E54" s="6">
        <v>45945</v>
      </c>
      <c r="F54">
        <v>0</v>
      </c>
      <c r="G54">
        <v>0.70000000000000007</v>
      </c>
      <c r="H54">
        <v>0.3</v>
      </c>
      <c r="I54" s="3" t="s">
        <v>8699</v>
      </c>
      <c r="J54" t="s">
        <v>11382</v>
      </c>
    </row>
    <row r="55" spans="1:10" x14ac:dyDescent="0.35">
      <c r="A55" s="3" t="s">
        <v>8759</v>
      </c>
      <c r="B55" s="3" t="s">
        <v>152</v>
      </c>
      <c r="C55" s="3" t="s">
        <v>153</v>
      </c>
      <c r="D55">
        <v>1078</v>
      </c>
      <c r="E55" s="6">
        <v>44897</v>
      </c>
      <c r="F55">
        <v>0</v>
      </c>
      <c r="G55">
        <v>1.4000000000000001</v>
      </c>
      <c r="H55">
        <v>0.6</v>
      </c>
      <c r="I55" s="3" t="s">
        <v>8705</v>
      </c>
    </row>
    <row r="56" spans="1:10" x14ac:dyDescent="0.35">
      <c r="A56" s="3" t="s">
        <v>9124</v>
      </c>
      <c r="B56" s="3" t="s">
        <v>929</v>
      </c>
      <c r="C56" s="3" t="s">
        <v>930</v>
      </c>
      <c r="D56">
        <v>31</v>
      </c>
      <c r="E56" s="6">
        <v>45944</v>
      </c>
      <c r="F56">
        <v>100</v>
      </c>
      <c r="G56">
        <v>0.6</v>
      </c>
      <c r="H56">
        <v>1.4000000000000001</v>
      </c>
      <c r="I56" s="3" t="s">
        <v>8699</v>
      </c>
      <c r="J56" t="s">
        <v>11382</v>
      </c>
    </row>
    <row r="57" spans="1:10" x14ac:dyDescent="0.35">
      <c r="A57" s="3" t="s">
        <v>8761</v>
      </c>
      <c r="B57" s="3" t="s">
        <v>158</v>
      </c>
      <c r="C57" s="3" t="s">
        <v>159</v>
      </c>
      <c r="D57">
        <v>8932</v>
      </c>
      <c r="E57" s="6">
        <v>37043</v>
      </c>
      <c r="F57">
        <v>0</v>
      </c>
      <c r="G57">
        <v>4.2000000000000003E-2</v>
      </c>
      <c r="H57">
        <v>0.79800000000000004</v>
      </c>
      <c r="I57" s="3" t="s">
        <v>8701</v>
      </c>
    </row>
    <row r="58" spans="1:10" x14ac:dyDescent="0.35">
      <c r="A58" s="3" t="s">
        <v>8762</v>
      </c>
      <c r="B58" s="3" t="s">
        <v>160</v>
      </c>
      <c r="C58" s="3" t="s">
        <v>161</v>
      </c>
      <c r="D58">
        <v>52</v>
      </c>
      <c r="E58" s="6">
        <v>45923</v>
      </c>
      <c r="F58">
        <v>0</v>
      </c>
      <c r="G58">
        <v>17.013999999999999</v>
      </c>
      <c r="H58">
        <v>1.0860000000000001</v>
      </c>
      <c r="I58" s="3" t="s">
        <v>8705</v>
      </c>
    </row>
    <row r="59" spans="1:10" x14ac:dyDescent="0.35">
      <c r="A59" s="3" t="s">
        <v>8763</v>
      </c>
      <c r="B59" s="3" t="s">
        <v>162</v>
      </c>
      <c r="C59" s="3" t="s">
        <v>163</v>
      </c>
      <c r="D59">
        <v>37</v>
      </c>
      <c r="E59" s="6">
        <v>45938</v>
      </c>
      <c r="F59">
        <v>50</v>
      </c>
      <c r="G59">
        <v>0.96900000000000008</v>
      </c>
      <c r="H59">
        <v>0.73099999999999998</v>
      </c>
      <c r="I59" s="3" t="s">
        <v>8756</v>
      </c>
    </row>
    <row r="60" spans="1:10" x14ac:dyDescent="0.35">
      <c r="A60" s="3" t="s">
        <v>8764</v>
      </c>
      <c r="B60" s="3" t="s">
        <v>164</v>
      </c>
      <c r="C60" s="3" t="s">
        <v>165</v>
      </c>
      <c r="D60">
        <v>955</v>
      </c>
      <c r="E60" s="6">
        <v>45020</v>
      </c>
      <c r="F60">
        <v>0</v>
      </c>
      <c r="G60">
        <v>0</v>
      </c>
      <c r="H60">
        <v>0</v>
      </c>
      <c r="I60" s="3" t="s">
        <v>28</v>
      </c>
    </row>
    <row r="61" spans="1:10" x14ac:dyDescent="0.35">
      <c r="A61" s="3" t="s">
        <v>8765</v>
      </c>
      <c r="B61" s="3" t="s">
        <v>166</v>
      </c>
      <c r="C61" s="3" t="s">
        <v>167</v>
      </c>
      <c r="D61">
        <v>2467</v>
      </c>
      <c r="E61" s="6">
        <v>43508</v>
      </c>
      <c r="F61">
        <v>0</v>
      </c>
      <c r="G61">
        <v>0</v>
      </c>
      <c r="H61">
        <v>0</v>
      </c>
      <c r="I61" s="3" t="s">
        <v>28</v>
      </c>
    </row>
    <row r="62" spans="1:10" x14ac:dyDescent="0.35">
      <c r="A62" s="3" t="s">
        <v>8766</v>
      </c>
      <c r="B62" s="3" t="s">
        <v>168</v>
      </c>
      <c r="C62" s="3" t="s">
        <v>169</v>
      </c>
      <c r="D62">
        <v>381</v>
      </c>
      <c r="E62" s="6">
        <v>45594</v>
      </c>
      <c r="F62">
        <v>0</v>
      </c>
      <c r="G62">
        <v>6.0000000000000001E-3</v>
      </c>
      <c r="H62">
        <v>0.10500000000000001</v>
      </c>
      <c r="I62" s="3" t="s">
        <v>8712</v>
      </c>
    </row>
    <row r="63" spans="1:10" x14ac:dyDescent="0.35">
      <c r="A63" s="3" t="s">
        <v>8767</v>
      </c>
      <c r="B63" s="3" t="s">
        <v>170</v>
      </c>
      <c r="C63" s="3" t="s">
        <v>171</v>
      </c>
      <c r="D63">
        <v>5645</v>
      </c>
      <c r="E63" s="6">
        <v>40330</v>
      </c>
      <c r="F63">
        <v>0</v>
      </c>
      <c r="G63">
        <v>6.8000000000000005E-2</v>
      </c>
      <c r="H63">
        <v>0.16200000000000001</v>
      </c>
      <c r="I63" s="3" t="s">
        <v>8768</v>
      </c>
    </row>
    <row r="64" spans="1:10" x14ac:dyDescent="0.35">
      <c r="A64" s="3" t="s">
        <v>8769</v>
      </c>
      <c r="B64" s="3" t="s">
        <v>172</v>
      </c>
      <c r="C64" s="3" t="s">
        <v>173</v>
      </c>
      <c r="D64">
        <v>563</v>
      </c>
      <c r="E64" s="6">
        <v>45412</v>
      </c>
      <c r="F64">
        <v>0</v>
      </c>
      <c r="G64">
        <v>4.0000000000000001E-3</v>
      </c>
      <c r="H64">
        <v>0.10600000000000001</v>
      </c>
      <c r="I64" s="3" t="s">
        <v>8712</v>
      </c>
    </row>
    <row r="65" spans="1:10" x14ac:dyDescent="0.35">
      <c r="A65" s="3" t="s">
        <v>8770</v>
      </c>
      <c r="B65" s="3" t="s">
        <v>174</v>
      </c>
      <c r="C65" s="3" t="s">
        <v>175</v>
      </c>
      <c r="D65">
        <v>59</v>
      </c>
      <c r="E65" s="6">
        <v>45916</v>
      </c>
      <c r="F65">
        <v>0</v>
      </c>
      <c r="G65">
        <v>3.25</v>
      </c>
      <c r="H65">
        <v>1.75</v>
      </c>
      <c r="I65" s="3" t="s">
        <v>8756</v>
      </c>
    </row>
    <row r="66" spans="1:10" x14ac:dyDescent="0.35">
      <c r="A66" s="3" t="s">
        <v>8771</v>
      </c>
      <c r="B66" s="3" t="s">
        <v>176</v>
      </c>
      <c r="C66" s="3" t="s">
        <v>177</v>
      </c>
      <c r="D66">
        <v>107</v>
      </c>
      <c r="E66" s="6">
        <v>45868</v>
      </c>
      <c r="F66">
        <v>0</v>
      </c>
      <c r="G66">
        <v>4</v>
      </c>
      <c r="H66">
        <v>1</v>
      </c>
      <c r="I66" s="3" t="s">
        <v>8701</v>
      </c>
    </row>
    <row r="67" spans="1:10" x14ac:dyDescent="0.35">
      <c r="A67" s="3" t="s">
        <v>9350</v>
      </c>
      <c r="B67" s="3" t="s">
        <v>1409</v>
      </c>
      <c r="C67" s="3" t="s">
        <v>1410</v>
      </c>
      <c r="D67">
        <v>31</v>
      </c>
      <c r="E67" s="6">
        <v>45944</v>
      </c>
      <c r="F67">
        <v>100</v>
      </c>
      <c r="G67">
        <v>32.340000000000003</v>
      </c>
      <c r="H67">
        <v>0.66</v>
      </c>
      <c r="I67" s="3" t="s">
        <v>8699</v>
      </c>
      <c r="J67" t="s">
        <v>11382</v>
      </c>
    </row>
    <row r="68" spans="1:10" x14ac:dyDescent="0.35">
      <c r="A68" s="3" t="s">
        <v>8773</v>
      </c>
      <c r="B68" s="3" t="s">
        <v>181</v>
      </c>
      <c r="C68" s="3" t="s">
        <v>182</v>
      </c>
      <c r="D68">
        <v>955</v>
      </c>
      <c r="E68" s="6">
        <v>45020</v>
      </c>
      <c r="F68">
        <v>0</v>
      </c>
      <c r="G68">
        <v>0</v>
      </c>
      <c r="H68">
        <v>0</v>
      </c>
      <c r="I68" s="3" t="s">
        <v>28</v>
      </c>
    </row>
    <row r="69" spans="1:10" x14ac:dyDescent="0.35">
      <c r="A69" s="3" t="s">
        <v>8774</v>
      </c>
      <c r="B69" s="3" t="s">
        <v>183</v>
      </c>
      <c r="C69" s="3" t="s">
        <v>184</v>
      </c>
      <c r="D69">
        <v>163</v>
      </c>
      <c r="E69" s="6">
        <v>45812</v>
      </c>
      <c r="F69">
        <v>0</v>
      </c>
      <c r="G69">
        <v>2</v>
      </c>
      <c r="H69">
        <v>0.5</v>
      </c>
      <c r="I69" s="3" t="s">
        <v>8756</v>
      </c>
    </row>
    <row r="70" spans="1:10" x14ac:dyDescent="0.35">
      <c r="A70" s="3" t="s">
        <v>9387</v>
      </c>
      <c r="B70" s="3" t="s">
        <v>1483</v>
      </c>
      <c r="C70" s="3" t="s">
        <v>1484</v>
      </c>
      <c r="D70">
        <v>31</v>
      </c>
      <c r="E70" s="6">
        <v>45944</v>
      </c>
      <c r="F70">
        <v>100</v>
      </c>
      <c r="G70">
        <v>8.9</v>
      </c>
      <c r="H70">
        <v>1.1000000000000001</v>
      </c>
      <c r="I70" s="3" t="s">
        <v>8699</v>
      </c>
      <c r="J70" t="s">
        <v>11382</v>
      </c>
    </row>
    <row r="71" spans="1:10" x14ac:dyDescent="0.35">
      <c r="A71" s="3" t="s">
        <v>8776</v>
      </c>
      <c r="B71" s="3" t="s">
        <v>188</v>
      </c>
      <c r="C71" s="3" t="s">
        <v>189</v>
      </c>
      <c r="D71">
        <v>150</v>
      </c>
      <c r="E71" s="6">
        <v>45825</v>
      </c>
      <c r="F71">
        <v>0</v>
      </c>
      <c r="G71">
        <v>16.830000000000002</v>
      </c>
      <c r="H71">
        <v>0.17</v>
      </c>
      <c r="I71" s="3" t="s">
        <v>8701</v>
      </c>
    </row>
    <row r="72" spans="1:10" x14ac:dyDescent="0.35">
      <c r="A72" s="3" t="s">
        <v>8777</v>
      </c>
      <c r="B72" s="3" t="s">
        <v>190</v>
      </c>
      <c r="C72" s="3" t="s">
        <v>191</v>
      </c>
      <c r="D72">
        <v>56</v>
      </c>
      <c r="E72" s="6">
        <v>45919</v>
      </c>
      <c r="F72">
        <v>0</v>
      </c>
      <c r="G72">
        <v>30.03</v>
      </c>
      <c r="H72">
        <v>2.97</v>
      </c>
      <c r="I72" s="3" t="s">
        <v>8756</v>
      </c>
    </row>
    <row r="73" spans="1:10" x14ac:dyDescent="0.35">
      <c r="A73" s="3" t="s">
        <v>11149</v>
      </c>
      <c r="B73" s="3" t="s">
        <v>5219</v>
      </c>
      <c r="C73" s="3" t="s">
        <v>5220</v>
      </c>
      <c r="D73">
        <v>31</v>
      </c>
      <c r="E73" s="6">
        <v>45944</v>
      </c>
      <c r="F73">
        <v>0</v>
      </c>
      <c r="G73">
        <v>65.28</v>
      </c>
      <c r="H73">
        <v>2.72</v>
      </c>
      <c r="I73" s="3" t="s">
        <v>8699</v>
      </c>
      <c r="J73" t="s">
        <v>11382</v>
      </c>
    </row>
    <row r="74" spans="1:10" x14ac:dyDescent="0.35">
      <c r="A74" s="3" t="s">
        <v>9423</v>
      </c>
      <c r="B74" s="3" t="s">
        <v>1556</v>
      </c>
      <c r="C74" s="3" t="s">
        <v>1557</v>
      </c>
      <c r="D74">
        <v>32</v>
      </c>
      <c r="E74" s="6">
        <v>45943</v>
      </c>
      <c r="F74">
        <v>0</v>
      </c>
      <c r="G74">
        <v>9.4600000000000009</v>
      </c>
      <c r="H74">
        <v>1.54</v>
      </c>
      <c r="I74" s="3" t="s">
        <v>8699</v>
      </c>
      <c r="J74" t="s">
        <v>11382</v>
      </c>
    </row>
    <row r="75" spans="1:10" x14ac:dyDescent="0.35">
      <c r="A75" s="3" t="s">
        <v>8736</v>
      </c>
      <c r="B75" s="3" t="s">
        <v>104</v>
      </c>
      <c r="C75" s="3" t="s">
        <v>105</v>
      </c>
      <c r="D75">
        <v>59</v>
      </c>
      <c r="E75" s="6">
        <v>45916</v>
      </c>
      <c r="F75">
        <v>0</v>
      </c>
      <c r="G75">
        <v>20.900000000000002</v>
      </c>
      <c r="H75">
        <v>1.1000000000000001</v>
      </c>
      <c r="I75" s="3" t="s">
        <v>8699</v>
      </c>
      <c r="J75" t="s">
        <v>11382</v>
      </c>
    </row>
    <row r="76" spans="1:10" x14ac:dyDescent="0.35">
      <c r="A76" s="3" t="s">
        <v>8781</v>
      </c>
      <c r="B76" s="3" t="s">
        <v>201</v>
      </c>
      <c r="C76" s="3" t="s">
        <v>202</v>
      </c>
      <c r="D76">
        <v>100</v>
      </c>
      <c r="E76" s="6">
        <v>45875</v>
      </c>
      <c r="F76">
        <v>0</v>
      </c>
      <c r="G76">
        <v>13.58</v>
      </c>
      <c r="H76">
        <v>0.42</v>
      </c>
      <c r="I76" s="3" t="s">
        <v>8701</v>
      </c>
    </row>
    <row r="77" spans="1:10" x14ac:dyDescent="0.35">
      <c r="A77" s="3" t="s">
        <v>8782</v>
      </c>
      <c r="B77" s="3" t="s">
        <v>203</v>
      </c>
      <c r="C77" s="3" t="s">
        <v>204</v>
      </c>
      <c r="D77">
        <v>144</v>
      </c>
      <c r="E77" s="6">
        <v>45831</v>
      </c>
      <c r="F77">
        <v>0</v>
      </c>
      <c r="G77">
        <v>3.375</v>
      </c>
      <c r="H77">
        <v>1.125</v>
      </c>
      <c r="I77" s="3" t="s">
        <v>8701</v>
      </c>
    </row>
    <row r="78" spans="1:10" x14ac:dyDescent="0.35">
      <c r="A78" s="3" t="s">
        <v>8783</v>
      </c>
      <c r="B78" s="3" t="s">
        <v>206</v>
      </c>
      <c r="C78" s="3" t="s">
        <v>207</v>
      </c>
      <c r="D78">
        <v>30</v>
      </c>
      <c r="E78" s="6">
        <v>45945</v>
      </c>
      <c r="F78">
        <v>0</v>
      </c>
      <c r="G78">
        <v>18.8</v>
      </c>
      <c r="H78">
        <v>1.2</v>
      </c>
      <c r="I78" s="3" t="s">
        <v>8701</v>
      </c>
    </row>
    <row r="79" spans="1:10" x14ac:dyDescent="0.35">
      <c r="A79" s="3" t="s">
        <v>8925</v>
      </c>
      <c r="B79" s="3" t="s">
        <v>508</v>
      </c>
      <c r="C79" s="3" t="s">
        <v>509</v>
      </c>
      <c r="D79">
        <v>67</v>
      </c>
      <c r="E79" s="6">
        <v>45908</v>
      </c>
      <c r="F79">
        <v>20</v>
      </c>
      <c r="G79">
        <v>38.22</v>
      </c>
      <c r="H79">
        <v>0.78</v>
      </c>
      <c r="I79" s="3" t="s">
        <v>8699</v>
      </c>
      <c r="J79" t="s">
        <v>11382</v>
      </c>
    </row>
    <row r="80" spans="1:10" x14ac:dyDescent="0.35">
      <c r="A80" s="3" t="s">
        <v>8785</v>
      </c>
      <c r="B80" s="3" t="s">
        <v>210</v>
      </c>
      <c r="C80" s="3" t="s">
        <v>211</v>
      </c>
      <c r="D80">
        <v>49</v>
      </c>
      <c r="E80" s="6">
        <v>45926</v>
      </c>
      <c r="F80">
        <v>0</v>
      </c>
      <c r="G80">
        <v>0.87</v>
      </c>
      <c r="H80">
        <v>2.0300000000000002</v>
      </c>
      <c r="I80" s="3" t="s">
        <v>8701</v>
      </c>
    </row>
    <row r="81" spans="1:10" x14ac:dyDescent="0.35">
      <c r="A81" s="3" t="s">
        <v>11357</v>
      </c>
      <c r="B81" s="3" t="s">
        <v>5655</v>
      </c>
      <c r="C81" s="3" t="s">
        <v>5656</v>
      </c>
      <c r="D81">
        <v>67</v>
      </c>
      <c r="E81" s="6">
        <v>45908</v>
      </c>
      <c r="F81">
        <v>20</v>
      </c>
      <c r="G81">
        <v>19</v>
      </c>
      <c r="H81">
        <v>1</v>
      </c>
      <c r="I81" s="3" t="s">
        <v>8699</v>
      </c>
      <c r="J81" t="s">
        <v>11382</v>
      </c>
    </row>
    <row r="82" spans="1:10" x14ac:dyDescent="0.35">
      <c r="A82" s="3" t="s">
        <v>8787</v>
      </c>
      <c r="B82" s="3" t="s">
        <v>214</v>
      </c>
      <c r="C82" s="3" t="s">
        <v>215</v>
      </c>
      <c r="D82">
        <v>207</v>
      </c>
      <c r="E82" s="6">
        <v>45768</v>
      </c>
      <c r="F82">
        <v>0</v>
      </c>
      <c r="G82">
        <v>0.32700000000000001</v>
      </c>
      <c r="H82">
        <v>0.88300000000000001</v>
      </c>
      <c r="I82" s="3" t="s">
        <v>8701</v>
      </c>
    </row>
    <row r="83" spans="1:10" x14ac:dyDescent="0.35">
      <c r="A83" s="3" t="s">
        <v>10914</v>
      </c>
      <c r="B83" s="3" t="s">
        <v>4715</v>
      </c>
      <c r="C83" s="3" t="s">
        <v>4716</v>
      </c>
      <c r="D83">
        <v>93</v>
      </c>
      <c r="E83" s="6">
        <v>45882</v>
      </c>
      <c r="F83">
        <v>0</v>
      </c>
      <c r="G83">
        <v>12.35</v>
      </c>
      <c r="H83">
        <v>0.65</v>
      </c>
      <c r="I83" s="3" t="s">
        <v>8699</v>
      </c>
      <c r="J83" t="s">
        <v>11382</v>
      </c>
    </row>
    <row r="84" spans="1:10" x14ac:dyDescent="0.35">
      <c r="A84" s="3" t="s">
        <v>8789</v>
      </c>
      <c r="B84" s="3" t="s">
        <v>218</v>
      </c>
      <c r="C84" s="3" t="s">
        <v>219</v>
      </c>
      <c r="D84">
        <v>955</v>
      </c>
      <c r="E84" s="6">
        <v>45020</v>
      </c>
      <c r="F84">
        <v>0</v>
      </c>
      <c r="G84">
        <v>0</v>
      </c>
      <c r="H84">
        <v>0</v>
      </c>
      <c r="I84" s="3" t="s">
        <v>28</v>
      </c>
    </row>
    <row r="85" spans="1:10" x14ac:dyDescent="0.35">
      <c r="A85" s="3" t="s">
        <v>10134</v>
      </c>
      <c r="B85" s="3" t="s">
        <v>3072</v>
      </c>
      <c r="C85" s="3" t="s">
        <v>3073</v>
      </c>
      <c r="D85">
        <v>100</v>
      </c>
      <c r="E85" s="6">
        <v>45875</v>
      </c>
      <c r="F85">
        <v>0</v>
      </c>
      <c r="G85">
        <v>24.696000000000002</v>
      </c>
      <c r="H85">
        <v>0.504</v>
      </c>
      <c r="I85" s="3" t="s">
        <v>8699</v>
      </c>
      <c r="J85" t="s">
        <v>11382</v>
      </c>
    </row>
    <row r="86" spans="1:10" x14ac:dyDescent="0.35">
      <c r="A86" s="3" t="s">
        <v>9603</v>
      </c>
      <c r="B86" s="3" t="s">
        <v>1932</v>
      </c>
      <c r="C86" s="3" t="s">
        <v>1933</v>
      </c>
      <c r="D86">
        <v>105</v>
      </c>
      <c r="E86" s="6">
        <v>45870</v>
      </c>
      <c r="F86">
        <v>300</v>
      </c>
      <c r="G86">
        <v>0.23400000000000001</v>
      </c>
      <c r="H86">
        <v>1.3260000000000001</v>
      </c>
      <c r="I86" s="3" t="s">
        <v>8699</v>
      </c>
      <c r="J86" t="s">
        <v>11382</v>
      </c>
    </row>
    <row r="87" spans="1:10" x14ac:dyDescent="0.35">
      <c r="A87" s="3" t="s">
        <v>8792</v>
      </c>
      <c r="B87" s="3" t="s">
        <v>224</v>
      </c>
      <c r="C87" s="3" t="s">
        <v>225</v>
      </c>
      <c r="D87">
        <v>30</v>
      </c>
      <c r="E87" s="6">
        <v>45945</v>
      </c>
      <c r="F87">
        <v>0</v>
      </c>
      <c r="G87">
        <v>10.32</v>
      </c>
      <c r="H87">
        <v>1.68</v>
      </c>
      <c r="I87" s="3" t="s">
        <v>8701</v>
      </c>
    </row>
    <row r="88" spans="1:10" x14ac:dyDescent="0.35">
      <c r="A88" s="3" t="s">
        <v>11032</v>
      </c>
      <c r="B88" s="3" t="s">
        <v>4975</v>
      </c>
      <c r="C88" s="3" t="s">
        <v>4976</v>
      </c>
      <c r="D88">
        <v>105</v>
      </c>
      <c r="E88" s="6">
        <v>45870</v>
      </c>
      <c r="F88">
        <v>50</v>
      </c>
      <c r="G88">
        <v>3.456</v>
      </c>
      <c r="H88">
        <v>0.14400000000000002</v>
      </c>
      <c r="I88" s="3" t="s">
        <v>8699</v>
      </c>
      <c r="J88" t="s">
        <v>11382</v>
      </c>
    </row>
    <row r="89" spans="1:10" x14ac:dyDescent="0.35">
      <c r="A89" s="3" t="s">
        <v>8977</v>
      </c>
      <c r="B89" s="3" t="s">
        <v>620</v>
      </c>
      <c r="C89" s="3" t="s">
        <v>621</v>
      </c>
      <c r="D89">
        <v>133</v>
      </c>
      <c r="E89" s="6">
        <v>45842</v>
      </c>
      <c r="F89">
        <v>0</v>
      </c>
      <c r="G89">
        <v>2.5500000000000003</v>
      </c>
      <c r="H89">
        <v>0.45</v>
      </c>
      <c r="I89" s="3" t="s">
        <v>8699</v>
      </c>
      <c r="J89" t="s">
        <v>11382</v>
      </c>
    </row>
    <row r="90" spans="1:10" x14ac:dyDescent="0.35">
      <c r="A90" s="3" t="s">
        <v>10165</v>
      </c>
      <c r="B90" s="3" t="s">
        <v>3136</v>
      </c>
      <c r="C90" s="3" t="s">
        <v>3137</v>
      </c>
      <c r="D90">
        <v>143</v>
      </c>
      <c r="E90" s="6">
        <v>45832</v>
      </c>
      <c r="F90">
        <v>0</v>
      </c>
      <c r="G90">
        <v>8.7219999999999995</v>
      </c>
      <c r="H90">
        <v>1.0780000000000001</v>
      </c>
      <c r="I90" s="3" t="s">
        <v>8699</v>
      </c>
      <c r="J90" t="s">
        <v>11382</v>
      </c>
    </row>
    <row r="91" spans="1:10" x14ac:dyDescent="0.35">
      <c r="A91" s="3" t="s">
        <v>8796</v>
      </c>
      <c r="B91" s="3" t="s">
        <v>232</v>
      </c>
      <c r="C91" s="3" t="s">
        <v>233</v>
      </c>
      <c r="D91">
        <v>23</v>
      </c>
      <c r="E91" s="6">
        <v>45952</v>
      </c>
      <c r="F91">
        <v>0</v>
      </c>
      <c r="G91">
        <v>6.0000000000000001E-3</v>
      </c>
      <c r="H91">
        <v>0.14400000000000002</v>
      </c>
      <c r="I91" s="3" t="s">
        <v>8712</v>
      </c>
    </row>
    <row r="92" spans="1:10" x14ac:dyDescent="0.35">
      <c r="A92" s="3" t="s">
        <v>8921</v>
      </c>
      <c r="B92" s="3" t="s">
        <v>500</v>
      </c>
      <c r="C92" s="3" t="s">
        <v>501</v>
      </c>
      <c r="D92">
        <v>150</v>
      </c>
      <c r="E92" s="6">
        <v>45825</v>
      </c>
      <c r="F92">
        <v>0</v>
      </c>
      <c r="G92">
        <v>1.1000000000000001</v>
      </c>
      <c r="H92">
        <v>1.1000000000000001</v>
      </c>
      <c r="I92" s="3" t="s">
        <v>8699</v>
      </c>
      <c r="J92" t="s">
        <v>11382</v>
      </c>
    </row>
    <row r="93" spans="1:10" x14ac:dyDescent="0.35">
      <c r="A93" s="3" t="s">
        <v>8798</v>
      </c>
      <c r="B93" s="3" t="s">
        <v>236</v>
      </c>
      <c r="C93" s="3" t="s">
        <v>237</v>
      </c>
      <c r="D93">
        <v>23</v>
      </c>
      <c r="E93" s="6">
        <v>45952</v>
      </c>
      <c r="F93">
        <v>0</v>
      </c>
      <c r="G93">
        <v>218.46</v>
      </c>
      <c r="H93">
        <v>1.54</v>
      </c>
      <c r="I93" s="3" t="s">
        <v>8703</v>
      </c>
    </row>
    <row r="94" spans="1:10" x14ac:dyDescent="0.35">
      <c r="A94" s="3" t="s">
        <v>9407</v>
      </c>
      <c r="B94" s="3" t="s">
        <v>1524</v>
      </c>
      <c r="C94" s="3" t="s">
        <v>1525</v>
      </c>
      <c r="D94">
        <v>151</v>
      </c>
      <c r="E94" s="6">
        <v>45824</v>
      </c>
      <c r="F94">
        <v>0</v>
      </c>
      <c r="G94">
        <v>0.36</v>
      </c>
      <c r="H94">
        <v>1.1400000000000001</v>
      </c>
      <c r="I94" s="3" t="s">
        <v>8699</v>
      </c>
      <c r="J94" t="s">
        <v>11382</v>
      </c>
    </row>
    <row r="95" spans="1:10" x14ac:dyDescent="0.35">
      <c r="A95" s="3" t="s">
        <v>9552</v>
      </c>
      <c r="B95" s="3" t="s">
        <v>1829</v>
      </c>
      <c r="C95" s="3" t="s">
        <v>1830</v>
      </c>
      <c r="D95">
        <v>156</v>
      </c>
      <c r="E95" s="6">
        <v>45819</v>
      </c>
      <c r="F95">
        <v>100</v>
      </c>
      <c r="G95">
        <v>10.78</v>
      </c>
      <c r="H95">
        <v>0.22</v>
      </c>
      <c r="I95" s="3" t="s">
        <v>8699</v>
      </c>
      <c r="J95" t="s">
        <v>11382</v>
      </c>
    </row>
    <row r="96" spans="1:10" x14ac:dyDescent="0.35">
      <c r="A96" s="3" t="s">
        <v>8801</v>
      </c>
      <c r="B96" s="3" t="s">
        <v>243</v>
      </c>
      <c r="C96" s="3" t="s">
        <v>244</v>
      </c>
      <c r="D96">
        <v>56</v>
      </c>
      <c r="E96" s="6">
        <v>45919</v>
      </c>
      <c r="F96">
        <v>0</v>
      </c>
      <c r="G96">
        <v>15.886000000000001</v>
      </c>
      <c r="H96">
        <v>1.014</v>
      </c>
      <c r="I96" s="3" t="s">
        <v>8701</v>
      </c>
    </row>
    <row r="97" spans="1:10" x14ac:dyDescent="0.35">
      <c r="A97" s="3" t="s">
        <v>8802</v>
      </c>
      <c r="B97" s="3" t="s">
        <v>245</v>
      </c>
      <c r="C97" s="3" t="s">
        <v>246</v>
      </c>
      <c r="D97">
        <v>726</v>
      </c>
      <c r="E97" s="6">
        <v>45249</v>
      </c>
      <c r="F97">
        <v>0</v>
      </c>
      <c r="G97">
        <v>0</v>
      </c>
      <c r="H97">
        <v>0</v>
      </c>
      <c r="I97" s="3" t="s">
        <v>28</v>
      </c>
    </row>
    <row r="98" spans="1:10" x14ac:dyDescent="0.35">
      <c r="A98" s="3" t="s">
        <v>10136</v>
      </c>
      <c r="B98" s="3" t="s">
        <v>3076</v>
      </c>
      <c r="C98" s="3" t="s">
        <v>3077</v>
      </c>
      <c r="D98">
        <v>164</v>
      </c>
      <c r="E98" s="6">
        <v>45811</v>
      </c>
      <c r="F98">
        <v>0</v>
      </c>
      <c r="G98">
        <v>0.999</v>
      </c>
      <c r="H98">
        <v>0.501</v>
      </c>
      <c r="I98" s="3" t="s">
        <v>8699</v>
      </c>
      <c r="J98" t="s">
        <v>11382</v>
      </c>
    </row>
    <row r="99" spans="1:10" x14ac:dyDescent="0.35">
      <c r="A99" s="3" t="s">
        <v>8804</v>
      </c>
      <c r="B99" s="3" t="s">
        <v>249</v>
      </c>
      <c r="C99" s="3" t="s">
        <v>250</v>
      </c>
      <c r="D99">
        <v>955</v>
      </c>
      <c r="E99" s="6">
        <v>45020</v>
      </c>
      <c r="F99">
        <v>0</v>
      </c>
      <c r="G99">
        <v>0</v>
      </c>
      <c r="H99">
        <v>0</v>
      </c>
      <c r="I99" s="3" t="s">
        <v>28</v>
      </c>
    </row>
    <row r="100" spans="1:10" x14ac:dyDescent="0.35">
      <c r="A100" s="3" t="s">
        <v>8805</v>
      </c>
      <c r="B100" s="3" t="s">
        <v>255</v>
      </c>
      <c r="C100" s="3" t="s">
        <v>256</v>
      </c>
      <c r="D100">
        <v>955</v>
      </c>
      <c r="E100" s="6">
        <v>45020</v>
      </c>
      <c r="F100">
        <v>0</v>
      </c>
      <c r="G100">
        <v>0</v>
      </c>
      <c r="H100">
        <v>0</v>
      </c>
      <c r="I100" s="3" t="s">
        <v>28</v>
      </c>
    </row>
    <row r="101" spans="1:10" x14ac:dyDescent="0.35">
      <c r="A101" s="3" t="s">
        <v>8786</v>
      </c>
      <c r="B101" s="3" t="s">
        <v>212</v>
      </c>
      <c r="C101" s="3" t="s">
        <v>213</v>
      </c>
      <c r="D101">
        <v>171</v>
      </c>
      <c r="E101" s="6">
        <v>45804</v>
      </c>
      <c r="F101">
        <v>0</v>
      </c>
      <c r="G101">
        <v>1.76</v>
      </c>
      <c r="H101">
        <v>0.44</v>
      </c>
      <c r="I101" s="3" t="s">
        <v>8699</v>
      </c>
      <c r="J101" t="s">
        <v>11382</v>
      </c>
    </row>
    <row r="102" spans="1:10" x14ac:dyDescent="0.35">
      <c r="A102" s="3" t="s">
        <v>8807</v>
      </c>
      <c r="B102" s="3" t="s">
        <v>261</v>
      </c>
      <c r="C102" s="3" t="s">
        <v>262</v>
      </c>
      <c r="D102">
        <v>5646</v>
      </c>
      <c r="E102" s="6">
        <v>40329</v>
      </c>
      <c r="F102">
        <v>0</v>
      </c>
      <c r="G102">
        <v>1.8000000000000002E-2</v>
      </c>
      <c r="H102">
        <v>0.48200000000000004</v>
      </c>
      <c r="I102" s="3" t="s">
        <v>8712</v>
      </c>
    </row>
    <row r="103" spans="1:10" x14ac:dyDescent="0.35">
      <c r="A103" s="3" t="s">
        <v>8808</v>
      </c>
      <c r="B103" s="3" t="s">
        <v>264</v>
      </c>
      <c r="C103" s="3" t="s">
        <v>265</v>
      </c>
      <c r="D103">
        <v>3558</v>
      </c>
      <c r="E103" s="6">
        <v>42417</v>
      </c>
      <c r="F103">
        <v>0</v>
      </c>
      <c r="G103">
        <v>0</v>
      </c>
      <c r="H103">
        <v>0</v>
      </c>
      <c r="I103" s="3" t="s">
        <v>28</v>
      </c>
    </row>
    <row r="104" spans="1:10" x14ac:dyDescent="0.35">
      <c r="A104" s="3" t="s">
        <v>8809</v>
      </c>
      <c r="B104" s="3" t="s">
        <v>266</v>
      </c>
      <c r="C104" s="3" t="s">
        <v>267</v>
      </c>
      <c r="D104">
        <v>49</v>
      </c>
      <c r="E104" s="6">
        <v>45926</v>
      </c>
      <c r="F104">
        <v>100</v>
      </c>
      <c r="G104">
        <v>8.58</v>
      </c>
      <c r="H104">
        <v>2.42</v>
      </c>
      <c r="I104" s="3" t="s">
        <v>8701</v>
      </c>
    </row>
    <row r="105" spans="1:10" x14ac:dyDescent="0.35">
      <c r="A105" s="3" t="s">
        <v>9860</v>
      </c>
      <c r="B105" s="3" t="s">
        <v>2483</v>
      </c>
      <c r="C105" s="3" t="s">
        <v>2484</v>
      </c>
      <c r="D105">
        <v>176</v>
      </c>
      <c r="E105" s="6">
        <v>45799</v>
      </c>
      <c r="F105">
        <v>0</v>
      </c>
      <c r="G105">
        <v>8.8000000000000007</v>
      </c>
      <c r="H105">
        <v>2.2000000000000002</v>
      </c>
      <c r="I105" s="3" t="s">
        <v>8699</v>
      </c>
      <c r="J105" t="s">
        <v>11382</v>
      </c>
    </row>
    <row r="106" spans="1:10" x14ac:dyDescent="0.35">
      <c r="A106" s="3" t="s">
        <v>8811</v>
      </c>
      <c r="B106" s="3" t="s">
        <v>270</v>
      </c>
      <c r="C106" s="3" t="s">
        <v>271</v>
      </c>
      <c r="D106">
        <v>45</v>
      </c>
      <c r="E106" s="6">
        <v>45930</v>
      </c>
      <c r="F106">
        <v>100</v>
      </c>
      <c r="G106">
        <v>5.55</v>
      </c>
      <c r="H106">
        <v>1.95</v>
      </c>
      <c r="I106" s="3" t="s">
        <v>8701</v>
      </c>
    </row>
    <row r="107" spans="1:10" x14ac:dyDescent="0.35">
      <c r="A107" s="3" t="s">
        <v>8812</v>
      </c>
      <c r="B107" s="3" t="s">
        <v>274</v>
      </c>
      <c r="C107" s="3" t="s">
        <v>275</v>
      </c>
      <c r="D107">
        <v>25</v>
      </c>
      <c r="E107" s="6">
        <v>45950</v>
      </c>
      <c r="F107">
        <v>150</v>
      </c>
      <c r="G107">
        <v>106.7</v>
      </c>
      <c r="H107">
        <v>3.3000000000000003</v>
      </c>
      <c r="I107" s="3" t="s">
        <v>8701</v>
      </c>
    </row>
    <row r="108" spans="1:10" x14ac:dyDescent="0.35">
      <c r="A108" s="3" t="s">
        <v>10948</v>
      </c>
      <c r="B108" s="3" t="s">
        <v>4789</v>
      </c>
      <c r="C108" s="3" t="s">
        <v>4790</v>
      </c>
      <c r="D108">
        <v>179</v>
      </c>
      <c r="E108" s="6">
        <v>45796</v>
      </c>
      <c r="F108">
        <v>0</v>
      </c>
      <c r="G108">
        <v>1.8720000000000001</v>
      </c>
      <c r="H108">
        <v>0.52800000000000002</v>
      </c>
      <c r="I108" s="3" t="s">
        <v>8699</v>
      </c>
      <c r="J108" t="s">
        <v>11382</v>
      </c>
    </row>
    <row r="109" spans="1:10" x14ac:dyDescent="0.35">
      <c r="A109" s="3" t="s">
        <v>8814</v>
      </c>
      <c r="B109" s="3" t="s">
        <v>278</v>
      </c>
      <c r="C109" s="3" t="s">
        <v>279</v>
      </c>
      <c r="D109">
        <v>353</v>
      </c>
      <c r="E109" s="6">
        <v>45622</v>
      </c>
      <c r="F109">
        <v>0</v>
      </c>
      <c r="G109">
        <v>8.0000000000000002E-3</v>
      </c>
      <c r="H109">
        <v>0.13200000000000001</v>
      </c>
      <c r="I109" s="3" t="s">
        <v>8712</v>
      </c>
    </row>
    <row r="110" spans="1:10" x14ac:dyDescent="0.35">
      <c r="A110" s="3" t="s">
        <v>8815</v>
      </c>
      <c r="B110" s="3" t="s">
        <v>280</v>
      </c>
      <c r="C110" s="3" t="s">
        <v>281</v>
      </c>
      <c r="D110">
        <v>31</v>
      </c>
      <c r="E110" s="6">
        <v>45944</v>
      </c>
      <c r="F110">
        <v>0</v>
      </c>
      <c r="G110">
        <v>16.53</v>
      </c>
      <c r="H110">
        <v>0.87</v>
      </c>
      <c r="I110" s="3" t="s">
        <v>8701</v>
      </c>
    </row>
    <row r="111" spans="1:10" x14ac:dyDescent="0.35">
      <c r="A111" s="3" t="s">
        <v>8816</v>
      </c>
      <c r="B111" s="3" t="s">
        <v>282</v>
      </c>
      <c r="C111" s="3" t="s">
        <v>283</v>
      </c>
      <c r="D111">
        <v>89</v>
      </c>
      <c r="E111" s="6">
        <v>45886</v>
      </c>
      <c r="F111">
        <v>90</v>
      </c>
      <c r="G111">
        <v>33.294000000000004</v>
      </c>
      <c r="H111">
        <v>3.9060000000000001</v>
      </c>
      <c r="I111" s="3" t="s">
        <v>8756</v>
      </c>
    </row>
    <row r="112" spans="1:10" x14ac:dyDescent="0.35">
      <c r="A112" s="3" t="s">
        <v>10428</v>
      </c>
      <c r="B112" s="3" t="s">
        <v>3695</v>
      </c>
      <c r="C112" s="3" t="s">
        <v>3696</v>
      </c>
      <c r="D112">
        <v>188</v>
      </c>
      <c r="E112" s="6">
        <v>45787</v>
      </c>
      <c r="F112">
        <v>0</v>
      </c>
      <c r="G112">
        <v>4</v>
      </c>
      <c r="H112">
        <v>1</v>
      </c>
      <c r="I112" s="3" t="s">
        <v>8699</v>
      </c>
      <c r="J112" t="s">
        <v>11382</v>
      </c>
    </row>
    <row r="113" spans="1:10" x14ac:dyDescent="0.35">
      <c r="A113" s="3" t="s">
        <v>9414</v>
      </c>
      <c r="B113" s="3" t="s">
        <v>1538</v>
      </c>
      <c r="C113" s="3" t="s">
        <v>1539</v>
      </c>
      <c r="D113">
        <v>206</v>
      </c>
      <c r="E113" s="6">
        <v>45769</v>
      </c>
      <c r="F113">
        <v>100</v>
      </c>
      <c r="G113">
        <v>4.9000000000000004</v>
      </c>
      <c r="H113">
        <v>0.1</v>
      </c>
      <c r="I113" s="3" t="s">
        <v>8699</v>
      </c>
      <c r="J113" t="s">
        <v>11382</v>
      </c>
    </row>
    <row r="114" spans="1:10" x14ac:dyDescent="0.35">
      <c r="A114" s="3" t="s">
        <v>8819</v>
      </c>
      <c r="B114" s="3" t="s">
        <v>288</v>
      </c>
      <c r="C114" s="3" t="s">
        <v>289</v>
      </c>
      <c r="D114">
        <v>8871</v>
      </c>
      <c r="E114" s="6">
        <v>37104</v>
      </c>
      <c r="F114">
        <v>0</v>
      </c>
      <c r="G114">
        <v>0.06</v>
      </c>
      <c r="H114">
        <v>2.94</v>
      </c>
      <c r="I114" s="3" t="s">
        <v>8701</v>
      </c>
    </row>
    <row r="115" spans="1:10" x14ac:dyDescent="0.35">
      <c r="A115" s="3" t="s">
        <v>9345</v>
      </c>
      <c r="B115" s="3" t="s">
        <v>1399</v>
      </c>
      <c r="C115" s="3" t="s">
        <v>1400</v>
      </c>
      <c r="D115">
        <v>207</v>
      </c>
      <c r="E115" s="6">
        <v>45768</v>
      </c>
      <c r="F115">
        <v>0</v>
      </c>
      <c r="G115">
        <v>0</v>
      </c>
      <c r="H115">
        <v>0.01</v>
      </c>
      <c r="I115" s="3" t="s">
        <v>8699</v>
      </c>
      <c r="J115" t="s">
        <v>11382</v>
      </c>
    </row>
    <row r="116" spans="1:10" x14ac:dyDescent="0.35">
      <c r="A116" s="3" t="s">
        <v>8821</v>
      </c>
      <c r="B116" s="3" t="s">
        <v>293</v>
      </c>
      <c r="C116" s="3" t="s">
        <v>294</v>
      </c>
      <c r="D116">
        <v>88</v>
      </c>
      <c r="E116" s="6">
        <v>45887</v>
      </c>
      <c r="F116">
        <v>0</v>
      </c>
      <c r="G116">
        <v>11.700000000000001</v>
      </c>
      <c r="H116">
        <v>1.3</v>
      </c>
      <c r="I116" s="3" t="s">
        <v>8701</v>
      </c>
    </row>
    <row r="117" spans="1:10" x14ac:dyDescent="0.35">
      <c r="A117" s="3" t="s">
        <v>9735</v>
      </c>
      <c r="B117" s="3" t="s">
        <v>2218</v>
      </c>
      <c r="C117" s="3" t="s">
        <v>2219</v>
      </c>
      <c r="D117">
        <v>207</v>
      </c>
      <c r="E117" s="6">
        <v>45768</v>
      </c>
      <c r="F117">
        <v>200</v>
      </c>
      <c r="G117">
        <v>14.55</v>
      </c>
      <c r="H117">
        <v>0.45</v>
      </c>
      <c r="I117" s="3" t="s">
        <v>8699</v>
      </c>
      <c r="J117" t="s">
        <v>11382</v>
      </c>
    </row>
    <row r="118" spans="1:10" x14ac:dyDescent="0.35">
      <c r="A118" s="3" t="s">
        <v>9806</v>
      </c>
      <c r="B118" s="3" t="s">
        <v>2371</v>
      </c>
      <c r="C118" s="3" t="s">
        <v>2372</v>
      </c>
      <c r="D118">
        <v>207</v>
      </c>
      <c r="E118" s="6">
        <v>45768</v>
      </c>
      <c r="F118">
        <v>0</v>
      </c>
      <c r="G118">
        <v>0</v>
      </c>
      <c r="H118">
        <v>0.01</v>
      </c>
      <c r="I118" s="3" t="s">
        <v>8699</v>
      </c>
      <c r="J118" t="s">
        <v>11382</v>
      </c>
    </row>
    <row r="119" spans="1:10" x14ac:dyDescent="0.35">
      <c r="A119" s="3" t="s">
        <v>8824</v>
      </c>
      <c r="B119" s="3" t="s">
        <v>299</v>
      </c>
      <c r="C119" s="3" t="s">
        <v>300</v>
      </c>
      <c r="D119">
        <v>23</v>
      </c>
      <c r="E119" s="6">
        <v>45952</v>
      </c>
      <c r="F119">
        <v>0</v>
      </c>
      <c r="G119">
        <v>48.216000000000001</v>
      </c>
      <c r="H119">
        <v>0.78400000000000003</v>
      </c>
      <c r="I119" s="3" t="s">
        <v>8756</v>
      </c>
    </row>
    <row r="120" spans="1:10" x14ac:dyDescent="0.35">
      <c r="A120" s="3" t="s">
        <v>8825</v>
      </c>
      <c r="B120" s="3" t="s">
        <v>301</v>
      </c>
      <c r="C120" s="3" t="s">
        <v>302</v>
      </c>
      <c r="D120">
        <v>23</v>
      </c>
      <c r="E120" s="6">
        <v>45952</v>
      </c>
      <c r="F120">
        <v>0</v>
      </c>
      <c r="G120">
        <v>27.84</v>
      </c>
      <c r="H120">
        <v>1.1599999999999999</v>
      </c>
      <c r="I120" s="3" t="s">
        <v>8701</v>
      </c>
    </row>
    <row r="121" spans="1:10" x14ac:dyDescent="0.35">
      <c r="A121" s="3" t="s">
        <v>8826</v>
      </c>
      <c r="B121" s="3" t="s">
        <v>303</v>
      </c>
      <c r="C121" s="3" t="s">
        <v>304</v>
      </c>
      <c r="D121">
        <v>7602</v>
      </c>
      <c r="E121" s="6">
        <v>38373</v>
      </c>
      <c r="F121">
        <v>0</v>
      </c>
      <c r="G121">
        <v>0</v>
      </c>
      <c r="H121">
        <v>0</v>
      </c>
      <c r="I121" s="3" t="s">
        <v>28</v>
      </c>
    </row>
    <row r="122" spans="1:10" x14ac:dyDescent="0.35">
      <c r="A122" s="3" t="s">
        <v>8827</v>
      </c>
      <c r="B122" s="3" t="s">
        <v>305</v>
      </c>
      <c r="C122" s="3" t="s">
        <v>306</v>
      </c>
      <c r="D122">
        <v>87</v>
      </c>
      <c r="E122" s="6">
        <v>45888</v>
      </c>
      <c r="F122">
        <v>0</v>
      </c>
      <c r="G122">
        <v>28.8</v>
      </c>
      <c r="H122">
        <v>3.2</v>
      </c>
      <c r="I122" s="3" t="s">
        <v>8701</v>
      </c>
    </row>
    <row r="123" spans="1:10" x14ac:dyDescent="0.35">
      <c r="A123" s="3" t="s">
        <v>10325</v>
      </c>
      <c r="B123" s="3" t="s">
        <v>3474</v>
      </c>
      <c r="C123" s="3" t="s">
        <v>3475</v>
      </c>
      <c r="D123">
        <v>207</v>
      </c>
      <c r="E123" s="6">
        <v>45768</v>
      </c>
      <c r="F123">
        <v>50</v>
      </c>
      <c r="G123">
        <v>3.56</v>
      </c>
      <c r="H123">
        <v>0.44</v>
      </c>
      <c r="I123" s="3" t="s">
        <v>8699</v>
      </c>
      <c r="J123" t="s">
        <v>11382</v>
      </c>
    </row>
    <row r="124" spans="1:10" x14ac:dyDescent="0.35">
      <c r="A124" s="3" t="s">
        <v>8829</v>
      </c>
      <c r="B124" s="3" t="s">
        <v>310</v>
      </c>
      <c r="C124" s="3" t="s">
        <v>311</v>
      </c>
      <c r="D124">
        <v>46</v>
      </c>
      <c r="E124" s="6">
        <v>45929</v>
      </c>
      <c r="F124">
        <v>0</v>
      </c>
      <c r="G124">
        <v>4.3760000000000003</v>
      </c>
      <c r="H124">
        <v>6.0440000000000005</v>
      </c>
      <c r="I124" s="3" t="s">
        <v>8703</v>
      </c>
    </row>
    <row r="125" spans="1:10" x14ac:dyDescent="0.35">
      <c r="A125" s="3" t="s">
        <v>8830</v>
      </c>
      <c r="B125" s="3" t="s">
        <v>312</v>
      </c>
      <c r="C125" s="3" t="s">
        <v>313</v>
      </c>
      <c r="D125">
        <v>109</v>
      </c>
      <c r="E125" s="6">
        <v>45866</v>
      </c>
      <c r="F125">
        <v>0</v>
      </c>
      <c r="G125">
        <v>10.68</v>
      </c>
      <c r="H125">
        <v>1.32</v>
      </c>
      <c r="I125" s="3" t="s">
        <v>8729</v>
      </c>
    </row>
    <row r="126" spans="1:10" x14ac:dyDescent="0.35">
      <c r="A126" s="3" t="s">
        <v>8831</v>
      </c>
      <c r="B126" s="3" t="s">
        <v>315</v>
      </c>
      <c r="C126" s="3" t="s">
        <v>316</v>
      </c>
      <c r="D126">
        <v>38</v>
      </c>
      <c r="E126" s="6">
        <v>45937</v>
      </c>
      <c r="F126">
        <v>0</v>
      </c>
      <c r="G126">
        <v>6</v>
      </c>
      <c r="H126">
        <v>2</v>
      </c>
      <c r="I126" s="3" t="s">
        <v>8701</v>
      </c>
    </row>
    <row r="127" spans="1:10" x14ac:dyDescent="0.35">
      <c r="A127" s="3" t="s">
        <v>10427</v>
      </c>
      <c r="B127" s="3" t="s">
        <v>3693</v>
      </c>
      <c r="C127" s="3" t="s">
        <v>3694</v>
      </c>
      <c r="D127">
        <v>207</v>
      </c>
      <c r="E127" s="6">
        <v>45768</v>
      </c>
      <c r="F127">
        <v>0</v>
      </c>
      <c r="G127">
        <v>0</v>
      </c>
      <c r="H127">
        <v>0.01</v>
      </c>
      <c r="I127" s="3" t="s">
        <v>8699</v>
      </c>
      <c r="J127" t="s">
        <v>11382</v>
      </c>
    </row>
    <row r="128" spans="1:10" x14ac:dyDescent="0.35">
      <c r="A128" s="3" t="s">
        <v>10749</v>
      </c>
      <c r="B128" s="3" t="s">
        <v>4371</v>
      </c>
      <c r="C128" s="3" t="s">
        <v>4372</v>
      </c>
      <c r="D128">
        <v>220</v>
      </c>
      <c r="E128" s="6">
        <v>45755</v>
      </c>
      <c r="F128">
        <v>0</v>
      </c>
      <c r="G128">
        <v>0</v>
      </c>
      <c r="H128">
        <v>0</v>
      </c>
      <c r="I128" s="3" t="s">
        <v>8699</v>
      </c>
      <c r="J128" t="s">
        <v>11382</v>
      </c>
    </row>
    <row r="129" spans="1:10" x14ac:dyDescent="0.35">
      <c r="A129" s="3" t="s">
        <v>8780</v>
      </c>
      <c r="B129" s="3" t="s">
        <v>199</v>
      </c>
      <c r="C129" s="3" t="s">
        <v>200</v>
      </c>
      <c r="D129">
        <v>221</v>
      </c>
      <c r="E129" s="6">
        <v>45754</v>
      </c>
      <c r="F129">
        <v>0</v>
      </c>
      <c r="G129">
        <v>14.85</v>
      </c>
      <c r="H129">
        <v>0.15</v>
      </c>
      <c r="I129" s="3" t="s">
        <v>8699</v>
      </c>
      <c r="J129" t="s">
        <v>11382</v>
      </c>
    </row>
    <row r="130" spans="1:10" x14ac:dyDescent="0.35">
      <c r="A130" s="3" t="s">
        <v>8835</v>
      </c>
      <c r="B130" s="3" t="s">
        <v>324</v>
      </c>
      <c r="C130" s="3" t="s">
        <v>325</v>
      </c>
      <c r="D130">
        <v>603</v>
      </c>
      <c r="E130" s="6">
        <v>45372</v>
      </c>
      <c r="F130">
        <v>0</v>
      </c>
      <c r="G130">
        <v>6.0000000000000001E-3</v>
      </c>
      <c r="H130">
        <v>0.10400000000000001</v>
      </c>
      <c r="I130" s="3" t="s">
        <v>8712</v>
      </c>
    </row>
    <row r="131" spans="1:10" x14ac:dyDescent="0.35">
      <c r="A131" s="3" t="s">
        <v>9764</v>
      </c>
      <c r="B131" s="3" t="s">
        <v>2276</v>
      </c>
      <c r="C131" s="3" t="s">
        <v>2277</v>
      </c>
      <c r="D131">
        <v>224</v>
      </c>
      <c r="E131" s="6">
        <v>45751</v>
      </c>
      <c r="F131">
        <v>0</v>
      </c>
      <c r="G131">
        <v>12.870000000000001</v>
      </c>
      <c r="H131">
        <v>0.13</v>
      </c>
      <c r="I131" s="3" t="s">
        <v>8699</v>
      </c>
      <c r="J131" t="s">
        <v>11382</v>
      </c>
    </row>
    <row r="132" spans="1:10" x14ac:dyDescent="0.35">
      <c r="A132" s="3" t="s">
        <v>8837</v>
      </c>
      <c r="B132" s="3" t="s">
        <v>328</v>
      </c>
      <c r="C132" s="3" t="s">
        <v>329</v>
      </c>
      <c r="D132">
        <v>48</v>
      </c>
      <c r="E132" s="6">
        <v>45927</v>
      </c>
      <c r="F132">
        <v>250</v>
      </c>
      <c r="G132">
        <v>59.4</v>
      </c>
      <c r="H132">
        <v>0.6</v>
      </c>
      <c r="I132" s="3" t="s">
        <v>8701</v>
      </c>
    </row>
    <row r="133" spans="1:10" x14ac:dyDescent="0.35">
      <c r="A133" s="3" t="s">
        <v>8838</v>
      </c>
      <c r="B133" s="3" t="s">
        <v>330</v>
      </c>
      <c r="C133" s="3" t="s">
        <v>331</v>
      </c>
      <c r="D133">
        <v>322</v>
      </c>
      <c r="E133" s="6">
        <v>45653</v>
      </c>
      <c r="F133">
        <v>0</v>
      </c>
      <c r="G133">
        <v>9.0000000000000011E-3</v>
      </c>
      <c r="H133">
        <v>0.17100000000000001</v>
      </c>
      <c r="I133" s="3" t="s">
        <v>8712</v>
      </c>
    </row>
    <row r="134" spans="1:10" x14ac:dyDescent="0.35">
      <c r="A134" s="3" t="s">
        <v>10285</v>
      </c>
      <c r="B134" s="3" t="s">
        <v>3390</v>
      </c>
      <c r="C134" s="3" t="s">
        <v>3391</v>
      </c>
      <c r="D134">
        <v>224</v>
      </c>
      <c r="E134" s="6">
        <v>45751</v>
      </c>
      <c r="F134">
        <v>0</v>
      </c>
      <c r="G134">
        <v>2.1</v>
      </c>
      <c r="H134">
        <v>0.9</v>
      </c>
      <c r="I134" s="3" t="s">
        <v>8699</v>
      </c>
      <c r="J134" t="s">
        <v>11382</v>
      </c>
    </row>
    <row r="135" spans="1:10" x14ac:dyDescent="0.35">
      <c r="A135" s="3" t="s">
        <v>10478</v>
      </c>
      <c r="B135" s="3" t="s">
        <v>3803</v>
      </c>
      <c r="C135" s="3" t="s">
        <v>3804</v>
      </c>
      <c r="D135">
        <v>234</v>
      </c>
      <c r="E135" s="6">
        <v>45741</v>
      </c>
      <c r="F135">
        <v>0</v>
      </c>
      <c r="G135">
        <v>32.67</v>
      </c>
      <c r="H135">
        <v>0.33</v>
      </c>
      <c r="I135" s="3" t="s">
        <v>8699</v>
      </c>
      <c r="J135" t="s">
        <v>11383</v>
      </c>
    </row>
    <row r="136" spans="1:10" x14ac:dyDescent="0.35">
      <c r="A136" s="3" t="s">
        <v>10623</v>
      </c>
      <c r="B136" s="3" t="s">
        <v>4104</v>
      </c>
      <c r="C136" s="3" t="s">
        <v>4105</v>
      </c>
      <c r="D136">
        <v>238</v>
      </c>
      <c r="E136" s="6">
        <v>45737</v>
      </c>
      <c r="F136">
        <v>0</v>
      </c>
      <c r="G136">
        <v>3.1150000000000002</v>
      </c>
      <c r="H136">
        <v>0.38500000000000001</v>
      </c>
      <c r="I136" s="3" t="s">
        <v>8699</v>
      </c>
      <c r="J136" t="s">
        <v>11383</v>
      </c>
    </row>
    <row r="137" spans="1:10" x14ac:dyDescent="0.35">
      <c r="A137" s="3" t="s">
        <v>10785</v>
      </c>
      <c r="B137" s="3" t="s">
        <v>4448</v>
      </c>
      <c r="C137" s="3" t="s">
        <v>4449</v>
      </c>
      <c r="D137">
        <v>247</v>
      </c>
      <c r="E137" s="6">
        <v>45728</v>
      </c>
      <c r="F137">
        <v>0</v>
      </c>
      <c r="G137">
        <v>111.44</v>
      </c>
      <c r="H137">
        <v>0.56000000000000005</v>
      </c>
      <c r="I137" s="3" t="s">
        <v>8699</v>
      </c>
      <c r="J137" t="s">
        <v>11383</v>
      </c>
    </row>
    <row r="138" spans="1:10" x14ac:dyDescent="0.35">
      <c r="A138" s="3" t="s">
        <v>8843</v>
      </c>
      <c r="B138" s="3" t="s">
        <v>341</v>
      </c>
      <c r="C138" s="3" t="s">
        <v>342</v>
      </c>
      <c r="D138">
        <v>25</v>
      </c>
      <c r="E138" s="6">
        <v>45950</v>
      </c>
      <c r="F138">
        <v>100</v>
      </c>
      <c r="G138">
        <v>0.19800000000000001</v>
      </c>
      <c r="H138">
        <v>0.90200000000000002</v>
      </c>
      <c r="I138" s="3" t="s">
        <v>8701</v>
      </c>
    </row>
    <row r="139" spans="1:10" x14ac:dyDescent="0.35">
      <c r="A139" s="3" t="s">
        <v>8844</v>
      </c>
      <c r="B139" s="3" t="s">
        <v>343</v>
      </c>
      <c r="C139" s="3" t="s">
        <v>344</v>
      </c>
      <c r="D139">
        <v>26</v>
      </c>
      <c r="E139" s="6">
        <v>45949</v>
      </c>
      <c r="F139">
        <v>0</v>
      </c>
      <c r="G139">
        <v>97.02</v>
      </c>
      <c r="H139">
        <v>0.98</v>
      </c>
      <c r="I139" s="3" t="s">
        <v>8701</v>
      </c>
    </row>
    <row r="140" spans="1:10" x14ac:dyDescent="0.35">
      <c r="A140" s="3" t="s">
        <v>8845</v>
      </c>
      <c r="B140" s="3" t="s">
        <v>345</v>
      </c>
      <c r="C140" s="3" t="s">
        <v>346</v>
      </c>
      <c r="D140">
        <v>49</v>
      </c>
      <c r="E140" s="6">
        <v>45926</v>
      </c>
      <c r="F140">
        <v>0</v>
      </c>
      <c r="G140">
        <v>2.73</v>
      </c>
      <c r="H140">
        <v>0.77</v>
      </c>
      <c r="I140" s="3" t="s">
        <v>8701</v>
      </c>
    </row>
    <row r="141" spans="1:10" x14ac:dyDescent="0.35">
      <c r="A141" s="3" t="s">
        <v>8846</v>
      </c>
      <c r="B141" s="3" t="s">
        <v>347</v>
      </c>
      <c r="C141" s="3" t="s">
        <v>348</v>
      </c>
      <c r="D141">
        <v>31</v>
      </c>
      <c r="E141" s="6">
        <v>45944</v>
      </c>
      <c r="F141">
        <v>0</v>
      </c>
      <c r="G141">
        <v>38.800000000000004</v>
      </c>
      <c r="H141">
        <v>1.2</v>
      </c>
      <c r="I141" s="3" t="s">
        <v>8738</v>
      </c>
    </row>
    <row r="142" spans="1:10" x14ac:dyDescent="0.35">
      <c r="A142" s="3" t="s">
        <v>8847</v>
      </c>
      <c r="B142" s="3" t="s">
        <v>349</v>
      </c>
      <c r="C142" s="3" t="s">
        <v>350</v>
      </c>
      <c r="D142">
        <v>24</v>
      </c>
      <c r="E142" s="6">
        <v>45951</v>
      </c>
      <c r="F142">
        <v>0</v>
      </c>
      <c r="G142">
        <v>21.34</v>
      </c>
      <c r="H142">
        <v>0.66</v>
      </c>
      <c r="I142" s="3" t="s">
        <v>8701</v>
      </c>
    </row>
    <row r="143" spans="1:10" x14ac:dyDescent="0.35">
      <c r="A143" s="3" t="s">
        <v>8848</v>
      </c>
      <c r="B143" s="3" t="s">
        <v>351</v>
      </c>
      <c r="C143" s="3" t="s">
        <v>352</v>
      </c>
      <c r="D143">
        <v>56</v>
      </c>
      <c r="E143" s="6">
        <v>45919</v>
      </c>
      <c r="F143">
        <v>0</v>
      </c>
      <c r="G143">
        <v>27.985000000000003</v>
      </c>
      <c r="H143">
        <v>1.0150000000000001</v>
      </c>
      <c r="I143" s="3" t="s">
        <v>8701</v>
      </c>
    </row>
    <row r="144" spans="1:10" x14ac:dyDescent="0.35">
      <c r="A144" s="3" t="s">
        <v>8849</v>
      </c>
      <c r="B144" s="3" t="s">
        <v>353</v>
      </c>
      <c r="C144" s="3" t="s">
        <v>354</v>
      </c>
      <c r="D144">
        <v>55</v>
      </c>
      <c r="E144" s="6">
        <v>45920</v>
      </c>
      <c r="F144">
        <v>0</v>
      </c>
      <c r="G144">
        <v>49.980000000000004</v>
      </c>
      <c r="H144">
        <v>1.02</v>
      </c>
      <c r="I144" s="3" t="s">
        <v>8705</v>
      </c>
    </row>
    <row r="145" spans="1:10" x14ac:dyDescent="0.35">
      <c r="A145" s="3" t="s">
        <v>8850</v>
      </c>
      <c r="B145" s="3" t="s">
        <v>355</v>
      </c>
      <c r="C145" s="3" t="s">
        <v>356</v>
      </c>
      <c r="D145">
        <v>847</v>
      </c>
      <c r="E145" s="6">
        <v>45128</v>
      </c>
      <c r="F145">
        <v>0</v>
      </c>
      <c r="G145">
        <v>20.685000000000002</v>
      </c>
      <c r="H145">
        <v>0.315</v>
      </c>
      <c r="I145" s="3" t="s">
        <v>8756</v>
      </c>
    </row>
    <row r="146" spans="1:10" x14ac:dyDescent="0.35">
      <c r="A146" s="3" t="s">
        <v>10079</v>
      </c>
      <c r="B146" s="3" t="s">
        <v>2953</v>
      </c>
      <c r="C146" s="3" t="s">
        <v>2954</v>
      </c>
      <c r="D146">
        <v>250</v>
      </c>
      <c r="E146" s="6">
        <v>45725</v>
      </c>
      <c r="F146">
        <v>0</v>
      </c>
      <c r="G146">
        <v>5.4</v>
      </c>
      <c r="H146">
        <v>0.6</v>
      </c>
      <c r="I146" s="3" t="s">
        <v>8699</v>
      </c>
      <c r="J146" t="s">
        <v>11383</v>
      </c>
    </row>
    <row r="147" spans="1:10" x14ac:dyDescent="0.35">
      <c r="A147" s="3" t="s">
        <v>8852</v>
      </c>
      <c r="B147" s="3" t="s">
        <v>360</v>
      </c>
      <c r="C147" s="3" t="s">
        <v>361</v>
      </c>
      <c r="D147">
        <v>47</v>
      </c>
      <c r="E147" s="6">
        <v>45928</v>
      </c>
      <c r="F147">
        <v>100</v>
      </c>
      <c r="G147">
        <v>0.2</v>
      </c>
      <c r="H147">
        <v>1.05</v>
      </c>
      <c r="I147" s="3" t="s">
        <v>8756</v>
      </c>
    </row>
    <row r="148" spans="1:10" x14ac:dyDescent="0.35">
      <c r="A148" s="3" t="s">
        <v>8853</v>
      </c>
      <c r="B148" s="3" t="s">
        <v>362</v>
      </c>
      <c r="C148" s="3" t="s">
        <v>363</v>
      </c>
      <c r="D148">
        <v>955</v>
      </c>
      <c r="E148" s="6">
        <v>45020</v>
      </c>
      <c r="F148">
        <v>0</v>
      </c>
      <c r="G148">
        <v>0</v>
      </c>
      <c r="H148">
        <v>0</v>
      </c>
      <c r="I148" s="3" t="s">
        <v>28</v>
      </c>
    </row>
    <row r="149" spans="1:10" x14ac:dyDescent="0.35">
      <c r="A149" s="3" t="s">
        <v>10639</v>
      </c>
      <c r="B149" s="3" t="s">
        <v>4139</v>
      </c>
      <c r="C149" s="3" t="s">
        <v>4140</v>
      </c>
      <c r="D149">
        <v>250</v>
      </c>
      <c r="E149" s="6">
        <v>45725</v>
      </c>
      <c r="F149">
        <v>50</v>
      </c>
      <c r="G149">
        <v>1.206</v>
      </c>
      <c r="H149">
        <v>0.59400000000000008</v>
      </c>
      <c r="I149" s="3" t="s">
        <v>8699</v>
      </c>
      <c r="J149" t="s">
        <v>11383</v>
      </c>
    </row>
    <row r="150" spans="1:10" x14ac:dyDescent="0.35">
      <c r="A150" s="3" t="s">
        <v>8855</v>
      </c>
      <c r="B150" s="3" t="s">
        <v>366</v>
      </c>
      <c r="C150" s="3" t="s">
        <v>367</v>
      </c>
      <c r="D150">
        <v>955</v>
      </c>
      <c r="E150" s="6">
        <v>45020</v>
      </c>
      <c r="F150">
        <v>0</v>
      </c>
      <c r="G150">
        <v>0</v>
      </c>
      <c r="H150">
        <v>0</v>
      </c>
      <c r="I150" s="3" t="s">
        <v>28</v>
      </c>
    </row>
    <row r="151" spans="1:10" x14ac:dyDescent="0.35">
      <c r="A151" s="3" t="s">
        <v>8856</v>
      </c>
      <c r="B151" s="3" t="s">
        <v>368</v>
      </c>
      <c r="C151" s="3" t="s">
        <v>369</v>
      </c>
      <c r="D151">
        <v>48</v>
      </c>
      <c r="E151" s="6">
        <v>45927</v>
      </c>
      <c r="F151">
        <v>100</v>
      </c>
      <c r="G151">
        <v>1.0350000000000001</v>
      </c>
      <c r="H151">
        <v>1.2650000000000001</v>
      </c>
      <c r="I151" s="3" t="s">
        <v>8756</v>
      </c>
    </row>
    <row r="152" spans="1:10" x14ac:dyDescent="0.35">
      <c r="A152" s="3" t="s">
        <v>8857</v>
      </c>
      <c r="B152" s="3" t="s">
        <v>370</v>
      </c>
      <c r="C152" s="3" t="s">
        <v>371</v>
      </c>
      <c r="D152">
        <v>58</v>
      </c>
      <c r="E152" s="6">
        <v>45917</v>
      </c>
      <c r="F152">
        <v>0</v>
      </c>
      <c r="G152">
        <v>10.14</v>
      </c>
      <c r="H152">
        <v>2.86</v>
      </c>
      <c r="I152" s="3" t="s">
        <v>8756</v>
      </c>
    </row>
    <row r="153" spans="1:10" x14ac:dyDescent="0.35">
      <c r="A153" s="3" t="s">
        <v>8858</v>
      </c>
      <c r="B153" s="3" t="s">
        <v>372</v>
      </c>
      <c r="C153" s="3" t="s">
        <v>373</v>
      </c>
      <c r="D153">
        <v>27</v>
      </c>
      <c r="E153" s="6">
        <v>45948</v>
      </c>
      <c r="F153">
        <v>0</v>
      </c>
      <c r="G153">
        <v>48.5</v>
      </c>
      <c r="H153">
        <v>1.5</v>
      </c>
      <c r="I153" s="3" t="s">
        <v>8701</v>
      </c>
    </row>
    <row r="154" spans="1:10" x14ac:dyDescent="0.35">
      <c r="A154" s="3" t="s">
        <v>8859</v>
      </c>
      <c r="B154" s="3" t="s">
        <v>374</v>
      </c>
      <c r="C154" s="3" t="s">
        <v>375</v>
      </c>
      <c r="D154">
        <v>55</v>
      </c>
      <c r="E154" s="6">
        <v>45920</v>
      </c>
      <c r="F154">
        <v>0</v>
      </c>
      <c r="G154">
        <v>139.20000000000002</v>
      </c>
      <c r="H154">
        <v>5.8</v>
      </c>
      <c r="I154" s="3" t="s">
        <v>8701</v>
      </c>
    </row>
    <row r="155" spans="1:10" x14ac:dyDescent="0.35">
      <c r="A155" s="3" t="s">
        <v>8860</v>
      </c>
      <c r="B155" s="3" t="s">
        <v>376</v>
      </c>
      <c r="C155" s="3" t="s">
        <v>377</v>
      </c>
      <c r="D155">
        <v>129</v>
      </c>
      <c r="E155" s="6">
        <v>45846</v>
      </c>
      <c r="F155">
        <v>0</v>
      </c>
      <c r="G155">
        <v>12</v>
      </c>
      <c r="H155">
        <v>8</v>
      </c>
      <c r="I155" s="3" t="s">
        <v>8701</v>
      </c>
    </row>
    <row r="156" spans="1:10" x14ac:dyDescent="0.35">
      <c r="A156" s="3" t="s">
        <v>9799</v>
      </c>
      <c r="B156" s="3" t="s">
        <v>2356</v>
      </c>
      <c r="C156" s="3" t="s">
        <v>2357</v>
      </c>
      <c r="D156">
        <v>253</v>
      </c>
      <c r="E156" s="6">
        <v>45722</v>
      </c>
      <c r="F156">
        <v>0</v>
      </c>
      <c r="G156">
        <v>16.920000000000002</v>
      </c>
      <c r="H156">
        <v>1.08</v>
      </c>
      <c r="I156" s="3" t="s">
        <v>8699</v>
      </c>
      <c r="J156" t="s">
        <v>11383</v>
      </c>
    </row>
    <row r="157" spans="1:10" x14ac:dyDescent="0.35">
      <c r="A157" s="3" t="s">
        <v>8862</v>
      </c>
      <c r="B157" s="3" t="s">
        <v>380</v>
      </c>
      <c r="C157" s="3" t="s">
        <v>381</v>
      </c>
      <c r="D157">
        <v>955</v>
      </c>
      <c r="E157" s="6">
        <v>45020</v>
      </c>
      <c r="F157">
        <v>0</v>
      </c>
      <c r="G157">
        <v>0</v>
      </c>
      <c r="H157">
        <v>0</v>
      </c>
      <c r="I157" s="3" t="s">
        <v>28</v>
      </c>
    </row>
    <row r="158" spans="1:10" x14ac:dyDescent="0.35">
      <c r="A158" s="3" t="s">
        <v>8863</v>
      </c>
      <c r="B158" s="3" t="s">
        <v>382</v>
      </c>
      <c r="C158" s="3" t="s">
        <v>383</v>
      </c>
      <c r="D158">
        <v>58</v>
      </c>
      <c r="E158" s="6">
        <v>45917</v>
      </c>
      <c r="F158">
        <v>0</v>
      </c>
      <c r="G158">
        <v>1.1520000000000001</v>
      </c>
      <c r="H158">
        <v>1.248</v>
      </c>
      <c r="I158" s="3" t="s">
        <v>8701</v>
      </c>
    </row>
    <row r="159" spans="1:10" x14ac:dyDescent="0.35">
      <c r="A159" s="3" t="s">
        <v>8864</v>
      </c>
      <c r="B159" s="3" t="s">
        <v>384</v>
      </c>
      <c r="C159" s="3" t="s">
        <v>385</v>
      </c>
      <c r="D159">
        <v>159</v>
      </c>
      <c r="E159" s="6">
        <v>45816</v>
      </c>
      <c r="F159">
        <v>100</v>
      </c>
      <c r="G159">
        <v>1.5</v>
      </c>
      <c r="H159">
        <v>1.5</v>
      </c>
      <c r="I159" s="3" t="s">
        <v>8756</v>
      </c>
    </row>
    <row r="160" spans="1:10" x14ac:dyDescent="0.35">
      <c r="A160" s="3" t="s">
        <v>8865</v>
      </c>
      <c r="B160" s="3" t="s">
        <v>386</v>
      </c>
      <c r="C160" s="3" t="s">
        <v>387</v>
      </c>
      <c r="D160">
        <v>220</v>
      </c>
      <c r="E160" s="6">
        <v>45755</v>
      </c>
      <c r="F160">
        <v>0</v>
      </c>
      <c r="G160">
        <v>3.4</v>
      </c>
      <c r="H160">
        <v>1.6</v>
      </c>
      <c r="I160" s="3" t="s">
        <v>8756</v>
      </c>
    </row>
    <row r="161" spans="1:10" x14ac:dyDescent="0.35">
      <c r="A161" s="3" t="s">
        <v>8866</v>
      </c>
      <c r="B161" s="3" t="s">
        <v>388</v>
      </c>
      <c r="C161" s="3" t="s">
        <v>389</v>
      </c>
      <c r="D161">
        <v>46</v>
      </c>
      <c r="E161" s="6">
        <v>45929</v>
      </c>
      <c r="F161">
        <v>0</v>
      </c>
      <c r="G161">
        <v>29.76</v>
      </c>
      <c r="H161">
        <v>2.2400000000000002</v>
      </c>
      <c r="I161" s="3" t="s">
        <v>8701</v>
      </c>
    </row>
    <row r="162" spans="1:10" x14ac:dyDescent="0.35">
      <c r="A162" s="3" t="s">
        <v>8867</v>
      </c>
      <c r="B162" s="3" t="s">
        <v>390</v>
      </c>
      <c r="C162" s="3" t="s">
        <v>391</v>
      </c>
      <c r="D162">
        <v>415</v>
      </c>
      <c r="E162" s="6">
        <v>45560</v>
      </c>
      <c r="F162">
        <v>0</v>
      </c>
      <c r="G162">
        <v>6.0000000000000001E-3</v>
      </c>
      <c r="H162">
        <v>0.10400000000000001</v>
      </c>
      <c r="I162" s="3" t="s">
        <v>8712</v>
      </c>
    </row>
    <row r="163" spans="1:10" x14ac:dyDescent="0.35">
      <c r="A163" s="3" t="s">
        <v>10641</v>
      </c>
      <c r="B163" s="3" t="s">
        <v>4143</v>
      </c>
      <c r="C163" s="3" t="s">
        <v>4144</v>
      </c>
      <c r="D163">
        <v>254</v>
      </c>
      <c r="E163" s="6">
        <v>45721</v>
      </c>
      <c r="F163">
        <v>0</v>
      </c>
      <c r="G163">
        <v>16.32</v>
      </c>
      <c r="H163">
        <v>0.68</v>
      </c>
      <c r="I163" s="3" t="s">
        <v>8699</v>
      </c>
      <c r="J163" t="s">
        <v>11383</v>
      </c>
    </row>
    <row r="164" spans="1:10" x14ac:dyDescent="0.35">
      <c r="A164" s="3" t="s">
        <v>9971</v>
      </c>
      <c r="B164" s="3" t="s">
        <v>2721</v>
      </c>
      <c r="C164" s="3" t="s">
        <v>2722</v>
      </c>
      <c r="D164">
        <v>262</v>
      </c>
      <c r="E164" s="6">
        <v>45713</v>
      </c>
      <c r="F164">
        <v>0</v>
      </c>
      <c r="G164">
        <v>58.800000000000004</v>
      </c>
      <c r="H164">
        <v>1.2</v>
      </c>
      <c r="I164" s="3" t="s">
        <v>8699</v>
      </c>
      <c r="J164" t="s">
        <v>11383</v>
      </c>
    </row>
    <row r="165" spans="1:10" x14ac:dyDescent="0.35">
      <c r="A165" s="3" t="s">
        <v>8851</v>
      </c>
      <c r="B165" s="3" t="s">
        <v>357</v>
      </c>
      <c r="C165" s="3" t="s">
        <v>358</v>
      </c>
      <c r="D165">
        <v>269</v>
      </c>
      <c r="E165" s="6">
        <v>45706</v>
      </c>
      <c r="F165">
        <v>0</v>
      </c>
      <c r="G165">
        <v>59.7</v>
      </c>
      <c r="H165">
        <v>0.3</v>
      </c>
      <c r="I165" s="3" t="s">
        <v>8699</v>
      </c>
      <c r="J165" t="s">
        <v>11383</v>
      </c>
    </row>
    <row r="166" spans="1:10" x14ac:dyDescent="0.35">
      <c r="A166" s="3" t="s">
        <v>8871</v>
      </c>
      <c r="B166" s="3" t="s">
        <v>398</v>
      </c>
      <c r="C166" s="3" t="s">
        <v>399</v>
      </c>
      <c r="D166">
        <v>100</v>
      </c>
      <c r="E166" s="6">
        <v>45875</v>
      </c>
      <c r="F166">
        <v>0</v>
      </c>
      <c r="G166">
        <v>0.6</v>
      </c>
      <c r="H166">
        <v>2.4</v>
      </c>
      <c r="I166" s="3" t="s">
        <v>8701</v>
      </c>
    </row>
    <row r="167" spans="1:10" x14ac:dyDescent="0.35">
      <c r="A167" s="3" t="s">
        <v>8872</v>
      </c>
      <c r="B167" s="3" t="s">
        <v>400</v>
      </c>
      <c r="C167" s="3" t="s">
        <v>401</v>
      </c>
      <c r="D167">
        <v>187</v>
      </c>
      <c r="E167" s="6">
        <v>45788</v>
      </c>
      <c r="F167">
        <v>0</v>
      </c>
      <c r="G167">
        <v>3.6</v>
      </c>
      <c r="H167">
        <v>0.4</v>
      </c>
      <c r="I167" s="3" t="s">
        <v>8701</v>
      </c>
    </row>
    <row r="168" spans="1:10" x14ac:dyDescent="0.35">
      <c r="A168" s="3" t="s">
        <v>8873</v>
      </c>
      <c r="B168" s="3" t="s">
        <v>402</v>
      </c>
      <c r="C168" s="3" t="s">
        <v>403</v>
      </c>
      <c r="D168">
        <v>93</v>
      </c>
      <c r="E168" s="6">
        <v>45882</v>
      </c>
      <c r="F168">
        <v>0</v>
      </c>
      <c r="G168">
        <v>13.200000000000001</v>
      </c>
      <c r="H168">
        <v>1.8</v>
      </c>
      <c r="I168" s="3" t="s">
        <v>8756</v>
      </c>
    </row>
    <row r="169" spans="1:10" x14ac:dyDescent="0.35">
      <c r="A169" s="3" t="s">
        <v>8874</v>
      </c>
      <c r="B169" s="3" t="s">
        <v>404</v>
      </c>
      <c r="C169" s="3" t="s">
        <v>405</v>
      </c>
      <c r="D169">
        <v>125</v>
      </c>
      <c r="E169" s="6">
        <v>45850</v>
      </c>
      <c r="F169">
        <v>100</v>
      </c>
      <c r="G169">
        <v>5.0620000000000003</v>
      </c>
      <c r="H169">
        <v>1.778</v>
      </c>
      <c r="I169" s="3" t="s">
        <v>8729</v>
      </c>
    </row>
    <row r="170" spans="1:10" x14ac:dyDescent="0.35">
      <c r="A170" s="3" t="s">
        <v>8875</v>
      </c>
      <c r="B170" s="3" t="s">
        <v>406</v>
      </c>
      <c r="C170" s="3" t="s">
        <v>407</v>
      </c>
      <c r="D170">
        <v>199</v>
      </c>
      <c r="E170" s="6">
        <v>45776</v>
      </c>
      <c r="F170">
        <v>140</v>
      </c>
      <c r="G170">
        <v>48</v>
      </c>
      <c r="H170">
        <v>2</v>
      </c>
      <c r="I170" s="3" t="s">
        <v>8703</v>
      </c>
    </row>
    <row r="171" spans="1:10" x14ac:dyDescent="0.35">
      <c r="A171" s="3" t="s">
        <v>9444</v>
      </c>
      <c r="B171" s="3" t="s">
        <v>1598</v>
      </c>
      <c r="C171" s="3" t="s">
        <v>1599</v>
      </c>
      <c r="D171">
        <v>269</v>
      </c>
      <c r="E171" s="6">
        <v>45706</v>
      </c>
      <c r="F171">
        <v>0</v>
      </c>
      <c r="G171">
        <v>0</v>
      </c>
      <c r="H171">
        <v>0</v>
      </c>
      <c r="I171" s="3" t="s">
        <v>8699</v>
      </c>
      <c r="J171" t="s">
        <v>11383</v>
      </c>
    </row>
    <row r="172" spans="1:10" x14ac:dyDescent="0.35">
      <c r="A172" s="3" t="s">
        <v>11295</v>
      </c>
      <c r="B172" s="3" t="s">
        <v>5527</v>
      </c>
      <c r="C172" s="3" t="s">
        <v>5528</v>
      </c>
      <c r="D172">
        <v>276</v>
      </c>
      <c r="E172" s="6">
        <v>45699</v>
      </c>
      <c r="F172">
        <v>0</v>
      </c>
      <c r="G172">
        <v>2.17</v>
      </c>
      <c r="H172">
        <v>0.93</v>
      </c>
      <c r="I172" s="3" t="s">
        <v>8699</v>
      </c>
      <c r="J172" t="s">
        <v>11383</v>
      </c>
    </row>
    <row r="173" spans="1:10" x14ac:dyDescent="0.35">
      <c r="A173" s="3" t="s">
        <v>8878</v>
      </c>
      <c r="B173" s="3" t="s">
        <v>412</v>
      </c>
      <c r="C173" s="3" t="s">
        <v>413</v>
      </c>
      <c r="D173">
        <v>322</v>
      </c>
      <c r="E173" s="6">
        <v>45653</v>
      </c>
      <c r="F173">
        <v>0</v>
      </c>
      <c r="G173">
        <v>0.01</v>
      </c>
      <c r="H173">
        <v>0.19</v>
      </c>
      <c r="I173" s="3" t="s">
        <v>8712</v>
      </c>
    </row>
    <row r="174" spans="1:10" x14ac:dyDescent="0.35">
      <c r="A174" s="3" t="s">
        <v>8879</v>
      </c>
      <c r="B174" s="3" t="s">
        <v>414</v>
      </c>
      <c r="C174" s="3" t="s">
        <v>415</v>
      </c>
      <c r="D174">
        <v>2019</v>
      </c>
      <c r="E174" s="6">
        <v>43956</v>
      </c>
      <c r="F174">
        <v>0</v>
      </c>
      <c r="G174">
        <v>6.0000000000000001E-3</v>
      </c>
      <c r="H174">
        <v>9.4E-2</v>
      </c>
      <c r="I174" s="3" t="s">
        <v>8712</v>
      </c>
    </row>
    <row r="175" spans="1:10" x14ac:dyDescent="0.35">
      <c r="A175" s="3" t="s">
        <v>8880</v>
      </c>
      <c r="B175" s="3" t="s">
        <v>416</v>
      </c>
      <c r="C175" s="3" t="s">
        <v>417</v>
      </c>
      <c r="D175">
        <v>48</v>
      </c>
      <c r="E175" s="6">
        <v>45927</v>
      </c>
      <c r="F175">
        <v>100</v>
      </c>
      <c r="G175">
        <v>4.1710000000000003</v>
      </c>
      <c r="H175">
        <v>0.129</v>
      </c>
      <c r="I175" s="3" t="s">
        <v>8701</v>
      </c>
    </row>
    <row r="176" spans="1:10" x14ac:dyDescent="0.35">
      <c r="A176" s="3" t="s">
        <v>10163</v>
      </c>
      <c r="B176" s="3" t="s">
        <v>3132</v>
      </c>
      <c r="C176" s="3" t="s">
        <v>3133</v>
      </c>
      <c r="D176">
        <v>277</v>
      </c>
      <c r="E176" s="6">
        <v>45698</v>
      </c>
      <c r="F176">
        <v>0</v>
      </c>
      <c r="G176">
        <v>6.93</v>
      </c>
      <c r="H176">
        <v>7.0000000000000007E-2</v>
      </c>
      <c r="I176" s="3" t="s">
        <v>8699</v>
      </c>
      <c r="J176" t="s">
        <v>11383</v>
      </c>
    </row>
    <row r="177" spans="1:10" x14ac:dyDescent="0.35">
      <c r="A177" s="3" t="s">
        <v>8882</v>
      </c>
      <c r="B177" s="3" t="s">
        <v>421</v>
      </c>
      <c r="C177" s="3" t="s">
        <v>422</v>
      </c>
      <c r="D177">
        <v>21</v>
      </c>
      <c r="E177" s="6">
        <v>45954</v>
      </c>
      <c r="F177">
        <v>0</v>
      </c>
      <c r="G177">
        <v>24.525000000000002</v>
      </c>
      <c r="H177">
        <v>0.47500000000000003</v>
      </c>
      <c r="I177" s="3" t="s">
        <v>8701</v>
      </c>
    </row>
    <row r="178" spans="1:10" x14ac:dyDescent="0.35">
      <c r="A178" s="3" t="s">
        <v>10512</v>
      </c>
      <c r="B178" s="3" t="s">
        <v>3873</v>
      </c>
      <c r="C178" s="3" t="s">
        <v>3874</v>
      </c>
      <c r="D178">
        <v>277</v>
      </c>
      <c r="E178" s="6">
        <v>45698</v>
      </c>
      <c r="F178">
        <v>0</v>
      </c>
      <c r="G178">
        <v>13.16</v>
      </c>
      <c r="H178">
        <v>0.84</v>
      </c>
      <c r="I178" s="3" t="s">
        <v>8699</v>
      </c>
      <c r="J178" t="s">
        <v>11383</v>
      </c>
    </row>
    <row r="179" spans="1:10" x14ac:dyDescent="0.35">
      <c r="A179" s="3" t="s">
        <v>8884</v>
      </c>
      <c r="B179" s="3" t="s">
        <v>426</v>
      </c>
      <c r="C179" s="3" t="s">
        <v>427</v>
      </c>
      <c r="D179">
        <v>78</v>
      </c>
      <c r="E179" s="6">
        <v>45897</v>
      </c>
      <c r="F179">
        <v>100</v>
      </c>
      <c r="G179">
        <v>31.04</v>
      </c>
      <c r="H179">
        <v>0.96</v>
      </c>
      <c r="I179" s="3" t="s">
        <v>8701</v>
      </c>
    </row>
    <row r="180" spans="1:10" x14ac:dyDescent="0.35">
      <c r="A180" s="3" t="s">
        <v>9652</v>
      </c>
      <c r="B180" s="3" t="s">
        <v>2044</v>
      </c>
      <c r="C180" s="3" t="s">
        <v>2045</v>
      </c>
      <c r="D180">
        <v>281</v>
      </c>
      <c r="E180" s="6">
        <v>45694</v>
      </c>
      <c r="F180">
        <v>0</v>
      </c>
      <c r="G180">
        <v>3.5100000000000002</v>
      </c>
      <c r="H180">
        <v>0.39</v>
      </c>
      <c r="I180" s="3" t="s">
        <v>8699</v>
      </c>
      <c r="J180" t="s">
        <v>11383</v>
      </c>
    </row>
    <row r="181" spans="1:10" x14ac:dyDescent="0.35">
      <c r="A181" s="3" t="s">
        <v>9974</v>
      </c>
      <c r="B181" s="3" t="s">
        <v>2727</v>
      </c>
      <c r="C181" s="3" t="s">
        <v>2728</v>
      </c>
      <c r="D181">
        <v>282</v>
      </c>
      <c r="E181" s="6">
        <v>45693</v>
      </c>
      <c r="F181">
        <v>0</v>
      </c>
      <c r="G181">
        <v>29.7</v>
      </c>
      <c r="H181">
        <v>0.3</v>
      </c>
      <c r="I181" s="3" t="s">
        <v>8699</v>
      </c>
      <c r="J181" t="s">
        <v>11383</v>
      </c>
    </row>
    <row r="182" spans="1:10" x14ac:dyDescent="0.35">
      <c r="A182" s="3" t="s">
        <v>10665</v>
      </c>
      <c r="B182" s="3" t="s">
        <v>4191</v>
      </c>
      <c r="C182" s="3" t="s">
        <v>4192</v>
      </c>
      <c r="D182">
        <v>290</v>
      </c>
      <c r="E182" s="6">
        <v>45685</v>
      </c>
      <c r="F182">
        <v>0</v>
      </c>
      <c r="G182">
        <v>11.979000000000001</v>
      </c>
      <c r="H182">
        <v>0.12100000000000001</v>
      </c>
      <c r="I182" s="3" t="s">
        <v>8699</v>
      </c>
      <c r="J182" t="s">
        <v>11383</v>
      </c>
    </row>
    <row r="183" spans="1:10" x14ac:dyDescent="0.35">
      <c r="A183" s="3" t="s">
        <v>11105</v>
      </c>
      <c r="B183" s="3" t="s">
        <v>5125</v>
      </c>
      <c r="C183" s="3" t="s">
        <v>5126</v>
      </c>
      <c r="D183">
        <v>290</v>
      </c>
      <c r="E183" s="6">
        <v>45685</v>
      </c>
      <c r="F183">
        <v>0</v>
      </c>
      <c r="G183">
        <v>2.85</v>
      </c>
      <c r="H183">
        <v>0.15</v>
      </c>
      <c r="I183" s="3" t="s">
        <v>8699</v>
      </c>
      <c r="J183" t="s">
        <v>11383</v>
      </c>
    </row>
    <row r="184" spans="1:10" x14ac:dyDescent="0.35">
      <c r="A184" s="3" t="s">
        <v>8889</v>
      </c>
      <c r="B184" s="3" t="s">
        <v>437</v>
      </c>
      <c r="C184" s="3" t="s">
        <v>438</v>
      </c>
      <c r="D184">
        <v>78</v>
      </c>
      <c r="E184" s="6">
        <v>45897</v>
      </c>
      <c r="F184">
        <v>100</v>
      </c>
      <c r="G184">
        <v>13.49</v>
      </c>
      <c r="H184">
        <v>0.71</v>
      </c>
      <c r="I184" s="3" t="s">
        <v>8701</v>
      </c>
    </row>
    <row r="185" spans="1:10" x14ac:dyDescent="0.35">
      <c r="A185" s="3" t="s">
        <v>9235</v>
      </c>
      <c r="B185" s="3" t="s">
        <v>1164</v>
      </c>
      <c r="C185" s="3" t="s">
        <v>1165</v>
      </c>
      <c r="D185">
        <v>291</v>
      </c>
      <c r="E185" s="6">
        <v>45684</v>
      </c>
      <c r="F185">
        <v>0</v>
      </c>
      <c r="G185">
        <v>3.5</v>
      </c>
      <c r="H185">
        <v>1.5</v>
      </c>
      <c r="I185" s="3" t="s">
        <v>8699</v>
      </c>
      <c r="J185" t="s">
        <v>11383</v>
      </c>
    </row>
    <row r="186" spans="1:10" x14ac:dyDescent="0.35">
      <c r="A186" s="3" t="s">
        <v>8748</v>
      </c>
      <c r="B186" s="3" t="s">
        <v>127</v>
      </c>
      <c r="C186" s="3" t="s">
        <v>128</v>
      </c>
      <c r="D186">
        <v>294</v>
      </c>
      <c r="E186" s="6">
        <v>45681</v>
      </c>
      <c r="F186">
        <v>0</v>
      </c>
      <c r="G186">
        <v>6.0750000000000002</v>
      </c>
      <c r="H186">
        <v>1.425</v>
      </c>
      <c r="I186" s="3" t="s">
        <v>8699</v>
      </c>
      <c r="J186" t="s">
        <v>11383</v>
      </c>
    </row>
    <row r="187" spans="1:10" x14ac:dyDescent="0.35">
      <c r="A187" s="3" t="s">
        <v>8892</v>
      </c>
      <c r="B187" s="3" t="s">
        <v>443</v>
      </c>
      <c r="C187" s="3" t="s">
        <v>444</v>
      </c>
      <c r="D187">
        <v>80</v>
      </c>
      <c r="E187" s="6">
        <v>45895</v>
      </c>
      <c r="F187">
        <v>0</v>
      </c>
      <c r="G187">
        <v>0.375</v>
      </c>
      <c r="H187">
        <v>1.125</v>
      </c>
      <c r="I187" s="3" t="s">
        <v>8701</v>
      </c>
    </row>
    <row r="188" spans="1:10" x14ac:dyDescent="0.35">
      <c r="A188" s="3" t="s">
        <v>8893</v>
      </c>
      <c r="B188" s="3" t="s">
        <v>445</v>
      </c>
      <c r="C188" s="3" t="s">
        <v>446</v>
      </c>
      <c r="D188">
        <v>46</v>
      </c>
      <c r="E188" s="6">
        <v>45929</v>
      </c>
      <c r="F188">
        <v>0</v>
      </c>
      <c r="G188">
        <v>8.1</v>
      </c>
      <c r="H188">
        <v>1.9000000000000001</v>
      </c>
      <c r="I188" s="3" t="s">
        <v>8701</v>
      </c>
    </row>
    <row r="189" spans="1:10" x14ac:dyDescent="0.35">
      <c r="A189" s="3" t="s">
        <v>8894</v>
      </c>
      <c r="B189" s="3" t="s">
        <v>447</v>
      </c>
      <c r="C189" s="3" t="s">
        <v>448</v>
      </c>
      <c r="D189">
        <v>955</v>
      </c>
      <c r="E189" s="6">
        <v>45020</v>
      </c>
      <c r="F189">
        <v>0</v>
      </c>
      <c r="G189">
        <v>0</v>
      </c>
      <c r="H189">
        <v>0</v>
      </c>
      <c r="I189" s="3" t="s">
        <v>28</v>
      </c>
    </row>
    <row r="190" spans="1:10" x14ac:dyDescent="0.35">
      <c r="A190" s="3" t="s">
        <v>8895</v>
      </c>
      <c r="B190" s="3" t="s">
        <v>449</v>
      </c>
      <c r="C190" s="3" t="s">
        <v>450</v>
      </c>
      <c r="D190">
        <v>53</v>
      </c>
      <c r="E190" s="6">
        <v>45922</v>
      </c>
      <c r="F190">
        <v>0</v>
      </c>
      <c r="G190">
        <v>20.93</v>
      </c>
      <c r="H190">
        <v>2.0699999999999998</v>
      </c>
      <c r="I190" s="3" t="s">
        <v>8701</v>
      </c>
    </row>
    <row r="191" spans="1:10" x14ac:dyDescent="0.35">
      <c r="A191" s="3" t="s">
        <v>9499</v>
      </c>
      <c r="B191" s="3" t="s">
        <v>1710</v>
      </c>
      <c r="C191" s="3" t="s">
        <v>1711</v>
      </c>
      <c r="D191">
        <v>294</v>
      </c>
      <c r="E191" s="6">
        <v>45681</v>
      </c>
      <c r="F191">
        <v>50</v>
      </c>
      <c r="G191">
        <v>19.740000000000002</v>
      </c>
      <c r="H191">
        <v>1.26</v>
      </c>
      <c r="I191" s="3" t="s">
        <v>8699</v>
      </c>
      <c r="J191" t="s">
        <v>11383</v>
      </c>
    </row>
    <row r="192" spans="1:10" x14ac:dyDescent="0.35">
      <c r="A192" s="3" t="s">
        <v>9623</v>
      </c>
      <c r="B192" s="3" t="s">
        <v>1977</v>
      </c>
      <c r="C192" s="3" t="s">
        <v>1978</v>
      </c>
      <c r="D192">
        <v>294</v>
      </c>
      <c r="E192" s="6">
        <v>45681</v>
      </c>
      <c r="F192">
        <v>0</v>
      </c>
      <c r="G192">
        <v>40.572000000000003</v>
      </c>
      <c r="H192">
        <v>0.82800000000000007</v>
      </c>
      <c r="I192" s="3" t="s">
        <v>8699</v>
      </c>
      <c r="J192" t="s">
        <v>11383</v>
      </c>
    </row>
    <row r="193" spans="1:10" x14ac:dyDescent="0.35">
      <c r="A193" s="3" t="s">
        <v>8898</v>
      </c>
      <c r="B193" s="3" t="s">
        <v>455</v>
      </c>
      <c r="C193" s="3" t="s">
        <v>456</v>
      </c>
      <c r="D193">
        <v>171</v>
      </c>
      <c r="E193" s="6">
        <v>45804</v>
      </c>
      <c r="F193">
        <v>60</v>
      </c>
      <c r="G193">
        <v>1.08</v>
      </c>
      <c r="H193">
        <v>0.92</v>
      </c>
      <c r="I193" s="3" t="s">
        <v>8756</v>
      </c>
    </row>
    <row r="194" spans="1:10" x14ac:dyDescent="0.35">
      <c r="A194" s="3" t="s">
        <v>8899</v>
      </c>
      <c r="B194" s="3" t="s">
        <v>457</v>
      </c>
      <c r="C194" s="3" t="s">
        <v>458</v>
      </c>
      <c r="D194">
        <v>50</v>
      </c>
      <c r="E194" s="6">
        <v>45925</v>
      </c>
      <c r="F194">
        <v>0</v>
      </c>
      <c r="G194">
        <v>0.40500000000000003</v>
      </c>
      <c r="H194">
        <v>9.5000000000000001E-2</v>
      </c>
      <c r="I194" s="3" t="s">
        <v>8701</v>
      </c>
    </row>
    <row r="195" spans="1:10" x14ac:dyDescent="0.35">
      <c r="A195" s="3" t="s">
        <v>8900</v>
      </c>
      <c r="B195" s="3" t="s">
        <v>459</v>
      </c>
      <c r="C195" s="3" t="s">
        <v>460</v>
      </c>
      <c r="D195">
        <v>109</v>
      </c>
      <c r="E195" s="6">
        <v>45866</v>
      </c>
      <c r="F195">
        <v>100</v>
      </c>
      <c r="G195">
        <v>21.082000000000001</v>
      </c>
      <c r="H195">
        <v>4.3180000000000005</v>
      </c>
      <c r="I195" s="3" t="s">
        <v>8729</v>
      </c>
    </row>
    <row r="196" spans="1:10" x14ac:dyDescent="0.35">
      <c r="A196" s="3" t="s">
        <v>8901</v>
      </c>
      <c r="B196" s="3" t="s">
        <v>461</v>
      </c>
      <c r="C196" s="3" t="s">
        <v>462</v>
      </c>
      <c r="D196">
        <v>130</v>
      </c>
      <c r="E196" s="6">
        <v>45845</v>
      </c>
      <c r="F196">
        <v>0</v>
      </c>
      <c r="G196">
        <v>1E-3</v>
      </c>
      <c r="H196">
        <v>2.9000000000000001E-2</v>
      </c>
      <c r="I196" s="3" t="s">
        <v>8712</v>
      </c>
    </row>
    <row r="197" spans="1:10" x14ac:dyDescent="0.35">
      <c r="A197" s="3" t="s">
        <v>8902</v>
      </c>
      <c r="B197" s="3" t="s">
        <v>463</v>
      </c>
      <c r="C197" s="3" t="s">
        <v>464</v>
      </c>
      <c r="D197">
        <v>22</v>
      </c>
      <c r="E197" s="6">
        <v>45953</v>
      </c>
      <c r="F197">
        <v>1900</v>
      </c>
      <c r="G197">
        <v>5.46</v>
      </c>
      <c r="H197">
        <v>0.54</v>
      </c>
      <c r="I197" s="3" t="s">
        <v>8705</v>
      </c>
    </row>
    <row r="198" spans="1:10" x14ac:dyDescent="0.35">
      <c r="A198" s="3" t="s">
        <v>8903</v>
      </c>
      <c r="B198" s="3" t="s">
        <v>465</v>
      </c>
      <c r="C198" s="3" t="s">
        <v>466</v>
      </c>
      <c r="D198">
        <v>23</v>
      </c>
      <c r="E198" s="6">
        <v>45952</v>
      </c>
      <c r="F198">
        <v>0</v>
      </c>
      <c r="G198">
        <v>2.7450000000000001</v>
      </c>
      <c r="H198">
        <v>0.255</v>
      </c>
      <c r="I198" s="3" t="s">
        <v>8701</v>
      </c>
    </row>
    <row r="199" spans="1:10" x14ac:dyDescent="0.35">
      <c r="A199" s="3" t="s">
        <v>8904</v>
      </c>
      <c r="B199" s="3" t="s">
        <v>467</v>
      </c>
      <c r="C199" s="3" t="s">
        <v>468</v>
      </c>
      <c r="D199">
        <v>62</v>
      </c>
      <c r="E199" s="6">
        <v>45913</v>
      </c>
      <c r="F199">
        <v>0</v>
      </c>
      <c r="G199">
        <v>10.8</v>
      </c>
      <c r="H199">
        <v>4.2</v>
      </c>
      <c r="I199" s="3" t="s">
        <v>8701</v>
      </c>
    </row>
    <row r="200" spans="1:10" x14ac:dyDescent="0.35">
      <c r="A200" s="3" t="s">
        <v>9624</v>
      </c>
      <c r="B200" s="3" t="s">
        <v>1979</v>
      </c>
      <c r="C200" s="3" t="s">
        <v>1980</v>
      </c>
      <c r="D200">
        <v>294</v>
      </c>
      <c r="E200" s="6">
        <v>45681</v>
      </c>
      <c r="F200">
        <v>50</v>
      </c>
      <c r="G200">
        <v>14.700000000000001</v>
      </c>
      <c r="H200">
        <v>0.3</v>
      </c>
      <c r="I200" s="3" t="s">
        <v>8699</v>
      </c>
      <c r="J200" t="s">
        <v>11383</v>
      </c>
    </row>
    <row r="201" spans="1:10" x14ac:dyDescent="0.35">
      <c r="A201" s="3" t="s">
        <v>8906</v>
      </c>
      <c r="B201" s="3" t="s">
        <v>472</v>
      </c>
      <c r="C201" s="3" t="s">
        <v>473</v>
      </c>
      <c r="D201">
        <v>77</v>
      </c>
      <c r="E201" s="6">
        <v>45898</v>
      </c>
      <c r="F201">
        <v>100</v>
      </c>
      <c r="G201">
        <v>11.96</v>
      </c>
      <c r="H201">
        <v>1.04</v>
      </c>
      <c r="I201" s="3" t="s">
        <v>8701</v>
      </c>
    </row>
    <row r="202" spans="1:10" x14ac:dyDescent="0.35">
      <c r="A202" s="3" t="s">
        <v>8907</v>
      </c>
      <c r="B202" s="3" t="s">
        <v>474</v>
      </c>
      <c r="C202" s="3" t="s">
        <v>475</v>
      </c>
      <c r="D202">
        <v>77</v>
      </c>
      <c r="E202" s="6">
        <v>45898</v>
      </c>
      <c r="F202">
        <v>100</v>
      </c>
      <c r="G202">
        <v>71.905000000000001</v>
      </c>
      <c r="H202">
        <v>1.095</v>
      </c>
      <c r="I202" s="3" t="s">
        <v>8701</v>
      </c>
    </row>
    <row r="203" spans="1:10" x14ac:dyDescent="0.35">
      <c r="A203" s="3" t="s">
        <v>8908</v>
      </c>
      <c r="B203" s="3" t="s">
        <v>476</v>
      </c>
      <c r="C203" s="3" t="s">
        <v>477</v>
      </c>
      <c r="D203">
        <v>49</v>
      </c>
      <c r="E203" s="6">
        <v>45926</v>
      </c>
      <c r="F203">
        <v>0</v>
      </c>
      <c r="G203">
        <v>0.64600000000000002</v>
      </c>
      <c r="H203">
        <v>1.054</v>
      </c>
      <c r="I203" s="3" t="s">
        <v>8756</v>
      </c>
    </row>
    <row r="204" spans="1:10" x14ac:dyDescent="0.35">
      <c r="A204" s="3" t="s">
        <v>8909</v>
      </c>
      <c r="B204" s="3" t="s">
        <v>478</v>
      </c>
      <c r="C204" s="3" t="s">
        <v>479</v>
      </c>
      <c r="D204">
        <v>24</v>
      </c>
      <c r="E204" s="6">
        <v>45951</v>
      </c>
      <c r="F204">
        <v>0</v>
      </c>
      <c r="G204">
        <v>25.92</v>
      </c>
      <c r="H204">
        <v>1.08</v>
      </c>
      <c r="I204" s="3" t="s">
        <v>8701</v>
      </c>
    </row>
    <row r="205" spans="1:10" x14ac:dyDescent="0.35">
      <c r="A205" s="3" t="s">
        <v>8910</v>
      </c>
      <c r="B205" s="3" t="s">
        <v>480</v>
      </c>
      <c r="C205" s="3" t="s">
        <v>481</v>
      </c>
      <c r="D205">
        <v>49</v>
      </c>
      <c r="E205" s="6">
        <v>45926</v>
      </c>
      <c r="F205">
        <v>0</v>
      </c>
      <c r="G205">
        <v>0.2</v>
      </c>
      <c r="H205">
        <v>1.8</v>
      </c>
      <c r="I205" s="3" t="s">
        <v>8701</v>
      </c>
    </row>
    <row r="206" spans="1:10" x14ac:dyDescent="0.35">
      <c r="A206" s="3" t="s">
        <v>10222</v>
      </c>
      <c r="B206" s="3" t="s">
        <v>3252</v>
      </c>
      <c r="C206" s="3" t="s">
        <v>3253</v>
      </c>
      <c r="D206">
        <v>294</v>
      </c>
      <c r="E206" s="6">
        <v>45681</v>
      </c>
      <c r="F206">
        <v>0</v>
      </c>
      <c r="G206">
        <v>27.580000000000002</v>
      </c>
      <c r="H206">
        <v>0.42</v>
      </c>
      <c r="I206" s="3" t="s">
        <v>8699</v>
      </c>
      <c r="J206" t="s">
        <v>11383</v>
      </c>
    </row>
    <row r="207" spans="1:10" x14ac:dyDescent="0.35">
      <c r="A207" s="3" t="s">
        <v>8912</v>
      </c>
      <c r="B207" s="3" t="s">
        <v>484</v>
      </c>
      <c r="C207" s="3" t="s">
        <v>485</v>
      </c>
      <c r="D207">
        <v>129</v>
      </c>
      <c r="E207" s="6">
        <v>45846</v>
      </c>
      <c r="F207">
        <v>100</v>
      </c>
      <c r="G207">
        <v>5.6420000000000003</v>
      </c>
      <c r="H207">
        <v>0.55800000000000005</v>
      </c>
      <c r="I207" s="3" t="s">
        <v>8701</v>
      </c>
    </row>
    <row r="208" spans="1:10" x14ac:dyDescent="0.35">
      <c r="A208" s="3" t="s">
        <v>8913</v>
      </c>
      <c r="B208" s="3" t="s">
        <v>486</v>
      </c>
      <c r="C208" s="3" t="s">
        <v>487</v>
      </c>
      <c r="D208">
        <v>129</v>
      </c>
      <c r="E208" s="6">
        <v>45846</v>
      </c>
      <c r="F208">
        <v>100</v>
      </c>
      <c r="G208">
        <v>58.800000000000004</v>
      </c>
      <c r="H208">
        <v>1.2</v>
      </c>
      <c r="I208" s="3" t="s">
        <v>8701</v>
      </c>
    </row>
    <row r="209" spans="1:10" x14ac:dyDescent="0.35">
      <c r="A209" s="3" t="s">
        <v>8914</v>
      </c>
      <c r="B209" s="3" t="s">
        <v>488</v>
      </c>
      <c r="C209" s="3" t="s">
        <v>489</v>
      </c>
      <c r="D209">
        <v>108</v>
      </c>
      <c r="E209" s="6">
        <v>45867</v>
      </c>
      <c r="F209">
        <v>100</v>
      </c>
      <c r="G209">
        <v>18.62</v>
      </c>
      <c r="H209">
        <v>0.38</v>
      </c>
      <c r="I209" s="3" t="s">
        <v>8915</v>
      </c>
    </row>
    <row r="210" spans="1:10" x14ac:dyDescent="0.35">
      <c r="A210" s="3" t="s">
        <v>8916</v>
      </c>
      <c r="B210" s="3" t="s">
        <v>490</v>
      </c>
      <c r="C210" s="3" t="s">
        <v>491</v>
      </c>
      <c r="D210">
        <v>214</v>
      </c>
      <c r="E210" s="6">
        <v>45761</v>
      </c>
      <c r="F210">
        <v>0</v>
      </c>
      <c r="G210">
        <v>34.103999999999999</v>
      </c>
      <c r="H210">
        <v>0.69600000000000006</v>
      </c>
      <c r="I210" s="3" t="s">
        <v>8701</v>
      </c>
    </row>
    <row r="211" spans="1:10" x14ac:dyDescent="0.35">
      <c r="A211" s="3" t="s">
        <v>10448</v>
      </c>
      <c r="B211" s="3" t="s">
        <v>3736</v>
      </c>
      <c r="C211" s="3" t="s">
        <v>3737</v>
      </c>
      <c r="D211">
        <v>294</v>
      </c>
      <c r="E211" s="6">
        <v>45681</v>
      </c>
      <c r="F211">
        <v>0</v>
      </c>
      <c r="G211">
        <v>33.271000000000001</v>
      </c>
      <c r="H211">
        <v>1.0290000000000001</v>
      </c>
      <c r="I211" s="3" t="s">
        <v>8699</v>
      </c>
      <c r="J211" t="s">
        <v>11383</v>
      </c>
    </row>
    <row r="212" spans="1:10" x14ac:dyDescent="0.35">
      <c r="A212" s="3" t="s">
        <v>8918</v>
      </c>
      <c r="B212" s="3" t="s">
        <v>494</v>
      </c>
      <c r="C212" s="3" t="s">
        <v>495</v>
      </c>
      <c r="D212">
        <v>54</v>
      </c>
      <c r="E212" s="6">
        <v>45921</v>
      </c>
      <c r="F212">
        <v>0</v>
      </c>
      <c r="G212">
        <v>7.04</v>
      </c>
      <c r="H212">
        <v>1.76</v>
      </c>
      <c r="I212" s="3" t="s">
        <v>8701</v>
      </c>
    </row>
    <row r="213" spans="1:10" x14ac:dyDescent="0.35">
      <c r="A213" s="3" t="s">
        <v>8919</v>
      </c>
      <c r="B213" s="3" t="s">
        <v>496</v>
      </c>
      <c r="C213" s="3" t="s">
        <v>497</v>
      </c>
      <c r="D213">
        <v>91</v>
      </c>
      <c r="E213" s="6">
        <v>45884</v>
      </c>
      <c r="F213">
        <v>0</v>
      </c>
      <c r="G213">
        <v>1.07</v>
      </c>
      <c r="H213">
        <v>4.28</v>
      </c>
      <c r="I213" s="3" t="s">
        <v>8756</v>
      </c>
    </row>
    <row r="214" spans="1:10" x14ac:dyDescent="0.35">
      <c r="A214" s="3" t="s">
        <v>10454</v>
      </c>
      <c r="B214" s="3" t="s">
        <v>3750</v>
      </c>
      <c r="C214" s="3" t="s">
        <v>3751</v>
      </c>
      <c r="D214">
        <v>294</v>
      </c>
      <c r="E214" s="6">
        <v>45681</v>
      </c>
      <c r="F214">
        <v>0</v>
      </c>
      <c r="G214">
        <v>28.5</v>
      </c>
      <c r="H214">
        <v>1.5</v>
      </c>
      <c r="I214" s="3" t="s">
        <v>8699</v>
      </c>
      <c r="J214" t="s">
        <v>11383</v>
      </c>
    </row>
    <row r="215" spans="1:10" x14ac:dyDescent="0.35">
      <c r="A215" s="3" t="s">
        <v>10949</v>
      </c>
      <c r="B215" s="3" t="s">
        <v>4791</v>
      </c>
      <c r="C215" s="3" t="s">
        <v>4792</v>
      </c>
      <c r="D215">
        <v>294</v>
      </c>
      <c r="E215" s="6">
        <v>45681</v>
      </c>
      <c r="F215">
        <v>0</v>
      </c>
      <c r="G215">
        <v>6.3360000000000003</v>
      </c>
      <c r="H215">
        <v>0.86399999999999999</v>
      </c>
      <c r="I215" s="3" t="s">
        <v>8699</v>
      </c>
      <c r="J215" t="s">
        <v>11383</v>
      </c>
    </row>
    <row r="216" spans="1:10" x14ac:dyDescent="0.35">
      <c r="A216" s="3" t="s">
        <v>8927</v>
      </c>
      <c r="B216" s="3" t="s">
        <v>513</v>
      </c>
      <c r="C216" s="3" t="s">
        <v>514</v>
      </c>
      <c r="D216">
        <v>296</v>
      </c>
      <c r="E216" s="6">
        <v>45679</v>
      </c>
      <c r="F216">
        <v>0</v>
      </c>
      <c r="G216">
        <v>0</v>
      </c>
      <c r="H216">
        <v>0</v>
      </c>
      <c r="I216" s="3" t="s">
        <v>8699</v>
      </c>
      <c r="J216" t="s">
        <v>11383</v>
      </c>
    </row>
    <row r="217" spans="1:10" x14ac:dyDescent="0.35">
      <c r="A217" s="3" t="s">
        <v>8923</v>
      </c>
      <c r="B217" s="3" t="s">
        <v>504</v>
      </c>
      <c r="C217" s="3" t="s">
        <v>505</v>
      </c>
      <c r="D217">
        <v>29</v>
      </c>
      <c r="E217" s="6">
        <v>45946</v>
      </c>
      <c r="F217">
        <v>0</v>
      </c>
      <c r="G217">
        <v>4.2</v>
      </c>
      <c r="H217">
        <v>1.8</v>
      </c>
      <c r="I217" s="3" t="s">
        <v>8756</v>
      </c>
    </row>
    <row r="218" spans="1:10" x14ac:dyDescent="0.35">
      <c r="A218" s="3" t="s">
        <v>8924</v>
      </c>
      <c r="B218" s="3" t="s">
        <v>506</v>
      </c>
      <c r="C218" s="3" t="s">
        <v>507</v>
      </c>
      <c r="D218">
        <v>21</v>
      </c>
      <c r="E218" s="6">
        <v>45954</v>
      </c>
      <c r="F218">
        <v>0</v>
      </c>
      <c r="G218">
        <v>46.02</v>
      </c>
      <c r="H218">
        <v>5.98</v>
      </c>
      <c r="I218" s="3" t="s">
        <v>8701</v>
      </c>
    </row>
    <row r="219" spans="1:10" x14ac:dyDescent="0.35">
      <c r="A219" s="3" t="s">
        <v>10715</v>
      </c>
      <c r="B219" s="3" t="s">
        <v>4301</v>
      </c>
      <c r="C219" s="3" t="s">
        <v>4302</v>
      </c>
      <c r="D219">
        <v>296</v>
      </c>
      <c r="E219" s="6">
        <v>45679</v>
      </c>
      <c r="F219">
        <v>0</v>
      </c>
      <c r="G219">
        <v>0</v>
      </c>
      <c r="H219">
        <v>0</v>
      </c>
      <c r="I219" s="3" t="s">
        <v>8699</v>
      </c>
      <c r="J219" t="s">
        <v>11383</v>
      </c>
    </row>
    <row r="220" spans="1:10" x14ac:dyDescent="0.35">
      <c r="A220" s="3" t="s">
        <v>8951</v>
      </c>
      <c r="B220" s="3" t="s">
        <v>564</v>
      </c>
      <c r="C220" s="3" t="s">
        <v>565</v>
      </c>
      <c r="D220">
        <v>298</v>
      </c>
      <c r="E220" s="6">
        <v>45677</v>
      </c>
      <c r="F220">
        <v>0</v>
      </c>
      <c r="G220">
        <v>2.87</v>
      </c>
      <c r="H220">
        <v>1.23</v>
      </c>
      <c r="I220" s="3" t="s">
        <v>8699</v>
      </c>
      <c r="J220" t="s">
        <v>11383</v>
      </c>
    </row>
    <row r="221" spans="1:10" x14ac:dyDescent="0.35">
      <c r="A221" s="3" t="s">
        <v>10090</v>
      </c>
      <c r="B221" s="3" t="s">
        <v>2977</v>
      </c>
      <c r="C221" s="3" t="s">
        <v>2978</v>
      </c>
      <c r="D221">
        <v>304</v>
      </c>
      <c r="E221" s="6">
        <v>45671</v>
      </c>
      <c r="F221">
        <v>0</v>
      </c>
      <c r="G221">
        <v>20.68</v>
      </c>
      <c r="H221">
        <v>1.32</v>
      </c>
      <c r="I221" s="3" t="s">
        <v>8699</v>
      </c>
      <c r="J221" t="s">
        <v>11383</v>
      </c>
    </row>
    <row r="222" spans="1:10" x14ac:dyDescent="0.35">
      <c r="A222" s="3" t="s">
        <v>8928</v>
      </c>
      <c r="B222" s="3" t="s">
        <v>515</v>
      </c>
      <c r="C222" s="3" t="s">
        <v>516</v>
      </c>
      <c r="D222">
        <v>2038</v>
      </c>
      <c r="E222" s="6">
        <v>43937</v>
      </c>
      <c r="F222">
        <v>0</v>
      </c>
      <c r="G222">
        <v>1.2E-2</v>
      </c>
      <c r="H222">
        <v>0.188</v>
      </c>
      <c r="I222" s="3" t="s">
        <v>8712</v>
      </c>
    </row>
    <row r="223" spans="1:10" x14ac:dyDescent="0.35">
      <c r="A223" s="3" t="s">
        <v>8929</v>
      </c>
      <c r="B223" s="3" t="s">
        <v>517</v>
      </c>
      <c r="C223" s="3" t="s">
        <v>518</v>
      </c>
      <c r="D223">
        <v>7150</v>
      </c>
      <c r="E223" s="6">
        <v>38825</v>
      </c>
      <c r="F223">
        <v>0</v>
      </c>
      <c r="G223">
        <v>0</v>
      </c>
      <c r="H223">
        <v>0</v>
      </c>
      <c r="I223" s="3" t="s">
        <v>28</v>
      </c>
    </row>
    <row r="224" spans="1:10" x14ac:dyDescent="0.35">
      <c r="A224" s="3" t="s">
        <v>9675</v>
      </c>
      <c r="B224" s="3" t="s">
        <v>2090</v>
      </c>
      <c r="C224" s="3" t="s">
        <v>2091</v>
      </c>
      <c r="D224">
        <v>305</v>
      </c>
      <c r="E224" s="6">
        <v>45670</v>
      </c>
      <c r="F224">
        <v>0</v>
      </c>
      <c r="G224">
        <v>1.56</v>
      </c>
      <c r="H224">
        <v>3.64</v>
      </c>
      <c r="I224" s="3" t="s">
        <v>8699</v>
      </c>
      <c r="J224" t="s">
        <v>11383</v>
      </c>
    </row>
    <row r="225" spans="1:10" x14ac:dyDescent="0.35">
      <c r="A225" s="3" t="s">
        <v>9870</v>
      </c>
      <c r="B225" s="3" t="s">
        <v>2503</v>
      </c>
      <c r="C225" s="3" t="s">
        <v>2504</v>
      </c>
      <c r="D225">
        <v>311</v>
      </c>
      <c r="E225" s="6">
        <v>45664</v>
      </c>
      <c r="F225">
        <v>0</v>
      </c>
      <c r="G225">
        <v>11.4</v>
      </c>
      <c r="H225">
        <v>0.6</v>
      </c>
      <c r="I225" s="3" t="s">
        <v>8699</v>
      </c>
      <c r="J225" t="s">
        <v>11383</v>
      </c>
    </row>
    <row r="226" spans="1:10" x14ac:dyDescent="0.35">
      <c r="A226" s="3" t="s">
        <v>10537</v>
      </c>
      <c r="B226" s="3" t="s">
        <v>3927</v>
      </c>
      <c r="C226" s="3" t="s">
        <v>3928</v>
      </c>
      <c r="D226">
        <v>317</v>
      </c>
      <c r="E226" s="6">
        <v>45658</v>
      </c>
      <c r="F226">
        <v>100</v>
      </c>
      <c r="G226">
        <v>1.54</v>
      </c>
      <c r="H226">
        <v>0.66</v>
      </c>
      <c r="I226" s="3" t="s">
        <v>8699</v>
      </c>
      <c r="J226" t="s">
        <v>11383</v>
      </c>
    </row>
    <row r="227" spans="1:10" x14ac:dyDescent="0.35">
      <c r="A227" s="3" t="s">
        <v>8933</v>
      </c>
      <c r="B227" s="3" t="s">
        <v>525</v>
      </c>
      <c r="C227" s="3" t="s">
        <v>526</v>
      </c>
      <c r="D227">
        <v>90</v>
      </c>
      <c r="E227" s="6">
        <v>45885</v>
      </c>
      <c r="F227">
        <v>90</v>
      </c>
      <c r="G227">
        <v>13.68</v>
      </c>
      <c r="H227">
        <v>1.52</v>
      </c>
      <c r="I227" s="3" t="s">
        <v>8756</v>
      </c>
    </row>
    <row r="228" spans="1:10" x14ac:dyDescent="0.35">
      <c r="A228" s="3" t="s">
        <v>11299</v>
      </c>
      <c r="B228" s="3" t="s">
        <v>5535</v>
      </c>
      <c r="C228" s="3" t="s">
        <v>5536</v>
      </c>
      <c r="D228">
        <v>344</v>
      </c>
      <c r="E228" s="6">
        <v>45631</v>
      </c>
      <c r="F228">
        <v>0</v>
      </c>
      <c r="G228">
        <v>0.79500000000000004</v>
      </c>
      <c r="H228">
        <v>0.70500000000000007</v>
      </c>
      <c r="I228" s="3" t="s">
        <v>8699</v>
      </c>
      <c r="J228" t="s">
        <v>11383</v>
      </c>
    </row>
    <row r="229" spans="1:10" x14ac:dyDescent="0.35">
      <c r="A229" s="3" t="s">
        <v>8935</v>
      </c>
      <c r="B229" s="3" t="s">
        <v>529</v>
      </c>
      <c r="C229" s="3" t="s">
        <v>530</v>
      </c>
      <c r="D229">
        <v>109</v>
      </c>
      <c r="E229" s="6">
        <v>45866</v>
      </c>
      <c r="F229">
        <v>120</v>
      </c>
      <c r="G229">
        <v>1.26</v>
      </c>
      <c r="H229">
        <v>1.74</v>
      </c>
      <c r="I229" s="3" t="s">
        <v>8729</v>
      </c>
    </row>
    <row r="230" spans="1:10" x14ac:dyDescent="0.35">
      <c r="A230" s="3" t="s">
        <v>8870</v>
      </c>
      <c r="B230" s="3" t="s">
        <v>396</v>
      </c>
      <c r="C230" s="3" t="s">
        <v>397</v>
      </c>
      <c r="D230">
        <v>345</v>
      </c>
      <c r="E230" s="6">
        <v>45630</v>
      </c>
      <c r="F230">
        <v>100</v>
      </c>
      <c r="G230">
        <v>8.82</v>
      </c>
      <c r="H230">
        <v>0.18</v>
      </c>
      <c r="I230" s="3" t="s">
        <v>8699</v>
      </c>
      <c r="J230" t="s">
        <v>11383</v>
      </c>
    </row>
    <row r="231" spans="1:10" x14ac:dyDescent="0.35">
      <c r="A231" s="3" t="s">
        <v>8937</v>
      </c>
      <c r="B231" s="3" t="s">
        <v>533</v>
      </c>
      <c r="C231" s="3" t="s">
        <v>534</v>
      </c>
      <c r="D231">
        <v>159</v>
      </c>
      <c r="E231" s="6">
        <v>45816</v>
      </c>
      <c r="F231">
        <v>100</v>
      </c>
      <c r="G231">
        <v>6.5000000000000002E-2</v>
      </c>
      <c r="H231">
        <v>1.2350000000000001</v>
      </c>
      <c r="I231" s="3" t="s">
        <v>8756</v>
      </c>
    </row>
    <row r="232" spans="1:10" x14ac:dyDescent="0.35">
      <c r="A232" s="3" t="s">
        <v>11113</v>
      </c>
      <c r="B232" s="3" t="s">
        <v>5143</v>
      </c>
      <c r="C232" s="3" t="s">
        <v>5144</v>
      </c>
      <c r="D232">
        <v>347</v>
      </c>
      <c r="E232" s="6">
        <v>45628</v>
      </c>
      <c r="F232">
        <v>0</v>
      </c>
      <c r="G232">
        <v>0</v>
      </c>
      <c r="H232">
        <v>0</v>
      </c>
      <c r="I232" s="3" t="s">
        <v>8699</v>
      </c>
      <c r="J232" t="s">
        <v>11383</v>
      </c>
    </row>
    <row r="233" spans="1:10" x14ac:dyDescent="0.35">
      <c r="A233" s="3" t="s">
        <v>11018</v>
      </c>
      <c r="B233" s="3" t="s">
        <v>4946</v>
      </c>
      <c r="C233" s="3" t="s">
        <v>4947</v>
      </c>
      <c r="D233">
        <v>353</v>
      </c>
      <c r="E233" s="6">
        <v>45622</v>
      </c>
      <c r="F233">
        <v>0</v>
      </c>
      <c r="G233">
        <v>0.109</v>
      </c>
      <c r="H233">
        <v>1E-3</v>
      </c>
      <c r="I233" s="3" t="s">
        <v>8699</v>
      </c>
      <c r="J233" t="s">
        <v>11383</v>
      </c>
    </row>
    <row r="234" spans="1:10" x14ac:dyDescent="0.35">
      <c r="A234" s="3" t="s">
        <v>8940</v>
      </c>
      <c r="B234" s="3" t="s">
        <v>539</v>
      </c>
      <c r="C234" s="3" t="s">
        <v>540</v>
      </c>
      <c r="D234">
        <v>260</v>
      </c>
      <c r="E234" s="6">
        <v>45715</v>
      </c>
      <c r="F234">
        <v>50</v>
      </c>
      <c r="G234">
        <v>0.06</v>
      </c>
      <c r="H234">
        <v>0.94000000000000006</v>
      </c>
      <c r="I234" s="3" t="s">
        <v>8756</v>
      </c>
    </row>
    <row r="235" spans="1:10" x14ac:dyDescent="0.35">
      <c r="A235" s="3" t="s">
        <v>8842</v>
      </c>
      <c r="B235" s="3" t="s">
        <v>339</v>
      </c>
      <c r="C235" s="3" t="s">
        <v>340</v>
      </c>
      <c r="D235">
        <v>354</v>
      </c>
      <c r="E235" s="6">
        <v>45621</v>
      </c>
      <c r="F235">
        <v>0</v>
      </c>
      <c r="G235">
        <v>0.03</v>
      </c>
      <c r="H235">
        <v>0</v>
      </c>
      <c r="I235" s="3" t="s">
        <v>8699</v>
      </c>
      <c r="J235" t="s">
        <v>11383</v>
      </c>
    </row>
    <row r="236" spans="1:10" x14ac:dyDescent="0.35">
      <c r="A236" s="3" t="s">
        <v>8942</v>
      </c>
      <c r="B236" s="3" t="s">
        <v>544</v>
      </c>
      <c r="C236" s="3" t="s">
        <v>545</v>
      </c>
      <c r="D236">
        <v>18</v>
      </c>
      <c r="E236" s="6">
        <v>45957</v>
      </c>
      <c r="F236">
        <v>0</v>
      </c>
      <c r="G236">
        <v>2.1760000000000002</v>
      </c>
      <c r="H236">
        <v>1.024</v>
      </c>
      <c r="I236" s="3" t="s">
        <v>8701</v>
      </c>
    </row>
    <row r="237" spans="1:10" x14ac:dyDescent="0.35">
      <c r="A237" s="3" t="s">
        <v>10076</v>
      </c>
      <c r="B237" s="3" t="s">
        <v>2946</v>
      </c>
      <c r="C237" s="3" t="s">
        <v>2947</v>
      </c>
      <c r="D237">
        <v>354</v>
      </c>
      <c r="E237" s="6">
        <v>45621</v>
      </c>
      <c r="F237">
        <v>0</v>
      </c>
      <c r="G237">
        <v>6.0000000000000001E-3</v>
      </c>
      <c r="H237">
        <v>0.10400000000000001</v>
      </c>
      <c r="I237" s="3" t="s">
        <v>8699</v>
      </c>
      <c r="J237" t="s">
        <v>11383</v>
      </c>
    </row>
    <row r="238" spans="1:10" x14ac:dyDescent="0.35">
      <c r="A238" s="3" t="s">
        <v>8944</v>
      </c>
      <c r="B238" s="3" t="s">
        <v>548</v>
      </c>
      <c r="C238" s="3" t="s">
        <v>549</v>
      </c>
      <c r="D238">
        <v>21</v>
      </c>
      <c r="E238" s="6">
        <v>45954</v>
      </c>
      <c r="F238">
        <v>0</v>
      </c>
      <c r="G238">
        <v>40.36</v>
      </c>
      <c r="H238">
        <v>0.74</v>
      </c>
      <c r="I238" s="3" t="s">
        <v>8701</v>
      </c>
    </row>
    <row r="239" spans="1:10" x14ac:dyDescent="0.35">
      <c r="A239" s="3" t="s">
        <v>8945</v>
      </c>
      <c r="B239" s="3" t="s">
        <v>550</v>
      </c>
      <c r="C239" s="3" t="s">
        <v>551</v>
      </c>
      <c r="D239">
        <v>21</v>
      </c>
      <c r="E239" s="6">
        <v>45954</v>
      </c>
      <c r="F239">
        <v>0</v>
      </c>
      <c r="G239">
        <v>134.416</v>
      </c>
      <c r="H239">
        <v>1.0840000000000001</v>
      </c>
      <c r="I239" s="3" t="s">
        <v>8701</v>
      </c>
    </row>
    <row r="240" spans="1:10" x14ac:dyDescent="0.35">
      <c r="A240" s="3" t="s">
        <v>8946</v>
      </c>
      <c r="B240" s="3" t="s">
        <v>552</v>
      </c>
      <c r="C240" s="3" t="s">
        <v>553</v>
      </c>
      <c r="D240">
        <v>79</v>
      </c>
      <c r="E240" s="6">
        <v>45896</v>
      </c>
      <c r="F240">
        <v>0</v>
      </c>
      <c r="G240">
        <v>56.64</v>
      </c>
      <c r="H240">
        <v>2.36</v>
      </c>
      <c r="I240" s="3" t="s">
        <v>8701</v>
      </c>
    </row>
    <row r="241" spans="1:10" x14ac:dyDescent="0.35">
      <c r="A241" s="3" t="s">
        <v>8947</v>
      </c>
      <c r="B241" s="3" t="s">
        <v>554</v>
      </c>
      <c r="C241" s="3" t="s">
        <v>555</v>
      </c>
      <c r="D241">
        <v>193</v>
      </c>
      <c r="E241" s="6">
        <v>45782</v>
      </c>
      <c r="F241">
        <v>0</v>
      </c>
      <c r="G241">
        <v>45.08</v>
      </c>
      <c r="H241">
        <v>0.92</v>
      </c>
      <c r="I241" s="3" t="s">
        <v>8701</v>
      </c>
    </row>
    <row r="242" spans="1:10" x14ac:dyDescent="0.35">
      <c r="A242" s="3" t="s">
        <v>11222</v>
      </c>
      <c r="B242" s="3" t="s">
        <v>5373</v>
      </c>
      <c r="C242" s="3" t="s">
        <v>5374</v>
      </c>
      <c r="D242">
        <v>359</v>
      </c>
      <c r="E242" s="6">
        <v>45616</v>
      </c>
      <c r="F242">
        <v>0</v>
      </c>
      <c r="G242">
        <v>3.2</v>
      </c>
      <c r="H242">
        <v>0.8</v>
      </c>
      <c r="I242" s="3" t="s">
        <v>8699</v>
      </c>
      <c r="J242" t="s">
        <v>11383</v>
      </c>
    </row>
    <row r="243" spans="1:10" x14ac:dyDescent="0.35">
      <c r="A243" s="3" t="s">
        <v>8949</v>
      </c>
      <c r="B243" s="3" t="s">
        <v>560</v>
      </c>
      <c r="C243" s="3" t="s">
        <v>561</v>
      </c>
      <c r="D243">
        <v>23</v>
      </c>
      <c r="E243" s="6">
        <v>45952</v>
      </c>
      <c r="F243">
        <v>0</v>
      </c>
      <c r="G243">
        <v>97.515000000000001</v>
      </c>
      <c r="H243">
        <v>1.4850000000000001</v>
      </c>
      <c r="I243" s="3" t="s">
        <v>8701</v>
      </c>
    </row>
    <row r="244" spans="1:10" x14ac:dyDescent="0.35">
      <c r="A244" s="3" t="s">
        <v>9090</v>
      </c>
      <c r="B244" s="3" t="s">
        <v>861</v>
      </c>
      <c r="C244" s="3" t="s">
        <v>862</v>
      </c>
      <c r="D244">
        <v>364</v>
      </c>
      <c r="E244" s="6">
        <v>45611</v>
      </c>
      <c r="F244">
        <v>0</v>
      </c>
      <c r="G244">
        <v>4.0000000000000001E-3</v>
      </c>
      <c r="H244">
        <v>9.6000000000000002E-2</v>
      </c>
      <c r="I244" s="3" t="s">
        <v>8699</v>
      </c>
      <c r="J244" t="s">
        <v>11383</v>
      </c>
    </row>
    <row r="245" spans="1:10" x14ac:dyDescent="0.35">
      <c r="A245" s="3" t="s">
        <v>9855</v>
      </c>
      <c r="B245" s="3" t="s">
        <v>2473</v>
      </c>
      <c r="C245" s="3" t="s">
        <v>2474</v>
      </c>
      <c r="D245">
        <v>366</v>
      </c>
      <c r="E245" s="6">
        <v>45609</v>
      </c>
      <c r="F245">
        <v>0</v>
      </c>
      <c r="G245">
        <v>0.03</v>
      </c>
      <c r="H245">
        <v>0</v>
      </c>
      <c r="I245" s="3" t="s">
        <v>8699</v>
      </c>
      <c r="J245" t="s">
        <v>11383</v>
      </c>
    </row>
    <row r="246" spans="1:10" x14ac:dyDescent="0.35">
      <c r="A246" s="3" t="s">
        <v>11242</v>
      </c>
      <c r="B246" s="3" t="s">
        <v>5415</v>
      </c>
      <c r="C246" s="3" t="s">
        <v>5416</v>
      </c>
      <c r="D246">
        <v>366</v>
      </c>
      <c r="E246" s="6">
        <v>45609</v>
      </c>
      <c r="F246">
        <v>0</v>
      </c>
      <c r="G246">
        <v>2E-3</v>
      </c>
      <c r="H246">
        <v>2.8000000000000001E-2</v>
      </c>
      <c r="I246" s="3" t="s">
        <v>8699</v>
      </c>
      <c r="J246" t="s">
        <v>11383</v>
      </c>
    </row>
    <row r="247" spans="1:10" x14ac:dyDescent="0.35">
      <c r="A247" s="3" t="s">
        <v>11207</v>
      </c>
      <c r="B247" s="3" t="s">
        <v>5342</v>
      </c>
      <c r="C247" s="3" t="s">
        <v>5343</v>
      </c>
      <c r="D247">
        <v>372</v>
      </c>
      <c r="E247" s="6">
        <v>45603</v>
      </c>
      <c r="F247">
        <v>100</v>
      </c>
      <c r="G247">
        <v>1.8</v>
      </c>
      <c r="H247">
        <v>1.2</v>
      </c>
      <c r="I247" s="3" t="s">
        <v>8699</v>
      </c>
      <c r="J247" t="s">
        <v>11383</v>
      </c>
    </row>
    <row r="248" spans="1:10" x14ac:dyDescent="0.35">
      <c r="A248" s="3" t="s">
        <v>8954</v>
      </c>
      <c r="B248" s="3" t="s">
        <v>571</v>
      </c>
      <c r="C248" s="3" t="s">
        <v>572</v>
      </c>
      <c r="D248">
        <v>315</v>
      </c>
      <c r="E248" s="6">
        <v>45660</v>
      </c>
      <c r="F248">
        <v>0</v>
      </c>
      <c r="G248">
        <v>8.0000000000000002E-3</v>
      </c>
      <c r="H248">
        <v>0.16200000000000001</v>
      </c>
      <c r="I248" s="3" t="s">
        <v>8712</v>
      </c>
    </row>
    <row r="249" spans="1:10" x14ac:dyDescent="0.35">
      <c r="A249" s="3" t="s">
        <v>8955</v>
      </c>
      <c r="B249" s="3" t="s">
        <v>573</v>
      </c>
      <c r="C249" s="3" t="s">
        <v>574</v>
      </c>
      <c r="D249">
        <v>243</v>
      </c>
      <c r="E249" s="6">
        <v>45732</v>
      </c>
      <c r="F249">
        <v>0</v>
      </c>
      <c r="G249">
        <v>119.79</v>
      </c>
      <c r="H249">
        <v>1.21</v>
      </c>
      <c r="I249" s="3" t="s">
        <v>8756</v>
      </c>
    </row>
    <row r="250" spans="1:10" x14ac:dyDescent="0.35">
      <c r="A250" s="3" t="s">
        <v>8896</v>
      </c>
      <c r="B250" s="3" t="s">
        <v>451</v>
      </c>
      <c r="C250" s="3" t="s">
        <v>452</v>
      </c>
      <c r="D250">
        <v>373</v>
      </c>
      <c r="E250" s="6">
        <v>45602</v>
      </c>
      <c r="F250">
        <v>80</v>
      </c>
      <c r="G250">
        <v>0.23</v>
      </c>
      <c r="H250">
        <v>1.05</v>
      </c>
      <c r="I250" s="3" t="s">
        <v>8699</v>
      </c>
      <c r="J250" t="s">
        <v>11383</v>
      </c>
    </row>
    <row r="251" spans="1:10" x14ac:dyDescent="0.35">
      <c r="A251" s="3" t="s">
        <v>8991</v>
      </c>
      <c r="B251" s="3" t="s">
        <v>651</v>
      </c>
      <c r="C251" s="3" t="s">
        <v>652</v>
      </c>
      <c r="D251">
        <v>373</v>
      </c>
      <c r="E251" s="6">
        <v>45602</v>
      </c>
      <c r="F251">
        <v>20</v>
      </c>
      <c r="G251">
        <v>3.1280000000000001</v>
      </c>
      <c r="H251">
        <v>0.78200000000000003</v>
      </c>
      <c r="I251" s="3" t="s">
        <v>8699</v>
      </c>
      <c r="J251" t="s">
        <v>11383</v>
      </c>
    </row>
    <row r="252" spans="1:10" x14ac:dyDescent="0.35">
      <c r="A252" s="3" t="s">
        <v>8958</v>
      </c>
      <c r="B252" s="3" t="s">
        <v>581</v>
      </c>
      <c r="C252" s="3" t="s">
        <v>582</v>
      </c>
      <c r="D252">
        <v>378</v>
      </c>
      <c r="E252" s="6">
        <v>45597</v>
      </c>
      <c r="F252">
        <v>0</v>
      </c>
      <c r="G252">
        <v>5.0000000000000001E-3</v>
      </c>
      <c r="H252">
        <v>0.115</v>
      </c>
      <c r="I252" s="3" t="s">
        <v>8712</v>
      </c>
    </row>
    <row r="253" spans="1:10" x14ac:dyDescent="0.35">
      <c r="A253" s="3" t="s">
        <v>8959</v>
      </c>
      <c r="B253" s="3" t="s">
        <v>584</v>
      </c>
      <c r="C253" s="3" t="s">
        <v>585</v>
      </c>
      <c r="D253">
        <v>77</v>
      </c>
      <c r="E253" s="6">
        <v>45898</v>
      </c>
      <c r="F253">
        <v>100</v>
      </c>
      <c r="G253">
        <v>9.2880000000000003</v>
      </c>
      <c r="H253">
        <v>1.512</v>
      </c>
      <c r="I253" s="3" t="s">
        <v>8701</v>
      </c>
    </row>
    <row r="254" spans="1:10" x14ac:dyDescent="0.35">
      <c r="A254" s="3" t="s">
        <v>8960</v>
      </c>
      <c r="B254" s="3" t="s">
        <v>586</v>
      </c>
      <c r="C254" s="3" t="s">
        <v>587</v>
      </c>
      <c r="D254">
        <v>48</v>
      </c>
      <c r="E254" s="6">
        <v>45927</v>
      </c>
      <c r="F254">
        <v>0</v>
      </c>
      <c r="G254">
        <v>0.88</v>
      </c>
      <c r="H254">
        <v>1.32</v>
      </c>
      <c r="I254" s="3" t="s">
        <v>8756</v>
      </c>
    </row>
    <row r="255" spans="1:10" x14ac:dyDescent="0.35">
      <c r="A255" s="3" t="s">
        <v>8961</v>
      </c>
      <c r="B255" s="3" t="s">
        <v>588</v>
      </c>
      <c r="C255" s="3" t="s">
        <v>589</v>
      </c>
      <c r="D255">
        <v>603</v>
      </c>
      <c r="E255" s="6">
        <v>45372</v>
      </c>
      <c r="F255">
        <v>0</v>
      </c>
      <c r="G255">
        <v>6.0000000000000001E-3</v>
      </c>
      <c r="H255">
        <v>0.10400000000000001</v>
      </c>
      <c r="I255" s="3" t="s">
        <v>8712</v>
      </c>
    </row>
    <row r="256" spans="1:10" x14ac:dyDescent="0.35">
      <c r="A256" s="3" t="s">
        <v>8962</v>
      </c>
      <c r="B256" s="3" t="s">
        <v>590</v>
      </c>
      <c r="C256" s="3" t="s">
        <v>591</v>
      </c>
      <c r="D256">
        <v>156</v>
      </c>
      <c r="E256" s="6">
        <v>45819</v>
      </c>
      <c r="F256">
        <v>100</v>
      </c>
      <c r="G256">
        <v>1.4000000000000001</v>
      </c>
      <c r="H256">
        <v>2.1</v>
      </c>
      <c r="I256" s="3" t="s">
        <v>8756</v>
      </c>
    </row>
    <row r="257" spans="1:10" x14ac:dyDescent="0.35">
      <c r="A257" s="3" t="s">
        <v>8707</v>
      </c>
      <c r="B257" s="3" t="s">
        <v>22</v>
      </c>
      <c r="C257" s="3" t="s">
        <v>23</v>
      </c>
      <c r="D257">
        <v>375</v>
      </c>
      <c r="E257" s="6">
        <v>45600</v>
      </c>
      <c r="F257">
        <v>0</v>
      </c>
      <c r="G257">
        <v>0</v>
      </c>
      <c r="H257">
        <v>0.01</v>
      </c>
      <c r="I257" s="3" t="s">
        <v>8699</v>
      </c>
      <c r="J257" t="s">
        <v>11383</v>
      </c>
    </row>
    <row r="258" spans="1:10" x14ac:dyDescent="0.35">
      <c r="A258" s="3" t="s">
        <v>8861</v>
      </c>
      <c r="B258" s="3" t="s">
        <v>378</v>
      </c>
      <c r="C258" s="3" t="s">
        <v>379</v>
      </c>
      <c r="D258">
        <v>375</v>
      </c>
      <c r="E258" s="6">
        <v>45600</v>
      </c>
      <c r="F258">
        <v>0</v>
      </c>
      <c r="G258">
        <v>0</v>
      </c>
      <c r="H258">
        <v>0.01</v>
      </c>
      <c r="I258" s="3" t="s">
        <v>8699</v>
      </c>
      <c r="J258" t="s">
        <v>11383</v>
      </c>
    </row>
    <row r="259" spans="1:10" x14ac:dyDescent="0.35">
      <c r="A259" s="3" t="s">
        <v>8948</v>
      </c>
      <c r="B259" s="3" t="s">
        <v>557</v>
      </c>
      <c r="C259" s="3" t="s">
        <v>558</v>
      </c>
      <c r="D259">
        <v>375</v>
      </c>
      <c r="E259" s="6">
        <v>45600</v>
      </c>
      <c r="F259">
        <v>0</v>
      </c>
      <c r="G259">
        <v>0</v>
      </c>
      <c r="H259">
        <v>0.01</v>
      </c>
      <c r="I259" s="3" t="s">
        <v>8699</v>
      </c>
      <c r="J259" t="s">
        <v>11383</v>
      </c>
    </row>
    <row r="260" spans="1:10" x14ac:dyDescent="0.35">
      <c r="A260" s="3" t="s">
        <v>8966</v>
      </c>
      <c r="B260" s="3" t="s">
        <v>598</v>
      </c>
      <c r="C260" s="3" t="s">
        <v>599</v>
      </c>
      <c r="D260">
        <v>89</v>
      </c>
      <c r="E260" s="6">
        <v>45886</v>
      </c>
      <c r="F260">
        <v>90</v>
      </c>
      <c r="G260">
        <v>8.0630000000000006</v>
      </c>
      <c r="H260">
        <v>2.6870000000000003</v>
      </c>
      <c r="I260" s="3" t="s">
        <v>8756</v>
      </c>
    </row>
    <row r="261" spans="1:10" x14ac:dyDescent="0.35">
      <c r="A261" s="3" t="s">
        <v>8967</v>
      </c>
      <c r="B261" s="3" t="s">
        <v>600</v>
      </c>
      <c r="C261" s="3" t="s">
        <v>601</v>
      </c>
      <c r="D261">
        <v>25</v>
      </c>
      <c r="E261" s="6">
        <v>45950</v>
      </c>
      <c r="F261">
        <v>0</v>
      </c>
      <c r="G261">
        <v>11.040000000000001</v>
      </c>
      <c r="H261">
        <v>0.96</v>
      </c>
      <c r="I261" s="3" t="s">
        <v>8738</v>
      </c>
    </row>
    <row r="262" spans="1:10" x14ac:dyDescent="0.35">
      <c r="A262" s="3" t="s">
        <v>8968</v>
      </c>
      <c r="B262" s="3" t="s">
        <v>602</v>
      </c>
      <c r="C262" s="3" t="s">
        <v>603</v>
      </c>
      <c r="D262">
        <v>23</v>
      </c>
      <c r="E262" s="6">
        <v>45952</v>
      </c>
      <c r="F262">
        <v>0</v>
      </c>
      <c r="G262">
        <v>104.304</v>
      </c>
      <c r="H262">
        <v>1.6960000000000002</v>
      </c>
      <c r="I262" s="3" t="s">
        <v>8738</v>
      </c>
    </row>
    <row r="263" spans="1:10" x14ac:dyDescent="0.35">
      <c r="A263" s="3" t="s">
        <v>8969</v>
      </c>
      <c r="B263" s="3" t="s">
        <v>604</v>
      </c>
      <c r="C263" s="3" t="s">
        <v>605</v>
      </c>
      <c r="D263">
        <v>87</v>
      </c>
      <c r="E263" s="6">
        <v>45888</v>
      </c>
      <c r="F263">
        <v>300</v>
      </c>
      <c r="G263">
        <v>13.432</v>
      </c>
      <c r="H263">
        <v>1.1680000000000001</v>
      </c>
      <c r="I263" s="3" t="s">
        <v>8738</v>
      </c>
    </row>
    <row r="264" spans="1:10" x14ac:dyDescent="0.35">
      <c r="A264" s="3" t="s">
        <v>8970</v>
      </c>
      <c r="B264" s="3" t="s">
        <v>606</v>
      </c>
      <c r="C264" s="3" t="s">
        <v>607</v>
      </c>
      <c r="D264">
        <v>49</v>
      </c>
      <c r="E264" s="6">
        <v>45926</v>
      </c>
      <c r="F264">
        <v>0</v>
      </c>
      <c r="G264">
        <v>1.61</v>
      </c>
      <c r="H264">
        <v>1.8900000000000001</v>
      </c>
      <c r="I264" s="3" t="s">
        <v>8701</v>
      </c>
    </row>
    <row r="265" spans="1:10" x14ac:dyDescent="0.35">
      <c r="A265" s="3" t="s">
        <v>8971</v>
      </c>
      <c r="B265" s="3" t="s">
        <v>608</v>
      </c>
      <c r="C265" s="3" t="s">
        <v>609</v>
      </c>
      <c r="D265">
        <v>2149</v>
      </c>
      <c r="E265" s="6">
        <v>43826</v>
      </c>
      <c r="F265">
        <v>350</v>
      </c>
      <c r="G265">
        <v>0.10700000000000001</v>
      </c>
      <c r="H265">
        <v>0.96600000000000008</v>
      </c>
      <c r="I265" s="3" t="s">
        <v>8701</v>
      </c>
    </row>
    <row r="266" spans="1:10" x14ac:dyDescent="0.35">
      <c r="A266" s="3" t="s">
        <v>8972</v>
      </c>
      <c r="B266" s="3" t="s">
        <v>610</v>
      </c>
      <c r="C266" s="3" t="s">
        <v>611</v>
      </c>
      <c r="D266">
        <v>25</v>
      </c>
      <c r="E266" s="6">
        <v>45950</v>
      </c>
      <c r="F266">
        <v>0</v>
      </c>
      <c r="G266">
        <v>2.15</v>
      </c>
      <c r="H266">
        <v>2.85</v>
      </c>
      <c r="I266" s="3" t="s">
        <v>8701</v>
      </c>
    </row>
    <row r="267" spans="1:10" x14ac:dyDescent="0.35">
      <c r="A267" s="3" t="s">
        <v>8973</v>
      </c>
      <c r="B267" s="3" t="s">
        <v>612</v>
      </c>
      <c r="C267" s="3" t="s">
        <v>613</v>
      </c>
      <c r="D267">
        <v>49</v>
      </c>
      <c r="E267" s="6">
        <v>45926</v>
      </c>
      <c r="F267">
        <v>100</v>
      </c>
      <c r="G267">
        <v>1.2</v>
      </c>
      <c r="H267">
        <v>0.8</v>
      </c>
      <c r="I267" s="3" t="s">
        <v>8701</v>
      </c>
    </row>
    <row r="268" spans="1:10" x14ac:dyDescent="0.35">
      <c r="A268" s="3" t="s">
        <v>8974</v>
      </c>
      <c r="B268" s="3" t="s">
        <v>614</v>
      </c>
      <c r="C268" s="3" t="s">
        <v>615</v>
      </c>
      <c r="D268">
        <v>11</v>
      </c>
      <c r="E268" s="6">
        <v>45964</v>
      </c>
      <c r="F268">
        <v>0</v>
      </c>
      <c r="G268">
        <v>3.3000000000000003</v>
      </c>
      <c r="H268">
        <v>7.7</v>
      </c>
      <c r="I268" s="3" t="s">
        <v>8703</v>
      </c>
    </row>
    <row r="269" spans="1:10" x14ac:dyDescent="0.35">
      <c r="A269" s="3" t="s">
        <v>8975</v>
      </c>
      <c r="B269" s="3" t="s">
        <v>616</v>
      </c>
      <c r="C269" s="3" t="s">
        <v>617</v>
      </c>
      <c r="D269">
        <v>955</v>
      </c>
      <c r="E269" s="6">
        <v>45020</v>
      </c>
      <c r="F269">
        <v>0</v>
      </c>
      <c r="G269">
        <v>0</v>
      </c>
      <c r="H269">
        <v>0</v>
      </c>
      <c r="I269" s="3" t="s">
        <v>28</v>
      </c>
    </row>
    <row r="270" spans="1:10" x14ac:dyDescent="0.35">
      <c r="A270" s="3" t="s">
        <v>8976</v>
      </c>
      <c r="B270" s="3" t="s">
        <v>618</v>
      </c>
      <c r="C270" s="3" t="s">
        <v>619</v>
      </c>
      <c r="D270">
        <v>58</v>
      </c>
      <c r="E270" s="6">
        <v>45917</v>
      </c>
      <c r="F270">
        <v>0</v>
      </c>
      <c r="G270">
        <v>2.3199999999999998</v>
      </c>
      <c r="H270">
        <v>1.68</v>
      </c>
      <c r="I270" s="3" t="s">
        <v>8756</v>
      </c>
    </row>
    <row r="271" spans="1:10" x14ac:dyDescent="0.35">
      <c r="A271" s="3" t="s">
        <v>9008</v>
      </c>
      <c r="B271" s="3" t="s">
        <v>686</v>
      </c>
      <c r="C271" s="3" t="s">
        <v>687</v>
      </c>
      <c r="D271">
        <v>375</v>
      </c>
      <c r="E271" s="6">
        <v>45600</v>
      </c>
      <c r="F271">
        <v>0</v>
      </c>
      <c r="G271">
        <v>0</v>
      </c>
      <c r="H271">
        <v>0.01</v>
      </c>
      <c r="I271" s="3" t="s">
        <v>8699</v>
      </c>
      <c r="J271" t="s">
        <v>11383</v>
      </c>
    </row>
    <row r="272" spans="1:10" x14ac:dyDescent="0.35">
      <c r="A272" s="3" t="s">
        <v>8978</v>
      </c>
      <c r="B272" s="3" t="s">
        <v>622</v>
      </c>
      <c r="C272" s="3" t="s">
        <v>623</v>
      </c>
      <c r="D272">
        <v>21</v>
      </c>
      <c r="E272" s="6">
        <v>45954</v>
      </c>
      <c r="F272">
        <v>0</v>
      </c>
      <c r="G272">
        <v>1.86</v>
      </c>
      <c r="H272">
        <v>0.14000000000000001</v>
      </c>
      <c r="I272" s="3" t="s">
        <v>8701</v>
      </c>
    </row>
    <row r="273" spans="1:10" x14ac:dyDescent="0.35">
      <c r="A273" s="3" t="s">
        <v>8979</v>
      </c>
      <c r="B273" s="3" t="s">
        <v>624</v>
      </c>
      <c r="C273" s="3" t="s">
        <v>625</v>
      </c>
      <c r="D273">
        <v>55</v>
      </c>
      <c r="E273" s="6">
        <v>45920</v>
      </c>
      <c r="F273">
        <v>0</v>
      </c>
      <c r="G273">
        <v>0.112</v>
      </c>
      <c r="H273">
        <v>1.0110000000000001</v>
      </c>
      <c r="I273" s="3" t="s">
        <v>8701</v>
      </c>
    </row>
    <row r="274" spans="1:10" x14ac:dyDescent="0.35">
      <c r="A274" s="3" t="s">
        <v>8980</v>
      </c>
      <c r="B274" s="3" t="s">
        <v>626</v>
      </c>
      <c r="C274" s="3" t="s">
        <v>627</v>
      </c>
      <c r="D274">
        <v>77</v>
      </c>
      <c r="E274" s="6">
        <v>45898</v>
      </c>
      <c r="F274">
        <v>0</v>
      </c>
      <c r="G274">
        <v>62.370000000000005</v>
      </c>
      <c r="H274">
        <v>0.63</v>
      </c>
      <c r="I274" s="3" t="s">
        <v>8701</v>
      </c>
    </row>
    <row r="275" spans="1:10" x14ac:dyDescent="0.35">
      <c r="A275" s="3" t="s">
        <v>8981</v>
      </c>
      <c r="B275" s="3" t="s">
        <v>628</v>
      </c>
      <c r="C275" s="3" t="s">
        <v>629</v>
      </c>
      <c r="D275">
        <v>30</v>
      </c>
      <c r="E275" s="6">
        <v>45945</v>
      </c>
      <c r="F275">
        <v>0</v>
      </c>
      <c r="G275">
        <v>10.24</v>
      </c>
      <c r="H275">
        <v>2.56</v>
      </c>
      <c r="I275" s="3" t="s">
        <v>8703</v>
      </c>
    </row>
    <row r="276" spans="1:10" x14ac:dyDescent="0.35">
      <c r="A276" s="3" t="s">
        <v>8982</v>
      </c>
      <c r="B276" s="3" t="s">
        <v>630</v>
      </c>
      <c r="C276" s="3" t="s">
        <v>631</v>
      </c>
      <c r="D276">
        <v>59</v>
      </c>
      <c r="E276" s="6">
        <v>45916</v>
      </c>
      <c r="F276">
        <v>0</v>
      </c>
      <c r="G276">
        <v>7.2</v>
      </c>
      <c r="H276">
        <v>0.8</v>
      </c>
      <c r="I276" s="3" t="s">
        <v>8756</v>
      </c>
    </row>
    <row r="277" spans="1:10" x14ac:dyDescent="0.35">
      <c r="A277" s="3" t="s">
        <v>8983</v>
      </c>
      <c r="B277" s="3" t="s">
        <v>632</v>
      </c>
      <c r="C277" s="3" t="s">
        <v>633</v>
      </c>
      <c r="D277">
        <v>77</v>
      </c>
      <c r="E277" s="6">
        <v>45898</v>
      </c>
      <c r="F277">
        <v>160</v>
      </c>
      <c r="G277">
        <v>6.3900000000000006</v>
      </c>
      <c r="H277">
        <v>0.71</v>
      </c>
      <c r="I277" s="3" t="s">
        <v>8701</v>
      </c>
    </row>
    <row r="278" spans="1:10" x14ac:dyDescent="0.35">
      <c r="A278" s="3" t="s">
        <v>8984</v>
      </c>
      <c r="B278" s="3" t="s">
        <v>634</v>
      </c>
      <c r="C278" s="3" t="s">
        <v>635</v>
      </c>
      <c r="D278">
        <v>25</v>
      </c>
      <c r="E278" s="6">
        <v>45950</v>
      </c>
      <c r="F278">
        <v>0</v>
      </c>
      <c r="G278">
        <v>0.14500000000000002</v>
      </c>
      <c r="H278">
        <v>1.3050000000000002</v>
      </c>
      <c r="I278" s="3" t="s">
        <v>8701</v>
      </c>
    </row>
    <row r="279" spans="1:10" x14ac:dyDescent="0.35">
      <c r="A279" s="3" t="s">
        <v>8985</v>
      </c>
      <c r="B279" s="3" t="s">
        <v>637</v>
      </c>
      <c r="C279" s="3" t="s">
        <v>638</v>
      </c>
      <c r="D279">
        <v>955</v>
      </c>
      <c r="E279" s="6">
        <v>45020</v>
      </c>
      <c r="F279">
        <v>0</v>
      </c>
      <c r="G279">
        <v>0</v>
      </c>
      <c r="H279">
        <v>0</v>
      </c>
      <c r="I279" s="3" t="s">
        <v>28</v>
      </c>
    </row>
    <row r="280" spans="1:10" x14ac:dyDescent="0.35">
      <c r="A280" s="3" t="s">
        <v>8986</v>
      </c>
      <c r="B280" s="3" t="s">
        <v>640</v>
      </c>
      <c r="C280" s="3" t="s">
        <v>641</v>
      </c>
      <c r="D280">
        <v>955</v>
      </c>
      <c r="E280" s="6">
        <v>45020</v>
      </c>
      <c r="F280">
        <v>0</v>
      </c>
      <c r="G280">
        <v>0</v>
      </c>
      <c r="H280">
        <v>0</v>
      </c>
      <c r="I280" s="3" t="s">
        <v>28</v>
      </c>
    </row>
    <row r="281" spans="1:10" x14ac:dyDescent="0.35">
      <c r="A281" s="3" t="s">
        <v>9196</v>
      </c>
      <c r="B281" s="3" t="s">
        <v>1079</v>
      </c>
      <c r="C281" s="3" t="s">
        <v>1080</v>
      </c>
      <c r="D281">
        <v>375</v>
      </c>
      <c r="E281" s="6">
        <v>45600</v>
      </c>
      <c r="F281">
        <v>0</v>
      </c>
      <c r="G281">
        <v>1E-3</v>
      </c>
      <c r="H281">
        <v>1.9E-2</v>
      </c>
      <c r="I281" s="3" t="s">
        <v>8699</v>
      </c>
      <c r="J281" t="s">
        <v>11383</v>
      </c>
    </row>
    <row r="282" spans="1:10" x14ac:dyDescent="0.35">
      <c r="A282" s="3" t="s">
        <v>9197</v>
      </c>
      <c r="B282" s="3" t="s">
        <v>1081</v>
      </c>
      <c r="C282" s="3" t="s">
        <v>1082</v>
      </c>
      <c r="D282">
        <v>375</v>
      </c>
      <c r="E282" s="6">
        <v>45600</v>
      </c>
      <c r="F282">
        <v>0</v>
      </c>
      <c r="G282">
        <v>0</v>
      </c>
      <c r="H282">
        <v>0.01</v>
      </c>
      <c r="I282" s="3" t="s">
        <v>8699</v>
      </c>
      <c r="J282" t="s">
        <v>11383</v>
      </c>
    </row>
    <row r="283" spans="1:10" x14ac:dyDescent="0.35">
      <c r="A283" s="3" t="s">
        <v>9992</v>
      </c>
      <c r="B283" s="3" t="s">
        <v>2763</v>
      </c>
      <c r="C283" s="3" t="s">
        <v>2764</v>
      </c>
      <c r="D283">
        <v>375</v>
      </c>
      <c r="E283" s="6">
        <v>45600</v>
      </c>
      <c r="F283">
        <v>0</v>
      </c>
      <c r="G283">
        <v>0</v>
      </c>
      <c r="H283">
        <v>0.01</v>
      </c>
      <c r="I283" s="3" t="s">
        <v>8699</v>
      </c>
      <c r="J283" t="s">
        <v>11383</v>
      </c>
    </row>
    <row r="284" spans="1:10" x14ac:dyDescent="0.35">
      <c r="A284" s="3" t="s">
        <v>8990</v>
      </c>
      <c r="B284" s="3" t="s">
        <v>649</v>
      </c>
      <c r="C284" s="3" t="s">
        <v>650</v>
      </c>
      <c r="D284">
        <v>30</v>
      </c>
      <c r="E284" s="6">
        <v>45945</v>
      </c>
      <c r="F284">
        <v>0</v>
      </c>
      <c r="G284">
        <v>7.5650000000000004</v>
      </c>
      <c r="H284">
        <v>1.335</v>
      </c>
      <c r="I284" s="3" t="s">
        <v>8756</v>
      </c>
    </row>
    <row r="285" spans="1:10" x14ac:dyDescent="0.35">
      <c r="A285" s="3" t="s">
        <v>10012</v>
      </c>
      <c r="B285" s="3" t="s">
        <v>2803</v>
      </c>
      <c r="C285" s="3" t="s">
        <v>2804</v>
      </c>
      <c r="D285">
        <v>375</v>
      </c>
      <c r="E285" s="6">
        <v>45600</v>
      </c>
      <c r="F285">
        <v>0</v>
      </c>
      <c r="G285">
        <v>0</v>
      </c>
      <c r="H285">
        <v>0.01</v>
      </c>
      <c r="I285" s="3" t="s">
        <v>8699</v>
      </c>
      <c r="J285" t="s">
        <v>11383</v>
      </c>
    </row>
    <row r="286" spans="1:10" x14ac:dyDescent="0.35">
      <c r="A286" s="3" t="s">
        <v>10052</v>
      </c>
      <c r="B286" s="3" t="s">
        <v>2889</v>
      </c>
      <c r="C286" s="3" t="s">
        <v>2890</v>
      </c>
      <c r="D286">
        <v>375</v>
      </c>
      <c r="E286" s="6">
        <v>45600</v>
      </c>
      <c r="F286">
        <v>0</v>
      </c>
      <c r="G286">
        <v>1E-3</v>
      </c>
      <c r="H286">
        <v>1.9E-2</v>
      </c>
      <c r="I286" s="3" t="s">
        <v>8699</v>
      </c>
      <c r="J286" t="s">
        <v>11383</v>
      </c>
    </row>
    <row r="287" spans="1:10" x14ac:dyDescent="0.35">
      <c r="A287" s="3" t="s">
        <v>10332</v>
      </c>
      <c r="B287" s="3" t="s">
        <v>3488</v>
      </c>
      <c r="C287" s="3" t="s">
        <v>3489</v>
      </c>
      <c r="D287">
        <v>375</v>
      </c>
      <c r="E287" s="6">
        <v>45600</v>
      </c>
      <c r="F287">
        <v>0</v>
      </c>
      <c r="G287">
        <v>1E-3</v>
      </c>
      <c r="H287">
        <v>1.9E-2</v>
      </c>
      <c r="I287" s="3" t="s">
        <v>8699</v>
      </c>
      <c r="J287" t="s">
        <v>11383</v>
      </c>
    </row>
    <row r="288" spans="1:10" x14ac:dyDescent="0.35">
      <c r="A288" s="3" t="s">
        <v>8994</v>
      </c>
      <c r="B288" s="3" t="s">
        <v>657</v>
      </c>
      <c r="C288" s="3" t="s">
        <v>658</v>
      </c>
      <c r="D288">
        <v>5846</v>
      </c>
      <c r="E288" s="6">
        <v>40129</v>
      </c>
      <c r="F288">
        <v>0</v>
      </c>
      <c r="G288">
        <v>0</v>
      </c>
      <c r="H288">
        <v>0</v>
      </c>
      <c r="I288" s="3" t="s">
        <v>28</v>
      </c>
    </row>
    <row r="289" spans="1:10" x14ac:dyDescent="0.35">
      <c r="A289" s="3" t="s">
        <v>8995</v>
      </c>
      <c r="B289" s="3" t="s">
        <v>659</v>
      </c>
      <c r="C289" s="3" t="s">
        <v>660</v>
      </c>
      <c r="D289">
        <v>109</v>
      </c>
      <c r="E289" s="6">
        <v>45866</v>
      </c>
      <c r="F289">
        <v>50</v>
      </c>
      <c r="G289">
        <v>14.352</v>
      </c>
      <c r="H289">
        <v>1.248</v>
      </c>
      <c r="I289" s="3" t="s">
        <v>8729</v>
      </c>
    </row>
    <row r="290" spans="1:10" x14ac:dyDescent="0.35">
      <c r="A290" s="3" t="s">
        <v>11190</v>
      </c>
      <c r="B290" s="3" t="s">
        <v>5308</v>
      </c>
      <c r="C290" s="3" t="s">
        <v>5309</v>
      </c>
      <c r="D290">
        <v>375</v>
      </c>
      <c r="E290" s="6">
        <v>45600</v>
      </c>
      <c r="F290">
        <v>0</v>
      </c>
      <c r="G290">
        <v>0</v>
      </c>
      <c r="H290">
        <v>0.01</v>
      </c>
      <c r="I290" s="3" t="s">
        <v>8699</v>
      </c>
      <c r="J290" t="s">
        <v>11383</v>
      </c>
    </row>
    <row r="291" spans="1:10" x14ac:dyDescent="0.35">
      <c r="A291" s="3" t="s">
        <v>8997</v>
      </c>
      <c r="B291" s="3" t="s">
        <v>664</v>
      </c>
      <c r="C291" s="3" t="s">
        <v>665</v>
      </c>
      <c r="D291">
        <v>62</v>
      </c>
      <c r="E291" s="6">
        <v>45913</v>
      </c>
      <c r="F291">
        <v>0</v>
      </c>
      <c r="G291">
        <v>33.6</v>
      </c>
      <c r="H291">
        <v>1.4000000000000001</v>
      </c>
      <c r="I291" s="3" t="s">
        <v>8701</v>
      </c>
    </row>
    <row r="292" spans="1:10" x14ac:dyDescent="0.35">
      <c r="A292" s="3" t="s">
        <v>8998</v>
      </c>
      <c r="B292" s="3" t="s">
        <v>666</v>
      </c>
      <c r="C292" s="3" t="s">
        <v>667</v>
      </c>
      <c r="D292">
        <v>23</v>
      </c>
      <c r="E292" s="6">
        <v>45952</v>
      </c>
      <c r="F292">
        <v>0</v>
      </c>
      <c r="G292">
        <v>26.46</v>
      </c>
      <c r="H292">
        <v>0.54</v>
      </c>
      <c r="I292" s="3" t="s">
        <v>8701</v>
      </c>
    </row>
    <row r="293" spans="1:10" x14ac:dyDescent="0.35">
      <c r="A293" s="3" t="s">
        <v>10003</v>
      </c>
      <c r="B293" s="3" t="s">
        <v>2785</v>
      </c>
      <c r="C293" s="3" t="s">
        <v>2786</v>
      </c>
      <c r="D293">
        <v>378</v>
      </c>
      <c r="E293" s="6">
        <v>45597</v>
      </c>
      <c r="F293">
        <v>0</v>
      </c>
      <c r="G293">
        <v>5.4</v>
      </c>
      <c r="H293">
        <v>0.6</v>
      </c>
      <c r="I293" s="3" t="s">
        <v>8699</v>
      </c>
      <c r="J293" t="s">
        <v>11383</v>
      </c>
    </row>
    <row r="294" spans="1:10" x14ac:dyDescent="0.35">
      <c r="A294" s="3" t="s">
        <v>10128</v>
      </c>
      <c r="B294" s="3" t="s">
        <v>3060</v>
      </c>
      <c r="C294" s="3" t="s">
        <v>3061</v>
      </c>
      <c r="D294">
        <v>378</v>
      </c>
      <c r="E294" s="6">
        <v>45597</v>
      </c>
      <c r="F294">
        <v>0</v>
      </c>
      <c r="G294">
        <v>1E-3</v>
      </c>
      <c r="H294">
        <v>1.9E-2</v>
      </c>
      <c r="I294" s="3" t="s">
        <v>8699</v>
      </c>
      <c r="J294" t="s">
        <v>11383</v>
      </c>
    </row>
    <row r="295" spans="1:10" x14ac:dyDescent="0.35">
      <c r="A295" s="3" t="s">
        <v>10671</v>
      </c>
      <c r="B295" s="3" t="s">
        <v>4204</v>
      </c>
      <c r="C295" s="3" t="s">
        <v>4205</v>
      </c>
      <c r="D295">
        <v>378</v>
      </c>
      <c r="E295" s="6">
        <v>45597</v>
      </c>
      <c r="F295">
        <v>0</v>
      </c>
      <c r="G295">
        <v>0.99</v>
      </c>
      <c r="H295">
        <v>0.01</v>
      </c>
      <c r="I295" s="3" t="s">
        <v>8699</v>
      </c>
      <c r="J295" t="s">
        <v>11383</v>
      </c>
    </row>
    <row r="296" spans="1:10" x14ac:dyDescent="0.35">
      <c r="A296" s="3" t="s">
        <v>8775</v>
      </c>
      <c r="B296" s="3" t="s">
        <v>186</v>
      </c>
      <c r="C296" s="3" t="s">
        <v>187</v>
      </c>
      <c r="D296">
        <v>381</v>
      </c>
      <c r="E296" s="6">
        <v>45594</v>
      </c>
      <c r="F296">
        <v>0</v>
      </c>
      <c r="G296">
        <v>0</v>
      </c>
      <c r="H296">
        <v>0</v>
      </c>
      <c r="I296" s="3" t="s">
        <v>8699</v>
      </c>
      <c r="J296" t="s">
        <v>11383</v>
      </c>
    </row>
    <row r="297" spans="1:10" x14ac:dyDescent="0.35">
      <c r="A297" s="3" t="s">
        <v>9003</v>
      </c>
      <c r="B297" s="3" t="s">
        <v>676</v>
      </c>
      <c r="C297" s="3" t="s">
        <v>677</v>
      </c>
      <c r="D297">
        <v>955</v>
      </c>
      <c r="E297" s="6">
        <v>45020</v>
      </c>
      <c r="F297">
        <v>0</v>
      </c>
      <c r="G297">
        <v>0</v>
      </c>
      <c r="H297">
        <v>0</v>
      </c>
      <c r="I297" s="3" t="s">
        <v>28</v>
      </c>
    </row>
    <row r="298" spans="1:10" x14ac:dyDescent="0.35">
      <c r="A298" s="3" t="s">
        <v>9004</v>
      </c>
      <c r="B298" s="3" t="s">
        <v>678</v>
      </c>
      <c r="C298" s="3" t="s">
        <v>679</v>
      </c>
      <c r="D298">
        <v>955</v>
      </c>
      <c r="E298" s="6">
        <v>45020</v>
      </c>
      <c r="F298">
        <v>0</v>
      </c>
      <c r="G298">
        <v>0</v>
      </c>
      <c r="H298">
        <v>0</v>
      </c>
      <c r="I298" s="3" t="s">
        <v>28</v>
      </c>
    </row>
    <row r="299" spans="1:10" x14ac:dyDescent="0.35">
      <c r="A299" s="3" t="s">
        <v>9005</v>
      </c>
      <c r="B299" s="3" t="s">
        <v>680</v>
      </c>
      <c r="C299" s="3" t="s">
        <v>681</v>
      </c>
      <c r="D299">
        <v>55</v>
      </c>
      <c r="E299" s="6">
        <v>45920</v>
      </c>
      <c r="F299">
        <v>0</v>
      </c>
      <c r="G299">
        <v>15.200000000000001</v>
      </c>
      <c r="H299">
        <v>3.8000000000000003</v>
      </c>
      <c r="I299" s="3" t="s">
        <v>8701</v>
      </c>
    </row>
    <row r="300" spans="1:10" x14ac:dyDescent="0.35">
      <c r="A300" s="3" t="s">
        <v>9006</v>
      </c>
      <c r="B300" s="3" t="s">
        <v>682</v>
      </c>
      <c r="C300" s="3" t="s">
        <v>683</v>
      </c>
      <c r="D300">
        <v>23</v>
      </c>
      <c r="E300" s="6">
        <v>45952</v>
      </c>
      <c r="F300">
        <v>0</v>
      </c>
      <c r="G300">
        <v>20.900000000000002</v>
      </c>
      <c r="H300">
        <v>1.1000000000000001</v>
      </c>
      <c r="I300" s="3" t="s">
        <v>8701</v>
      </c>
    </row>
    <row r="301" spans="1:10" x14ac:dyDescent="0.35">
      <c r="A301" s="3" t="s">
        <v>9007</v>
      </c>
      <c r="B301" s="3" t="s">
        <v>684</v>
      </c>
      <c r="C301" s="3" t="s">
        <v>685</v>
      </c>
      <c r="D301">
        <v>726</v>
      </c>
      <c r="E301" s="6">
        <v>45249</v>
      </c>
      <c r="F301">
        <v>0</v>
      </c>
      <c r="G301">
        <v>0</v>
      </c>
      <c r="H301">
        <v>0</v>
      </c>
      <c r="I301" s="3" t="s">
        <v>28</v>
      </c>
    </row>
    <row r="302" spans="1:10" x14ac:dyDescent="0.35">
      <c r="A302" s="3" t="s">
        <v>9261</v>
      </c>
      <c r="B302" s="3" t="s">
        <v>1216</v>
      </c>
      <c r="C302" s="3" t="s">
        <v>1217</v>
      </c>
      <c r="D302">
        <v>381</v>
      </c>
      <c r="E302" s="6">
        <v>45594</v>
      </c>
      <c r="F302">
        <v>0</v>
      </c>
      <c r="G302">
        <v>0</v>
      </c>
      <c r="H302">
        <v>0</v>
      </c>
      <c r="I302" s="3" t="s">
        <v>8699</v>
      </c>
      <c r="J302" t="s">
        <v>11383</v>
      </c>
    </row>
    <row r="303" spans="1:10" x14ac:dyDescent="0.35">
      <c r="A303" s="3" t="s">
        <v>9009</v>
      </c>
      <c r="B303" s="3" t="s">
        <v>688</v>
      </c>
      <c r="C303" s="3" t="s">
        <v>689</v>
      </c>
      <c r="D303">
        <v>9577</v>
      </c>
      <c r="E303" s="6">
        <v>36398</v>
      </c>
      <c r="F303">
        <v>20</v>
      </c>
      <c r="G303">
        <v>1.218</v>
      </c>
      <c r="H303">
        <v>0.81500000000000006</v>
      </c>
      <c r="I303" s="3" t="s">
        <v>8701</v>
      </c>
    </row>
    <row r="304" spans="1:10" x14ac:dyDescent="0.35">
      <c r="A304" s="3" t="s">
        <v>9010</v>
      </c>
      <c r="B304" s="3" t="s">
        <v>690</v>
      </c>
      <c r="C304" s="3" t="s">
        <v>691</v>
      </c>
      <c r="D304">
        <v>955</v>
      </c>
      <c r="E304" s="6">
        <v>45020</v>
      </c>
      <c r="F304">
        <v>0</v>
      </c>
      <c r="G304">
        <v>0</v>
      </c>
      <c r="H304">
        <v>0</v>
      </c>
      <c r="I304" s="3" t="s">
        <v>28</v>
      </c>
    </row>
    <row r="305" spans="1:10" x14ac:dyDescent="0.35">
      <c r="A305" s="3" t="s">
        <v>9011</v>
      </c>
      <c r="B305" s="3" t="s">
        <v>692</v>
      </c>
      <c r="C305" s="3" t="s">
        <v>693</v>
      </c>
      <c r="D305">
        <v>243</v>
      </c>
      <c r="E305" s="6">
        <v>45732</v>
      </c>
      <c r="F305">
        <v>0</v>
      </c>
      <c r="G305">
        <v>201.798</v>
      </c>
      <c r="H305">
        <v>0.20200000000000001</v>
      </c>
      <c r="I305" s="3" t="s">
        <v>8705</v>
      </c>
    </row>
    <row r="306" spans="1:10" x14ac:dyDescent="0.35">
      <c r="A306" s="3" t="s">
        <v>9012</v>
      </c>
      <c r="B306" s="3" t="s">
        <v>694</v>
      </c>
      <c r="C306" s="3" t="s">
        <v>695</v>
      </c>
      <c r="D306">
        <v>92</v>
      </c>
      <c r="E306" s="6">
        <v>45883</v>
      </c>
      <c r="F306">
        <v>0</v>
      </c>
      <c r="G306">
        <v>3.1920000000000002</v>
      </c>
      <c r="H306">
        <v>2.508</v>
      </c>
      <c r="I306" s="3" t="s">
        <v>8756</v>
      </c>
    </row>
    <row r="307" spans="1:10" x14ac:dyDescent="0.35">
      <c r="A307" s="3" t="s">
        <v>9013</v>
      </c>
      <c r="B307" s="3" t="s">
        <v>696</v>
      </c>
      <c r="C307" s="3" t="s">
        <v>697</v>
      </c>
      <c r="D307">
        <v>58</v>
      </c>
      <c r="E307" s="6">
        <v>45917</v>
      </c>
      <c r="F307">
        <v>0</v>
      </c>
      <c r="G307">
        <v>2.82</v>
      </c>
      <c r="H307">
        <v>0.18</v>
      </c>
      <c r="I307" s="3" t="s">
        <v>8756</v>
      </c>
    </row>
    <row r="308" spans="1:10" x14ac:dyDescent="0.35">
      <c r="A308" s="3" t="s">
        <v>10780</v>
      </c>
      <c r="B308" s="3" t="s">
        <v>4437</v>
      </c>
      <c r="C308" s="3" t="s">
        <v>4438</v>
      </c>
      <c r="D308">
        <v>381</v>
      </c>
      <c r="E308" s="6">
        <v>45594</v>
      </c>
      <c r="F308">
        <v>0</v>
      </c>
      <c r="G308">
        <v>0</v>
      </c>
      <c r="H308">
        <v>0</v>
      </c>
      <c r="I308" s="3" t="s">
        <v>8699</v>
      </c>
      <c r="J308" t="s">
        <v>11383</v>
      </c>
    </row>
    <row r="309" spans="1:10" x14ac:dyDescent="0.35">
      <c r="A309" s="3" t="s">
        <v>9015</v>
      </c>
      <c r="B309" s="3" t="s">
        <v>700</v>
      </c>
      <c r="C309" s="3" t="s">
        <v>701</v>
      </c>
      <c r="D309">
        <v>1</v>
      </c>
      <c r="E309" s="6">
        <v>45974</v>
      </c>
      <c r="F309">
        <v>100</v>
      </c>
      <c r="G309">
        <v>2.4700000000000002</v>
      </c>
      <c r="H309">
        <v>1.33</v>
      </c>
      <c r="I309" s="3" t="s">
        <v>8701</v>
      </c>
    </row>
    <row r="310" spans="1:10" x14ac:dyDescent="0.35">
      <c r="A310" s="3" t="s">
        <v>9016</v>
      </c>
      <c r="B310" s="3" t="s">
        <v>702</v>
      </c>
      <c r="C310" s="3" t="s">
        <v>703</v>
      </c>
      <c r="D310">
        <v>120</v>
      </c>
      <c r="E310" s="6">
        <v>45855</v>
      </c>
      <c r="F310">
        <v>100</v>
      </c>
      <c r="G310">
        <v>0.85100000000000009</v>
      </c>
      <c r="H310">
        <v>1.1990000000000001</v>
      </c>
      <c r="I310" s="3" t="s">
        <v>8705</v>
      </c>
    </row>
    <row r="311" spans="1:10" x14ac:dyDescent="0.35">
      <c r="A311" s="3" t="s">
        <v>11107</v>
      </c>
      <c r="B311" s="3" t="s">
        <v>5131</v>
      </c>
      <c r="C311" s="3" t="s">
        <v>5132</v>
      </c>
      <c r="D311">
        <v>381</v>
      </c>
      <c r="E311" s="6">
        <v>45594</v>
      </c>
      <c r="F311">
        <v>0</v>
      </c>
      <c r="G311">
        <v>0</v>
      </c>
      <c r="H311">
        <v>0</v>
      </c>
      <c r="I311" s="3" t="s">
        <v>8699</v>
      </c>
      <c r="J311" t="s">
        <v>11383</v>
      </c>
    </row>
    <row r="312" spans="1:10" x14ac:dyDescent="0.35">
      <c r="A312" s="3" t="s">
        <v>9018</v>
      </c>
      <c r="B312" s="3" t="s">
        <v>707</v>
      </c>
      <c r="C312" s="3" t="s">
        <v>708</v>
      </c>
      <c r="D312">
        <v>100</v>
      </c>
      <c r="E312" s="6">
        <v>45875</v>
      </c>
      <c r="F312">
        <v>0</v>
      </c>
      <c r="G312">
        <v>21.12</v>
      </c>
      <c r="H312">
        <v>0.88</v>
      </c>
      <c r="I312" s="3" t="s">
        <v>8701</v>
      </c>
    </row>
    <row r="313" spans="1:10" x14ac:dyDescent="0.35">
      <c r="A313" s="3" t="s">
        <v>9019</v>
      </c>
      <c r="B313" s="3" t="s">
        <v>709</v>
      </c>
      <c r="C313" s="3" t="s">
        <v>710</v>
      </c>
      <c r="D313">
        <v>8957</v>
      </c>
      <c r="E313" s="6">
        <v>37018</v>
      </c>
      <c r="F313">
        <v>0</v>
      </c>
      <c r="G313">
        <v>5.88</v>
      </c>
      <c r="H313">
        <v>0.12</v>
      </c>
      <c r="I313" s="3" t="s">
        <v>8768</v>
      </c>
    </row>
    <row r="314" spans="1:10" x14ac:dyDescent="0.35">
      <c r="A314" s="3" t="s">
        <v>10689</v>
      </c>
      <c r="B314" s="3" t="s">
        <v>4245</v>
      </c>
      <c r="C314" s="3" t="s">
        <v>4246</v>
      </c>
      <c r="D314">
        <v>382</v>
      </c>
      <c r="E314" s="6">
        <v>45593</v>
      </c>
      <c r="F314">
        <v>0</v>
      </c>
      <c r="G314">
        <v>0</v>
      </c>
      <c r="H314">
        <v>0</v>
      </c>
      <c r="I314" s="3" t="s">
        <v>8699</v>
      </c>
      <c r="J314" t="s">
        <v>11383</v>
      </c>
    </row>
    <row r="315" spans="1:10" x14ac:dyDescent="0.35">
      <c r="A315" s="3" t="s">
        <v>9021</v>
      </c>
      <c r="B315" s="3" t="s">
        <v>713</v>
      </c>
      <c r="C315" s="3" t="s">
        <v>714</v>
      </c>
      <c r="D315">
        <v>151</v>
      </c>
      <c r="E315" s="6">
        <v>45824</v>
      </c>
      <c r="F315">
        <v>350</v>
      </c>
      <c r="G315">
        <v>2.125</v>
      </c>
      <c r="H315">
        <v>0.375</v>
      </c>
      <c r="I315" s="3" t="s">
        <v>8756</v>
      </c>
    </row>
    <row r="316" spans="1:10" x14ac:dyDescent="0.35">
      <c r="A316" s="3" t="s">
        <v>9797</v>
      </c>
      <c r="B316" s="3" t="s">
        <v>2352</v>
      </c>
      <c r="C316" s="3" t="s">
        <v>2353</v>
      </c>
      <c r="D316">
        <v>386</v>
      </c>
      <c r="E316" s="6">
        <v>45589</v>
      </c>
      <c r="F316">
        <v>0</v>
      </c>
      <c r="G316">
        <v>0</v>
      </c>
      <c r="H316">
        <v>0</v>
      </c>
      <c r="I316" s="3" t="s">
        <v>8699</v>
      </c>
      <c r="J316" t="s">
        <v>11383</v>
      </c>
    </row>
    <row r="317" spans="1:10" x14ac:dyDescent="0.35">
      <c r="A317" s="3" t="s">
        <v>9023</v>
      </c>
      <c r="B317" s="3" t="s">
        <v>717</v>
      </c>
      <c r="C317" s="3" t="s">
        <v>718</v>
      </c>
      <c r="D317">
        <v>318</v>
      </c>
      <c r="E317" s="6">
        <v>45657</v>
      </c>
      <c r="F317">
        <v>50</v>
      </c>
      <c r="G317">
        <v>2.2680000000000002</v>
      </c>
      <c r="H317">
        <v>1.3320000000000001</v>
      </c>
      <c r="I317" s="3" t="s">
        <v>8756</v>
      </c>
    </row>
    <row r="318" spans="1:10" x14ac:dyDescent="0.35">
      <c r="A318" s="3" t="s">
        <v>9915</v>
      </c>
      <c r="B318" s="3" t="s">
        <v>2600</v>
      </c>
      <c r="C318" s="3" t="s">
        <v>2601</v>
      </c>
      <c r="D318">
        <v>386</v>
      </c>
      <c r="E318" s="6">
        <v>45589</v>
      </c>
      <c r="F318">
        <v>0</v>
      </c>
      <c r="G318">
        <v>43.56</v>
      </c>
      <c r="H318">
        <v>0.44</v>
      </c>
      <c r="I318" s="3" t="s">
        <v>8699</v>
      </c>
      <c r="J318" t="s">
        <v>11383</v>
      </c>
    </row>
    <row r="319" spans="1:10" x14ac:dyDescent="0.35">
      <c r="A319" s="3" t="s">
        <v>10168</v>
      </c>
      <c r="B319" s="3" t="s">
        <v>3143</v>
      </c>
      <c r="C319" s="3" t="s">
        <v>3144</v>
      </c>
      <c r="D319">
        <v>386</v>
      </c>
      <c r="E319" s="6">
        <v>45589</v>
      </c>
      <c r="F319">
        <v>0</v>
      </c>
      <c r="G319">
        <v>21.018000000000001</v>
      </c>
      <c r="H319">
        <v>0.21200000000000002</v>
      </c>
      <c r="I319" s="3" t="s">
        <v>8699</v>
      </c>
      <c r="J319" t="s">
        <v>11383</v>
      </c>
    </row>
    <row r="320" spans="1:10" x14ac:dyDescent="0.35">
      <c r="A320" s="3" t="s">
        <v>9026</v>
      </c>
      <c r="B320" s="3" t="s">
        <v>725</v>
      </c>
      <c r="C320" s="3" t="s">
        <v>726</v>
      </c>
      <c r="D320">
        <v>955</v>
      </c>
      <c r="E320" s="6">
        <v>45020</v>
      </c>
      <c r="F320">
        <v>0</v>
      </c>
      <c r="G320">
        <v>0</v>
      </c>
      <c r="H320">
        <v>0</v>
      </c>
      <c r="I320" s="3" t="s">
        <v>28</v>
      </c>
    </row>
    <row r="321" spans="1:10" x14ac:dyDescent="0.35">
      <c r="A321" s="3" t="s">
        <v>9027</v>
      </c>
      <c r="B321" s="3" t="s">
        <v>727</v>
      </c>
      <c r="C321" s="3" t="s">
        <v>728</v>
      </c>
      <c r="D321">
        <v>726</v>
      </c>
      <c r="E321" s="6">
        <v>45249</v>
      </c>
      <c r="F321">
        <v>0</v>
      </c>
      <c r="G321">
        <v>0</v>
      </c>
      <c r="H321">
        <v>0</v>
      </c>
      <c r="I321" s="3" t="s">
        <v>28</v>
      </c>
    </row>
    <row r="322" spans="1:10" x14ac:dyDescent="0.35">
      <c r="A322" s="3" t="s">
        <v>10278</v>
      </c>
      <c r="B322" s="3" t="s">
        <v>3375</v>
      </c>
      <c r="C322" s="3" t="s">
        <v>3376</v>
      </c>
      <c r="D322">
        <v>386</v>
      </c>
      <c r="E322" s="6">
        <v>45589</v>
      </c>
      <c r="F322">
        <v>0</v>
      </c>
      <c r="G322">
        <v>6.2780000000000005</v>
      </c>
      <c r="H322">
        <v>1.022</v>
      </c>
      <c r="I322" s="3" t="s">
        <v>8699</v>
      </c>
      <c r="J322" t="s">
        <v>11383</v>
      </c>
    </row>
    <row r="323" spans="1:10" x14ac:dyDescent="0.35">
      <c r="A323" s="3" t="s">
        <v>10956</v>
      </c>
      <c r="B323" s="3" t="s">
        <v>4805</v>
      </c>
      <c r="C323" s="3" t="s">
        <v>4806</v>
      </c>
      <c r="D323">
        <v>386</v>
      </c>
      <c r="E323" s="6">
        <v>45589</v>
      </c>
      <c r="F323">
        <v>0</v>
      </c>
      <c r="G323">
        <v>0</v>
      </c>
      <c r="H323">
        <v>0</v>
      </c>
      <c r="I323" s="3" t="s">
        <v>8699</v>
      </c>
      <c r="J323" t="s">
        <v>11383</v>
      </c>
    </row>
    <row r="324" spans="1:10" x14ac:dyDescent="0.35">
      <c r="A324" s="3" t="s">
        <v>11057</v>
      </c>
      <c r="B324" s="3" t="s">
        <v>5027</v>
      </c>
      <c r="C324" s="3" t="s">
        <v>5028</v>
      </c>
      <c r="D324">
        <v>386</v>
      </c>
      <c r="E324" s="6">
        <v>45589</v>
      </c>
      <c r="F324">
        <v>100</v>
      </c>
      <c r="G324">
        <v>30.555</v>
      </c>
      <c r="H324">
        <v>0.94500000000000006</v>
      </c>
      <c r="I324" s="3" t="s">
        <v>8699</v>
      </c>
      <c r="J324" t="s">
        <v>11383</v>
      </c>
    </row>
    <row r="325" spans="1:10" x14ac:dyDescent="0.35">
      <c r="A325" s="3" t="s">
        <v>9031</v>
      </c>
      <c r="B325" s="3" t="s">
        <v>735</v>
      </c>
      <c r="C325" s="3" t="s">
        <v>736</v>
      </c>
      <c r="D325">
        <v>23</v>
      </c>
      <c r="E325" s="6">
        <v>45952</v>
      </c>
      <c r="F325">
        <v>0</v>
      </c>
      <c r="G325">
        <v>1.2E-2</v>
      </c>
      <c r="H325">
        <v>0.28800000000000003</v>
      </c>
      <c r="I325" s="3" t="s">
        <v>8712</v>
      </c>
    </row>
    <row r="326" spans="1:10" x14ac:dyDescent="0.35">
      <c r="A326" s="3" t="s">
        <v>8926</v>
      </c>
      <c r="B326" s="3" t="s">
        <v>511</v>
      </c>
      <c r="C326" s="3" t="s">
        <v>512</v>
      </c>
      <c r="D326">
        <v>387</v>
      </c>
      <c r="E326" s="6">
        <v>45588</v>
      </c>
      <c r="F326">
        <v>0</v>
      </c>
      <c r="G326">
        <v>0</v>
      </c>
      <c r="H326">
        <v>0</v>
      </c>
      <c r="I326" s="3" t="s">
        <v>8699</v>
      </c>
      <c r="J326" t="s">
        <v>11383</v>
      </c>
    </row>
    <row r="327" spans="1:10" x14ac:dyDescent="0.35">
      <c r="A327" s="3" t="s">
        <v>9033</v>
      </c>
      <c r="B327" s="3" t="s">
        <v>739</v>
      </c>
      <c r="C327" s="3" t="s">
        <v>740</v>
      </c>
      <c r="D327">
        <v>23</v>
      </c>
      <c r="E327" s="6">
        <v>45952</v>
      </c>
      <c r="F327">
        <v>0</v>
      </c>
      <c r="G327">
        <v>5.0000000000000001E-3</v>
      </c>
      <c r="H327">
        <v>0.115</v>
      </c>
      <c r="I327" s="3" t="s">
        <v>8712</v>
      </c>
    </row>
    <row r="328" spans="1:10" x14ac:dyDescent="0.35">
      <c r="A328" s="3" t="s">
        <v>9171</v>
      </c>
      <c r="B328" s="3" t="s">
        <v>1026</v>
      </c>
      <c r="C328" s="3" t="s">
        <v>1027</v>
      </c>
      <c r="D328">
        <v>387</v>
      </c>
      <c r="E328" s="6">
        <v>45588</v>
      </c>
      <c r="F328">
        <v>0</v>
      </c>
      <c r="G328">
        <v>0</v>
      </c>
      <c r="H328">
        <v>0</v>
      </c>
      <c r="I328" s="3" t="s">
        <v>8699</v>
      </c>
      <c r="J328" t="s">
        <v>11383</v>
      </c>
    </row>
    <row r="329" spans="1:10" x14ac:dyDescent="0.35">
      <c r="A329" s="3" t="s">
        <v>10495</v>
      </c>
      <c r="B329" s="3" t="s">
        <v>3839</v>
      </c>
      <c r="C329" s="3" t="s">
        <v>3840</v>
      </c>
      <c r="D329">
        <v>387</v>
      </c>
      <c r="E329" s="6">
        <v>45588</v>
      </c>
      <c r="F329">
        <v>0</v>
      </c>
      <c r="G329">
        <v>0</v>
      </c>
      <c r="H329">
        <v>0</v>
      </c>
      <c r="I329" s="3" t="s">
        <v>8699</v>
      </c>
      <c r="J329" t="s">
        <v>11383</v>
      </c>
    </row>
    <row r="330" spans="1:10" x14ac:dyDescent="0.35">
      <c r="A330" s="3" t="s">
        <v>9036</v>
      </c>
      <c r="B330" s="3" t="s">
        <v>745</v>
      </c>
      <c r="C330" s="3" t="s">
        <v>746</v>
      </c>
      <c r="D330">
        <v>46</v>
      </c>
      <c r="E330" s="6">
        <v>45929</v>
      </c>
      <c r="F330">
        <v>0</v>
      </c>
      <c r="G330">
        <v>17.93</v>
      </c>
      <c r="H330">
        <v>0.46</v>
      </c>
      <c r="I330" s="3" t="s">
        <v>8703</v>
      </c>
    </row>
    <row r="331" spans="1:10" x14ac:dyDescent="0.35">
      <c r="A331" s="3" t="s">
        <v>9037</v>
      </c>
      <c r="B331" s="3" t="s">
        <v>747</v>
      </c>
      <c r="C331" s="3" t="s">
        <v>748</v>
      </c>
      <c r="D331">
        <v>46</v>
      </c>
      <c r="E331" s="6">
        <v>45929</v>
      </c>
      <c r="F331">
        <v>0</v>
      </c>
      <c r="G331">
        <v>34.56</v>
      </c>
      <c r="H331">
        <v>1.44</v>
      </c>
      <c r="I331" s="3" t="s">
        <v>8756</v>
      </c>
    </row>
    <row r="332" spans="1:10" x14ac:dyDescent="0.35">
      <c r="A332" s="3" t="s">
        <v>11024</v>
      </c>
      <c r="B332" s="3" t="s">
        <v>4958</v>
      </c>
      <c r="C332" s="3" t="s">
        <v>4959</v>
      </c>
      <c r="D332">
        <v>387</v>
      </c>
      <c r="E332" s="6">
        <v>45588</v>
      </c>
      <c r="F332">
        <v>0</v>
      </c>
      <c r="G332">
        <v>0</v>
      </c>
      <c r="H332">
        <v>0</v>
      </c>
      <c r="I332" s="3" t="s">
        <v>8699</v>
      </c>
      <c r="J332" t="s">
        <v>11383</v>
      </c>
    </row>
    <row r="333" spans="1:10" x14ac:dyDescent="0.35">
      <c r="A333" s="3" t="s">
        <v>11314</v>
      </c>
      <c r="B333" s="3" t="s">
        <v>5565</v>
      </c>
      <c r="C333" s="3" t="s">
        <v>5566</v>
      </c>
      <c r="D333">
        <v>387</v>
      </c>
      <c r="E333" s="6">
        <v>45588</v>
      </c>
      <c r="F333">
        <v>0</v>
      </c>
      <c r="G333">
        <v>0</v>
      </c>
      <c r="H333">
        <v>0</v>
      </c>
      <c r="I333" s="3" t="s">
        <v>8699</v>
      </c>
      <c r="J333" t="s">
        <v>11383</v>
      </c>
    </row>
    <row r="334" spans="1:10" x14ac:dyDescent="0.35">
      <c r="A334" s="3" t="s">
        <v>9040</v>
      </c>
      <c r="B334" s="3" t="s">
        <v>755</v>
      </c>
      <c r="C334" s="3" t="s">
        <v>756</v>
      </c>
      <c r="D334">
        <v>166</v>
      </c>
      <c r="E334" s="6">
        <v>45809</v>
      </c>
      <c r="F334">
        <v>100</v>
      </c>
      <c r="G334">
        <v>12.876000000000001</v>
      </c>
      <c r="H334">
        <v>1.9240000000000002</v>
      </c>
      <c r="I334" s="3" t="s">
        <v>8701</v>
      </c>
    </row>
    <row r="335" spans="1:10" x14ac:dyDescent="0.35">
      <c r="A335" s="3" t="s">
        <v>9041</v>
      </c>
      <c r="B335" s="3" t="s">
        <v>757</v>
      </c>
      <c r="C335" s="3" t="s">
        <v>758</v>
      </c>
      <c r="D335">
        <v>26</v>
      </c>
      <c r="E335" s="6">
        <v>45949</v>
      </c>
      <c r="F335">
        <v>0</v>
      </c>
      <c r="G335">
        <v>89.100000000000009</v>
      </c>
      <c r="H335">
        <v>0.9</v>
      </c>
      <c r="I335" s="3" t="s">
        <v>8701</v>
      </c>
    </row>
    <row r="336" spans="1:10" x14ac:dyDescent="0.35">
      <c r="A336" s="3" t="s">
        <v>9042</v>
      </c>
      <c r="B336" s="3" t="s">
        <v>759</v>
      </c>
      <c r="C336" s="3" t="s">
        <v>760</v>
      </c>
      <c r="D336">
        <v>49</v>
      </c>
      <c r="E336" s="6">
        <v>45926</v>
      </c>
      <c r="F336">
        <v>100</v>
      </c>
      <c r="G336">
        <v>13.5</v>
      </c>
      <c r="H336">
        <v>1.5</v>
      </c>
      <c r="I336" s="3" t="s">
        <v>8701</v>
      </c>
    </row>
    <row r="337" spans="1:10" x14ac:dyDescent="0.35">
      <c r="A337" s="3" t="s">
        <v>9043</v>
      </c>
      <c r="B337" s="3" t="s">
        <v>761</v>
      </c>
      <c r="C337" s="3" t="s">
        <v>762</v>
      </c>
      <c r="D337">
        <v>29</v>
      </c>
      <c r="E337" s="6">
        <v>45946</v>
      </c>
      <c r="F337">
        <v>0</v>
      </c>
      <c r="G337">
        <v>41.800000000000004</v>
      </c>
      <c r="H337">
        <v>2.2000000000000002</v>
      </c>
      <c r="I337" s="3" t="s">
        <v>8701</v>
      </c>
    </row>
    <row r="338" spans="1:10" x14ac:dyDescent="0.35">
      <c r="A338" s="3" t="s">
        <v>9044</v>
      </c>
      <c r="B338" s="3" t="s">
        <v>763</v>
      </c>
      <c r="C338" s="3" t="s">
        <v>764</v>
      </c>
      <c r="D338">
        <v>125</v>
      </c>
      <c r="E338" s="6">
        <v>45850</v>
      </c>
      <c r="F338">
        <v>0</v>
      </c>
      <c r="G338">
        <v>0.26100000000000001</v>
      </c>
      <c r="H338">
        <v>0.60899999999999999</v>
      </c>
      <c r="I338" s="3" t="s">
        <v>8729</v>
      </c>
    </row>
    <row r="339" spans="1:10" x14ac:dyDescent="0.35">
      <c r="A339" s="3" t="s">
        <v>9045</v>
      </c>
      <c r="B339" s="3" t="s">
        <v>765</v>
      </c>
      <c r="C339" s="3" t="s">
        <v>766</v>
      </c>
      <c r="D339">
        <v>121</v>
      </c>
      <c r="E339" s="6">
        <v>45854</v>
      </c>
      <c r="F339">
        <v>100</v>
      </c>
      <c r="G339">
        <v>103.28100000000001</v>
      </c>
      <c r="H339">
        <v>0.51900000000000002</v>
      </c>
      <c r="I339" s="3" t="s">
        <v>8701</v>
      </c>
    </row>
    <row r="340" spans="1:10" x14ac:dyDescent="0.35">
      <c r="A340" s="3" t="s">
        <v>9046</v>
      </c>
      <c r="B340" s="3" t="s">
        <v>767</v>
      </c>
      <c r="C340" s="3" t="s">
        <v>768</v>
      </c>
      <c r="D340">
        <v>129</v>
      </c>
      <c r="E340" s="6">
        <v>45846</v>
      </c>
      <c r="F340">
        <v>100</v>
      </c>
      <c r="G340">
        <v>7.1520000000000001</v>
      </c>
      <c r="H340">
        <v>0.29799999999999999</v>
      </c>
      <c r="I340" s="3" t="s">
        <v>8701</v>
      </c>
    </row>
    <row r="341" spans="1:10" x14ac:dyDescent="0.35">
      <c r="A341" s="3" t="s">
        <v>9047</v>
      </c>
      <c r="B341" s="3" t="s">
        <v>769</v>
      </c>
      <c r="C341" s="3" t="s">
        <v>770</v>
      </c>
      <c r="D341">
        <v>78</v>
      </c>
      <c r="E341" s="6">
        <v>45897</v>
      </c>
      <c r="F341">
        <v>100</v>
      </c>
      <c r="G341">
        <v>19.580000000000002</v>
      </c>
      <c r="H341">
        <v>2.42</v>
      </c>
      <c r="I341" s="3" t="s">
        <v>8915</v>
      </c>
    </row>
    <row r="342" spans="1:10" x14ac:dyDescent="0.35">
      <c r="A342" s="3" t="s">
        <v>9281</v>
      </c>
      <c r="B342" s="3" t="s">
        <v>1258</v>
      </c>
      <c r="C342" s="3" t="s">
        <v>1259</v>
      </c>
      <c r="D342">
        <v>388</v>
      </c>
      <c r="E342" s="6">
        <v>45587</v>
      </c>
      <c r="F342">
        <v>0</v>
      </c>
      <c r="G342">
        <v>0</v>
      </c>
      <c r="H342">
        <v>0</v>
      </c>
      <c r="I342" s="3" t="s">
        <v>8699</v>
      </c>
      <c r="J342" t="s">
        <v>11383</v>
      </c>
    </row>
    <row r="343" spans="1:10" x14ac:dyDescent="0.35">
      <c r="A343" s="3" t="s">
        <v>8869</v>
      </c>
      <c r="B343" s="3" t="s">
        <v>394</v>
      </c>
      <c r="C343" s="3" t="s">
        <v>395</v>
      </c>
      <c r="D343">
        <v>389</v>
      </c>
      <c r="E343" s="6">
        <v>45586</v>
      </c>
      <c r="F343">
        <v>0</v>
      </c>
      <c r="G343">
        <v>47.04</v>
      </c>
      <c r="H343">
        <v>0.96</v>
      </c>
      <c r="I343" s="3" t="s">
        <v>8699</v>
      </c>
      <c r="J343" t="s">
        <v>11383</v>
      </c>
    </row>
    <row r="344" spans="1:10" x14ac:dyDescent="0.35">
      <c r="A344" s="3" t="s">
        <v>9050</v>
      </c>
      <c r="B344" s="3" t="s">
        <v>776</v>
      </c>
      <c r="C344" s="3" t="s">
        <v>777</v>
      </c>
      <c r="D344">
        <v>22</v>
      </c>
      <c r="E344" s="6">
        <v>45953</v>
      </c>
      <c r="F344">
        <v>0</v>
      </c>
      <c r="G344">
        <v>2.077</v>
      </c>
      <c r="H344">
        <v>1.0230000000000001</v>
      </c>
      <c r="I344" s="3" t="s">
        <v>8705</v>
      </c>
    </row>
    <row r="345" spans="1:10" x14ac:dyDescent="0.35">
      <c r="A345" s="3" t="s">
        <v>9051</v>
      </c>
      <c r="B345" s="3" t="s">
        <v>778</v>
      </c>
      <c r="C345" s="3" t="s">
        <v>779</v>
      </c>
      <c r="D345">
        <v>955</v>
      </c>
      <c r="E345" s="6">
        <v>45020</v>
      </c>
      <c r="F345">
        <v>0</v>
      </c>
      <c r="G345">
        <v>0</v>
      </c>
      <c r="H345">
        <v>0</v>
      </c>
      <c r="I345" s="3" t="s">
        <v>28</v>
      </c>
    </row>
    <row r="346" spans="1:10" x14ac:dyDescent="0.35">
      <c r="A346" s="3" t="s">
        <v>9052</v>
      </c>
      <c r="B346" s="3" t="s">
        <v>780</v>
      </c>
      <c r="C346" s="3" t="s">
        <v>781</v>
      </c>
      <c r="D346">
        <v>955</v>
      </c>
      <c r="E346" s="6">
        <v>45020</v>
      </c>
      <c r="F346">
        <v>0</v>
      </c>
      <c r="G346">
        <v>0</v>
      </c>
      <c r="H346">
        <v>0</v>
      </c>
      <c r="I346" s="3" t="s">
        <v>28</v>
      </c>
    </row>
    <row r="347" spans="1:10" x14ac:dyDescent="0.35">
      <c r="A347" s="3" t="s">
        <v>9053</v>
      </c>
      <c r="B347" s="3" t="s">
        <v>782</v>
      </c>
      <c r="C347" s="3" t="s">
        <v>783</v>
      </c>
      <c r="D347">
        <v>5831</v>
      </c>
      <c r="E347" s="6">
        <v>40144</v>
      </c>
      <c r="F347">
        <v>0</v>
      </c>
      <c r="G347">
        <v>0</v>
      </c>
      <c r="H347">
        <v>0</v>
      </c>
      <c r="I347" s="3" t="s">
        <v>28</v>
      </c>
    </row>
    <row r="348" spans="1:10" x14ac:dyDescent="0.35">
      <c r="A348" s="3" t="s">
        <v>9054</v>
      </c>
      <c r="B348" s="3" t="s">
        <v>784</v>
      </c>
      <c r="C348" s="3" t="s">
        <v>785</v>
      </c>
      <c r="D348">
        <v>46</v>
      </c>
      <c r="E348" s="6">
        <v>45929</v>
      </c>
      <c r="F348">
        <v>0</v>
      </c>
      <c r="G348">
        <v>30.400000000000002</v>
      </c>
      <c r="H348">
        <v>1.6</v>
      </c>
      <c r="I348" s="3" t="s">
        <v>8701</v>
      </c>
    </row>
    <row r="349" spans="1:10" x14ac:dyDescent="0.35">
      <c r="A349" s="3" t="s">
        <v>9055</v>
      </c>
      <c r="B349" s="3" t="s">
        <v>786</v>
      </c>
      <c r="C349" s="3" t="s">
        <v>787</v>
      </c>
      <c r="D349">
        <v>101</v>
      </c>
      <c r="E349" s="6">
        <v>45874</v>
      </c>
      <c r="F349">
        <v>0</v>
      </c>
      <c r="G349">
        <v>0.68</v>
      </c>
      <c r="H349">
        <v>1.02</v>
      </c>
      <c r="I349" s="3" t="s">
        <v>8756</v>
      </c>
    </row>
    <row r="350" spans="1:10" x14ac:dyDescent="0.35">
      <c r="A350" s="3" t="s">
        <v>9056</v>
      </c>
      <c r="B350" s="3" t="s">
        <v>788</v>
      </c>
      <c r="C350" s="3" t="s">
        <v>789</v>
      </c>
      <c r="D350">
        <v>92</v>
      </c>
      <c r="E350" s="6">
        <v>45883</v>
      </c>
      <c r="F350">
        <v>90</v>
      </c>
      <c r="G350">
        <v>1.78</v>
      </c>
      <c r="H350">
        <v>2.67</v>
      </c>
      <c r="I350" s="3" t="s">
        <v>8756</v>
      </c>
    </row>
    <row r="351" spans="1:10" x14ac:dyDescent="0.35">
      <c r="A351" s="3" t="s">
        <v>9057</v>
      </c>
      <c r="B351" s="3" t="s">
        <v>790</v>
      </c>
      <c r="C351" s="3" t="s">
        <v>791</v>
      </c>
      <c r="D351">
        <v>955</v>
      </c>
      <c r="E351" s="6">
        <v>45020</v>
      </c>
      <c r="F351">
        <v>0</v>
      </c>
      <c r="G351">
        <v>0</v>
      </c>
      <c r="H351">
        <v>0</v>
      </c>
      <c r="I351" s="3" t="s">
        <v>28</v>
      </c>
    </row>
    <row r="352" spans="1:10" x14ac:dyDescent="0.35">
      <c r="A352" s="3" t="s">
        <v>9373</v>
      </c>
      <c r="B352" s="3" t="s">
        <v>1455</v>
      </c>
      <c r="C352" s="3" t="s">
        <v>1456</v>
      </c>
      <c r="D352">
        <v>389</v>
      </c>
      <c r="E352" s="6">
        <v>45586</v>
      </c>
      <c r="F352">
        <v>0</v>
      </c>
      <c r="G352">
        <v>0</v>
      </c>
      <c r="H352">
        <v>0</v>
      </c>
      <c r="I352" s="3" t="s">
        <v>8699</v>
      </c>
      <c r="J352" t="s">
        <v>11383</v>
      </c>
    </row>
    <row r="353" spans="1:10" x14ac:dyDescent="0.35">
      <c r="A353" s="3" t="s">
        <v>10334</v>
      </c>
      <c r="B353" s="3" t="s">
        <v>3492</v>
      </c>
      <c r="C353" s="3" t="s">
        <v>3493</v>
      </c>
      <c r="D353">
        <v>389</v>
      </c>
      <c r="E353" s="6">
        <v>45586</v>
      </c>
      <c r="F353">
        <v>0</v>
      </c>
      <c r="G353">
        <v>0</v>
      </c>
      <c r="H353">
        <v>0</v>
      </c>
      <c r="I353" s="3" t="s">
        <v>8699</v>
      </c>
      <c r="J353" t="s">
        <v>11383</v>
      </c>
    </row>
    <row r="354" spans="1:10" x14ac:dyDescent="0.35">
      <c r="A354" s="3" t="s">
        <v>9060</v>
      </c>
      <c r="B354" s="3" t="s">
        <v>797</v>
      </c>
      <c r="C354" s="3" t="s">
        <v>798</v>
      </c>
      <c r="D354">
        <v>100</v>
      </c>
      <c r="E354" s="6">
        <v>45875</v>
      </c>
      <c r="F354">
        <v>0</v>
      </c>
      <c r="G354">
        <v>0.42</v>
      </c>
      <c r="H354">
        <v>2.58</v>
      </c>
      <c r="I354" s="3" t="s">
        <v>8701</v>
      </c>
    </row>
    <row r="355" spans="1:10" x14ac:dyDescent="0.35">
      <c r="A355" s="3" t="s">
        <v>9061</v>
      </c>
      <c r="B355" s="3" t="s">
        <v>799</v>
      </c>
      <c r="C355" s="3" t="s">
        <v>800</v>
      </c>
      <c r="D355">
        <v>955</v>
      </c>
      <c r="E355" s="6">
        <v>45020</v>
      </c>
      <c r="F355">
        <v>0</v>
      </c>
      <c r="G355">
        <v>0</v>
      </c>
      <c r="H355">
        <v>0</v>
      </c>
      <c r="I355" s="3" t="s">
        <v>28</v>
      </c>
    </row>
    <row r="356" spans="1:10" x14ac:dyDescent="0.35">
      <c r="A356" s="3" t="s">
        <v>9062</v>
      </c>
      <c r="B356" s="3" t="s">
        <v>801</v>
      </c>
      <c r="C356" s="3" t="s">
        <v>802</v>
      </c>
      <c r="D356">
        <v>955</v>
      </c>
      <c r="E356" s="6">
        <v>45020</v>
      </c>
      <c r="F356">
        <v>0</v>
      </c>
      <c r="G356">
        <v>0</v>
      </c>
      <c r="H356">
        <v>0</v>
      </c>
      <c r="I356" s="3" t="s">
        <v>28</v>
      </c>
    </row>
    <row r="357" spans="1:10" x14ac:dyDescent="0.35">
      <c r="A357" s="3" t="s">
        <v>9063</v>
      </c>
      <c r="B357" s="3" t="s">
        <v>803</v>
      </c>
      <c r="C357" s="3" t="s">
        <v>804</v>
      </c>
      <c r="D357">
        <v>29</v>
      </c>
      <c r="E357" s="6">
        <v>45946</v>
      </c>
      <c r="F357">
        <v>0</v>
      </c>
      <c r="G357">
        <v>1.2E-2</v>
      </c>
      <c r="H357">
        <v>0.28800000000000003</v>
      </c>
      <c r="I357" s="3" t="s">
        <v>8712</v>
      </c>
    </row>
    <row r="358" spans="1:10" x14ac:dyDescent="0.35">
      <c r="A358" s="3" t="s">
        <v>9064</v>
      </c>
      <c r="B358" s="3" t="s">
        <v>805</v>
      </c>
      <c r="C358" s="3" t="s">
        <v>806</v>
      </c>
      <c r="D358">
        <v>23</v>
      </c>
      <c r="E358" s="6">
        <v>45952</v>
      </c>
      <c r="F358">
        <v>10</v>
      </c>
      <c r="G358">
        <v>0.27</v>
      </c>
      <c r="H358">
        <v>0.73</v>
      </c>
      <c r="I358" s="3" t="s">
        <v>8705</v>
      </c>
    </row>
    <row r="359" spans="1:10" x14ac:dyDescent="0.35">
      <c r="A359" s="3" t="s">
        <v>11064</v>
      </c>
      <c r="B359" s="3" t="s">
        <v>5041</v>
      </c>
      <c r="C359" s="3" t="s">
        <v>5042</v>
      </c>
      <c r="D359">
        <v>389</v>
      </c>
      <c r="E359" s="6">
        <v>45586</v>
      </c>
      <c r="F359">
        <v>0</v>
      </c>
      <c r="G359">
        <v>0.2</v>
      </c>
      <c r="H359">
        <v>0.8</v>
      </c>
      <c r="I359" s="3" t="s">
        <v>8699</v>
      </c>
      <c r="J359" t="s">
        <v>11383</v>
      </c>
    </row>
    <row r="360" spans="1:10" x14ac:dyDescent="0.35">
      <c r="A360" s="3" t="s">
        <v>9066</v>
      </c>
      <c r="B360" s="3" t="s">
        <v>811</v>
      </c>
      <c r="C360" s="3" t="s">
        <v>812</v>
      </c>
      <c r="D360">
        <v>49</v>
      </c>
      <c r="E360" s="6">
        <v>45926</v>
      </c>
      <c r="F360">
        <v>0</v>
      </c>
      <c r="G360">
        <v>0.79800000000000004</v>
      </c>
      <c r="H360">
        <v>1.302</v>
      </c>
      <c r="I360" s="3" t="s">
        <v>8756</v>
      </c>
    </row>
    <row r="361" spans="1:10" x14ac:dyDescent="0.35">
      <c r="A361" s="3" t="s">
        <v>10109</v>
      </c>
      <c r="B361" s="3" t="s">
        <v>3020</v>
      </c>
      <c r="C361" s="3" t="s">
        <v>3021</v>
      </c>
      <c r="D361">
        <v>392</v>
      </c>
      <c r="E361" s="6">
        <v>45583</v>
      </c>
      <c r="F361">
        <v>0</v>
      </c>
      <c r="G361">
        <v>8.8350000000000009</v>
      </c>
      <c r="H361">
        <v>0.66500000000000004</v>
      </c>
      <c r="I361" s="3" t="s">
        <v>8699</v>
      </c>
      <c r="J361" t="s">
        <v>11383</v>
      </c>
    </row>
    <row r="362" spans="1:10" x14ac:dyDescent="0.35">
      <c r="A362" s="3" t="s">
        <v>9668</v>
      </c>
      <c r="B362" s="3" t="s">
        <v>2076</v>
      </c>
      <c r="C362" s="3" t="s">
        <v>2077</v>
      </c>
      <c r="D362">
        <v>393</v>
      </c>
      <c r="E362" s="6">
        <v>45582</v>
      </c>
      <c r="F362">
        <v>0</v>
      </c>
      <c r="G362">
        <v>49.5</v>
      </c>
      <c r="H362">
        <v>0.5</v>
      </c>
      <c r="I362" s="3" t="s">
        <v>8699</v>
      </c>
      <c r="J362" t="s">
        <v>11383</v>
      </c>
    </row>
    <row r="363" spans="1:10" x14ac:dyDescent="0.35">
      <c r="A363" s="3" t="s">
        <v>9069</v>
      </c>
      <c r="B363" s="3" t="s">
        <v>817</v>
      </c>
      <c r="C363" s="3" t="s">
        <v>818</v>
      </c>
      <c r="D363">
        <v>108</v>
      </c>
      <c r="E363" s="6">
        <v>45867</v>
      </c>
      <c r="F363">
        <v>100</v>
      </c>
      <c r="G363">
        <v>2.7</v>
      </c>
      <c r="H363">
        <v>3.3000000000000003</v>
      </c>
      <c r="I363" s="3" t="s">
        <v>8729</v>
      </c>
    </row>
    <row r="364" spans="1:10" x14ac:dyDescent="0.35">
      <c r="A364" s="3" t="s">
        <v>9557</v>
      </c>
      <c r="B364" s="3" t="s">
        <v>1839</v>
      </c>
      <c r="C364" s="3" t="s">
        <v>1840</v>
      </c>
      <c r="D364">
        <v>394</v>
      </c>
      <c r="E364" s="6">
        <v>45581</v>
      </c>
      <c r="F364">
        <v>0</v>
      </c>
      <c r="G364">
        <v>14.308</v>
      </c>
      <c r="H364">
        <v>0.29200000000000004</v>
      </c>
      <c r="I364" s="3" t="s">
        <v>8699</v>
      </c>
      <c r="J364" t="s">
        <v>11383</v>
      </c>
    </row>
    <row r="365" spans="1:10" x14ac:dyDescent="0.35">
      <c r="A365" s="3" t="s">
        <v>9993</v>
      </c>
      <c r="B365" s="3" t="s">
        <v>2765</v>
      </c>
      <c r="C365" s="3" t="s">
        <v>2766</v>
      </c>
      <c r="D365">
        <v>403</v>
      </c>
      <c r="E365" s="6">
        <v>45572</v>
      </c>
      <c r="F365">
        <v>300</v>
      </c>
      <c r="G365">
        <v>6.5</v>
      </c>
      <c r="H365">
        <v>3.5</v>
      </c>
      <c r="I365" s="3" t="s">
        <v>8699</v>
      </c>
      <c r="J365" t="s">
        <v>11383</v>
      </c>
    </row>
    <row r="366" spans="1:10" x14ac:dyDescent="0.35">
      <c r="A366" s="3" t="s">
        <v>9680</v>
      </c>
      <c r="B366" s="3" t="s">
        <v>2101</v>
      </c>
      <c r="C366" s="3" t="s">
        <v>2102</v>
      </c>
      <c r="D366">
        <v>424</v>
      </c>
      <c r="E366" s="6">
        <v>45551</v>
      </c>
      <c r="F366">
        <v>100</v>
      </c>
      <c r="G366">
        <v>25.740000000000002</v>
      </c>
      <c r="H366">
        <v>0.26</v>
      </c>
      <c r="I366" s="3" t="s">
        <v>8699</v>
      </c>
    </row>
    <row r="367" spans="1:10" x14ac:dyDescent="0.35">
      <c r="A367" s="3" t="s">
        <v>9959</v>
      </c>
      <c r="B367" s="3" t="s">
        <v>2697</v>
      </c>
      <c r="C367" s="3" t="s">
        <v>2698</v>
      </c>
      <c r="D367">
        <v>424</v>
      </c>
      <c r="E367" s="6">
        <v>45551</v>
      </c>
      <c r="F367">
        <v>100</v>
      </c>
      <c r="G367">
        <v>2.2320000000000002</v>
      </c>
      <c r="H367">
        <v>1.3680000000000001</v>
      </c>
      <c r="I367" s="3" t="s">
        <v>8699</v>
      </c>
    </row>
    <row r="368" spans="1:10" x14ac:dyDescent="0.35">
      <c r="A368" s="3" t="s">
        <v>9074</v>
      </c>
      <c r="B368" s="3" t="s">
        <v>829</v>
      </c>
      <c r="C368" s="3" t="s">
        <v>830</v>
      </c>
      <c r="D368">
        <v>6856</v>
      </c>
      <c r="E368" s="6">
        <v>39119</v>
      </c>
      <c r="F368">
        <v>0</v>
      </c>
      <c r="G368">
        <v>0</v>
      </c>
      <c r="H368">
        <v>0</v>
      </c>
      <c r="I368" s="3" t="s">
        <v>28</v>
      </c>
    </row>
    <row r="369" spans="1:9" x14ac:dyDescent="0.35">
      <c r="A369" s="3" t="s">
        <v>9075</v>
      </c>
      <c r="B369" s="3" t="s">
        <v>831</v>
      </c>
      <c r="C369" s="3" t="s">
        <v>832</v>
      </c>
      <c r="D369">
        <v>49</v>
      </c>
      <c r="E369" s="6">
        <v>45926</v>
      </c>
      <c r="F369">
        <v>0</v>
      </c>
      <c r="G369">
        <v>0.51200000000000001</v>
      </c>
      <c r="H369">
        <v>1.0880000000000001</v>
      </c>
      <c r="I369" s="3" t="s">
        <v>8701</v>
      </c>
    </row>
    <row r="370" spans="1:9" x14ac:dyDescent="0.35">
      <c r="A370" s="3" t="s">
        <v>10411</v>
      </c>
      <c r="B370" s="3" t="s">
        <v>3657</v>
      </c>
      <c r="C370" s="3" t="s">
        <v>3658</v>
      </c>
      <c r="D370">
        <v>434</v>
      </c>
      <c r="E370" s="6">
        <v>45541</v>
      </c>
      <c r="F370">
        <v>0</v>
      </c>
      <c r="G370">
        <v>0</v>
      </c>
      <c r="H370">
        <v>0</v>
      </c>
      <c r="I370" s="3" t="s">
        <v>8699</v>
      </c>
    </row>
    <row r="371" spans="1:9" x14ac:dyDescent="0.35">
      <c r="A371" s="3" t="s">
        <v>9077</v>
      </c>
      <c r="B371" s="3" t="s">
        <v>835</v>
      </c>
      <c r="C371" s="3" t="s">
        <v>836</v>
      </c>
      <c r="D371">
        <v>955</v>
      </c>
      <c r="E371" s="6">
        <v>45020</v>
      </c>
      <c r="F371">
        <v>0</v>
      </c>
      <c r="G371">
        <v>0</v>
      </c>
      <c r="H371">
        <v>0</v>
      </c>
      <c r="I371" s="3" t="s">
        <v>28</v>
      </c>
    </row>
    <row r="372" spans="1:9" x14ac:dyDescent="0.35">
      <c r="A372" s="3" t="s">
        <v>9078</v>
      </c>
      <c r="B372" s="3" t="s">
        <v>837</v>
      </c>
      <c r="C372" s="3" t="s">
        <v>838</v>
      </c>
      <c r="D372">
        <v>49</v>
      </c>
      <c r="E372" s="6">
        <v>45926</v>
      </c>
      <c r="F372">
        <v>50</v>
      </c>
      <c r="G372">
        <v>0.54</v>
      </c>
      <c r="H372">
        <v>1.26</v>
      </c>
      <c r="I372" s="3" t="s">
        <v>8701</v>
      </c>
    </row>
    <row r="373" spans="1:9" x14ac:dyDescent="0.35">
      <c r="A373" s="3" t="s">
        <v>10857</v>
      </c>
      <c r="B373" s="3" t="s">
        <v>4596</v>
      </c>
      <c r="C373" s="3" t="s">
        <v>4597</v>
      </c>
      <c r="D373">
        <v>434</v>
      </c>
      <c r="E373" s="6">
        <v>45541</v>
      </c>
      <c r="F373">
        <v>0</v>
      </c>
      <c r="G373">
        <v>0</v>
      </c>
      <c r="H373">
        <v>0</v>
      </c>
      <c r="I373" s="3" t="s">
        <v>8699</v>
      </c>
    </row>
    <row r="374" spans="1:9" x14ac:dyDescent="0.35">
      <c r="A374" s="3" t="s">
        <v>10119</v>
      </c>
      <c r="B374" s="3" t="s">
        <v>3041</v>
      </c>
      <c r="C374" s="3" t="s">
        <v>3042</v>
      </c>
      <c r="D374">
        <v>441</v>
      </c>
      <c r="E374" s="6">
        <v>45534</v>
      </c>
      <c r="F374">
        <v>0</v>
      </c>
      <c r="G374">
        <v>1.76</v>
      </c>
      <c r="H374">
        <v>0.24</v>
      </c>
      <c r="I374" s="3" t="s">
        <v>8699</v>
      </c>
    </row>
    <row r="375" spans="1:9" x14ac:dyDescent="0.35">
      <c r="A375" s="3" t="s">
        <v>9081</v>
      </c>
      <c r="B375" s="3" t="s">
        <v>843</v>
      </c>
      <c r="C375" s="3" t="s">
        <v>844</v>
      </c>
      <c r="D375">
        <v>955</v>
      </c>
      <c r="E375" s="6">
        <v>45020</v>
      </c>
      <c r="F375">
        <v>0</v>
      </c>
      <c r="G375">
        <v>0</v>
      </c>
      <c r="H375">
        <v>0</v>
      </c>
      <c r="I375" s="3" t="s">
        <v>28</v>
      </c>
    </row>
    <row r="376" spans="1:9" x14ac:dyDescent="0.35">
      <c r="A376" s="3" t="s">
        <v>9082</v>
      </c>
      <c r="B376" s="3" t="s">
        <v>845</v>
      </c>
      <c r="C376" s="3" t="s">
        <v>846</v>
      </c>
      <c r="D376">
        <v>955</v>
      </c>
      <c r="E376" s="6">
        <v>45020</v>
      </c>
      <c r="F376">
        <v>0</v>
      </c>
      <c r="G376">
        <v>0</v>
      </c>
      <c r="H376">
        <v>0</v>
      </c>
      <c r="I376" s="3" t="s">
        <v>28</v>
      </c>
    </row>
    <row r="377" spans="1:9" x14ac:dyDescent="0.35">
      <c r="A377" s="3" t="s">
        <v>9083</v>
      </c>
      <c r="B377" s="3" t="s">
        <v>847</v>
      </c>
      <c r="C377" s="3" t="s">
        <v>848</v>
      </c>
      <c r="D377">
        <v>726</v>
      </c>
      <c r="E377" s="6">
        <v>45249</v>
      </c>
      <c r="F377">
        <v>0</v>
      </c>
      <c r="G377">
        <v>0</v>
      </c>
      <c r="H377">
        <v>0</v>
      </c>
      <c r="I377" s="3" t="s">
        <v>28</v>
      </c>
    </row>
    <row r="378" spans="1:9" x14ac:dyDescent="0.35">
      <c r="A378" s="3" t="s">
        <v>9084</v>
      </c>
      <c r="B378" s="3" t="s">
        <v>849</v>
      </c>
      <c r="C378" s="3" t="s">
        <v>850</v>
      </c>
      <c r="D378">
        <v>21</v>
      </c>
      <c r="E378" s="6">
        <v>45954</v>
      </c>
      <c r="F378">
        <v>0</v>
      </c>
      <c r="G378">
        <v>4.6920000000000002</v>
      </c>
      <c r="H378">
        <v>0.40800000000000003</v>
      </c>
      <c r="I378" s="3" t="s">
        <v>8701</v>
      </c>
    </row>
    <row r="379" spans="1:9" x14ac:dyDescent="0.35">
      <c r="A379" s="3" t="s">
        <v>9085</v>
      </c>
      <c r="B379" s="3" t="s">
        <v>851</v>
      </c>
      <c r="C379" s="3" t="s">
        <v>852</v>
      </c>
      <c r="D379">
        <v>23</v>
      </c>
      <c r="E379" s="6">
        <v>45952</v>
      </c>
      <c r="F379">
        <v>0</v>
      </c>
      <c r="G379">
        <v>3.24</v>
      </c>
      <c r="H379">
        <v>0.76</v>
      </c>
      <c r="I379" s="3" t="s">
        <v>8701</v>
      </c>
    </row>
    <row r="380" spans="1:9" x14ac:dyDescent="0.35">
      <c r="A380" s="3" t="s">
        <v>9086</v>
      </c>
      <c r="B380" s="3" t="s">
        <v>853</v>
      </c>
      <c r="C380" s="3" t="s">
        <v>854</v>
      </c>
      <c r="D380">
        <v>21</v>
      </c>
      <c r="E380" s="6">
        <v>45954</v>
      </c>
      <c r="F380">
        <v>0</v>
      </c>
      <c r="G380">
        <v>8.827</v>
      </c>
      <c r="H380">
        <v>0.27300000000000002</v>
      </c>
      <c r="I380" s="3" t="s">
        <v>8701</v>
      </c>
    </row>
    <row r="381" spans="1:9" x14ac:dyDescent="0.35">
      <c r="A381" s="3" t="s">
        <v>9087</v>
      </c>
      <c r="B381" s="3" t="s">
        <v>855</v>
      </c>
      <c r="C381" s="3" t="s">
        <v>856</v>
      </c>
      <c r="D381">
        <v>79</v>
      </c>
      <c r="E381" s="6">
        <v>45896</v>
      </c>
      <c r="F381">
        <v>0</v>
      </c>
      <c r="G381">
        <v>2.2040000000000002</v>
      </c>
      <c r="H381">
        <v>1.5960000000000001</v>
      </c>
      <c r="I381" s="3" t="s">
        <v>8701</v>
      </c>
    </row>
    <row r="382" spans="1:9" x14ac:dyDescent="0.35">
      <c r="A382" s="3" t="s">
        <v>9088</v>
      </c>
      <c r="B382" s="3" t="s">
        <v>857</v>
      </c>
      <c r="C382" s="3" t="s">
        <v>858</v>
      </c>
      <c r="D382">
        <v>270</v>
      </c>
      <c r="E382" s="6">
        <v>45705</v>
      </c>
      <c r="F382">
        <v>0</v>
      </c>
      <c r="G382">
        <v>5.0000000000000001E-3</v>
      </c>
      <c r="H382">
        <v>9.5000000000000001E-2</v>
      </c>
      <c r="I382" s="3" t="s">
        <v>8712</v>
      </c>
    </row>
    <row r="383" spans="1:9" x14ac:dyDescent="0.35">
      <c r="A383" s="3" t="s">
        <v>9335</v>
      </c>
      <c r="B383" s="3" t="s">
        <v>1374</v>
      </c>
      <c r="C383" s="3" t="s">
        <v>1375</v>
      </c>
      <c r="D383">
        <v>442</v>
      </c>
      <c r="E383" s="6">
        <v>45533</v>
      </c>
      <c r="F383">
        <v>0</v>
      </c>
      <c r="G383">
        <v>119.988</v>
      </c>
      <c r="H383">
        <v>1.2E-2</v>
      </c>
      <c r="I383" s="3" t="s">
        <v>8699</v>
      </c>
    </row>
    <row r="384" spans="1:9" x14ac:dyDescent="0.35">
      <c r="A384" s="3" t="s">
        <v>10954</v>
      </c>
      <c r="B384" s="3" t="s">
        <v>4801</v>
      </c>
      <c r="C384" s="3" t="s">
        <v>4802</v>
      </c>
      <c r="D384">
        <v>442</v>
      </c>
      <c r="E384" s="6">
        <v>45533</v>
      </c>
      <c r="F384">
        <v>50</v>
      </c>
      <c r="G384">
        <v>60.39</v>
      </c>
      <c r="H384">
        <v>0.61</v>
      </c>
      <c r="I384" s="3" t="s">
        <v>8699</v>
      </c>
    </row>
    <row r="385" spans="1:9" x14ac:dyDescent="0.35">
      <c r="A385" s="3" t="s">
        <v>9091</v>
      </c>
      <c r="B385" s="3" t="s">
        <v>863</v>
      </c>
      <c r="C385" s="3" t="s">
        <v>864</v>
      </c>
      <c r="D385">
        <v>25</v>
      </c>
      <c r="E385" s="6">
        <v>45950</v>
      </c>
      <c r="F385">
        <v>0</v>
      </c>
      <c r="G385">
        <v>7.1210000000000004</v>
      </c>
      <c r="H385">
        <v>2.839</v>
      </c>
      <c r="I385" s="3" t="s">
        <v>8701</v>
      </c>
    </row>
    <row r="386" spans="1:9" x14ac:dyDescent="0.35">
      <c r="A386" s="3" t="s">
        <v>9092</v>
      </c>
      <c r="B386" s="3" t="s">
        <v>865</v>
      </c>
      <c r="C386" s="3" t="s">
        <v>866</v>
      </c>
      <c r="D386">
        <v>46</v>
      </c>
      <c r="E386" s="6">
        <v>45929</v>
      </c>
      <c r="F386">
        <v>0</v>
      </c>
      <c r="G386">
        <v>29.76</v>
      </c>
      <c r="H386">
        <v>1.24</v>
      </c>
      <c r="I386" s="3" t="s">
        <v>8756</v>
      </c>
    </row>
    <row r="387" spans="1:9" x14ac:dyDescent="0.35">
      <c r="A387" s="3" t="s">
        <v>9093</v>
      </c>
      <c r="B387" s="3" t="s">
        <v>867</v>
      </c>
      <c r="C387" s="3" t="s">
        <v>868</v>
      </c>
      <c r="D387">
        <v>955</v>
      </c>
      <c r="E387" s="6">
        <v>45020</v>
      </c>
      <c r="F387">
        <v>0</v>
      </c>
      <c r="G387">
        <v>0</v>
      </c>
      <c r="H387">
        <v>0</v>
      </c>
      <c r="I387" s="3" t="s">
        <v>28</v>
      </c>
    </row>
    <row r="388" spans="1:9" x14ac:dyDescent="0.35">
      <c r="A388" s="3" t="s">
        <v>9094</v>
      </c>
      <c r="B388" s="3" t="s">
        <v>869</v>
      </c>
      <c r="C388" s="3" t="s">
        <v>870</v>
      </c>
      <c r="D388">
        <v>955</v>
      </c>
      <c r="E388" s="6">
        <v>45020</v>
      </c>
      <c r="F388">
        <v>0</v>
      </c>
      <c r="G388">
        <v>0</v>
      </c>
      <c r="H388">
        <v>0</v>
      </c>
      <c r="I388" s="3" t="s">
        <v>28</v>
      </c>
    </row>
    <row r="389" spans="1:9" x14ac:dyDescent="0.35">
      <c r="A389" s="3" t="s">
        <v>9095</v>
      </c>
      <c r="B389" s="3" t="s">
        <v>871</v>
      </c>
      <c r="C389" s="3" t="s">
        <v>872</v>
      </c>
      <c r="D389">
        <v>4859</v>
      </c>
      <c r="E389" s="6">
        <v>41116</v>
      </c>
      <c r="F389">
        <v>0</v>
      </c>
      <c r="G389">
        <v>0</v>
      </c>
      <c r="H389">
        <v>0</v>
      </c>
      <c r="I389" s="3" t="s">
        <v>28</v>
      </c>
    </row>
    <row r="390" spans="1:9" x14ac:dyDescent="0.35">
      <c r="A390" s="3" t="s">
        <v>10415</v>
      </c>
      <c r="B390" s="3" t="s">
        <v>3665</v>
      </c>
      <c r="C390" s="3" t="s">
        <v>3666</v>
      </c>
      <c r="D390">
        <v>444</v>
      </c>
      <c r="E390" s="6">
        <v>45531</v>
      </c>
      <c r="F390">
        <v>100</v>
      </c>
      <c r="G390">
        <v>23.496000000000002</v>
      </c>
      <c r="H390">
        <v>3.2040000000000002</v>
      </c>
      <c r="I390" s="3" t="s">
        <v>8699</v>
      </c>
    </row>
    <row r="391" spans="1:9" x14ac:dyDescent="0.35">
      <c r="A391" s="3" t="s">
        <v>9139</v>
      </c>
      <c r="B391" s="3" t="s">
        <v>961</v>
      </c>
      <c r="C391" s="3" t="s">
        <v>962</v>
      </c>
      <c r="D391">
        <v>449</v>
      </c>
      <c r="E391" s="6">
        <v>45526</v>
      </c>
      <c r="F391">
        <v>0</v>
      </c>
      <c r="G391">
        <v>7.44</v>
      </c>
      <c r="H391">
        <v>0.56000000000000005</v>
      </c>
      <c r="I391" s="3" t="s">
        <v>8699</v>
      </c>
    </row>
    <row r="392" spans="1:9" x14ac:dyDescent="0.35">
      <c r="A392" s="3" t="s">
        <v>9098</v>
      </c>
      <c r="B392" s="3" t="s">
        <v>878</v>
      </c>
      <c r="C392" s="3" t="s">
        <v>879</v>
      </c>
      <c r="D392">
        <v>5431</v>
      </c>
      <c r="E392" s="6">
        <v>40544</v>
      </c>
      <c r="F392">
        <v>0</v>
      </c>
      <c r="G392">
        <v>9.2999999999999999E-2</v>
      </c>
      <c r="H392">
        <v>0.16700000000000001</v>
      </c>
      <c r="I392" s="3" t="s">
        <v>8768</v>
      </c>
    </row>
    <row r="393" spans="1:9" x14ac:dyDescent="0.35">
      <c r="A393" s="3" t="s">
        <v>9099</v>
      </c>
      <c r="B393" s="3" t="s">
        <v>880</v>
      </c>
      <c r="C393" s="3" t="s">
        <v>881</v>
      </c>
      <c r="D393">
        <v>7940</v>
      </c>
      <c r="E393" s="6">
        <v>38035</v>
      </c>
      <c r="F393">
        <v>1000</v>
      </c>
      <c r="G393">
        <v>0</v>
      </c>
      <c r="H393">
        <v>0</v>
      </c>
      <c r="I393" s="3" t="s">
        <v>9100</v>
      </c>
    </row>
    <row r="394" spans="1:9" x14ac:dyDescent="0.35">
      <c r="A394" s="3" t="s">
        <v>9101</v>
      </c>
      <c r="B394" s="3" t="s">
        <v>883</v>
      </c>
      <c r="C394" s="3" t="s">
        <v>884</v>
      </c>
      <c r="D394">
        <v>54</v>
      </c>
      <c r="E394" s="6">
        <v>45921</v>
      </c>
      <c r="F394">
        <v>50</v>
      </c>
      <c r="G394">
        <v>4.399</v>
      </c>
      <c r="H394">
        <v>0.90100000000000002</v>
      </c>
      <c r="I394" s="3" t="s">
        <v>8701</v>
      </c>
    </row>
    <row r="395" spans="1:9" x14ac:dyDescent="0.35">
      <c r="A395" s="3" t="s">
        <v>9102</v>
      </c>
      <c r="B395" s="3" t="s">
        <v>885</v>
      </c>
      <c r="C395" s="3" t="s">
        <v>886</v>
      </c>
      <c r="D395">
        <v>52</v>
      </c>
      <c r="E395" s="6">
        <v>45923</v>
      </c>
      <c r="F395">
        <v>50</v>
      </c>
      <c r="G395">
        <v>2.415</v>
      </c>
      <c r="H395">
        <v>1.085</v>
      </c>
      <c r="I395" s="3" t="s">
        <v>8701</v>
      </c>
    </row>
    <row r="396" spans="1:9" x14ac:dyDescent="0.35">
      <c r="A396" s="3" t="s">
        <v>10821</v>
      </c>
      <c r="B396" s="3" t="s">
        <v>4523</v>
      </c>
      <c r="C396" s="3" t="s">
        <v>4524</v>
      </c>
      <c r="D396">
        <v>452</v>
      </c>
      <c r="E396" s="6">
        <v>45523</v>
      </c>
      <c r="F396">
        <v>0</v>
      </c>
      <c r="G396">
        <v>7.38</v>
      </c>
      <c r="H396">
        <v>1.62</v>
      </c>
      <c r="I396" s="3" t="s">
        <v>8699</v>
      </c>
    </row>
    <row r="397" spans="1:9" x14ac:dyDescent="0.35">
      <c r="A397" s="3" t="s">
        <v>9104</v>
      </c>
      <c r="B397" s="3" t="s">
        <v>889</v>
      </c>
      <c r="C397" s="3" t="s">
        <v>890</v>
      </c>
      <c r="D397">
        <v>9</v>
      </c>
      <c r="E397" s="6">
        <v>45966</v>
      </c>
      <c r="F397">
        <v>0</v>
      </c>
      <c r="G397">
        <v>9.48</v>
      </c>
      <c r="H397">
        <v>2.52</v>
      </c>
      <c r="I397" s="3" t="s">
        <v>8701</v>
      </c>
    </row>
    <row r="398" spans="1:9" x14ac:dyDescent="0.35">
      <c r="A398" s="3" t="s">
        <v>9105</v>
      </c>
      <c r="B398" s="3" t="s">
        <v>891</v>
      </c>
      <c r="C398" s="3" t="s">
        <v>892</v>
      </c>
      <c r="D398">
        <v>358</v>
      </c>
      <c r="E398" s="6">
        <v>45617</v>
      </c>
      <c r="F398">
        <v>0</v>
      </c>
      <c r="G398">
        <v>6.0000000000000001E-3</v>
      </c>
      <c r="H398">
        <v>0.10400000000000001</v>
      </c>
      <c r="I398" s="3" t="s">
        <v>8712</v>
      </c>
    </row>
    <row r="399" spans="1:9" x14ac:dyDescent="0.35">
      <c r="A399" s="3" t="s">
        <v>9106</v>
      </c>
      <c r="B399" s="3" t="s">
        <v>893</v>
      </c>
      <c r="C399" s="3" t="s">
        <v>894</v>
      </c>
      <c r="D399">
        <v>955</v>
      </c>
      <c r="E399" s="6">
        <v>45020</v>
      </c>
      <c r="F399">
        <v>0</v>
      </c>
      <c r="G399">
        <v>0</v>
      </c>
      <c r="H399">
        <v>0</v>
      </c>
      <c r="I399" s="3" t="s">
        <v>28</v>
      </c>
    </row>
    <row r="400" spans="1:9" x14ac:dyDescent="0.35">
      <c r="A400" s="3" t="s">
        <v>9107</v>
      </c>
      <c r="B400" s="3" t="s">
        <v>895</v>
      </c>
      <c r="C400" s="3" t="s">
        <v>896</v>
      </c>
      <c r="D400">
        <v>47</v>
      </c>
      <c r="E400" s="6">
        <v>45928</v>
      </c>
      <c r="F400">
        <v>200</v>
      </c>
      <c r="G400">
        <v>0.40600000000000003</v>
      </c>
      <c r="H400">
        <v>1.044</v>
      </c>
      <c r="I400" s="3" t="s">
        <v>8756</v>
      </c>
    </row>
    <row r="401" spans="1:9" x14ac:dyDescent="0.35">
      <c r="A401" s="3" t="s">
        <v>9108</v>
      </c>
      <c r="B401" s="3" t="s">
        <v>897</v>
      </c>
      <c r="C401" s="3" t="s">
        <v>898</v>
      </c>
      <c r="D401">
        <v>53</v>
      </c>
      <c r="E401" s="6">
        <v>45922</v>
      </c>
      <c r="F401">
        <v>0</v>
      </c>
      <c r="G401">
        <v>6.3</v>
      </c>
      <c r="H401">
        <v>2.7</v>
      </c>
      <c r="I401" s="3" t="s">
        <v>8756</v>
      </c>
    </row>
    <row r="402" spans="1:9" x14ac:dyDescent="0.35">
      <c r="A402" s="3" t="s">
        <v>11341</v>
      </c>
      <c r="B402" s="3" t="s">
        <v>5619</v>
      </c>
      <c r="C402" s="3" t="s">
        <v>5620</v>
      </c>
      <c r="D402">
        <v>452</v>
      </c>
      <c r="E402" s="6">
        <v>45523</v>
      </c>
      <c r="F402">
        <v>0</v>
      </c>
      <c r="G402">
        <v>19</v>
      </c>
      <c r="H402">
        <v>1</v>
      </c>
      <c r="I402" s="3" t="s">
        <v>8699</v>
      </c>
    </row>
    <row r="403" spans="1:9" x14ac:dyDescent="0.35">
      <c r="A403" s="3" t="s">
        <v>9593</v>
      </c>
      <c r="B403" s="3" t="s">
        <v>1912</v>
      </c>
      <c r="C403" s="3" t="s">
        <v>1913</v>
      </c>
      <c r="D403">
        <v>462</v>
      </c>
      <c r="E403" s="6">
        <v>45513</v>
      </c>
      <c r="F403">
        <v>500</v>
      </c>
      <c r="G403">
        <v>1.099</v>
      </c>
      <c r="H403">
        <v>1E-3</v>
      </c>
      <c r="I403" s="3" t="s">
        <v>8699</v>
      </c>
    </row>
    <row r="404" spans="1:9" x14ac:dyDescent="0.35">
      <c r="A404" s="3" t="s">
        <v>9111</v>
      </c>
      <c r="B404" s="3" t="s">
        <v>903</v>
      </c>
      <c r="C404" s="3" t="s">
        <v>904</v>
      </c>
      <c r="D404">
        <v>103</v>
      </c>
      <c r="E404" s="6">
        <v>45872</v>
      </c>
      <c r="F404">
        <v>0</v>
      </c>
      <c r="G404">
        <v>15.81</v>
      </c>
      <c r="H404">
        <v>1.19</v>
      </c>
      <c r="I404" s="3" t="s">
        <v>8701</v>
      </c>
    </row>
    <row r="405" spans="1:9" x14ac:dyDescent="0.35">
      <c r="A405" s="3" t="s">
        <v>9112</v>
      </c>
      <c r="B405" s="3" t="s">
        <v>905</v>
      </c>
      <c r="C405" s="3" t="s">
        <v>906</v>
      </c>
      <c r="D405">
        <v>78</v>
      </c>
      <c r="E405" s="6">
        <v>45897</v>
      </c>
      <c r="F405">
        <v>70</v>
      </c>
      <c r="G405">
        <v>15.066000000000001</v>
      </c>
      <c r="H405">
        <v>1.1340000000000001</v>
      </c>
      <c r="I405" s="3" t="s">
        <v>8915</v>
      </c>
    </row>
    <row r="406" spans="1:9" x14ac:dyDescent="0.35">
      <c r="A406" s="3" t="s">
        <v>9113</v>
      </c>
      <c r="B406" s="3" t="s">
        <v>907</v>
      </c>
      <c r="C406" s="3" t="s">
        <v>908</v>
      </c>
      <c r="D406">
        <v>955</v>
      </c>
      <c r="E406" s="6">
        <v>45020</v>
      </c>
      <c r="F406">
        <v>0</v>
      </c>
      <c r="G406">
        <v>0</v>
      </c>
      <c r="H406">
        <v>0</v>
      </c>
      <c r="I406" s="3" t="s">
        <v>28</v>
      </c>
    </row>
    <row r="407" spans="1:9" x14ac:dyDescent="0.35">
      <c r="A407" s="3" t="s">
        <v>9114</v>
      </c>
      <c r="B407" s="3" t="s">
        <v>909</v>
      </c>
      <c r="C407" s="3" t="s">
        <v>910</v>
      </c>
      <c r="D407">
        <v>286</v>
      </c>
      <c r="E407" s="6">
        <v>45689</v>
      </c>
      <c r="F407">
        <v>10</v>
      </c>
      <c r="G407">
        <v>7.1280000000000001</v>
      </c>
      <c r="H407">
        <v>7.2000000000000008E-2</v>
      </c>
      <c r="I407" s="3" t="s">
        <v>8729</v>
      </c>
    </row>
    <row r="408" spans="1:9" x14ac:dyDescent="0.35">
      <c r="A408" s="3" t="s">
        <v>9115</v>
      </c>
      <c r="B408" s="3" t="s">
        <v>911</v>
      </c>
      <c r="C408" s="3" t="s">
        <v>912</v>
      </c>
      <c r="D408">
        <v>172</v>
      </c>
      <c r="E408" s="6">
        <v>45803</v>
      </c>
      <c r="F408">
        <v>100</v>
      </c>
      <c r="G408">
        <v>13.6</v>
      </c>
      <c r="H408">
        <v>2.4</v>
      </c>
      <c r="I408" s="3" t="s">
        <v>8701</v>
      </c>
    </row>
    <row r="409" spans="1:9" x14ac:dyDescent="0.35">
      <c r="A409" s="3" t="s">
        <v>9116</v>
      </c>
      <c r="B409" s="3" t="s">
        <v>913</v>
      </c>
      <c r="C409" s="3" t="s">
        <v>914</v>
      </c>
      <c r="D409">
        <v>24</v>
      </c>
      <c r="E409" s="6">
        <v>45951</v>
      </c>
      <c r="F409">
        <v>0</v>
      </c>
      <c r="G409">
        <v>35.6</v>
      </c>
      <c r="H409">
        <v>4.4000000000000004</v>
      </c>
      <c r="I409" s="3" t="s">
        <v>8701</v>
      </c>
    </row>
    <row r="410" spans="1:9" x14ac:dyDescent="0.35">
      <c r="A410" s="3" t="s">
        <v>9117</v>
      </c>
      <c r="B410" s="3" t="s">
        <v>915</v>
      </c>
      <c r="C410" s="3" t="s">
        <v>916</v>
      </c>
      <c r="D410">
        <v>29</v>
      </c>
      <c r="E410" s="6">
        <v>45946</v>
      </c>
      <c r="F410">
        <v>0</v>
      </c>
      <c r="G410">
        <v>2.4</v>
      </c>
      <c r="H410">
        <v>1.6</v>
      </c>
      <c r="I410" s="3" t="s">
        <v>8756</v>
      </c>
    </row>
    <row r="411" spans="1:9" x14ac:dyDescent="0.35">
      <c r="A411" s="3" t="s">
        <v>9118</v>
      </c>
      <c r="B411" s="3" t="s">
        <v>917</v>
      </c>
      <c r="C411" s="3" t="s">
        <v>918</v>
      </c>
      <c r="D411">
        <v>318</v>
      </c>
      <c r="E411" s="6">
        <v>45657</v>
      </c>
      <c r="F411">
        <v>100</v>
      </c>
      <c r="G411">
        <v>10.89</v>
      </c>
      <c r="H411">
        <v>0.11</v>
      </c>
      <c r="I411" s="3" t="s">
        <v>8701</v>
      </c>
    </row>
    <row r="412" spans="1:9" x14ac:dyDescent="0.35">
      <c r="A412" s="3" t="s">
        <v>9119</v>
      </c>
      <c r="B412" s="3" t="s">
        <v>919</v>
      </c>
      <c r="C412" s="3" t="s">
        <v>920</v>
      </c>
      <c r="D412">
        <v>50</v>
      </c>
      <c r="E412" s="6">
        <v>45925</v>
      </c>
      <c r="F412">
        <v>0</v>
      </c>
      <c r="G412">
        <v>0.876</v>
      </c>
      <c r="H412">
        <v>0.20400000000000001</v>
      </c>
      <c r="I412" s="3" t="s">
        <v>8701</v>
      </c>
    </row>
    <row r="413" spans="1:9" x14ac:dyDescent="0.35">
      <c r="A413" s="3" t="s">
        <v>9120</v>
      </c>
      <c r="B413" s="3" t="s">
        <v>921</v>
      </c>
      <c r="C413" s="3" t="s">
        <v>922</v>
      </c>
      <c r="D413">
        <v>49</v>
      </c>
      <c r="E413" s="6">
        <v>45926</v>
      </c>
      <c r="F413">
        <v>0</v>
      </c>
      <c r="G413">
        <v>4.4620000000000006</v>
      </c>
      <c r="H413">
        <v>0.13800000000000001</v>
      </c>
      <c r="I413" s="3" t="s">
        <v>8701</v>
      </c>
    </row>
    <row r="414" spans="1:9" x14ac:dyDescent="0.35">
      <c r="A414" s="3" t="s">
        <v>9121</v>
      </c>
      <c r="B414" s="3" t="s">
        <v>923</v>
      </c>
      <c r="C414" s="3" t="s">
        <v>924</v>
      </c>
      <c r="D414">
        <v>49</v>
      </c>
      <c r="E414" s="6">
        <v>45926</v>
      </c>
      <c r="F414">
        <v>100</v>
      </c>
      <c r="G414">
        <v>2.8000000000000003</v>
      </c>
      <c r="H414">
        <v>1.2</v>
      </c>
      <c r="I414" s="3" t="s">
        <v>8701</v>
      </c>
    </row>
    <row r="415" spans="1:9" x14ac:dyDescent="0.35">
      <c r="A415" s="3" t="s">
        <v>8885</v>
      </c>
      <c r="B415" s="3" t="s">
        <v>428</v>
      </c>
      <c r="C415" s="3" t="s">
        <v>429</v>
      </c>
      <c r="D415">
        <v>463</v>
      </c>
      <c r="E415" s="6">
        <v>45512</v>
      </c>
      <c r="F415">
        <v>200</v>
      </c>
      <c r="G415">
        <v>22.54</v>
      </c>
      <c r="H415">
        <v>0.46</v>
      </c>
      <c r="I415" s="3" t="s">
        <v>8699</v>
      </c>
    </row>
    <row r="416" spans="1:9" x14ac:dyDescent="0.35">
      <c r="A416" s="3" t="s">
        <v>9123</v>
      </c>
      <c r="B416" s="3" t="s">
        <v>927</v>
      </c>
      <c r="C416" s="3" t="s">
        <v>928</v>
      </c>
      <c r="D416">
        <v>93</v>
      </c>
      <c r="E416" s="6">
        <v>45882</v>
      </c>
      <c r="F416">
        <v>0</v>
      </c>
      <c r="G416">
        <v>2.04</v>
      </c>
      <c r="H416">
        <v>3.06</v>
      </c>
      <c r="I416" s="3" t="s">
        <v>8701</v>
      </c>
    </row>
    <row r="417" spans="1:9" x14ac:dyDescent="0.35">
      <c r="A417" s="3" t="s">
        <v>8957</v>
      </c>
      <c r="B417" s="3" t="s">
        <v>579</v>
      </c>
      <c r="C417" s="3" t="s">
        <v>580</v>
      </c>
      <c r="D417">
        <v>463</v>
      </c>
      <c r="E417" s="6">
        <v>45512</v>
      </c>
      <c r="F417">
        <v>0</v>
      </c>
      <c r="G417">
        <v>80.19</v>
      </c>
      <c r="H417">
        <v>0.81</v>
      </c>
      <c r="I417" s="3" t="s">
        <v>8699</v>
      </c>
    </row>
    <row r="418" spans="1:9" x14ac:dyDescent="0.35">
      <c r="A418" s="3" t="s">
        <v>9125</v>
      </c>
      <c r="B418" s="3" t="s">
        <v>931</v>
      </c>
      <c r="C418" s="3" t="s">
        <v>932</v>
      </c>
      <c r="D418">
        <v>109</v>
      </c>
      <c r="E418" s="6">
        <v>45866</v>
      </c>
      <c r="F418">
        <v>500</v>
      </c>
      <c r="G418">
        <v>13.855</v>
      </c>
      <c r="H418">
        <v>2.4450000000000003</v>
      </c>
      <c r="I418" s="3" t="s">
        <v>8729</v>
      </c>
    </row>
    <row r="419" spans="1:9" x14ac:dyDescent="0.35">
      <c r="A419" s="3" t="s">
        <v>9126</v>
      </c>
      <c r="B419" s="3" t="s">
        <v>933</v>
      </c>
      <c r="C419" s="3" t="s">
        <v>934</v>
      </c>
      <c r="D419">
        <v>59</v>
      </c>
      <c r="E419" s="6">
        <v>45916</v>
      </c>
      <c r="F419">
        <v>0</v>
      </c>
      <c r="G419">
        <v>3.9</v>
      </c>
      <c r="H419">
        <v>2.1</v>
      </c>
      <c r="I419" s="3" t="s">
        <v>8756</v>
      </c>
    </row>
    <row r="420" spans="1:9" x14ac:dyDescent="0.35">
      <c r="A420" s="3" t="s">
        <v>11071</v>
      </c>
      <c r="B420" s="3" t="s">
        <v>5055</v>
      </c>
      <c r="C420" s="3" t="s">
        <v>5056</v>
      </c>
      <c r="D420">
        <v>463</v>
      </c>
      <c r="E420" s="6">
        <v>45512</v>
      </c>
      <c r="F420">
        <v>0</v>
      </c>
      <c r="G420">
        <v>19.885000000000002</v>
      </c>
      <c r="H420">
        <v>0.61499999999999999</v>
      </c>
      <c r="I420" s="3" t="s">
        <v>8699</v>
      </c>
    </row>
    <row r="421" spans="1:9" x14ac:dyDescent="0.35">
      <c r="A421" s="3" t="s">
        <v>11254</v>
      </c>
      <c r="B421" s="3" t="s">
        <v>5442</v>
      </c>
      <c r="C421" s="3" t="s">
        <v>5443</v>
      </c>
      <c r="D421">
        <v>463</v>
      </c>
      <c r="E421" s="6">
        <v>45512</v>
      </c>
      <c r="F421">
        <v>0</v>
      </c>
      <c r="G421">
        <v>18.13</v>
      </c>
      <c r="H421">
        <v>0.37</v>
      </c>
      <c r="I421" s="3" t="s">
        <v>8699</v>
      </c>
    </row>
    <row r="422" spans="1:9" x14ac:dyDescent="0.35">
      <c r="A422" s="3" t="s">
        <v>9129</v>
      </c>
      <c r="B422" s="3" t="s">
        <v>939</v>
      </c>
      <c r="C422" s="3" t="s">
        <v>940</v>
      </c>
      <c r="D422">
        <v>373</v>
      </c>
      <c r="E422" s="6">
        <v>45602</v>
      </c>
      <c r="F422">
        <v>0</v>
      </c>
      <c r="G422">
        <v>8.0000000000000002E-3</v>
      </c>
      <c r="H422">
        <v>0.158</v>
      </c>
      <c r="I422" s="3" t="s">
        <v>8712</v>
      </c>
    </row>
    <row r="423" spans="1:9" x14ac:dyDescent="0.35">
      <c r="A423" s="3" t="s">
        <v>9130</v>
      </c>
      <c r="B423" s="3" t="s">
        <v>942</v>
      </c>
      <c r="C423" s="3" t="s">
        <v>943</v>
      </c>
      <c r="D423">
        <v>244</v>
      </c>
      <c r="E423" s="6">
        <v>45731</v>
      </c>
      <c r="F423">
        <v>0</v>
      </c>
      <c r="G423">
        <v>0</v>
      </c>
      <c r="H423">
        <v>0</v>
      </c>
      <c r="I423" s="3" t="s">
        <v>28</v>
      </c>
    </row>
    <row r="424" spans="1:9" x14ac:dyDescent="0.35">
      <c r="A424" s="3" t="s">
        <v>9131</v>
      </c>
      <c r="B424" s="3" t="s">
        <v>944</v>
      </c>
      <c r="C424" s="3" t="s">
        <v>945</v>
      </c>
      <c r="D424">
        <v>23</v>
      </c>
      <c r="E424" s="6">
        <v>45952</v>
      </c>
      <c r="F424">
        <v>30</v>
      </c>
      <c r="G424">
        <v>0.42</v>
      </c>
      <c r="H424">
        <v>0.78</v>
      </c>
      <c r="I424" s="3" t="s">
        <v>8705</v>
      </c>
    </row>
    <row r="425" spans="1:9" x14ac:dyDescent="0.35">
      <c r="A425" s="3" t="s">
        <v>9132</v>
      </c>
      <c r="B425" s="3" t="s">
        <v>946</v>
      </c>
      <c r="C425" s="3" t="s">
        <v>947</v>
      </c>
      <c r="D425">
        <v>4481</v>
      </c>
      <c r="E425" s="6">
        <v>41494</v>
      </c>
      <c r="F425">
        <v>100</v>
      </c>
      <c r="G425">
        <v>7.5200000000000005</v>
      </c>
      <c r="H425">
        <v>0.48</v>
      </c>
      <c r="I425" s="3" t="s">
        <v>8701</v>
      </c>
    </row>
    <row r="426" spans="1:9" x14ac:dyDescent="0.35">
      <c r="A426" s="3" t="s">
        <v>8931</v>
      </c>
      <c r="B426" s="3" t="s">
        <v>521</v>
      </c>
      <c r="C426" s="3" t="s">
        <v>522</v>
      </c>
      <c r="D426">
        <v>464</v>
      </c>
      <c r="E426" s="6">
        <v>45511</v>
      </c>
      <c r="F426">
        <v>0</v>
      </c>
      <c r="G426">
        <v>0</v>
      </c>
      <c r="H426">
        <v>0</v>
      </c>
      <c r="I426" s="3" t="s">
        <v>8699</v>
      </c>
    </row>
    <row r="427" spans="1:9" x14ac:dyDescent="0.35">
      <c r="A427" s="3" t="s">
        <v>9134</v>
      </c>
      <c r="B427" s="3" t="s">
        <v>950</v>
      </c>
      <c r="C427" s="3" t="s">
        <v>951</v>
      </c>
      <c r="D427">
        <v>3</v>
      </c>
      <c r="E427" s="6">
        <v>45972</v>
      </c>
      <c r="F427">
        <v>0</v>
      </c>
      <c r="G427">
        <v>1.3</v>
      </c>
      <c r="H427">
        <v>1.2</v>
      </c>
      <c r="I427" s="3" t="s">
        <v>8756</v>
      </c>
    </row>
    <row r="428" spans="1:9" x14ac:dyDescent="0.35">
      <c r="A428" s="3" t="s">
        <v>11145</v>
      </c>
      <c r="B428" s="3" t="s">
        <v>5211</v>
      </c>
      <c r="C428" s="3" t="s">
        <v>5212</v>
      </c>
      <c r="D428">
        <v>464</v>
      </c>
      <c r="E428" s="6">
        <v>45511</v>
      </c>
      <c r="F428">
        <v>0</v>
      </c>
      <c r="G428">
        <v>0</v>
      </c>
      <c r="H428">
        <v>0</v>
      </c>
      <c r="I428" s="3" t="s">
        <v>8699</v>
      </c>
    </row>
    <row r="429" spans="1:9" x14ac:dyDescent="0.35">
      <c r="A429" s="3" t="s">
        <v>8897</v>
      </c>
      <c r="B429" s="3" t="s">
        <v>453</v>
      </c>
      <c r="C429" s="3" t="s">
        <v>454</v>
      </c>
      <c r="D429">
        <v>465</v>
      </c>
      <c r="E429" s="6">
        <v>45510</v>
      </c>
      <c r="F429">
        <v>0</v>
      </c>
      <c r="G429">
        <v>27.44</v>
      </c>
      <c r="H429">
        <v>0.56000000000000005</v>
      </c>
      <c r="I429" s="3" t="s">
        <v>8699</v>
      </c>
    </row>
    <row r="430" spans="1:9" x14ac:dyDescent="0.35">
      <c r="A430" s="3" t="s">
        <v>8987</v>
      </c>
      <c r="B430" s="3" t="s">
        <v>642</v>
      </c>
      <c r="C430" s="3" t="s">
        <v>643</v>
      </c>
      <c r="D430">
        <v>465</v>
      </c>
      <c r="E430" s="6">
        <v>45510</v>
      </c>
      <c r="F430">
        <v>100</v>
      </c>
      <c r="G430">
        <v>26.46</v>
      </c>
      <c r="H430">
        <v>0.54</v>
      </c>
      <c r="I430" s="3" t="s">
        <v>8699</v>
      </c>
    </row>
    <row r="431" spans="1:9" x14ac:dyDescent="0.35">
      <c r="A431" s="3" t="s">
        <v>9138</v>
      </c>
      <c r="B431" s="3" t="s">
        <v>959</v>
      </c>
      <c r="C431" s="3" t="s">
        <v>960</v>
      </c>
      <c r="D431">
        <v>955</v>
      </c>
      <c r="E431" s="6">
        <v>45020</v>
      </c>
      <c r="F431">
        <v>0</v>
      </c>
      <c r="G431">
        <v>0</v>
      </c>
      <c r="H431">
        <v>0</v>
      </c>
      <c r="I431" s="3" t="s">
        <v>28</v>
      </c>
    </row>
    <row r="432" spans="1:9" x14ac:dyDescent="0.35">
      <c r="A432" s="3" t="s">
        <v>9460</v>
      </c>
      <c r="B432" s="3" t="s">
        <v>1633</v>
      </c>
      <c r="C432" s="3" t="s">
        <v>1634</v>
      </c>
      <c r="D432">
        <v>465</v>
      </c>
      <c r="E432" s="6">
        <v>45510</v>
      </c>
      <c r="F432">
        <v>0</v>
      </c>
      <c r="G432">
        <v>9.5</v>
      </c>
      <c r="H432">
        <v>0.5</v>
      </c>
      <c r="I432" s="3" t="s">
        <v>8699</v>
      </c>
    </row>
    <row r="433" spans="1:9" x14ac:dyDescent="0.35">
      <c r="A433" s="3" t="s">
        <v>9609</v>
      </c>
      <c r="B433" s="3" t="s">
        <v>1945</v>
      </c>
      <c r="C433" s="3" t="s">
        <v>1946</v>
      </c>
      <c r="D433">
        <v>465</v>
      </c>
      <c r="E433" s="6">
        <v>45510</v>
      </c>
      <c r="F433">
        <v>0</v>
      </c>
      <c r="G433">
        <v>14.85</v>
      </c>
      <c r="H433">
        <v>0.15</v>
      </c>
      <c r="I433" s="3" t="s">
        <v>8699</v>
      </c>
    </row>
    <row r="434" spans="1:9" x14ac:dyDescent="0.35">
      <c r="A434" s="3" t="s">
        <v>9723</v>
      </c>
      <c r="B434" s="3" t="s">
        <v>2191</v>
      </c>
      <c r="C434" s="3" t="s">
        <v>2192</v>
      </c>
      <c r="D434">
        <v>465</v>
      </c>
      <c r="E434" s="6">
        <v>45510</v>
      </c>
      <c r="F434">
        <v>0</v>
      </c>
      <c r="G434">
        <v>17.82</v>
      </c>
      <c r="H434">
        <v>0.18</v>
      </c>
      <c r="I434" s="3" t="s">
        <v>8699</v>
      </c>
    </row>
    <row r="435" spans="1:9" x14ac:dyDescent="0.35">
      <c r="A435" s="3" t="s">
        <v>9142</v>
      </c>
      <c r="B435" s="3" t="s">
        <v>967</v>
      </c>
      <c r="C435" s="3" t="s">
        <v>968</v>
      </c>
      <c r="D435">
        <v>49</v>
      </c>
      <c r="E435" s="6">
        <v>45926</v>
      </c>
      <c r="F435">
        <v>0</v>
      </c>
      <c r="G435">
        <v>1.425</v>
      </c>
      <c r="H435">
        <v>1.075</v>
      </c>
      <c r="I435" s="3" t="s">
        <v>8701</v>
      </c>
    </row>
    <row r="436" spans="1:9" x14ac:dyDescent="0.35">
      <c r="A436" s="3" t="s">
        <v>9143</v>
      </c>
      <c r="B436" s="3" t="s">
        <v>970</v>
      </c>
      <c r="C436" s="3" t="s">
        <v>971</v>
      </c>
      <c r="D436">
        <v>318</v>
      </c>
      <c r="E436" s="6">
        <v>45657</v>
      </c>
      <c r="F436">
        <v>100</v>
      </c>
      <c r="G436">
        <v>3.2</v>
      </c>
      <c r="H436">
        <v>0.8</v>
      </c>
      <c r="I436" s="3" t="s">
        <v>8701</v>
      </c>
    </row>
    <row r="437" spans="1:9" x14ac:dyDescent="0.35">
      <c r="A437" s="3" t="s">
        <v>9144</v>
      </c>
      <c r="B437" s="3" t="s">
        <v>972</v>
      </c>
      <c r="C437" s="3" t="s">
        <v>973</v>
      </c>
      <c r="D437">
        <v>150</v>
      </c>
      <c r="E437" s="6">
        <v>45825</v>
      </c>
      <c r="F437">
        <v>100</v>
      </c>
      <c r="G437">
        <v>0.14000000000000001</v>
      </c>
      <c r="H437">
        <v>1.26</v>
      </c>
      <c r="I437" s="3" t="s">
        <v>9145</v>
      </c>
    </row>
    <row r="438" spans="1:9" x14ac:dyDescent="0.35">
      <c r="A438" s="3" t="s">
        <v>9146</v>
      </c>
      <c r="B438" s="3" t="s">
        <v>974</v>
      </c>
      <c r="C438" s="3" t="s">
        <v>975</v>
      </c>
      <c r="D438">
        <v>318</v>
      </c>
      <c r="E438" s="6">
        <v>45657</v>
      </c>
      <c r="F438">
        <v>50</v>
      </c>
      <c r="G438">
        <v>2.613</v>
      </c>
      <c r="H438">
        <v>1.2870000000000001</v>
      </c>
      <c r="I438" s="3" t="s">
        <v>8701</v>
      </c>
    </row>
    <row r="439" spans="1:9" x14ac:dyDescent="0.35">
      <c r="A439" s="3" t="s">
        <v>9763</v>
      </c>
      <c r="B439" s="3" t="s">
        <v>2274</v>
      </c>
      <c r="C439" s="3" t="s">
        <v>2275</v>
      </c>
      <c r="D439">
        <v>465</v>
      </c>
      <c r="E439" s="6">
        <v>45510</v>
      </c>
      <c r="F439">
        <v>0</v>
      </c>
      <c r="G439">
        <v>99</v>
      </c>
      <c r="H439">
        <v>1</v>
      </c>
      <c r="I439" s="3" t="s">
        <v>8699</v>
      </c>
    </row>
    <row r="440" spans="1:9" x14ac:dyDescent="0.35">
      <c r="A440" s="3" t="s">
        <v>9929</v>
      </c>
      <c r="B440" s="3" t="s">
        <v>2630</v>
      </c>
      <c r="C440" s="3" t="s">
        <v>2631</v>
      </c>
      <c r="D440">
        <v>465</v>
      </c>
      <c r="E440" s="6">
        <v>45510</v>
      </c>
      <c r="F440">
        <v>0</v>
      </c>
      <c r="G440">
        <v>12.32</v>
      </c>
      <c r="H440">
        <v>1.68</v>
      </c>
      <c r="I440" s="3" t="s">
        <v>8699</v>
      </c>
    </row>
    <row r="441" spans="1:9" x14ac:dyDescent="0.35">
      <c r="A441" s="3" t="s">
        <v>9149</v>
      </c>
      <c r="B441" s="3" t="s">
        <v>980</v>
      </c>
      <c r="C441" s="3" t="s">
        <v>981</v>
      </c>
      <c r="D441">
        <v>171</v>
      </c>
      <c r="E441" s="6">
        <v>45804</v>
      </c>
      <c r="F441">
        <v>150</v>
      </c>
      <c r="G441">
        <v>17.622</v>
      </c>
      <c r="H441">
        <v>2.1779999999999999</v>
      </c>
      <c r="I441" s="3" t="s">
        <v>8701</v>
      </c>
    </row>
    <row r="442" spans="1:9" x14ac:dyDescent="0.35">
      <c r="A442" s="3" t="s">
        <v>10122</v>
      </c>
      <c r="B442" s="3" t="s">
        <v>3047</v>
      </c>
      <c r="C442" s="3" t="s">
        <v>3048</v>
      </c>
      <c r="D442">
        <v>465</v>
      </c>
      <c r="E442" s="6">
        <v>45510</v>
      </c>
      <c r="F442">
        <v>0</v>
      </c>
      <c r="G442">
        <v>2.1</v>
      </c>
      <c r="H442">
        <v>0.9</v>
      </c>
      <c r="I442" s="3" t="s">
        <v>8699</v>
      </c>
    </row>
    <row r="443" spans="1:9" x14ac:dyDescent="0.35">
      <c r="A443" s="3" t="s">
        <v>10295</v>
      </c>
      <c r="B443" s="3" t="s">
        <v>3411</v>
      </c>
      <c r="C443" s="3" t="s">
        <v>3412</v>
      </c>
      <c r="D443">
        <v>465</v>
      </c>
      <c r="E443" s="6">
        <v>45510</v>
      </c>
      <c r="F443">
        <v>0</v>
      </c>
      <c r="G443">
        <v>2.0860000000000003</v>
      </c>
      <c r="H443">
        <v>1.3340000000000001</v>
      </c>
      <c r="I443" s="3" t="s">
        <v>8699</v>
      </c>
    </row>
    <row r="444" spans="1:9" x14ac:dyDescent="0.35">
      <c r="A444" s="3" t="s">
        <v>9152</v>
      </c>
      <c r="B444" s="3" t="s">
        <v>987</v>
      </c>
      <c r="C444" s="3" t="s">
        <v>988</v>
      </c>
      <c r="D444">
        <v>955</v>
      </c>
      <c r="E444" s="6">
        <v>45020</v>
      </c>
      <c r="F444">
        <v>0</v>
      </c>
      <c r="G444">
        <v>0</v>
      </c>
      <c r="H444">
        <v>0</v>
      </c>
      <c r="I444" s="3" t="s">
        <v>28</v>
      </c>
    </row>
    <row r="445" spans="1:9" x14ac:dyDescent="0.35">
      <c r="A445" s="3" t="s">
        <v>9153</v>
      </c>
      <c r="B445" s="3" t="s">
        <v>989</v>
      </c>
      <c r="C445" s="3" t="s">
        <v>990</v>
      </c>
      <c r="D445">
        <v>30</v>
      </c>
      <c r="E445" s="6">
        <v>45945</v>
      </c>
      <c r="F445">
        <v>0</v>
      </c>
      <c r="G445">
        <v>45.5</v>
      </c>
      <c r="H445">
        <v>4.5</v>
      </c>
      <c r="I445" s="3" t="s">
        <v>8701</v>
      </c>
    </row>
    <row r="446" spans="1:9" x14ac:dyDescent="0.35">
      <c r="A446" s="3" t="s">
        <v>10738</v>
      </c>
      <c r="B446" s="3" t="s">
        <v>4349</v>
      </c>
      <c r="C446" s="3" t="s">
        <v>4350</v>
      </c>
      <c r="D446">
        <v>465</v>
      </c>
      <c r="E446" s="6">
        <v>45510</v>
      </c>
      <c r="F446">
        <v>0</v>
      </c>
      <c r="G446">
        <v>29.1</v>
      </c>
      <c r="H446">
        <v>0.9</v>
      </c>
      <c r="I446" s="3" t="s">
        <v>8699</v>
      </c>
    </row>
    <row r="447" spans="1:9" x14ac:dyDescent="0.35">
      <c r="A447" s="3" t="s">
        <v>9155</v>
      </c>
      <c r="B447" s="3" t="s">
        <v>993</v>
      </c>
      <c r="C447" s="3" t="s">
        <v>994</v>
      </c>
      <c r="D447">
        <v>1825</v>
      </c>
      <c r="E447" s="6">
        <v>44150</v>
      </c>
      <c r="F447">
        <v>0</v>
      </c>
      <c r="G447">
        <v>0</v>
      </c>
      <c r="H447">
        <v>0</v>
      </c>
      <c r="I447" s="3" t="s">
        <v>28</v>
      </c>
    </row>
    <row r="448" spans="1:9" x14ac:dyDescent="0.35">
      <c r="A448" s="3" t="s">
        <v>9156</v>
      </c>
      <c r="B448" s="3" t="s">
        <v>995</v>
      </c>
      <c r="C448" s="3" t="s">
        <v>996</v>
      </c>
      <c r="D448">
        <v>955</v>
      </c>
      <c r="E448" s="6">
        <v>45020</v>
      </c>
      <c r="F448">
        <v>0</v>
      </c>
      <c r="G448">
        <v>0</v>
      </c>
      <c r="H448">
        <v>0</v>
      </c>
      <c r="I448" s="3" t="s">
        <v>28</v>
      </c>
    </row>
    <row r="449" spans="1:9" x14ac:dyDescent="0.35">
      <c r="A449" s="3" t="s">
        <v>9157</v>
      </c>
      <c r="B449" s="3" t="s">
        <v>997</v>
      </c>
      <c r="C449" s="3" t="s">
        <v>998</v>
      </c>
      <c r="D449">
        <v>955</v>
      </c>
      <c r="E449" s="6">
        <v>45020</v>
      </c>
      <c r="F449">
        <v>0</v>
      </c>
      <c r="G449">
        <v>0</v>
      </c>
      <c r="H449">
        <v>0</v>
      </c>
      <c r="I449" s="3" t="s">
        <v>28</v>
      </c>
    </row>
    <row r="450" spans="1:9" x14ac:dyDescent="0.35">
      <c r="A450" s="3" t="s">
        <v>9158</v>
      </c>
      <c r="B450" s="3" t="s">
        <v>999</v>
      </c>
      <c r="C450" s="3" t="s">
        <v>1000</v>
      </c>
      <c r="D450">
        <v>88</v>
      </c>
      <c r="E450" s="6">
        <v>45887</v>
      </c>
      <c r="F450">
        <v>0</v>
      </c>
      <c r="G450">
        <v>23</v>
      </c>
      <c r="H450">
        <v>2</v>
      </c>
      <c r="I450" s="3" t="s">
        <v>8705</v>
      </c>
    </row>
    <row r="451" spans="1:9" x14ac:dyDescent="0.35">
      <c r="A451" s="3" t="s">
        <v>8740</v>
      </c>
      <c r="B451" s="3" t="s">
        <v>110</v>
      </c>
      <c r="C451" s="3" t="s">
        <v>111</v>
      </c>
      <c r="D451">
        <v>466</v>
      </c>
      <c r="E451" s="6">
        <v>45509</v>
      </c>
      <c r="F451">
        <v>0</v>
      </c>
      <c r="G451">
        <v>32.835000000000001</v>
      </c>
      <c r="H451">
        <v>0.16500000000000001</v>
      </c>
      <c r="I451" s="3" t="s">
        <v>8699</v>
      </c>
    </row>
    <row r="452" spans="1:9" x14ac:dyDescent="0.35">
      <c r="A452" s="3" t="s">
        <v>9160</v>
      </c>
      <c r="B452" s="3" t="s">
        <v>1003</v>
      </c>
      <c r="C452" s="3" t="s">
        <v>1004</v>
      </c>
      <c r="D452">
        <v>21</v>
      </c>
      <c r="E452" s="6">
        <v>45954</v>
      </c>
      <c r="F452">
        <v>0</v>
      </c>
      <c r="G452">
        <v>35.28</v>
      </c>
      <c r="H452">
        <v>0.72</v>
      </c>
      <c r="I452" s="3" t="s">
        <v>8701</v>
      </c>
    </row>
    <row r="453" spans="1:9" x14ac:dyDescent="0.35">
      <c r="A453" s="3" t="s">
        <v>9161</v>
      </c>
      <c r="B453" s="3" t="s">
        <v>1005</v>
      </c>
      <c r="C453" s="3" t="s">
        <v>1006</v>
      </c>
      <c r="D453">
        <v>6867</v>
      </c>
      <c r="E453" s="6">
        <v>39108</v>
      </c>
      <c r="F453">
        <v>0</v>
      </c>
      <c r="G453">
        <v>0</v>
      </c>
      <c r="H453">
        <v>0</v>
      </c>
      <c r="I453" s="3" t="s">
        <v>28</v>
      </c>
    </row>
    <row r="454" spans="1:9" x14ac:dyDescent="0.35">
      <c r="A454" s="3" t="s">
        <v>9162</v>
      </c>
      <c r="B454" s="3" t="s">
        <v>1007</v>
      </c>
      <c r="C454" s="3" t="s">
        <v>1008</v>
      </c>
      <c r="D454">
        <v>726</v>
      </c>
      <c r="E454" s="6">
        <v>45249</v>
      </c>
      <c r="F454">
        <v>0</v>
      </c>
      <c r="G454">
        <v>0</v>
      </c>
      <c r="H454">
        <v>0</v>
      </c>
      <c r="I454" s="3" t="s">
        <v>28</v>
      </c>
    </row>
    <row r="455" spans="1:9" x14ac:dyDescent="0.35">
      <c r="A455" s="3" t="s">
        <v>9163</v>
      </c>
      <c r="B455" s="3" t="s">
        <v>1009</v>
      </c>
      <c r="C455" s="3" t="s">
        <v>1010</v>
      </c>
      <c r="D455">
        <v>50</v>
      </c>
      <c r="E455" s="6">
        <v>45925</v>
      </c>
      <c r="F455">
        <v>0</v>
      </c>
      <c r="G455">
        <v>24.266999999999999</v>
      </c>
      <c r="H455">
        <v>1.143</v>
      </c>
      <c r="I455" s="3" t="s">
        <v>8701</v>
      </c>
    </row>
    <row r="456" spans="1:9" x14ac:dyDescent="0.35">
      <c r="A456" s="3" t="s">
        <v>9270</v>
      </c>
      <c r="B456" s="3" t="s">
        <v>1235</v>
      </c>
      <c r="C456" s="3" t="s">
        <v>1236</v>
      </c>
      <c r="D456">
        <v>466</v>
      </c>
      <c r="E456" s="6">
        <v>45509</v>
      </c>
      <c r="F456">
        <v>0</v>
      </c>
      <c r="G456">
        <v>31.997</v>
      </c>
      <c r="H456">
        <v>3.0000000000000001E-3</v>
      </c>
      <c r="I456" s="3" t="s">
        <v>8699</v>
      </c>
    </row>
    <row r="457" spans="1:9" x14ac:dyDescent="0.35">
      <c r="A457" s="3" t="s">
        <v>9475</v>
      </c>
      <c r="B457" s="3" t="s">
        <v>1663</v>
      </c>
      <c r="C457" s="3" t="s">
        <v>1664</v>
      </c>
      <c r="D457">
        <v>466</v>
      </c>
      <c r="E457" s="6">
        <v>45509</v>
      </c>
      <c r="F457">
        <v>0</v>
      </c>
      <c r="G457">
        <v>34.997</v>
      </c>
      <c r="H457">
        <v>3.0000000000000001E-3</v>
      </c>
      <c r="I457" s="3" t="s">
        <v>8699</v>
      </c>
    </row>
    <row r="458" spans="1:9" x14ac:dyDescent="0.35">
      <c r="A458" s="3" t="s">
        <v>9784</v>
      </c>
      <c r="B458" s="3" t="s">
        <v>2317</v>
      </c>
      <c r="C458" s="3" t="s">
        <v>2318</v>
      </c>
      <c r="D458">
        <v>466</v>
      </c>
      <c r="E458" s="6">
        <v>45509</v>
      </c>
      <c r="F458">
        <v>0</v>
      </c>
      <c r="G458">
        <v>44.996000000000002</v>
      </c>
      <c r="H458">
        <v>4.0000000000000001E-3</v>
      </c>
      <c r="I458" s="3" t="s">
        <v>8699</v>
      </c>
    </row>
    <row r="459" spans="1:9" x14ac:dyDescent="0.35">
      <c r="A459" s="3" t="s">
        <v>10573</v>
      </c>
      <c r="B459" s="3" t="s">
        <v>4001</v>
      </c>
      <c r="C459" s="3" t="s">
        <v>4002</v>
      </c>
      <c r="D459">
        <v>466</v>
      </c>
      <c r="E459" s="6">
        <v>45509</v>
      </c>
      <c r="F459">
        <v>0</v>
      </c>
      <c r="G459">
        <v>37.619999999999997</v>
      </c>
      <c r="H459">
        <v>0.38</v>
      </c>
      <c r="I459" s="3" t="s">
        <v>8699</v>
      </c>
    </row>
    <row r="460" spans="1:9" x14ac:dyDescent="0.35">
      <c r="A460" s="3" t="s">
        <v>10936</v>
      </c>
      <c r="B460" s="3" t="s">
        <v>4760</v>
      </c>
      <c r="C460" s="3" t="s">
        <v>4761</v>
      </c>
      <c r="D460">
        <v>466</v>
      </c>
      <c r="E460" s="6">
        <v>45509</v>
      </c>
      <c r="F460">
        <v>0</v>
      </c>
      <c r="G460">
        <v>4.2</v>
      </c>
      <c r="H460">
        <v>0.8</v>
      </c>
      <c r="I460" s="3" t="s">
        <v>8699</v>
      </c>
    </row>
    <row r="461" spans="1:9" x14ac:dyDescent="0.35">
      <c r="A461" s="3" t="s">
        <v>9169</v>
      </c>
      <c r="B461" s="3" t="s">
        <v>1021</v>
      </c>
      <c r="C461" s="3" t="s">
        <v>1022</v>
      </c>
      <c r="D461">
        <v>50</v>
      </c>
      <c r="E461" s="6">
        <v>45925</v>
      </c>
      <c r="F461">
        <v>0</v>
      </c>
      <c r="G461">
        <v>4.3500000000000005</v>
      </c>
      <c r="H461">
        <v>0.65</v>
      </c>
      <c r="I461" s="3" t="s">
        <v>8701</v>
      </c>
    </row>
    <row r="462" spans="1:9" x14ac:dyDescent="0.35">
      <c r="A462" s="3" t="s">
        <v>9170</v>
      </c>
      <c r="B462" s="3" t="s">
        <v>1023</v>
      </c>
      <c r="C462" s="3" t="s">
        <v>1024</v>
      </c>
      <c r="D462">
        <v>2727</v>
      </c>
      <c r="E462" s="6">
        <v>43248</v>
      </c>
      <c r="F462">
        <v>0</v>
      </c>
      <c r="G462">
        <v>32.299999999999997</v>
      </c>
      <c r="H462">
        <v>1.7</v>
      </c>
      <c r="I462" s="3" t="s">
        <v>8701</v>
      </c>
    </row>
    <row r="463" spans="1:9" x14ac:dyDescent="0.35">
      <c r="A463" s="3" t="s">
        <v>11343</v>
      </c>
      <c r="B463" s="3" t="s">
        <v>5623</v>
      </c>
      <c r="C463" s="3" t="s">
        <v>5624</v>
      </c>
      <c r="D463">
        <v>466</v>
      </c>
      <c r="E463" s="6">
        <v>45509</v>
      </c>
      <c r="F463">
        <v>0</v>
      </c>
      <c r="G463">
        <v>69.993000000000009</v>
      </c>
      <c r="H463">
        <v>7.0000000000000001E-3</v>
      </c>
      <c r="I463" s="3" t="s">
        <v>8699</v>
      </c>
    </row>
    <row r="464" spans="1:9" x14ac:dyDescent="0.35">
      <c r="A464" s="3" t="s">
        <v>9349</v>
      </c>
      <c r="B464" s="3" t="s">
        <v>1407</v>
      </c>
      <c r="C464" s="3" t="s">
        <v>1408</v>
      </c>
      <c r="D464">
        <v>473</v>
      </c>
      <c r="E464" s="6">
        <v>45502</v>
      </c>
      <c r="F464">
        <v>0</v>
      </c>
      <c r="G464">
        <v>44.550000000000004</v>
      </c>
      <c r="H464">
        <v>0.45</v>
      </c>
      <c r="I464" s="3" t="s">
        <v>8699</v>
      </c>
    </row>
    <row r="465" spans="1:9" x14ac:dyDescent="0.35">
      <c r="A465" s="3" t="s">
        <v>9173</v>
      </c>
      <c r="B465" s="3" t="s">
        <v>1030</v>
      </c>
      <c r="C465" s="3" t="s">
        <v>1031</v>
      </c>
      <c r="D465">
        <v>23</v>
      </c>
      <c r="E465" s="6">
        <v>45952</v>
      </c>
      <c r="F465">
        <v>0</v>
      </c>
      <c r="G465">
        <v>8.0000000000000002E-3</v>
      </c>
      <c r="H465">
        <v>0.20200000000000001</v>
      </c>
      <c r="I465" s="3" t="s">
        <v>8712</v>
      </c>
    </row>
    <row r="466" spans="1:9" x14ac:dyDescent="0.35">
      <c r="A466" s="3" t="s">
        <v>10678</v>
      </c>
      <c r="B466" s="3" t="s">
        <v>4218</v>
      </c>
      <c r="C466" s="3" t="s">
        <v>4219</v>
      </c>
      <c r="D466">
        <v>476</v>
      </c>
      <c r="E466" s="6">
        <v>45499</v>
      </c>
      <c r="F466">
        <v>0</v>
      </c>
      <c r="G466">
        <v>77.22</v>
      </c>
      <c r="H466">
        <v>0.78</v>
      </c>
      <c r="I466" s="3" t="s">
        <v>8699</v>
      </c>
    </row>
    <row r="467" spans="1:9" x14ac:dyDescent="0.35">
      <c r="A467" s="3" t="s">
        <v>9175</v>
      </c>
      <c r="B467" s="3" t="s">
        <v>1035</v>
      </c>
      <c r="C467" s="3" t="s">
        <v>1036</v>
      </c>
      <c r="D467">
        <v>358</v>
      </c>
      <c r="E467" s="6">
        <v>45617</v>
      </c>
      <c r="F467">
        <v>0</v>
      </c>
      <c r="G467">
        <v>6.0000000000000001E-3</v>
      </c>
      <c r="H467">
        <v>0.10400000000000001</v>
      </c>
      <c r="I467" s="3" t="s">
        <v>8712</v>
      </c>
    </row>
    <row r="468" spans="1:9" x14ac:dyDescent="0.35">
      <c r="A468" s="3" t="s">
        <v>9176</v>
      </c>
      <c r="B468" s="3" t="s">
        <v>1037</v>
      </c>
      <c r="C468" s="3" t="s">
        <v>1038</v>
      </c>
      <c r="D468">
        <v>88</v>
      </c>
      <c r="E468" s="6">
        <v>45887</v>
      </c>
      <c r="F468">
        <v>0</v>
      </c>
      <c r="G468">
        <v>15.47</v>
      </c>
      <c r="H468">
        <v>1.53</v>
      </c>
      <c r="I468" s="3" t="s">
        <v>8705</v>
      </c>
    </row>
    <row r="469" spans="1:9" x14ac:dyDescent="0.35">
      <c r="A469" s="3" t="s">
        <v>9891</v>
      </c>
      <c r="B469" s="3" t="s">
        <v>2546</v>
      </c>
      <c r="C469" s="3" t="s">
        <v>2547</v>
      </c>
      <c r="D469">
        <v>477</v>
      </c>
      <c r="E469" s="6">
        <v>45498</v>
      </c>
      <c r="F469">
        <v>0</v>
      </c>
      <c r="G469">
        <v>15.58</v>
      </c>
      <c r="H469">
        <v>3.42</v>
      </c>
      <c r="I469" s="3" t="s">
        <v>8699</v>
      </c>
    </row>
    <row r="470" spans="1:9" x14ac:dyDescent="0.35">
      <c r="A470" s="3" t="s">
        <v>9672</v>
      </c>
      <c r="B470" s="3" t="s">
        <v>2084</v>
      </c>
      <c r="C470" s="3" t="s">
        <v>2085</v>
      </c>
      <c r="D470">
        <v>491</v>
      </c>
      <c r="E470" s="6">
        <v>45484</v>
      </c>
      <c r="F470">
        <v>0</v>
      </c>
      <c r="G470">
        <v>0.79200000000000004</v>
      </c>
      <c r="H470">
        <v>1.008</v>
      </c>
      <c r="I470" s="3" t="s">
        <v>8699</v>
      </c>
    </row>
    <row r="471" spans="1:9" x14ac:dyDescent="0.35">
      <c r="A471" s="3" t="s">
        <v>9179</v>
      </c>
      <c r="B471" s="3" t="s">
        <v>1043</v>
      </c>
      <c r="C471" s="3" t="s">
        <v>1044</v>
      </c>
      <c r="D471">
        <v>2019</v>
      </c>
      <c r="E471" s="6">
        <v>43956</v>
      </c>
      <c r="F471">
        <v>0</v>
      </c>
      <c r="G471">
        <v>1.2E-2</v>
      </c>
      <c r="H471">
        <v>0.188</v>
      </c>
      <c r="I471" s="3" t="s">
        <v>8712</v>
      </c>
    </row>
    <row r="472" spans="1:9" x14ac:dyDescent="0.35">
      <c r="A472" s="3" t="s">
        <v>9180</v>
      </c>
      <c r="B472" s="3" t="s">
        <v>1045</v>
      </c>
      <c r="C472" s="3" t="s">
        <v>1046</v>
      </c>
      <c r="D472">
        <v>23</v>
      </c>
      <c r="E472" s="6">
        <v>45952</v>
      </c>
      <c r="F472">
        <v>0</v>
      </c>
      <c r="G472">
        <v>3.75</v>
      </c>
      <c r="H472">
        <v>1.25</v>
      </c>
      <c r="I472" s="3" t="s">
        <v>8701</v>
      </c>
    </row>
    <row r="473" spans="1:9" x14ac:dyDescent="0.35">
      <c r="A473" s="3" t="s">
        <v>9181</v>
      </c>
      <c r="B473" s="3" t="s">
        <v>1047</v>
      </c>
      <c r="C473" s="3" t="s">
        <v>1048</v>
      </c>
      <c r="D473">
        <v>44</v>
      </c>
      <c r="E473" s="6">
        <v>45931</v>
      </c>
      <c r="F473">
        <v>8</v>
      </c>
      <c r="G473">
        <v>18.27</v>
      </c>
      <c r="H473">
        <v>2.73</v>
      </c>
      <c r="I473" s="3" t="s">
        <v>8756</v>
      </c>
    </row>
    <row r="474" spans="1:9" x14ac:dyDescent="0.35">
      <c r="A474" s="3" t="s">
        <v>9187</v>
      </c>
      <c r="B474" s="3" t="s">
        <v>1060</v>
      </c>
      <c r="C474" s="3" t="s">
        <v>1061</v>
      </c>
      <c r="D474">
        <v>500</v>
      </c>
      <c r="E474" s="6">
        <v>45475</v>
      </c>
      <c r="F474">
        <v>0</v>
      </c>
      <c r="G474">
        <v>1.875</v>
      </c>
      <c r="H474">
        <v>0.625</v>
      </c>
      <c r="I474" s="3" t="s">
        <v>8699</v>
      </c>
    </row>
    <row r="475" spans="1:9" x14ac:dyDescent="0.35">
      <c r="A475" s="3" t="s">
        <v>10243</v>
      </c>
      <c r="B475" s="3" t="s">
        <v>3295</v>
      </c>
      <c r="C475" s="3" t="s">
        <v>3296</v>
      </c>
      <c r="D475">
        <v>526</v>
      </c>
      <c r="E475" s="6">
        <v>45449</v>
      </c>
      <c r="F475">
        <v>0</v>
      </c>
      <c r="G475">
        <v>12.61</v>
      </c>
      <c r="H475">
        <v>0.39</v>
      </c>
      <c r="I475" s="3" t="s">
        <v>8699</v>
      </c>
    </row>
    <row r="476" spans="1:9" x14ac:dyDescent="0.35">
      <c r="A476" s="3" t="s">
        <v>9184</v>
      </c>
      <c r="B476" s="3" t="s">
        <v>1053</v>
      </c>
      <c r="C476" s="3" t="s">
        <v>1054</v>
      </c>
      <c r="D476">
        <v>46</v>
      </c>
      <c r="E476" s="6">
        <v>45929</v>
      </c>
      <c r="F476">
        <v>0</v>
      </c>
      <c r="G476">
        <v>0.34</v>
      </c>
      <c r="H476">
        <v>1.36</v>
      </c>
      <c r="I476" s="3" t="s">
        <v>8701</v>
      </c>
    </row>
    <row r="477" spans="1:9" x14ac:dyDescent="0.35">
      <c r="A477" s="3" t="s">
        <v>10961</v>
      </c>
      <c r="B477" s="3" t="s">
        <v>4816</v>
      </c>
      <c r="C477" s="3" t="s">
        <v>4817</v>
      </c>
      <c r="D477">
        <v>526</v>
      </c>
      <c r="E477" s="6">
        <v>45449</v>
      </c>
      <c r="F477">
        <v>0</v>
      </c>
      <c r="G477">
        <v>0</v>
      </c>
      <c r="H477">
        <v>0</v>
      </c>
      <c r="I477" s="3" t="s">
        <v>8699</v>
      </c>
    </row>
    <row r="478" spans="1:9" x14ac:dyDescent="0.35">
      <c r="A478" s="3" t="s">
        <v>9186</v>
      </c>
      <c r="B478" s="3" t="s">
        <v>1058</v>
      </c>
      <c r="C478" s="3" t="s">
        <v>1059</v>
      </c>
      <c r="D478">
        <v>109</v>
      </c>
      <c r="E478" s="6">
        <v>45866</v>
      </c>
      <c r="F478">
        <v>100</v>
      </c>
      <c r="G478">
        <v>42.688000000000002</v>
      </c>
      <c r="H478">
        <v>3.7120000000000002</v>
      </c>
      <c r="I478" s="3" t="s">
        <v>8729</v>
      </c>
    </row>
    <row r="479" spans="1:9" x14ac:dyDescent="0.35">
      <c r="A479" s="3" t="s">
        <v>10741</v>
      </c>
      <c r="B479" s="3" t="s">
        <v>4355</v>
      </c>
      <c r="C479" s="3" t="s">
        <v>4356</v>
      </c>
      <c r="D479">
        <v>527</v>
      </c>
      <c r="E479" s="6">
        <v>45448</v>
      </c>
      <c r="F479">
        <v>0</v>
      </c>
      <c r="G479">
        <v>12.4</v>
      </c>
      <c r="H479">
        <v>3.1</v>
      </c>
      <c r="I479" s="3" t="s">
        <v>8699</v>
      </c>
    </row>
    <row r="480" spans="1:9" x14ac:dyDescent="0.35">
      <c r="A480" s="3" t="s">
        <v>9188</v>
      </c>
      <c r="B480" s="3" t="s">
        <v>1063</v>
      </c>
      <c r="C480" s="3" t="s">
        <v>1064</v>
      </c>
      <c r="D480">
        <v>955</v>
      </c>
      <c r="E480" s="6">
        <v>45020</v>
      </c>
      <c r="F480">
        <v>0</v>
      </c>
      <c r="G480">
        <v>0</v>
      </c>
      <c r="H480">
        <v>0</v>
      </c>
      <c r="I480" s="3" t="s">
        <v>28</v>
      </c>
    </row>
    <row r="481" spans="1:9" x14ac:dyDescent="0.35">
      <c r="A481" s="3" t="s">
        <v>10987</v>
      </c>
      <c r="B481" s="3" t="s">
        <v>4871</v>
      </c>
      <c r="C481" s="3" t="s">
        <v>4872</v>
      </c>
      <c r="D481">
        <v>527</v>
      </c>
      <c r="E481" s="6">
        <v>45448</v>
      </c>
      <c r="F481">
        <v>0</v>
      </c>
      <c r="G481">
        <v>70.290000000000006</v>
      </c>
      <c r="H481">
        <v>0.71</v>
      </c>
      <c r="I481" s="3" t="s">
        <v>8699</v>
      </c>
    </row>
    <row r="482" spans="1:9" x14ac:dyDescent="0.35">
      <c r="A482" s="3" t="s">
        <v>9190</v>
      </c>
      <c r="B482" s="3" t="s">
        <v>1067</v>
      </c>
      <c r="C482" s="3" t="s">
        <v>1068</v>
      </c>
      <c r="D482">
        <v>955</v>
      </c>
      <c r="E482" s="6">
        <v>45020</v>
      </c>
      <c r="F482">
        <v>0</v>
      </c>
      <c r="G482">
        <v>0</v>
      </c>
      <c r="H482">
        <v>0</v>
      </c>
      <c r="I482" s="3" t="s">
        <v>28</v>
      </c>
    </row>
    <row r="483" spans="1:9" x14ac:dyDescent="0.35">
      <c r="A483" s="3" t="s">
        <v>9962</v>
      </c>
      <c r="B483" s="3" t="s">
        <v>2703</v>
      </c>
      <c r="C483" s="3" t="s">
        <v>2704</v>
      </c>
      <c r="D483">
        <v>530</v>
      </c>
      <c r="E483" s="6">
        <v>45445</v>
      </c>
      <c r="F483">
        <v>0</v>
      </c>
      <c r="G483">
        <v>17.64</v>
      </c>
      <c r="H483">
        <v>0.36</v>
      </c>
      <c r="I483" s="3" t="s">
        <v>8699</v>
      </c>
    </row>
    <row r="484" spans="1:9" x14ac:dyDescent="0.35">
      <c r="A484" s="3" t="s">
        <v>9192</v>
      </c>
      <c r="B484" s="3" t="s">
        <v>1071</v>
      </c>
      <c r="C484" s="3" t="s">
        <v>1072</v>
      </c>
      <c r="D484">
        <v>23</v>
      </c>
      <c r="E484" s="6">
        <v>45952</v>
      </c>
      <c r="F484">
        <v>0</v>
      </c>
      <c r="G484">
        <v>6.0000000000000001E-3</v>
      </c>
      <c r="H484">
        <v>0.14400000000000002</v>
      </c>
      <c r="I484" s="3" t="s">
        <v>8712</v>
      </c>
    </row>
    <row r="485" spans="1:9" x14ac:dyDescent="0.35">
      <c r="A485" s="3" t="s">
        <v>9070</v>
      </c>
      <c r="B485" s="3" t="s">
        <v>820</v>
      </c>
      <c r="C485" s="3" t="s">
        <v>821</v>
      </c>
      <c r="D485">
        <v>543</v>
      </c>
      <c r="E485" s="6">
        <v>45432</v>
      </c>
      <c r="F485">
        <v>100</v>
      </c>
      <c r="G485">
        <v>3.06</v>
      </c>
      <c r="H485">
        <v>1.44</v>
      </c>
      <c r="I485" s="3" t="s">
        <v>8699</v>
      </c>
    </row>
    <row r="486" spans="1:9" x14ac:dyDescent="0.35">
      <c r="A486" s="3" t="s">
        <v>10336</v>
      </c>
      <c r="B486" s="3" t="s">
        <v>3497</v>
      </c>
      <c r="C486" s="3" t="s">
        <v>3498</v>
      </c>
      <c r="D486">
        <v>550</v>
      </c>
      <c r="E486" s="6">
        <v>45425</v>
      </c>
      <c r="F486">
        <v>0</v>
      </c>
      <c r="G486">
        <v>2.294</v>
      </c>
      <c r="H486">
        <v>0.80600000000000005</v>
      </c>
      <c r="I486" s="3" t="s">
        <v>8699</v>
      </c>
    </row>
    <row r="487" spans="1:9" x14ac:dyDescent="0.35">
      <c r="A487" s="3" t="s">
        <v>8964</v>
      </c>
      <c r="B487" s="3" t="s">
        <v>594</v>
      </c>
      <c r="C487" s="3" t="s">
        <v>595</v>
      </c>
      <c r="D487">
        <v>557</v>
      </c>
      <c r="E487" s="6">
        <v>45418</v>
      </c>
      <c r="F487">
        <v>0</v>
      </c>
      <c r="G487">
        <v>0</v>
      </c>
      <c r="H487">
        <v>0</v>
      </c>
      <c r="I487" s="3" t="s">
        <v>8699</v>
      </c>
    </row>
    <row r="488" spans="1:9" x14ac:dyDescent="0.35">
      <c r="A488" s="3" t="s">
        <v>9209</v>
      </c>
      <c r="B488" s="3" t="s">
        <v>1110</v>
      </c>
      <c r="C488" s="3" t="s">
        <v>1111</v>
      </c>
      <c r="D488">
        <v>557</v>
      </c>
      <c r="E488" s="6">
        <v>45418</v>
      </c>
      <c r="F488">
        <v>0</v>
      </c>
      <c r="G488">
        <v>0</v>
      </c>
      <c r="H488">
        <v>0</v>
      </c>
      <c r="I488" s="3" t="s">
        <v>8699</v>
      </c>
    </row>
    <row r="489" spans="1:9" x14ac:dyDescent="0.35">
      <c r="A489" s="3" t="s">
        <v>9896</v>
      </c>
      <c r="B489" s="3" t="s">
        <v>2556</v>
      </c>
      <c r="C489" s="3" t="s">
        <v>2557</v>
      </c>
      <c r="D489">
        <v>557</v>
      </c>
      <c r="E489" s="6">
        <v>45418</v>
      </c>
      <c r="F489">
        <v>0</v>
      </c>
      <c r="G489">
        <v>0</v>
      </c>
      <c r="H489">
        <v>0</v>
      </c>
      <c r="I489" s="3" t="s">
        <v>8699</v>
      </c>
    </row>
    <row r="490" spans="1:9" x14ac:dyDescent="0.35">
      <c r="A490" s="3" t="s">
        <v>9198</v>
      </c>
      <c r="B490" s="3" t="s">
        <v>1083</v>
      </c>
      <c r="C490" s="3" t="s">
        <v>1084</v>
      </c>
      <c r="D490">
        <v>9052</v>
      </c>
      <c r="E490" s="6">
        <v>36923</v>
      </c>
      <c r="F490">
        <v>0</v>
      </c>
      <c r="G490">
        <v>0.21</v>
      </c>
      <c r="H490">
        <v>3.99</v>
      </c>
      <c r="I490" s="3" t="s">
        <v>8701</v>
      </c>
    </row>
    <row r="491" spans="1:9" x14ac:dyDescent="0.35">
      <c r="A491" s="3" t="s">
        <v>9199</v>
      </c>
      <c r="B491" s="3" t="s">
        <v>1085</v>
      </c>
      <c r="C491" s="3" t="s">
        <v>1086</v>
      </c>
      <c r="D491">
        <v>120</v>
      </c>
      <c r="E491" s="6">
        <v>45855</v>
      </c>
      <c r="F491">
        <v>50</v>
      </c>
      <c r="G491">
        <v>3.99</v>
      </c>
      <c r="H491">
        <v>0.21</v>
      </c>
      <c r="I491" s="3" t="s">
        <v>8729</v>
      </c>
    </row>
    <row r="492" spans="1:9" x14ac:dyDescent="0.35">
      <c r="A492" s="3" t="s">
        <v>9200</v>
      </c>
      <c r="B492" s="3" t="s">
        <v>1088</v>
      </c>
      <c r="C492" s="3" t="s">
        <v>1089</v>
      </c>
      <c r="D492">
        <v>58</v>
      </c>
      <c r="E492" s="6">
        <v>45917</v>
      </c>
      <c r="F492">
        <v>0</v>
      </c>
      <c r="G492">
        <v>3.2450000000000001</v>
      </c>
      <c r="H492">
        <v>2.2549999999999999</v>
      </c>
      <c r="I492" s="3" t="s">
        <v>8756</v>
      </c>
    </row>
    <row r="493" spans="1:9" x14ac:dyDescent="0.35">
      <c r="A493" s="3" t="s">
        <v>9201</v>
      </c>
      <c r="B493" s="3" t="s">
        <v>1091</v>
      </c>
      <c r="C493" s="3" t="s">
        <v>1092</v>
      </c>
      <c r="D493">
        <v>23</v>
      </c>
      <c r="E493" s="6">
        <v>45952</v>
      </c>
      <c r="F493">
        <v>50</v>
      </c>
      <c r="G493">
        <v>2.2000000000000002</v>
      </c>
      <c r="H493">
        <v>0.3</v>
      </c>
      <c r="I493" s="3" t="s">
        <v>8756</v>
      </c>
    </row>
    <row r="494" spans="1:9" x14ac:dyDescent="0.35">
      <c r="A494" s="3" t="s">
        <v>9202</v>
      </c>
      <c r="B494" s="3" t="s">
        <v>1096</v>
      </c>
      <c r="C494" s="3" t="s">
        <v>1097</v>
      </c>
      <c r="D494">
        <v>23</v>
      </c>
      <c r="E494" s="6">
        <v>45952</v>
      </c>
      <c r="F494">
        <v>0</v>
      </c>
      <c r="G494">
        <v>1.7</v>
      </c>
      <c r="H494">
        <v>0.3</v>
      </c>
      <c r="I494" s="3" t="s">
        <v>8701</v>
      </c>
    </row>
    <row r="495" spans="1:9" x14ac:dyDescent="0.35">
      <c r="A495" s="3" t="s">
        <v>8922</v>
      </c>
      <c r="B495" s="3" t="s">
        <v>502</v>
      </c>
      <c r="C495" s="3" t="s">
        <v>503</v>
      </c>
      <c r="D495">
        <v>560</v>
      </c>
      <c r="E495" s="6">
        <v>45415</v>
      </c>
      <c r="F495">
        <v>0</v>
      </c>
      <c r="G495">
        <v>32.67</v>
      </c>
      <c r="H495">
        <v>0.33</v>
      </c>
      <c r="I495" s="3" t="s">
        <v>8699</v>
      </c>
    </row>
    <row r="496" spans="1:9" x14ac:dyDescent="0.35">
      <c r="A496" s="3" t="s">
        <v>9204</v>
      </c>
      <c r="B496" s="3" t="s">
        <v>1100</v>
      </c>
      <c r="C496" s="3" t="s">
        <v>1101</v>
      </c>
      <c r="D496">
        <v>49</v>
      </c>
      <c r="E496" s="6">
        <v>45926</v>
      </c>
      <c r="F496">
        <v>0</v>
      </c>
      <c r="G496">
        <v>4.6749999999999998</v>
      </c>
      <c r="H496">
        <v>0.82500000000000007</v>
      </c>
      <c r="I496" s="3" t="s">
        <v>8756</v>
      </c>
    </row>
    <row r="497" spans="1:9" x14ac:dyDescent="0.35">
      <c r="A497" s="3" t="s">
        <v>9205</v>
      </c>
      <c r="B497" s="3" t="s">
        <v>1102</v>
      </c>
      <c r="C497" s="3" t="s">
        <v>1103</v>
      </c>
      <c r="D497">
        <v>29</v>
      </c>
      <c r="E497" s="6">
        <v>45946</v>
      </c>
      <c r="F497">
        <v>100</v>
      </c>
      <c r="G497">
        <v>0.31</v>
      </c>
      <c r="H497">
        <v>0.98</v>
      </c>
      <c r="I497" s="3" t="s">
        <v>8705</v>
      </c>
    </row>
    <row r="498" spans="1:9" x14ac:dyDescent="0.35">
      <c r="A498" s="3" t="s">
        <v>9001</v>
      </c>
      <c r="B498" s="3" t="s">
        <v>672</v>
      </c>
      <c r="C498" s="3" t="s">
        <v>673</v>
      </c>
      <c r="D498">
        <v>588</v>
      </c>
      <c r="E498" s="6">
        <v>45387</v>
      </c>
      <c r="F498">
        <v>0</v>
      </c>
      <c r="G498">
        <v>2.6180000000000003</v>
      </c>
      <c r="H498">
        <v>0.78200000000000003</v>
      </c>
      <c r="I498" s="3" t="s">
        <v>8699</v>
      </c>
    </row>
    <row r="499" spans="1:9" x14ac:dyDescent="0.35">
      <c r="A499" s="3" t="s">
        <v>9207</v>
      </c>
      <c r="B499" s="3" t="s">
        <v>1106</v>
      </c>
      <c r="C499" s="3" t="s">
        <v>1107</v>
      </c>
      <c r="D499">
        <v>22</v>
      </c>
      <c r="E499" s="6">
        <v>45953</v>
      </c>
      <c r="F499">
        <v>500</v>
      </c>
      <c r="G499">
        <v>3</v>
      </c>
      <c r="H499">
        <v>0.5</v>
      </c>
      <c r="I499" s="3" t="s">
        <v>8756</v>
      </c>
    </row>
    <row r="500" spans="1:9" x14ac:dyDescent="0.35">
      <c r="A500" s="3" t="s">
        <v>9313</v>
      </c>
      <c r="B500" s="3" t="s">
        <v>1327</v>
      </c>
      <c r="C500" s="3" t="s">
        <v>1328</v>
      </c>
      <c r="D500">
        <v>588</v>
      </c>
      <c r="E500" s="6">
        <v>45387</v>
      </c>
      <c r="F500">
        <v>0</v>
      </c>
      <c r="G500">
        <v>67.320000000000007</v>
      </c>
      <c r="H500">
        <v>0.68</v>
      </c>
      <c r="I500" s="3" t="s">
        <v>8699</v>
      </c>
    </row>
    <row r="501" spans="1:9" x14ac:dyDescent="0.35">
      <c r="A501" s="3" t="s">
        <v>9573</v>
      </c>
      <c r="B501" s="3" t="s">
        <v>1874</v>
      </c>
      <c r="C501" s="3" t="s">
        <v>1875</v>
      </c>
      <c r="D501">
        <v>604</v>
      </c>
      <c r="E501" s="6">
        <v>45371</v>
      </c>
      <c r="F501">
        <v>0</v>
      </c>
      <c r="G501">
        <v>2.52</v>
      </c>
      <c r="H501">
        <v>0.98</v>
      </c>
      <c r="I501" s="3" t="s">
        <v>8699</v>
      </c>
    </row>
    <row r="502" spans="1:9" x14ac:dyDescent="0.35">
      <c r="A502" s="3" t="s">
        <v>9210</v>
      </c>
      <c r="B502" s="3" t="s">
        <v>1112</v>
      </c>
      <c r="C502" s="3" t="s">
        <v>1113</v>
      </c>
      <c r="D502">
        <v>149</v>
      </c>
      <c r="E502" s="6">
        <v>45826</v>
      </c>
      <c r="F502">
        <v>0</v>
      </c>
      <c r="G502">
        <v>10.35</v>
      </c>
      <c r="H502">
        <v>1.1500000000000001</v>
      </c>
      <c r="I502" s="3" t="s">
        <v>8705</v>
      </c>
    </row>
    <row r="503" spans="1:9" x14ac:dyDescent="0.35">
      <c r="A503" s="3" t="s">
        <v>10327</v>
      </c>
      <c r="B503" s="3" t="s">
        <v>3478</v>
      </c>
      <c r="C503" s="3" t="s">
        <v>3479</v>
      </c>
      <c r="D503">
        <v>626</v>
      </c>
      <c r="E503" s="6">
        <v>45349</v>
      </c>
      <c r="F503">
        <v>0</v>
      </c>
      <c r="G503">
        <v>6.37</v>
      </c>
      <c r="H503">
        <v>0.13</v>
      </c>
      <c r="I503" s="3" t="s">
        <v>8699</v>
      </c>
    </row>
    <row r="504" spans="1:9" x14ac:dyDescent="0.35">
      <c r="A504" s="3" t="s">
        <v>9212</v>
      </c>
      <c r="B504" s="3" t="s">
        <v>1117</v>
      </c>
      <c r="C504" s="3" t="s">
        <v>1118</v>
      </c>
      <c r="D504">
        <v>56</v>
      </c>
      <c r="E504" s="6">
        <v>45919</v>
      </c>
      <c r="F504">
        <v>0</v>
      </c>
      <c r="G504">
        <v>4.55</v>
      </c>
      <c r="H504">
        <v>1.95</v>
      </c>
      <c r="I504" s="3" t="s">
        <v>8756</v>
      </c>
    </row>
    <row r="505" spans="1:9" x14ac:dyDescent="0.35">
      <c r="A505" s="3" t="s">
        <v>9213</v>
      </c>
      <c r="B505" s="3" t="s">
        <v>1119</v>
      </c>
      <c r="C505" s="3" t="s">
        <v>1120</v>
      </c>
      <c r="D505">
        <v>15</v>
      </c>
      <c r="E505" s="6">
        <v>45960</v>
      </c>
      <c r="F505">
        <v>0</v>
      </c>
      <c r="G505">
        <v>0.2</v>
      </c>
      <c r="H505">
        <v>0.8</v>
      </c>
      <c r="I505" s="3" t="s">
        <v>9145</v>
      </c>
    </row>
    <row r="506" spans="1:9" x14ac:dyDescent="0.35">
      <c r="A506" s="3" t="s">
        <v>9214</v>
      </c>
      <c r="B506" s="3" t="s">
        <v>1121</v>
      </c>
      <c r="C506" s="3" t="s">
        <v>1122</v>
      </c>
      <c r="D506">
        <v>49</v>
      </c>
      <c r="E506" s="6">
        <v>45926</v>
      </c>
      <c r="F506">
        <v>80</v>
      </c>
      <c r="G506">
        <v>11.96</v>
      </c>
      <c r="H506">
        <v>1.04</v>
      </c>
      <c r="I506" s="3" t="s">
        <v>8701</v>
      </c>
    </row>
    <row r="507" spans="1:9" x14ac:dyDescent="0.35">
      <c r="A507" s="3" t="s">
        <v>9215</v>
      </c>
      <c r="B507" s="3" t="s">
        <v>1123</v>
      </c>
      <c r="C507" s="3" t="s">
        <v>1124</v>
      </c>
      <c r="D507">
        <v>85</v>
      </c>
      <c r="E507" s="6">
        <v>45890</v>
      </c>
      <c r="F507">
        <v>50</v>
      </c>
      <c r="G507">
        <v>10.395000000000001</v>
      </c>
      <c r="H507">
        <v>0.10500000000000001</v>
      </c>
      <c r="I507" s="3" t="s">
        <v>8729</v>
      </c>
    </row>
    <row r="508" spans="1:9" x14ac:dyDescent="0.35">
      <c r="A508" s="3" t="s">
        <v>9216</v>
      </c>
      <c r="B508" s="3" t="s">
        <v>1125</v>
      </c>
      <c r="C508" s="3" t="s">
        <v>1126</v>
      </c>
      <c r="D508">
        <v>765</v>
      </c>
      <c r="E508" s="6">
        <v>45210</v>
      </c>
      <c r="F508">
        <v>0</v>
      </c>
      <c r="G508">
        <v>0.94500000000000006</v>
      </c>
      <c r="H508">
        <v>0.55500000000000005</v>
      </c>
      <c r="I508" s="3" t="s">
        <v>8701</v>
      </c>
    </row>
    <row r="509" spans="1:9" x14ac:dyDescent="0.35">
      <c r="A509" s="3" t="s">
        <v>10675</v>
      </c>
      <c r="B509" s="3" t="s">
        <v>4212</v>
      </c>
      <c r="C509" s="3" t="s">
        <v>4213</v>
      </c>
      <c r="D509">
        <v>633</v>
      </c>
      <c r="E509" s="6">
        <v>45342</v>
      </c>
      <c r="F509">
        <v>0</v>
      </c>
      <c r="G509">
        <v>7.28</v>
      </c>
      <c r="H509">
        <v>0.72</v>
      </c>
      <c r="I509" s="3" t="s">
        <v>8699</v>
      </c>
    </row>
    <row r="510" spans="1:9" x14ac:dyDescent="0.35">
      <c r="A510" s="3" t="s">
        <v>9218</v>
      </c>
      <c r="B510" s="3" t="s">
        <v>1129</v>
      </c>
      <c r="C510" s="3" t="s">
        <v>1130</v>
      </c>
      <c r="D510">
        <v>23</v>
      </c>
      <c r="E510" s="6">
        <v>45952</v>
      </c>
      <c r="F510">
        <v>0</v>
      </c>
      <c r="G510">
        <v>62.4</v>
      </c>
      <c r="H510">
        <v>2.6</v>
      </c>
      <c r="I510" s="3" t="s">
        <v>8701</v>
      </c>
    </row>
    <row r="511" spans="1:9" x14ac:dyDescent="0.35">
      <c r="A511" s="3" t="s">
        <v>9219</v>
      </c>
      <c r="B511" s="3" t="s">
        <v>1131</v>
      </c>
      <c r="C511" s="3" t="s">
        <v>1132</v>
      </c>
      <c r="D511">
        <v>955</v>
      </c>
      <c r="E511" s="6">
        <v>45020</v>
      </c>
      <c r="F511">
        <v>0</v>
      </c>
      <c r="G511">
        <v>0</v>
      </c>
      <c r="H511">
        <v>0</v>
      </c>
      <c r="I511" s="3" t="s">
        <v>28</v>
      </c>
    </row>
    <row r="512" spans="1:9" x14ac:dyDescent="0.35">
      <c r="A512" s="3" t="s">
        <v>9220</v>
      </c>
      <c r="B512" s="3" t="s">
        <v>1133</v>
      </c>
      <c r="C512" s="3" t="s">
        <v>1134</v>
      </c>
      <c r="D512">
        <v>87</v>
      </c>
      <c r="E512" s="6">
        <v>45888</v>
      </c>
      <c r="F512">
        <v>8</v>
      </c>
      <c r="G512">
        <v>10.98</v>
      </c>
      <c r="H512">
        <v>1.22</v>
      </c>
      <c r="I512" s="3" t="s">
        <v>8756</v>
      </c>
    </row>
    <row r="513" spans="1:9" x14ac:dyDescent="0.35">
      <c r="A513" s="3" t="s">
        <v>9221</v>
      </c>
      <c r="B513" s="3" t="s">
        <v>1135</v>
      </c>
      <c r="C513" s="3" t="s">
        <v>1136</v>
      </c>
      <c r="D513">
        <v>31</v>
      </c>
      <c r="E513" s="6">
        <v>45944</v>
      </c>
      <c r="F513">
        <v>0</v>
      </c>
      <c r="G513">
        <v>9.1</v>
      </c>
      <c r="H513">
        <v>0.9</v>
      </c>
      <c r="I513" s="3" t="s">
        <v>8738</v>
      </c>
    </row>
    <row r="514" spans="1:9" x14ac:dyDescent="0.35">
      <c r="A514" s="3" t="s">
        <v>9222</v>
      </c>
      <c r="B514" s="3" t="s">
        <v>1137</v>
      </c>
      <c r="C514" s="3" t="s">
        <v>1138</v>
      </c>
      <c r="D514">
        <v>71</v>
      </c>
      <c r="E514" s="6">
        <v>45904</v>
      </c>
      <c r="F514">
        <v>0</v>
      </c>
      <c r="G514">
        <v>16.2</v>
      </c>
      <c r="H514">
        <v>1.8</v>
      </c>
      <c r="I514" s="3" t="s">
        <v>8729</v>
      </c>
    </row>
    <row r="515" spans="1:9" x14ac:dyDescent="0.35">
      <c r="A515" s="3" t="s">
        <v>8888</v>
      </c>
      <c r="B515" s="3" t="s">
        <v>435</v>
      </c>
      <c r="C515" s="3" t="s">
        <v>436</v>
      </c>
      <c r="D515">
        <v>651</v>
      </c>
      <c r="E515" s="6">
        <v>45324</v>
      </c>
      <c r="F515">
        <v>0</v>
      </c>
      <c r="G515">
        <v>0</v>
      </c>
      <c r="H515">
        <v>0</v>
      </c>
      <c r="I515" s="3" t="s">
        <v>8699</v>
      </c>
    </row>
    <row r="516" spans="1:9" x14ac:dyDescent="0.35">
      <c r="A516" s="3" t="s">
        <v>9224</v>
      </c>
      <c r="B516" s="3" t="s">
        <v>1141</v>
      </c>
      <c r="C516" s="3" t="s">
        <v>1142</v>
      </c>
      <c r="D516">
        <v>151</v>
      </c>
      <c r="E516" s="6">
        <v>45824</v>
      </c>
      <c r="F516">
        <v>100</v>
      </c>
      <c r="G516">
        <v>2.5500000000000003</v>
      </c>
      <c r="H516">
        <v>0.45</v>
      </c>
      <c r="I516" s="3" t="s">
        <v>8756</v>
      </c>
    </row>
    <row r="517" spans="1:9" x14ac:dyDescent="0.35">
      <c r="A517" s="3" t="s">
        <v>9225</v>
      </c>
      <c r="B517" s="3" t="s">
        <v>1143</v>
      </c>
      <c r="C517" s="3" t="s">
        <v>1144</v>
      </c>
      <c r="D517">
        <v>119</v>
      </c>
      <c r="E517" s="6">
        <v>45856</v>
      </c>
      <c r="F517">
        <v>100</v>
      </c>
      <c r="G517">
        <v>86.13</v>
      </c>
      <c r="H517">
        <v>0.87</v>
      </c>
      <c r="I517" s="3" t="s">
        <v>8729</v>
      </c>
    </row>
    <row r="518" spans="1:9" x14ac:dyDescent="0.35">
      <c r="A518" s="3" t="s">
        <v>9226</v>
      </c>
      <c r="B518" s="3" t="s">
        <v>1145</v>
      </c>
      <c r="C518" s="3" t="s">
        <v>1146</v>
      </c>
      <c r="D518">
        <v>23</v>
      </c>
      <c r="E518" s="6">
        <v>45952</v>
      </c>
      <c r="F518">
        <v>0</v>
      </c>
      <c r="G518">
        <v>7.2</v>
      </c>
      <c r="H518">
        <v>1.8</v>
      </c>
      <c r="I518" s="3" t="s">
        <v>8701</v>
      </c>
    </row>
    <row r="519" spans="1:9" x14ac:dyDescent="0.35">
      <c r="A519" s="3" t="s">
        <v>9072</v>
      </c>
      <c r="B519" s="3" t="s">
        <v>824</v>
      </c>
      <c r="C519" s="3" t="s">
        <v>825</v>
      </c>
      <c r="D519">
        <v>651</v>
      </c>
      <c r="E519" s="6">
        <v>45324</v>
      </c>
      <c r="F519">
        <v>0</v>
      </c>
      <c r="G519">
        <v>0</v>
      </c>
      <c r="H519">
        <v>0</v>
      </c>
      <c r="I519" s="3" t="s">
        <v>8699</v>
      </c>
    </row>
    <row r="520" spans="1:9" x14ac:dyDescent="0.35">
      <c r="A520" s="3" t="s">
        <v>9228</v>
      </c>
      <c r="B520" s="3" t="s">
        <v>1149</v>
      </c>
      <c r="C520" s="3" t="s">
        <v>1150</v>
      </c>
      <c r="D520">
        <v>297</v>
      </c>
      <c r="E520" s="6">
        <v>45678</v>
      </c>
      <c r="F520">
        <v>0</v>
      </c>
      <c r="G520">
        <v>15.040000000000001</v>
      </c>
      <c r="H520">
        <v>0.96</v>
      </c>
      <c r="I520" s="3" t="s">
        <v>8756</v>
      </c>
    </row>
    <row r="521" spans="1:9" x14ac:dyDescent="0.35">
      <c r="A521" s="3" t="s">
        <v>9229</v>
      </c>
      <c r="B521" s="3" t="s">
        <v>1152</v>
      </c>
      <c r="C521" s="3" t="s">
        <v>1153</v>
      </c>
      <c r="D521">
        <v>5646</v>
      </c>
      <c r="E521" s="6">
        <v>40329</v>
      </c>
      <c r="F521">
        <v>0</v>
      </c>
      <c r="G521">
        <v>1.1000000000000001E-2</v>
      </c>
      <c r="H521">
        <v>0.28900000000000003</v>
      </c>
      <c r="I521" s="3" t="s">
        <v>8712</v>
      </c>
    </row>
    <row r="522" spans="1:9" x14ac:dyDescent="0.35">
      <c r="A522" s="3" t="s">
        <v>9230</v>
      </c>
      <c r="B522" s="3" t="s">
        <v>1154</v>
      </c>
      <c r="C522" s="3" t="s">
        <v>1155</v>
      </c>
      <c r="D522">
        <v>15</v>
      </c>
      <c r="E522" s="6">
        <v>45960</v>
      </c>
      <c r="F522">
        <v>0</v>
      </c>
      <c r="G522">
        <v>11.21</v>
      </c>
      <c r="H522">
        <v>0.59</v>
      </c>
      <c r="I522" s="3" t="s">
        <v>8756</v>
      </c>
    </row>
    <row r="523" spans="1:9" x14ac:dyDescent="0.35">
      <c r="A523" s="3" t="s">
        <v>11040</v>
      </c>
      <c r="B523" s="3" t="s">
        <v>4992</v>
      </c>
      <c r="C523" s="3" t="s">
        <v>4993</v>
      </c>
      <c r="D523">
        <v>653</v>
      </c>
      <c r="E523" s="6">
        <v>45322</v>
      </c>
      <c r="F523">
        <v>0</v>
      </c>
      <c r="G523">
        <v>0</v>
      </c>
      <c r="H523">
        <v>0</v>
      </c>
      <c r="I523" s="3" t="s">
        <v>8699</v>
      </c>
    </row>
    <row r="524" spans="1:9" x14ac:dyDescent="0.35">
      <c r="A524" s="3" t="s">
        <v>9232</v>
      </c>
      <c r="B524" s="3" t="s">
        <v>1158</v>
      </c>
      <c r="C524" s="3" t="s">
        <v>1159</v>
      </c>
      <c r="D524">
        <v>1152</v>
      </c>
      <c r="E524" s="6">
        <v>44823</v>
      </c>
      <c r="F524">
        <v>0</v>
      </c>
      <c r="G524">
        <v>0.42</v>
      </c>
      <c r="H524">
        <v>0.78</v>
      </c>
      <c r="I524" s="3" t="s">
        <v>8701</v>
      </c>
    </row>
    <row r="525" spans="1:9" x14ac:dyDescent="0.35">
      <c r="A525" s="3" t="s">
        <v>9233</v>
      </c>
      <c r="B525" s="3" t="s">
        <v>1160</v>
      </c>
      <c r="C525" s="3" t="s">
        <v>1161</v>
      </c>
      <c r="D525">
        <v>7727</v>
      </c>
      <c r="E525" s="6">
        <v>38248</v>
      </c>
      <c r="F525">
        <v>150</v>
      </c>
      <c r="G525">
        <v>21.73</v>
      </c>
      <c r="H525">
        <v>0.44</v>
      </c>
      <c r="I525" s="3" t="s">
        <v>8729</v>
      </c>
    </row>
    <row r="526" spans="1:9" x14ac:dyDescent="0.35">
      <c r="A526" s="3" t="s">
        <v>9234</v>
      </c>
      <c r="B526" s="3" t="s">
        <v>1162</v>
      </c>
      <c r="C526" s="3" t="s">
        <v>1163</v>
      </c>
      <c r="D526">
        <v>955</v>
      </c>
      <c r="E526" s="6">
        <v>45020</v>
      </c>
      <c r="F526">
        <v>0</v>
      </c>
      <c r="G526">
        <v>0</v>
      </c>
      <c r="H526">
        <v>0</v>
      </c>
      <c r="I526" s="3" t="s">
        <v>28</v>
      </c>
    </row>
    <row r="527" spans="1:9" x14ac:dyDescent="0.35">
      <c r="A527" s="3" t="s">
        <v>9274</v>
      </c>
      <c r="B527" s="3" t="s">
        <v>1243</v>
      </c>
      <c r="C527" s="3" t="s">
        <v>1244</v>
      </c>
      <c r="D527">
        <v>655</v>
      </c>
      <c r="E527" s="6">
        <v>45320</v>
      </c>
      <c r="F527">
        <v>0</v>
      </c>
      <c r="G527">
        <v>0</v>
      </c>
      <c r="H527">
        <v>0</v>
      </c>
      <c r="I527" s="3" t="s">
        <v>8699</v>
      </c>
    </row>
    <row r="528" spans="1:9" x14ac:dyDescent="0.35">
      <c r="A528" s="3" t="s">
        <v>9236</v>
      </c>
      <c r="B528" s="3" t="s">
        <v>1166</v>
      </c>
      <c r="C528" s="3" t="s">
        <v>1167</v>
      </c>
      <c r="D528">
        <v>3440</v>
      </c>
      <c r="E528" s="6">
        <v>42535</v>
      </c>
      <c r="F528">
        <v>1500</v>
      </c>
      <c r="G528">
        <v>0</v>
      </c>
      <c r="H528">
        <v>0</v>
      </c>
      <c r="I528" s="3" t="s">
        <v>8701</v>
      </c>
    </row>
    <row r="529" spans="1:9" x14ac:dyDescent="0.35">
      <c r="A529" s="3" t="s">
        <v>9150</v>
      </c>
      <c r="B529" s="3" t="s">
        <v>982</v>
      </c>
      <c r="C529" s="3" t="s">
        <v>983</v>
      </c>
      <c r="D529">
        <v>656</v>
      </c>
      <c r="E529" s="6">
        <v>45319</v>
      </c>
      <c r="F529">
        <v>0</v>
      </c>
      <c r="G529">
        <v>0</v>
      </c>
      <c r="H529">
        <v>0</v>
      </c>
      <c r="I529" s="3" t="s">
        <v>8699</v>
      </c>
    </row>
    <row r="530" spans="1:9" x14ac:dyDescent="0.35">
      <c r="A530" s="3" t="s">
        <v>9248</v>
      </c>
      <c r="B530" s="3" t="s">
        <v>1190</v>
      </c>
      <c r="C530" s="3" t="s">
        <v>1191</v>
      </c>
      <c r="D530">
        <v>656</v>
      </c>
      <c r="E530" s="6">
        <v>45319</v>
      </c>
      <c r="F530">
        <v>0</v>
      </c>
      <c r="G530">
        <v>0</v>
      </c>
      <c r="H530">
        <v>0</v>
      </c>
      <c r="I530" s="3" t="s">
        <v>8699</v>
      </c>
    </row>
    <row r="531" spans="1:9" x14ac:dyDescent="0.35">
      <c r="A531" s="3" t="s">
        <v>9239</v>
      </c>
      <c r="B531" s="3" t="s">
        <v>1172</v>
      </c>
      <c r="C531" s="3" t="s">
        <v>1173</v>
      </c>
      <c r="D531">
        <v>955</v>
      </c>
      <c r="E531" s="6">
        <v>45020</v>
      </c>
      <c r="F531">
        <v>0</v>
      </c>
      <c r="G531">
        <v>0</v>
      </c>
      <c r="H531">
        <v>0</v>
      </c>
      <c r="I531" s="3" t="s">
        <v>28</v>
      </c>
    </row>
    <row r="532" spans="1:9" x14ac:dyDescent="0.35">
      <c r="A532" s="3" t="s">
        <v>10759</v>
      </c>
      <c r="B532" s="3" t="s">
        <v>4395</v>
      </c>
      <c r="C532" s="3" t="s">
        <v>4396</v>
      </c>
      <c r="D532">
        <v>656</v>
      </c>
      <c r="E532" s="6">
        <v>45319</v>
      </c>
      <c r="F532">
        <v>0</v>
      </c>
      <c r="G532">
        <v>0</v>
      </c>
      <c r="H532">
        <v>0</v>
      </c>
      <c r="I532" s="3" t="s">
        <v>8699</v>
      </c>
    </row>
    <row r="533" spans="1:9" x14ac:dyDescent="0.35">
      <c r="A533" s="3" t="s">
        <v>9241</v>
      </c>
      <c r="B533" s="3" t="s">
        <v>1176</v>
      </c>
      <c r="C533" s="3" t="s">
        <v>1177</v>
      </c>
      <c r="D533">
        <v>955</v>
      </c>
      <c r="E533" s="6">
        <v>45020</v>
      </c>
      <c r="F533">
        <v>0</v>
      </c>
      <c r="G533">
        <v>0</v>
      </c>
      <c r="H533">
        <v>0</v>
      </c>
      <c r="I533" s="3" t="s">
        <v>28</v>
      </c>
    </row>
    <row r="534" spans="1:9" x14ac:dyDescent="0.35">
      <c r="A534" s="3" t="s">
        <v>9242</v>
      </c>
      <c r="B534" s="3" t="s">
        <v>1178</v>
      </c>
      <c r="C534" s="3" t="s">
        <v>1179</v>
      </c>
      <c r="D534">
        <v>109</v>
      </c>
      <c r="E534" s="6">
        <v>45866</v>
      </c>
      <c r="F534">
        <v>60</v>
      </c>
      <c r="G534">
        <v>8.33</v>
      </c>
      <c r="H534">
        <v>0.17</v>
      </c>
      <c r="I534" s="3" t="s">
        <v>8729</v>
      </c>
    </row>
    <row r="535" spans="1:9" x14ac:dyDescent="0.35">
      <c r="A535" s="3" t="s">
        <v>9243</v>
      </c>
      <c r="B535" s="3" t="s">
        <v>1180</v>
      </c>
      <c r="C535" s="3" t="s">
        <v>1181</v>
      </c>
      <c r="D535">
        <v>25</v>
      </c>
      <c r="E535" s="6">
        <v>45950</v>
      </c>
      <c r="F535">
        <v>100</v>
      </c>
      <c r="G535">
        <v>20.02</v>
      </c>
      <c r="H535">
        <v>1.98</v>
      </c>
      <c r="I535" s="3" t="s">
        <v>8701</v>
      </c>
    </row>
    <row r="536" spans="1:9" x14ac:dyDescent="0.35">
      <c r="A536" s="3" t="s">
        <v>9244</v>
      </c>
      <c r="B536" s="3" t="s">
        <v>1182</v>
      </c>
      <c r="C536" s="3" t="s">
        <v>1183</v>
      </c>
      <c r="D536">
        <v>19</v>
      </c>
      <c r="E536" s="6">
        <v>45956</v>
      </c>
      <c r="F536">
        <v>20</v>
      </c>
      <c r="G536">
        <v>8.6940000000000008</v>
      </c>
      <c r="H536">
        <v>0.50600000000000001</v>
      </c>
      <c r="I536" s="3" t="s">
        <v>8701</v>
      </c>
    </row>
    <row r="537" spans="1:9" x14ac:dyDescent="0.35">
      <c r="A537" s="3" t="s">
        <v>9245</v>
      </c>
      <c r="B537" s="3" t="s">
        <v>1184</v>
      </c>
      <c r="C537" s="3" t="s">
        <v>1185</v>
      </c>
      <c r="D537">
        <v>3169</v>
      </c>
      <c r="E537" s="6">
        <v>42806</v>
      </c>
      <c r="F537">
        <v>0</v>
      </c>
      <c r="G537">
        <v>0</v>
      </c>
      <c r="H537">
        <v>0</v>
      </c>
      <c r="I537" s="3" t="s">
        <v>28</v>
      </c>
    </row>
    <row r="538" spans="1:9" x14ac:dyDescent="0.35">
      <c r="A538" s="3" t="s">
        <v>9246</v>
      </c>
      <c r="B538" s="3" t="s">
        <v>1186</v>
      </c>
      <c r="C538" s="3" t="s">
        <v>1187</v>
      </c>
      <c r="D538">
        <v>1391</v>
      </c>
      <c r="E538" s="6">
        <v>44584</v>
      </c>
      <c r="F538">
        <v>0</v>
      </c>
      <c r="G538">
        <v>95.04</v>
      </c>
      <c r="H538">
        <v>0.96</v>
      </c>
      <c r="I538" s="3" t="s">
        <v>8701</v>
      </c>
    </row>
    <row r="539" spans="1:9" x14ac:dyDescent="0.35">
      <c r="A539" s="3" t="s">
        <v>9247</v>
      </c>
      <c r="B539" s="3" t="s">
        <v>1188</v>
      </c>
      <c r="C539" s="3" t="s">
        <v>1189</v>
      </c>
      <c r="D539">
        <v>2361</v>
      </c>
      <c r="E539" s="6">
        <v>43614</v>
      </c>
      <c r="F539">
        <v>0</v>
      </c>
      <c r="G539">
        <v>1.4E-2</v>
      </c>
      <c r="H539">
        <v>0.183</v>
      </c>
      <c r="I539" s="3" t="s">
        <v>8712</v>
      </c>
    </row>
    <row r="540" spans="1:9" x14ac:dyDescent="0.35">
      <c r="A540" s="3" t="s">
        <v>9425</v>
      </c>
      <c r="B540" s="3" t="s">
        <v>1560</v>
      </c>
      <c r="C540" s="3" t="s">
        <v>1561</v>
      </c>
      <c r="D540">
        <v>661</v>
      </c>
      <c r="E540" s="6">
        <v>45314</v>
      </c>
      <c r="F540">
        <v>0</v>
      </c>
      <c r="G540">
        <v>2</v>
      </c>
      <c r="H540">
        <v>0.5</v>
      </c>
      <c r="I540" s="3" t="s">
        <v>8699</v>
      </c>
    </row>
    <row r="541" spans="1:9" x14ac:dyDescent="0.35">
      <c r="A541" s="3" t="s">
        <v>9249</v>
      </c>
      <c r="B541" s="3" t="s">
        <v>1192</v>
      </c>
      <c r="C541" s="3" t="s">
        <v>1193</v>
      </c>
      <c r="D541">
        <v>199</v>
      </c>
      <c r="E541" s="6">
        <v>45776</v>
      </c>
      <c r="F541">
        <v>0</v>
      </c>
      <c r="G541">
        <v>12.445</v>
      </c>
      <c r="H541">
        <v>0.65500000000000003</v>
      </c>
      <c r="I541" s="3" t="s">
        <v>8701</v>
      </c>
    </row>
    <row r="542" spans="1:9" x14ac:dyDescent="0.35">
      <c r="A542" s="3" t="s">
        <v>9128</v>
      </c>
      <c r="B542" s="3" t="s">
        <v>937</v>
      </c>
      <c r="C542" s="3" t="s">
        <v>938</v>
      </c>
      <c r="D542">
        <v>662</v>
      </c>
      <c r="E542" s="6">
        <v>45313</v>
      </c>
      <c r="F542">
        <v>0</v>
      </c>
      <c r="G542">
        <v>0</v>
      </c>
      <c r="H542">
        <v>0</v>
      </c>
      <c r="I542" s="3" t="s">
        <v>8699</v>
      </c>
    </row>
    <row r="543" spans="1:9" x14ac:dyDescent="0.35">
      <c r="A543" s="3" t="s">
        <v>9910</v>
      </c>
      <c r="B543" s="3" t="s">
        <v>2588</v>
      </c>
      <c r="C543" s="3" t="s">
        <v>2589</v>
      </c>
      <c r="D543">
        <v>662</v>
      </c>
      <c r="E543" s="6">
        <v>45313</v>
      </c>
      <c r="F543">
        <v>0</v>
      </c>
      <c r="G543">
        <v>0</v>
      </c>
      <c r="H543">
        <v>0</v>
      </c>
      <c r="I543" s="3" t="s">
        <v>8699</v>
      </c>
    </row>
    <row r="544" spans="1:9" x14ac:dyDescent="0.35">
      <c r="A544" s="3" t="s">
        <v>9252</v>
      </c>
      <c r="B544" s="3" t="s">
        <v>1198</v>
      </c>
      <c r="C544" s="3" t="s">
        <v>1199</v>
      </c>
      <c r="D544">
        <v>955</v>
      </c>
      <c r="E544" s="6">
        <v>45020</v>
      </c>
      <c r="F544">
        <v>0</v>
      </c>
      <c r="G544">
        <v>0</v>
      </c>
      <c r="H544">
        <v>0</v>
      </c>
      <c r="I544" s="3" t="s">
        <v>28</v>
      </c>
    </row>
    <row r="545" spans="1:9" x14ac:dyDescent="0.35">
      <c r="A545" s="3" t="s">
        <v>10447</v>
      </c>
      <c r="B545" s="3" t="s">
        <v>3734</v>
      </c>
      <c r="C545" s="3" t="s">
        <v>3735</v>
      </c>
      <c r="D545">
        <v>662</v>
      </c>
      <c r="E545" s="6">
        <v>45313</v>
      </c>
      <c r="F545">
        <v>0</v>
      </c>
      <c r="G545">
        <v>0</v>
      </c>
      <c r="H545">
        <v>0</v>
      </c>
      <c r="I545" s="3" t="s">
        <v>8699</v>
      </c>
    </row>
    <row r="546" spans="1:9" x14ac:dyDescent="0.35">
      <c r="A546" s="3" t="s">
        <v>9254</v>
      </c>
      <c r="B546" s="3" t="s">
        <v>1202</v>
      </c>
      <c r="C546" s="3" t="s">
        <v>1203</v>
      </c>
      <c r="D546">
        <v>49</v>
      </c>
      <c r="E546" s="6">
        <v>45926</v>
      </c>
      <c r="F546">
        <v>0</v>
      </c>
      <c r="G546">
        <v>1.3800000000000001</v>
      </c>
      <c r="H546">
        <v>1.62</v>
      </c>
      <c r="I546" s="3" t="s">
        <v>8701</v>
      </c>
    </row>
    <row r="547" spans="1:9" x14ac:dyDescent="0.35">
      <c r="A547" s="3" t="s">
        <v>9255</v>
      </c>
      <c r="B547" s="3" t="s">
        <v>1204</v>
      </c>
      <c r="C547" s="3" t="s">
        <v>1205</v>
      </c>
      <c r="D547">
        <v>955</v>
      </c>
      <c r="E547" s="6">
        <v>45020</v>
      </c>
      <c r="F547">
        <v>0</v>
      </c>
      <c r="G547">
        <v>0</v>
      </c>
      <c r="H547">
        <v>0</v>
      </c>
      <c r="I547" s="3" t="s">
        <v>28</v>
      </c>
    </row>
    <row r="548" spans="1:9" x14ac:dyDescent="0.35">
      <c r="A548" s="3" t="s">
        <v>9368</v>
      </c>
      <c r="B548" s="3" t="s">
        <v>1445</v>
      </c>
      <c r="C548" s="3" t="s">
        <v>1446</v>
      </c>
      <c r="D548">
        <v>664</v>
      </c>
      <c r="E548" s="6">
        <v>45311</v>
      </c>
      <c r="F548">
        <v>0</v>
      </c>
      <c r="G548">
        <v>0</v>
      </c>
      <c r="H548">
        <v>0</v>
      </c>
      <c r="I548" s="3" t="s">
        <v>8699</v>
      </c>
    </row>
    <row r="549" spans="1:9" x14ac:dyDescent="0.35">
      <c r="A549" s="3" t="s">
        <v>9257</v>
      </c>
      <c r="B549" s="3" t="s">
        <v>1208</v>
      </c>
      <c r="C549" s="3" t="s">
        <v>1209</v>
      </c>
      <c r="D549">
        <v>90</v>
      </c>
      <c r="E549" s="6">
        <v>45885</v>
      </c>
      <c r="F549">
        <v>90</v>
      </c>
      <c r="G549">
        <v>2.3360000000000003</v>
      </c>
      <c r="H549">
        <v>0.86399999999999999</v>
      </c>
      <c r="I549" s="3" t="s">
        <v>8756</v>
      </c>
    </row>
    <row r="550" spans="1:9" x14ac:dyDescent="0.35">
      <c r="A550" s="3" t="s">
        <v>9258</v>
      </c>
      <c r="B550" s="3" t="s">
        <v>1210</v>
      </c>
      <c r="C550" s="3" t="s">
        <v>1211</v>
      </c>
      <c r="D550">
        <v>56</v>
      </c>
      <c r="E550" s="6">
        <v>45919</v>
      </c>
      <c r="F550">
        <v>0</v>
      </c>
      <c r="G550">
        <v>28.42</v>
      </c>
      <c r="H550">
        <v>0.57999999999999996</v>
      </c>
      <c r="I550" s="3" t="s">
        <v>8756</v>
      </c>
    </row>
    <row r="551" spans="1:9" x14ac:dyDescent="0.35">
      <c r="A551" s="3" t="s">
        <v>9259</v>
      </c>
      <c r="B551" s="3" t="s">
        <v>1212</v>
      </c>
      <c r="C551" s="3" t="s">
        <v>1213</v>
      </c>
      <c r="D551">
        <v>109</v>
      </c>
      <c r="E551" s="6">
        <v>45866</v>
      </c>
      <c r="F551">
        <v>10</v>
      </c>
      <c r="G551">
        <v>8.918000000000001</v>
      </c>
      <c r="H551">
        <v>0.88200000000000001</v>
      </c>
      <c r="I551" s="3" t="s">
        <v>8729</v>
      </c>
    </row>
    <row r="552" spans="1:9" x14ac:dyDescent="0.35">
      <c r="A552" s="3" t="s">
        <v>9940</v>
      </c>
      <c r="B552" s="3" t="s">
        <v>2658</v>
      </c>
      <c r="C552" s="3" t="s">
        <v>2659</v>
      </c>
      <c r="D552">
        <v>664</v>
      </c>
      <c r="E552" s="6">
        <v>45311</v>
      </c>
      <c r="F552">
        <v>0</v>
      </c>
      <c r="G552">
        <v>0</v>
      </c>
      <c r="H552">
        <v>0</v>
      </c>
      <c r="I552" s="3" t="s">
        <v>8699</v>
      </c>
    </row>
    <row r="553" spans="1:9" x14ac:dyDescent="0.35">
      <c r="A553" s="3" t="s">
        <v>10166</v>
      </c>
      <c r="B553" s="3" t="s">
        <v>3139</v>
      </c>
      <c r="C553" s="3" t="s">
        <v>3140</v>
      </c>
      <c r="D553">
        <v>666</v>
      </c>
      <c r="E553" s="6">
        <v>45309</v>
      </c>
      <c r="F553">
        <v>0</v>
      </c>
      <c r="G553">
        <v>46.53</v>
      </c>
      <c r="H553">
        <v>0.47000000000000003</v>
      </c>
      <c r="I553" s="3" t="s">
        <v>8699</v>
      </c>
    </row>
    <row r="554" spans="1:9" x14ac:dyDescent="0.35">
      <c r="A554" s="3" t="s">
        <v>9821</v>
      </c>
      <c r="B554" s="3" t="s">
        <v>2402</v>
      </c>
      <c r="C554" s="3" t="s">
        <v>2403</v>
      </c>
      <c r="D554">
        <v>672</v>
      </c>
      <c r="E554" s="6">
        <v>45303</v>
      </c>
      <c r="F554">
        <v>50</v>
      </c>
      <c r="G554">
        <v>1.677</v>
      </c>
      <c r="H554">
        <v>0.753</v>
      </c>
      <c r="I554" s="3" t="s">
        <v>8699</v>
      </c>
    </row>
    <row r="555" spans="1:9" x14ac:dyDescent="0.35">
      <c r="A555" s="3" t="s">
        <v>9263</v>
      </c>
      <c r="B555" s="3" t="s">
        <v>1220</v>
      </c>
      <c r="C555" s="3" t="s">
        <v>1221</v>
      </c>
      <c r="D555">
        <v>3090</v>
      </c>
      <c r="E555" s="6">
        <v>42885</v>
      </c>
      <c r="F555">
        <v>0</v>
      </c>
      <c r="G555">
        <v>0</v>
      </c>
      <c r="H555">
        <v>0</v>
      </c>
      <c r="I555" s="3" t="s">
        <v>28</v>
      </c>
    </row>
    <row r="556" spans="1:9" x14ac:dyDescent="0.35">
      <c r="A556" s="3" t="s">
        <v>10066</v>
      </c>
      <c r="B556" s="3" t="s">
        <v>2921</v>
      </c>
      <c r="C556" s="3" t="s">
        <v>2922</v>
      </c>
      <c r="D556">
        <v>672</v>
      </c>
      <c r="E556" s="6">
        <v>45303</v>
      </c>
      <c r="F556">
        <v>0</v>
      </c>
      <c r="G556">
        <v>1.08</v>
      </c>
      <c r="H556">
        <v>0.27</v>
      </c>
      <c r="I556" s="3" t="s">
        <v>8699</v>
      </c>
    </row>
    <row r="557" spans="1:9" x14ac:dyDescent="0.35">
      <c r="A557" s="3" t="s">
        <v>9265</v>
      </c>
      <c r="B557" s="3" t="s">
        <v>1224</v>
      </c>
      <c r="C557" s="3" t="s">
        <v>1225</v>
      </c>
      <c r="D557">
        <v>24</v>
      </c>
      <c r="E557" s="6">
        <v>45951</v>
      </c>
      <c r="F557">
        <v>0</v>
      </c>
      <c r="G557">
        <v>47.5</v>
      </c>
      <c r="H557">
        <v>2.5</v>
      </c>
      <c r="I557" s="3" t="s">
        <v>8701</v>
      </c>
    </row>
    <row r="558" spans="1:9" x14ac:dyDescent="0.35">
      <c r="A558" s="3" t="s">
        <v>9266</v>
      </c>
      <c r="B558" s="3" t="s">
        <v>1226</v>
      </c>
      <c r="C558" s="3" t="s">
        <v>1227</v>
      </c>
      <c r="D558">
        <v>23</v>
      </c>
      <c r="E558" s="6">
        <v>45952</v>
      </c>
      <c r="F558">
        <v>0</v>
      </c>
      <c r="G558">
        <v>103.57000000000001</v>
      </c>
      <c r="H558">
        <v>0.73</v>
      </c>
      <c r="I558" s="3" t="s">
        <v>8701</v>
      </c>
    </row>
    <row r="559" spans="1:9" x14ac:dyDescent="0.35">
      <c r="A559" s="3" t="s">
        <v>10439</v>
      </c>
      <c r="B559" s="3" t="s">
        <v>3717</v>
      </c>
      <c r="C559" s="3" t="s">
        <v>3718</v>
      </c>
      <c r="D559">
        <v>672</v>
      </c>
      <c r="E559" s="6">
        <v>45303</v>
      </c>
      <c r="F559">
        <v>0</v>
      </c>
      <c r="G559">
        <v>1.3050000000000002</v>
      </c>
      <c r="H559">
        <v>0.49500000000000005</v>
      </c>
      <c r="I559" s="3" t="s">
        <v>8699</v>
      </c>
    </row>
    <row r="560" spans="1:9" x14ac:dyDescent="0.35">
      <c r="A560" s="3" t="s">
        <v>9268</v>
      </c>
      <c r="B560" s="3" t="s">
        <v>1231</v>
      </c>
      <c r="C560" s="3" t="s">
        <v>1232</v>
      </c>
      <c r="D560">
        <v>23</v>
      </c>
      <c r="E560" s="6">
        <v>45952</v>
      </c>
      <c r="F560">
        <v>0</v>
      </c>
      <c r="G560">
        <v>8.0000000000000002E-3</v>
      </c>
      <c r="H560">
        <v>0.192</v>
      </c>
      <c r="I560" s="3" t="s">
        <v>8712</v>
      </c>
    </row>
    <row r="561" spans="1:9" x14ac:dyDescent="0.35">
      <c r="A561" s="3" t="s">
        <v>9269</v>
      </c>
      <c r="B561" s="3" t="s">
        <v>1233</v>
      </c>
      <c r="C561" s="3" t="s">
        <v>1234</v>
      </c>
      <c r="D561">
        <v>23</v>
      </c>
      <c r="E561" s="6">
        <v>45952</v>
      </c>
      <c r="F561">
        <v>0</v>
      </c>
      <c r="G561">
        <v>5.0000000000000001E-3</v>
      </c>
      <c r="H561">
        <v>0.115</v>
      </c>
      <c r="I561" s="3" t="s">
        <v>8712</v>
      </c>
    </row>
    <row r="562" spans="1:9" x14ac:dyDescent="0.35">
      <c r="A562" s="3" t="s">
        <v>8717</v>
      </c>
      <c r="B562" s="3" t="s">
        <v>49</v>
      </c>
      <c r="C562" s="3" t="s">
        <v>50</v>
      </c>
      <c r="D562">
        <v>693</v>
      </c>
      <c r="E562" s="6">
        <v>45282</v>
      </c>
      <c r="F562">
        <v>0</v>
      </c>
      <c r="G562">
        <v>0</v>
      </c>
      <c r="H562">
        <v>0</v>
      </c>
      <c r="I562" s="3" t="s">
        <v>8699</v>
      </c>
    </row>
    <row r="563" spans="1:9" x14ac:dyDescent="0.35">
      <c r="A563" s="3" t="s">
        <v>9271</v>
      </c>
      <c r="B563" s="3" t="s">
        <v>1237</v>
      </c>
      <c r="C563" s="3" t="s">
        <v>1238</v>
      </c>
      <c r="D563">
        <v>465</v>
      </c>
      <c r="E563" s="6">
        <v>45510</v>
      </c>
      <c r="F563">
        <v>0</v>
      </c>
      <c r="G563">
        <v>4.0000000000000001E-3</v>
      </c>
      <c r="H563">
        <v>9.6000000000000002E-2</v>
      </c>
      <c r="I563" s="3" t="s">
        <v>8712</v>
      </c>
    </row>
    <row r="564" spans="1:9" x14ac:dyDescent="0.35">
      <c r="A564" s="3" t="s">
        <v>9272</v>
      </c>
      <c r="B564" s="3" t="s">
        <v>1239</v>
      </c>
      <c r="C564" s="3" t="s">
        <v>1240</v>
      </c>
      <c r="D564">
        <v>24</v>
      </c>
      <c r="E564" s="6">
        <v>45951</v>
      </c>
      <c r="F564">
        <v>0</v>
      </c>
      <c r="G564">
        <v>0.9860000000000001</v>
      </c>
      <c r="H564">
        <v>0.21400000000000002</v>
      </c>
      <c r="I564" s="3" t="s">
        <v>8701</v>
      </c>
    </row>
    <row r="565" spans="1:9" x14ac:dyDescent="0.35">
      <c r="A565" s="3" t="s">
        <v>9273</v>
      </c>
      <c r="B565" s="3" t="s">
        <v>1241</v>
      </c>
      <c r="C565" s="3" t="s">
        <v>1242</v>
      </c>
      <c r="D565">
        <v>3225</v>
      </c>
      <c r="E565" s="6">
        <v>42750</v>
      </c>
      <c r="F565">
        <v>0</v>
      </c>
      <c r="G565">
        <v>0</v>
      </c>
      <c r="H565">
        <v>0</v>
      </c>
      <c r="I565" s="3" t="s">
        <v>28</v>
      </c>
    </row>
    <row r="566" spans="1:9" x14ac:dyDescent="0.35">
      <c r="A566" s="3" t="s">
        <v>9485</v>
      </c>
      <c r="B566" s="3" t="s">
        <v>1681</v>
      </c>
      <c r="C566" s="3" t="s">
        <v>1682</v>
      </c>
      <c r="D566">
        <v>693</v>
      </c>
      <c r="E566" s="6">
        <v>45282</v>
      </c>
      <c r="F566">
        <v>0</v>
      </c>
      <c r="G566">
        <v>236</v>
      </c>
      <c r="H566">
        <v>0</v>
      </c>
      <c r="I566" s="3" t="s">
        <v>8699</v>
      </c>
    </row>
    <row r="567" spans="1:9" x14ac:dyDescent="0.35">
      <c r="A567" s="3" t="s">
        <v>9275</v>
      </c>
      <c r="B567" s="3" t="s">
        <v>1245</v>
      </c>
      <c r="C567" s="3" t="s">
        <v>1246</v>
      </c>
      <c r="D567">
        <v>163</v>
      </c>
      <c r="E567" s="6">
        <v>45812</v>
      </c>
      <c r="F567">
        <v>0</v>
      </c>
      <c r="G567">
        <v>5.0000000000000001E-3</v>
      </c>
      <c r="H567">
        <v>9.5000000000000001E-2</v>
      </c>
      <c r="I567" s="3" t="s">
        <v>8712</v>
      </c>
    </row>
    <row r="568" spans="1:9" x14ac:dyDescent="0.35">
      <c r="A568" s="3" t="s">
        <v>9276</v>
      </c>
      <c r="B568" s="3" t="s">
        <v>1247</v>
      </c>
      <c r="C568" s="3" t="s">
        <v>1248</v>
      </c>
      <c r="D568">
        <v>38</v>
      </c>
      <c r="E568" s="6">
        <v>45937</v>
      </c>
      <c r="F568">
        <v>0</v>
      </c>
      <c r="G568">
        <v>14.96</v>
      </c>
      <c r="H568">
        <v>2.04</v>
      </c>
      <c r="I568" s="3" t="s">
        <v>8701</v>
      </c>
    </row>
    <row r="569" spans="1:9" x14ac:dyDescent="0.35">
      <c r="A569" s="3" t="s">
        <v>8965</v>
      </c>
      <c r="B569" s="3" t="s">
        <v>596</v>
      </c>
      <c r="C569" s="3" t="s">
        <v>597</v>
      </c>
      <c r="D569">
        <v>695</v>
      </c>
      <c r="E569" s="6">
        <v>45280</v>
      </c>
      <c r="F569">
        <v>0</v>
      </c>
      <c r="G569">
        <v>2.52</v>
      </c>
      <c r="H569">
        <v>0.28000000000000003</v>
      </c>
      <c r="I569" s="3" t="s">
        <v>8699</v>
      </c>
    </row>
    <row r="570" spans="1:9" x14ac:dyDescent="0.35">
      <c r="A570" s="3" t="s">
        <v>9089</v>
      </c>
      <c r="B570" s="3" t="s">
        <v>859</v>
      </c>
      <c r="C570" s="3" t="s">
        <v>860</v>
      </c>
      <c r="D570">
        <v>695</v>
      </c>
      <c r="E570" s="6">
        <v>45280</v>
      </c>
      <c r="F570">
        <v>0</v>
      </c>
      <c r="G570">
        <v>0.05</v>
      </c>
      <c r="H570">
        <v>0.45</v>
      </c>
      <c r="I570" s="3" t="s">
        <v>8699</v>
      </c>
    </row>
    <row r="571" spans="1:9" x14ac:dyDescent="0.35">
      <c r="A571" s="3" t="s">
        <v>9561</v>
      </c>
      <c r="B571" s="3" t="s">
        <v>1847</v>
      </c>
      <c r="C571" s="3" t="s">
        <v>1848</v>
      </c>
      <c r="D571">
        <v>695</v>
      </c>
      <c r="E571" s="6">
        <v>45280</v>
      </c>
      <c r="F571">
        <v>0</v>
      </c>
      <c r="G571">
        <v>0.64</v>
      </c>
      <c r="H571">
        <v>1.36</v>
      </c>
      <c r="I571" s="3" t="s">
        <v>8699</v>
      </c>
    </row>
    <row r="572" spans="1:9" x14ac:dyDescent="0.35">
      <c r="A572" s="3" t="s">
        <v>10004</v>
      </c>
      <c r="B572" s="3" t="s">
        <v>2787</v>
      </c>
      <c r="C572" s="3" t="s">
        <v>2788</v>
      </c>
      <c r="D572">
        <v>695</v>
      </c>
      <c r="E572" s="6">
        <v>45280</v>
      </c>
      <c r="F572">
        <v>0</v>
      </c>
      <c r="G572">
        <v>5.91</v>
      </c>
      <c r="H572">
        <v>0.09</v>
      </c>
      <c r="I572" s="3" t="s">
        <v>8699</v>
      </c>
    </row>
    <row r="573" spans="1:9" x14ac:dyDescent="0.35">
      <c r="A573" s="3" t="s">
        <v>10162</v>
      </c>
      <c r="B573" s="3" t="s">
        <v>3130</v>
      </c>
      <c r="C573" s="3" t="s">
        <v>3131</v>
      </c>
      <c r="D573">
        <v>695</v>
      </c>
      <c r="E573" s="6">
        <v>45280</v>
      </c>
      <c r="F573">
        <v>0</v>
      </c>
      <c r="G573">
        <v>5.16</v>
      </c>
      <c r="H573">
        <v>0.84</v>
      </c>
      <c r="I573" s="3" t="s">
        <v>8699</v>
      </c>
    </row>
    <row r="574" spans="1:9" x14ac:dyDescent="0.35">
      <c r="A574" s="3" t="s">
        <v>9282</v>
      </c>
      <c r="B574" s="3" t="s">
        <v>1260</v>
      </c>
      <c r="C574" s="3" t="s">
        <v>1261</v>
      </c>
      <c r="D574">
        <v>26</v>
      </c>
      <c r="E574" s="6">
        <v>45949</v>
      </c>
      <c r="F574">
        <v>0</v>
      </c>
      <c r="G574">
        <v>5.1240000000000006</v>
      </c>
      <c r="H574">
        <v>0.97600000000000009</v>
      </c>
      <c r="I574" s="3" t="s">
        <v>8703</v>
      </c>
    </row>
    <row r="575" spans="1:9" x14ac:dyDescent="0.35">
      <c r="A575" s="3" t="s">
        <v>9283</v>
      </c>
      <c r="B575" s="3" t="s">
        <v>1262</v>
      </c>
      <c r="C575" s="3" t="s">
        <v>1263</v>
      </c>
      <c r="D575">
        <v>23</v>
      </c>
      <c r="E575" s="6">
        <v>45952</v>
      </c>
      <c r="F575">
        <v>0</v>
      </c>
      <c r="G575">
        <v>25.650000000000002</v>
      </c>
      <c r="H575">
        <v>1.35</v>
      </c>
      <c r="I575" s="3" t="s">
        <v>8756</v>
      </c>
    </row>
    <row r="576" spans="1:9" x14ac:dyDescent="0.35">
      <c r="A576" s="3" t="s">
        <v>10510</v>
      </c>
      <c r="B576" s="3" t="s">
        <v>3869</v>
      </c>
      <c r="C576" s="3" t="s">
        <v>3870</v>
      </c>
      <c r="D576">
        <v>695</v>
      </c>
      <c r="E576" s="6">
        <v>45280</v>
      </c>
      <c r="F576">
        <v>0</v>
      </c>
      <c r="G576">
        <v>3.1920000000000002</v>
      </c>
      <c r="H576">
        <v>0.60799999999999998</v>
      </c>
      <c r="I576" s="3" t="s">
        <v>8699</v>
      </c>
    </row>
    <row r="577" spans="1:9" x14ac:dyDescent="0.35">
      <c r="A577" s="3" t="s">
        <v>10700</v>
      </c>
      <c r="B577" s="3" t="s">
        <v>4267</v>
      </c>
      <c r="C577" s="3" t="s">
        <v>4268</v>
      </c>
      <c r="D577">
        <v>695</v>
      </c>
      <c r="E577" s="6">
        <v>45280</v>
      </c>
      <c r="F577">
        <v>0</v>
      </c>
      <c r="G577">
        <v>14.985000000000001</v>
      </c>
      <c r="H577">
        <v>1.5000000000000001E-2</v>
      </c>
      <c r="I577" s="3" t="s">
        <v>8699</v>
      </c>
    </row>
    <row r="578" spans="1:9" x14ac:dyDescent="0.35">
      <c r="A578" s="3" t="s">
        <v>9286</v>
      </c>
      <c r="B578" s="3" t="s">
        <v>1268</v>
      </c>
      <c r="C578" s="3" t="s">
        <v>1269</v>
      </c>
      <c r="D578">
        <v>50</v>
      </c>
      <c r="E578" s="6">
        <v>45925</v>
      </c>
      <c r="F578">
        <v>0</v>
      </c>
      <c r="G578">
        <v>132.916</v>
      </c>
      <c r="H578">
        <v>1.6140000000000001</v>
      </c>
      <c r="I578" s="3" t="s">
        <v>8701</v>
      </c>
    </row>
    <row r="579" spans="1:9" x14ac:dyDescent="0.35">
      <c r="A579" s="3" t="s">
        <v>9287</v>
      </c>
      <c r="B579" s="3" t="s">
        <v>1270</v>
      </c>
      <c r="C579" s="3" t="s">
        <v>1271</v>
      </c>
      <c r="D579">
        <v>955</v>
      </c>
      <c r="E579" s="6">
        <v>45020</v>
      </c>
      <c r="F579">
        <v>0</v>
      </c>
      <c r="G579">
        <v>0</v>
      </c>
      <c r="H579">
        <v>0</v>
      </c>
      <c r="I579" s="3" t="s">
        <v>28</v>
      </c>
    </row>
    <row r="580" spans="1:9" x14ac:dyDescent="0.35">
      <c r="A580" s="3" t="s">
        <v>9288</v>
      </c>
      <c r="B580" s="3" t="s">
        <v>1272</v>
      </c>
      <c r="C580" s="3" t="s">
        <v>1273</v>
      </c>
      <c r="D580">
        <v>23</v>
      </c>
      <c r="E580" s="6">
        <v>45952</v>
      </c>
      <c r="F580">
        <v>0</v>
      </c>
      <c r="G580">
        <v>98.5</v>
      </c>
      <c r="H580">
        <v>1.5</v>
      </c>
      <c r="I580" s="3" t="s">
        <v>8738</v>
      </c>
    </row>
    <row r="581" spans="1:9" x14ac:dyDescent="0.35">
      <c r="A581" s="3" t="s">
        <v>9289</v>
      </c>
      <c r="B581" s="3" t="s">
        <v>1274</v>
      </c>
      <c r="C581" s="3" t="s">
        <v>1275</v>
      </c>
      <c r="D581">
        <v>23</v>
      </c>
      <c r="E581" s="6">
        <v>45952</v>
      </c>
      <c r="F581">
        <v>0</v>
      </c>
      <c r="G581">
        <v>4.0000000000000001E-3</v>
      </c>
      <c r="H581">
        <v>9.6000000000000002E-2</v>
      </c>
      <c r="I581" s="3" t="s">
        <v>8712</v>
      </c>
    </row>
    <row r="582" spans="1:9" x14ac:dyDescent="0.35">
      <c r="A582" s="3" t="s">
        <v>9290</v>
      </c>
      <c r="B582" s="3" t="s">
        <v>1277</v>
      </c>
      <c r="C582" s="3" t="s">
        <v>1278</v>
      </c>
      <c r="D582">
        <v>23</v>
      </c>
      <c r="E582" s="6">
        <v>45952</v>
      </c>
      <c r="F582">
        <v>0</v>
      </c>
      <c r="G582">
        <v>5.0000000000000001E-3</v>
      </c>
      <c r="H582">
        <v>0.115</v>
      </c>
      <c r="I582" s="3" t="s">
        <v>8712</v>
      </c>
    </row>
    <row r="583" spans="1:9" x14ac:dyDescent="0.35">
      <c r="A583" s="3" t="s">
        <v>11284</v>
      </c>
      <c r="B583" s="3" t="s">
        <v>5504</v>
      </c>
      <c r="C583" s="3" t="s">
        <v>5505</v>
      </c>
      <c r="D583">
        <v>695</v>
      </c>
      <c r="E583" s="6">
        <v>45280</v>
      </c>
      <c r="F583">
        <v>0</v>
      </c>
      <c r="G583">
        <v>0.75</v>
      </c>
      <c r="H583">
        <v>0.75</v>
      </c>
      <c r="I583" s="3" t="s">
        <v>8699</v>
      </c>
    </row>
    <row r="584" spans="1:9" x14ac:dyDescent="0.35">
      <c r="A584" s="3" t="s">
        <v>9292</v>
      </c>
      <c r="B584" s="3" t="s">
        <v>1285</v>
      </c>
      <c r="C584" s="3" t="s">
        <v>1286</v>
      </c>
      <c r="D584">
        <v>91</v>
      </c>
      <c r="E584" s="6">
        <v>45884</v>
      </c>
      <c r="F584">
        <v>0</v>
      </c>
      <c r="G584">
        <v>0.80600000000000005</v>
      </c>
      <c r="H584">
        <v>1.1140000000000001</v>
      </c>
      <c r="I584" s="3" t="s">
        <v>8756</v>
      </c>
    </row>
    <row r="585" spans="1:9" x14ac:dyDescent="0.35">
      <c r="A585" s="3" t="s">
        <v>8993</v>
      </c>
      <c r="B585" s="3" t="s">
        <v>655</v>
      </c>
      <c r="C585" s="3" t="s">
        <v>656</v>
      </c>
      <c r="D585">
        <v>696</v>
      </c>
      <c r="E585" s="6">
        <v>45279</v>
      </c>
      <c r="F585">
        <v>0</v>
      </c>
      <c r="G585">
        <v>4.95</v>
      </c>
      <c r="H585">
        <v>0.55000000000000004</v>
      </c>
      <c r="I585" s="3" t="s">
        <v>8699</v>
      </c>
    </row>
    <row r="586" spans="1:9" x14ac:dyDescent="0.35">
      <c r="A586" s="3" t="s">
        <v>10241</v>
      </c>
      <c r="B586" s="3" t="s">
        <v>3291</v>
      </c>
      <c r="C586" s="3" t="s">
        <v>3292</v>
      </c>
      <c r="D586">
        <v>702</v>
      </c>
      <c r="E586" s="6">
        <v>45273</v>
      </c>
      <c r="F586">
        <v>0</v>
      </c>
      <c r="G586">
        <v>26.235000000000003</v>
      </c>
      <c r="H586">
        <v>0.26500000000000001</v>
      </c>
      <c r="I586" s="3" t="s">
        <v>8699</v>
      </c>
    </row>
    <row r="587" spans="1:9" x14ac:dyDescent="0.35">
      <c r="A587" s="3" t="s">
        <v>9336</v>
      </c>
      <c r="B587" s="3" t="s">
        <v>1377</v>
      </c>
      <c r="C587" s="3" t="s">
        <v>1378</v>
      </c>
      <c r="D587">
        <v>732</v>
      </c>
      <c r="E587" s="6">
        <v>45243</v>
      </c>
      <c r="F587">
        <v>0</v>
      </c>
      <c r="G587">
        <v>5.64</v>
      </c>
      <c r="H587">
        <v>0.36</v>
      </c>
      <c r="I587" s="3" t="s">
        <v>8699</v>
      </c>
    </row>
    <row r="588" spans="1:9" x14ac:dyDescent="0.35">
      <c r="A588" s="3" t="s">
        <v>9296</v>
      </c>
      <c r="B588" s="3" t="s">
        <v>1293</v>
      </c>
      <c r="C588" s="3" t="s">
        <v>1294</v>
      </c>
      <c r="D588">
        <v>0</v>
      </c>
      <c r="E588" s="6">
        <v>45975</v>
      </c>
      <c r="F588">
        <v>0</v>
      </c>
      <c r="G588">
        <v>0.192</v>
      </c>
      <c r="H588">
        <v>0.60799999999999998</v>
      </c>
      <c r="I588" s="3" t="s">
        <v>8756</v>
      </c>
    </row>
    <row r="589" spans="1:9" x14ac:dyDescent="0.35">
      <c r="A589" s="3" t="s">
        <v>9297</v>
      </c>
      <c r="B589" s="3" t="s">
        <v>1295</v>
      </c>
      <c r="C589" s="3" t="s">
        <v>1296</v>
      </c>
      <c r="D589">
        <v>955</v>
      </c>
      <c r="E589" s="6">
        <v>45020</v>
      </c>
      <c r="F589">
        <v>0</v>
      </c>
      <c r="G589">
        <v>0</v>
      </c>
      <c r="H589">
        <v>0</v>
      </c>
      <c r="I589" s="3" t="s">
        <v>28</v>
      </c>
    </row>
    <row r="590" spans="1:9" x14ac:dyDescent="0.35">
      <c r="A590" s="3" t="s">
        <v>9298</v>
      </c>
      <c r="B590" s="3" t="s">
        <v>1297</v>
      </c>
      <c r="C590" s="3" t="s">
        <v>1298</v>
      </c>
      <c r="D590">
        <v>23</v>
      </c>
      <c r="E590" s="6">
        <v>45952</v>
      </c>
      <c r="F590">
        <v>0</v>
      </c>
      <c r="G590">
        <v>14.1</v>
      </c>
      <c r="H590">
        <v>0.9</v>
      </c>
      <c r="I590" s="3" t="s">
        <v>8701</v>
      </c>
    </row>
    <row r="591" spans="1:9" x14ac:dyDescent="0.35">
      <c r="A591" s="3" t="s">
        <v>9299</v>
      </c>
      <c r="B591" s="3" t="s">
        <v>1299</v>
      </c>
      <c r="C591" s="3" t="s">
        <v>1300</v>
      </c>
      <c r="D591">
        <v>955</v>
      </c>
      <c r="E591" s="6">
        <v>45020</v>
      </c>
      <c r="F591">
        <v>0</v>
      </c>
      <c r="G591">
        <v>0</v>
      </c>
      <c r="H591">
        <v>0</v>
      </c>
      <c r="I591" s="3" t="s">
        <v>28</v>
      </c>
    </row>
    <row r="592" spans="1:9" x14ac:dyDescent="0.35">
      <c r="A592" s="3" t="s">
        <v>9300</v>
      </c>
      <c r="B592" s="3" t="s">
        <v>1301</v>
      </c>
      <c r="C592" s="3" t="s">
        <v>1302</v>
      </c>
      <c r="D592">
        <v>74</v>
      </c>
      <c r="E592" s="6">
        <v>45901</v>
      </c>
      <c r="F592">
        <v>100</v>
      </c>
      <c r="G592">
        <v>22.080000000000002</v>
      </c>
      <c r="H592">
        <v>0.92</v>
      </c>
      <c r="I592" s="3" t="s">
        <v>8701</v>
      </c>
    </row>
    <row r="593" spans="1:9" x14ac:dyDescent="0.35">
      <c r="A593" s="3" t="s">
        <v>9301</v>
      </c>
      <c r="B593" s="3" t="s">
        <v>1303</v>
      </c>
      <c r="C593" s="3" t="s">
        <v>1304</v>
      </c>
      <c r="D593">
        <v>318</v>
      </c>
      <c r="E593" s="6">
        <v>45657</v>
      </c>
      <c r="F593">
        <v>100</v>
      </c>
      <c r="G593">
        <v>0.8</v>
      </c>
      <c r="H593">
        <v>1.2</v>
      </c>
      <c r="I593" s="3" t="s">
        <v>8701</v>
      </c>
    </row>
    <row r="594" spans="1:9" x14ac:dyDescent="0.35">
      <c r="A594" s="3" t="s">
        <v>10283</v>
      </c>
      <c r="B594" s="3" t="s">
        <v>3385</v>
      </c>
      <c r="C594" s="3" t="s">
        <v>3386</v>
      </c>
      <c r="D594">
        <v>733</v>
      </c>
      <c r="E594" s="6">
        <v>45242</v>
      </c>
      <c r="F594">
        <v>0</v>
      </c>
      <c r="G594">
        <v>0.52800000000000002</v>
      </c>
      <c r="H594">
        <v>1.232</v>
      </c>
      <c r="I594" s="3" t="s">
        <v>8699</v>
      </c>
    </row>
    <row r="595" spans="1:9" x14ac:dyDescent="0.35">
      <c r="A595" s="3" t="s">
        <v>10410</v>
      </c>
      <c r="B595" s="3" t="s">
        <v>3655</v>
      </c>
      <c r="C595" s="3" t="s">
        <v>3656</v>
      </c>
      <c r="D595">
        <v>733</v>
      </c>
      <c r="E595" s="6">
        <v>45242</v>
      </c>
      <c r="F595">
        <v>0</v>
      </c>
      <c r="G595">
        <v>3.5500000000000003</v>
      </c>
      <c r="H595">
        <v>1.45</v>
      </c>
      <c r="I595" s="3" t="s">
        <v>8699</v>
      </c>
    </row>
    <row r="596" spans="1:9" x14ac:dyDescent="0.35">
      <c r="A596" s="3" t="s">
        <v>9304</v>
      </c>
      <c r="B596" s="3" t="s">
        <v>1309</v>
      </c>
      <c r="C596" s="3" t="s">
        <v>1310</v>
      </c>
      <c r="D596">
        <v>163</v>
      </c>
      <c r="E596" s="6">
        <v>45812</v>
      </c>
      <c r="F596">
        <v>0</v>
      </c>
      <c r="G596">
        <v>0.70600000000000007</v>
      </c>
      <c r="H596">
        <v>0.99399999999999999</v>
      </c>
      <c r="I596" s="3" t="s">
        <v>8756</v>
      </c>
    </row>
    <row r="597" spans="1:9" x14ac:dyDescent="0.35">
      <c r="A597" s="3" t="s">
        <v>9305</v>
      </c>
      <c r="B597" s="3" t="s">
        <v>1311</v>
      </c>
      <c r="C597" s="3" t="s">
        <v>1312</v>
      </c>
      <c r="D597">
        <v>145</v>
      </c>
      <c r="E597" s="6">
        <v>45830</v>
      </c>
      <c r="F597">
        <v>100</v>
      </c>
      <c r="G597">
        <v>3.45</v>
      </c>
      <c r="H597">
        <v>2.3000000000000003</v>
      </c>
      <c r="I597" s="3" t="s">
        <v>8756</v>
      </c>
    </row>
    <row r="598" spans="1:9" x14ac:dyDescent="0.35">
      <c r="A598" s="3" t="s">
        <v>9306</v>
      </c>
      <c r="B598" s="3" t="s">
        <v>1313</v>
      </c>
      <c r="C598" s="3" t="s">
        <v>1314</v>
      </c>
      <c r="D598">
        <v>25</v>
      </c>
      <c r="E598" s="6">
        <v>45950</v>
      </c>
      <c r="F598">
        <v>150</v>
      </c>
      <c r="G598">
        <v>12.8</v>
      </c>
      <c r="H598">
        <v>3.2</v>
      </c>
      <c r="I598" s="3" t="s">
        <v>8701</v>
      </c>
    </row>
    <row r="599" spans="1:9" x14ac:dyDescent="0.35">
      <c r="A599" s="3" t="s">
        <v>9307</v>
      </c>
      <c r="B599" s="3" t="s">
        <v>1315</v>
      </c>
      <c r="C599" s="3" t="s">
        <v>1316</v>
      </c>
      <c r="D599">
        <v>60</v>
      </c>
      <c r="E599" s="6">
        <v>45915</v>
      </c>
      <c r="F599">
        <v>0</v>
      </c>
      <c r="G599">
        <v>3.0150000000000001</v>
      </c>
      <c r="H599">
        <v>1.4850000000000001</v>
      </c>
      <c r="I599" s="3" t="s">
        <v>8701</v>
      </c>
    </row>
    <row r="600" spans="1:9" x14ac:dyDescent="0.35">
      <c r="A600" s="3" t="s">
        <v>8723</v>
      </c>
      <c r="B600" s="3" t="s">
        <v>62</v>
      </c>
      <c r="C600" s="3" t="s">
        <v>63</v>
      </c>
      <c r="D600">
        <v>771</v>
      </c>
      <c r="E600" s="6">
        <v>45204</v>
      </c>
      <c r="F600">
        <v>0</v>
      </c>
      <c r="G600">
        <v>0.03</v>
      </c>
      <c r="H600">
        <v>0</v>
      </c>
      <c r="I600" s="3" t="s">
        <v>8699</v>
      </c>
    </row>
    <row r="601" spans="1:9" x14ac:dyDescent="0.35">
      <c r="A601" s="3" t="s">
        <v>9309</v>
      </c>
      <c r="B601" s="3" t="s">
        <v>1319</v>
      </c>
      <c r="C601" s="3" t="s">
        <v>1320</v>
      </c>
      <c r="D601">
        <v>9</v>
      </c>
      <c r="E601" s="6">
        <v>45966</v>
      </c>
      <c r="F601">
        <v>100</v>
      </c>
      <c r="G601">
        <v>4.3450000000000006</v>
      </c>
      <c r="H601">
        <v>1.155</v>
      </c>
      <c r="I601" s="3" t="s">
        <v>8701</v>
      </c>
    </row>
    <row r="602" spans="1:9" x14ac:dyDescent="0.35">
      <c r="A602" s="3" t="s">
        <v>9363</v>
      </c>
      <c r="B602" s="3" t="s">
        <v>1435</v>
      </c>
      <c r="C602" s="3" t="s">
        <v>1436</v>
      </c>
      <c r="D602">
        <v>773</v>
      </c>
      <c r="E602" s="6">
        <v>45202</v>
      </c>
      <c r="F602">
        <v>0</v>
      </c>
      <c r="G602">
        <v>0</v>
      </c>
      <c r="H602">
        <v>0</v>
      </c>
      <c r="I602" s="3" t="s">
        <v>8699</v>
      </c>
    </row>
    <row r="603" spans="1:9" x14ac:dyDescent="0.35">
      <c r="A603" s="3" t="s">
        <v>9311</v>
      </c>
      <c r="B603" s="3" t="s">
        <v>1323</v>
      </c>
      <c r="C603" s="3" t="s">
        <v>1324</v>
      </c>
      <c r="D603">
        <v>32</v>
      </c>
      <c r="E603" s="6">
        <v>45943</v>
      </c>
      <c r="F603">
        <v>100</v>
      </c>
      <c r="G603">
        <v>0.85</v>
      </c>
      <c r="H603">
        <v>0.85</v>
      </c>
      <c r="I603" s="3" t="s">
        <v>8756</v>
      </c>
    </row>
    <row r="604" spans="1:9" x14ac:dyDescent="0.35">
      <c r="A604" s="3" t="s">
        <v>11074</v>
      </c>
      <c r="B604" s="3" t="s">
        <v>5061</v>
      </c>
      <c r="C604" s="3" t="s">
        <v>5062</v>
      </c>
      <c r="D604">
        <v>773</v>
      </c>
      <c r="E604" s="6">
        <v>45202</v>
      </c>
      <c r="F604">
        <v>0</v>
      </c>
      <c r="G604">
        <v>0</v>
      </c>
      <c r="H604">
        <v>0</v>
      </c>
      <c r="I604" s="3" t="s">
        <v>8699</v>
      </c>
    </row>
    <row r="605" spans="1:9" x14ac:dyDescent="0.35">
      <c r="A605" s="3" t="s">
        <v>8823</v>
      </c>
      <c r="B605" s="3" t="s">
        <v>297</v>
      </c>
      <c r="C605" s="3" t="s">
        <v>298</v>
      </c>
      <c r="D605">
        <v>787</v>
      </c>
      <c r="E605" s="6">
        <v>45188</v>
      </c>
      <c r="F605">
        <v>0</v>
      </c>
      <c r="G605">
        <v>39.200000000000003</v>
      </c>
      <c r="H605">
        <v>0.8</v>
      </c>
      <c r="I605" s="3" t="s">
        <v>8699</v>
      </c>
    </row>
    <row r="606" spans="1:9" x14ac:dyDescent="0.35">
      <c r="A606" s="3" t="s">
        <v>9314</v>
      </c>
      <c r="B606" s="3" t="s">
        <v>1329</v>
      </c>
      <c r="C606" s="3" t="s">
        <v>1330</v>
      </c>
      <c r="D606">
        <v>21</v>
      </c>
      <c r="E606" s="6">
        <v>45954</v>
      </c>
      <c r="F606">
        <v>0</v>
      </c>
      <c r="G606">
        <v>8.0750000000000011</v>
      </c>
      <c r="H606">
        <v>0.42500000000000004</v>
      </c>
      <c r="I606" s="3" t="s">
        <v>8701</v>
      </c>
    </row>
    <row r="607" spans="1:9" x14ac:dyDescent="0.35">
      <c r="A607" s="3" t="s">
        <v>9315</v>
      </c>
      <c r="B607" s="3" t="s">
        <v>1332</v>
      </c>
      <c r="C607" s="3" t="s">
        <v>1333</v>
      </c>
      <c r="D607">
        <v>2019</v>
      </c>
      <c r="E607" s="6">
        <v>43956</v>
      </c>
      <c r="F607">
        <v>0</v>
      </c>
      <c r="G607">
        <v>9.0000000000000011E-3</v>
      </c>
      <c r="H607">
        <v>0.14100000000000001</v>
      </c>
      <c r="I607" s="3" t="s">
        <v>8712</v>
      </c>
    </row>
    <row r="608" spans="1:9" x14ac:dyDescent="0.35">
      <c r="A608" s="3" t="s">
        <v>10248</v>
      </c>
      <c r="B608" s="3" t="s">
        <v>3306</v>
      </c>
      <c r="C608" s="3" t="s">
        <v>3307</v>
      </c>
      <c r="D608">
        <v>787</v>
      </c>
      <c r="E608" s="6">
        <v>45188</v>
      </c>
      <c r="F608">
        <v>0</v>
      </c>
      <c r="G608">
        <v>7.5200000000000005</v>
      </c>
      <c r="H608">
        <v>0.48</v>
      </c>
      <c r="I608" s="3" t="s">
        <v>8699</v>
      </c>
    </row>
    <row r="609" spans="1:9" x14ac:dyDescent="0.35">
      <c r="A609" s="3" t="s">
        <v>9317</v>
      </c>
      <c r="B609" s="3" t="s">
        <v>1336</v>
      </c>
      <c r="C609" s="3" t="s">
        <v>1337</v>
      </c>
      <c r="D609">
        <v>22</v>
      </c>
      <c r="E609" s="6">
        <v>45953</v>
      </c>
      <c r="F609">
        <v>100</v>
      </c>
      <c r="G609">
        <v>23.04</v>
      </c>
      <c r="H609">
        <v>0.96</v>
      </c>
      <c r="I609" s="3" t="s">
        <v>8738</v>
      </c>
    </row>
    <row r="610" spans="1:9" x14ac:dyDescent="0.35">
      <c r="A610" s="3" t="s">
        <v>10469</v>
      </c>
      <c r="B610" s="3" t="s">
        <v>3782</v>
      </c>
      <c r="C610" s="3" t="s">
        <v>3783</v>
      </c>
      <c r="D610">
        <v>788</v>
      </c>
      <c r="E610" s="6">
        <v>45187</v>
      </c>
      <c r="F610">
        <v>0</v>
      </c>
      <c r="G610">
        <v>0.752</v>
      </c>
      <c r="H610">
        <v>0.84800000000000009</v>
      </c>
      <c r="I610" s="3" t="s">
        <v>8699</v>
      </c>
    </row>
    <row r="611" spans="1:9" x14ac:dyDescent="0.35">
      <c r="A611" s="3" t="s">
        <v>9319</v>
      </c>
      <c r="B611" s="3" t="s">
        <v>1340</v>
      </c>
      <c r="C611" s="3" t="s">
        <v>1341</v>
      </c>
      <c r="D611">
        <v>955</v>
      </c>
      <c r="E611" s="6">
        <v>45020</v>
      </c>
      <c r="F611">
        <v>0</v>
      </c>
      <c r="G611">
        <v>0</v>
      </c>
      <c r="H611">
        <v>0</v>
      </c>
      <c r="I611" s="3" t="s">
        <v>28</v>
      </c>
    </row>
    <row r="612" spans="1:9" x14ac:dyDescent="0.35">
      <c r="A612" s="3" t="s">
        <v>9320</v>
      </c>
      <c r="B612" s="3" t="s">
        <v>1342</v>
      </c>
      <c r="C612" s="3" t="s">
        <v>1343</v>
      </c>
      <c r="D612">
        <v>6971</v>
      </c>
      <c r="E612" s="6">
        <v>39004</v>
      </c>
      <c r="F612">
        <v>0</v>
      </c>
      <c r="G612">
        <v>0</v>
      </c>
      <c r="H612">
        <v>0</v>
      </c>
      <c r="I612" s="3" t="s">
        <v>28</v>
      </c>
    </row>
    <row r="613" spans="1:9" x14ac:dyDescent="0.35">
      <c r="A613" s="3" t="s">
        <v>11281</v>
      </c>
      <c r="B613" s="3" t="s">
        <v>5497</v>
      </c>
      <c r="C613" s="3" t="s">
        <v>5498</v>
      </c>
      <c r="D613">
        <v>804</v>
      </c>
      <c r="E613" s="6">
        <v>45171</v>
      </c>
      <c r="F613">
        <v>0</v>
      </c>
      <c r="G613">
        <v>0.84500000000000008</v>
      </c>
      <c r="H613">
        <v>0.45500000000000002</v>
      </c>
      <c r="I613" s="3" t="s">
        <v>8699</v>
      </c>
    </row>
    <row r="614" spans="1:9" x14ac:dyDescent="0.35">
      <c r="A614" s="3" t="s">
        <v>9322</v>
      </c>
      <c r="B614" s="3" t="s">
        <v>1346</v>
      </c>
      <c r="C614" s="3" t="s">
        <v>1347</v>
      </c>
      <c r="D614">
        <v>39</v>
      </c>
      <c r="E614" s="6">
        <v>45936</v>
      </c>
      <c r="F614">
        <v>40</v>
      </c>
      <c r="G614">
        <v>13.72</v>
      </c>
      <c r="H614">
        <v>0.28000000000000003</v>
      </c>
      <c r="I614" s="3" t="s">
        <v>8705</v>
      </c>
    </row>
    <row r="615" spans="1:9" x14ac:dyDescent="0.35">
      <c r="A615" s="3" t="s">
        <v>9511</v>
      </c>
      <c r="B615" s="3" t="s">
        <v>1734</v>
      </c>
      <c r="C615" s="3" t="s">
        <v>1735</v>
      </c>
      <c r="D615">
        <v>830</v>
      </c>
      <c r="E615" s="6">
        <v>45145</v>
      </c>
      <c r="F615">
        <v>0</v>
      </c>
      <c r="G615">
        <v>77.22</v>
      </c>
      <c r="H615">
        <v>0.78</v>
      </c>
      <c r="I615" s="3" t="s">
        <v>8699</v>
      </c>
    </row>
    <row r="616" spans="1:9" x14ac:dyDescent="0.35">
      <c r="A616" s="3" t="s">
        <v>9324</v>
      </c>
      <c r="B616" s="3" t="s">
        <v>1351</v>
      </c>
      <c r="C616" s="3" t="s">
        <v>1352</v>
      </c>
      <c r="D616">
        <v>53</v>
      </c>
      <c r="E616" s="6">
        <v>45922</v>
      </c>
      <c r="F616">
        <v>0</v>
      </c>
      <c r="G616">
        <v>3.4</v>
      </c>
      <c r="H616">
        <v>0.6</v>
      </c>
      <c r="I616" s="3" t="s">
        <v>8756</v>
      </c>
    </row>
    <row r="617" spans="1:9" x14ac:dyDescent="0.35">
      <c r="A617" s="3" t="s">
        <v>9325</v>
      </c>
      <c r="B617" s="3" t="s">
        <v>1353</v>
      </c>
      <c r="C617" s="3" t="s">
        <v>1354</v>
      </c>
      <c r="D617">
        <v>23</v>
      </c>
      <c r="E617" s="6">
        <v>45952</v>
      </c>
      <c r="F617">
        <v>0</v>
      </c>
      <c r="G617">
        <v>4.0000000000000001E-3</v>
      </c>
      <c r="H617">
        <v>9.6000000000000002E-2</v>
      </c>
      <c r="I617" s="3" t="s">
        <v>8712</v>
      </c>
    </row>
    <row r="618" spans="1:9" x14ac:dyDescent="0.35">
      <c r="A618" s="3" t="s">
        <v>9326</v>
      </c>
      <c r="B618" s="3" t="s">
        <v>1355</v>
      </c>
      <c r="C618" s="3" t="s">
        <v>1356</v>
      </c>
      <c r="D618">
        <v>85</v>
      </c>
      <c r="E618" s="6">
        <v>45890</v>
      </c>
      <c r="F618">
        <v>0</v>
      </c>
      <c r="G618">
        <v>18.05</v>
      </c>
      <c r="H618">
        <v>0.95000000000000007</v>
      </c>
      <c r="I618" s="3" t="s">
        <v>8701</v>
      </c>
    </row>
    <row r="619" spans="1:9" x14ac:dyDescent="0.35">
      <c r="A619" s="3" t="s">
        <v>9327</v>
      </c>
      <c r="B619" s="3" t="s">
        <v>1357</v>
      </c>
      <c r="C619" s="3" t="s">
        <v>1358</v>
      </c>
      <c r="D619">
        <v>726</v>
      </c>
      <c r="E619" s="6">
        <v>45249</v>
      </c>
      <c r="F619">
        <v>0</v>
      </c>
      <c r="G619">
        <v>0</v>
      </c>
      <c r="H619">
        <v>0</v>
      </c>
      <c r="I619" s="3" t="s">
        <v>28</v>
      </c>
    </row>
    <row r="620" spans="1:9" x14ac:dyDescent="0.35">
      <c r="A620" s="3" t="s">
        <v>9030</v>
      </c>
      <c r="B620" s="3" t="s">
        <v>733</v>
      </c>
      <c r="C620" s="3" t="s">
        <v>734</v>
      </c>
      <c r="D620">
        <v>833</v>
      </c>
      <c r="E620" s="6">
        <v>45142</v>
      </c>
      <c r="F620">
        <v>0</v>
      </c>
      <c r="G620">
        <v>4.5360000000000005</v>
      </c>
      <c r="H620">
        <v>1.0640000000000001</v>
      </c>
      <c r="I620" s="3" t="s">
        <v>8699</v>
      </c>
    </row>
    <row r="621" spans="1:9" x14ac:dyDescent="0.35">
      <c r="A621" s="3" t="s">
        <v>9329</v>
      </c>
      <c r="B621" s="3" t="s">
        <v>1361</v>
      </c>
      <c r="C621" s="3" t="s">
        <v>1362</v>
      </c>
      <c r="D621">
        <v>30</v>
      </c>
      <c r="E621" s="6">
        <v>45945</v>
      </c>
      <c r="F621">
        <v>0</v>
      </c>
      <c r="G621">
        <v>1.53</v>
      </c>
      <c r="H621">
        <v>1.47</v>
      </c>
      <c r="I621" s="3" t="s">
        <v>8701</v>
      </c>
    </row>
    <row r="622" spans="1:9" x14ac:dyDescent="0.35">
      <c r="A622" s="3" t="s">
        <v>9330</v>
      </c>
      <c r="B622" s="3" t="s">
        <v>1363</v>
      </c>
      <c r="C622" s="3" t="s">
        <v>1364</v>
      </c>
      <c r="D622">
        <v>14</v>
      </c>
      <c r="E622" s="6">
        <v>45961</v>
      </c>
      <c r="F622">
        <v>0</v>
      </c>
      <c r="G622">
        <v>37.417000000000002</v>
      </c>
      <c r="H622">
        <v>0.80300000000000005</v>
      </c>
      <c r="I622" s="3" t="s">
        <v>8701</v>
      </c>
    </row>
    <row r="623" spans="1:9" x14ac:dyDescent="0.35">
      <c r="A623" s="3" t="s">
        <v>9331</v>
      </c>
      <c r="B623" s="3" t="s">
        <v>1365</v>
      </c>
      <c r="C623" s="3" t="s">
        <v>1366</v>
      </c>
      <c r="D623">
        <v>78</v>
      </c>
      <c r="E623" s="6">
        <v>45897</v>
      </c>
      <c r="F623">
        <v>0</v>
      </c>
      <c r="G623">
        <v>1.2E-2</v>
      </c>
      <c r="H623">
        <v>0.248</v>
      </c>
      <c r="I623" s="3" t="s">
        <v>8712</v>
      </c>
    </row>
    <row r="624" spans="1:9" x14ac:dyDescent="0.35">
      <c r="A624" s="3" t="s">
        <v>9332</v>
      </c>
      <c r="B624" s="3" t="s">
        <v>1368</v>
      </c>
      <c r="C624" s="3" t="s">
        <v>1369</v>
      </c>
      <c r="D624">
        <v>23</v>
      </c>
      <c r="E624" s="6">
        <v>45952</v>
      </c>
      <c r="F624">
        <v>0</v>
      </c>
      <c r="G624">
        <v>93.600000000000009</v>
      </c>
      <c r="H624">
        <v>2.4</v>
      </c>
      <c r="I624" s="3" t="s">
        <v>8701</v>
      </c>
    </row>
    <row r="625" spans="1:9" x14ac:dyDescent="0.35">
      <c r="A625" s="3" t="s">
        <v>9333</v>
      </c>
      <c r="B625" s="3" t="s">
        <v>1370</v>
      </c>
      <c r="C625" s="3" t="s">
        <v>1371</v>
      </c>
      <c r="D625">
        <v>723</v>
      </c>
      <c r="E625" s="6">
        <v>45252</v>
      </c>
      <c r="F625">
        <v>0</v>
      </c>
      <c r="G625">
        <v>0</v>
      </c>
      <c r="H625">
        <v>0</v>
      </c>
      <c r="I625" s="3" t="s">
        <v>28</v>
      </c>
    </row>
    <row r="626" spans="1:9" x14ac:dyDescent="0.35">
      <c r="A626" s="3" t="s">
        <v>9334</v>
      </c>
      <c r="B626" s="3" t="s">
        <v>1372</v>
      </c>
      <c r="C626" s="3" t="s">
        <v>1373</v>
      </c>
      <c r="D626">
        <v>129</v>
      </c>
      <c r="E626" s="6">
        <v>45846</v>
      </c>
      <c r="F626">
        <v>0</v>
      </c>
      <c r="G626">
        <v>30.36</v>
      </c>
      <c r="H626">
        <v>2.64</v>
      </c>
      <c r="I626" s="3" t="s">
        <v>8701</v>
      </c>
    </row>
    <row r="627" spans="1:9" x14ac:dyDescent="0.35">
      <c r="A627" s="3" t="s">
        <v>9956</v>
      </c>
      <c r="B627" s="3" t="s">
        <v>2691</v>
      </c>
      <c r="C627" s="3" t="s">
        <v>2692</v>
      </c>
      <c r="D627">
        <v>862</v>
      </c>
      <c r="E627" s="6">
        <v>45113</v>
      </c>
      <c r="F627">
        <v>0</v>
      </c>
      <c r="G627">
        <v>1.403</v>
      </c>
      <c r="H627">
        <v>0.46700000000000003</v>
      </c>
      <c r="I627" s="3" t="s">
        <v>8699</v>
      </c>
    </row>
    <row r="628" spans="1:9" x14ac:dyDescent="0.35">
      <c r="A628" s="3" t="s">
        <v>10461</v>
      </c>
      <c r="B628" s="3" t="s">
        <v>3766</v>
      </c>
      <c r="C628" s="3" t="s">
        <v>3767</v>
      </c>
      <c r="D628">
        <v>865</v>
      </c>
      <c r="E628" s="6">
        <v>45110</v>
      </c>
      <c r="F628">
        <v>0</v>
      </c>
      <c r="G628">
        <v>17.100000000000001</v>
      </c>
      <c r="H628">
        <v>0.9</v>
      </c>
      <c r="I628" s="3" t="s">
        <v>8699</v>
      </c>
    </row>
    <row r="629" spans="1:9" x14ac:dyDescent="0.35">
      <c r="A629" s="3" t="s">
        <v>9337</v>
      </c>
      <c r="B629" s="3" t="s">
        <v>1379</v>
      </c>
      <c r="C629" s="3" t="s">
        <v>1380</v>
      </c>
      <c r="D629">
        <v>172</v>
      </c>
      <c r="E629" s="6">
        <v>45803</v>
      </c>
      <c r="F629">
        <v>0</v>
      </c>
      <c r="G629">
        <v>2.5</v>
      </c>
      <c r="H629">
        <v>2.5</v>
      </c>
      <c r="I629" s="3" t="s">
        <v>8701</v>
      </c>
    </row>
    <row r="630" spans="1:9" x14ac:dyDescent="0.35">
      <c r="A630" s="3" t="s">
        <v>8720</v>
      </c>
      <c r="B630" s="3" t="s">
        <v>55</v>
      </c>
      <c r="C630" s="3" t="s">
        <v>56</v>
      </c>
      <c r="D630">
        <v>866</v>
      </c>
      <c r="E630" s="6">
        <v>45109</v>
      </c>
      <c r="F630">
        <v>0</v>
      </c>
      <c r="G630">
        <v>1.4140000000000001</v>
      </c>
      <c r="H630">
        <v>0.10600000000000001</v>
      </c>
      <c r="I630" s="3" t="s">
        <v>8699</v>
      </c>
    </row>
    <row r="631" spans="1:9" x14ac:dyDescent="0.35">
      <c r="A631" s="3" t="s">
        <v>9339</v>
      </c>
      <c r="B631" s="3" t="s">
        <v>1386</v>
      </c>
      <c r="C631" s="3" t="s">
        <v>1387</v>
      </c>
      <c r="D631">
        <v>603</v>
      </c>
      <c r="E631" s="6">
        <v>45372</v>
      </c>
      <c r="F631">
        <v>0</v>
      </c>
      <c r="G631">
        <v>6.0000000000000001E-3</v>
      </c>
      <c r="H631">
        <v>0.10400000000000001</v>
      </c>
      <c r="I631" s="3" t="s">
        <v>8712</v>
      </c>
    </row>
    <row r="632" spans="1:9" x14ac:dyDescent="0.35">
      <c r="A632" s="3" t="s">
        <v>9340</v>
      </c>
      <c r="B632" s="3" t="s">
        <v>1388</v>
      </c>
      <c r="C632" s="3" t="s">
        <v>1389</v>
      </c>
      <c r="D632">
        <v>58</v>
      </c>
      <c r="E632" s="6">
        <v>45917</v>
      </c>
      <c r="F632">
        <v>0</v>
      </c>
      <c r="G632">
        <v>17.600000000000001</v>
      </c>
      <c r="H632">
        <v>2.4</v>
      </c>
      <c r="I632" s="3" t="s">
        <v>8756</v>
      </c>
    </row>
    <row r="633" spans="1:9" x14ac:dyDescent="0.35">
      <c r="A633" s="3" t="s">
        <v>9341</v>
      </c>
      <c r="B633" s="3" t="s">
        <v>1390</v>
      </c>
      <c r="C633" s="3" t="s">
        <v>1391</v>
      </c>
      <c r="D633">
        <v>58</v>
      </c>
      <c r="E633" s="6">
        <v>45917</v>
      </c>
      <c r="F633">
        <v>0</v>
      </c>
      <c r="G633">
        <v>17.28</v>
      </c>
      <c r="H633">
        <v>0.72</v>
      </c>
      <c r="I633" s="3" t="s">
        <v>8756</v>
      </c>
    </row>
    <row r="634" spans="1:9" x14ac:dyDescent="0.35">
      <c r="A634" s="3" t="s">
        <v>9342</v>
      </c>
      <c r="B634" s="3" t="s">
        <v>1392</v>
      </c>
      <c r="C634" s="3" t="s">
        <v>1393</v>
      </c>
      <c r="D634">
        <v>47</v>
      </c>
      <c r="E634" s="6">
        <v>45928</v>
      </c>
      <c r="F634">
        <v>100</v>
      </c>
      <c r="G634">
        <v>13.5</v>
      </c>
      <c r="H634">
        <v>1.5</v>
      </c>
      <c r="I634" s="3" t="s">
        <v>8701</v>
      </c>
    </row>
    <row r="635" spans="1:9" x14ac:dyDescent="0.35">
      <c r="A635" s="3" t="s">
        <v>9343</v>
      </c>
      <c r="B635" s="3" t="s">
        <v>1394</v>
      </c>
      <c r="C635" s="3" t="s">
        <v>1395</v>
      </c>
      <c r="D635">
        <v>955</v>
      </c>
      <c r="E635" s="6">
        <v>45020</v>
      </c>
      <c r="F635">
        <v>0</v>
      </c>
      <c r="G635">
        <v>0</v>
      </c>
      <c r="H635">
        <v>0</v>
      </c>
      <c r="I635" s="3" t="s">
        <v>28</v>
      </c>
    </row>
    <row r="636" spans="1:9" x14ac:dyDescent="0.35">
      <c r="A636" s="3" t="s">
        <v>9995</v>
      </c>
      <c r="B636" s="3" t="s">
        <v>2769</v>
      </c>
      <c r="C636" s="3" t="s">
        <v>2770</v>
      </c>
      <c r="D636">
        <v>869</v>
      </c>
      <c r="E636" s="6">
        <v>45106</v>
      </c>
      <c r="F636">
        <v>0</v>
      </c>
      <c r="G636">
        <v>0.6</v>
      </c>
      <c r="H636">
        <v>0.4</v>
      </c>
      <c r="I636" s="3" t="s">
        <v>8699</v>
      </c>
    </row>
    <row r="637" spans="1:9" x14ac:dyDescent="0.35">
      <c r="A637" s="3" t="s">
        <v>9920</v>
      </c>
      <c r="B637" s="3" t="s">
        <v>2610</v>
      </c>
      <c r="C637" s="3" t="s">
        <v>2611</v>
      </c>
      <c r="D637">
        <v>871</v>
      </c>
      <c r="E637" s="6">
        <v>45104</v>
      </c>
      <c r="F637">
        <v>0</v>
      </c>
      <c r="G637">
        <v>1.925</v>
      </c>
      <c r="H637">
        <v>0.57500000000000007</v>
      </c>
      <c r="I637" s="3" t="s">
        <v>8699</v>
      </c>
    </row>
    <row r="638" spans="1:9" x14ac:dyDescent="0.35">
      <c r="A638" s="3" t="s">
        <v>8939</v>
      </c>
      <c r="B638" s="3" t="s">
        <v>537</v>
      </c>
      <c r="C638" s="3" t="s">
        <v>538</v>
      </c>
      <c r="D638">
        <v>872</v>
      </c>
      <c r="E638" s="6">
        <v>45103</v>
      </c>
      <c r="F638">
        <v>100</v>
      </c>
      <c r="G638">
        <v>9.6029999999999998</v>
      </c>
      <c r="H638">
        <v>9.7000000000000003E-2</v>
      </c>
      <c r="I638" s="3" t="s">
        <v>8699</v>
      </c>
    </row>
    <row r="639" spans="1:9" x14ac:dyDescent="0.35">
      <c r="A639" s="3" t="s">
        <v>9347</v>
      </c>
      <c r="B639" s="3" t="s">
        <v>1403</v>
      </c>
      <c r="C639" s="3" t="s">
        <v>1404</v>
      </c>
      <c r="D639">
        <v>89</v>
      </c>
      <c r="E639" s="6">
        <v>45886</v>
      </c>
      <c r="F639">
        <v>90</v>
      </c>
      <c r="G639">
        <v>18.86</v>
      </c>
      <c r="H639">
        <v>1.6400000000000001</v>
      </c>
      <c r="I639" s="3" t="s">
        <v>8756</v>
      </c>
    </row>
    <row r="640" spans="1:9" x14ac:dyDescent="0.35">
      <c r="A640" s="3" t="s">
        <v>10078</v>
      </c>
      <c r="B640" s="3" t="s">
        <v>2950</v>
      </c>
      <c r="C640" s="3" t="s">
        <v>2951</v>
      </c>
      <c r="D640">
        <v>883</v>
      </c>
      <c r="E640" s="6">
        <v>45092</v>
      </c>
      <c r="F640">
        <v>0</v>
      </c>
      <c r="G640">
        <v>50.292000000000002</v>
      </c>
      <c r="H640">
        <v>0.50800000000000001</v>
      </c>
      <c r="I640" s="3" t="s">
        <v>8699</v>
      </c>
    </row>
    <row r="641" spans="1:9" x14ac:dyDescent="0.35">
      <c r="A641" s="3" t="s">
        <v>9294</v>
      </c>
      <c r="B641" s="3" t="s">
        <v>1289</v>
      </c>
      <c r="C641" s="3" t="s">
        <v>1290</v>
      </c>
      <c r="D641">
        <v>885</v>
      </c>
      <c r="E641" s="6">
        <v>45090</v>
      </c>
      <c r="F641">
        <v>0</v>
      </c>
      <c r="G641">
        <v>30.69</v>
      </c>
      <c r="H641">
        <v>0.31</v>
      </c>
      <c r="I641" s="3" t="s">
        <v>8699</v>
      </c>
    </row>
    <row r="642" spans="1:9" x14ac:dyDescent="0.35">
      <c r="A642" s="3" t="s">
        <v>9738</v>
      </c>
      <c r="B642" s="3" t="s">
        <v>2224</v>
      </c>
      <c r="C642" s="3" t="s">
        <v>2225</v>
      </c>
      <c r="D642">
        <v>885</v>
      </c>
      <c r="E642" s="6">
        <v>45090</v>
      </c>
      <c r="F642">
        <v>0</v>
      </c>
      <c r="G642">
        <v>3.72</v>
      </c>
      <c r="H642">
        <v>0.28000000000000003</v>
      </c>
      <c r="I642" s="3" t="s">
        <v>8699</v>
      </c>
    </row>
    <row r="643" spans="1:9" x14ac:dyDescent="0.35">
      <c r="A643" s="3" t="s">
        <v>9351</v>
      </c>
      <c r="B643" s="3" t="s">
        <v>1411</v>
      </c>
      <c r="C643" s="3" t="s">
        <v>1412</v>
      </c>
      <c r="D643">
        <v>260</v>
      </c>
      <c r="E643" s="6">
        <v>45715</v>
      </c>
      <c r="F643">
        <v>0</v>
      </c>
      <c r="G643">
        <v>2.04</v>
      </c>
      <c r="H643">
        <v>1.36</v>
      </c>
      <c r="I643" s="3" t="s">
        <v>8701</v>
      </c>
    </row>
    <row r="644" spans="1:9" x14ac:dyDescent="0.35">
      <c r="A644" s="3" t="s">
        <v>9352</v>
      </c>
      <c r="B644" s="3" t="s">
        <v>1413</v>
      </c>
      <c r="C644" s="3" t="s">
        <v>1414</v>
      </c>
      <c r="D644">
        <v>260</v>
      </c>
      <c r="E644" s="6">
        <v>45715</v>
      </c>
      <c r="F644">
        <v>10</v>
      </c>
      <c r="G644">
        <v>0.55000000000000004</v>
      </c>
      <c r="H644">
        <v>0.45</v>
      </c>
      <c r="I644" s="3" t="s">
        <v>8756</v>
      </c>
    </row>
    <row r="645" spans="1:9" x14ac:dyDescent="0.35">
      <c r="A645" s="3" t="s">
        <v>9353</v>
      </c>
      <c r="B645" s="3" t="s">
        <v>1415</v>
      </c>
      <c r="C645" s="3" t="s">
        <v>1416</v>
      </c>
      <c r="D645">
        <v>31</v>
      </c>
      <c r="E645" s="6">
        <v>45944</v>
      </c>
      <c r="F645">
        <v>0</v>
      </c>
      <c r="G645">
        <v>7.28</v>
      </c>
      <c r="H645">
        <v>0.72</v>
      </c>
      <c r="I645" s="3" t="s">
        <v>8738</v>
      </c>
    </row>
    <row r="646" spans="1:9" x14ac:dyDescent="0.35">
      <c r="A646" s="3" t="s">
        <v>9354</v>
      </c>
      <c r="B646" s="3" t="s">
        <v>1417</v>
      </c>
      <c r="C646" s="3" t="s">
        <v>1418</v>
      </c>
      <c r="D646">
        <v>25</v>
      </c>
      <c r="E646" s="6">
        <v>45950</v>
      </c>
      <c r="F646">
        <v>0</v>
      </c>
      <c r="G646">
        <v>13.485000000000001</v>
      </c>
      <c r="H646">
        <v>2.0150000000000001</v>
      </c>
      <c r="I646" s="3" t="s">
        <v>8701</v>
      </c>
    </row>
    <row r="647" spans="1:9" x14ac:dyDescent="0.35">
      <c r="A647" s="3" t="s">
        <v>9355</v>
      </c>
      <c r="B647" s="3" t="s">
        <v>1419</v>
      </c>
      <c r="C647" s="3" t="s">
        <v>1420</v>
      </c>
      <c r="D647">
        <v>74</v>
      </c>
      <c r="E647" s="6">
        <v>45901</v>
      </c>
      <c r="F647">
        <v>230</v>
      </c>
      <c r="G647">
        <v>42.9</v>
      </c>
      <c r="H647">
        <v>1.1000000000000001</v>
      </c>
      <c r="I647" s="3" t="s">
        <v>8701</v>
      </c>
    </row>
    <row r="648" spans="1:9" x14ac:dyDescent="0.35">
      <c r="A648" s="3" t="s">
        <v>9356</v>
      </c>
      <c r="B648" s="3" t="s">
        <v>1421</v>
      </c>
      <c r="C648" s="3" t="s">
        <v>1422</v>
      </c>
      <c r="D648">
        <v>56</v>
      </c>
      <c r="E648" s="6">
        <v>45919</v>
      </c>
      <c r="F648">
        <v>0</v>
      </c>
      <c r="G648">
        <v>6.3</v>
      </c>
      <c r="H648">
        <v>2.7</v>
      </c>
      <c r="I648" s="3" t="s">
        <v>8756</v>
      </c>
    </row>
    <row r="649" spans="1:9" x14ac:dyDescent="0.35">
      <c r="A649" s="3" t="s">
        <v>9357</v>
      </c>
      <c r="B649" s="3" t="s">
        <v>1423</v>
      </c>
      <c r="C649" s="3" t="s">
        <v>1424</v>
      </c>
      <c r="D649">
        <v>10</v>
      </c>
      <c r="E649" s="6">
        <v>45965</v>
      </c>
      <c r="F649">
        <v>0</v>
      </c>
      <c r="G649">
        <v>1.44</v>
      </c>
      <c r="H649">
        <v>2.16</v>
      </c>
      <c r="I649" s="3" t="s">
        <v>8703</v>
      </c>
    </row>
    <row r="650" spans="1:9" x14ac:dyDescent="0.35">
      <c r="A650" s="3" t="s">
        <v>9358</v>
      </c>
      <c r="B650" s="3" t="s">
        <v>1425</v>
      </c>
      <c r="C650" s="3" t="s">
        <v>1426</v>
      </c>
      <c r="D650">
        <v>18</v>
      </c>
      <c r="E650" s="6">
        <v>45957</v>
      </c>
      <c r="F650">
        <v>0</v>
      </c>
      <c r="G650">
        <v>1.48</v>
      </c>
      <c r="H650">
        <v>0.52</v>
      </c>
      <c r="I650" s="3" t="s">
        <v>8701</v>
      </c>
    </row>
    <row r="651" spans="1:9" x14ac:dyDescent="0.35">
      <c r="A651" s="3" t="s">
        <v>9359</v>
      </c>
      <c r="B651" s="3" t="s">
        <v>1427</v>
      </c>
      <c r="C651" s="3" t="s">
        <v>1428</v>
      </c>
      <c r="D651">
        <v>5646</v>
      </c>
      <c r="E651" s="6">
        <v>40329</v>
      </c>
      <c r="F651">
        <v>0</v>
      </c>
      <c r="G651">
        <v>1.1000000000000001E-2</v>
      </c>
      <c r="H651">
        <v>0.28900000000000003</v>
      </c>
      <c r="I651" s="3" t="s">
        <v>8712</v>
      </c>
    </row>
    <row r="652" spans="1:9" x14ac:dyDescent="0.35">
      <c r="A652" s="3" t="s">
        <v>9555</v>
      </c>
      <c r="B652" s="3" t="s">
        <v>1835</v>
      </c>
      <c r="C652" s="3" t="s">
        <v>1836</v>
      </c>
      <c r="D652">
        <v>897</v>
      </c>
      <c r="E652" s="6">
        <v>45078</v>
      </c>
      <c r="F652">
        <v>0</v>
      </c>
      <c r="G652">
        <v>9.120000000000001</v>
      </c>
      <c r="H652">
        <v>2.88</v>
      </c>
      <c r="I652" s="3" t="s">
        <v>8699</v>
      </c>
    </row>
    <row r="653" spans="1:9" x14ac:dyDescent="0.35">
      <c r="A653" s="3" t="s">
        <v>9361</v>
      </c>
      <c r="B653" s="3" t="s">
        <v>1431</v>
      </c>
      <c r="C653" s="3" t="s">
        <v>1432</v>
      </c>
      <c r="D653">
        <v>47</v>
      </c>
      <c r="E653" s="6">
        <v>45928</v>
      </c>
      <c r="F653">
        <v>10</v>
      </c>
      <c r="G653">
        <v>70.81</v>
      </c>
      <c r="H653">
        <v>2.19</v>
      </c>
      <c r="I653" s="3" t="s">
        <v>8701</v>
      </c>
    </row>
    <row r="654" spans="1:9" x14ac:dyDescent="0.35">
      <c r="A654" s="3" t="s">
        <v>10055</v>
      </c>
      <c r="B654" s="3" t="s">
        <v>2895</v>
      </c>
      <c r="C654" s="3" t="s">
        <v>2896</v>
      </c>
      <c r="D654">
        <v>905</v>
      </c>
      <c r="E654" s="6">
        <v>45070</v>
      </c>
      <c r="F654">
        <v>0</v>
      </c>
      <c r="G654">
        <v>1E-3</v>
      </c>
      <c r="H654">
        <v>2.9000000000000001E-2</v>
      </c>
      <c r="I654" s="3" t="s">
        <v>8699</v>
      </c>
    </row>
    <row r="655" spans="1:9" x14ac:dyDescent="0.35">
      <c r="A655" s="3" t="s">
        <v>8803</v>
      </c>
      <c r="B655" s="3" t="s">
        <v>247</v>
      </c>
      <c r="C655" s="3" t="s">
        <v>248</v>
      </c>
      <c r="D655">
        <v>910</v>
      </c>
      <c r="E655" s="6">
        <v>45065</v>
      </c>
      <c r="F655">
        <v>0</v>
      </c>
      <c r="G655">
        <v>3.528</v>
      </c>
      <c r="H655">
        <v>0.67200000000000004</v>
      </c>
      <c r="I655" s="3" t="s">
        <v>8699</v>
      </c>
    </row>
    <row r="656" spans="1:9" x14ac:dyDescent="0.35">
      <c r="A656" s="3" t="s">
        <v>11285</v>
      </c>
      <c r="B656" s="3" t="s">
        <v>5506</v>
      </c>
      <c r="C656" s="3" t="s">
        <v>5507</v>
      </c>
      <c r="D656">
        <v>910</v>
      </c>
      <c r="E656" s="6">
        <v>45065</v>
      </c>
      <c r="F656">
        <v>0</v>
      </c>
      <c r="G656">
        <v>0.24</v>
      </c>
      <c r="H656">
        <v>0.96</v>
      </c>
      <c r="I656" s="3" t="s">
        <v>8699</v>
      </c>
    </row>
    <row r="657" spans="1:9" x14ac:dyDescent="0.35">
      <c r="A657" s="3" t="s">
        <v>9365</v>
      </c>
      <c r="B657" s="3" t="s">
        <v>1439</v>
      </c>
      <c r="C657" s="3" t="s">
        <v>1440</v>
      </c>
      <c r="D657">
        <v>90</v>
      </c>
      <c r="E657" s="6">
        <v>45885</v>
      </c>
      <c r="F657">
        <v>90</v>
      </c>
      <c r="G657">
        <v>0.84100000000000008</v>
      </c>
      <c r="H657">
        <v>2.0590000000000002</v>
      </c>
      <c r="I657" s="3" t="s">
        <v>8756</v>
      </c>
    </row>
    <row r="658" spans="1:9" x14ac:dyDescent="0.35">
      <c r="A658" s="3" t="s">
        <v>9706</v>
      </c>
      <c r="B658" s="3" t="s">
        <v>2156</v>
      </c>
      <c r="C658" s="3" t="s">
        <v>2157</v>
      </c>
      <c r="D658">
        <v>918</v>
      </c>
      <c r="E658" s="6">
        <v>45057</v>
      </c>
      <c r="F658">
        <v>0</v>
      </c>
      <c r="G658">
        <v>4.5</v>
      </c>
      <c r="H658">
        <v>0.5</v>
      </c>
      <c r="I658" s="3" t="s">
        <v>8699</v>
      </c>
    </row>
    <row r="659" spans="1:9" x14ac:dyDescent="0.35">
      <c r="A659" s="3" t="s">
        <v>9367</v>
      </c>
      <c r="B659" s="3" t="s">
        <v>1443</v>
      </c>
      <c r="C659" s="3" t="s">
        <v>1444</v>
      </c>
      <c r="D659">
        <v>6568</v>
      </c>
      <c r="E659" s="6">
        <v>39407</v>
      </c>
      <c r="F659">
        <v>0</v>
      </c>
      <c r="G659">
        <v>0</v>
      </c>
      <c r="H659">
        <v>0</v>
      </c>
      <c r="I659" s="3" t="s">
        <v>28</v>
      </c>
    </row>
    <row r="660" spans="1:9" x14ac:dyDescent="0.35">
      <c r="A660" s="3" t="s">
        <v>9627</v>
      </c>
      <c r="B660" s="3" t="s">
        <v>1986</v>
      </c>
      <c r="C660" s="3" t="s">
        <v>1987</v>
      </c>
      <c r="D660">
        <v>1004</v>
      </c>
      <c r="E660" s="6">
        <v>44971</v>
      </c>
      <c r="F660">
        <v>50</v>
      </c>
      <c r="G660">
        <v>0.85</v>
      </c>
      <c r="H660">
        <v>0.85</v>
      </c>
      <c r="I660" s="3" t="s">
        <v>8699</v>
      </c>
    </row>
    <row r="661" spans="1:9" x14ac:dyDescent="0.35">
      <c r="A661" s="3" t="s">
        <v>9369</v>
      </c>
      <c r="B661" s="3" t="s">
        <v>1447</v>
      </c>
      <c r="C661" s="3" t="s">
        <v>1448</v>
      </c>
      <c r="D661">
        <v>385</v>
      </c>
      <c r="E661" s="6">
        <v>45590</v>
      </c>
      <c r="F661">
        <v>0</v>
      </c>
      <c r="G661">
        <v>6.0000000000000001E-3</v>
      </c>
      <c r="H661">
        <v>0.10400000000000001</v>
      </c>
      <c r="I661" s="3" t="s">
        <v>8712</v>
      </c>
    </row>
    <row r="662" spans="1:9" x14ac:dyDescent="0.35">
      <c r="A662" s="3" t="s">
        <v>9370</v>
      </c>
      <c r="B662" s="3" t="s">
        <v>1449</v>
      </c>
      <c r="C662" s="3" t="s">
        <v>1450</v>
      </c>
      <c r="D662">
        <v>30</v>
      </c>
      <c r="E662" s="6">
        <v>45945</v>
      </c>
      <c r="F662">
        <v>0</v>
      </c>
      <c r="G662">
        <v>124.375</v>
      </c>
      <c r="H662">
        <v>0.625</v>
      </c>
      <c r="I662" s="3" t="s">
        <v>8701</v>
      </c>
    </row>
    <row r="663" spans="1:9" x14ac:dyDescent="0.35">
      <c r="A663" s="3" t="s">
        <v>9371</v>
      </c>
      <c r="B663" s="3" t="s">
        <v>1451</v>
      </c>
      <c r="C663" s="3" t="s">
        <v>1452</v>
      </c>
      <c r="D663">
        <v>164</v>
      </c>
      <c r="E663" s="6">
        <v>45811</v>
      </c>
      <c r="F663">
        <v>0</v>
      </c>
      <c r="G663">
        <v>3.4</v>
      </c>
      <c r="H663">
        <v>0.6</v>
      </c>
      <c r="I663" s="3" t="s">
        <v>8701</v>
      </c>
    </row>
    <row r="664" spans="1:9" x14ac:dyDescent="0.35">
      <c r="A664" s="3" t="s">
        <v>9372</v>
      </c>
      <c r="B664" s="3" t="s">
        <v>1453</v>
      </c>
      <c r="C664" s="3" t="s">
        <v>1454</v>
      </c>
      <c r="D664">
        <v>955</v>
      </c>
      <c r="E664" s="6">
        <v>45020</v>
      </c>
      <c r="F664">
        <v>0</v>
      </c>
      <c r="G664">
        <v>0</v>
      </c>
      <c r="H664">
        <v>0</v>
      </c>
      <c r="I664" s="3" t="s">
        <v>28</v>
      </c>
    </row>
    <row r="665" spans="1:9" x14ac:dyDescent="0.35">
      <c r="A665" s="3" t="s">
        <v>10177</v>
      </c>
      <c r="B665" s="3" t="s">
        <v>3161</v>
      </c>
      <c r="C665" s="3" t="s">
        <v>3162</v>
      </c>
      <c r="D665">
        <v>1029</v>
      </c>
      <c r="E665" s="6">
        <v>44946</v>
      </c>
      <c r="F665">
        <v>0</v>
      </c>
      <c r="G665">
        <v>0</v>
      </c>
      <c r="H665">
        <v>0</v>
      </c>
      <c r="I665" s="3" t="s">
        <v>8699</v>
      </c>
    </row>
    <row r="666" spans="1:9" x14ac:dyDescent="0.35">
      <c r="A666" s="3" t="s">
        <v>10518</v>
      </c>
      <c r="B666" s="3" t="s">
        <v>3886</v>
      </c>
      <c r="C666" s="3" t="s">
        <v>3887</v>
      </c>
      <c r="D666">
        <v>1029</v>
      </c>
      <c r="E666" s="6">
        <v>44946</v>
      </c>
      <c r="F666">
        <v>0</v>
      </c>
      <c r="G666">
        <v>0</v>
      </c>
      <c r="H666">
        <v>0</v>
      </c>
      <c r="I666" s="3" t="s">
        <v>8699</v>
      </c>
    </row>
    <row r="667" spans="1:9" x14ac:dyDescent="0.35">
      <c r="A667" s="3" t="s">
        <v>9375</v>
      </c>
      <c r="B667" s="3" t="s">
        <v>1459</v>
      </c>
      <c r="C667" s="3" t="s">
        <v>1460</v>
      </c>
      <c r="D667">
        <v>241</v>
      </c>
      <c r="E667" s="6">
        <v>45734</v>
      </c>
      <c r="F667">
        <v>0</v>
      </c>
      <c r="G667">
        <v>2.1</v>
      </c>
      <c r="H667">
        <v>1.4000000000000001</v>
      </c>
      <c r="I667" s="3" t="s">
        <v>8701</v>
      </c>
    </row>
    <row r="668" spans="1:9" x14ac:dyDescent="0.35">
      <c r="A668" s="3" t="s">
        <v>9376</v>
      </c>
      <c r="B668" s="3" t="s">
        <v>1461</v>
      </c>
      <c r="C668" s="3" t="s">
        <v>1462</v>
      </c>
      <c r="D668">
        <v>3144</v>
      </c>
      <c r="E668" s="6">
        <v>42831</v>
      </c>
      <c r="F668">
        <v>0</v>
      </c>
      <c r="G668">
        <v>0</v>
      </c>
      <c r="H668">
        <v>0</v>
      </c>
      <c r="I668" s="3" t="s">
        <v>28</v>
      </c>
    </row>
    <row r="669" spans="1:9" x14ac:dyDescent="0.35">
      <c r="A669" s="3" t="s">
        <v>9377</v>
      </c>
      <c r="B669" s="3" t="s">
        <v>1463</v>
      </c>
      <c r="C669" s="3" t="s">
        <v>1464</v>
      </c>
      <c r="D669">
        <v>23</v>
      </c>
      <c r="E669" s="6">
        <v>45952</v>
      </c>
      <c r="F669">
        <v>0</v>
      </c>
      <c r="G669">
        <v>133.96</v>
      </c>
      <c r="H669">
        <v>2.04</v>
      </c>
      <c r="I669" s="3" t="s">
        <v>8701</v>
      </c>
    </row>
    <row r="670" spans="1:9" x14ac:dyDescent="0.35">
      <c r="A670" s="3" t="s">
        <v>9378</v>
      </c>
      <c r="B670" s="3" t="s">
        <v>1465</v>
      </c>
      <c r="C670" s="3" t="s">
        <v>1466</v>
      </c>
      <c r="D670">
        <v>79</v>
      </c>
      <c r="E670" s="6">
        <v>45896</v>
      </c>
      <c r="F670">
        <v>0</v>
      </c>
      <c r="G670">
        <v>51.7</v>
      </c>
      <c r="H670">
        <v>3.3000000000000003</v>
      </c>
      <c r="I670" s="3" t="s">
        <v>8701</v>
      </c>
    </row>
    <row r="671" spans="1:9" x14ac:dyDescent="0.35">
      <c r="A671" s="3" t="s">
        <v>9379</v>
      </c>
      <c r="B671" s="3" t="s">
        <v>1467</v>
      </c>
      <c r="C671" s="3" t="s">
        <v>1468</v>
      </c>
      <c r="D671">
        <v>5645</v>
      </c>
      <c r="E671" s="6">
        <v>40330</v>
      </c>
      <c r="F671">
        <v>0</v>
      </c>
      <c r="G671">
        <v>0</v>
      </c>
      <c r="H671">
        <v>0</v>
      </c>
      <c r="I671" s="3" t="s">
        <v>28</v>
      </c>
    </row>
    <row r="672" spans="1:9" x14ac:dyDescent="0.35">
      <c r="A672" s="3" t="s">
        <v>9380</v>
      </c>
      <c r="B672" s="3" t="s">
        <v>1469</v>
      </c>
      <c r="C672" s="3" t="s">
        <v>1470</v>
      </c>
      <c r="D672">
        <v>245</v>
      </c>
      <c r="E672" s="6">
        <v>45730</v>
      </c>
      <c r="F672">
        <v>0</v>
      </c>
      <c r="G672">
        <v>4.55</v>
      </c>
      <c r="H672">
        <v>0.45</v>
      </c>
      <c r="I672" s="3" t="s">
        <v>8701</v>
      </c>
    </row>
    <row r="673" spans="1:9" x14ac:dyDescent="0.35">
      <c r="A673" s="3" t="s">
        <v>9381</v>
      </c>
      <c r="B673" s="3" t="s">
        <v>1471</v>
      </c>
      <c r="C673" s="3" t="s">
        <v>1472</v>
      </c>
      <c r="D673">
        <v>726</v>
      </c>
      <c r="E673" s="6">
        <v>45249</v>
      </c>
      <c r="F673">
        <v>0</v>
      </c>
      <c r="G673">
        <v>0</v>
      </c>
      <c r="H673">
        <v>0</v>
      </c>
      <c r="I673" s="3" t="s">
        <v>28</v>
      </c>
    </row>
    <row r="674" spans="1:9" x14ac:dyDescent="0.35">
      <c r="A674" s="3" t="s">
        <v>9382</v>
      </c>
      <c r="B674" s="3" t="s">
        <v>1473</v>
      </c>
      <c r="C674" s="3" t="s">
        <v>1474</v>
      </c>
      <c r="D674">
        <v>55</v>
      </c>
      <c r="E674" s="6">
        <v>45920</v>
      </c>
      <c r="F674">
        <v>0</v>
      </c>
      <c r="G674">
        <v>125.77500000000001</v>
      </c>
      <c r="H674">
        <v>3.2250000000000001</v>
      </c>
      <c r="I674" s="3" t="s">
        <v>8701</v>
      </c>
    </row>
    <row r="675" spans="1:9" x14ac:dyDescent="0.35">
      <c r="A675" s="3" t="s">
        <v>9383</v>
      </c>
      <c r="B675" s="3" t="s">
        <v>1475</v>
      </c>
      <c r="C675" s="3" t="s">
        <v>1476</v>
      </c>
      <c r="D675">
        <v>465</v>
      </c>
      <c r="E675" s="6">
        <v>45510</v>
      </c>
      <c r="F675">
        <v>0</v>
      </c>
      <c r="G675">
        <v>5.0000000000000001E-3</v>
      </c>
      <c r="H675">
        <v>0.115</v>
      </c>
      <c r="I675" s="3" t="s">
        <v>8712</v>
      </c>
    </row>
    <row r="676" spans="1:9" x14ac:dyDescent="0.35">
      <c r="A676" s="3" t="s">
        <v>9384</v>
      </c>
      <c r="B676" s="3" t="s">
        <v>1477</v>
      </c>
      <c r="C676" s="3" t="s">
        <v>1478</v>
      </c>
      <c r="D676">
        <v>87</v>
      </c>
      <c r="E676" s="6">
        <v>45888</v>
      </c>
      <c r="F676">
        <v>0</v>
      </c>
      <c r="G676">
        <v>2.17</v>
      </c>
      <c r="H676">
        <v>0.93</v>
      </c>
      <c r="I676" s="3" t="s">
        <v>8701</v>
      </c>
    </row>
    <row r="677" spans="1:9" x14ac:dyDescent="0.35">
      <c r="A677" s="3" t="s">
        <v>9385</v>
      </c>
      <c r="B677" s="3" t="s">
        <v>1479</v>
      </c>
      <c r="C677" s="3" t="s">
        <v>1480</v>
      </c>
      <c r="D677">
        <v>726</v>
      </c>
      <c r="E677" s="6">
        <v>45249</v>
      </c>
      <c r="F677">
        <v>0</v>
      </c>
      <c r="G677">
        <v>0</v>
      </c>
      <c r="H677">
        <v>0</v>
      </c>
      <c r="I677" s="3" t="s">
        <v>28</v>
      </c>
    </row>
    <row r="678" spans="1:9" x14ac:dyDescent="0.35">
      <c r="A678" s="3" t="s">
        <v>11230</v>
      </c>
      <c r="B678" s="3" t="s">
        <v>5389</v>
      </c>
      <c r="C678" s="3" t="s">
        <v>5390</v>
      </c>
      <c r="D678">
        <v>1029</v>
      </c>
      <c r="E678" s="6">
        <v>44946</v>
      </c>
      <c r="F678">
        <v>0</v>
      </c>
      <c r="G678">
        <v>0</v>
      </c>
      <c r="H678">
        <v>0</v>
      </c>
      <c r="I678" s="3" t="s">
        <v>8699</v>
      </c>
    </row>
    <row r="679" spans="1:9" x14ac:dyDescent="0.35">
      <c r="A679" s="3" t="s">
        <v>8876</v>
      </c>
      <c r="B679" s="3" t="s">
        <v>408</v>
      </c>
      <c r="C679" s="3" t="s">
        <v>409</v>
      </c>
      <c r="D679">
        <v>1040</v>
      </c>
      <c r="E679" s="6">
        <v>44935</v>
      </c>
      <c r="F679">
        <v>0</v>
      </c>
      <c r="G679">
        <v>1.86</v>
      </c>
      <c r="H679">
        <v>0.14000000000000001</v>
      </c>
      <c r="I679" s="3" t="s">
        <v>8699</v>
      </c>
    </row>
    <row r="680" spans="1:9" x14ac:dyDescent="0.35">
      <c r="A680" s="3" t="s">
        <v>9388</v>
      </c>
      <c r="B680" s="3" t="s">
        <v>1486</v>
      </c>
      <c r="C680" s="3" t="s">
        <v>1487</v>
      </c>
      <c r="D680">
        <v>58</v>
      </c>
      <c r="E680" s="6">
        <v>45917</v>
      </c>
      <c r="F680">
        <v>0</v>
      </c>
      <c r="G680">
        <v>0.52</v>
      </c>
      <c r="H680">
        <v>0.78</v>
      </c>
      <c r="I680" s="3" t="s">
        <v>8756</v>
      </c>
    </row>
    <row r="681" spans="1:9" x14ac:dyDescent="0.35">
      <c r="A681" s="3" t="s">
        <v>11115</v>
      </c>
      <c r="B681" s="3" t="s">
        <v>5147</v>
      </c>
      <c r="C681" s="3" t="s">
        <v>5148</v>
      </c>
      <c r="D681">
        <v>1087</v>
      </c>
      <c r="E681" s="6">
        <v>44888</v>
      </c>
      <c r="F681">
        <v>0</v>
      </c>
      <c r="G681">
        <v>141.29</v>
      </c>
      <c r="H681">
        <v>0.71</v>
      </c>
      <c r="I681" s="3" t="s">
        <v>8699</v>
      </c>
    </row>
    <row r="682" spans="1:9" x14ac:dyDescent="0.35">
      <c r="A682" s="3" t="s">
        <v>9390</v>
      </c>
      <c r="B682" s="3" t="s">
        <v>1490</v>
      </c>
      <c r="C682" s="3" t="s">
        <v>1491</v>
      </c>
      <c r="D682">
        <v>55</v>
      </c>
      <c r="E682" s="6">
        <v>45920</v>
      </c>
      <c r="F682">
        <v>0</v>
      </c>
      <c r="G682">
        <v>0.126</v>
      </c>
      <c r="H682">
        <v>1.454</v>
      </c>
      <c r="I682" s="3" t="s">
        <v>8701</v>
      </c>
    </row>
    <row r="683" spans="1:9" x14ac:dyDescent="0.35">
      <c r="A683" s="3" t="s">
        <v>9391</v>
      </c>
      <c r="B683" s="3" t="s">
        <v>1492</v>
      </c>
      <c r="C683" s="3" t="s">
        <v>1493</v>
      </c>
      <c r="D683">
        <v>26</v>
      </c>
      <c r="E683" s="6">
        <v>45949</v>
      </c>
      <c r="F683">
        <v>0</v>
      </c>
      <c r="G683">
        <v>44.64</v>
      </c>
      <c r="H683">
        <v>3.36</v>
      </c>
      <c r="I683" s="3" t="s">
        <v>8701</v>
      </c>
    </row>
    <row r="684" spans="1:9" x14ac:dyDescent="0.35">
      <c r="A684" s="3" t="s">
        <v>9392</v>
      </c>
      <c r="B684" s="3" t="s">
        <v>1494</v>
      </c>
      <c r="C684" s="3" t="s">
        <v>1495</v>
      </c>
      <c r="D684">
        <v>323</v>
      </c>
      <c r="E684" s="6">
        <v>45652</v>
      </c>
      <c r="F684">
        <v>0</v>
      </c>
      <c r="G684">
        <v>22.32</v>
      </c>
      <c r="H684">
        <v>1.68</v>
      </c>
      <c r="I684" s="3" t="s">
        <v>8701</v>
      </c>
    </row>
    <row r="685" spans="1:9" x14ac:dyDescent="0.35">
      <c r="A685" s="3" t="s">
        <v>9393</v>
      </c>
      <c r="B685" s="3" t="s">
        <v>1496</v>
      </c>
      <c r="C685" s="3" t="s">
        <v>1497</v>
      </c>
      <c r="D685">
        <v>49</v>
      </c>
      <c r="E685" s="6">
        <v>45926</v>
      </c>
      <c r="F685">
        <v>50</v>
      </c>
      <c r="G685">
        <v>50.35</v>
      </c>
      <c r="H685">
        <v>2.65</v>
      </c>
      <c r="I685" s="3" t="s">
        <v>8701</v>
      </c>
    </row>
    <row r="686" spans="1:9" x14ac:dyDescent="0.35">
      <c r="A686" s="3" t="s">
        <v>9394</v>
      </c>
      <c r="B686" s="3" t="s">
        <v>1498</v>
      </c>
      <c r="C686" s="3" t="s">
        <v>1499</v>
      </c>
      <c r="D686">
        <v>49</v>
      </c>
      <c r="E686" s="6">
        <v>45926</v>
      </c>
      <c r="F686">
        <v>0</v>
      </c>
      <c r="G686">
        <v>0.81400000000000006</v>
      </c>
      <c r="H686">
        <v>1.3860000000000001</v>
      </c>
      <c r="I686" s="3" t="s">
        <v>8701</v>
      </c>
    </row>
    <row r="687" spans="1:9" x14ac:dyDescent="0.35">
      <c r="A687" s="3" t="s">
        <v>9395</v>
      </c>
      <c r="B687" s="3" t="s">
        <v>1500</v>
      </c>
      <c r="C687" s="3" t="s">
        <v>1501</v>
      </c>
      <c r="D687">
        <v>49</v>
      </c>
      <c r="E687" s="6">
        <v>45926</v>
      </c>
      <c r="F687">
        <v>100</v>
      </c>
      <c r="G687">
        <v>32.01</v>
      </c>
      <c r="H687">
        <v>0.99</v>
      </c>
      <c r="I687" s="3" t="s">
        <v>8701</v>
      </c>
    </row>
    <row r="688" spans="1:9" x14ac:dyDescent="0.35">
      <c r="A688" s="3" t="s">
        <v>9396</v>
      </c>
      <c r="B688" s="3" t="s">
        <v>1502</v>
      </c>
      <c r="C688" s="3" t="s">
        <v>1503</v>
      </c>
      <c r="D688">
        <v>31</v>
      </c>
      <c r="E688" s="6">
        <v>45944</v>
      </c>
      <c r="F688">
        <v>0</v>
      </c>
      <c r="G688">
        <v>14.4</v>
      </c>
      <c r="H688">
        <v>1.6</v>
      </c>
      <c r="I688" s="3" t="s">
        <v>8756</v>
      </c>
    </row>
    <row r="689" spans="1:9" x14ac:dyDescent="0.35">
      <c r="A689" s="3" t="s">
        <v>9397</v>
      </c>
      <c r="B689" s="3" t="s">
        <v>1504</v>
      </c>
      <c r="C689" s="3" t="s">
        <v>1505</v>
      </c>
      <c r="D689">
        <v>79</v>
      </c>
      <c r="E689" s="6">
        <v>45896</v>
      </c>
      <c r="F689">
        <v>0</v>
      </c>
      <c r="G689">
        <v>0.33200000000000002</v>
      </c>
      <c r="H689">
        <v>7.8E-2</v>
      </c>
      <c r="I689" s="3" t="s">
        <v>8701</v>
      </c>
    </row>
    <row r="690" spans="1:9" x14ac:dyDescent="0.35">
      <c r="A690" s="3" t="s">
        <v>9398</v>
      </c>
      <c r="B690" s="3" t="s">
        <v>1506</v>
      </c>
      <c r="C690" s="3" t="s">
        <v>1507</v>
      </c>
      <c r="D690">
        <v>46</v>
      </c>
      <c r="E690" s="6">
        <v>45929</v>
      </c>
      <c r="F690">
        <v>0</v>
      </c>
      <c r="G690">
        <v>2.133</v>
      </c>
      <c r="H690">
        <v>0.56700000000000006</v>
      </c>
      <c r="I690" s="3" t="s">
        <v>8701</v>
      </c>
    </row>
    <row r="691" spans="1:9" x14ac:dyDescent="0.35">
      <c r="A691" s="3" t="s">
        <v>9399</v>
      </c>
      <c r="B691" s="3" t="s">
        <v>1508</v>
      </c>
      <c r="C691" s="3" t="s">
        <v>1509</v>
      </c>
      <c r="D691">
        <v>955</v>
      </c>
      <c r="E691" s="6">
        <v>45020</v>
      </c>
      <c r="F691">
        <v>0</v>
      </c>
      <c r="G691">
        <v>0</v>
      </c>
      <c r="H691">
        <v>0</v>
      </c>
      <c r="I691" s="3" t="s">
        <v>28</v>
      </c>
    </row>
    <row r="692" spans="1:9" x14ac:dyDescent="0.35">
      <c r="A692" s="3" t="s">
        <v>9400</v>
      </c>
      <c r="B692" s="3" t="s">
        <v>1510</v>
      </c>
      <c r="C692" s="3" t="s">
        <v>1511</v>
      </c>
      <c r="D692">
        <v>99</v>
      </c>
      <c r="E692" s="6">
        <v>45876</v>
      </c>
      <c r="F692">
        <v>0</v>
      </c>
      <c r="G692">
        <v>5.04</v>
      </c>
      <c r="H692">
        <v>1.96</v>
      </c>
      <c r="I692" s="3" t="s">
        <v>8756</v>
      </c>
    </row>
    <row r="693" spans="1:9" x14ac:dyDescent="0.35">
      <c r="A693" s="3" t="s">
        <v>9401</v>
      </c>
      <c r="B693" s="3" t="s">
        <v>1512</v>
      </c>
      <c r="C693" s="3" t="s">
        <v>1513</v>
      </c>
      <c r="D693">
        <v>30</v>
      </c>
      <c r="E693" s="6">
        <v>45945</v>
      </c>
      <c r="F693">
        <v>0</v>
      </c>
      <c r="G693">
        <v>3.024</v>
      </c>
      <c r="H693">
        <v>1.1760000000000002</v>
      </c>
      <c r="I693" s="3" t="s">
        <v>8701</v>
      </c>
    </row>
    <row r="694" spans="1:9" x14ac:dyDescent="0.35">
      <c r="A694" s="3" t="s">
        <v>9402</v>
      </c>
      <c r="B694" s="3" t="s">
        <v>1514</v>
      </c>
      <c r="C694" s="3" t="s">
        <v>1515</v>
      </c>
      <c r="D694">
        <v>25</v>
      </c>
      <c r="E694" s="6">
        <v>45950</v>
      </c>
      <c r="F694">
        <v>0</v>
      </c>
      <c r="G694">
        <v>0.21</v>
      </c>
      <c r="H694">
        <v>1.8900000000000001</v>
      </c>
      <c r="I694" s="3" t="s">
        <v>8701</v>
      </c>
    </row>
    <row r="695" spans="1:9" x14ac:dyDescent="0.35">
      <c r="A695" s="3" t="s">
        <v>9403</v>
      </c>
      <c r="B695" s="3" t="s">
        <v>1516</v>
      </c>
      <c r="C695" s="3" t="s">
        <v>1517</v>
      </c>
      <c r="D695">
        <v>33</v>
      </c>
      <c r="E695" s="6">
        <v>45942</v>
      </c>
      <c r="F695">
        <v>0</v>
      </c>
      <c r="G695">
        <v>45.54</v>
      </c>
      <c r="H695">
        <v>0.46</v>
      </c>
      <c r="I695" s="3" t="s">
        <v>8701</v>
      </c>
    </row>
    <row r="696" spans="1:9" x14ac:dyDescent="0.35">
      <c r="A696" s="3" t="s">
        <v>9404</v>
      </c>
      <c r="B696" s="3" t="s">
        <v>1518</v>
      </c>
      <c r="C696" s="3" t="s">
        <v>1519</v>
      </c>
      <c r="D696">
        <v>955</v>
      </c>
      <c r="E696" s="6">
        <v>45020</v>
      </c>
      <c r="F696">
        <v>0</v>
      </c>
      <c r="G696">
        <v>0</v>
      </c>
      <c r="H696">
        <v>0</v>
      </c>
      <c r="I696" s="3" t="s">
        <v>28</v>
      </c>
    </row>
    <row r="697" spans="1:9" x14ac:dyDescent="0.35">
      <c r="A697" s="3" t="s">
        <v>9405</v>
      </c>
      <c r="B697" s="3" t="s">
        <v>1520</v>
      </c>
      <c r="C697" s="3" t="s">
        <v>1521</v>
      </c>
      <c r="D697">
        <v>3</v>
      </c>
      <c r="E697" s="6">
        <v>45972</v>
      </c>
      <c r="F697">
        <v>20</v>
      </c>
      <c r="G697">
        <v>65.085000000000008</v>
      </c>
      <c r="H697">
        <v>4.899</v>
      </c>
      <c r="I697" s="3" t="s">
        <v>8701</v>
      </c>
    </row>
    <row r="698" spans="1:9" x14ac:dyDescent="0.35">
      <c r="A698" s="3" t="s">
        <v>9406</v>
      </c>
      <c r="B698" s="3" t="s">
        <v>1522</v>
      </c>
      <c r="C698" s="3" t="s">
        <v>1523</v>
      </c>
      <c r="D698">
        <v>87</v>
      </c>
      <c r="E698" s="6">
        <v>45888</v>
      </c>
      <c r="F698">
        <v>8</v>
      </c>
      <c r="G698">
        <v>5.2080000000000002</v>
      </c>
      <c r="H698">
        <v>0.99199999999999999</v>
      </c>
      <c r="I698" s="3" t="s">
        <v>8701</v>
      </c>
    </row>
    <row r="699" spans="1:9" x14ac:dyDescent="0.35">
      <c r="A699" s="3" t="s">
        <v>9164</v>
      </c>
      <c r="B699" s="3" t="s">
        <v>1011</v>
      </c>
      <c r="C699" s="3" t="s">
        <v>1012</v>
      </c>
      <c r="D699">
        <v>1094</v>
      </c>
      <c r="E699" s="6">
        <v>44881</v>
      </c>
      <c r="F699">
        <v>0</v>
      </c>
      <c r="G699">
        <v>1E-3</v>
      </c>
      <c r="H699">
        <v>2.9000000000000001E-2</v>
      </c>
      <c r="I699" s="3" t="s">
        <v>8699</v>
      </c>
    </row>
    <row r="700" spans="1:9" x14ac:dyDescent="0.35">
      <c r="A700" s="3" t="s">
        <v>10075</v>
      </c>
      <c r="B700" s="3" t="s">
        <v>2943</v>
      </c>
      <c r="C700" s="3" t="s">
        <v>2944</v>
      </c>
      <c r="D700">
        <v>1094</v>
      </c>
      <c r="E700" s="6">
        <v>44881</v>
      </c>
      <c r="F700">
        <v>0</v>
      </c>
      <c r="G700">
        <v>1E-3</v>
      </c>
      <c r="H700">
        <v>2.9000000000000001E-2</v>
      </c>
      <c r="I700" s="3" t="s">
        <v>8699</v>
      </c>
    </row>
    <row r="701" spans="1:9" x14ac:dyDescent="0.35">
      <c r="A701" s="3" t="s">
        <v>9409</v>
      </c>
      <c r="B701" s="3" t="s">
        <v>1528</v>
      </c>
      <c r="C701" s="3" t="s">
        <v>1529</v>
      </c>
      <c r="D701">
        <v>386</v>
      </c>
      <c r="E701" s="6">
        <v>45589</v>
      </c>
      <c r="F701">
        <v>0</v>
      </c>
      <c r="G701">
        <v>0.01</v>
      </c>
      <c r="H701">
        <v>0.19</v>
      </c>
      <c r="I701" s="3" t="s">
        <v>8712</v>
      </c>
    </row>
    <row r="702" spans="1:9" x14ac:dyDescent="0.35">
      <c r="A702" s="3" t="s">
        <v>9410</v>
      </c>
      <c r="B702" s="3" t="s">
        <v>1530</v>
      </c>
      <c r="C702" s="3" t="s">
        <v>1531</v>
      </c>
      <c r="D702">
        <v>53</v>
      </c>
      <c r="E702" s="6">
        <v>45922</v>
      </c>
      <c r="F702">
        <v>0</v>
      </c>
      <c r="G702">
        <v>7.29</v>
      </c>
      <c r="H702">
        <v>1.71</v>
      </c>
      <c r="I702" s="3" t="s">
        <v>8738</v>
      </c>
    </row>
    <row r="703" spans="1:9" x14ac:dyDescent="0.35">
      <c r="A703" s="3" t="s">
        <v>9411</v>
      </c>
      <c r="B703" s="3" t="s">
        <v>1532</v>
      </c>
      <c r="C703" s="3" t="s">
        <v>1533</v>
      </c>
      <c r="D703">
        <v>145</v>
      </c>
      <c r="E703" s="6">
        <v>45830</v>
      </c>
      <c r="F703">
        <v>50</v>
      </c>
      <c r="G703">
        <v>14.596</v>
      </c>
      <c r="H703">
        <v>1.804</v>
      </c>
      <c r="I703" s="3" t="s">
        <v>8756</v>
      </c>
    </row>
    <row r="704" spans="1:9" x14ac:dyDescent="0.35">
      <c r="A704" s="3" t="s">
        <v>10105</v>
      </c>
      <c r="B704" s="3" t="s">
        <v>3011</v>
      </c>
      <c r="C704" s="3" t="s">
        <v>3012</v>
      </c>
      <c r="D704">
        <v>1094</v>
      </c>
      <c r="E704" s="6">
        <v>44881</v>
      </c>
      <c r="F704">
        <v>0</v>
      </c>
      <c r="G704">
        <v>1E-3</v>
      </c>
      <c r="H704">
        <v>2.9000000000000001E-2</v>
      </c>
      <c r="I704" s="3" t="s">
        <v>8699</v>
      </c>
    </row>
    <row r="705" spans="1:9" x14ac:dyDescent="0.35">
      <c r="A705" s="3" t="s">
        <v>9413</v>
      </c>
      <c r="B705" s="3" t="s">
        <v>1536</v>
      </c>
      <c r="C705" s="3" t="s">
        <v>1537</v>
      </c>
      <c r="D705">
        <v>45</v>
      </c>
      <c r="E705" s="6">
        <v>45930</v>
      </c>
      <c r="F705">
        <v>0</v>
      </c>
      <c r="G705">
        <v>3.0000000000000001E-3</v>
      </c>
      <c r="H705">
        <v>7.6999999999999999E-2</v>
      </c>
      <c r="I705" s="3" t="s">
        <v>8712</v>
      </c>
    </row>
    <row r="706" spans="1:9" x14ac:dyDescent="0.35">
      <c r="A706" s="3" t="s">
        <v>10400</v>
      </c>
      <c r="B706" s="3" t="s">
        <v>3635</v>
      </c>
      <c r="C706" s="3" t="s">
        <v>3636</v>
      </c>
      <c r="D706">
        <v>1094</v>
      </c>
      <c r="E706" s="6">
        <v>44881</v>
      </c>
      <c r="F706">
        <v>0</v>
      </c>
      <c r="G706">
        <v>0.03</v>
      </c>
      <c r="H706">
        <v>0</v>
      </c>
      <c r="I706" s="3" t="s">
        <v>8699</v>
      </c>
    </row>
    <row r="707" spans="1:9" x14ac:dyDescent="0.35">
      <c r="A707" s="3" t="s">
        <v>9415</v>
      </c>
      <c r="B707" s="3" t="s">
        <v>1540</v>
      </c>
      <c r="C707" s="3" t="s">
        <v>1541</v>
      </c>
      <c r="D707">
        <v>23</v>
      </c>
      <c r="E707" s="6">
        <v>45952</v>
      </c>
      <c r="F707">
        <v>0</v>
      </c>
      <c r="G707">
        <v>0.8</v>
      </c>
      <c r="H707">
        <v>1.2</v>
      </c>
      <c r="I707" s="3" t="s">
        <v>8701</v>
      </c>
    </row>
    <row r="708" spans="1:9" x14ac:dyDescent="0.35">
      <c r="A708" s="3" t="s">
        <v>9416</v>
      </c>
      <c r="B708" s="3" t="s">
        <v>1542</v>
      </c>
      <c r="C708" s="3" t="s">
        <v>1543</v>
      </c>
      <c r="D708">
        <v>49</v>
      </c>
      <c r="E708" s="6">
        <v>45926</v>
      </c>
      <c r="F708">
        <v>0</v>
      </c>
      <c r="G708">
        <v>1.62</v>
      </c>
      <c r="H708">
        <v>1.08</v>
      </c>
      <c r="I708" s="3" t="s">
        <v>8701</v>
      </c>
    </row>
    <row r="709" spans="1:9" x14ac:dyDescent="0.35">
      <c r="A709" s="3" t="s">
        <v>9417</v>
      </c>
      <c r="B709" s="3" t="s">
        <v>1544</v>
      </c>
      <c r="C709" s="3" t="s">
        <v>1545</v>
      </c>
      <c r="D709">
        <v>23</v>
      </c>
      <c r="E709" s="6">
        <v>45952</v>
      </c>
      <c r="F709">
        <v>0</v>
      </c>
      <c r="G709">
        <v>0.875</v>
      </c>
      <c r="H709">
        <v>1.625</v>
      </c>
      <c r="I709" s="3" t="s">
        <v>8756</v>
      </c>
    </row>
    <row r="710" spans="1:9" x14ac:dyDescent="0.35">
      <c r="A710" s="3" t="s">
        <v>9418</v>
      </c>
      <c r="B710" s="3" t="s">
        <v>1546</v>
      </c>
      <c r="C710" s="3" t="s">
        <v>1547</v>
      </c>
      <c r="D710">
        <v>89</v>
      </c>
      <c r="E710" s="6">
        <v>45886</v>
      </c>
      <c r="F710">
        <v>90</v>
      </c>
      <c r="G710">
        <v>0.82500000000000007</v>
      </c>
      <c r="H710">
        <v>1.925</v>
      </c>
      <c r="I710" s="3" t="s">
        <v>8756</v>
      </c>
    </row>
    <row r="711" spans="1:9" x14ac:dyDescent="0.35">
      <c r="A711" s="3" t="s">
        <v>9419</v>
      </c>
      <c r="B711" s="3" t="s">
        <v>1548</v>
      </c>
      <c r="C711" s="3" t="s">
        <v>1549</v>
      </c>
      <c r="D711">
        <v>50</v>
      </c>
      <c r="E711" s="6">
        <v>45925</v>
      </c>
      <c r="F711">
        <v>100</v>
      </c>
      <c r="G711">
        <v>1.9530000000000001</v>
      </c>
      <c r="H711">
        <v>0.14700000000000002</v>
      </c>
      <c r="I711" s="3" t="s">
        <v>8701</v>
      </c>
    </row>
    <row r="712" spans="1:9" x14ac:dyDescent="0.35">
      <c r="A712" s="3" t="s">
        <v>9420</v>
      </c>
      <c r="B712" s="3" t="s">
        <v>1550</v>
      </c>
      <c r="C712" s="3" t="s">
        <v>1551</v>
      </c>
      <c r="D712">
        <v>59</v>
      </c>
      <c r="E712" s="6">
        <v>45916</v>
      </c>
      <c r="F712">
        <v>0</v>
      </c>
      <c r="G712">
        <v>10.66</v>
      </c>
      <c r="H712">
        <v>2.34</v>
      </c>
      <c r="I712" s="3" t="s">
        <v>8756</v>
      </c>
    </row>
    <row r="713" spans="1:9" x14ac:dyDescent="0.35">
      <c r="A713" s="3" t="s">
        <v>9421</v>
      </c>
      <c r="B713" s="3" t="s">
        <v>1552</v>
      </c>
      <c r="C713" s="3" t="s">
        <v>1553</v>
      </c>
      <c r="D713">
        <v>49</v>
      </c>
      <c r="E713" s="6">
        <v>45926</v>
      </c>
      <c r="F713">
        <v>100</v>
      </c>
      <c r="G713">
        <v>47.52</v>
      </c>
      <c r="H713">
        <v>0.48</v>
      </c>
      <c r="I713" s="3" t="s">
        <v>8701</v>
      </c>
    </row>
    <row r="714" spans="1:9" x14ac:dyDescent="0.35">
      <c r="A714" s="3" t="s">
        <v>9422</v>
      </c>
      <c r="B714" s="3" t="s">
        <v>1554</v>
      </c>
      <c r="C714" s="3" t="s">
        <v>1555</v>
      </c>
      <c r="D714">
        <v>53</v>
      </c>
      <c r="E714" s="6">
        <v>45922</v>
      </c>
      <c r="F714">
        <v>0</v>
      </c>
      <c r="G714">
        <v>8.19</v>
      </c>
      <c r="H714">
        <v>0.81</v>
      </c>
      <c r="I714" s="3" t="s">
        <v>8738</v>
      </c>
    </row>
    <row r="715" spans="1:9" x14ac:dyDescent="0.35">
      <c r="A715" s="3" t="s">
        <v>10657</v>
      </c>
      <c r="B715" s="3" t="s">
        <v>4175</v>
      </c>
      <c r="C715" s="3" t="s">
        <v>4176</v>
      </c>
      <c r="D715">
        <v>1094</v>
      </c>
      <c r="E715" s="6">
        <v>44881</v>
      </c>
      <c r="F715">
        <v>0</v>
      </c>
      <c r="G715">
        <v>1E-3</v>
      </c>
      <c r="H715">
        <v>2.9000000000000001E-2</v>
      </c>
      <c r="I715" s="3" t="s">
        <v>8699</v>
      </c>
    </row>
    <row r="716" spans="1:9" x14ac:dyDescent="0.35">
      <c r="A716" s="3" t="s">
        <v>9424</v>
      </c>
      <c r="B716" s="3" t="s">
        <v>1558</v>
      </c>
      <c r="C716" s="3" t="s">
        <v>1559</v>
      </c>
      <c r="D716">
        <v>46</v>
      </c>
      <c r="E716" s="6">
        <v>45929</v>
      </c>
      <c r="F716">
        <v>0</v>
      </c>
      <c r="G716">
        <v>1.786</v>
      </c>
      <c r="H716">
        <v>1.0940000000000001</v>
      </c>
      <c r="I716" s="3" t="s">
        <v>8701</v>
      </c>
    </row>
    <row r="717" spans="1:9" x14ac:dyDescent="0.35">
      <c r="A717" s="3" t="s">
        <v>10697</v>
      </c>
      <c r="B717" s="3" t="s">
        <v>4261</v>
      </c>
      <c r="C717" s="3" t="s">
        <v>4262</v>
      </c>
      <c r="D717">
        <v>1094</v>
      </c>
      <c r="E717" s="6">
        <v>44881</v>
      </c>
      <c r="F717">
        <v>0</v>
      </c>
      <c r="G717">
        <v>2.4</v>
      </c>
      <c r="H717">
        <v>0.6</v>
      </c>
      <c r="I717" s="3" t="s">
        <v>8699</v>
      </c>
    </row>
    <row r="718" spans="1:9" x14ac:dyDescent="0.35">
      <c r="A718" s="3" t="s">
        <v>11108</v>
      </c>
      <c r="B718" s="3" t="s">
        <v>5133</v>
      </c>
      <c r="C718" s="3" t="s">
        <v>5134</v>
      </c>
      <c r="D718">
        <v>1094</v>
      </c>
      <c r="E718" s="6">
        <v>44881</v>
      </c>
      <c r="F718">
        <v>0</v>
      </c>
      <c r="G718">
        <v>1E-3</v>
      </c>
      <c r="H718">
        <v>2.9000000000000001E-2</v>
      </c>
      <c r="I718" s="3" t="s">
        <v>8699</v>
      </c>
    </row>
    <row r="719" spans="1:9" x14ac:dyDescent="0.35">
      <c r="A719" s="3" t="s">
        <v>9427</v>
      </c>
      <c r="B719" s="3" t="s">
        <v>1564</v>
      </c>
      <c r="C719" s="3" t="s">
        <v>1565</v>
      </c>
      <c r="D719">
        <v>158</v>
      </c>
      <c r="E719" s="6">
        <v>45817</v>
      </c>
      <c r="F719">
        <v>100</v>
      </c>
      <c r="G719">
        <v>5.25</v>
      </c>
      <c r="H719">
        <v>1.75</v>
      </c>
      <c r="I719" s="3" t="s">
        <v>8756</v>
      </c>
    </row>
    <row r="720" spans="1:9" x14ac:dyDescent="0.35">
      <c r="A720" s="3" t="s">
        <v>9428</v>
      </c>
      <c r="B720" s="3" t="s">
        <v>1566</v>
      </c>
      <c r="C720" s="3" t="s">
        <v>1567</v>
      </c>
      <c r="D720">
        <v>264</v>
      </c>
      <c r="E720" s="6">
        <v>45711</v>
      </c>
      <c r="F720">
        <v>0</v>
      </c>
      <c r="G720">
        <v>1.02</v>
      </c>
      <c r="H720">
        <v>0.18</v>
      </c>
      <c r="I720" s="3" t="s">
        <v>8756</v>
      </c>
    </row>
    <row r="721" spans="1:9" x14ac:dyDescent="0.35">
      <c r="A721" s="3" t="s">
        <v>9429</v>
      </c>
      <c r="B721" s="3" t="s">
        <v>1568</v>
      </c>
      <c r="C721" s="3" t="s">
        <v>1569</v>
      </c>
      <c r="D721">
        <v>955</v>
      </c>
      <c r="E721" s="6">
        <v>45020</v>
      </c>
      <c r="F721">
        <v>0</v>
      </c>
      <c r="G721">
        <v>0</v>
      </c>
      <c r="H721">
        <v>0</v>
      </c>
      <c r="I721" s="3" t="s">
        <v>28</v>
      </c>
    </row>
    <row r="722" spans="1:9" x14ac:dyDescent="0.35">
      <c r="A722" s="3" t="s">
        <v>11201</v>
      </c>
      <c r="B722" s="3" t="s">
        <v>5330</v>
      </c>
      <c r="C722" s="3" t="s">
        <v>5331</v>
      </c>
      <c r="D722">
        <v>1094</v>
      </c>
      <c r="E722" s="6">
        <v>44881</v>
      </c>
      <c r="F722">
        <v>0</v>
      </c>
      <c r="G722">
        <v>1E-3</v>
      </c>
      <c r="H722">
        <v>2.9000000000000001E-2</v>
      </c>
      <c r="I722" s="3" t="s">
        <v>8699</v>
      </c>
    </row>
    <row r="723" spans="1:9" x14ac:dyDescent="0.35">
      <c r="A723" s="3" t="s">
        <v>9431</v>
      </c>
      <c r="B723" s="3" t="s">
        <v>1572</v>
      </c>
      <c r="C723" s="3" t="s">
        <v>1573</v>
      </c>
      <c r="D723">
        <v>151</v>
      </c>
      <c r="E723" s="6">
        <v>45824</v>
      </c>
      <c r="F723">
        <v>100</v>
      </c>
      <c r="G723">
        <v>5.4270000000000005</v>
      </c>
      <c r="H723">
        <v>0.60299999999999998</v>
      </c>
      <c r="I723" s="3" t="s">
        <v>8756</v>
      </c>
    </row>
    <row r="724" spans="1:9" x14ac:dyDescent="0.35">
      <c r="A724" s="3" t="s">
        <v>9432</v>
      </c>
      <c r="B724" s="3" t="s">
        <v>1574</v>
      </c>
      <c r="C724" s="3" t="s">
        <v>1575</v>
      </c>
      <c r="D724">
        <v>169</v>
      </c>
      <c r="E724" s="6">
        <v>45806</v>
      </c>
      <c r="F724">
        <v>0</v>
      </c>
      <c r="G724">
        <v>43.68</v>
      </c>
      <c r="H724">
        <v>4.32</v>
      </c>
      <c r="I724" s="3" t="s">
        <v>8701</v>
      </c>
    </row>
    <row r="725" spans="1:9" x14ac:dyDescent="0.35">
      <c r="A725" s="3" t="s">
        <v>9433</v>
      </c>
      <c r="B725" s="3" t="s">
        <v>1576</v>
      </c>
      <c r="C725" s="3" t="s">
        <v>1577</v>
      </c>
      <c r="D725">
        <v>102</v>
      </c>
      <c r="E725" s="6">
        <v>45873</v>
      </c>
      <c r="F725">
        <v>0</v>
      </c>
      <c r="G725">
        <v>5.95</v>
      </c>
      <c r="H725">
        <v>1.05</v>
      </c>
      <c r="I725" s="3" t="s">
        <v>8738</v>
      </c>
    </row>
    <row r="726" spans="1:9" x14ac:dyDescent="0.35">
      <c r="A726" s="3" t="s">
        <v>9434</v>
      </c>
      <c r="B726" s="3" t="s">
        <v>1578</v>
      </c>
      <c r="C726" s="3" t="s">
        <v>1579</v>
      </c>
      <c r="D726">
        <v>62</v>
      </c>
      <c r="E726" s="6">
        <v>45913</v>
      </c>
      <c r="F726">
        <v>0</v>
      </c>
      <c r="G726">
        <v>3.9</v>
      </c>
      <c r="H726">
        <v>2.1</v>
      </c>
      <c r="I726" s="3" t="s">
        <v>8701</v>
      </c>
    </row>
    <row r="727" spans="1:9" x14ac:dyDescent="0.35">
      <c r="A727" s="3" t="s">
        <v>9435</v>
      </c>
      <c r="B727" s="3" t="s">
        <v>1580</v>
      </c>
      <c r="C727" s="3" t="s">
        <v>1581</v>
      </c>
      <c r="D727">
        <v>25</v>
      </c>
      <c r="E727" s="6">
        <v>45950</v>
      </c>
      <c r="F727">
        <v>0</v>
      </c>
      <c r="G727">
        <v>19.55</v>
      </c>
      <c r="H727">
        <v>3.45</v>
      </c>
      <c r="I727" s="3" t="s">
        <v>8701</v>
      </c>
    </row>
    <row r="728" spans="1:9" x14ac:dyDescent="0.35">
      <c r="A728" s="3" t="s">
        <v>9436</v>
      </c>
      <c r="B728" s="3" t="s">
        <v>1582</v>
      </c>
      <c r="C728" s="3" t="s">
        <v>1583</v>
      </c>
      <c r="D728">
        <v>61</v>
      </c>
      <c r="E728" s="6">
        <v>45914</v>
      </c>
      <c r="F728">
        <v>0</v>
      </c>
      <c r="G728">
        <v>2.34</v>
      </c>
      <c r="H728">
        <v>0.66</v>
      </c>
      <c r="I728" s="3" t="s">
        <v>8701</v>
      </c>
    </row>
    <row r="729" spans="1:9" x14ac:dyDescent="0.35">
      <c r="A729" s="3" t="s">
        <v>9437</v>
      </c>
      <c r="B729" s="3" t="s">
        <v>1584</v>
      </c>
      <c r="C729" s="3" t="s">
        <v>1585</v>
      </c>
      <c r="D729">
        <v>53</v>
      </c>
      <c r="E729" s="6">
        <v>45922</v>
      </c>
      <c r="F729">
        <v>0</v>
      </c>
      <c r="G729">
        <v>0.75900000000000001</v>
      </c>
      <c r="H729">
        <v>1.5410000000000001</v>
      </c>
      <c r="I729" s="3" t="s">
        <v>8701</v>
      </c>
    </row>
    <row r="730" spans="1:9" x14ac:dyDescent="0.35">
      <c r="A730" s="3" t="s">
        <v>9438</v>
      </c>
      <c r="B730" s="3" t="s">
        <v>1586</v>
      </c>
      <c r="C730" s="3" t="s">
        <v>1587</v>
      </c>
      <c r="D730">
        <v>47</v>
      </c>
      <c r="E730" s="6">
        <v>45928</v>
      </c>
      <c r="F730">
        <v>550</v>
      </c>
      <c r="G730">
        <v>2.85</v>
      </c>
      <c r="H730">
        <v>0.95000000000000007</v>
      </c>
      <c r="I730" s="3" t="s">
        <v>8738</v>
      </c>
    </row>
    <row r="731" spans="1:9" x14ac:dyDescent="0.35">
      <c r="A731" s="3" t="s">
        <v>9439</v>
      </c>
      <c r="B731" s="3" t="s">
        <v>1588</v>
      </c>
      <c r="C731" s="3" t="s">
        <v>1589</v>
      </c>
      <c r="D731">
        <v>316</v>
      </c>
      <c r="E731" s="6">
        <v>45659</v>
      </c>
      <c r="F731">
        <v>0</v>
      </c>
      <c r="G731">
        <v>9.8000000000000007</v>
      </c>
      <c r="H731">
        <v>4.2</v>
      </c>
      <c r="I731" s="3" t="s">
        <v>8705</v>
      </c>
    </row>
    <row r="732" spans="1:9" x14ac:dyDescent="0.35">
      <c r="A732" s="3" t="s">
        <v>11275</v>
      </c>
      <c r="B732" s="3" t="s">
        <v>5485</v>
      </c>
      <c r="C732" s="3" t="s">
        <v>5486</v>
      </c>
      <c r="D732">
        <v>1094</v>
      </c>
      <c r="E732" s="6">
        <v>44881</v>
      </c>
      <c r="F732">
        <v>0</v>
      </c>
      <c r="G732">
        <v>1E-3</v>
      </c>
      <c r="H732">
        <v>2.9000000000000001E-2</v>
      </c>
      <c r="I732" s="3" t="s">
        <v>8699</v>
      </c>
    </row>
    <row r="733" spans="1:9" x14ac:dyDescent="0.35">
      <c r="A733" s="3" t="s">
        <v>9034</v>
      </c>
      <c r="B733" s="3" t="s">
        <v>741</v>
      </c>
      <c r="C733" s="3" t="s">
        <v>742</v>
      </c>
      <c r="D733">
        <v>1101</v>
      </c>
      <c r="E733" s="6">
        <v>44874</v>
      </c>
      <c r="F733">
        <v>0</v>
      </c>
      <c r="G733">
        <v>0</v>
      </c>
      <c r="H733">
        <v>0</v>
      </c>
      <c r="I733" s="3" t="s">
        <v>8699</v>
      </c>
    </row>
    <row r="734" spans="1:9" x14ac:dyDescent="0.35">
      <c r="A734" s="3" t="s">
        <v>9168</v>
      </c>
      <c r="B734" s="3" t="s">
        <v>1019</v>
      </c>
      <c r="C734" s="3" t="s">
        <v>1020</v>
      </c>
      <c r="D734">
        <v>1101</v>
      </c>
      <c r="E734" s="6">
        <v>44874</v>
      </c>
      <c r="F734">
        <v>0</v>
      </c>
      <c r="G734">
        <v>0</v>
      </c>
      <c r="H734">
        <v>0</v>
      </c>
      <c r="I734" s="3" t="s">
        <v>8699</v>
      </c>
    </row>
    <row r="735" spans="1:9" x14ac:dyDescent="0.35">
      <c r="A735" s="3" t="s">
        <v>9443</v>
      </c>
      <c r="B735" s="3" t="s">
        <v>1596</v>
      </c>
      <c r="C735" s="3" t="s">
        <v>1597</v>
      </c>
      <c r="D735">
        <v>29</v>
      </c>
      <c r="E735" s="6">
        <v>45946</v>
      </c>
      <c r="F735">
        <v>10</v>
      </c>
      <c r="G735">
        <v>1.76</v>
      </c>
      <c r="H735">
        <v>0.44</v>
      </c>
      <c r="I735" s="3" t="s">
        <v>8756</v>
      </c>
    </row>
    <row r="736" spans="1:9" x14ac:dyDescent="0.35">
      <c r="A736" s="3" t="s">
        <v>10214</v>
      </c>
      <c r="B736" s="3" t="s">
        <v>3236</v>
      </c>
      <c r="C736" s="3" t="s">
        <v>3237</v>
      </c>
      <c r="D736">
        <v>1101</v>
      </c>
      <c r="E736" s="6">
        <v>44874</v>
      </c>
      <c r="F736">
        <v>0</v>
      </c>
      <c r="G736">
        <v>0</v>
      </c>
      <c r="H736">
        <v>0</v>
      </c>
      <c r="I736" s="3" t="s">
        <v>8699</v>
      </c>
    </row>
    <row r="737" spans="1:9" x14ac:dyDescent="0.35">
      <c r="A737" s="3" t="s">
        <v>10254</v>
      </c>
      <c r="B737" s="3" t="s">
        <v>3318</v>
      </c>
      <c r="C737" s="3" t="s">
        <v>3319</v>
      </c>
      <c r="D737">
        <v>1101</v>
      </c>
      <c r="E737" s="6">
        <v>44874</v>
      </c>
      <c r="F737">
        <v>0</v>
      </c>
      <c r="G737">
        <v>0</v>
      </c>
      <c r="H737">
        <v>0</v>
      </c>
      <c r="I737" s="3" t="s">
        <v>8699</v>
      </c>
    </row>
    <row r="738" spans="1:9" x14ac:dyDescent="0.35">
      <c r="A738" s="3" t="s">
        <v>9446</v>
      </c>
      <c r="B738" s="3" t="s">
        <v>1602</v>
      </c>
      <c r="C738" s="3" t="s">
        <v>1603</v>
      </c>
      <c r="D738">
        <v>4331</v>
      </c>
      <c r="E738" s="6">
        <v>41644</v>
      </c>
      <c r="F738">
        <v>0</v>
      </c>
      <c r="G738">
        <v>0</v>
      </c>
      <c r="H738">
        <v>0</v>
      </c>
      <c r="I738" s="3" t="s">
        <v>28</v>
      </c>
    </row>
    <row r="739" spans="1:9" x14ac:dyDescent="0.35">
      <c r="A739" s="3" t="s">
        <v>10472</v>
      </c>
      <c r="B739" s="3" t="s">
        <v>3788</v>
      </c>
      <c r="C739" s="3" t="s">
        <v>3789</v>
      </c>
      <c r="D739">
        <v>1101</v>
      </c>
      <c r="E739" s="6">
        <v>44874</v>
      </c>
      <c r="F739">
        <v>0</v>
      </c>
      <c r="G739">
        <v>0</v>
      </c>
      <c r="H739">
        <v>0</v>
      </c>
      <c r="I739" s="3" t="s">
        <v>8699</v>
      </c>
    </row>
    <row r="740" spans="1:9" x14ac:dyDescent="0.35">
      <c r="A740" s="3" t="s">
        <v>9448</v>
      </c>
      <c r="B740" s="3" t="s">
        <v>1607</v>
      </c>
      <c r="C740" s="3" t="s">
        <v>1608</v>
      </c>
      <c r="D740">
        <v>4157</v>
      </c>
      <c r="E740" s="6">
        <v>41818</v>
      </c>
      <c r="F740">
        <v>0</v>
      </c>
      <c r="G740">
        <v>0</v>
      </c>
      <c r="H740">
        <v>0</v>
      </c>
      <c r="I740" s="3" t="s">
        <v>28</v>
      </c>
    </row>
    <row r="741" spans="1:9" x14ac:dyDescent="0.35">
      <c r="A741" s="3" t="s">
        <v>9449</v>
      </c>
      <c r="B741" s="3" t="s">
        <v>1609</v>
      </c>
      <c r="C741" s="3" t="s">
        <v>1610</v>
      </c>
      <c r="D741">
        <v>955</v>
      </c>
      <c r="E741" s="6">
        <v>45020</v>
      </c>
      <c r="F741">
        <v>0</v>
      </c>
      <c r="G741">
        <v>0</v>
      </c>
      <c r="H741">
        <v>0</v>
      </c>
      <c r="I741" s="3" t="s">
        <v>28</v>
      </c>
    </row>
    <row r="742" spans="1:9" x14ac:dyDescent="0.35">
      <c r="A742" s="3" t="s">
        <v>10706</v>
      </c>
      <c r="B742" s="3" t="s">
        <v>4283</v>
      </c>
      <c r="C742" s="3" t="s">
        <v>4284</v>
      </c>
      <c r="D742">
        <v>1101</v>
      </c>
      <c r="E742" s="6">
        <v>44874</v>
      </c>
      <c r="F742">
        <v>0</v>
      </c>
      <c r="G742">
        <v>0</v>
      </c>
      <c r="H742">
        <v>0</v>
      </c>
      <c r="I742" s="3" t="s">
        <v>8699</v>
      </c>
    </row>
    <row r="743" spans="1:9" x14ac:dyDescent="0.35">
      <c r="A743" s="3" t="s">
        <v>9451</v>
      </c>
      <c r="B743" s="3" t="s">
        <v>1613</v>
      </c>
      <c r="C743" s="3" t="s">
        <v>1614</v>
      </c>
      <c r="D743">
        <v>58</v>
      </c>
      <c r="E743" s="6">
        <v>45917</v>
      </c>
      <c r="F743">
        <v>0</v>
      </c>
      <c r="G743">
        <v>124.375</v>
      </c>
      <c r="H743">
        <v>0.625</v>
      </c>
      <c r="I743" s="3" t="s">
        <v>8738</v>
      </c>
    </row>
    <row r="744" spans="1:9" x14ac:dyDescent="0.35">
      <c r="A744" s="3" t="s">
        <v>9452</v>
      </c>
      <c r="B744" s="3" t="s">
        <v>1615</v>
      </c>
      <c r="C744" s="3" t="s">
        <v>1616</v>
      </c>
      <c r="D744">
        <v>46</v>
      </c>
      <c r="E744" s="6">
        <v>45929</v>
      </c>
      <c r="F744">
        <v>0</v>
      </c>
      <c r="G744">
        <v>19.080000000000002</v>
      </c>
      <c r="H744">
        <v>0.92</v>
      </c>
      <c r="I744" s="3" t="s">
        <v>8701</v>
      </c>
    </row>
    <row r="745" spans="1:9" x14ac:dyDescent="0.35">
      <c r="A745" s="3" t="s">
        <v>9453</v>
      </c>
      <c r="B745" s="3" t="s">
        <v>1617</v>
      </c>
      <c r="C745" s="3" t="s">
        <v>1618</v>
      </c>
      <c r="D745">
        <v>46</v>
      </c>
      <c r="E745" s="6">
        <v>45929</v>
      </c>
      <c r="F745">
        <v>0</v>
      </c>
      <c r="G745">
        <v>152.88</v>
      </c>
      <c r="H745">
        <v>3.12</v>
      </c>
      <c r="I745" s="3" t="s">
        <v>8701</v>
      </c>
    </row>
    <row r="746" spans="1:9" x14ac:dyDescent="0.35">
      <c r="A746" s="3" t="s">
        <v>9454</v>
      </c>
      <c r="B746" s="3" t="s">
        <v>1619</v>
      </c>
      <c r="C746" s="3" t="s">
        <v>1620</v>
      </c>
      <c r="D746">
        <v>39</v>
      </c>
      <c r="E746" s="6">
        <v>45936</v>
      </c>
      <c r="F746">
        <v>0</v>
      </c>
      <c r="G746">
        <v>7.61</v>
      </c>
      <c r="H746">
        <v>1.8900000000000001</v>
      </c>
      <c r="I746" s="3" t="s">
        <v>8701</v>
      </c>
    </row>
    <row r="747" spans="1:9" x14ac:dyDescent="0.35">
      <c r="A747" s="3" t="s">
        <v>9455</v>
      </c>
      <c r="B747" s="3" t="s">
        <v>1622</v>
      </c>
      <c r="C747" s="3" t="s">
        <v>1623</v>
      </c>
      <c r="D747">
        <v>49</v>
      </c>
      <c r="E747" s="6">
        <v>45926</v>
      </c>
      <c r="F747">
        <v>0</v>
      </c>
      <c r="G747">
        <v>2.3220000000000001</v>
      </c>
      <c r="H747">
        <v>0.378</v>
      </c>
      <c r="I747" s="3" t="s">
        <v>8756</v>
      </c>
    </row>
    <row r="748" spans="1:9" x14ac:dyDescent="0.35">
      <c r="A748" s="3" t="s">
        <v>9456</v>
      </c>
      <c r="B748" s="3" t="s">
        <v>1624</v>
      </c>
      <c r="C748" s="3" t="s">
        <v>1625</v>
      </c>
      <c r="D748">
        <v>385</v>
      </c>
      <c r="E748" s="6">
        <v>45590</v>
      </c>
      <c r="F748">
        <v>0</v>
      </c>
      <c r="G748">
        <v>6.0000000000000001E-3</v>
      </c>
      <c r="H748">
        <v>0.10400000000000001</v>
      </c>
      <c r="I748" s="3" t="s">
        <v>8712</v>
      </c>
    </row>
    <row r="749" spans="1:9" x14ac:dyDescent="0.35">
      <c r="A749" s="3" t="s">
        <v>9457</v>
      </c>
      <c r="B749" s="3" t="s">
        <v>1626</v>
      </c>
      <c r="C749" s="3" t="s">
        <v>1627</v>
      </c>
      <c r="D749">
        <v>59</v>
      </c>
      <c r="E749" s="6">
        <v>45916</v>
      </c>
      <c r="F749">
        <v>0</v>
      </c>
      <c r="G749">
        <v>19.8</v>
      </c>
      <c r="H749">
        <v>2.2000000000000002</v>
      </c>
      <c r="I749" s="3" t="s">
        <v>8756</v>
      </c>
    </row>
    <row r="750" spans="1:9" x14ac:dyDescent="0.35">
      <c r="A750" s="3" t="s">
        <v>9458</v>
      </c>
      <c r="B750" s="3" t="s">
        <v>1628</v>
      </c>
      <c r="C750" s="3" t="s">
        <v>1629</v>
      </c>
      <c r="D750">
        <v>955</v>
      </c>
      <c r="E750" s="6">
        <v>45020</v>
      </c>
      <c r="F750">
        <v>0</v>
      </c>
      <c r="G750">
        <v>0</v>
      </c>
      <c r="H750">
        <v>0</v>
      </c>
      <c r="I750" s="3" t="s">
        <v>28</v>
      </c>
    </row>
    <row r="751" spans="1:9" x14ac:dyDescent="0.35">
      <c r="A751" s="3" t="s">
        <v>9459</v>
      </c>
      <c r="B751" s="3" t="s">
        <v>1630</v>
      </c>
      <c r="C751" s="3" t="s">
        <v>1631</v>
      </c>
      <c r="D751">
        <v>955</v>
      </c>
      <c r="E751" s="6">
        <v>45020</v>
      </c>
      <c r="F751">
        <v>0</v>
      </c>
      <c r="G751">
        <v>0</v>
      </c>
      <c r="H751">
        <v>0</v>
      </c>
      <c r="I751" s="3" t="s">
        <v>28</v>
      </c>
    </row>
    <row r="752" spans="1:9" x14ac:dyDescent="0.35">
      <c r="A752" s="3" t="s">
        <v>10935</v>
      </c>
      <c r="B752" s="3" t="s">
        <v>4758</v>
      </c>
      <c r="C752" s="3" t="s">
        <v>4759</v>
      </c>
      <c r="D752">
        <v>1101</v>
      </c>
      <c r="E752" s="6">
        <v>44874</v>
      </c>
      <c r="F752">
        <v>0</v>
      </c>
      <c r="G752">
        <v>0</v>
      </c>
      <c r="H752">
        <v>0</v>
      </c>
      <c r="I752" s="3" t="s">
        <v>8699</v>
      </c>
    </row>
    <row r="753" spans="1:9" x14ac:dyDescent="0.35">
      <c r="A753" s="3" t="s">
        <v>9461</v>
      </c>
      <c r="B753" s="3" t="s">
        <v>1635</v>
      </c>
      <c r="C753" s="3" t="s">
        <v>1636</v>
      </c>
      <c r="D753">
        <v>100</v>
      </c>
      <c r="E753" s="6">
        <v>45875</v>
      </c>
      <c r="F753">
        <v>0</v>
      </c>
      <c r="G753">
        <v>26.6</v>
      </c>
      <c r="H753">
        <v>1.4000000000000001</v>
      </c>
      <c r="I753" s="3" t="s">
        <v>8701</v>
      </c>
    </row>
    <row r="754" spans="1:9" x14ac:dyDescent="0.35">
      <c r="A754" s="3" t="s">
        <v>11026</v>
      </c>
      <c r="B754" s="3" t="s">
        <v>4962</v>
      </c>
      <c r="C754" s="3" t="s">
        <v>4963</v>
      </c>
      <c r="D754">
        <v>1101</v>
      </c>
      <c r="E754" s="6">
        <v>44874</v>
      </c>
      <c r="F754">
        <v>0</v>
      </c>
      <c r="G754">
        <v>0</v>
      </c>
      <c r="H754">
        <v>0</v>
      </c>
      <c r="I754" s="3" t="s">
        <v>8699</v>
      </c>
    </row>
    <row r="755" spans="1:9" x14ac:dyDescent="0.35">
      <c r="A755" s="3" t="s">
        <v>9463</v>
      </c>
      <c r="B755" s="3" t="s">
        <v>1639</v>
      </c>
      <c r="C755" s="3" t="s">
        <v>1640</v>
      </c>
      <c r="D755">
        <v>897</v>
      </c>
      <c r="E755" s="6">
        <v>45078</v>
      </c>
      <c r="F755">
        <v>0</v>
      </c>
      <c r="G755">
        <v>0</v>
      </c>
      <c r="H755">
        <v>0</v>
      </c>
      <c r="I755" s="3" t="s">
        <v>28</v>
      </c>
    </row>
    <row r="756" spans="1:9" x14ac:dyDescent="0.35">
      <c r="A756" s="3" t="s">
        <v>11027</v>
      </c>
      <c r="B756" s="3" t="s">
        <v>4964</v>
      </c>
      <c r="C756" s="3" t="s">
        <v>4965</v>
      </c>
      <c r="D756">
        <v>1101</v>
      </c>
      <c r="E756" s="6">
        <v>44874</v>
      </c>
      <c r="F756">
        <v>0</v>
      </c>
      <c r="G756">
        <v>0</v>
      </c>
      <c r="H756">
        <v>0</v>
      </c>
      <c r="I756" s="3" t="s">
        <v>8699</v>
      </c>
    </row>
    <row r="757" spans="1:9" x14ac:dyDescent="0.35">
      <c r="A757" s="3" t="s">
        <v>11140</v>
      </c>
      <c r="B757" s="3" t="s">
        <v>5200</v>
      </c>
      <c r="C757" s="3" t="s">
        <v>5201</v>
      </c>
      <c r="D757">
        <v>1101</v>
      </c>
      <c r="E757" s="6">
        <v>44874</v>
      </c>
      <c r="F757">
        <v>0</v>
      </c>
      <c r="G757">
        <v>0</v>
      </c>
      <c r="H757">
        <v>0</v>
      </c>
      <c r="I757" s="3" t="s">
        <v>8699</v>
      </c>
    </row>
    <row r="758" spans="1:9" x14ac:dyDescent="0.35">
      <c r="A758" s="3" t="s">
        <v>9466</v>
      </c>
      <c r="B758" s="3" t="s">
        <v>1645</v>
      </c>
      <c r="C758" s="3" t="s">
        <v>1646</v>
      </c>
      <c r="D758">
        <v>21</v>
      </c>
      <c r="E758" s="6">
        <v>45954</v>
      </c>
      <c r="F758">
        <v>0</v>
      </c>
      <c r="G758">
        <v>12.718</v>
      </c>
      <c r="H758">
        <v>1.3820000000000001</v>
      </c>
      <c r="I758" s="3" t="s">
        <v>8701</v>
      </c>
    </row>
    <row r="759" spans="1:9" x14ac:dyDescent="0.35">
      <c r="A759" s="3" t="s">
        <v>10829</v>
      </c>
      <c r="B759" s="3" t="s">
        <v>4539</v>
      </c>
      <c r="C759" s="3" t="s">
        <v>4540</v>
      </c>
      <c r="D759">
        <v>1110</v>
      </c>
      <c r="E759" s="6">
        <v>44865</v>
      </c>
      <c r="F759">
        <v>0</v>
      </c>
      <c r="G759">
        <v>17.82</v>
      </c>
      <c r="H759">
        <v>0.18</v>
      </c>
      <c r="I759" s="3" t="s">
        <v>8699</v>
      </c>
    </row>
    <row r="760" spans="1:9" x14ac:dyDescent="0.35">
      <c r="A760" s="3" t="s">
        <v>9468</v>
      </c>
      <c r="B760" s="3" t="s">
        <v>1649</v>
      </c>
      <c r="C760" s="3" t="s">
        <v>1650</v>
      </c>
      <c r="D760">
        <v>130</v>
      </c>
      <c r="E760" s="6">
        <v>45845</v>
      </c>
      <c r="F760">
        <v>0</v>
      </c>
      <c r="G760">
        <v>4.0049999999999999</v>
      </c>
      <c r="H760">
        <v>0.995</v>
      </c>
      <c r="I760" s="3" t="s">
        <v>8701</v>
      </c>
    </row>
    <row r="761" spans="1:9" x14ac:dyDescent="0.35">
      <c r="A761" s="3" t="s">
        <v>10342</v>
      </c>
      <c r="B761" s="3" t="s">
        <v>3509</v>
      </c>
      <c r="C761" s="3" t="s">
        <v>3510</v>
      </c>
      <c r="D761">
        <v>1115</v>
      </c>
      <c r="E761" s="6">
        <v>44860</v>
      </c>
      <c r="F761">
        <v>0</v>
      </c>
      <c r="G761">
        <v>9.5549999999999997</v>
      </c>
      <c r="H761">
        <v>5.1450000000000005</v>
      </c>
      <c r="I761" s="3" t="s">
        <v>8699</v>
      </c>
    </row>
    <row r="762" spans="1:9" x14ac:dyDescent="0.35">
      <c r="A762" s="3" t="s">
        <v>11267</v>
      </c>
      <c r="B762" s="3" t="s">
        <v>5469</v>
      </c>
      <c r="C762" s="3" t="s">
        <v>5470</v>
      </c>
      <c r="D762">
        <v>1115</v>
      </c>
      <c r="E762" s="6">
        <v>44860</v>
      </c>
      <c r="F762">
        <v>0</v>
      </c>
      <c r="G762">
        <v>6.58</v>
      </c>
      <c r="H762">
        <v>0.42</v>
      </c>
      <c r="I762" s="3" t="s">
        <v>8699</v>
      </c>
    </row>
    <row r="763" spans="1:9" x14ac:dyDescent="0.35">
      <c r="A763" s="3" t="s">
        <v>9471</v>
      </c>
      <c r="B763" s="3" t="s">
        <v>1655</v>
      </c>
      <c r="C763" s="3" t="s">
        <v>1656</v>
      </c>
      <c r="D763">
        <v>23</v>
      </c>
      <c r="E763" s="6">
        <v>45952</v>
      </c>
      <c r="F763">
        <v>0</v>
      </c>
      <c r="G763">
        <v>1.431</v>
      </c>
      <c r="H763">
        <v>1.2690000000000001</v>
      </c>
      <c r="I763" s="3" t="s">
        <v>8756</v>
      </c>
    </row>
    <row r="764" spans="1:9" x14ac:dyDescent="0.35">
      <c r="A764" s="3" t="s">
        <v>9472</v>
      </c>
      <c r="B764" s="3" t="s">
        <v>1657</v>
      </c>
      <c r="C764" s="3" t="s">
        <v>1658</v>
      </c>
      <c r="D764">
        <v>725</v>
      </c>
      <c r="E764" s="6">
        <v>45250</v>
      </c>
      <c r="F764">
        <v>0</v>
      </c>
      <c r="G764">
        <v>0</v>
      </c>
      <c r="H764">
        <v>0</v>
      </c>
      <c r="I764" s="3" t="s">
        <v>28</v>
      </c>
    </row>
    <row r="765" spans="1:9" x14ac:dyDescent="0.35">
      <c r="A765" s="3" t="s">
        <v>9473</v>
      </c>
      <c r="B765" s="3" t="s">
        <v>1659</v>
      </c>
      <c r="C765" s="3" t="s">
        <v>1660</v>
      </c>
      <c r="D765">
        <v>23</v>
      </c>
      <c r="E765" s="6">
        <v>45952</v>
      </c>
      <c r="F765">
        <v>0</v>
      </c>
      <c r="G765">
        <v>66.3</v>
      </c>
      <c r="H765">
        <v>1.7</v>
      </c>
      <c r="I765" s="3" t="s">
        <v>8738</v>
      </c>
    </row>
    <row r="766" spans="1:9" x14ac:dyDescent="0.35">
      <c r="A766" s="3" t="s">
        <v>10645</v>
      </c>
      <c r="B766" s="3" t="s">
        <v>4151</v>
      </c>
      <c r="C766" s="3" t="s">
        <v>4152</v>
      </c>
      <c r="D766">
        <v>1157</v>
      </c>
      <c r="E766" s="6">
        <v>44818</v>
      </c>
      <c r="F766">
        <v>0</v>
      </c>
      <c r="G766">
        <v>9.4</v>
      </c>
      <c r="H766">
        <v>0.6</v>
      </c>
      <c r="I766" s="3" t="s">
        <v>8699</v>
      </c>
    </row>
    <row r="767" spans="1:9" x14ac:dyDescent="0.35">
      <c r="A767" s="3" t="s">
        <v>9321</v>
      </c>
      <c r="B767" s="3" t="s">
        <v>1344</v>
      </c>
      <c r="C767" s="3" t="s">
        <v>1345</v>
      </c>
      <c r="D767">
        <v>1177</v>
      </c>
      <c r="E767" s="6">
        <v>44798</v>
      </c>
      <c r="F767">
        <v>0</v>
      </c>
      <c r="G767">
        <v>0</v>
      </c>
      <c r="H767">
        <v>0</v>
      </c>
      <c r="I767" s="3" t="s">
        <v>8699</v>
      </c>
    </row>
    <row r="768" spans="1:9" x14ac:dyDescent="0.35">
      <c r="A768" s="3" t="s">
        <v>9476</v>
      </c>
      <c r="B768" s="3" t="s">
        <v>1665</v>
      </c>
      <c r="C768" s="3" t="s">
        <v>1666</v>
      </c>
      <c r="D768">
        <v>107</v>
      </c>
      <c r="E768" s="6">
        <v>45868</v>
      </c>
      <c r="F768">
        <v>0</v>
      </c>
      <c r="G768">
        <v>13.546000000000001</v>
      </c>
      <c r="H768">
        <v>0.56400000000000006</v>
      </c>
      <c r="I768" s="3" t="s">
        <v>8701</v>
      </c>
    </row>
    <row r="769" spans="1:9" x14ac:dyDescent="0.35">
      <c r="A769" s="3" t="s">
        <v>9477</v>
      </c>
      <c r="B769" s="3" t="s">
        <v>1667</v>
      </c>
      <c r="C769" s="3" t="s">
        <v>1668</v>
      </c>
      <c r="D769">
        <v>59</v>
      </c>
      <c r="E769" s="6">
        <v>45916</v>
      </c>
      <c r="F769">
        <v>0</v>
      </c>
      <c r="G769">
        <v>11.666</v>
      </c>
      <c r="H769">
        <v>3.484</v>
      </c>
      <c r="I769" s="3" t="s">
        <v>8701</v>
      </c>
    </row>
    <row r="770" spans="1:9" x14ac:dyDescent="0.35">
      <c r="A770" s="3" t="s">
        <v>9478</v>
      </c>
      <c r="B770" s="3" t="s">
        <v>1669</v>
      </c>
      <c r="C770" s="3" t="s">
        <v>1670</v>
      </c>
      <c r="D770">
        <v>23</v>
      </c>
      <c r="E770" s="6">
        <v>45952</v>
      </c>
      <c r="F770">
        <v>0</v>
      </c>
      <c r="G770">
        <v>6.0000000000000001E-3</v>
      </c>
      <c r="H770">
        <v>0.13400000000000001</v>
      </c>
      <c r="I770" s="3" t="s">
        <v>8712</v>
      </c>
    </row>
    <row r="771" spans="1:9" x14ac:dyDescent="0.35">
      <c r="A771" s="3" t="s">
        <v>9804</v>
      </c>
      <c r="B771" s="3" t="s">
        <v>2367</v>
      </c>
      <c r="C771" s="3" t="s">
        <v>2368</v>
      </c>
      <c r="D771">
        <v>1180</v>
      </c>
      <c r="E771" s="6">
        <v>44795</v>
      </c>
      <c r="F771">
        <v>0</v>
      </c>
      <c r="G771">
        <v>2E-3</v>
      </c>
      <c r="H771">
        <v>6.3E-2</v>
      </c>
      <c r="I771" s="3" t="s">
        <v>8699</v>
      </c>
    </row>
    <row r="772" spans="1:9" x14ac:dyDescent="0.35">
      <c r="A772" s="3" t="s">
        <v>9848</v>
      </c>
      <c r="B772" s="3" t="s">
        <v>2459</v>
      </c>
      <c r="C772" s="3" t="s">
        <v>2460</v>
      </c>
      <c r="D772">
        <v>1180</v>
      </c>
      <c r="E772" s="6">
        <v>44795</v>
      </c>
      <c r="F772">
        <v>0</v>
      </c>
      <c r="G772">
        <v>3.0000000000000001E-3</v>
      </c>
      <c r="H772">
        <v>9.7000000000000003E-2</v>
      </c>
      <c r="I772" s="3" t="s">
        <v>8699</v>
      </c>
    </row>
    <row r="773" spans="1:9" x14ac:dyDescent="0.35">
      <c r="A773" s="3" t="s">
        <v>9481</v>
      </c>
      <c r="B773" s="3" t="s">
        <v>1675</v>
      </c>
      <c r="C773" s="3" t="s">
        <v>1676</v>
      </c>
      <c r="D773">
        <v>7441</v>
      </c>
      <c r="E773" s="6">
        <v>38534</v>
      </c>
      <c r="F773">
        <v>0</v>
      </c>
      <c r="G773">
        <v>7.4999999999999997E-2</v>
      </c>
      <c r="H773">
        <v>0.42500000000000004</v>
      </c>
      <c r="I773" s="3" t="s">
        <v>8712</v>
      </c>
    </row>
    <row r="774" spans="1:9" x14ac:dyDescent="0.35">
      <c r="A774" s="3" t="s">
        <v>9482</v>
      </c>
      <c r="B774" s="3" t="s">
        <v>1677</v>
      </c>
      <c r="C774" s="3" t="s">
        <v>1678</v>
      </c>
      <c r="D774">
        <v>331</v>
      </c>
      <c r="E774" s="6">
        <v>45644</v>
      </c>
      <c r="F774">
        <v>0</v>
      </c>
      <c r="G774">
        <v>8.0000000000000002E-3</v>
      </c>
      <c r="H774">
        <v>0.192</v>
      </c>
      <c r="I774" s="3" t="s">
        <v>8712</v>
      </c>
    </row>
    <row r="775" spans="1:9" x14ac:dyDescent="0.35">
      <c r="A775" s="3" t="s">
        <v>9483</v>
      </c>
      <c r="B775" s="3" t="s">
        <v>1679</v>
      </c>
      <c r="C775" s="3" t="s">
        <v>1680</v>
      </c>
      <c r="D775">
        <v>8779</v>
      </c>
      <c r="E775" s="6">
        <v>37196</v>
      </c>
      <c r="F775">
        <v>0</v>
      </c>
      <c r="G775">
        <v>9.4050000000000011</v>
      </c>
      <c r="H775">
        <v>9.5000000000000001E-2</v>
      </c>
      <c r="I775" s="3" t="s">
        <v>9484</v>
      </c>
    </row>
    <row r="776" spans="1:9" x14ac:dyDescent="0.35">
      <c r="A776" s="3" t="s">
        <v>10917</v>
      </c>
      <c r="B776" s="3" t="s">
        <v>4721</v>
      </c>
      <c r="C776" s="3" t="s">
        <v>4722</v>
      </c>
      <c r="D776">
        <v>1180</v>
      </c>
      <c r="E776" s="6">
        <v>44795</v>
      </c>
      <c r="F776">
        <v>0</v>
      </c>
      <c r="G776">
        <v>3.0000000000000001E-3</v>
      </c>
      <c r="H776">
        <v>9.7000000000000003E-2</v>
      </c>
      <c r="I776" s="3" t="s">
        <v>8699</v>
      </c>
    </row>
    <row r="777" spans="1:9" x14ac:dyDescent="0.35">
      <c r="A777" s="3" t="s">
        <v>11022</v>
      </c>
      <c r="B777" s="3" t="s">
        <v>4954</v>
      </c>
      <c r="C777" s="3" t="s">
        <v>4955</v>
      </c>
      <c r="D777">
        <v>1180</v>
      </c>
      <c r="E777" s="6">
        <v>44795</v>
      </c>
      <c r="F777">
        <v>0</v>
      </c>
      <c r="G777">
        <v>3.0000000000000001E-3</v>
      </c>
      <c r="H777">
        <v>9.7000000000000003E-2</v>
      </c>
      <c r="I777" s="3" t="s">
        <v>8699</v>
      </c>
    </row>
    <row r="778" spans="1:9" x14ac:dyDescent="0.35">
      <c r="A778" s="3" t="s">
        <v>9487</v>
      </c>
      <c r="B778" s="3" t="s">
        <v>1685</v>
      </c>
      <c r="C778" s="3" t="s">
        <v>1686</v>
      </c>
      <c r="D778">
        <v>53</v>
      </c>
      <c r="E778" s="6">
        <v>45922</v>
      </c>
      <c r="F778">
        <v>0</v>
      </c>
      <c r="G778">
        <v>12.32</v>
      </c>
      <c r="H778">
        <v>1.68</v>
      </c>
      <c r="I778" s="3" t="s">
        <v>8756</v>
      </c>
    </row>
    <row r="779" spans="1:9" x14ac:dyDescent="0.35">
      <c r="A779" s="3" t="s">
        <v>11060</v>
      </c>
      <c r="B779" s="3" t="s">
        <v>5033</v>
      </c>
      <c r="C779" s="3" t="s">
        <v>5034</v>
      </c>
      <c r="D779">
        <v>1180</v>
      </c>
      <c r="E779" s="6">
        <v>44795</v>
      </c>
      <c r="F779">
        <v>0</v>
      </c>
      <c r="G779">
        <v>2.82</v>
      </c>
      <c r="H779">
        <v>0.18</v>
      </c>
      <c r="I779" s="3" t="s">
        <v>8699</v>
      </c>
    </row>
    <row r="780" spans="1:9" x14ac:dyDescent="0.35">
      <c r="A780" s="3" t="s">
        <v>9489</v>
      </c>
      <c r="B780" s="3" t="s">
        <v>1689</v>
      </c>
      <c r="C780" s="3" t="s">
        <v>1690</v>
      </c>
      <c r="D780">
        <v>955</v>
      </c>
      <c r="E780" s="6">
        <v>45020</v>
      </c>
      <c r="F780">
        <v>0</v>
      </c>
      <c r="G780">
        <v>0</v>
      </c>
      <c r="H780">
        <v>0</v>
      </c>
      <c r="I780" s="3" t="s">
        <v>28</v>
      </c>
    </row>
    <row r="781" spans="1:9" x14ac:dyDescent="0.35">
      <c r="A781" s="3" t="s">
        <v>11366</v>
      </c>
      <c r="B781" s="3" t="s">
        <v>5674</v>
      </c>
      <c r="C781" s="3" t="s">
        <v>5675</v>
      </c>
      <c r="D781">
        <v>1180</v>
      </c>
      <c r="E781" s="6">
        <v>44795</v>
      </c>
      <c r="F781">
        <v>0</v>
      </c>
      <c r="G781">
        <v>0</v>
      </c>
      <c r="H781">
        <v>0.01</v>
      </c>
      <c r="I781" s="3" t="s">
        <v>8699</v>
      </c>
    </row>
    <row r="782" spans="1:9" x14ac:dyDescent="0.35">
      <c r="A782" s="3" t="s">
        <v>9491</v>
      </c>
      <c r="B782" s="3" t="s">
        <v>1693</v>
      </c>
      <c r="C782" s="3" t="s">
        <v>1694</v>
      </c>
      <c r="D782">
        <v>49</v>
      </c>
      <c r="E782" s="6">
        <v>45926</v>
      </c>
      <c r="F782">
        <v>552</v>
      </c>
      <c r="G782">
        <v>0.16</v>
      </c>
      <c r="H782">
        <v>0.84</v>
      </c>
      <c r="I782" s="3" t="s">
        <v>8703</v>
      </c>
    </row>
    <row r="783" spans="1:9" x14ac:dyDescent="0.35">
      <c r="A783" s="3" t="s">
        <v>9465</v>
      </c>
      <c r="B783" s="3" t="s">
        <v>1643</v>
      </c>
      <c r="C783" s="3" t="s">
        <v>1644</v>
      </c>
      <c r="D783">
        <v>1182</v>
      </c>
      <c r="E783" s="6">
        <v>44793</v>
      </c>
      <c r="F783">
        <v>0</v>
      </c>
      <c r="G783">
        <v>4.0000000000000001E-3</v>
      </c>
      <c r="H783">
        <v>7.5999999999999998E-2</v>
      </c>
      <c r="I783" s="3" t="s">
        <v>8699</v>
      </c>
    </row>
    <row r="784" spans="1:9" x14ac:dyDescent="0.35">
      <c r="A784" s="3" t="s">
        <v>9493</v>
      </c>
      <c r="B784" s="3" t="s">
        <v>1698</v>
      </c>
      <c r="C784" s="3" t="s">
        <v>1699</v>
      </c>
      <c r="D784">
        <v>39</v>
      </c>
      <c r="E784" s="6">
        <v>45936</v>
      </c>
      <c r="F784">
        <v>0</v>
      </c>
      <c r="G784">
        <v>2</v>
      </c>
      <c r="H784">
        <v>3</v>
      </c>
      <c r="I784" s="3" t="s">
        <v>8703</v>
      </c>
    </row>
    <row r="785" spans="1:9" x14ac:dyDescent="0.35">
      <c r="A785" s="3" t="s">
        <v>9494</v>
      </c>
      <c r="B785" s="3" t="s">
        <v>1700</v>
      </c>
      <c r="C785" s="3" t="s">
        <v>1701</v>
      </c>
      <c r="D785">
        <v>15</v>
      </c>
      <c r="E785" s="6">
        <v>45960</v>
      </c>
      <c r="F785">
        <v>0</v>
      </c>
      <c r="G785">
        <v>10.89</v>
      </c>
      <c r="H785">
        <v>0.11</v>
      </c>
      <c r="I785" s="3" t="s">
        <v>8756</v>
      </c>
    </row>
    <row r="786" spans="1:9" x14ac:dyDescent="0.35">
      <c r="A786" s="3" t="s">
        <v>9178</v>
      </c>
      <c r="B786" s="3" t="s">
        <v>1041</v>
      </c>
      <c r="C786" s="3" t="s">
        <v>1042</v>
      </c>
      <c r="D786">
        <v>1199</v>
      </c>
      <c r="E786" s="6">
        <v>44776</v>
      </c>
      <c r="F786">
        <v>50</v>
      </c>
      <c r="G786">
        <v>16.830000000000002</v>
      </c>
      <c r="H786">
        <v>0.17</v>
      </c>
      <c r="I786" s="3" t="s">
        <v>8699</v>
      </c>
    </row>
    <row r="787" spans="1:9" x14ac:dyDescent="0.35">
      <c r="A787" s="3" t="s">
        <v>9591</v>
      </c>
      <c r="B787" s="3" t="s">
        <v>1908</v>
      </c>
      <c r="C787" s="3" t="s">
        <v>1909</v>
      </c>
      <c r="D787">
        <v>1200</v>
      </c>
      <c r="E787" s="6">
        <v>44775</v>
      </c>
      <c r="F787">
        <v>100</v>
      </c>
      <c r="G787">
        <v>5.7869999999999999</v>
      </c>
      <c r="H787">
        <v>0.64300000000000002</v>
      </c>
      <c r="I787" s="3" t="s">
        <v>8699</v>
      </c>
    </row>
    <row r="788" spans="1:9" x14ac:dyDescent="0.35">
      <c r="A788" s="3" t="s">
        <v>9497</v>
      </c>
      <c r="B788" s="3" t="s">
        <v>1706</v>
      </c>
      <c r="C788" s="3" t="s">
        <v>1707</v>
      </c>
      <c r="D788">
        <v>25</v>
      </c>
      <c r="E788" s="6">
        <v>45950</v>
      </c>
      <c r="F788">
        <v>0</v>
      </c>
      <c r="G788">
        <v>8.7000000000000011</v>
      </c>
      <c r="H788">
        <v>1.3</v>
      </c>
      <c r="I788" s="3" t="s">
        <v>8701</v>
      </c>
    </row>
    <row r="789" spans="1:9" x14ac:dyDescent="0.35">
      <c r="A789" s="3" t="s">
        <v>9498</v>
      </c>
      <c r="B789" s="3" t="s">
        <v>1708</v>
      </c>
      <c r="C789" s="3" t="s">
        <v>1709</v>
      </c>
      <c r="D789">
        <v>25</v>
      </c>
      <c r="E789" s="6">
        <v>45950</v>
      </c>
      <c r="F789">
        <v>0</v>
      </c>
      <c r="G789">
        <v>63.050000000000004</v>
      </c>
      <c r="H789">
        <v>1.95</v>
      </c>
      <c r="I789" s="3" t="s">
        <v>8701</v>
      </c>
    </row>
    <row r="790" spans="1:9" x14ac:dyDescent="0.35">
      <c r="A790" s="3" t="s">
        <v>9217</v>
      </c>
      <c r="B790" s="3" t="s">
        <v>1127</v>
      </c>
      <c r="C790" s="3" t="s">
        <v>1128</v>
      </c>
      <c r="D790">
        <v>1225</v>
      </c>
      <c r="E790" s="6">
        <v>44750</v>
      </c>
      <c r="F790">
        <v>0</v>
      </c>
      <c r="G790">
        <v>1.2090000000000001</v>
      </c>
      <c r="H790">
        <v>9.0999999999999998E-2</v>
      </c>
      <c r="I790" s="3" t="s">
        <v>8699</v>
      </c>
    </row>
    <row r="791" spans="1:9" x14ac:dyDescent="0.35">
      <c r="A791" s="3" t="s">
        <v>9500</v>
      </c>
      <c r="B791" s="3" t="s">
        <v>1712</v>
      </c>
      <c r="C791" s="3" t="s">
        <v>1713</v>
      </c>
      <c r="D791">
        <v>361</v>
      </c>
      <c r="E791" s="6">
        <v>45614</v>
      </c>
      <c r="F791">
        <v>0</v>
      </c>
      <c r="G791">
        <v>6.0000000000000001E-3</v>
      </c>
      <c r="H791">
        <v>0.10400000000000001</v>
      </c>
      <c r="I791" s="3" t="s">
        <v>8712</v>
      </c>
    </row>
    <row r="792" spans="1:9" x14ac:dyDescent="0.35">
      <c r="A792" s="3" t="s">
        <v>11189</v>
      </c>
      <c r="B792" s="3" t="s">
        <v>5306</v>
      </c>
      <c r="C792" s="3" t="s">
        <v>5307</v>
      </c>
      <c r="D792">
        <v>1239</v>
      </c>
      <c r="E792" s="6">
        <v>44736</v>
      </c>
      <c r="F792">
        <v>0</v>
      </c>
      <c r="G792">
        <v>24.96</v>
      </c>
      <c r="H792">
        <v>1.04</v>
      </c>
      <c r="I792" s="3" t="s">
        <v>8699</v>
      </c>
    </row>
    <row r="793" spans="1:9" x14ac:dyDescent="0.35">
      <c r="A793" s="3" t="s">
        <v>9502</v>
      </c>
      <c r="B793" s="3" t="s">
        <v>1716</v>
      </c>
      <c r="C793" s="3" t="s">
        <v>1717</v>
      </c>
      <c r="D793">
        <v>955</v>
      </c>
      <c r="E793" s="6">
        <v>45020</v>
      </c>
      <c r="F793">
        <v>0</v>
      </c>
      <c r="G793">
        <v>0</v>
      </c>
      <c r="H793">
        <v>0</v>
      </c>
      <c r="I793" s="3" t="s">
        <v>28</v>
      </c>
    </row>
    <row r="794" spans="1:9" x14ac:dyDescent="0.35">
      <c r="A794" s="3" t="s">
        <v>9503</v>
      </c>
      <c r="B794" s="3" t="s">
        <v>1718</v>
      </c>
      <c r="C794" s="3" t="s">
        <v>1719</v>
      </c>
      <c r="D794">
        <v>955</v>
      </c>
      <c r="E794" s="6">
        <v>45020</v>
      </c>
      <c r="F794">
        <v>0</v>
      </c>
      <c r="G794">
        <v>0</v>
      </c>
      <c r="H794">
        <v>0</v>
      </c>
      <c r="I794" s="3" t="s">
        <v>28</v>
      </c>
    </row>
    <row r="795" spans="1:9" x14ac:dyDescent="0.35">
      <c r="A795" s="3" t="s">
        <v>9504</v>
      </c>
      <c r="B795" s="3" t="s">
        <v>1720</v>
      </c>
      <c r="C795" s="3" t="s">
        <v>1721</v>
      </c>
      <c r="D795">
        <v>17</v>
      </c>
      <c r="E795" s="6">
        <v>45958</v>
      </c>
      <c r="F795">
        <v>0</v>
      </c>
      <c r="G795">
        <v>29.45</v>
      </c>
      <c r="H795">
        <v>1.55</v>
      </c>
      <c r="I795" s="3" t="s">
        <v>8756</v>
      </c>
    </row>
    <row r="796" spans="1:9" x14ac:dyDescent="0.35">
      <c r="A796" s="3" t="s">
        <v>9505</v>
      </c>
      <c r="B796" s="3" t="s">
        <v>1722</v>
      </c>
      <c r="C796" s="3" t="s">
        <v>1723</v>
      </c>
      <c r="D796">
        <v>234</v>
      </c>
      <c r="E796" s="6">
        <v>45741</v>
      </c>
      <c r="F796">
        <v>0</v>
      </c>
      <c r="G796">
        <v>24.7</v>
      </c>
      <c r="H796">
        <v>1.3</v>
      </c>
      <c r="I796" s="3" t="s">
        <v>8701</v>
      </c>
    </row>
    <row r="797" spans="1:9" x14ac:dyDescent="0.35">
      <c r="A797" s="3" t="s">
        <v>10422</v>
      </c>
      <c r="B797" s="3" t="s">
        <v>3683</v>
      </c>
      <c r="C797" s="3" t="s">
        <v>3684</v>
      </c>
      <c r="D797">
        <v>1250</v>
      </c>
      <c r="E797" s="6">
        <v>44725</v>
      </c>
      <c r="F797">
        <v>0</v>
      </c>
      <c r="G797">
        <v>1.2E-2</v>
      </c>
      <c r="H797">
        <v>0.28800000000000003</v>
      </c>
      <c r="I797" s="3" t="s">
        <v>8699</v>
      </c>
    </row>
    <row r="798" spans="1:9" x14ac:dyDescent="0.35">
      <c r="A798" s="3" t="s">
        <v>9507</v>
      </c>
      <c r="B798" s="3" t="s">
        <v>1726</v>
      </c>
      <c r="C798" s="3" t="s">
        <v>1727</v>
      </c>
      <c r="D798">
        <v>45</v>
      </c>
      <c r="E798" s="6">
        <v>45930</v>
      </c>
      <c r="F798">
        <v>100</v>
      </c>
      <c r="G798">
        <v>10.56</v>
      </c>
      <c r="H798">
        <v>1.44</v>
      </c>
      <c r="I798" s="3" t="s">
        <v>8701</v>
      </c>
    </row>
    <row r="799" spans="1:9" x14ac:dyDescent="0.35">
      <c r="A799" s="3" t="s">
        <v>9508</v>
      </c>
      <c r="B799" s="3" t="s">
        <v>1728</v>
      </c>
      <c r="C799" s="3" t="s">
        <v>1729</v>
      </c>
      <c r="D799">
        <v>46</v>
      </c>
      <c r="E799" s="6">
        <v>45929</v>
      </c>
      <c r="F799">
        <v>0</v>
      </c>
      <c r="G799">
        <v>17.28</v>
      </c>
      <c r="H799">
        <v>1.92</v>
      </c>
      <c r="I799" s="3" t="s">
        <v>8738</v>
      </c>
    </row>
    <row r="800" spans="1:9" x14ac:dyDescent="0.35">
      <c r="A800" s="3" t="s">
        <v>9509</v>
      </c>
      <c r="B800" s="3" t="s">
        <v>1730</v>
      </c>
      <c r="C800" s="3" t="s">
        <v>1731</v>
      </c>
      <c r="D800">
        <v>152</v>
      </c>
      <c r="E800" s="6">
        <v>45823</v>
      </c>
      <c r="F800">
        <v>100</v>
      </c>
      <c r="G800">
        <v>5.5630000000000006</v>
      </c>
      <c r="H800">
        <v>0.68700000000000006</v>
      </c>
      <c r="I800" s="3" t="s">
        <v>8756</v>
      </c>
    </row>
    <row r="801" spans="1:9" x14ac:dyDescent="0.35">
      <c r="A801" s="3" t="s">
        <v>11240</v>
      </c>
      <c r="B801" s="3" t="s">
        <v>5409</v>
      </c>
      <c r="C801" s="3" t="s">
        <v>5410</v>
      </c>
      <c r="D801">
        <v>1250</v>
      </c>
      <c r="E801" s="6">
        <v>44725</v>
      </c>
      <c r="F801">
        <v>0</v>
      </c>
      <c r="G801">
        <v>8.0000000000000002E-3</v>
      </c>
      <c r="H801">
        <v>0.192</v>
      </c>
      <c r="I801" s="3" t="s">
        <v>8699</v>
      </c>
    </row>
    <row r="802" spans="1:9" x14ac:dyDescent="0.35">
      <c r="A802" s="3" t="s">
        <v>10321</v>
      </c>
      <c r="B802" s="3" t="s">
        <v>3466</v>
      </c>
      <c r="C802" s="3" t="s">
        <v>3467</v>
      </c>
      <c r="D802">
        <v>1262</v>
      </c>
      <c r="E802" s="6">
        <v>44713</v>
      </c>
      <c r="F802">
        <v>0</v>
      </c>
      <c r="G802">
        <v>24.5</v>
      </c>
      <c r="H802">
        <v>0.5</v>
      </c>
      <c r="I802" s="3" t="s">
        <v>8699</v>
      </c>
    </row>
    <row r="803" spans="1:9" x14ac:dyDescent="0.35">
      <c r="A803" s="3" t="s">
        <v>10532</v>
      </c>
      <c r="B803" s="3" t="s">
        <v>3917</v>
      </c>
      <c r="C803" s="3" t="s">
        <v>3918</v>
      </c>
      <c r="D803">
        <v>1268</v>
      </c>
      <c r="E803" s="6">
        <v>44707</v>
      </c>
      <c r="F803">
        <v>0</v>
      </c>
      <c r="G803">
        <v>3.0000000000000001E-3</v>
      </c>
      <c r="H803">
        <v>9.7000000000000003E-2</v>
      </c>
      <c r="I803" s="3" t="s">
        <v>8699</v>
      </c>
    </row>
    <row r="804" spans="1:9" x14ac:dyDescent="0.35">
      <c r="A804" s="3" t="s">
        <v>9513</v>
      </c>
      <c r="B804" s="3" t="s">
        <v>1738</v>
      </c>
      <c r="C804" s="3" t="s">
        <v>1739</v>
      </c>
      <c r="D804">
        <v>100</v>
      </c>
      <c r="E804" s="6">
        <v>45875</v>
      </c>
      <c r="F804">
        <v>0</v>
      </c>
      <c r="G804">
        <v>5.67</v>
      </c>
      <c r="H804">
        <v>2.4300000000000002</v>
      </c>
      <c r="I804" s="3" t="s">
        <v>8701</v>
      </c>
    </row>
    <row r="805" spans="1:9" x14ac:dyDescent="0.35">
      <c r="A805" s="3" t="s">
        <v>9514</v>
      </c>
      <c r="B805" s="3" t="s">
        <v>1740</v>
      </c>
      <c r="C805" s="3" t="s">
        <v>1741</v>
      </c>
      <c r="D805">
        <v>5603</v>
      </c>
      <c r="E805" s="6">
        <v>40372</v>
      </c>
      <c r="F805">
        <v>0</v>
      </c>
      <c r="G805">
        <v>0</v>
      </c>
      <c r="H805">
        <v>0</v>
      </c>
      <c r="I805" s="3" t="s">
        <v>28</v>
      </c>
    </row>
    <row r="806" spans="1:9" x14ac:dyDescent="0.35">
      <c r="A806" s="3" t="s">
        <v>9515</v>
      </c>
      <c r="B806" s="3" t="s">
        <v>1742</v>
      </c>
      <c r="C806" s="3" t="s">
        <v>1743</v>
      </c>
      <c r="D806">
        <v>726</v>
      </c>
      <c r="E806" s="6">
        <v>45249</v>
      </c>
      <c r="F806">
        <v>0</v>
      </c>
      <c r="G806">
        <v>0</v>
      </c>
      <c r="H806">
        <v>0</v>
      </c>
      <c r="I806" s="3" t="s">
        <v>28</v>
      </c>
    </row>
    <row r="807" spans="1:9" x14ac:dyDescent="0.35">
      <c r="A807" s="3" t="s">
        <v>9516</v>
      </c>
      <c r="B807" s="3" t="s">
        <v>1744</v>
      </c>
      <c r="C807" s="3" t="s">
        <v>1745</v>
      </c>
      <c r="D807">
        <v>726</v>
      </c>
      <c r="E807" s="6">
        <v>45249</v>
      </c>
      <c r="F807">
        <v>0</v>
      </c>
      <c r="G807">
        <v>0</v>
      </c>
      <c r="H807">
        <v>0</v>
      </c>
      <c r="I807" s="3" t="s">
        <v>28</v>
      </c>
    </row>
    <row r="808" spans="1:9" x14ac:dyDescent="0.35">
      <c r="A808" s="3" t="s">
        <v>10565</v>
      </c>
      <c r="B808" s="3" t="s">
        <v>3984</v>
      </c>
      <c r="C808" s="3" t="s">
        <v>3985</v>
      </c>
      <c r="D808">
        <v>1268</v>
      </c>
      <c r="E808" s="6">
        <v>44707</v>
      </c>
      <c r="F808">
        <v>0</v>
      </c>
      <c r="G808">
        <v>3.0000000000000001E-3</v>
      </c>
      <c r="H808">
        <v>9.7000000000000003E-2</v>
      </c>
      <c r="I808" s="3" t="s">
        <v>8699</v>
      </c>
    </row>
    <row r="809" spans="1:9" x14ac:dyDescent="0.35">
      <c r="A809" s="3" t="s">
        <v>9518</v>
      </c>
      <c r="B809" s="3" t="s">
        <v>1748</v>
      </c>
      <c r="C809" s="3" t="s">
        <v>1749</v>
      </c>
      <c r="D809">
        <v>190</v>
      </c>
      <c r="E809" s="6">
        <v>45785</v>
      </c>
      <c r="F809">
        <v>0</v>
      </c>
      <c r="G809">
        <v>3.0000000000000001E-3</v>
      </c>
      <c r="H809">
        <v>6.7000000000000004E-2</v>
      </c>
      <c r="I809" s="3" t="s">
        <v>8712</v>
      </c>
    </row>
    <row r="810" spans="1:9" x14ac:dyDescent="0.35">
      <c r="A810" s="3" t="s">
        <v>9519</v>
      </c>
      <c r="B810" s="3" t="s">
        <v>1750</v>
      </c>
      <c r="C810" s="3" t="s">
        <v>1751</v>
      </c>
      <c r="D810">
        <v>23</v>
      </c>
      <c r="E810" s="6">
        <v>45952</v>
      </c>
      <c r="F810">
        <v>0</v>
      </c>
      <c r="G810">
        <v>4.0000000000000001E-3</v>
      </c>
      <c r="H810">
        <v>9.6000000000000002E-2</v>
      </c>
      <c r="I810" s="3" t="s">
        <v>8712</v>
      </c>
    </row>
    <row r="811" spans="1:9" x14ac:dyDescent="0.35">
      <c r="A811" s="3" t="s">
        <v>9520</v>
      </c>
      <c r="B811" s="3" t="s">
        <v>1752</v>
      </c>
      <c r="C811" s="3" t="s">
        <v>1753</v>
      </c>
      <c r="D811">
        <v>62</v>
      </c>
      <c r="E811" s="6">
        <v>45913</v>
      </c>
      <c r="F811">
        <v>0</v>
      </c>
      <c r="G811">
        <v>2.84</v>
      </c>
      <c r="H811">
        <v>1.1599999999999999</v>
      </c>
      <c r="I811" s="3" t="s">
        <v>8701</v>
      </c>
    </row>
    <row r="812" spans="1:9" x14ac:dyDescent="0.35">
      <c r="A812" s="3" t="s">
        <v>9521</v>
      </c>
      <c r="B812" s="3" t="s">
        <v>1754</v>
      </c>
      <c r="C812" s="3" t="s">
        <v>1755</v>
      </c>
      <c r="D812">
        <v>25</v>
      </c>
      <c r="E812" s="6">
        <v>45950</v>
      </c>
      <c r="F812">
        <v>0</v>
      </c>
      <c r="G812">
        <v>0.12100000000000001</v>
      </c>
      <c r="H812">
        <v>1.089</v>
      </c>
      <c r="I812" s="3" t="s">
        <v>8701</v>
      </c>
    </row>
    <row r="813" spans="1:9" x14ac:dyDescent="0.35">
      <c r="A813" s="3" t="s">
        <v>11378</v>
      </c>
      <c r="B813" s="3" t="s">
        <v>5698</v>
      </c>
      <c r="C813" s="3" t="s">
        <v>5699</v>
      </c>
      <c r="D813">
        <v>1268</v>
      </c>
      <c r="E813" s="6">
        <v>44707</v>
      </c>
      <c r="F813">
        <v>0</v>
      </c>
      <c r="G813">
        <v>3.0000000000000001E-3</v>
      </c>
      <c r="H813">
        <v>9.7000000000000003E-2</v>
      </c>
      <c r="I813" s="3" t="s">
        <v>8699</v>
      </c>
    </row>
    <row r="814" spans="1:9" x14ac:dyDescent="0.35">
      <c r="A814" s="3" t="s">
        <v>8854</v>
      </c>
      <c r="B814" s="3" t="s">
        <v>364</v>
      </c>
      <c r="C814" s="3" t="s">
        <v>365</v>
      </c>
      <c r="D814">
        <v>1271</v>
      </c>
      <c r="E814" s="6">
        <v>44704</v>
      </c>
      <c r="F814">
        <v>0</v>
      </c>
      <c r="G814">
        <v>3.0000000000000001E-3</v>
      </c>
      <c r="H814">
        <v>9.7000000000000003E-2</v>
      </c>
      <c r="I814" s="3" t="s">
        <v>8699</v>
      </c>
    </row>
    <row r="815" spans="1:9" x14ac:dyDescent="0.35">
      <c r="A815" s="3" t="s">
        <v>9524</v>
      </c>
      <c r="B815" s="3" t="s">
        <v>1763</v>
      </c>
      <c r="C815" s="3" t="s">
        <v>1764</v>
      </c>
      <c r="D815">
        <v>17</v>
      </c>
      <c r="E815" s="6">
        <v>45958</v>
      </c>
      <c r="F815">
        <v>0</v>
      </c>
      <c r="G815">
        <v>19.32</v>
      </c>
      <c r="H815">
        <v>1.68</v>
      </c>
      <c r="I815" s="3" t="s">
        <v>8756</v>
      </c>
    </row>
    <row r="816" spans="1:9" x14ac:dyDescent="0.35">
      <c r="A816" s="3" t="s">
        <v>9525</v>
      </c>
      <c r="B816" s="3" t="s">
        <v>1765</v>
      </c>
      <c r="C816" s="3" t="s">
        <v>1766</v>
      </c>
      <c r="D816">
        <v>378</v>
      </c>
      <c r="E816" s="6">
        <v>45597</v>
      </c>
      <c r="F816">
        <v>0</v>
      </c>
      <c r="G816">
        <v>1E-3</v>
      </c>
      <c r="H816">
        <v>2.9000000000000001E-2</v>
      </c>
      <c r="I816" s="3" t="s">
        <v>8712</v>
      </c>
    </row>
    <row r="817" spans="1:9" x14ac:dyDescent="0.35">
      <c r="A817" s="3" t="s">
        <v>9526</v>
      </c>
      <c r="B817" s="3" t="s">
        <v>1767</v>
      </c>
      <c r="C817" s="3" t="s">
        <v>1768</v>
      </c>
      <c r="D817">
        <v>22</v>
      </c>
      <c r="E817" s="6">
        <v>45953</v>
      </c>
      <c r="F817">
        <v>50</v>
      </c>
      <c r="G817">
        <v>20.900000000000002</v>
      </c>
      <c r="H817">
        <v>1.1000000000000001</v>
      </c>
      <c r="I817" s="3" t="s">
        <v>8701</v>
      </c>
    </row>
    <row r="818" spans="1:9" x14ac:dyDescent="0.35">
      <c r="A818" s="3" t="s">
        <v>9071</v>
      </c>
      <c r="B818" s="3" t="s">
        <v>822</v>
      </c>
      <c r="C818" s="3" t="s">
        <v>823</v>
      </c>
      <c r="D818">
        <v>1271</v>
      </c>
      <c r="E818" s="6">
        <v>44704</v>
      </c>
      <c r="F818">
        <v>0</v>
      </c>
      <c r="G818">
        <v>3.0000000000000001E-3</v>
      </c>
      <c r="H818">
        <v>9.7000000000000003E-2</v>
      </c>
      <c r="I818" s="3" t="s">
        <v>8699</v>
      </c>
    </row>
    <row r="819" spans="1:9" x14ac:dyDescent="0.35">
      <c r="A819" s="3" t="s">
        <v>9528</v>
      </c>
      <c r="B819" s="3" t="s">
        <v>1771</v>
      </c>
      <c r="C819" s="3" t="s">
        <v>1772</v>
      </c>
      <c r="D819">
        <v>955</v>
      </c>
      <c r="E819" s="6">
        <v>45020</v>
      </c>
      <c r="F819">
        <v>0</v>
      </c>
      <c r="G819">
        <v>0</v>
      </c>
      <c r="H819">
        <v>0</v>
      </c>
      <c r="I819" s="3" t="s">
        <v>28</v>
      </c>
    </row>
    <row r="820" spans="1:9" x14ac:dyDescent="0.35">
      <c r="A820" s="3" t="s">
        <v>9529</v>
      </c>
      <c r="B820" s="3" t="s">
        <v>1773</v>
      </c>
      <c r="C820" s="3" t="s">
        <v>1774</v>
      </c>
      <c r="D820">
        <v>3</v>
      </c>
      <c r="E820" s="6">
        <v>45972</v>
      </c>
      <c r="F820">
        <v>500</v>
      </c>
      <c r="G820">
        <v>0.8</v>
      </c>
      <c r="H820">
        <v>1.2</v>
      </c>
      <c r="I820" s="3" t="s">
        <v>8756</v>
      </c>
    </row>
    <row r="821" spans="1:9" x14ac:dyDescent="0.35">
      <c r="A821" s="3" t="s">
        <v>9318</v>
      </c>
      <c r="B821" s="3" t="s">
        <v>1338</v>
      </c>
      <c r="C821" s="3" t="s">
        <v>1339</v>
      </c>
      <c r="D821">
        <v>1271</v>
      </c>
      <c r="E821" s="6">
        <v>44704</v>
      </c>
      <c r="F821">
        <v>0</v>
      </c>
      <c r="G821">
        <v>3.0000000000000001E-3</v>
      </c>
      <c r="H821">
        <v>9.7000000000000003E-2</v>
      </c>
      <c r="I821" s="3" t="s">
        <v>8699</v>
      </c>
    </row>
    <row r="822" spans="1:9" x14ac:dyDescent="0.35">
      <c r="A822" s="3" t="s">
        <v>9531</v>
      </c>
      <c r="B822" s="3" t="s">
        <v>1777</v>
      </c>
      <c r="C822" s="3" t="s">
        <v>1778</v>
      </c>
      <c r="D822">
        <v>955</v>
      </c>
      <c r="E822" s="6">
        <v>45020</v>
      </c>
      <c r="F822">
        <v>0</v>
      </c>
      <c r="G822">
        <v>0</v>
      </c>
      <c r="H822">
        <v>0</v>
      </c>
      <c r="I822" s="3" t="s">
        <v>28</v>
      </c>
    </row>
    <row r="823" spans="1:9" x14ac:dyDescent="0.35">
      <c r="A823" s="3" t="s">
        <v>9532</v>
      </c>
      <c r="B823" s="3" t="s">
        <v>1779</v>
      </c>
      <c r="C823" s="3" t="s">
        <v>1780</v>
      </c>
      <c r="D823">
        <v>955</v>
      </c>
      <c r="E823" s="6">
        <v>45020</v>
      </c>
      <c r="F823">
        <v>0</v>
      </c>
      <c r="G823">
        <v>0</v>
      </c>
      <c r="H823">
        <v>0</v>
      </c>
      <c r="I823" s="3" t="s">
        <v>28</v>
      </c>
    </row>
    <row r="824" spans="1:9" x14ac:dyDescent="0.35">
      <c r="A824" s="3" t="s">
        <v>9441</v>
      </c>
      <c r="B824" s="3" t="s">
        <v>1592</v>
      </c>
      <c r="C824" s="3" t="s">
        <v>1593</v>
      </c>
      <c r="D824">
        <v>1271</v>
      </c>
      <c r="E824" s="6">
        <v>44704</v>
      </c>
      <c r="F824">
        <v>0</v>
      </c>
      <c r="G824">
        <v>4.0000000000000001E-3</v>
      </c>
      <c r="H824">
        <v>0.11600000000000001</v>
      </c>
      <c r="I824" s="3" t="s">
        <v>8699</v>
      </c>
    </row>
    <row r="825" spans="1:9" x14ac:dyDescent="0.35">
      <c r="A825" s="3" t="s">
        <v>9534</v>
      </c>
      <c r="B825" s="3" t="s">
        <v>1784</v>
      </c>
      <c r="C825" s="3" t="s">
        <v>1785</v>
      </c>
      <c r="D825">
        <v>108</v>
      </c>
      <c r="E825" s="6">
        <v>45867</v>
      </c>
      <c r="F825">
        <v>100</v>
      </c>
      <c r="G825">
        <v>5.4</v>
      </c>
      <c r="H825">
        <v>0.6</v>
      </c>
      <c r="I825" s="3" t="s">
        <v>8729</v>
      </c>
    </row>
    <row r="826" spans="1:9" x14ac:dyDescent="0.35">
      <c r="A826" s="3" t="s">
        <v>9875</v>
      </c>
      <c r="B826" s="3" t="s">
        <v>2513</v>
      </c>
      <c r="C826" s="3" t="s">
        <v>2514</v>
      </c>
      <c r="D826">
        <v>1271</v>
      </c>
      <c r="E826" s="6">
        <v>44704</v>
      </c>
      <c r="F826">
        <v>0</v>
      </c>
      <c r="G826">
        <v>3.0000000000000001E-3</v>
      </c>
      <c r="H826">
        <v>9.7000000000000003E-2</v>
      </c>
      <c r="I826" s="3" t="s">
        <v>8699</v>
      </c>
    </row>
    <row r="827" spans="1:9" x14ac:dyDescent="0.35">
      <c r="A827" s="3" t="s">
        <v>9536</v>
      </c>
      <c r="B827" s="3" t="s">
        <v>1788</v>
      </c>
      <c r="C827" s="3" t="s">
        <v>1789</v>
      </c>
      <c r="D827">
        <v>23</v>
      </c>
      <c r="E827" s="6">
        <v>45952</v>
      </c>
      <c r="F827">
        <v>0</v>
      </c>
      <c r="G827">
        <v>4.0000000000000001E-3</v>
      </c>
      <c r="H827">
        <v>9.6000000000000002E-2</v>
      </c>
      <c r="I827" s="3" t="s">
        <v>8712</v>
      </c>
    </row>
    <row r="828" spans="1:9" x14ac:dyDescent="0.35">
      <c r="A828" s="3" t="s">
        <v>9537</v>
      </c>
      <c r="B828" s="3" t="s">
        <v>1790</v>
      </c>
      <c r="C828" s="3" t="s">
        <v>1791</v>
      </c>
      <c r="D828">
        <v>358</v>
      </c>
      <c r="E828" s="6">
        <v>45617</v>
      </c>
      <c r="F828">
        <v>0</v>
      </c>
      <c r="G828">
        <v>75.460000000000008</v>
      </c>
      <c r="H828">
        <v>1.54</v>
      </c>
      <c r="I828" s="3" t="s">
        <v>8701</v>
      </c>
    </row>
    <row r="829" spans="1:9" x14ac:dyDescent="0.35">
      <c r="A829" s="3" t="s">
        <v>9538</v>
      </c>
      <c r="B829" s="3" t="s">
        <v>1792</v>
      </c>
      <c r="C829" s="3" t="s">
        <v>1793</v>
      </c>
      <c r="D829">
        <v>46</v>
      </c>
      <c r="E829" s="6">
        <v>45929</v>
      </c>
      <c r="F829">
        <v>0</v>
      </c>
      <c r="G829">
        <v>16.898</v>
      </c>
      <c r="H829">
        <v>0.10200000000000001</v>
      </c>
      <c r="I829" s="3" t="s">
        <v>8756</v>
      </c>
    </row>
    <row r="830" spans="1:9" x14ac:dyDescent="0.35">
      <c r="A830" s="3" t="s">
        <v>9539</v>
      </c>
      <c r="B830" s="3" t="s">
        <v>1795</v>
      </c>
      <c r="C830" s="3" t="s">
        <v>1796</v>
      </c>
      <c r="D830">
        <v>46</v>
      </c>
      <c r="E830" s="6">
        <v>45929</v>
      </c>
      <c r="F830">
        <v>0</v>
      </c>
      <c r="G830">
        <v>10.790000000000001</v>
      </c>
      <c r="H830">
        <v>2.21</v>
      </c>
      <c r="I830" s="3" t="s">
        <v>8756</v>
      </c>
    </row>
    <row r="831" spans="1:9" x14ac:dyDescent="0.35">
      <c r="A831" s="3" t="s">
        <v>9540</v>
      </c>
      <c r="B831" s="3" t="s">
        <v>1800</v>
      </c>
      <c r="C831" s="3" t="s">
        <v>1801</v>
      </c>
      <c r="D831">
        <v>9052</v>
      </c>
      <c r="E831" s="6">
        <v>36923</v>
      </c>
      <c r="F831">
        <v>0</v>
      </c>
      <c r="G831">
        <v>0.37</v>
      </c>
      <c r="H831">
        <v>7.03</v>
      </c>
      <c r="I831" s="3" t="s">
        <v>8701</v>
      </c>
    </row>
    <row r="832" spans="1:9" x14ac:dyDescent="0.35">
      <c r="A832" s="3" t="s">
        <v>9541</v>
      </c>
      <c r="B832" s="3" t="s">
        <v>1803</v>
      </c>
      <c r="C832" s="3" t="s">
        <v>1804</v>
      </c>
      <c r="D832">
        <v>46</v>
      </c>
      <c r="E832" s="6">
        <v>45929</v>
      </c>
      <c r="F832">
        <v>0</v>
      </c>
      <c r="G832">
        <v>14.535</v>
      </c>
      <c r="H832">
        <v>2.4650000000000003</v>
      </c>
      <c r="I832" s="3" t="s">
        <v>8738</v>
      </c>
    </row>
    <row r="833" spans="1:9" x14ac:dyDescent="0.35">
      <c r="A833" s="3" t="s">
        <v>9542</v>
      </c>
      <c r="B833" s="3" t="s">
        <v>1805</v>
      </c>
      <c r="C833" s="3" t="s">
        <v>1806</v>
      </c>
      <c r="D833">
        <v>955</v>
      </c>
      <c r="E833" s="6">
        <v>45020</v>
      </c>
      <c r="F833">
        <v>0</v>
      </c>
      <c r="G833">
        <v>0</v>
      </c>
      <c r="H833">
        <v>0</v>
      </c>
      <c r="I833" s="3" t="s">
        <v>28</v>
      </c>
    </row>
    <row r="834" spans="1:9" x14ac:dyDescent="0.35">
      <c r="A834" s="3" t="s">
        <v>9543</v>
      </c>
      <c r="B834" s="3" t="s">
        <v>1807</v>
      </c>
      <c r="C834" s="3" t="s">
        <v>1808</v>
      </c>
      <c r="D834">
        <v>44</v>
      </c>
      <c r="E834" s="6">
        <v>45931</v>
      </c>
      <c r="F834">
        <v>50</v>
      </c>
      <c r="G834">
        <v>5.3000000000000005E-2</v>
      </c>
      <c r="H834">
        <v>2.597</v>
      </c>
      <c r="I834" s="3" t="s">
        <v>8701</v>
      </c>
    </row>
    <row r="835" spans="1:9" x14ac:dyDescent="0.35">
      <c r="A835" s="3" t="s">
        <v>10065</v>
      </c>
      <c r="B835" s="3" t="s">
        <v>2919</v>
      </c>
      <c r="C835" s="3" t="s">
        <v>2920</v>
      </c>
      <c r="D835">
        <v>1271</v>
      </c>
      <c r="E835" s="6">
        <v>44704</v>
      </c>
      <c r="F835">
        <v>0</v>
      </c>
      <c r="G835">
        <v>3.0000000000000001E-3</v>
      </c>
      <c r="H835">
        <v>9.7000000000000003E-2</v>
      </c>
      <c r="I835" s="3" t="s">
        <v>8699</v>
      </c>
    </row>
    <row r="836" spans="1:9" x14ac:dyDescent="0.35">
      <c r="A836" s="3" t="s">
        <v>9545</v>
      </c>
      <c r="B836" s="3" t="s">
        <v>1815</v>
      </c>
      <c r="C836" s="3" t="s">
        <v>1816</v>
      </c>
      <c r="D836">
        <v>170</v>
      </c>
      <c r="E836" s="6">
        <v>45805</v>
      </c>
      <c r="F836">
        <v>100</v>
      </c>
      <c r="G836">
        <v>0.25</v>
      </c>
      <c r="H836">
        <v>0.75</v>
      </c>
      <c r="I836" s="3" t="s">
        <v>8705</v>
      </c>
    </row>
    <row r="837" spans="1:9" x14ac:dyDescent="0.35">
      <c r="A837" s="3" t="s">
        <v>9546</v>
      </c>
      <c r="B837" s="3" t="s">
        <v>1817</v>
      </c>
      <c r="C837" s="3" t="s">
        <v>1818</v>
      </c>
      <c r="D837">
        <v>955</v>
      </c>
      <c r="E837" s="6">
        <v>45020</v>
      </c>
      <c r="F837">
        <v>0</v>
      </c>
      <c r="G837">
        <v>0</v>
      </c>
      <c r="H837">
        <v>0</v>
      </c>
      <c r="I837" s="3" t="s">
        <v>28</v>
      </c>
    </row>
    <row r="838" spans="1:9" x14ac:dyDescent="0.35">
      <c r="A838" s="3" t="s">
        <v>9547</v>
      </c>
      <c r="B838" s="3" t="s">
        <v>1819</v>
      </c>
      <c r="C838" s="3" t="s">
        <v>1820</v>
      </c>
      <c r="D838">
        <v>318</v>
      </c>
      <c r="E838" s="6">
        <v>45657</v>
      </c>
      <c r="F838">
        <v>49.5</v>
      </c>
      <c r="G838">
        <v>20.68</v>
      </c>
      <c r="H838">
        <v>1.32</v>
      </c>
      <c r="I838" s="3" t="s">
        <v>8701</v>
      </c>
    </row>
    <row r="839" spans="1:9" x14ac:dyDescent="0.35">
      <c r="A839" s="3" t="s">
        <v>9548</v>
      </c>
      <c r="B839" s="3" t="s">
        <v>1821</v>
      </c>
      <c r="C839" s="3" t="s">
        <v>1822</v>
      </c>
      <c r="D839">
        <v>955</v>
      </c>
      <c r="E839" s="6">
        <v>45020</v>
      </c>
      <c r="F839">
        <v>0</v>
      </c>
      <c r="G839">
        <v>0</v>
      </c>
      <c r="H839">
        <v>0</v>
      </c>
      <c r="I839" s="3" t="s">
        <v>28</v>
      </c>
    </row>
    <row r="840" spans="1:9" x14ac:dyDescent="0.35">
      <c r="A840" s="3" t="s">
        <v>9549</v>
      </c>
      <c r="B840" s="3" t="s">
        <v>1823</v>
      </c>
      <c r="C840" s="3" t="s">
        <v>1824</v>
      </c>
      <c r="D840">
        <v>955</v>
      </c>
      <c r="E840" s="6">
        <v>45020</v>
      </c>
      <c r="F840">
        <v>0</v>
      </c>
      <c r="G840">
        <v>0</v>
      </c>
      <c r="H840">
        <v>0</v>
      </c>
      <c r="I840" s="3" t="s">
        <v>28</v>
      </c>
    </row>
    <row r="841" spans="1:9" x14ac:dyDescent="0.35">
      <c r="A841" s="3" t="s">
        <v>9550</v>
      </c>
      <c r="B841" s="3" t="s">
        <v>1825</v>
      </c>
      <c r="C841" s="3" t="s">
        <v>1826</v>
      </c>
      <c r="D841">
        <v>49</v>
      </c>
      <c r="E841" s="6">
        <v>45926</v>
      </c>
      <c r="F841">
        <v>100</v>
      </c>
      <c r="G841">
        <v>67.45</v>
      </c>
      <c r="H841">
        <v>3.5500000000000003</v>
      </c>
      <c r="I841" s="3" t="s">
        <v>8701</v>
      </c>
    </row>
    <row r="842" spans="1:9" x14ac:dyDescent="0.35">
      <c r="A842" s="3" t="s">
        <v>9551</v>
      </c>
      <c r="B842" s="3" t="s">
        <v>1827</v>
      </c>
      <c r="C842" s="3" t="s">
        <v>1828</v>
      </c>
      <c r="D842">
        <v>955</v>
      </c>
      <c r="E842" s="6">
        <v>45020</v>
      </c>
      <c r="F842">
        <v>0</v>
      </c>
      <c r="G842">
        <v>0</v>
      </c>
      <c r="H842">
        <v>0</v>
      </c>
      <c r="I842" s="3" t="s">
        <v>28</v>
      </c>
    </row>
    <row r="843" spans="1:9" x14ac:dyDescent="0.35">
      <c r="A843" s="3" t="s">
        <v>10141</v>
      </c>
      <c r="B843" s="3" t="s">
        <v>3086</v>
      </c>
      <c r="C843" s="3" t="s">
        <v>3087</v>
      </c>
      <c r="D843">
        <v>1271</v>
      </c>
      <c r="E843" s="6">
        <v>44704</v>
      </c>
      <c r="F843">
        <v>0</v>
      </c>
      <c r="G843">
        <v>5.0000000000000001E-3</v>
      </c>
      <c r="H843">
        <v>0.14500000000000002</v>
      </c>
      <c r="I843" s="3" t="s">
        <v>8699</v>
      </c>
    </row>
    <row r="844" spans="1:9" x14ac:dyDescent="0.35">
      <c r="A844" s="3" t="s">
        <v>9553</v>
      </c>
      <c r="B844" s="3" t="s">
        <v>1831</v>
      </c>
      <c r="C844" s="3" t="s">
        <v>1832</v>
      </c>
      <c r="D844">
        <v>31</v>
      </c>
      <c r="E844" s="6">
        <v>45944</v>
      </c>
      <c r="F844">
        <v>0</v>
      </c>
      <c r="G844">
        <v>0.99</v>
      </c>
      <c r="H844">
        <v>0.11</v>
      </c>
      <c r="I844" s="3" t="s">
        <v>8756</v>
      </c>
    </row>
    <row r="845" spans="1:9" x14ac:dyDescent="0.35">
      <c r="A845" s="3" t="s">
        <v>9554</v>
      </c>
      <c r="B845" s="3" t="s">
        <v>1833</v>
      </c>
      <c r="C845" s="3" t="s">
        <v>1834</v>
      </c>
      <c r="D845">
        <v>46</v>
      </c>
      <c r="E845" s="6">
        <v>45929</v>
      </c>
      <c r="F845">
        <v>0</v>
      </c>
      <c r="G845">
        <v>66.64</v>
      </c>
      <c r="H845">
        <v>1.36</v>
      </c>
      <c r="I845" s="3" t="s">
        <v>8701</v>
      </c>
    </row>
    <row r="846" spans="1:9" x14ac:dyDescent="0.35">
      <c r="A846" s="3" t="s">
        <v>10204</v>
      </c>
      <c r="B846" s="3" t="s">
        <v>3215</v>
      </c>
      <c r="C846" s="3" t="s">
        <v>3216</v>
      </c>
      <c r="D846">
        <v>1271</v>
      </c>
      <c r="E846" s="6">
        <v>44704</v>
      </c>
      <c r="F846">
        <v>0</v>
      </c>
      <c r="G846">
        <v>4.0000000000000001E-3</v>
      </c>
      <c r="H846">
        <v>0.11600000000000001</v>
      </c>
      <c r="I846" s="3" t="s">
        <v>8699</v>
      </c>
    </row>
    <row r="847" spans="1:9" x14ac:dyDescent="0.35">
      <c r="A847" s="3" t="s">
        <v>9556</v>
      </c>
      <c r="B847" s="3" t="s">
        <v>1837</v>
      </c>
      <c r="C847" s="3" t="s">
        <v>1838</v>
      </c>
      <c r="D847">
        <v>47</v>
      </c>
      <c r="E847" s="6">
        <v>45928</v>
      </c>
      <c r="F847">
        <v>0</v>
      </c>
      <c r="G847">
        <v>8.9700000000000006</v>
      </c>
      <c r="H847">
        <v>4.03</v>
      </c>
      <c r="I847" s="3" t="s">
        <v>8701</v>
      </c>
    </row>
    <row r="848" spans="1:9" x14ac:dyDescent="0.35">
      <c r="A848" s="3" t="s">
        <v>10614</v>
      </c>
      <c r="B848" s="3" t="s">
        <v>4086</v>
      </c>
      <c r="C848" s="3" t="s">
        <v>4087</v>
      </c>
      <c r="D848">
        <v>1271</v>
      </c>
      <c r="E848" s="6">
        <v>44704</v>
      </c>
      <c r="F848">
        <v>0</v>
      </c>
      <c r="G848">
        <v>0</v>
      </c>
      <c r="H848">
        <v>0</v>
      </c>
      <c r="I848" s="3" t="s">
        <v>8699</v>
      </c>
    </row>
    <row r="849" spans="1:9" x14ac:dyDescent="0.35">
      <c r="A849" s="3" t="s">
        <v>9558</v>
      </c>
      <c r="B849" s="3" t="s">
        <v>1841</v>
      </c>
      <c r="C849" s="3" t="s">
        <v>1842</v>
      </c>
      <c r="D849">
        <v>44</v>
      </c>
      <c r="E849" s="6">
        <v>45931</v>
      </c>
      <c r="F849">
        <v>7</v>
      </c>
      <c r="G849">
        <v>35.145000000000003</v>
      </c>
      <c r="H849">
        <v>0.35500000000000004</v>
      </c>
      <c r="I849" s="3" t="s">
        <v>8756</v>
      </c>
    </row>
    <row r="850" spans="1:9" x14ac:dyDescent="0.35">
      <c r="A850" s="3" t="s">
        <v>9559</v>
      </c>
      <c r="B850" s="3" t="s">
        <v>1843</v>
      </c>
      <c r="C850" s="3" t="s">
        <v>1844</v>
      </c>
      <c r="D850">
        <v>109</v>
      </c>
      <c r="E850" s="6">
        <v>45866</v>
      </c>
      <c r="F850">
        <v>10</v>
      </c>
      <c r="G850">
        <v>13.950000000000001</v>
      </c>
      <c r="H850">
        <v>1.05</v>
      </c>
      <c r="I850" s="3" t="s">
        <v>8729</v>
      </c>
    </row>
    <row r="851" spans="1:9" x14ac:dyDescent="0.35">
      <c r="A851" s="3" t="s">
        <v>9560</v>
      </c>
      <c r="B851" s="3" t="s">
        <v>1845</v>
      </c>
      <c r="C851" s="3" t="s">
        <v>1846</v>
      </c>
      <c r="D851">
        <v>129</v>
      </c>
      <c r="E851" s="6">
        <v>45846</v>
      </c>
      <c r="F851">
        <v>0</v>
      </c>
      <c r="G851">
        <v>4.4000000000000004</v>
      </c>
      <c r="H851">
        <v>0.6</v>
      </c>
      <c r="I851" s="3" t="s">
        <v>8701</v>
      </c>
    </row>
    <row r="852" spans="1:9" x14ac:dyDescent="0.35">
      <c r="A852" s="3" t="s">
        <v>10633</v>
      </c>
      <c r="B852" s="3" t="s">
        <v>4125</v>
      </c>
      <c r="C852" s="3" t="s">
        <v>4126</v>
      </c>
      <c r="D852">
        <v>1271</v>
      </c>
      <c r="E852" s="6">
        <v>44704</v>
      </c>
      <c r="F852">
        <v>0</v>
      </c>
      <c r="G852">
        <v>3.0000000000000001E-3</v>
      </c>
      <c r="H852">
        <v>9.7000000000000003E-2</v>
      </c>
      <c r="I852" s="3" t="s">
        <v>8699</v>
      </c>
    </row>
    <row r="853" spans="1:9" x14ac:dyDescent="0.35">
      <c r="A853" s="3" t="s">
        <v>9562</v>
      </c>
      <c r="B853" s="3" t="s">
        <v>1849</v>
      </c>
      <c r="C853" s="3" t="s">
        <v>1850</v>
      </c>
      <c r="D853">
        <v>87</v>
      </c>
      <c r="E853" s="6">
        <v>45888</v>
      </c>
      <c r="F853">
        <v>1500</v>
      </c>
      <c r="G853">
        <v>12.870000000000001</v>
      </c>
      <c r="H853">
        <v>3.63</v>
      </c>
      <c r="I853" s="3" t="s">
        <v>8738</v>
      </c>
    </row>
    <row r="854" spans="1:9" x14ac:dyDescent="0.35">
      <c r="A854" s="3" t="s">
        <v>9563</v>
      </c>
      <c r="B854" s="3" t="s">
        <v>1851</v>
      </c>
      <c r="C854" s="3" t="s">
        <v>1852</v>
      </c>
      <c r="D854">
        <v>25</v>
      </c>
      <c r="E854" s="6">
        <v>45950</v>
      </c>
      <c r="F854">
        <v>0</v>
      </c>
      <c r="G854">
        <v>5.28</v>
      </c>
      <c r="H854">
        <v>1.32</v>
      </c>
      <c r="I854" s="3" t="s">
        <v>8703</v>
      </c>
    </row>
    <row r="855" spans="1:9" x14ac:dyDescent="0.35">
      <c r="A855" s="3" t="s">
        <v>9564</v>
      </c>
      <c r="B855" s="3" t="s">
        <v>1853</v>
      </c>
      <c r="C855" s="3" t="s">
        <v>1854</v>
      </c>
      <c r="D855">
        <v>163</v>
      </c>
      <c r="E855" s="6">
        <v>45812</v>
      </c>
      <c r="F855">
        <v>0</v>
      </c>
      <c r="G855">
        <v>6.0000000000000001E-3</v>
      </c>
      <c r="H855">
        <v>0.124</v>
      </c>
      <c r="I855" s="3" t="s">
        <v>8712</v>
      </c>
    </row>
    <row r="856" spans="1:9" x14ac:dyDescent="0.35">
      <c r="A856" s="3" t="s">
        <v>9565</v>
      </c>
      <c r="B856" s="3" t="s">
        <v>1855</v>
      </c>
      <c r="C856" s="3" t="s">
        <v>1856</v>
      </c>
      <c r="D856">
        <v>25</v>
      </c>
      <c r="E856" s="6">
        <v>45950</v>
      </c>
      <c r="F856">
        <v>0</v>
      </c>
      <c r="G856">
        <v>32.56</v>
      </c>
      <c r="H856">
        <v>4.4400000000000004</v>
      </c>
      <c r="I856" s="3" t="s">
        <v>8701</v>
      </c>
    </row>
    <row r="857" spans="1:9" x14ac:dyDescent="0.35">
      <c r="A857" s="3" t="s">
        <v>9566</v>
      </c>
      <c r="B857" s="3" t="s">
        <v>1857</v>
      </c>
      <c r="C857" s="3" t="s">
        <v>1858</v>
      </c>
      <c r="D857">
        <v>955</v>
      </c>
      <c r="E857" s="6">
        <v>45020</v>
      </c>
      <c r="F857">
        <v>0</v>
      </c>
      <c r="G857">
        <v>0</v>
      </c>
      <c r="H857">
        <v>0</v>
      </c>
      <c r="I857" s="3" t="s">
        <v>28</v>
      </c>
    </row>
    <row r="858" spans="1:9" x14ac:dyDescent="0.35">
      <c r="A858" s="3" t="s">
        <v>9567</v>
      </c>
      <c r="B858" s="3" t="s">
        <v>1862</v>
      </c>
      <c r="C858" s="3" t="s">
        <v>1863</v>
      </c>
      <c r="D858">
        <v>5084</v>
      </c>
      <c r="E858" s="6">
        <v>40891</v>
      </c>
      <c r="F858">
        <v>0</v>
      </c>
      <c r="G858">
        <v>1E-3</v>
      </c>
      <c r="H858">
        <v>0.129</v>
      </c>
      <c r="I858" s="3" t="s">
        <v>8712</v>
      </c>
    </row>
    <row r="859" spans="1:9" x14ac:dyDescent="0.35">
      <c r="A859" s="3" t="s">
        <v>9568</v>
      </c>
      <c r="B859" s="3" t="s">
        <v>1864</v>
      </c>
      <c r="C859" s="3" t="s">
        <v>1865</v>
      </c>
      <c r="D859">
        <v>129</v>
      </c>
      <c r="E859" s="6">
        <v>45846</v>
      </c>
      <c r="F859">
        <v>0</v>
      </c>
      <c r="G859">
        <v>22.080000000000002</v>
      </c>
      <c r="H859">
        <v>0.92</v>
      </c>
      <c r="I859" s="3" t="s">
        <v>8701</v>
      </c>
    </row>
    <row r="860" spans="1:9" x14ac:dyDescent="0.35">
      <c r="A860" s="3" t="s">
        <v>9569</v>
      </c>
      <c r="B860" s="3" t="s">
        <v>1866</v>
      </c>
      <c r="C860" s="3" t="s">
        <v>1867</v>
      </c>
      <c r="D860">
        <v>366</v>
      </c>
      <c r="E860" s="6">
        <v>45609</v>
      </c>
      <c r="F860">
        <v>0</v>
      </c>
      <c r="G860">
        <v>5.0000000000000001E-3</v>
      </c>
      <c r="H860">
        <v>9.5000000000000001E-2</v>
      </c>
      <c r="I860" s="3" t="s">
        <v>8712</v>
      </c>
    </row>
    <row r="861" spans="1:9" x14ac:dyDescent="0.35">
      <c r="A861" s="3" t="s">
        <v>10771</v>
      </c>
      <c r="B861" s="3" t="s">
        <v>4419</v>
      </c>
      <c r="C861" s="3" t="s">
        <v>4420</v>
      </c>
      <c r="D861">
        <v>1271</v>
      </c>
      <c r="E861" s="6">
        <v>44704</v>
      </c>
      <c r="F861">
        <v>0</v>
      </c>
      <c r="G861">
        <v>3.0000000000000001E-3</v>
      </c>
      <c r="H861">
        <v>9.7000000000000003E-2</v>
      </c>
      <c r="I861" s="3" t="s">
        <v>8699</v>
      </c>
    </row>
    <row r="862" spans="1:9" x14ac:dyDescent="0.35">
      <c r="A862" s="3" t="s">
        <v>9571</v>
      </c>
      <c r="B862" s="3" t="s">
        <v>1870</v>
      </c>
      <c r="C862" s="3" t="s">
        <v>1871</v>
      </c>
      <c r="D862">
        <v>57</v>
      </c>
      <c r="E862" s="6">
        <v>45918</v>
      </c>
      <c r="F862">
        <v>0</v>
      </c>
      <c r="G862">
        <v>48.36</v>
      </c>
      <c r="H862">
        <v>3.64</v>
      </c>
      <c r="I862" s="3" t="s">
        <v>8701</v>
      </c>
    </row>
    <row r="863" spans="1:9" x14ac:dyDescent="0.35">
      <c r="A863" s="3" t="s">
        <v>10953</v>
      </c>
      <c r="B863" s="3" t="s">
        <v>4799</v>
      </c>
      <c r="C863" s="3" t="s">
        <v>4800</v>
      </c>
      <c r="D863">
        <v>1271</v>
      </c>
      <c r="E863" s="6">
        <v>44704</v>
      </c>
      <c r="F863">
        <v>0</v>
      </c>
      <c r="G863">
        <v>5.0000000000000001E-3</v>
      </c>
      <c r="H863">
        <v>0.155</v>
      </c>
      <c r="I863" s="3" t="s">
        <v>8699</v>
      </c>
    </row>
    <row r="864" spans="1:9" x14ac:dyDescent="0.35">
      <c r="A864" s="3" t="s">
        <v>11076</v>
      </c>
      <c r="B864" s="3" t="s">
        <v>5065</v>
      </c>
      <c r="C864" s="3" t="s">
        <v>5066</v>
      </c>
      <c r="D864">
        <v>1271</v>
      </c>
      <c r="E864" s="6">
        <v>44704</v>
      </c>
      <c r="F864">
        <v>0</v>
      </c>
      <c r="G864">
        <v>3.0000000000000001E-3</v>
      </c>
      <c r="H864">
        <v>9.7000000000000003E-2</v>
      </c>
      <c r="I864" s="3" t="s">
        <v>8699</v>
      </c>
    </row>
    <row r="865" spans="1:9" x14ac:dyDescent="0.35">
      <c r="A865" s="3" t="s">
        <v>9312</v>
      </c>
      <c r="B865" s="3" t="s">
        <v>1325</v>
      </c>
      <c r="C865" s="3" t="s">
        <v>1326</v>
      </c>
      <c r="D865">
        <v>1283</v>
      </c>
      <c r="E865" s="6">
        <v>44692</v>
      </c>
      <c r="F865">
        <v>0</v>
      </c>
      <c r="G865">
        <v>2.82</v>
      </c>
      <c r="H865">
        <v>0.18</v>
      </c>
      <c r="I865" s="3" t="s">
        <v>8699</v>
      </c>
    </row>
    <row r="866" spans="1:9" x14ac:dyDescent="0.35">
      <c r="A866" s="3" t="s">
        <v>9575</v>
      </c>
      <c r="B866" s="3" t="s">
        <v>1878</v>
      </c>
      <c r="C866" s="3" t="s">
        <v>1879</v>
      </c>
      <c r="D866">
        <v>171</v>
      </c>
      <c r="E866" s="6">
        <v>45804</v>
      </c>
      <c r="F866">
        <v>100</v>
      </c>
      <c r="G866">
        <v>2.6320000000000001</v>
      </c>
      <c r="H866">
        <v>0.16800000000000001</v>
      </c>
      <c r="I866" s="3" t="s">
        <v>8701</v>
      </c>
    </row>
    <row r="867" spans="1:9" x14ac:dyDescent="0.35">
      <c r="A867" s="3" t="s">
        <v>9576</v>
      </c>
      <c r="B867" s="3" t="s">
        <v>1880</v>
      </c>
      <c r="C867" s="3" t="s">
        <v>1881</v>
      </c>
      <c r="D867">
        <v>46</v>
      </c>
      <c r="E867" s="6">
        <v>45929</v>
      </c>
      <c r="F867">
        <v>100</v>
      </c>
      <c r="G867">
        <v>1.7</v>
      </c>
      <c r="H867">
        <v>0.8</v>
      </c>
      <c r="I867" s="3" t="s">
        <v>8701</v>
      </c>
    </row>
    <row r="868" spans="1:9" x14ac:dyDescent="0.35">
      <c r="A868" s="3" t="s">
        <v>11238</v>
      </c>
      <c r="B868" s="3" t="s">
        <v>5405</v>
      </c>
      <c r="C868" s="3" t="s">
        <v>5406</v>
      </c>
      <c r="D868">
        <v>1286</v>
      </c>
      <c r="E868" s="6">
        <v>44689</v>
      </c>
      <c r="F868">
        <v>0</v>
      </c>
      <c r="G868">
        <v>0.46100000000000002</v>
      </c>
      <c r="H868">
        <v>0.51900000000000002</v>
      </c>
      <c r="I868" s="3" t="s">
        <v>8699</v>
      </c>
    </row>
    <row r="869" spans="1:9" x14ac:dyDescent="0.35">
      <c r="A869" s="3" t="s">
        <v>10426</v>
      </c>
      <c r="B869" s="3" t="s">
        <v>3691</v>
      </c>
      <c r="C869" s="3" t="s">
        <v>3692</v>
      </c>
      <c r="D869">
        <v>1298</v>
      </c>
      <c r="E869" s="6">
        <v>44677</v>
      </c>
      <c r="F869">
        <v>100</v>
      </c>
      <c r="G869">
        <v>0.2</v>
      </c>
      <c r="H869">
        <v>0.8</v>
      </c>
      <c r="I869" s="3" t="s">
        <v>8699</v>
      </c>
    </row>
    <row r="870" spans="1:9" x14ac:dyDescent="0.35">
      <c r="A870" s="3" t="s">
        <v>9579</v>
      </c>
      <c r="B870" s="3" t="s">
        <v>1886</v>
      </c>
      <c r="C870" s="3" t="s">
        <v>1887</v>
      </c>
      <c r="D870">
        <v>955</v>
      </c>
      <c r="E870" s="6">
        <v>45020</v>
      </c>
      <c r="F870">
        <v>0</v>
      </c>
      <c r="G870">
        <v>0</v>
      </c>
      <c r="H870">
        <v>0</v>
      </c>
      <c r="I870" s="3" t="s">
        <v>28</v>
      </c>
    </row>
    <row r="871" spans="1:9" x14ac:dyDescent="0.35">
      <c r="A871" s="3" t="s">
        <v>11319</v>
      </c>
      <c r="B871" s="3" t="s">
        <v>5575</v>
      </c>
      <c r="C871" s="3" t="s">
        <v>5576</v>
      </c>
      <c r="D871">
        <v>1318</v>
      </c>
      <c r="E871" s="6">
        <v>44657</v>
      </c>
      <c r="F871">
        <v>0</v>
      </c>
      <c r="G871">
        <v>6.2650000000000006</v>
      </c>
      <c r="H871">
        <v>0.54500000000000004</v>
      </c>
      <c r="I871" s="3" t="s">
        <v>8699</v>
      </c>
    </row>
    <row r="872" spans="1:9" x14ac:dyDescent="0.35">
      <c r="A872" s="3" t="s">
        <v>9581</v>
      </c>
      <c r="B872" s="3" t="s">
        <v>1890</v>
      </c>
      <c r="C872" s="3" t="s">
        <v>1891</v>
      </c>
      <c r="D872">
        <v>25</v>
      </c>
      <c r="E872" s="6">
        <v>45950</v>
      </c>
      <c r="F872">
        <v>0</v>
      </c>
      <c r="G872">
        <v>5.8100000000000005</v>
      </c>
      <c r="H872">
        <v>1.19</v>
      </c>
      <c r="I872" s="3" t="s">
        <v>8738</v>
      </c>
    </row>
    <row r="873" spans="1:9" x14ac:dyDescent="0.35">
      <c r="A873" s="3" t="s">
        <v>9582</v>
      </c>
      <c r="B873" s="3" t="s">
        <v>1892</v>
      </c>
      <c r="C873" s="3" t="s">
        <v>1893</v>
      </c>
      <c r="D873">
        <v>703</v>
      </c>
      <c r="E873" s="6">
        <v>45272</v>
      </c>
      <c r="F873">
        <v>0</v>
      </c>
      <c r="G873">
        <v>4.0250000000000004</v>
      </c>
      <c r="H873">
        <v>0.65500000000000003</v>
      </c>
      <c r="I873" s="3" t="s">
        <v>9583</v>
      </c>
    </row>
    <row r="874" spans="1:9" x14ac:dyDescent="0.35">
      <c r="A874" s="3" t="s">
        <v>9584</v>
      </c>
      <c r="B874" s="3" t="s">
        <v>1894</v>
      </c>
      <c r="C874" s="3" t="s">
        <v>1895</v>
      </c>
      <c r="D874">
        <v>47</v>
      </c>
      <c r="E874" s="6">
        <v>45928</v>
      </c>
      <c r="F874">
        <v>100</v>
      </c>
      <c r="G874">
        <v>14.620000000000001</v>
      </c>
      <c r="H874">
        <v>2.38</v>
      </c>
      <c r="I874" s="3" t="s">
        <v>8701</v>
      </c>
    </row>
    <row r="875" spans="1:9" x14ac:dyDescent="0.35">
      <c r="A875" s="3" t="s">
        <v>9585</v>
      </c>
      <c r="B875" s="3" t="s">
        <v>1896</v>
      </c>
      <c r="C875" s="3" t="s">
        <v>1897</v>
      </c>
      <c r="D875">
        <v>59</v>
      </c>
      <c r="E875" s="6">
        <v>45916</v>
      </c>
      <c r="F875">
        <v>0</v>
      </c>
      <c r="G875">
        <v>7.875</v>
      </c>
      <c r="H875">
        <v>1.125</v>
      </c>
      <c r="I875" s="3" t="s">
        <v>8701</v>
      </c>
    </row>
    <row r="876" spans="1:9" x14ac:dyDescent="0.35">
      <c r="A876" s="3" t="s">
        <v>9586</v>
      </c>
      <c r="B876" s="3" t="s">
        <v>1898</v>
      </c>
      <c r="C876" s="3" t="s">
        <v>1899</v>
      </c>
      <c r="D876">
        <v>103</v>
      </c>
      <c r="E876" s="6">
        <v>45872</v>
      </c>
      <c r="F876">
        <v>0</v>
      </c>
      <c r="G876">
        <v>1.95</v>
      </c>
      <c r="H876">
        <v>1.05</v>
      </c>
      <c r="I876" s="3" t="s">
        <v>8701</v>
      </c>
    </row>
    <row r="877" spans="1:9" x14ac:dyDescent="0.35">
      <c r="A877" s="3" t="s">
        <v>9587</v>
      </c>
      <c r="B877" s="3" t="s">
        <v>1900</v>
      </c>
      <c r="C877" s="3" t="s">
        <v>1901</v>
      </c>
      <c r="D877">
        <v>46</v>
      </c>
      <c r="E877" s="6">
        <v>45929</v>
      </c>
      <c r="F877">
        <v>0</v>
      </c>
      <c r="G877">
        <v>1.264</v>
      </c>
      <c r="H877">
        <v>0.45600000000000002</v>
      </c>
      <c r="I877" s="3" t="s">
        <v>8701</v>
      </c>
    </row>
    <row r="878" spans="1:9" x14ac:dyDescent="0.35">
      <c r="A878" s="3" t="s">
        <v>9588</v>
      </c>
      <c r="B878" s="3" t="s">
        <v>1902</v>
      </c>
      <c r="C878" s="3" t="s">
        <v>1903</v>
      </c>
      <c r="D878">
        <v>44</v>
      </c>
      <c r="E878" s="6">
        <v>45931</v>
      </c>
      <c r="F878">
        <v>900</v>
      </c>
      <c r="G878">
        <v>0.42400000000000004</v>
      </c>
      <c r="H878">
        <v>2.226</v>
      </c>
      <c r="I878" s="3" t="s">
        <v>8701</v>
      </c>
    </row>
    <row r="879" spans="1:9" x14ac:dyDescent="0.35">
      <c r="A879" s="3" t="s">
        <v>9589</v>
      </c>
      <c r="B879" s="3" t="s">
        <v>1904</v>
      </c>
      <c r="C879" s="3" t="s">
        <v>1905</v>
      </c>
      <c r="D879">
        <v>15</v>
      </c>
      <c r="E879" s="6">
        <v>45960</v>
      </c>
      <c r="F879">
        <v>0</v>
      </c>
      <c r="G879">
        <v>2.0100000000000002</v>
      </c>
      <c r="H879">
        <v>0.99</v>
      </c>
      <c r="I879" s="3" t="s">
        <v>9145</v>
      </c>
    </row>
    <row r="880" spans="1:9" x14ac:dyDescent="0.35">
      <c r="A880" s="3" t="s">
        <v>9590</v>
      </c>
      <c r="B880" s="3" t="s">
        <v>1906</v>
      </c>
      <c r="C880" s="3" t="s">
        <v>1907</v>
      </c>
      <c r="D880">
        <v>955</v>
      </c>
      <c r="E880" s="6">
        <v>45020</v>
      </c>
      <c r="F880">
        <v>0</v>
      </c>
      <c r="G880">
        <v>0</v>
      </c>
      <c r="H880">
        <v>0</v>
      </c>
      <c r="I880" s="3" t="s">
        <v>28</v>
      </c>
    </row>
    <row r="881" spans="1:9" x14ac:dyDescent="0.35">
      <c r="A881" s="3" t="s">
        <v>10496</v>
      </c>
      <c r="B881" s="3" t="s">
        <v>3841</v>
      </c>
      <c r="C881" s="3" t="s">
        <v>3842</v>
      </c>
      <c r="D881">
        <v>1333</v>
      </c>
      <c r="E881" s="6">
        <v>44642</v>
      </c>
      <c r="F881">
        <v>400</v>
      </c>
      <c r="G881">
        <v>0.14000000000000001</v>
      </c>
      <c r="H881">
        <v>0.56000000000000005</v>
      </c>
      <c r="I881" s="3" t="s">
        <v>8699</v>
      </c>
    </row>
    <row r="882" spans="1:9" x14ac:dyDescent="0.35">
      <c r="A882" s="3" t="s">
        <v>10998</v>
      </c>
      <c r="B882" s="3" t="s">
        <v>4899</v>
      </c>
      <c r="C882" s="3" t="s">
        <v>4900</v>
      </c>
      <c r="D882">
        <v>1357</v>
      </c>
      <c r="E882" s="6">
        <v>44618</v>
      </c>
      <c r="F882">
        <v>0</v>
      </c>
      <c r="G882">
        <v>10.450000000000001</v>
      </c>
      <c r="H882">
        <v>0.55000000000000004</v>
      </c>
      <c r="I882" s="3" t="s">
        <v>8699</v>
      </c>
    </row>
    <row r="883" spans="1:9" x14ac:dyDescent="0.35">
      <c r="A883" s="3" t="s">
        <v>10521</v>
      </c>
      <c r="B883" s="3" t="s">
        <v>3892</v>
      </c>
      <c r="C883" s="3" t="s">
        <v>3893</v>
      </c>
      <c r="D883">
        <v>1397</v>
      </c>
      <c r="E883" s="6">
        <v>44578</v>
      </c>
      <c r="F883">
        <v>0</v>
      </c>
      <c r="G883">
        <v>5.7</v>
      </c>
      <c r="H883">
        <v>0.3</v>
      </c>
      <c r="I883" s="3" t="s">
        <v>8699</v>
      </c>
    </row>
    <row r="884" spans="1:9" x14ac:dyDescent="0.35">
      <c r="A884" s="3" t="s">
        <v>9594</v>
      </c>
      <c r="B884" s="3" t="s">
        <v>1914</v>
      </c>
      <c r="C884" s="3" t="s">
        <v>1915</v>
      </c>
      <c r="D884">
        <v>45</v>
      </c>
      <c r="E884" s="6">
        <v>45930</v>
      </c>
      <c r="F884">
        <v>100</v>
      </c>
      <c r="G884">
        <v>24.03</v>
      </c>
      <c r="H884">
        <v>2.97</v>
      </c>
      <c r="I884" s="3" t="s">
        <v>8705</v>
      </c>
    </row>
    <row r="885" spans="1:9" x14ac:dyDescent="0.35">
      <c r="A885" s="3" t="s">
        <v>9595</v>
      </c>
      <c r="B885" s="3" t="s">
        <v>1916</v>
      </c>
      <c r="C885" s="3" t="s">
        <v>1917</v>
      </c>
      <c r="D885">
        <v>50</v>
      </c>
      <c r="E885" s="6">
        <v>45925</v>
      </c>
      <c r="F885">
        <v>0</v>
      </c>
      <c r="G885">
        <v>6.37</v>
      </c>
      <c r="H885">
        <v>0.63</v>
      </c>
      <c r="I885" s="3" t="s">
        <v>8701</v>
      </c>
    </row>
    <row r="886" spans="1:9" x14ac:dyDescent="0.35">
      <c r="A886" s="3" t="s">
        <v>9596</v>
      </c>
      <c r="B886" s="3" t="s">
        <v>1918</v>
      </c>
      <c r="C886" s="3" t="s">
        <v>1919</v>
      </c>
      <c r="D886">
        <v>50</v>
      </c>
      <c r="E886" s="6">
        <v>45925</v>
      </c>
      <c r="F886">
        <v>80</v>
      </c>
      <c r="G886">
        <v>2.7390000000000003</v>
      </c>
      <c r="H886">
        <v>0.56100000000000005</v>
      </c>
      <c r="I886" s="3" t="s">
        <v>8701</v>
      </c>
    </row>
    <row r="887" spans="1:9" x14ac:dyDescent="0.35">
      <c r="A887" s="3" t="s">
        <v>9597</v>
      </c>
      <c r="B887" s="3" t="s">
        <v>1920</v>
      </c>
      <c r="C887" s="3" t="s">
        <v>1921</v>
      </c>
      <c r="D887">
        <v>3</v>
      </c>
      <c r="E887" s="6">
        <v>45972</v>
      </c>
      <c r="F887">
        <v>50</v>
      </c>
      <c r="G887">
        <v>4.5650000000000004</v>
      </c>
      <c r="H887">
        <v>0.93500000000000005</v>
      </c>
      <c r="I887" s="3" t="s">
        <v>8701</v>
      </c>
    </row>
    <row r="888" spans="1:9" x14ac:dyDescent="0.35">
      <c r="A888" s="3" t="s">
        <v>9598</v>
      </c>
      <c r="B888" s="3" t="s">
        <v>1922</v>
      </c>
      <c r="C888" s="3" t="s">
        <v>1923</v>
      </c>
      <c r="D888">
        <v>955</v>
      </c>
      <c r="E888" s="6">
        <v>45020</v>
      </c>
      <c r="F888">
        <v>0</v>
      </c>
      <c r="G888">
        <v>0</v>
      </c>
      <c r="H888">
        <v>0</v>
      </c>
      <c r="I888" s="3" t="s">
        <v>28</v>
      </c>
    </row>
    <row r="889" spans="1:9" x14ac:dyDescent="0.35">
      <c r="A889" s="3" t="s">
        <v>9599</v>
      </c>
      <c r="B889" s="3" t="s">
        <v>1924</v>
      </c>
      <c r="C889" s="3" t="s">
        <v>1925</v>
      </c>
      <c r="D889">
        <v>955</v>
      </c>
      <c r="E889" s="6">
        <v>45020</v>
      </c>
      <c r="F889">
        <v>0</v>
      </c>
      <c r="G889">
        <v>0</v>
      </c>
      <c r="H889">
        <v>0</v>
      </c>
      <c r="I889" s="3" t="s">
        <v>28</v>
      </c>
    </row>
    <row r="890" spans="1:9" x14ac:dyDescent="0.35">
      <c r="A890" s="3" t="s">
        <v>9990</v>
      </c>
      <c r="B890" s="3" t="s">
        <v>2759</v>
      </c>
      <c r="C890" s="3" t="s">
        <v>2760</v>
      </c>
      <c r="D890">
        <v>1424</v>
      </c>
      <c r="E890" s="6">
        <v>44551</v>
      </c>
      <c r="F890">
        <v>0</v>
      </c>
      <c r="G890">
        <v>0.84700000000000009</v>
      </c>
      <c r="H890">
        <v>0.253</v>
      </c>
      <c r="I890" s="3" t="s">
        <v>8699</v>
      </c>
    </row>
    <row r="891" spans="1:9" x14ac:dyDescent="0.35">
      <c r="A891" s="3" t="s">
        <v>9601</v>
      </c>
      <c r="B891" s="3" t="s">
        <v>1928</v>
      </c>
      <c r="C891" s="3" t="s">
        <v>1929</v>
      </c>
      <c r="D891">
        <v>315</v>
      </c>
      <c r="E891" s="6">
        <v>45660</v>
      </c>
      <c r="F891">
        <v>0</v>
      </c>
      <c r="G891">
        <v>13.8</v>
      </c>
      <c r="H891">
        <v>1.2</v>
      </c>
      <c r="I891" s="3" t="s">
        <v>8701</v>
      </c>
    </row>
    <row r="892" spans="1:9" x14ac:dyDescent="0.35">
      <c r="A892" s="3" t="s">
        <v>9602</v>
      </c>
      <c r="B892" s="3" t="s">
        <v>1930</v>
      </c>
      <c r="C892" s="3" t="s">
        <v>1931</v>
      </c>
      <c r="D892">
        <v>47</v>
      </c>
      <c r="E892" s="6">
        <v>45928</v>
      </c>
      <c r="F892">
        <v>200</v>
      </c>
      <c r="G892">
        <v>18.667999999999999</v>
      </c>
      <c r="H892">
        <v>0.9820000000000001</v>
      </c>
      <c r="I892" s="3" t="s">
        <v>8738</v>
      </c>
    </row>
    <row r="893" spans="1:9" x14ac:dyDescent="0.35">
      <c r="A893" s="3" t="s">
        <v>9308</v>
      </c>
      <c r="B893" s="3" t="s">
        <v>1317</v>
      </c>
      <c r="C893" s="3" t="s">
        <v>1318</v>
      </c>
      <c r="D893">
        <v>1425</v>
      </c>
      <c r="E893" s="6">
        <v>44550</v>
      </c>
      <c r="F893">
        <v>0</v>
      </c>
      <c r="G893">
        <v>0.2</v>
      </c>
      <c r="H893">
        <v>0.8</v>
      </c>
      <c r="I893" s="3" t="s">
        <v>8699</v>
      </c>
    </row>
    <row r="894" spans="1:9" x14ac:dyDescent="0.35">
      <c r="A894" s="3" t="s">
        <v>9604</v>
      </c>
      <c r="B894" s="3" t="s">
        <v>1934</v>
      </c>
      <c r="C894" s="3" t="s">
        <v>1935</v>
      </c>
      <c r="D894">
        <v>955</v>
      </c>
      <c r="E894" s="6">
        <v>45020</v>
      </c>
      <c r="F894">
        <v>0</v>
      </c>
      <c r="G894">
        <v>0</v>
      </c>
      <c r="H894">
        <v>0</v>
      </c>
      <c r="I894" s="3" t="s">
        <v>28</v>
      </c>
    </row>
    <row r="895" spans="1:9" x14ac:dyDescent="0.35">
      <c r="A895" s="3" t="s">
        <v>9605</v>
      </c>
      <c r="B895" s="3" t="s">
        <v>1936</v>
      </c>
      <c r="C895" s="3" t="s">
        <v>1937</v>
      </c>
      <c r="D895">
        <v>415</v>
      </c>
      <c r="E895" s="6">
        <v>45560</v>
      </c>
      <c r="F895">
        <v>0</v>
      </c>
      <c r="G895">
        <v>6.0000000000000001E-3</v>
      </c>
      <c r="H895">
        <v>0.10400000000000001</v>
      </c>
      <c r="I895" s="3" t="s">
        <v>8712</v>
      </c>
    </row>
    <row r="896" spans="1:9" x14ac:dyDescent="0.35">
      <c r="A896" s="3" t="s">
        <v>9606</v>
      </c>
      <c r="B896" s="3" t="s">
        <v>1938</v>
      </c>
      <c r="C896" s="3" t="s">
        <v>1939</v>
      </c>
      <c r="D896">
        <v>955</v>
      </c>
      <c r="E896" s="6">
        <v>45020</v>
      </c>
      <c r="F896">
        <v>0</v>
      </c>
      <c r="G896">
        <v>0</v>
      </c>
      <c r="H896">
        <v>0</v>
      </c>
      <c r="I896" s="3" t="s">
        <v>28</v>
      </c>
    </row>
    <row r="897" spans="1:9" x14ac:dyDescent="0.35">
      <c r="A897" s="3" t="s">
        <v>10205</v>
      </c>
      <c r="B897" s="3" t="s">
        <v>3218</v>
      </c>
      <c r="C897" s="3" t="s">
        <v>3219</v>
      </c>
      <c r="D897">
        <v>1439</v>
      </c>
      <c r="E897" s="6">
        <v>44536</v>
      </c>
      <c r="F897">
        <v>50</v>
      </c>
      <c r="G897">
        <v>6.1970000000000001</v>
      </c>
      <c r="H897">
        <v>0.61299999999999999</v>
      </c>
      <c r="I897" s="3" t="s">
        <v>8699</v>
      </c>
    </row>
    <row r="898" spans="1:9" x14ac:dyDescent="0.35">
      <c r="A898" s="3" t="s">
        <v>9719</v>
      </c>
      <c r="B898" s="3" t="s">
        <v>2183</v>
      </c>
      <c r="C898" s="3" t="s">
        <v>2184</v>
      </c>
      <c r="D898">
        <v>1445</v>
      </c>
      <c r="E898" s="6">
        <v>44530</v>
      </c>
      <c r="F898">
        <v>0</v>
      </c>
      <c r="G898">
        <v>0.62</v>
      </c>
      <c r="H898">
        <v>0.38</v>
      </c>
      <c r="I898" s="3" t="s">
        <v>8699</v>
      </c>
    </row>
    <row r="899" spans="1:9" x14ac:dyDescent="0.35">
      <c r="A899" s="3" t="s">
        <v>9032</v>
      </c>
      <c r="B899" s="3" t="s">
        <v>737</v>
      </c>
      <c r="C899" s="3" t="s">
        <v>738</v>
      </c>
      <c r="D899">
        <v>1463</v>
      </c>
      <c r="E899" s="6">
        <v>44512</v>
      </c>
      <c r="F899">
        <v>0</v>
      </c>
      <c r="G899">
        <v>0</v>
      </c>
      <c r="H899">
        <v>0</v>
      </c>
      <c r="I899" s="3" t="s">
        <v>8699</v>
      </c>
    </row>
    <row r="900" spans="1:9" x14ac:dyDescent="0.35">
      <c r="A900" s="3" t="s">
        <v>9610</v>
      </c>
      <c r="B900" s="3" t="s">
        <v>1948</v>
      </c>
      <c r="C900" s="3" t="s">
        <v>1949</v>
      </c>
      <c r="D900">
        <v>22</v>
      </c>
      <c r="E900" s="6">
        <v>45953</v>
      </c>
      <c r="F900">
        <v>0</v>
      </c>
      <c r="G900">
        <v>0.02</v>
      </c>
      <c r="H900">
        <v>0.98</v>
      </c>
      <c r="I900" s="3" t="s">
        <v>8701</v>
      </c>
    </row>
    <row r="901" spans="1:9" x14ac:dyDescent="0.35">
      <c r="A901" s="3" t="s">
        <v>9611</v>
      </c>
      <c r="B901" s="3" t="s">
        <v>1950</v>
      </c>
      <c r="C901" s="3" t="s">
        <v>1951</v>
      </c>
      <c r="D901">
        <v>2038</v>
      </c>
      <c r="E901" s="6">
        <v>43937</v>
      </c>
      <c r="F901">
        <v>0</v>
      </c>
      <c r="G901">
        <v>1.4E-2</v>
      </c>
      <c r="H901">
        <v>0.216</v>
      </c>
      <c r="I901" s="3" t="s">
        <v>8712</v>
      </c>
    </row>
    <row r="902" spans="1:9" x14ac:dyDescent="0.35">
      <c r="A902" s="3" t="s">
        <v>9612</v>
      </c>
      <c r="B902" s="3" t="s">
        <v>1952</v>
      </c>
      <c r="C902" s="3" t="s">
        <v>1953</v>
      </c>
      <c r="D902">
        <v>955</v>
      </c>
      <c r="E902" s="6">
        <v>45020</v>
      </c>
      <c r="F902">
        <v>0</v>
      </c>
      <c r="G902">
        <v>0</v>
      </c>
      <c r="H902">
        <v>0</v>
      </c>
      <c r="I902" s="3" t="s">
        <v>28</v>
      </c>
    </row>
    <row r="903" spans="1:9" x14ac:dyDescent="0.35">
      <c r="A903" s="3" t="s">
        <v>9613</v>
      </c>
      <c r="B903" s="3" t="s">
        <v>1954</v>
      </c>
      <c r="C903" s="3" t="s">
        <v>1955</v>
      </c>
      <c r="D903">
        <v>2038</v>
      </c>
      <c r="E903" s="6">
        <v>43937</v>
      </c>
      <c r="F903">
        <v>0</v>
      </c>
      <c r="G903">
        <v>2.3E-2</v>
      </c>
      <c r="H903">
        <v>0.36699999999999999</v>
      </c>
      <c r="I903" s="3" t="s">
        <v>8712</v>
      </c>
    </row>
    <row r="904" spans="1:9" x14ac:dyDescent="0.35">
      <c r="A904" s="3" t="s">
        <v>9614</v>
      </c>
      <c r="B904" s="3" t="s">
        <v>1956</v>
      </c>
      <c r="C904" s="3" t="s">
        <v>1957</v>
      </c>
      <c r="D904">
        <v>77</v>
      </c>
      <c r="E904" s="6">
        <v>45898</v>
      </c>
      <c r="F904">
        <v>200</v>
      </c>
      <c r="G904">
        <v>3.375</v>
      </c>
      <c r="H904">
        <v>1.125</v>
      </c>
      <c r="I904" s="3" t="s">
        <v>8738</v>
      </c>
    </row>
    <row r="905" spans="1:9" x14ac:dyDescent="0.35">
      <c r="A905" s="3" t="s">
        <v>9695</v>
      </c>
      <c r="B905" s="3" t="s">
        <v>2132</v>
      </c>
      <c r="C905" s="3" t="s">
        <v>2133</v>
      </c>
      <c r="D905">
        <v>1463</v>
      </c>
      <c r="E905" s="6">
        <v>44512</v>
      </c>
      <c r="F905">
        <v>0</v>
      </c>
      <c r="G905">
        <v>0</v>
      </c>
      <c r="H905">
        <v>0</v>
      </c>
      <c r="I905" s="3" t="s">
        <v>8699</v>
      </c>
    </row>
    <row r="906" spans="1:9" x14ac:dyDescent="0.35">
      <c r="A906" s="3" t="s">
        <v>9616</v>
      </c>
      <c r="B906" s="3" t="s">
        <v>1961</v>
      </c>
      <c r="C906" s="3" t="s">
        <v>1962</v>
      </c>
      <c r="D906">
        <v>53</v>
      </c>
      <c r="E906" s="6">
        <v>45922</v>
      </c>
      <c r="F906">
        <v>0</v>
      </c>
      <c r="G906">
        <v>2.19</v>
      </c>
      <c r="H906">
        <v>0.81</v>
      </c>
      <c r="I906" s="3" t="s">
        <v>8756</v>
      </c>
    </row>
    <row r="907" spans="1:9" x14ac:dyDescent="0.35">
      <c r="A907" s="3" t="s">
        <v>9617</v>
      </c>
      <c r="B907" s="3" t="s">
        <v>1963</v>
      </c>
      <c r="C907" s="3" t="s">
        <v>1964</v>
      </c>
      <c r="D907">
        <v>246</v>
      </c>
      <c r="E907" s="6">
        <v>45729</v>
      </c>
      <c r="F907">
        <v>0</v>
      </c>
      <c r="G907">
        <v>5.0000000000000001E-3</v>
      </c>
      <c r="H907">
        <v>9.5000000000000001E-2</v>
      </c>
      <c r="I907" s="3" t="s">
        <v>8712</v>
      </c>
    </row>
    <row r="908" spans="1:9" x14ac:dyDescent="0.35">
      <c r="A908" s="3" t="s">
        <v>9618</v>
      </c>
      <c r="B908" s="3" t="s">
        <v>1965</v>
      </c>
      <c r="C908" s="3" t="s">
        <v>1966</v>
      </c>
      <c r="D908">
        <v>23</v>
      </c>
      <c r="E908" s="6">
        <v>45952</v>
      </c>
      <c r="F908">
        <v>0</v>
      </c>
      <c r="G908">
        <v>6.6000000000000005</v>
      </c>
      <c r="H908">
        <v>0.9</v>
      </c>
      <c r="I908" s="3" t="s">
        <v>8756</v>
      </c>
    </row>
    <row r="909" spans="1:9" x14ac:dyDescent="0.35">
      <c r="A909" s="3" t="s">
        <v>10313</v>
      </c>
      <c r="B909" s="3" t="s">
        <v>3448</v>
      </c>
      <c r="C909" s="3" t="s">
        <v>3449</v>
      </c>
      <c r="D909">
        <v>1463</v>
      </c>
      <c r="E909" s="6">
        <v>44512</v>
      </c>
      <c r="F909">
        <v>0</v>
      </c>
      <c r="G909">
        <v>0</v>
      </c>
      <c r="H909">
        <v>0</v>
      </c>
      <c r="I909" s="3" t="s">
        <v>8699</v>
      </c>
    </row>
    <row r="910" spans="1:9" x14ac:dyDescent="0.35">
      <c r="A910" s="3" t="s">
        <v>9620</v>
      </c>
      <c r="B910" s="3" t="s">
        <v>1969</v>
      </c>
      <c r="C910" s="3" t="s">
        <v>1970</v>
      </c>
      <c r="D910">
        <v>726</v>
      </c>
      <c r="E910" s="6">
        <v>45249</v>
      </c>
      <c r="F910">
        <v>0</v>
      </c>
      <c r="G910">
        <v>0</v>
      </c>
      <c r="H910">
        <v>0</v>
      </c>
      <c r="I910" s="3" t="s">
        <v>28</v>
      </c>
    </row>
    <row r="911" spans="1:9" x14ac:dyDescent="0.35">
      <c r="A911" s="3" t="s">
        <v>9621</v>
      </c>
      <c r="B911" s="3" t="s">
        <v>1971</v>
      </c>
      <c r="C911" s="3" t="s">
        <v>1972</v>
      </c>
      <c r="D911">
        <v>22</v>
      </c>
      <c r="E911" s="6">
        <v>45953</v>
      </c>
      <c r="F911">
        <v>30</v>
      </c>
      <c r="G911">
        <v>0.432</v>
      </c>
      <c r="H911">
        <v>1.9680000000000002</v>
      </c>
      <c r="I911" s="3" t="s">
        <v>8705</v>
      </c>
    </row>
    <row r="912" spans="1:9" x14ac:dyDescent="0.35">
      <c r="A912" s="3" t="s">
        <v>9622</v>
      </c>
      <c r="B912" s="3" t="s">
        <v>1975</v>
      </c>
      <c r="C912" s="3" t="s">
        <v>1976</v>
      </c>
      <c r="D912">
        <v>47</v>
      </c>
      <c r="E912" s="6">
        <v>45928</v>
      </c>
      <c r="F912">
        <v>150</v>
      </c>
      <c r="G912">
        <v>4.048</v>
      </c>
      <c r="H912">
        <v>0.55200000000000005</v>
      </c>
      <c r="I912" s="3" t="s">
        <v>8701</v>
      </c>
    </row>
    <row r="913" spans="1:9" x14ac:dyDescent="0.35">
      <c r="A913" s="3" t="s">
        <v>10418</v>
      </c>
      <c r="B913" s="3" t="s">
        <v>3675</v>
      </c>
      <c r="C913" s="3" t="s">
        <v>3676</v>
      </c>
      <c r="D913">
        <v>1463</v>
      </c>
      <c r="E913" s="6">
        <v>44512</v>
      </c>
      <c r="F913">
        <v>0</v>
      </c>
      <c r="G913">
        <v>0</v>
      </c>
      <c r="H913">
        <v>0</v>
      </c>
      <c r="I913" s="3" t="s">
        <v>8699</v>
      </c>
    </row>
    <row r="914" spans="1:9" x14ac:dyDescent="0.35">
      <c r="A914" s="3" t="s">
        <v>10470</v>
      </c>
      <c r="B914" s="3" t="s">
        <v>3784</v>
      </c>
      <c r="C914" s="3" t="s">
        <v>3785</v>
      </c>
      <c r="D914">
        <v>1480</v>
      </c>
      <c r="E914" s="6">
        <v>44495</v>
      </c>
      <c r="F914">
        <v>0</v>
      </c>
      <c r="G914">
        <v>0.56000000000000005</v>
      </c>
      <c r="H914">
        <v>0.44</v>
      </c>
      <c r="I914" s="3" t="s">
        <v>8699</v>
      </c>
    </row>
    <row r="915" spans="1:9" x14ac:dyDescent="0.35">
      <c r="A915" s="3" t="s">
        <v>9912</v>
      </c>
      <c r="B915" s="3" t="s">
        <v>2592</v>
      </c>
      <c r="C915" s="3" t="s">
        <v>2593</v>
      </c>
      <c r="D915">
        <v>1499</v>
      </c>
      <c r="E915" s="6">
        <v>44476</v>
      </c>
      <c r="F915">
        <v>0</v>
      </c>
      <c r="G915">
        <v>3.6000000000000004E-2</v>
      </c>
      <c r="H915">
        <v>0.56400000000000006</v>
      </c>
      <c r="I915" s="3" t="s">
        <v>8699</v>
      </c>
    </row>
    <row r="916" spans="1:9" x14ac:dyDescent="0.35">
      <c r="A916" s="3" t="s">
        <v>9626</v>
      </c>
      <c r="B916" s="3" t="s">
        <v>1984</v>
      </c>
      <c r="C916" s="3" t="s">
        <v>1985</v>
      </c>
      <c r="D916">
        <v>91</v>
      </c>
      <c r="E916" s="6">
        <v>45884</v>
      </c>
      <c r="F916">
        <v>90</v>
      </c>
      <c r="G916">
        <v>11.56</v>
      </c>
      <c r="H916">
        <v>2.04</v>
      </c>
      <c r="I916" s="3" t="s">
        <v>8756</v>
      </c>
    </row>
    <row r="917" spans="1:9" x14ac:dyDescent="0.35">
      <c r="A917" s="3" t="s">
        <v>10824</v>
      </c>
      <c r="B917" s="3" t="s">
        <v>4529</v>
      </c>
      <c r="C917" s="3" t="s">
        <v>4530</v>
      </c>
      <c r="D917">
        <v>1527</v>
      </c>
      <c r="E917" s="6">
        <v>44448</v>
      </c>
      <c r="F917">
        <v>0</v>
      </c>
      <c r="G917">
        <v>0.54</v>
      </c>
      <c r="H917">
        <v>0.66</v>
      </c>
      <c r="I917" s="3" t="s">
        <v>8699</v>
      </c>
    </row>
    <row r="918" spans="1:9" x14ac:dyDescent="0.35">
      <c r="A918" s="3" t="s">
        <v>9628</v>
      </c>
      <c r="B918" s="3" t="s">
        <v>1988</v>
      </c>
      <c r="C918" s="3" t="s">
        <v>1989</v>
      </c>
      <c r="D918">
        <v>233</v>
      </c>
      <c r="E918" s="6">
        <v>45742</v>
      </c>
      <c r="F918">
        <v>100</v>
      </c>
      <c r="G918">
        <v>5.702</v>
      </c>
      <c r="H918">
        <v>0.92800000000000005</v>
      </c>
      <c r="I918" s="3" t="s">
        <v>8756</v>
      </c>
    </row>
    <row r="919" spans="1:9" x14ac:dyDescent="0.35">
      <c r="A919" s="3" t="s">
        <v>9629</v>
      </c>
      <c r="B919" s="3" t="s">
        <v>1990</v>
      </c>
      <c r="C919" s="3" t="s">
        <v>1991</v>
      </c>
      <c r="D919">
        <v>290</v>
      </c>
      <c r="E919" s="6">
        <v>45685</v>
      </c>
      <c r="F919">
        <v>0</v>
      </c>
      <c r="G919">
        <v>1E-3</v>
      </c>
      <c r="H919">
        <v>4.9000000000000002E-2</v>
      </c>
      <c r="I919" s="3" t="s">
        <v>8712</v>
      </c>
    </row>
    <row r="920" spans="1:9" x14ac:dyDescent="0.35">
      <c r="A920" s="3" t="s">
        <v>9630</v>
      </c>
      <c r="B920" s="3" t="s">
        <v>1992</v>
      </c>
      <c r="C920" s="3" t="s">
        <v>1993</v>
      </c>
      <c r="D920">
        <v>0</v>
      </c>
      <c r="E920" s="6">
        <v>45975</v>
      </c>
      <c r="F920">
        <v>50</v>
      </c>
      <c r="G920">
        <v>17.670000000000002</v>
      </c>
      <c r="H920">
        <v>1.33</v>
      </c>
      <c r="I920" s="3" t="s">
        <v>8701</v>
      </c>
    </row>
    <row r="921" spans="1:9" x14ac:dyDescent="0.35">
      <c r="A921" s="3" t="s">
        <v>8920</v>
      </c>
      <c r="B921" s="3" t="s">
        <v>498</v>
      </c>
      <c r="C921" s="3" t="s">
        <v>499</v>
      </c>
      <c r="D921">
        <v>1533</v>
      </c>
      <c r="E921" s="6">
        <v>44442</v>
      </c>
      <c r="F921">
        <v>0</v>
      </c>
      <c r="G921">
        <v>2.625</v>
      </c>
      <c r="H921">
        <v>0.875</v>
      </c>
      <c r="I921" s="3" t="s">
        <v>8699</v>
      </c>
    </row>
    <row r="922" spans="1:9" x14ac:dyDescent="0.35">
      <c r="A922" s="3" t="s">
        <v>9632</v>
      </c>
      <c r="B922" s="3" t="s">
        <v>1996</v>
      </c>
      <c r="C922" s="3" t="s">
        <v>1997</v>
      </c>
      <c r="D922">
        <v>955</v>
      </c>
      <c r="E922" s="6">
        <v>45020</v>
      </c>
      <c r="F922">
        <v>0</v>
      </c>
      <c r="G922">
        <v>0</v>
      </c>
      <c r="H922">
        <v>0</v>
      </c>
      <c r="I922" s="3" t="s">
        <v>28</v>
      </c>
    </row>
    <row r="923" spans="1:9" x14ac:dyDescent="0.35">
      <c r="A923" s="3" t="s">
        <v>9109</v>
      </c>
      <c r="B923" s="3" t="s">
        <v>899</v>
      </c>
      <c r="C923" s="3" t="s">
        <v>900</v>
      </c>
      <c r="D923">
        <v>1556</v>
      </c>
      <c r="E923" s="6">
        <v>44419</v>
      </c>
      <c r="F923">
        <v>0</v>
      </c>
      <c r="G923">
        <v>0.12</v>
      </c>
      <c r="H923">
        <v>0.48</v>
      </c>
      <c r="I923" s="3" t="s">
        <v>8699</v>
      </c>
    </row>
    <row r="924" spans="1:9" x14ac:dyDescent="0.35">
      <c r="A924" s="3" t="s">
        <v>9634</v>
      </c>
      <c r="B924" s="3" t="s">
        <v>2000</v>
      </c>
      <c r="C924" s="3" t="s">
        <v>2001</v>
      </c>
      <c r="D924">
        <v>955</v>
      </c>
      <c r="E924" s="6">
        <v>45020</v>
      </c>
      <c r="F924">
        <v>0</v>
      </c>
      <c r="G924">
        <v>0</v>
      </c>
      <c r="H924">
        <v>0</v>
      </c>
      <c r="I924" s="3" t="s">
        <v>28</v>
      </c>
    </row>
    <row r="925" spans="1:9" x14ac:dyDescent="0.35">
      <c r="A925" s="3" t="s">
        <v>9635</v>
      </c>
      <c r="B925" s="3" t="s">
        <v>2002</v>
      </c>
      <c r="C925" s="3" t="s">
        <v>2003</v>
      </c>
      <c r="D925">
        <v>18</v>
      </c>
      <c r="E925" s="6">
        <v>45957</v>
      </c>
      <c r="F925">
        <v>0</v>
      </c>
      <c r="G925">
        <v>9.6560000000000006</v>
      </c>
      <c r="H925">
        <v>4.5440000000000005</v>
      </c>
      <c r="I925" s="3" t="s">
        <v>8701</v>
      </c>
    </row>
    <row r="926" spans="1:9" x14ac:dyDescent="0.35">
      <c r="A926" s="3" t="s">
        <v>8745</v>
      </c>
      <c r="B926" s="3" t="s">
        <v>121</v>
      </c>
      <c r="C926" s="3" t="s">
        <v>122</v>
      </c>
      <c r="D926">
        <v>1576</v>
      </c>
      <c r="E926" s="6">
        <v>44399</v>
      </c>
      <c r="F926">
        <v>0</v>
      </c>
      <c r="G926">
        <v>14.55</v>
      </c>
      <c r="H926">
        <v>0.45</v>
      </c>
      <c r="I926" s="3" t="s">
        <v>8699</v>
      </c>
    </row>
    <row r="927" spans="1:9" x14ac:dyDescent="0.35">
      <c r="A927" s="3" t="s">
        <v>9637</v>
      </c>
      <c r="B927" s="3" t="s">
        <v>2006</v>
      </c>
      <c r="C927" s="3" t="s">
        <v>2007</v>
      </c>
      <c r="D927">
        <v>726</v>
      </c>
      <c r="E927" s="6">
        <v>45249</v>
      </c>
      <c r="F927">
        <v>0</v>
      </c>
      <c r="G927">
        <v>0</v>
      </c>
      <c r="H927">
        <v>0</v>
      </c>
      <c r="I927" s="3" t="s">
        <v>28</v>
      </c>
    </row>
    <row r="928" spans="1:9" x14ac:dyDescent="0.35">
      <c r="A928" s="3" t="s">
        <v>9638</v>
      </c>
      <c r="B928" s="3" t="s">
        <v>2008</v>
      </c>
      <c r="C928" s="3" t="s">
        <v>2009</v>
      </c>
      <c r="D928">
        <v>23</v>
      </c>
      <c r="E928" s="6">
        <v>45952</v>
      </c>
      <c r="F928">
        <v>0</v>
      </c>
      <c r="G928">
        <v>5.0000000000000001E-3</v>
      </c>
      <c r="H928">
        <v>0.125</v>
      </c>
      <c r="I928" s="3" t="s">
        <v>8712</v>
      </c>
    </row>
    <row r="929" spans="1:9" x14ac:dyDescent="0.35">
      <c r="A929" s="3" t="s">
        <v>8887</v>
      </c>
      <c r="B929" s="3" t="s">
        <v>433</v>
      </c>
      <c r="C929" s="3" t="s">
        <v>434</v>
      </c>
      <c r="D929">
        <v>1576</v>
      </c>
      <c r="E929" s="6">
        <v>44399</v>
      </c>
      <c r="F929">
        <v>0</v>
      </c>
      <c r="G929">
        <v>0.60499999999999998</v>
      </c>
      <c r="H929">
        <v>0.49500000000000005</v>
      </c>
      <c r="I929" s="3" t="s">
        <v>8699</v>
      </c>
    </row>
    <row r="930" spans="1:9" x14ac:dyDescent="0.35">
      <c r="A930" s="3" t="s">
        <v>9640</v>
      </c>
      <c r="B930" s="3" t="s">
        <v>2013</v>
      </c>
      <c r="C930" s="3" t="s">
        <v>2014</v>
      </c>
      <c r="D930">
        <v>163</v>
      </c>
      <c r="E930" s="6">
        <v>45812</v>
      </c>
      <c r="F930">
        <v>0</v>
      </c>
      <c r="G930">
        <v>6.0000000000000001E-3</v>
      </c>
      <c r="H930">
        <v>0.124</v>
      </c>
      <c r="I930" s="3" t="s">
        <v>8712</v>
      </c>
    </row>
    <row r="931" spans="1:9" x14ac:dyDescent="0.35">
      <c r="A931" s="3" t="s">
        <v>9641</v>
      </c>
      <c r="B931" s="3" t="s">
        <v>2015</v>
      </c>
      <c r="C931" s="3" t="s">
        <v>2016</v>
      </c>
      <c r="D931">
        <v>726</v>
      </c>
      <c r="E931" s="6">
        <v>45249</v>
      </c>
      <c r="F931">
        <v>0</v>
      </c>
      <c r="G931">
        <v>0</v>
      </c>
      <c r="H931">
        <v>0</v>
      </c>
      <c r="I931" s="3" t="s">
        <v>28</v>
      </c>
    </row>
    <row r="932" spans="1:9" x14ac:dyDescent="0.35">
      <c r="A932" s="3" t="s">
        <v>9642</v>
      </c>
      <c r="B932" s="3" t="s">
        <v>2017</v>
      </c>
      <c r="C932" s="3" t="s">
        <v>2018</v>
      </c>
      <c r="D932">
        <v>955</v>
      </c>
      <c r="E932" s="6">
        <v>45020</v>
      </c>
      <c r="F932">
        <v>0</v>
      </c>
      <c r="G932">
        <v>0</v>
      </c>
      <c r="H932">
        <v>0</v>
      </c>
      <c r="I932" s="3" t="s">
        <v>28</v>
      </c>
    </row>
    <row r="933" spans="1:9" x14ac:dyDescent="0.35">
      <c r="A933" s="3" t="s">
        <v>9570</v>
      </c>
      <c r="B933" s="3" t="s">
        <v>1868</v>
      </c>
      <c r="C933" s="3" t="s">
        <v>1869</v>
      </c>
      <c r="D933">
        <v>1576</v>
      </c>
      <c r="E933" s="6">
        <v>44399</v>
      </c>
      <c r="F933">
        <v>0</v>
      </c>
      <c r="G933">
        <v>0.04</v>
      </c>
      <c r="H933">
        <v>0.16</v>
      </c>
      <c r="I933" s="3" t="s">
        <v>8699</v>
      </c>
    </row>
    <row r="934" spans="1:9" x14ac:dyDescent="0.35">
      <c r="A934" s="3" t="s">
        <v>9644</v>
      </c>
      <c r="B934" s="3" t="s">
        <v>2021</v>
      </c>
      <c r="C934" s="3" t="s">
        <v>2022</v>
      </c>
      <c r="D934">
        <v>262</v>
      </c>
      <c r="E934" s="6">
        <v>45713</v>
      </c>
      <c r="F934">
        <v>0</v>
      </c>
      <c r="G934">
        <v>30.968</v>
      </c>
      <c r="H934">
        <v>0.63200000000000001</v>
      </c>
      <c r="I934" s="3" t="s">
        <v>8701</v>
      </c>
    </row>
    <row r="935" spans="1:9" x14ac:dyDescent="0.35">
      <c r="A935" s="3" t="s">
        <v>9808</v>
      </c>
      <c r="B935" s="3" t="s">
        <v>2375</v>
      </c>
      <c r="C935" s="3" t="s">
        <v>2376</v>
      </c>
      <c r="D935">
        <v>1577</v>
      </c>
      <c r="E935" s="6">
        <v>44398</v>
      </c>
      <c r="F935">
        <v>0</v>
      </c>
      <c r="G935">
        <v>23.352</v>
      </c>
      <c r="H935">
        <v>4.4480000000000004</v>
      </c>
      <c r="I935" s="3" t="s">
        <v>8699</v>
      </c>
    </row>
    <row r="936" spans="1:9" x14ac:dyDescent="0.35">
      <c r="A936" s="3" t="s">
        <v>9960</v>
      </c>
      <c r="B936" s="3" t="s">
        <v>2699</v>
      </c>
      <c r="C936" s="3" t="s">
        <v>2700</v>
      </c>
      <c r="D936">
        <v>1592</v>
      </c>
      <c r="E936" s="6">
        <v>44383</v>
      </c>
      <c r="F936">
        <v>0</v>
      </c>
      <c r="G936">
        <v>1.8480000000000001</v>
      </c>
      <c r="H936">
        <v>0.252</v>
      </c>
      <c r="I936" s="3" t="s">
        <v>8699</v>
      </c>
    </row>
    <row r="937" spans="1:9" x14ac:dyDescent="0.35">
      <c r="A937" s="3" t="s">
        <v>9647</v>
      </c>
      <c r="B937" s="3" t="s">
        <v>2030</v>
      </c>
      <c r="C937" s="3" t="s">
        <v>2031</v>
      </c>
      <c r="D937">
        <v>366</v>
      </c>
      <c r="E937" s="6">
        <v>45609</v>
      </c>
      <c r="F937">
        <v>0</v>
      </c>
      <c r="G937">
        <v>6.0000000000000001E-3</v>
      </c>
      <c r="H937">
        <v>0.10400000000000001</v>
      </c>
      <c r="I937" s="3" t="s">
        <v>8712</v>
      </c>
    </row>
    <row r="938" spans="1:9" x14ac:dyDescent="0.35">
      <c r="A938" s="3" t="s">
        <v>9648</v>
      </c>
      <c r="B938" s="3" t="s">
        <v>2032</v>
      </c>
      <c r="C938" s="3" t="s">
        <v>2033</v>
      </c>
      <c r="D938">
        <v>25</v>
      </c>
      <c r="E938" s="6">
        <v>45950</v>
      </c>
      <c r="F938">
        <v>0</v>
      </c>
      <c r="G938">
        <v>25.48</v>
      </c>
      <c r="H938">
        <v>2.52</v>
      </c>
      <c r="I938" s="3" t="s">
        <v>8701</v>
      </c>
    </row>
    <row r="939" spans="1:9" x14ac:dyDescent="0.35">
      <c r="A939" s="3" t="s">
        <v>9649</v>
      </c>
      <c r="B939" s="3" t="s">
        <v>2034</v>
      </c>
      <c r="C939" s="3" t="s">
        <v>2035</v>
      </c>
      <c r="D939">
        <v>955</v>
      </c>
      <c r="E939" s="6">
        <v>45020</v>
      </c>
      <c r="F939">
        <v>0</v>
      </c>
      <c r="G939">
        <v>0</v>
      </c>
      <c r="H939">
        <v>0</v>
      </c>
      <c r="I939" s="3" t="s">
        <v>28</v>
      </c>
    </row>
    <row r="940" spans="1:9" x14ac:dyDescent="0.35">
      <c r="A940" s="3" t="s">
        <v>9650</v>
      </c>
      <c r="B940" s="3" t="s">
        <v>2037</v>
      </c>
      <c r="C940" s="3" t="s">
        <v>2038</v>
      </c>
      <c r="D940">
        <v>5646</v>
      </c>
      <c r="E940" s="6">
        <v>40329</v>
      </c>
      <c r="F940">
        <v>0</v>
      </c>
      <c r="G940">
        <v>9.0000000000000011E-3</v>
      </c>
      <c r="H940">
        <v>0.249</v>
      </c>
      <c r="I940" s="3" t="s">
        <v>8712</v>
      </c>
    </row>
    <row r="941" spans="1:9" x14ac:dyDescent="0.35">
      <c r="A941" s="3" t="s">
        <v>9651</v>
      </c>
      <c r="B941" s="3" t="s">
        <v>2042</v>
      </c>
      <c r="C941" s="3" t="s">
        <v>2043</v>
      </c>
      <c r="D941">
        <v>46</v>
      </c>
      <c r="E941" s="6">
        <v>45929</v>
      </c>
      <c r="F941">
        <v>150</v>
      </c>
      <c r="G941">
        <v>18.7</v>
      </c>
      <c r="H941">
        <v>3.3000000000000003</v>
      </c>
      <c r="I941" s="3" t="s">
        <v>8701</v>
      </c>
    </row>
    <row r="942" spans="1:9" x14ac:dyDescent="0.35">
      <c r="A942" s="3" t="s">
        <v>11370</v>
      </c>
      <c r="B942" s="3" t="s">
        <v>5682</v>
      </c>
      <c r="C942" s="3" t="s">
        <v>5683</v>
      </c>
      <c r="D942">
        <v>1621</v>
      </c>
      <c r="E942" s="6">
        <v>44354</v>
      </c>
      <c r="F942">
        <v>50</v>
      </c>
      <c r="G942">
        <v>0.34</v>
      </c>
      <c r="H942">
        <v>0.47000000000000003</v>
      </c>
      <c r="I942" s="3" t="s">
        <v>8699</v>
      </c>
    </row>
    <row r="943" spans="1:9" x14ac:dyDescent="0.35">
      <c r="A943" s="3" t="s">
        <v>9653</v>
      </c>
      <c r="B943" s="3" t="s">
        <v>2046</v>
      </c>
      <c r="C943" s="3" t="s">
        <v>2047</v>
      </c>
      <c r="D943">
        <v>955</v>
      </c>
      <c r="E943" s="6">
        <v>45020</v>
      </c>
      <c r="F943">
        <v>0</v>
      </c>
      <c r="G943">
        <v>0</v>
      </c>
      <c r="H943">
        <v>0</v>
      </c>
      <c r="I943" s="3" t="s">
        <v>28</v>
      </c>
    </row>
    <row r="944" spans="1:9" x14ac:dyDescent="0.35">
      <c r="A944" s="3" t="s">
        <v>9654</v>
      </c>
      <c r="B944" s="3" t="s">
        <v>2048</v>
      </c>
      <c r="C944" s="3" t="s">
        <v>2049</v>
      </c>
      <c r="D944">
        <v>207</v>
      </c>
      <c r="E944" s="6">
        <v>45768</v>
      </c>
      <c r="F944">
        <v>100</v>
      </c>
      <c r="G944">
        <v>0.42</v>
      </c>
      <c r="H944">
        <v>0.98</v>
      </c>
      <c r="I944" s="3" t="s">
        <v>8756</v>
      </c>
    </row>
    <row r="945" spans="1:9" x14ac:dyDescent="0.35">
      <c r="A945" s="3" t="s">
        <v>9655</v>
      </c>
      <c r="B945" s="3" t="s">
        <v>2050</v>
      </c>
      <c r="C945" s="3" t="s">
        <v>2051</v>
      </c>
      <c r="D945">
        <v>160</v>
      </c>
      <c r="E945" s="6">
        <v>45815</v>
      </c>
      <c r="F945">
        <v>100</v>
      </c>
      <c r="G945">
        <v>0.54</v>
      </c>
      <c r="H945">
        <v>0.96</v>
      </c>
      <c r="I945" s="3" t="s">
        <v>8756</v>
      </c>
    </row>
    <row r="946" spans="1:9" x14ac:dyDescent="0.35">
      <c r="A946" s="3" t="s">
        <v>9656</v>
      </c>
      <c r="B946" s="3" t="s">
        <v>2052</v>
      </c>
      <c r="C946" s="3" t="s">
        <v>2053</v>
      </c>
      <c r="D946">
        <v>318</v>
      </c>
      <c r="E946" s="6">
        <v>45657</v>
      </c>
      <c r="F946">
        <v>50</v>
      </c>
      <c r="G946">
        <v>68.600000000000009</v>
      </c>
      <c r="H946">
        <v>1.4000000000000001</v>
      </c>
      <c r="I946" s="3" t="s">
        <v>8701</v>
      </c>
    </row>
    <row r="947" spans="1:9" x14ac:dyDescent="0.35">
      <c r="A947" s="3" t="s">
        <v>8891</v>
      </c>
      <c r="B947" s="3" t="s">
        <v>441</v>
      </c>
      <c r="C947" s="3" t="s">
        <v>442</v>
      </c>
      <c r="D947">
        <v>1647</v>
      </c>
      <c r="E947" s="6">
        <v>44328</v>
      </c>
      <c r="F947">
        <v>0</v>
      </c>
      <c r="G947">
        <v>0.56800000000000006</v>
      </c>
      <c r="H947">
        <v>0.41200000000000003</v>
      </c>
      <c r="I947" s="3" t="s">
        <v>8699</v>
      </c>
    </row>
    <row r="948" spans="1:9" x14ac:dyDescent="0.35">
      <c r="A948" s="3" t="s">
        <v>9658</v>
      </c>
      <c r="B948" s="3" t="s">
        <v>2056</v>
      </c>
      <c r="C948" s="3" t="s">
        <v>2057</v>
      </c>
      <c r="D948">
        <v>0</v>
      </c>
      <c r="E948" s="6">
        <v>45975</v>
      </c>
      <c r="F948">
        <v>100</v>
      </c>
      <c r="G948">
        <v>1.1000000000000001</v>
      </c>
      <c r="H948">
        <v>0.9</v>
      </c>
      <c r="I948" s="3" t="s">
        <v>9145</v>
      </c>
    </row>
    <row r="949" spans="1:9" x14ac:dyDescent="0.35">
      <c r="A949" s="3" t="s">
        <v>9659</v>
      </c>
      <c r="B949" s="3" t="s">
        <v>2058</v>
      </c>
      <c r="C949" s="3" t="s">
        <v>2059</v>
      </c>
      <c r="D949">
        <v>94</v>
      </c>
      <c r="E949" s="6">
        <v>45881</v>
      </c>
      <c r="F949">
        <v>0</v>
      </c>
      <c r="G949">
        <v>2.2800000000000002</v>
      </c>
      <c r="H949">
        <v>3.72</v>
      </c>
      <c r="I949" s="3" t="s">
        <v>8756</v>
      </c>
    </row>
    <row r="950" spans="1:9" x14ac:dyDescent="0.35">
      <c r="A950" s="3" t="s">
        <v>9660</v>
      </c>
      <c r="B950" s="3" t="s">
        <v>2060</v>
      </c>
      <c r="C950" s="3" t="s">
        <v>2061</v>
      </c>
      <c r="D950">
        <v>955</v>
      </c>
      <c r="E950" s="6">
        <v>45020</v>
      </c>
      <c r="F950">
        <v>0</v>
      </c>
      <c r="G950">
        <v>0</v>
      </c>
      <c r="H950">
        <v>0</v>
      </c>
      <c r="I950" s="3" t="s">
        <v>28</v>
      </c>
    </row>
    <row r="951" spans="1:9" x14ac:dyDescent="0.35">
      <c r="A951" s="3" t="s">
        <v>9661</v>
      </c>
      <c r="B951" s="3" t="s">
        <v>2062</v>
      </c>
      <c r="C951" s="3" t="s">
        <v>2063</v>
      </c>
      <c r="D951">
        <v>23</v>
      </c>
      <c r="E951" s="6">
        <v>45952</v>
      </c>
      <c r="F951">
        <v>0</v>
      </c>
      <c r="G951">
        <v>10.26</v>
      </c>
      <c r="H951">
        <v>6.84</v>
      </c>
      <c r="I951" s="3" t="s">
        <v>8701</v>
      </c>
    </row>
    <row r="952" spans="1:9" x14ac:dyDescent="0.35">
      <c r="A952" s="3" t="s">
        <v>9833</v>
      </c>
      <c r="B952" s="3" t="s">
        <v>2427</v>
      </c>
      <c r="C952" s="3" t="s">
        <v>2428</v>
      </c>
      <c r="D952">
        <v>1661</v>
      </c>
      <c r="E952" s="6">
        <v>44314</v>
      </c>
      <c r="F952">
        <v>0</v>
      </c>
      <c r="G952">
        <v>3.8000000000000003</v>
      </c>
      <c r="H952">
        <v>1.2</v>
      </c>
      <c r="I952" s="3" t="s">
        <v>8699</v>
      </c>
    </row>
    <row r="953" spans="1:9" x14ac:dyDescent="0.35">
      <c r="A953" s="3" t="s">
        <v>9506</v>
      </c>
      <c r="B953" s="3" t="s">
        <v>1724</v>
      </c>
      <c r="C953" s="3" t="s">
        <v>1725</v>
      </c>
      <c r="D953">
        <v>1695</v>
      </c>
      <c r="E953" s="6">
        <v>44280</v>
      </c>
      <c r="F953">
        <v>0</v>
      </c>
      <c r="G953">
        <v>1.101</v>
      </c>
      <c r="H953">
        <v>0.61899999999999999</v>
      </c>
      <c r="I953" s="3" t="s">
        <v>8699</v>
      </c>
    </row>
    <row r="954" spans="1:9" x14ac:dyDescent="0.35">
      <c r="A954" s="3" t="s">
        <v>9664</v>
      </c>
      <c r="B954" s="3" t="s">
        <v>2068</v>
      </c>
      <c r="C954" s="3" t="s">
        <v>2069</v>
      </c>
      <c r="D954">
        <v>955</v>
      </c>
      <c r="E954" s="6">
        <v>45020</v>
      </c>
      <c r="F954">
        <v>0</v>
      </c>
      <c r="G954">
        <v>0</v>
      </c>
      <c r="H954">
        <v>0</v>
      </c>
      <c r="I954" s="3" t="s">
        <v>28</v>
      </c>
    </row>
    <row r="955" spans="1:9" x14ac:dyDescent="0.35">
      <c r="A955" s="3" t="s">
        <v>9665</v>
      </c>
      <c r="B955" s="3" t="s">
        <v>2070</v>
      </c>
      <c r="C955" s="3" t="s">
        <v>2071</v>
      </c>
      <c r="D955">
        <v>45</v>
      </c>
      <c r="E955" s="6">
        <v>45930</v>
      </c>
      <c r="F955">
        <v>100</v>
      </c>
      <c r="G955">
        <v>38.800000000000004</v>
      </c>
      <c r="H955">
        <v>1.2</v>
      </c>
      <c r="I955" s="3" t="s">
        <v>8705</v>
      </c>
    </row>
    <row r="956" spans="1:9" x14ac:dyDescent="0.35">
      <c r="A956" s="3" t="s">
        <v>9666</v>
      </c>
      <c r="B956" s="3" t="s">
        <v>2072</v>
      </c>
      <c r="C956" s="3" t="s">
        <v>2073</v>
      </c>
      <c r="D956">
        <v>31</v>
      </c>
      <c r="E956" s="6">
        <v>45944</v>
      </c>
      <c r="F956">
        <v>0</v>
      </c>
      <c r="G956">
        <v>16.716000000000001</v>
      </c>
      <c r="H956">
        <v>8.4000000000000005E-2</v>
      </c>
      <c r="I956" s="3" t="s">
        <v>8701</v>
      </c>
    </row>
    <row r="957" spans="1:9" x14ac:dyDescent="0.35">
      <c r="A957" s="3" t="s">
        <v>9667</v>
      </c>
      <c r="B957" s="3" t="s">
        <v>2074</v>
      </c>
      <c r="C957" s="3" t="s">
        <v>2075</v>
      </c>
      <c r="D957">
        <v>955</v>
      </c>
      <c r="E957" s="6">
        <v>45020</v>
      </c>
      <c r="F957">
        <v>0</v>
      </c>
      <c r="G957">
        <v>0</v>
      </c>
      <c r="H957">
        <v>0</v>
      </c>
      <c r="I957" s="3" t="s">
        <v>28</v>
      </c>
    </row>
    <row r="958" spans="1:9" x14ac:dyDescent="0.35">
      <c r="A958" s="3" t="s">
        <v>9578</v>
      </c>
      <c r="B958" s="3" t="s">
        <v>1884</v>
      </c>
      <c r="C958" s="3" t="s">
        <v>1885</v>
      </c>
      <c r="D958">
        <v>1719</v>
      </c>
      <c r="E958" s="6">
        <v>44256</v>
      </c>
      <c r="F958">
        <v>0</v>
      </c>
      <c r="G958">
        <v>1.96</v>
      </c>
      <c r="H958">
        <v>0.04</v>
      </c>
      <c r="I958" s="3" t="s">
        <v>8699</v>
      </c>
    </row>
    <row r="959" spans="1:9" x14ac:dyDescent="0.35">
      <c r="A959" s="3" t="s">
        <v>9669</v>
      </c>
      <c r="B959" s="3" t="s">
        <v>2078</v>
      </c>
      <c r="C959" s="3" t="s">
        <v>2079</v>
      </c>
      <c r="D959">
        <v>49</v>
      </c>
      <c r="E959" s="6">
        <v>45926</v>
      </c>
      <c r="F959">
        <v>0</v>
      </c>
      <c r="G959">
        <v>159.84</v>
      </c>
      <c r="H959">
        <v>0.16</v>
      </c>
      <c r="I959" s="3" t="s">
        <v>8701</v>
      </c>
    </row>
    <row r="960" spans="1:9" x14ac:dyDescent="0.35">
      <c r="A960" s="3" t="s">
        <v>9670</v>
      </c>
      <c r="B960" s="3" t="s">
        <v>2080</v>
      </c>
      <c r="C960" s="3" t="s">
        <v>2081</v>
      </c>
      <c r="D960">
        <v>44</v>
      </c>
      <c r="E960" s="6">
        <v>45931</v>
      </c>
      <c r="F960">
        <v>8</v>
      </c>
      <c r="G960">
        <v>6.3050000000000006</v>
      </c>
      <c r="H960">
        <v>0.19500000000000001</v>
      </c>
      <c r="I960" s="3" t="s">
        <v>8756</v>
      </c>
    </row>
    <row r="961" spans="1:9" x14ac:dyDescent="0.35">
      <c r="A961" s="3" t="s">
        <v>9577</v>
      </c>
      <c r="B961" s="3" t="s">
        <v>1882</v>
      </c>
      <c r="C961" s="3" t="s">
        <v>1883</v>
      </c>
      <c r="D961">
        <v>1723</v>
      </c>
      <c r="E961" s="6">
        <v>44252</v>
      </c>
      <c r="F961">
        <v>0</v>
      </c>
      <c r="G961">
        <v>8.91</v>
      </c>
      <c r="H961">
        <v>0.09</v>
      </c>
      <c r="I961" s="3" t="s">
        <v>8699</v>
      </c>
    </row>
    <row r="962" spans="1:9" x14ac:dyDescent="0.35">
      <c r="A962" s="3" t="s">
        <v>9792</v>
      </c>
      <c r="B962" s="3" t="s">
        <v>2342</v>
      </c>
      <c r="C962" s="3" t="s">
        <v>2343</v>
      </c>
      <c r="D962">
        <v>1747</v>
      </c>
      <c r="E962" s="6">
        <v>44228</v>
      </c>
      <c r="F962">
        <v>0</v>
      </c>
      <c r="G962">
        <v>1.8000000000000002E-2</v>
      </c>
      <c r="H962">
        <v>0.872</v>
      </c>
      <c r="I962" s="3" t="s">
        <v>8699</v>
      </c>
    </row>
    <row r="963" spans="1:9" x14ac:dyDescent="0.35">
      <c r="A963" s="3" t="s">
        <v>9673</v>
      </c>
      <c r="B963" s="3" t="s">
        <v>2086</v>
      </c>
      <c r="C963" s="3" t="s">
        <v>2087</v>
      </c>
      <c r="D963">
        <v>23</v>
      </c>
      <c r="E963" s="6">
        <v>45952</v>
      </c>
      <c r="F963">
        <v>0</v>
      </c>
      <c r="G963">
        <v>25.38</v>
      </c>
      <c r="H963">
        <v>1.62</v>
      </c>
      <c r="I963" s="3" t="s">
        <v>8756</v>
      </c>
    </row>
    <row r="964" spans="1:9" x14ac:dyDescent="0.35">
      <c r="A964" s="3" t="s">
        <v>10853</v>
      </c>
      <c r="B964" s="3" t="s">
        <v>4588</v>
      </c>
      <c r="C964" s="3" t="s">
        <v>4589</v>
      </c>
      <c r="D964">
        <v>1747</v>
      </c>
      <c r="E964" s="6">
        <v>44228</v>
      </c>
      <c r="F964">
        <v>0</v>
      </c>
      <c r="G964">
        <v>4.4000000000000004</v>
      </c>
      <c r="H964">
        <v>0.6</v>
      </c>
      <c r="I964" s="3" t="s">
        <v>8699</v>
      </c>
    </row>
    <row r="965" spans="1:9" x14ac:dyDescent="0.35">
      <c r="A965" s="3" t="s">
        <v>9412</v>
      </c>
      <c r="B965" s="3" t="s">
        <v>1534</v>
      </c>
      <c r="C965" s="3" t="s">
        <v>1535</v>
      </c>
      <c r="D965">
        <v>1771</v>
      </c>
      <c r="E965" s="6">
        <v>44204</v>
      </c>
      <c r="F965">
        <v>0</v>
      </c>
      <c r="G965">
        <v>0.184</v>
      </c>
      <c r="H965">
        <v>0.96600000000000008</v>
      </c>
      <c r="I965" s="3" t="s">
        <v>8699</v>
      </c>
    </row>
    <row r="966" spans="1:9" x14ac:dyDescent="0.35">
      <c r="A966" s="3" t="s">
        <v>9002</v>
      </c>
      <c r="B966" s="3" t="s">
        <v>674</v>
      </c>
      <c r="C966" s="3" t="s">
        <v>675</v>
      </c>
      <c r="D966">
        <v>1789</v>
      </c>
      <c r="E966" s="6">
        <v>44186</v>
      </c>
      <c r="F966">
        <v>0</v>
      </c>
      <c r="G966">
        <v>0.09</v>
      </c>
      <c r="H966">
        <v>0.11</v>
      </c>
      <c r="I966" s="3" t="s">
        <v>8699</v>
      </c>
    </row>
    <row r="967" spans="1:9" x14ac:dyDescent="0.35">
      <c r="A967" s="3" t="s">
        <v>9211</v>
      </c>
      <c r="B967" s="3" t="s">
        <v>1115</v>
      </c>
      <c r="C967" s="3" t="s">
        <v>1116</v>
      </c>
      <c r="D967">
        <v>1789</v>
      </c>
      <c r="E967" s="6">
        <v>44186</v>
      </c>
      <c r="F967">
        <v>0</v>
      </c>
      <c r="G967">
        <v>8.0000000000000002E-3</v>
      </c>
      <c r="H967">
        <v>0.17200000000000001</v>
      </c>
      <c r="I967" s="3" t="s">
        <v>8699</v>
      </c>
    </row>
    <row r="968" spans="1:9" x14ac:dyDescent="0.35">
      <c r="A968" s="3" t="s">
        <v>9678</v>
      </c>
      <c r="B968" s="3" t="s">
        <v>2097</v>
      </c>
      <c r="C968" s="3" t="s">
        <v>2098</v>
      </c>
      <c r="D968">
        <v>109</v>
      </c>
      <c r="E968" s="6">
        <v>45866</v>
      </c>
      <c r="F968">
        <v>50</v>
      </c>
      <c r="G968">
        <v>3.9780000000000002</v>
      </c>
      <c r="H968">
        <v>1.1220000000000001</v>
      </c>
      <c r="I968" s="3" t="s">
        <v>8729</v>
      </c>
    </row>
    <row r="969" spans="1:9" x14ac:dyDescent="0.35">
      <c r="A969" s="3" t="s">
        <v>9679</v>
      </c>
      <c r="B969" s="3" t="s">
        <v>2099</v>
      </c>
      <c r="C969" s="3" t="s">
        <v>2100</v>
      </c>
      <c r="D969">
        <v>146</v>
      </c>
      <c r="E969" s="6">
        <v>45829</v>
      </c>
      <c r="F969">
        <v>100</v>
      </c>
      <c r="G969">
        <v>0.8580000000000001</v>
      </c>
      <c r="H969">
        <v>1.5920000000000001</v>
      </c>
      <c r="I969" s="3" t="s">
        <v>8756</v>
      </c>
    </row>
    <row r="970" spans="1:9" x14ac:dyDescent="0.35">
      <c r="A970" s="3" t="s">
        <v>9474</v>
      </c>
      <c r="B970" s="3" t="s">
        <v>1661</v>
      </c>
      <c r="C970" s="3" t="s">
        <v>1662</v>
      </c>
      <c r="D970">
        <v>1789</v>
      </c>
      <c r="E970" s="6">
        <v>44186</v>
      </c>
      <c r="F970">
        <v>0</v>
      </c>
      <c r="G970">
        <v>7.0000000000000001E-3</v>
      </c>
      <c r="H970">
        <v>0.14300000000000002</v>
      </c>
      <c r="I970" s="3" t="s">
        <v>8699</v>
      </c>
    </row>
    <row r="971" spans="1:9" x14ac:dyDescent="0.35">
      <c r="A971" s="3" t="s">
        <v>9681</v>
      </c>
      <c r="B971" s="3" t="s">
        <v>2103</v>
      </c>
      <c r="C971" s="3" t="s">
        <v>2104</v>
      </c>
      <c r="D971">
        <v>170</v>
      </c>
      <c r="E971" s="6">
        <v>45805</v>
      </c>
      <c r="F971">
        <v>110</v>
      </c>
      <c r="G971">
        <v>18.690000000000001</v>
      </c>
      <c r="H971">
        <v>2.31</v>
      </c>
      <c r="I971" s="3" t="s">
        <v>8701</v>
      </c>
    </row>
    <row r="972" spans="1:9" x14ac:dyDescent="0.35">
      <c r="A972" s="3" t="s">
        <v>9685</v>
      </c>
      <c r="B972" s="3" t="s">
        <v>2112</v>
      </c>
      <c r="C972" s="3" t="s">
        <v>2113</v>
      </c>
      <c r="D972">
        <v>1789</v>
      </c>
      <c r="E972" s="6">
        <v>44186</v>
      </c>
      <c r="F972">
        <v>0</v>
      </c>
      <c r="G972">
        <v>1.3000000000000001E-2</v>
      </c>
      <c r="H972">
        <v>0.307</v>
      </c>
      <c r="I972" s="3" t="s">
        <v>8699</v>
      </c>
    </row>
    <row r="973" spans="1:9" x14ac:dyDescent="0.35">
      <c r="A973" s="3" t="s">
        <v>9683</v>
      </c>
      <c r="B973" s="3" t="s">
        <v>2108</v>
      </c>
      <c r="C973" s="3" t="s">
        <v>2109</v>
      </c>
      <c r="D973">
        <v>145</v>
      </c>
      <c r="E973" s="6">
        <v>45830</v>
      </c>
      <c r="F973">
        <v>0</v>
      </c>
      <c r="G973">
        <v>7.74</v>
      </c>
      <c r="H973">
        <v>1.26</v>
      </c>
      <c r="I973" s="3" t="s">
        <v>8701</v>
      </c>
    </row>
    <row r="974" spans="1:9" x14ac:dyDescent="0.35">
      <c r="A974" s="3" t="s">
        <v>9684</v>
      </c>
      <c r="B974" s="3" t="s">
        <v>2110</v>
      </c>
      <c r="C974" s="3" t="s">
        <v>2111</v>
      </c>
      <c r="D974">
        <v>23</v>
      </c>
      <c r="E974" s="6">
        <v>45952</v>
      </c>
      <c r="F974">
        <v>0</v>
      </c>
      <c r="G974">
        <v>8.0000000000000002E-3</v>
      </c>
      <c r="H974">
        <v>0.192</v>
      </c>
      <c r="I974" s="3" t="s">
        <v>8712</v>
      </c>
    </row>
    <row r="975" spans="1:9" x14ac:dyDescent="0.35">
      <c r="A975" s="3" t="s">
        <v>9781</v>
      </c>
      <c r="B975" s="3" t="s">
        <v>2311</v>
      </c>
      <c r="C975" s="3" t="s">
        <v>2312</v>
      </c>
      <c r="D975">
        <v>1789</v>
      </c>
      <c r="E975" s="6">
        <v>44186</v>
      </c>
      <c r="F975">
        <v>0</v>
      </c>
      <c r="G975">
        <v>9.0000000000000011E-3</v>
      </c>
      <c r="H975">
        <v>0.21100000000000002</v>
      </c>
      <c r="I975" s="3" t="s">
        <v>8699</v>
      </c>
    </row>
    <row r="976" spans="1:9" x14ac:dyDescent="0.35">
      <c r="A976" s="3" t="s">
        <v>9845</v>
      </c>
      <c r="B976" s="3" t="s">
        <v>2453</v>
      </c>
      <c r="C976" s="3" t="s">
        <v>2454</v>
      </c>
      <c r="D976">
        <v>1789</v>
      </c>
      <c r="E976" s="6">
        <v>44186</v>
      </c>
      <c r="F976">
        <v>0</v>
      </c>
      <c r="G976">
        <v>4.0000000000000001E-3</v>
      </c>
      <c r="H976">
        <v>9.6000000000000002E-2</v>
      </c>
      <c r="I976" s="3" t="s">
        <v>8699</v>
      </c>
    </row>
    <row r="977" spans="1:9" x14ac:dyDescent="0.35">
      <c r="A977" s="3" t="s">
        <v>9687</v>
      </c>
      <c r="B977" s="3" t="s">
        <v>2116</v>
      </c>
      <c r="C977" s="3" t="s">
        <v>2117</v>
      </c>
      <c r="D977">
        <v>109</v>
      </c>
      <c r="E977" s="6">
        <v>45866</v>
      </c>
      <c r="F977">
        <v>0</v>
      </c>
      <c r="G977">
        <v>39.270000000000003</v>
      </c>
      <c r="H977">
        <v>2.73</v>
      </c>
      <c r="I977" s="3" t="s">
        <v>8701</v>
      </c>
    </row>
    <row r="978" spans="1:9" x14ac:dyDescent="0.35">
      <c r="A978" s="3" t="s">
        <v>9688</v>
      </c>
      <c r="B978" s="3" t="s">
        <v>2118</v>
      </c>
      <c r="C978" s="3" t="s">
        <v>2119</v>
      </c>
      <c r="D978">
        <v>23</v>
      </c>
      <c r="E978" s="6">
        <v>45952</v>
      </c>
      <c r="F978">
        <v>0</v>
      </c>
      <c r="G978">
        <v>50.44</v>
      </c>
      <c r="H978">
        <v>1.56</v>
      </c>
      <c r="I978" s="3" t="s">
        <v>8701</v>
      </c>
    </row>
    <row r="979" spans="1:9" x14ac:dyDescent="0.35">
      <c r="A979" s="3" t="s">
        <v>9905</v>
      </c>
      <c r="B979" s="3" t="s">
        <v>2576</v>
      </c>
      <c r="C979" s="3" t="s">
        <v>2577</v>
      </c>
      <c r="D979">
        <v>1789</v>
      </c>
      <c r="E979" s="6">
        <v>44186</v>
      </c>
      <c r="F979">
        <v>0</v>
      </c>
      <c r="G979">
        <v>4.0000000000000001E-3</v>
      </c>
      <c r="H979">
        <v>9.6000000000000002E-2</v>
      </c>
      <c r="I979" s="3" t="s">
        <v>8699</v>
      </c>
    </row>
    <row r="980" spans="1:9" x14ac:dyDescent="0.35">
      <c r="A980" s="3" t="s">
        <v>9690</v>
      </c>
      <c r="B980" s="3" t="s">
        <v>2122</v>
      </c>
      <c r="C980" s="3" t="s">
        <v>2123</v>
      </c>
      <c r="D980">
        <v>23</v>
      </c>
      <c r="E980" s="6">
        <v>45952</v>
      </c>
      <c r="F980">
        <v>0</v>
      </c>
      <c r="G980">
        <v>66.5</v>
      </c>
      <c r="H980">
        <v>3.5</v>
      </c>
      <c r="I980" s="3" t="s">
        <v>8701</v>
      </c>
    </row>
    <row r="981" spans="1:9" x14ac:dyDescent="0.35">
      <c r="A981" s="3" t="s">
        <v>9691</v>
      </c>
      <c r="B981" s="3" t="s">
        <v>2124</v>
      </c>
      <c r="C981" s="3" t="s">
        <v>2125</v>
      </c>
      <c r="D981">
        <v>955</v>
      </c>
      <c r="E981" s="6">
        <v>45020</v>
      </c>
      <c r="F981">
        <v>0</v>
      </c>
      <c r="G981">
        <v>0</v>
      </c>
      <c r="H981">
        <v>0</v>
      </c>
      <c r="I981" s="3" t="s">
        <v>28</v>
      </c>
    </row>
    <row r="982" spans="1:9" x14ac:dyDescent="0.35">
      <c r="A982" s="3" t="s">
        <v>9692</v>
      </c>
      <c r="B982" s="3" t="s">
        <v>2126</v>
      </c>
      <c r="C982" s="3" t="s">
        <v>2127</v>
      </c>
      <c r="D982">
        <v>18</v>
      </c>
      <c r="E982" s="6">
        <v>45957</v>
      </c>
      <c r="F982">
        <v>0</v>
      </c>
      <c r="G982">
        <v>15.229000000000001</v>
      </c>
      <c r="H982">
        <v>0.47100000000000003</v>
      </c>
      <c r="I982" s="3" t="s">
        <v>8703</v>
      </c>
    </row>
    <row r="983" spans="1:9" x14ac:dyDescent="0.35">
      <c r="A983" s="3" t="s">
        <v>9693</v>
      </c>
      <c r="B983" s="3" t="s">
        <v>2128</v>
      </c>
      <c r="C983" s="3" t="s">
        <v>2129</v>
      </c>
      <c r="D983">
        <v>108</v>
      </c>
      <c r="E983" s="6">
        <v>45867</v>
      </c>
      <c r="F983">
        <v>0</v>
      </c>
      <c r="G983">
        <v>1.6380000000000001</v>
      </c>
      <c r="H983">
        <v>0.96200000000000008</v>
      </c>
      <c r="I983" s="3" t="s">
        <v>8701</v>
      </c>
    </row>
    <row r="984" spans="1:9" x14ac:dyDescent="0.35">
      <c r="A984" s="3" t="s">
        <v>9694</v>
      </c>
      <c r="B984" s="3" t="s">
        <v>2130</v>
      </c>
      <c r="C984" s="3" t="s">
        <v>2131</v>
      </c>
      <c r="D984">
        <v>23</v>
      </c>
      <c r="E984" s="6">
        <v>45952</v>
      </c>
      <c r="F984">
        <v>0</v>
      </c>
      <c r="G984">
        <v>5.0000000000000001E-3</v>
      </c>
      <c r="H984">
        <v>0.125</v>
      </c>
      <c r="I984" s="3" t="s">
        <v>8712</v>
      </c>
    </row>
    <row r="985" spans="1:9" x14ac:dyDescent="0.35">
      <c r="A985" s="3" t="s">
        <v>9941</v>
      </c>
      <c r="B985" s="3" t="s">
        <v>2660</v>
      </c>
      <c r="C985" s="3" t="s">
        <v>2661</v>
      </c>
      <c r="D985">
        <v>1789</v>
      </c>
      <c r="E985" s="6">
        <v>44186</v>
      </c>
      <c r="F985">
        <v>0</v>
      </c>
      <c r="G985">
        <v>2E-3</v>
      </c>
      <c r="H985">
        <v>0.35800000000000004</v>
      </c>
      <c r="I985" s="3" t="s">
        <v>8699</v>
      </c>
    </row>
    <row r="986" spans="1:9" x14ac:dyDescent="0.35">
      <c r="A986" s="3" t="s">
        <v>9977</v>
      </c>
      <c r="B986" s="3" t="s">
        <v>2733</v>
      </c>
      <c r="C986" s="3" t="s">
        <v>2734</v>
      </c>
      <c r="D986">
        <v>1789</v>
      </c>
      <c r="E986" s="6">
        <v>44186</v>
      </c>
      <c r="F986">
        <v>0</v>
      </c>
      <c r="G986">
        <v>2E-3</v>
      </c>
      <c r="H986">
        <v>4.8000000000000001E-2</v>
      </c>
      <c r="I986" s="3" t="s">
        <v>8699</v>
      </c>
    </row>
    <row r="987" spans="1:9" x14ac:dyDescent="0.35">
      <c r="A987" s="3" t="s">
        <v>9697</v>
      </c>
      <c r="B987" s="3" t="s">
        <v>2136</v>
      </c>
      <c r="C987" s="3" t="s">
        <v>2137</v>
      </c>
      <c r="D987">
        <v>25</v>
      </c>
      <c r="E987" s="6">
        <v>45950</v>
      </c>
      <c r="F987">
        <v>0</v>
      </c>
      <c r="G987">
        <v>1.218</v>
      </c>
      <c r="H987">
        <v>8.9320000000000004</v>
      </c>
      <c r="I987" s="3" t="s">
        <v>8701</v>
      </c>
    </row>
    <row r="988" spans="1:9" x14ac:dyDescent="0.35">
      <c r="A988" s="3" t="s">
        <v>10070</v>
      </c>
      <c r="B988" s="3" t="s">
        <v>2933</v>
      </c>
      <c r="C988" s="3" t="s">
        <v>2934</v>
      </c>
      <c r="D988">
        <v>1789</v>
      </c>
      <c r="E988" s="6">
        <v>44186</v>
      </c>
      <c r="F988">
        <v>0</v>
      </c>
      <c r="G988">
        <v>8.0000000000000002E-3</v>
      </c>
      <c r="H988">
        <v>0.14200000000000002</v>
      </c>
      <c r="I988" s="3" t="s">
        <v>8699</v>
      </c>
    </row>
    <row r="989" spans="1:9" x14ac:dyDescent="0.35">
      <c r="A989" s="3" t="s">
        <v>10743</v>
      </c>
      <c r="B989" s="3" t="s">
        <v>4359</v>
      </c>
      <c r="C989" s="3" t="s">
        <v>4360</v>
      </c>
      <c r="D989">
        <v>1789</v>
      </c>
      <c r="E989" s="6">
        <v>44186</v>
      </c>
      <c r="F989">
        <v>0</v>
      </c>
      <c r="G989">
        <v>2E-3</v>
      </c>
      <c r="H989">
        <v>5.8000000000000003E-2</v>
      </c>
      <c r="I989" s="3" t="s">
        <v>8699</v>
      </c>
    </row>
    <row r="990" spans="1:9" x14ac:dyDescent="0.35">
      <c r="A990" s="3" t="s">
        <v>9480</v>
      </c>
      <c r="B990" s="3" t="s">
        <v>1673</v>
      </c>
      <c r="C990" s="3" t="s">
        <v>1674</v>
      </c>
      <c r="D990">
        <v>1791</v>
      </c>
      <c r="E990" s="6">
        <v>44184</v>
      </c>
      <c r="F990">
        <v>0</v>
      </c>
      <c r="G990">
        <v>0.01</v>
      </c>
      <c r="H990">
        <v>0.25</v>
      </c>
      <c r="I990" s="3" t="s">
        <v>8699</v>
      </c>
    </row>
    <row r="991" spans="1:9" x14ac:dyDescent="0.35">
      <c r="A991" s="3" t="s">
        <v>9945</v>
      </c>
      <c r="B991" s="3" t="s">
        <v>2668</v>
      </c>
      <c r="C991" s="3" t="s">
        <v>2669</v>
      </c>
      <c r="D991">
        <v>1791</v>
      </c>
      <c r="E991" s="6">
        <v>44184</v>
      </c>
      <c r="F991">
        <v>0</v>
      </c>
      <c r="G991">
        <v>8.0000000000000002E-3</v>
      </c>
      <c r="H991">
        <v>0.192</v>
      </c>
      <c r="I991" s="3" t="s">
        <v>8699</v>
      </c>
    </row>
    <row r="992" spans="1:9" x14ac:dyDescent="0.35">
      <c r="A992" s="3" t="s">
        <v>9702</v>
      </c>
      <c r="B992" s="3" t="s">
        <v>2147</v>
      </c>
      <c r="C992" s="3" t="s">
        <v>2148</v>
      </c>
      <c r="D992">
        <v>5646</v>
      </c>
      <c r="E992" s="6">
        <v>40329</v>
      </c>
      <c r="F992">
        <v>0</v>
      </c>
      <c r="G992">
        <v>6.0000000000000001E-3</v>
      </c>
      <c r="H992">
        <v>0.14400000000000002</v>
      </c>
      <c r="I992" s="3" t="s">
        <v>8712</v>
      </c>
    </row>
    <row r="993" spans="1:9" x14ac:dyDescent="0.35">
      <c r="A993" s="3" t="s">
        <v>8890</v>
      </c>
      <c r="B993" s="3" t="s">
        <v>439</v>
      </c>
      <c r="C993" s="3" t="s">
        <v>440</v>
      </c>
      <c r="D993">
        <v>1797</v>
      </c>
      <c r="E993" s="6">
        <v>44178</v>
      </c>
      <c r="F993">
        <v>0</v>
      </c>
      <c r="G993">
        <v>2E-3</v>
      </c>
      <c r="H993">
        <v>7.8E-2</v>
      </c>
      <c r="I993" s="3" t="s">
        <v>8699</v>
      </c>
    </row>
    <row r="994" spans="1:9" x14ac:dyDescent="0.35">
      <c r="A994" s="3" t="s">
        <v>9303</v>
      </c>
      <c r="B994" s="3" t="s">
        <v>1307</v>
      </c>
      <c r="C994" s="3" t="s">
        <v>1308</v>
      </c>
      <c r="D994">
        <v>1797</v>
      </c>
      <c r="E994" s="6">
        <v>44178</v>
      </c>
      <c r="F994">
        <v>0</v>
      </c>
      <c r="G994">
        <v>0</v>
      </c>
      <c r="H994">
        <v>0.01</v>
      </c>
      <c r="I994" s="3" t="s">
        <v>8699</v>
      </c>
    </row>
    <row r="995" spans="1:9" x14ac:dyDescent="0.35">
      <c r="A995" s="3" t="s">
        <v>9705</v>
      </c>
      <c r="B995" s="3" t="s">
        <v>2154</v>
      </c>
      <c r="C995" s="3" t="s">
        <v>2155</v>
      </c>
      <c r="D995">
        <v>87</v>
      </c>
      <c r="E995" s="6">
        <v>45888</v>
      </c>
      <c r="F995">
        <v>0</v>
      </c>
      <c r="G995">
        <v>124.542</v>
      </c>
      <c r="H995">
        <v>1.258</v>
      </c>
      <c r="I995" s="3" t="s">
        <v>8756</v>
      </c>
    </row>
    <row r="996" spans="1:9" x14ac:dyDescent="0.35">
      <c r="A996" s="3" t="s">
        <v>9946</v>
      </c>
      <c r="B996" s="3" t="s">
        <v>2670</v>
      </c>
      <c r="C996" s="3" t="s">
        <v>2671</v>
      </c>
      <c r="D996">
        <v>1797</v>
      </c>
      <c r="E996" s="6">
        <v>44178</v>
      </c>
      <c r="F996">
        <v>0</v>
      </c>
      <c r="G996">
        <v>5.0000000000000001E-3</v>
      </c>
      <c r="H996">
        <v>0.16500000000000001</v>
      </c>
      <c r="I996" s="3" t="s">
        <v>8699</v>
      </c>
    </row>
    <row r="997" spans="1:9" x14ac:dyDescent="0.35">
      <c r="A997" s="3" t="s">
        <v>9707</v>
      </c>
      <c r="B997" s="3" t="s">
        <v>2158</v>
      </c>
      <c r="C997" s="3" t="s">
        <v>2159</v>
      </c>
      <c r="D997">
        <v>5431</v>
      </c>
      <c r="E997" s="6">
        <v>40544</v>
      </c>
      <c r="F997">
        <v>0</v>
      </c>
      <c r="G997">
        <v>7.1000000000000008E-2</v>
      </c>
      <c r="H997">
        <v>0.129</v>
      </c>
      <c r="I997" s="3" t="s">
        <v>8768</v>
      </c>
    </row>
    <row r="998" spans="1:9" x14ac:dyDescent="0.35">
      <c r="A998" s="3" t="s">
        <v>9708</v>
      </c>
      <c r="B998" s="3" t="s">
        <v>2160</v>
      </c>
      <c r="C998" s="3" t="s">
        <v>2161</v>
      </c>
      <c r="D998">
        <v>23</v>
      </c>
      <c r="E998" s="6">
        <v>45952</v>
      </c>
      <c r="F998">
        <v>0</v>
      </c>
      <c r="G998">
        <v>6.8</v>
      </c>
      <c r="H998">
        <v>1.2</v>
      </c>
      <c r="I998" s="3" t="s">
        <v>8756</v>
      </c>
    </row>
    <row r="999" spans="1:9" x14ac:dyDescent="0.35">
      <c r="A999" s="3" t="s">
        <v>9709</v>
      </c>
      <c r="B999" s="3" t="s">
        <v>2162</v>
      </c>
      <c r="C999" s="3" t="s">
        <v>2163</v>
      </c>
      <c r="D999">
        <v>955</v>
      </c>
      <c r="E999" s="6">
        <v>45020</v>
      </c>
      <c r="F999">
        <v>0</v>
      </c>
      <c r="G999">
        <v>0</v>
      </c>
      <c r="H999">
        <v>0</v>
      </c>
      <c r="I999" s="3" t="s">
        <v>28</v>
      </c>
    </row>
    <row r="1000" spans="1:9" x14ac:dyDescent="0.35">
      <c r="A1000" s="3" t="s">
        <v>9710</v>
      </c>
      <c r="B1000" s="3" t="s">
        <v>2164</v>
      </c>
      <c r="C1000" s="3" t="s">
        <v>2165</v>
      </c>
      <c r="D1000">
        <v>143</v>
      </c>
      <c r="E1000" s="6">
        <v>45832</v>
      </c>
      <c r="F1000">
        <v>0</v>
      </c>
      <c r="G1000">
        <v>2.4</v>
      </c>
      <c r="H1000">
        <v>1.6</v>
      </c>
      <c r="I1000" s="3" t="s">
        <v>8701</v>
      </c>
    </row>
    <row r="1001" spans="1:9" x14ac:dyDescent="0.35">
      <c r="A1001" s="3" t="s">
        <v>9711</v>
      </c>
      <c r="B1001" s="3" t="s">
        <v>2166</v>
      </c>
      <c r="C1001" s="3" t="s">
        <v>2167</v>
      </c>
      <c r="D1001">
        <v>160</v>
      </c>
      <c r="E1001" s="6">
        <v>45815</v>
      </c>
      <c r="F1001">
        <v>100</v>
      </c>
      <c r="G1001">
        <v>5.94</v>
      </c>
      <c r="H1001">
        <v>0.06</v>
      </c>
      <c r="I1001" s="3" t="s">
        <v>8756</v>
      </c>
    </row>
    <row r="1002" spans="1:9" x14ac:dyDescent="0.35">
      <c r="A1002" s="3" t="s">
        <v>9712</v>
      </c>
      <c r="B1002" s="3" t="s">
        <v>2168</v>
      </c>
      <c r="C1002" s="3" t="s">
        <v>2169</v>
      </c>
      <c r="D1002">
        <v>218</v>
      </c>
      <c r="E1002" s="6">
        <v>45757</v>
      </c>
      <c r="F1002">
        <v>0</v>
      </c>
      <c r="G1002">
        <v>1.25</v>
      </c>
      <c r="H1002">
        <v>1.25</v>
      </c>
      <c r="I1002" s="3" t="s">
        <v>8756</v>
      </c>
    </row>
    <row r="1003" spans="1:9" x14ac:dyDescent="0.35">
      <c r="A1003" s="3" t="s">
        <v>10024</v>
      </c>
      <c r="B1003" s="3" t="s">
        <v>2833</v>
      </c>
      <c r="C1003" s="3" t="s">
        <v>2834</v>
      </c>
      <c r="D1003">
        <v>1797</v>
      </c>
      <c r="E1003" s="6">
        <v>44178</v>
      </c>
      <c r="F1003">
        <v>0</v>
      </c>
      <c r="G1003">
        <v>3.0000000000000001E-3</v>
      </c>
      <c r="H1003">
        <v>9.7000000000000003E-2</v>
      </c>
      <c r="I1003" s="3" t="s">
        <v>8699</v>
      </c>
    </row>
    <row r="1004" spans="1:9" x14ac:dyDescent="0.35">
      <c r="A1004" s="3" t="s">
        <v>10296</v>
      </c>
      <c r="B1004" s="3" t="s">
        <v>3413</v>
      </c>
      <c r="C1004" s="3" t="s">
        <v>3414</v>
      </c>
      <c r="D1004">
        <v>1797</v>
      </c>
      <c r="E1004" s="6">
        <v>44178</v>
      </c>
      <c r="F1004">
        <v>0</v>
      </c>
      <c r="G1004">
        <v>1E-3</v>
      </c>
      <c r="H1004">
        <v>3.9E-2</v>
      </c>
      <c r="I1004" s="3" t="s">
        <v>8699</v>
      </c>
    </row>
    <row r="1005" spans="1:9" x14ac:dyDescent="0.35">
      <c r="A1005" s="3" t="s">
        <v>9715</v>
      </c>
      <c r="B1005" s="3" t="s">
        <v>2174</v>
      </c>
      <c r="C1005" s="3" t="s">
        <v>2175</v>
      </c>
      <c r="D1005">
        <v>955</v>
      </c>
      <c r="E1005" s="6">
        <v>45020</v>
      </c>
      <c r="F1005">
        <v>0</v>
      </c>
      <c r="G1005">
        <v>0</v>
      </c>
      <c r="H1005">
        <v>0</v>
      </c>
      <c r="I1005" s="3" t="s">
        <v>28</v>
      </c>
    </row>
    <row r="1006" spans="1:9" x14ac:dyDescent="0.35">
      <c r="A1006" s="3" t="s">
        <v>9716</v>
      </c>
      <c r="B1006" s="3" t="s">
        <v>2176</v>
      </c>
      <c r="C1006" s="3" t="s">
        <v>2177</v>
      </c>
      <c r="D1006">
        <v>2243</v>
      </c>
      <c r="E1006" s="6">
        <v>43732</v>
      </c>
      <c r="F1006">
        <v>0</v>
      </c>
      <c r="G1006">
        <v>7.968</v>
      </c>
      <c r="H1006">
        <v>0.33200000000000002</v>
      </c>
      <c r="I1006" s="3" t="s">
        <v>8701</v>
      </c>
    </row>
    <row r="1007" spans="1:9" x14ac:dyDescent="0.35">
      <c r="A1007" s="3" t="s">
        <v>9717</v>
      </c>
      <c r="B1007" s="3" t="s">
        <v>2178</v>
      </c>
      <c r="C1007" s="3" t="s">
        <v>2179</v>
      </c>
      <c r="D1007">
        <v>9</v>
      </c>
      <c r="E1007" s="6">
        <v>45966</v>
      </c>
      <c r="F1007">
        <v>0</v>
      </c>
      <c r="G1007">
        <v>9</v>
      </c>
      <c r="H1007">
        <v>3</v>
      </c>
      <c r="I1007" s="3" t="s">
        <v>8703</v>
      </c>
    </row>
    <row r="1008" spans="1:9" x14ac:dyDescent="0.35">
      <c r="A1008" s="3" t="s">
        <v>9718</v>
      </c>
      <c r="B1008" s="3" t="s">
        <v>2181</v>
      </c>
      <c r="C1008" s="3" t="s">
        <v>2182</v>
      </c>
      <c r="D1008">
        <v>163</v>
      </c>
      <c r="E1008" s="6">
        <v>45812</v>
      </c>
      <c r="F1008">
        <v>0</v>
      </c>
      <c r="G1008">
        <v>1E-3</v>
      </c>
      <c r="H1008">
        <v>2.9000000000000001E-2</v>
      </c>
      <c r="I1008" s="3" t="s">
        <v>8712</v>
      </c>
    </row>
    <row r="1009" spans="1:9" x14ac:dyDescent="0.35">
      <c r="A1009" s="3" t="s">
        <v>10922</v>
      </c>
      <c r="B1009" s="3" t="s">
        <v>4731</v>
      </c>
      <c r="C1009" s="3" t="s">
        <v>4732</v>
      </c>
      <c r="D1009">
        <v>1797</v>
      </c>
      <c r="E1009" s="6">
        <v>44178</v>
      </c>
      <c r="F1009">
        <v>0</v>
      </c>
      <c r="G1009">
        <v>5.0000000000000001E-3</v>
      </c>
      <c r="H1009">
        <v>0.14500000000000002</v>
      </c>
      <c r="I1009" s="3" t="s">
        <v>8699</v>
      </c>
    </row>
    <row r="1010" spans="1:9" x14ac:dyDescent="0.35">
      <c r="A1010" s="3" t="s">
        <v>9720</v>
      </c>
      <c r="B1010" s="3" t="s">
        <v>2185</v>
      </c>
      <c r="C1010" s="3" t="s">
        <v>2186</v>
      </c>
      <c r="D1010">
        <v>955</v>
      </c>
      <c r="E1010" s="6">
        <v>45020</v>
      </c>
      <c r="F1010">
        <v>0</v>
      </c>
      <c r="G1010">
        <v>0</v>
      </c>
      <c r="H1010">
        <v>0</v>
      </c>
      <c r="I1010" s="3" t="s">
        <v>28</v>
      </c>
    </row>
    <row r="1011" spans="1:9" x14ac:dyDescent="0.35">
      <c r="A1011" s="3" t="s">
        <v>9721</v>
      </c>
      <c r="B1011" s="3" t="s">
        <v>2187</v>
      </c>
      <c r="C1011" s="3" t="s">
        <v>2188</v>
      </c>
      <c r="D1011">
        <v>38</v>
      </c>
      <c r="E1011" s="6">
        <v>45937</v>
      </c>
      <c r="F1011">
        <v>0</v>
      </c>
      <c r="G1011">
        <v>2.6</v>
      </c>
      <c r="H1011">
        <v>1.4000000000000001</v>
      </c>
      <c r="I1011" s="3" t="s">
        <v>8701</v>
      </c>
    </row>
    <row r="1012" spans="1:9" x14ac:dyDescent="0.35">
      <c r="A1012" s="3" t="s">
        <v>9722</v>
      </c>
      <c r="B1012" s="3" t="s">
        <v>2189</v>
      </c>
      <c r="C1012" s="3" t="s">
        <v>2190</v>
      </c>
      <c r="D1012">
        <v>14</v>
      </c>
      <c r="E1012" s="6">
        <v>45961</v>
      </c>
      <c r="F1012">
        <v>0</v>
      </c>
      <c r="G1012">
        <v>0.25800000000000001</v>
      </c>
      <c r="H1012">
        <v>0.51200000000000001</v>
      </c>
      <c r="I1012" s="3" t="s">
        <v>8701</v>
      </c>
    </row>
    <row r="1013" spans="1:9" x14ac:dyDescent="0.35">
      <c r="A1013" s="3" t="s">
        <v>9765</v>
      </c>
      <c r="B1013" s="3" t="s">
        <v>2278</v>
      </c>
      <c r="C1013" s="3" t="s">
        <v>2279</v>
      </c>
      <c r="D1013">
        <v>1822</v>
      </c>
      <c r="E1013" s="6">
        <v>44153</v>
      </c>
      <c r="F1013">
        <v>0</v>
      </c>
      <c r="G1013">
        <v>8.4600000000000009</v>
      </c>
      <c r="H1013">
        <v>0.54</v>
      </c>
      <c r="I1013" s="3" t="s">
        <v>8699</v>
      </c>
    </row>
    <row r="1014" spans="1:9" x14ac:dyDescent="0.35">
      <c r="A1014" s="3" t="s">
        <v>9469</v>
      </c>
      <c r="B1014" s="3" t="s">
        <v>1651</v>
      </c>
      <c r="C1014" s="3" t="s">
        <v>1652</v>
      </c>
      <c r="D1014">
        <v>1836</v>
      </c>
      <c r="E1014" s="6">
        <v>44139</v>
      </c>
      <c r="F1014">
        <v>0</v>
      </c>
      <c r="G1014">
        <v>0.58400000000000007</v>
      </c>
      <c r="H1014">
        <v>0.216</v>
      </c>
      <c r="I1014" s="3" t="s">
        <v>8699</v>
      </c>
    </row>
    <row r="1015" spans="1:9" x14ac:dyDescent="0.35">
      <c r="A1015" s="3" t="s">
        <v>9636</v>
      </c>
      <c r="B1015" s="3" t="s">
        <v>2004</v>
      </c>
      <c r="C1015" s="3" t="s">
        <v>2005</v>
      </c>
      <c r="D1015">
        <v>1836</v>
      </c>
      <c r="E1015" s="6">
        <v>44139</v>
      </c>
      <c r="F1015">
        <v>0</v>
      </c>
      <c r="G1015">
        <v>3.64</v>
      </c>
      <c r="H1015">
        <v>0.36</v>
      </c>
      <c r="I1015" s="3" t="s">
        <v>8699</v>
      </c>
    </row>
    <row r="1016" spans="1:9" x14ac:dyDescent="0.35">
      <c r="A1016" s="3" t="s">
        <v>10817</v>
      </c>
      <c r="B1016" s="3" t="s">
        <v>4515</v>
      </c>
      <c r="C1016" s="3" t="s">
        <v>4516</v>
      </c>
      <c r="D1016">
        <v>1836</v>
      </c>
      <c r="E1016" s="6">
        <v>44139</v>
      </c>
      <c r="F1016">
        <v>400</v>
      </c>
      <c r="G1016">
        <v>0.375</v>
      </c>
      <c r="H1016">
        <v>0.375</v>
      </c>
      <c r="I1016" s="3" t="s">
        <v>8699</v>
      </c>
    </row>
    <row r="1017" spans="1:9" x14ac:dyDescent="0.35">
      <c r="A1017" s="3" t="s">
        <v>8746</v>
      </c>
      <c r="B1017" s="3" t="s">
        <v>123</v>
      </c>
      <c r="C1017" s="3" t="s">
        <v>124</v>
      </c>
      <c r="D1017">
        <v>1852</v>
      </c>
      <c r="E1017" s="6">
        <v>44123</v>
      </c>
      <c r="F1017">
        <v>0</v>
      </c>
      <c r="G1017">
        <v>5.7000000000000002E-2</v>
      </c>
      <c r="H1017">
        <v>0.24300000000000002</v>
      </c>
      <c r="I1017" s="3" t="s">
        <v>8699</v>
      </c>
    </row>
    <row r="1018" spans="1:9" x14ac:dyDescent="0.35">
      <c r="A1018" s="3" t="s">
        <v>9728</v>
      </c>
      <c r="B1018" s="3" t="s">
        <v>2204</v>
      </c>
      <c r="C1018" s="3" t="s">
        <v>2205</v>
      </c>
      <c r="D1018">
        <v>4517</v>
      </c>
      <c r="E1018" s="6">
        <v>41458</v>
      </c>
      <c r="F1018">
        <v>0</v>
      </c>
      <c r="G1018">
        <v>2E-3</v>
      </c>
      <c r="H1018">
        <v>5.5E-2</v>
      </c>
      <c r="I1018" s="3" t="s">
        <v>8712</v>
      </c>
    </row>
    <row r="1019" spans="1:9" x14ac:dyDescent="0.35">
      <c r="A1019" s="3" t="s">
        <v>9729</v>
      </c>
      <c r="B1019" s="3" t="s">
        <v>2206</v>
      </c>
      <c r="C1019" s="3" t="s">
        <v>2207</v>
      </c>
      <c r="D1019">
        <v>3558</v>
      </c>
      <c r="E1019" s="6">
        <v>42417</v>
      </c>
      <c r="F1019">
        <v>0</v>
      </c>
      <c r="G1019">
        <v>0</v>
      </c>
      <c r="H1019">
        <v>0</v>
      </c>
      <c r="I1019" s="3" t="s">
        <v>28</v>
      </c>
    </row>
    <row r="1020" spans="1:9" x14ac:dyDescent="0.35">
      <c r="A1020" s="3" t="s">
        <v>9730</v>
      </c>
      <c r="B1020" s="3" t="s">
        <v>2208</v>
      </c>
      <c r="C1020" s="3" t="s">
        <v>2209</v>
      </c>
      <c r="D1020">
        <v>32</v>
      </c>
      <c r="E1020" s="6">
        <v>45943</v>
      </c>
      <c r="F1020">
        <v>40</v>
      </c>
      <c r="G1020">
        <v>1.4080000000000001</v>
      </c>
      <c r="H1020">
        <v>1.1520000000000001</v>
      </c>
      <c r="I1020" s="3" t="s">
        <v>8756</v>
      </c>
    </row>
    <row r="1021" spans="1:9" x14ac:dyDescent="0.35">
      <c r="A1021" s="3" t="s">
        <v>9731</v>
      </c>
      <c r="B1021" s="3" t="s">
        <v>2210</v>
      </c>
      <c r="C1021" s="3" t="s">
        <v>2211</v>
      </c>
      <c r="D1021">
        <v>14</v>
      </c>
      <c r="E1021" s="6">
        <v>45961</v>
      </c>
      <c r="F1021">
        <v>0</v>
      </c>
      <c r="G1021">
        <v>0.38300000000000001</v>
      </c>
      <c r="H1021">
        <v>6.7000000000000004E-2</v>
      </c>
      <c r="I1021" s="3" t="s">
        <v>8701</v>
      </c>
    </row>
    <row r="1022" spans="1:9" x14ac:dyDescent="0.35">
      <c r="A1022" s="3" t="s">
        <v>9732</v>
      </c>
      <c r="B1022" s="3" t="s">
        <v>2212</v>
      </c>
      <c r="C1022" s="3" t="s">
        <v>2213</v>
      </c>
      <c r="D1022">
        <v>23</v>
      </c>
      <c r="E1022" s="6">
        <v>45952</v>
      </c>
      <c r="F1022">
        <v>0</v>
      </c>
      <c r="G1022">
        <v>4.0000000000000001E-3</v>
      </c>
      <c r="H1022">
        <v>9.6000000000000002E-2</v>
      </c>
      <c r="I1022" s="3" t="s">
        <v>8712</v>
      </c>
    </row>
    <row r="1023" spans="1:9" x14ac:dyDescent="0.35">
      <c r="A1023" s="3" t="s">
        <v>10683</v>
      </c>
      <c r="B1023" s="3" t="s">
        <v>4233</v>
      </c>
      <c r="C1023" s="3" t="s">
        <v>4234</v>
      </c>
      <c r="D1023">
        <v>1852</v>
      </c>
      <c r="E1023" s="6">
        <v>44123</v>
      </c>
      <c r="F1023">
        <v>7</v>
      </c>
      <c r="G1023">
        <v>3.96</v>
      </c>
      <c r="H1023">
        <v>0.04</v>
      </c>
      <c r="I1023" s="3" t="s">
        <v>8699</v>
      </c>
    </row>
    <row r="1024" spans="1:9" x14ac:dyDescent="0.35">
      <c r="A1024" s="3" t="s">
        <v>9734</v>
      </c>
      <c r="B1024" s="3" t="s">
        <v>2216</v>
      </c>
      <c r="C1024" s="3" t="s">
        <v>2217</v>
      </c>
      <c r="D1024">
        <v>168</v>
      </c>
      <c r="E1024" s="6">
        <v>45807</v>
      </c>
      <c r="F1024">
        <v>0</v>
      </c>
      <c r="G1024">
        <v>6.58</v>
      </c>
      <c r="H1024">
        <v>0.42</v>
      </c>
      <c r="I1024" s="3" t="s">
        <v>8729</v>
      </c>
    </row>
    <row r="1025" spans="1:9" x14ac:dyDescent="0.35">
      <c r="A1025" s="3" t="s">
        <v>11170</v>
      </c>
      <c r="B1025" s="3" t="s">
        <v>5265</v>
      </c>
      <c r="C1025" s="3" t="s">
        <v>5266</v>
      </c>
      <c r="D1025">
        <v>1857</v>
      </c>
      <c r="E1025" s="6">
        <v>44118</v>
      </c>
      <c r="F1025">
        <v>0</v>
      </c>
      <c r="G1025">
        <v>0.52800000000000002</v>
      </c>
      <c r="H1025">
        <v>1.1220000000000001</v>
      </c>
      <c r="I1025" s="3" t="s">
        <v>8699</v>
      </c>
    </row>
    <row r="1026" spans="1:9" x14ac:dyDescent="0.35">
      <c r="A1026" s="3" t="s">
        <v>9736</v>
      </c>
      <c r="B1026" s="3" t="s">
        <v>2220</v>
      </c>
      <c r="C1026" s="3" t="s">
        <v>2221</v>
      </c>
      <c r="D1026">
        <v>23</v>
      </c>
      <c r="E1026" s="6">
        <v>45952</v>
      </c>
      <c r="F1026">
        <v>0</v>
      </c>
      <c r="G1026">
        <v>5.0000000000000001E-3</v>
      </c>
      <c r="H1026">
        <v>0.115</v>
      </c>
      <c r="I1026" s="3" t="s">
        <v>8712</v>
      </c>
    </row>
    <row r="1027" spans="1:9" x14ac:dyDescent="0.35">
      <c r="A1027" s="3" t="s">
        <v>9737</v>
      </c>
      <c r="B1027" s="3" t="s">
        <v>2222</v>
      </c>
      <c r="C1027" s="3" t="s">
        <v>2223</v>
      </c>
      <c r="D1027">
        <v>25</v>
      </c>
      <c r="E1027" s="6">
        <v>45950</v>
      </c>
      <c r="F1027">
        <v>0</v>
      </c>
      <c r="G1027">
        <v>0.13700000000000001</v>
      </c>
      <c r="H1027">
        <v>1.2330000000000001</v>
      </c>
      <c r="I1027" s="3" t="s">
        <v>8701</v>
      </c>
    </row>
    <row r="1028" spans="1:9" x14ac:dyDescent="0.35">
      <c r="A1028" s="3" t="s">
        <v>9878</v>
      </c>
      <c r="B1028" s="3" t="s">
        <v>2520</v>
      </c>
      <c r="C1028" s="3" t="s">
        <v>2521</v>
      </c>
      <c r="D1028">
        <v>1866</v>
      </c>
      <c r="E1028" s="6">
        <v>44109</v>
      </c>
      <c r="F1028">
        <v>0</v>
      </c>
      <c r="G1028">
        <v>54.45</v>
      </c>
      <c r="H1028">
        <v>0.55000000000000004</v>
      </c>
      <c r="I1028" s="3" t="s">
        <v>8699</v>
      </c>
    </row>
    <row r="1029" spans="1:9" x14ac:dyDescent="0.35">
      <c r="A1029" s="3" t="s">
        <v>9739</v>
      </c>
      <c r="B1029" s="3" t="s">
        <v>2226</v>
      </c>
      <c r="C1029" s="3" t="s">
        <v>2227</v>
      </c>
      <c r="D1029">
        <v>1879</v>
      </c>
      <c r="E1029" s="6">
        <v>44096</v>
      </c>
      <c r="F1029">
        <v>800</v>
      </c>
      <c r="G1029">
        <v>0.35000000000000003</v>
      </c>
      <c r="H1029">
        <v>0.65</v>
      </c>
      <c r="I1029" s="3" t="s">
        <v>8699</v>
      </c>
    </row>
    <row r="1030" spans="1:9" x14ac:dyDescent="0.35">
      <c r="A1030" s="3" t="s">
        <v>9740</v>
      </c>
      <c r="B1030" s="3" t="s">
        <v>2228</v>
      </c>
      <c r="C1030" s="3" t="s">
        <v>2229</v>
      </c>
      <c r="D1030">
        <v>23</v>
      </c>
      <c r="E1030" s="6">
        <v>45952</v>
      </c>
      <c r="F1030">
        <v>0</v>
      </c>
      <c r="G1030">
        <v>2.6</v>
      </c>
      <c r="H1030">
        <v>1.4000000000000001</v>
      </c>
      <c r="I1030" s="3" t="s">
        <v>8756</v>
      </c>
    </row>
    <row r="1031" spans="1:9" x14ac:dyDescent="0.35">
      <c r="A1031" s="3" t="s">
        <v>9182</v>
      </c>
      <c r="B1031" s="3" t="s">
        <v>1049</v>
      </c>
      <c r="C1031" s="3" t="s">
        <v>1050</v>
      </c>
      <c r="D1031">
        <v>1880</v>
      </c>
      <c r="E1031" s="6">
        <v>44095</v>
      </c>
      <c r="F1031">
        <v>0</v>
      </c>
      <c r="G1031">
        <v>1.76</v>
      </c>
      <c r="H1031">
        <v>0.24</v>
      </c>
      <c r="I1031" s="3" t="s">
        <v>8699</v>
      </c>
    </row>
    <row r="1032" spans="1:9" x14ac:dyDescent="0.35">
      <c r="A1032" s="3" t="s">
        <v>9742</v>
      </c>
      <c r="B1032" s="3" t="s">
        <v>2232</v>
      </c>
      <c r="C1032" s="3" t="s">
        <v>2233</v>
      </c>
      <c r="D1032">
        <v>151</v>
      </c>
      <c r="E1032" s="6">
        <v>45824</v>
      </c>
      <c r="F1032">
        <v>100</v>
      </c>
      <c r="G1032">
        <v>2.52</v>
      </c>
      <c r="H1032">
        <v>0.98</v>
      </c>
      <c r="I1032" s="3" t="s">
        <v>8756</v>
      </c>
    </row>
    <row r="1033" spans="1:9" x14ac:dyDescent="0.35">
      <c r="A1033" s="3" t="s">
        <v>9743</v>
      </c>
      <c r="B1033" s="3" t="s">
        <v>2234</v>
      </c>
      <c r="C1033" s="3" t="s">
        <v>2235</v>
      </c>
      <c r="D1033">
        <v>90</v>
      </c>
      <c r="E1033" s="6">
        <v>45885</v>
      </c>
      <c r="F1033">
        <v>90</v>
      </c>
      <c r="G1033">
        <v>12.546000000000001</v>
      </c>
      <c r="H1033">
        <v>2.754</v>
      </c>
      <c r="I1033" s="3" t="s">
        <v>8756</v>
      </c>
    </row>
    <row r="1034" spans="1:9" x14ac:dyDescent="0.35">
      <c r="A1034" s="3" t="s">
        <v>9744</v>
      </c>
      <c r="B1034" s="3" t="s">
        <v>2236</v>
      </c>
      <c r="C1034" s="3" t="s">
        <v>2237</v>
      </c>
      <c r="D1034">
        <v>25</v>
      </c>
      <c r="E1034" s="6">
        <v>45950</v>
      </c>
      <c r="F1034">
        <v>0</v>
      </c>
      <c r="G1034">
        <v>40.32</v>
      </c>
      <c r="H1034">
        <v>1.68</v>
      </c>
      <c r="I1034" s="3" t="s">
        <v>8701</v>
      </c>
    </row>
    <row r="1035" spans="1:9" x14ac:dyDescent="0.35">
      <c r="A1035" s="3" t="s">
        <v>9745</v>
      </c>
      <c r="B1035" s="3" t="s">
        <v>2238</v>
      </c>
      <c r="C1035" s="3" t="s">
        <v>2239</v>
      </c>
      <c r="D1035">
        <v>59</v>
      </c>
      <c r="E1035" s="6">
        <v>45916</v>
      </c>
      <c r="F1035">
        <v>0</v>
      </c>
      <c r="G1035">
        <v>3.25</v>
      </c>
      <c r="H1035">
        <v>1.75</v>
      </c>
      <c r="I1035" s="3" t="s">
        <v>8756</v>
      </c>
    </row>
    <row r="1036" spans="1:9" x14ac:dyDescent="0.35">
      <c r="A1036" s="3" t="s">
        <v>9746</v>
      </c>
      <c r="B1036" s="3" t="s">
        <v>2240</v>
      </c>
      <c r="C1036" s="3" t="s">
        <v>2241</v>
      </c>
      <c r="D1036">
        <v>25</v>
      </c>
      <c r="E1036" s="6">
        <v>45950</v>
      </c>
      <c r="F1036">
        <v>0</v>
      </c>
      <c r="G1036">
        <v>9</v>
      </c>
      <c r="H1036">
        <v>3</v>
      </c>
      <c r="I1036" s="3" t="s">
        <v>8703</v>
      </c>
    </row>
    <row r="1037" spans="1:9" x14ac:dyDescent="0.35">
      <c r="A1037" s="3" t="s">
        <v>9747</v>
      </c>
      <c r="B1037" s="3" t="s">
        <v>2242</v>
      </c>
      <c r="C1037" s="3" t="s">
        <v>2243</v>
      </c>
      <c r="D1037">
        <v>38</v>
      </c>
      <c r="E1037" s="6">
        <v>45937</v>
      </c>
      <c r="F1037">
        <v>0</v>
      </c>
      <c r="G1037">
        <v>3.5</v>
      </c>
      <c r="H1037">
        <v>3.5</v>
      </c>
      <c r="I1037" s="3" t="s">
        <v>8703</v>
      </c>
    </row>
    <row r="1038" spans="1:9" x14ac:dyDescent="0.35">
      <c r="A1038" s="3" t="s">
        <v>9748</v>
      </c>
      <c r="B1038" s="3" t="s">
        <v>2244</v>
      </c>
      <c r="C1038" s="3" t="s">
        <v>2245</v>
      </c>
      <c r="D1038">
        <v>60</v>
      </c>
      <c r="E1038" s="6">
        <v>45915</v>
      </c>
      <c r="F1038">
        <v>0</v>
      </c>
      <c r="G1038">
        <v>26.931000000000001</v>
      </c>
      <c r="H1038">
        <v>1.2690000000000001</v>
      </c>
      <c r="I1038" s="3" t="s">
        <v>8701</v>
      </c>
    </row>
    <row r="1039" spans="1:9" x14ac:dyDescent="0.35">
      <c r="A1039" s="3" t="s">
        <v>9749</v>
      </c>
      <c r="B1039" s="3" t="s">
        <v>2246</v>
      </c>
      <c r="C1039" s="3" t="s">
        <v>2247</v>
      </c>
      <c r="D1039">
        <v>955</v>
      </c>
      <c r="E1039" s="6">
        <v>45020</v>
      </c>
      <c r="F1039">
        <v>0</v>
      </c>
      <c r="G1039">
        <v>0</v>
      </c>
      <c r="H1039">
        <v>0</v>
      </c>
      <c r="I1039" s="3" t="s">
        <v>28</v>
      </c>
    </row>
    <row r="1040" spans="1:9" x14ac:dyDescent="0.35">
      <c r="A1040" s="3" t="s">
        <v>9750</v>
      </c>
      <c r="B1040" s="3" t="s">
        <v>2248</v>
      </c>
      <c r="C1040" s="3" t="s">
        <v>2249</v>
      </c>
      <c r="D1040">
        <v>109</v>
      </c>
      <c r="E1040" s="6">
        <v>45866</v>
      </c>
      <c r="F1040">
        <v>100</v>
      </c>
      <c r="G1040">
        <v>29.841000000000001</v>
      </c>
      <c r="H1040">
        <v>0.60899999999999999</v>
      </c>
      <c r="I1040" s="3" t="s">
        <v>8729</v>
      </c>
    </row>
    <row r="1041" spans="1:9" x14ac:dyDescent="0.35">
      <c r="A1041" s="3" t="s">
        <v>9751</v>
      </c>
      <c r="B1041" s="3" t="s">
        <v>2250</v>
      </c>
      <c r="C1041" s="3" t="s">
        <v>2251</v>
      </c>
      <c r="D1041">
        <v>44</v>
      </c>
      <c r="E1041" s="6">
        <v>45931</v>
      </c>
      <c r="F1041">
        <v>10</v>
      </c>
      <c r="G1041">
        <v>71.78</v>
      </c>
      <c r="H1041">
        <v>2.2200000000000002</v>
      </c>
      <c r="I1041" s="3" t="s">
        <v>8701</v>
      </c>
    </row>
    <row r="1042" spans="1:9" x14ac:dyDescent="0.35">
      <c r="A1042" s="3" t="s">
        <v>9752</v>
      </c>
      <c r="B1042" s="3" t="s">
        <v>2252</v>
      </c>
      <c r="C1042" s="3" t="s">
        <v>2253</v>
      </c>
      <c r="D1042">
        <v>25</v>
      </c>
      <c r="E1042" s="6">
        <v>45950</v>
      </c>
      <c r="F1042">
        <v>40</v>
      </c>
      <c r="G1042">
        <v>8.0990000000000002</v>
      </c>
      <c r="H1042">
        <v>0.80100000000000005</v>
      </c>
      <c r="I1042" s="3" t="s">
        <v>8701</v>
      </c>
    </row>
    <row r="1043" spans="1:9" x14ac:dyDescent="0.35">
      <c r="A1043" s="3" t="s">
        <v>9753</v>
      </c>
      <c r="B1043" s="3" t="s">
        <v>2254</v>
      </c>
      <c r="C1043" s="3" t="s">
        <v>2255</v>
      </c>
      <c r="D1043">
        <v>2038</v>
      </c>
      <c r="E1043" s="6">
        <v>43937</v>
      </c>
      <c r="F1043">
        <v>0</v>
      </c>
      <c r="G1043">
        <v>1.2E-2</v>
      </c>
      <c r="H1043">
        <v>0.188</v>
      </c>
      <c r="I1043" s="3" t="s">
        <v>8712</v>
      </c>
    </row>
    <row r="1044" spans="1:9" x14ac:dyDescent="0.35">
      <c r="A1044" s="3" t="s">
        <v>11120</v>
      </c>
      <c r="B1044" s="3" t="s">
        <v>5157</v>
      </c>
      <c r="C1044" s="3" t="s">
        <v>5158</v>
      </c>
      <c r="D1044">
        <v>1880</v>
      </c>
      <c r="E1044" s="6">
        <v>44095</v>
      </c>
      <c r="F1044">
        <v>0</v>
      </c>
      <c r="G1044">
        <v>7.92</v>
      </c>
      <c r="H1044">
        <v>0.08</v>
      </c>
      <c r="I1044" s="3" t="s">
        <v>8699</v>
      </c>
    </row>
    <row r="1045" spans="1:9" x14ac:dyDescent="0.35">
      <c r="A1045" s="3" t="s">
        <v>9755</v>
      </c>
      <c r="B1045" s="3" t="s">
        <v>2258</v>
      </c>
      <c r="C1045" s="3" t="s">
        <v>2259</v>
      </c>
      <c r="D1045">
        <v>46</v>
      </c>
      <c r="E1045" s="6">
        <v>45929</v>
      </c>
      <c r="F1045">
        <v>0</v>
      </c>
      <c r="G1045">
        <v>14.875</v>
      </c>
      <c r="H1045">
        <v>2.625</v>
      </c>
      <c r="I1045" s="3" t="s">
        <v>8738</v>
      </c>
    </row>
    <row r="1046" spans="1:9" x14ac:dyDescent="0.35">
      <c r="A1046" s="3" t="s">
        <v>10221</v>
      </c>
      <c r="B1046" s="3" t="s">
        <v>3250</v>
      </c>
      <c r="C1046" s="3" t="s">
        <v>3251</v>
      </c>
      <c r="D1046">
        <v>1884</v>
      </c>
      <c r="E1046" s="6">
        <v>44091</v>
      </c>
      <c r="F1046">
        <v>0</v>
      </c>
      <c r="G1046">
        <v>8.4150000000000009</v>
      </c>
      <c r="H1046">
        <v>8.5000000000000006E-2</v>
      </c>
      <c r="I1046" s="3" t="s">
        <v>8699</v>
      </c>
    </row>
    <row r="1047" spans="1:9" x14ac:dyDescent="0.35">
      <c r="A1047" s="3" t="s">
        <v>9067</v>
      </c>
      <c r="B1047" s="3" t="s">
        <v>813</v>
      </c>
      <c r="C1047" s="3" t="s">
        <v>814</v>
      </c>
      <c r="D1047">
        <v>1892</v>
      </c>
      <c r="E1047" s="6">
        <v>44083</v>
      </c>
      <c r="F1047">
        <v>0</v>
      </c>
      <c r="G1047">
        <v>2.6520000000000001</v>
      </c>
      <c r="H1047">
        <v>0.748</v>
      </c>
      <c r="I1047" s="3" t="s">
        <v>8699</v>
      </c>
    </row>
    <row r="1048" spans="1:9" x14ac:dyDescent="0.35">
      <c r="A1048" s="3" t="s">
        <v>9758</v>
      </c>
      <c r="B1048" s="3" t="s">
        <v>2264</v>
      </c>
      <c r="C1048" s="3" t="s">
        <v>2265</v>
      </c>
      <c r="D1048">
        <v>46</v>
      </c>
      <c r="E1048" s="6">
        <v>45929</v>
      </c>
      <c r="F1048">
        <v>0</v>
      </c>
      <c r="G1048">
        <v>3.5</v>
      </c>
      <c r="H1048">
        <v>1.5</v>
      </c>
      <c r="I1048" s="3" t="s">
        <v>8701</v>
      </c>
    </row>
    <row r="1049" spans="1:9" x14ac:dyDescent="0.35">
      <c r="A1049" s="3" t="s">
        <v>9759</v>
      </c>
      <c r="B1049" s="3" t="s">
        <v>2266</v>
      </c>
      <c r="C1049" s="3" t="s">
        <v>2267</v>
      </c>
      <c r="D1049">
        <v>385</v>
      </c>
      <c r="E1049" s="6">
        <v>45590</v>
      </c>
      <c r="F1049">
        <v>0</v>
      </c>
      <c r="G1049">
        <v>6.0000000000000001E-3</v>
      </c>
      <c r="H1049">
        <v>0.10400000000000001</v>
      </c>
      <c r="I1049" s="3" t="s">
        <v>8712</v>
      </c>
    </row>
    <row r="1050" spans="1:9" x14ac:dyDescent="0.35">
      <c r="A1050" s="3" t="s">
        <v>9760</v>
      </c>
      <c r="B1050" s="3" t="s">
        <v>2268</v>
      </c>
      <c r="C1050" s="3" t="s">
        <v>2269</v>
      </c>
      <c r="D1050">
        <v>59</v>
      </c>
      <c r="E1050" s="6">
        <v>45916</v>
      </c>
      <c r="F1050">
        <v>0</v>
      </c>
      <c r="G1050">
        <v>23.92</v>
      </c>
      <c r="H1050">
        <v>2.08</v>
      </c>
      <c r="I1050" s="3" t="s">
        <v>8756</v>
      </c>
    </row>
    <row r="1051" spans="1:9" x14ac:dyDescent="0.35">
      <c r="A1051" s="3" t="s">
        <v>9761</v>
      </c>
      <c r="B1051" s="3" t="s">
        <v>2270</v>
      </c>
      <c r="C1051" s="3" t="s">
        <v>2271</v>
      </c>
      <c r="D1051">
        <v>955</v>
      </c>
      <c r="E1051" s="6">
        <v>45020</v>
      </c>
      <c r="F1051">
        <v>0</v>
      </c>
      <c r="G1051">
        <v>0</v>
      </c>
      <c r="H1051">
        <v>0</v>
      </c>
      <c r="I1051" s="3" t="s">
        <v>28</v>
      </c>
    </row>
    <row r="1052" spans="1:9" x14ac:dyDescent="0.35">
      <c r="A1052" s="3" t="s">
        <v>9762</v>
      </c>
      <c r="B1052" s="3" t="s">
        <v>2272</v>
      </c>
      <c r="C1052" s="3" t="s">
        <v>2273</v>
      </c>
      <c r="D1052">
        <v>100</v>
      </c>
      <c r="E1052" s="6">
        <v>45875</v>
      </c>
      <c r="F1052">
        <v>0</v>
      </c>
      <c r="G1052">
        <v>19.740000000000002</v>
      </c>
      <c r="H1052">
        <v>1.26</v>
      </c>
      <c r="I1052" s="3" t="s">
        <v>8701</v>
      </c>
    </row>
    <row r="1053" spans="1:9" x14ac:dyDescent="0.35">
      <c r="A1053" s="3" t="s">
        <v>9165</v>
      </c>
      <c r="B1053" s="3" t="s">
        <v>1013</v>
      </c>
      <c r="C1053" s="3" t="s">
        <v>1014</v>
      </c>
      <c r="D1053">
        <v>1920</v>
      </c>
      <c r="E1053" s="6">
        <v>44055</v>
      </c>
      <c r="F1053">
        <v>0</v>
      </c>
      <c r="G1053">
        <v>3.2800000000000002</v>
      </c>
      <c r="H1053">
        <v>0.82000000000000006</v>
      </c>
      <c r="I1053" s="3" t="s">
        <v>8699</v>
      </c>
    </row>
    <row r="1054" spans="1:9" x14ac:dyDescent="0.35">
      <c r="A1054" s="3" t="s">
        <v>10053</v>
      </c>
      <c r="B1054" s="3" t="s">
        <v>2891</v>
      </c>
      <c r="C1054" s="3" t="s">
        <v>2892</v>
      </c>
      <c r="D1054">
        <v>1920</v>
      </c>
      <c r="E1054" s="6">
        <v>44055</v>
      </c>
      <c r="F1054">
        <v>0</v>
      </c>
      <c r="G1054">
        <v>24.75</v>
      </c>
      <c r="H1054">
        <v>0.25</v>
      </c>
      <c r="I1054" s="3" t="s">
        <v>8699</v>
      </c>
    </row>
    <row r="1055" spans="1:9" x14ac:dyDescent="0.35">
      <c r="A1055" s="3" t="s">
        <v>10806</v>
      </c>
      <c r="B1055" s="3" t="s">
        <v>4490</v>
      </c>
      <c r="C1055" s="3" t="s">
        <v>4491</v>
      </c>
      <c r="D1055">
        <v>1920</v>
      </c>
      <c r="E1055" s="6">
        <v>44055</v>
      </c>
      <c r="F1055">
        <v>0</v>
      </c>
      <c r="G1055">
        <v>1.6</v>
      </c>
      <c r="H1055">
        <v>0.4</v>
      </c>
      <c r="I1055" s="3" t="s">
        <v>8699</v>
      </c>
    </row>
    <row r="1056" spans="1:9" x14ac:dyDescent="0.35">
      <c r="A1056" s="3" t="s">
        <v>9766</v>
      </c>
      <c r="B1056" s="3" t="s">
        <v>2280</v>
      </c>
      <c r="C1056" s="3" t="s">
        <v>2281</v>
      </c>
      <c r="D1056">
        <v>23</v>
      </c>
      <c r="E1056" s="6">
        <v>45952</v>
      </c>
      <c r="F1056">
        <v>0</v>
      </c>
      <c r="G1056">
        <v>6.7810000000000006</v>
      </c>
      <c r="H1056">
        <v>0.31900000000000001</v>
      </c>
      <c r="I1056" s="3" t="s">
        <v>8756</v>
      </c>
    </row>
    <row r="1057" spans="1:9" x14ac:dyDescent="0.35">
      <c r="A1057" s="3" t="s">
        <v>9767</v>
      </c>
      <c r="B1057" s="3" t="s">
        <v>2282</v>
      </c>
      <c r="C1057" s="3" t="s">
        <v>2283</v>
      </c>
      <c r="D1057">
        <v>21</v>
      </c>
      <c r="E1057" s="6">
        <v>45954</v>
      </c>
      <c r="F1057">
        <v>0</v>
      </c>
      <c r="G1057">
        <v>40.221000000000004</v>
      </c>
      <c r="H1057">
        <v>0.77900000000000003</v>
      </c>
      <c r="I1057" s="3" t="s">
        <v>8701</v>
      </c>
    </row>
    <row r="1058" spans="1:9" x14ac:dyDescent="0.35">
      <c r="A1058" s="3" t="s">
        <v>10361</v>
      </c>
      <c r="B1058" s="3" t="s">
        <v>3556</v>
      </c>
      <c r="C1058" s="3" t="s">
        <v>3557</v>
      </c>
      <c r="D1058">
        <v>1921</v>
      </c>
      <c r="E1058" s="6">
        <v>44054</v>
      </c>
      <c r="F1058">
        <v>100</v>
      </c>
      <c r="G1058">
        <v>0.161</v>
      </c>
      <c r="H1058">
        <v>0.29899999999999999</v>
      </c>
      <c r="I1058" s="3" t="s">
        <v>8699</v>
      </c>
    </row>
    <row r="1059" spans="1:9" x14ac:dyDescent="0.35">
      <c r="A1059" s="3" t="s">
        <v>9769</v>
      </c>
      <c r="B1059" s="3" t="s">
        <v>2286</v>
      </c>
      <c r="C1059" s="3" t="s">
        <v>2287</v>
      </c>
      <c r="D1059">
        <v>955</v>
      </c>
      <c r="E1059" s="6">
        <v>45020</v>
      </c>
      <c r="F1059">
        <v>0</v>
      </c>
      <c r="G1059">
        <v>0</v>
      </c>
      <c r="H1059">
        <v>0</v>
      </c>
      <c r="I1059" s="3" t="s">
        <v>28</v>
      </c>
    </row>
    <row r="1060" spans="1:9" x14ac:dyDescent="0.35">
      <c r="A1060" s="3" t="s">
        <v>9770</v>
      </c>
      <c r="B1060" s="3" t="s">
        <v>2288</v>
      </c>
      <c r="C1060" s="3" t="s">
        <v>2289</v>
      </c>
      <c r="D1060">
        <v>82</v>
      </c>
      <c r="E1060" s="6">
        <v>45893</v>
      </c>
      <c r="F1060">
        <v>0</v>
      </c>
      <c r="G1060">
        <v>6.5600000000000005</v>
      </c>
      <c r="H1060">
        <v>1.44</v>
      </c>
      <c r="I1060" s="3" t="s">
        <v>8701</v>
      </c>
    </row>
    <row r="1061" spans="1:9" x14ac:dyDescent="0.35">
      <c r="A1061" s="3" t="s">
        <v>9771</v>
      </c>
      <c r="B1061" s="3" t="s">
        <v>2290</v>
      </c>
      <c r="C1061" s="3" t="s">
        <v>2291</v>
      </c>
      <c r="D1061">
        <v>723</v>
      </c>
      <c r="E1061" s="6">
        <v>45252</v>
      </c>
      <c r="F1061">
        <v>0</v>
      </c>
      <c r="G1061">
        <v>0</v>
      </c>
      <c r="H1061">
        <v>0</v>
      </c>
      <c r="I1061" s="3" t="s">
        <v>28</v>
      </c>
    </row>
    <row r="1062" spans="1:9" x14ac:dyDescent="0.35">
      <c r="A1062" s="3" t="s">
        <v>10487</v>
      </c>
      <c r="B1062" s="3" t="s">
        <v>3823</v>
      </c>
      <c r="C1062" s="3" t="s">
        <v>3824</v>
      </c>
      <c r="D1062">
        <v>1921</v>
      </c>
      <c r="E1062" s="6">
        <v>44054</v>
      </c>
      <c r="F1062">
        <v>0</v>
      </c>
      <c r="G1062">
        <v>1.5000000000000001E-2</v>
      </c>
      <c r="H1062">
        <v>0.28500000000000003</v>
      </c>
      <c r="I1062" s="3" t="s">
        <v>8699</v>
      </c>
    </row>
    <row r="1063" spans="1:9" x14ac:dyDescent="0.35">
      <c r="A1063" s="3" t="s">
        <v>10963</v>
      </c>
      <c r="B1063" s="3" t="s">
        <v>4820</v>
      </c>
      <c r="C1063" s="3" t="s">
        <v>4821</v>
      </c>
      <c r="D1063">
        <v>1946</v>
      </c>
      <c r="E1063" s="6">
        <v>44029</v>
      </c>
      <c r="F1063">
        <v>0</v>
      </c>
      <c r="G1063">
        <v>44.451000000000001</v>
      </c>
      <c r="H1063">
        <v>0.44900000000000001</v>
      </c>
      <c r="I1063" s="3" t="s">
        <v>8699</v>
      </c>
    </row>
    <row r="1064" spans="1:9" x14ac:dyDescent="0.35">
      <c r="A1064" s="3" t="s">
        <v>9774</v>
      </c>
      <c r="B1064" s="3" t="s">
        <v>2296</v>
      </c>
      <c r="C1064" s="3" t="s">
        <v>2297</v>
      </c>
      <c r="D1064">
        <v>723</v>
      </c>
      <c r="E1064" s="6">
        <v>45252</v>
      </c>
      <c r="F1064">
        <v>0</v>
      </c>
      <c r="G1064">
        <v>0</v>
      </c>
      <c r="H1064">
        <v>0</v>
      </c>
      <c r="I1064" s="3" t="s">
        <v>28</v>
      </c>
    </row>
    <row r="1065" spans="1:9" x14ac:dyDescent="0.35">
      <c r="A1065" s="3" t="s">
        <v>9775</v>
      </c>
      <c r="B1065" s="3" t="s">
        <v>2298</v>
      </c>
      <c r="C1065" s="3" t="s">
        <v>2299</v>
      </c>
      <c r="D1065">
        <v>23</v>
      </c>
      <c r="E1065" s="6">
        <v>45952</v>
      </c>
      <c r="F1065">
        <v>0</v>
      </c>
      <c r="G1065">
        <v>117.572</v>
      </c>
      <c r="H1065">
        <v>1.4280000000000002</v>
      </c>
      <c r="I1065" s="3" t="s">
        <v>8701</v>
      </c>
    </row>
    <row r="1066" spans="1:9" x14ac:dyDescent="0.35">
      <c r="A1066" s="3" t="s">
        <v>9776</v>
      </c>
      <c r="B1066" s="3" t="s">
        <v>2301</v>
      </c>
      <c r="C1066" s="3" t="s">
        <v>2302</v>
      </c>
      <c r="D1066">
        <v>726</v>
      </c>
      <c r="E1066" s="6">
        <v>45249</v>
      </c>
      <c r="F1066">
        <v>0</v>
      </c>
      <c r="G1066">
        <v>0</v>
      </c>
      <c r="H1066">
        <v>0</v>
      </c>
      <c r="I1066" s="3" t="s">
        <v>28</v>
      </c>
    </row>
    <row r="1067" spans="1:9" x14ac:dyDescent="0.35">
      <c r="A1067" s="3" t="s">
        <v>9777</v>
      </c>
      <c r="B1067" s="3" t="s">
        <v>2303</v>
      </c>
      <c r="C1067" s="3" t="s">
        <v>2304</v>
      </c>
      <c r="D1067">
        <v>726</v>
      </c>
      <c r="E1067" s="6">
        <v>45249</v>
      </c>
      <c r="F1067">
        <v>0</v>
      </c>
      <c r="G1067">
        <v>0</v>
      </c>
      <c r="H1067">
        <v>0</v>
      </c>
      <c r="I1067" s="3" t="s">
        <v>28</v>
      </c>
    </row>
    <row r="1068" spans="1:9" x14ac:dyDescent="0.35">
      <c r="A1068" s="3" t="s">
        <v>10860</v>
      </c>
      <c r="B1068" s="3" t="s">
        <v>4604</v>
      </c>
      <c r="C1068" s="3" t="s">
        <v>4605</v>
      </c>
      <c r="D1068">
        <v>1975</v>
      </c>
      <c r="E1068" s="6">
        <v>44000</v>
      </c>
      <c r="F1068">
        <v>0</v>
      </c>
      <c r="G1068">
        <v>1.81</v>
      </c>
      <c r="H1068">
        <v>0.6</v>
      </c>
      <c r="I1068" s="3" t="s">
        <v>8699</v>
      </c>
    </row>
    <row r="1069" spans="1:9" x14ac:dyDescent="0.35">
      <c r="A1069" s="3" t="s">
        <v>9779</v>
      </c>
      <c r="B1069" s="3" t="s">
        <v>2307</v>
      </c>
      <c r="C1069" s="3" t="s">
        <v>2308</v>
      </c>
      <c r="D1069">
        <v>6864</v>
      </c>
      <c r="E1069" s="6">
        <v>39111</v>
      </c>
      <c r="F1069">
        <v>0</v>
      </c>
      <c r="G1069">
        <v>0</v>
      </c>
      <c r="H1069">
        <v>0</v>
      </c>
      <c r="I1069" s="3" t="s">
        <v>28</v>
      </c>
    </row>
    <row r="1070" spans="1:9" x14ac:dyDescent="0.35">
      <c r="A1070" s="3" t="s">
        <v>9780</v>
      </c>
      <c r="B1070" s="3" t="s">
        <v>2309</v>
      </c>
      <c r="C1070" s="3" t="s">
        <v>2310</v>
      </c>
      <c r="D1070">
        <v>955</v>
      </c>
      <c r="E1070" s="6">
        <v>45020</v>
      </c>
      <c r="F1070">
        <v>0</v>
      </c>
      <c r="G1070">
        <v>0</v>
      </c>
      <c r="H1070">
        <v>0</v>
      </c>
      <c r="I1070" s="3" t="s">
        <v>28</v>
      </c>
    </row>
    <row r="1071" spans="1:9" x14ac:dyDescent="0.35">
      <c r="A1071" s="3" t="s">
        <v>10909</v>
      </c>
      <c r="B1071" s="3" t="s">
        <v>4705</v>
      </c>
      <c r="C1071" s="3" t="s">
        <v>4706</v>
      </c>
      <c r="D1071">
        <v>1975</v>
      </c>
      <c r="E1071" s="6">
        <v>44000</v>
      </c>
      <c r="F1071">
        <v>0</v>
      </c>
      <c r="G1071">
        <v>2.82</v>
      </c>
      <c r="H1071">
        <v>0.38</v>
      </c>
      <c r="I1071" s="3" t="s">
        <v>8699</v>
      </c>
    </row>
    <row r="1072" spans="1:9" x14ac:dyDescent="0.35">
      <c r="A1072" s="3" t="s">
        <v>9527</v>
      </c>
      <c r="B1072" s="3" t="s">
        <v>1769</v>
      </c>
      <c r="C1072" s="3" t="s">
        <v>1770</v>
      </c>
      <c r="D1072">
        <v>1977</v>
      </c>
      <c r="E1072" s="6">
        <v>43998</v>
      </c>
      <c r="F1072">
        <v>0</v>
      </c>
      <c r="G1072">
        <v>21.952000000000002</v>
      </c>
      <c r="H1072">
        <v>0.44800000000000001</v>
      </c>
      <c r="I1072" s="3" t="s">
        <v>8699</v>
      </c>
    </row>
    <row r="1073" spans="1:9" x14ac:dyDescent="0.35">
      <c r="A1073" s="3" t="s">
        <v>10618</v>
      </c>
      <c r="B1073" s="3" t="s">
        <v>4094</v>
      </c>
      <c r="C1073" s="3" t="s">
        <v>4095</v>
      </c>
      <c r="D1073">
        <v>1989</v>
      </c>
      <c r="E1073" s="6">
        <v>43986</v>
      </c>
      <c r="F1073">
        <v>0</v>
      </c>
      <c r="G1073">
        <v>16.490000000000002</v>
      </c>
      <c r="H1073">
        <v>0.51</v>
      </c>
      <c r="I1073" s="3" t="s">
        <v>8699</v>
      </c>
    </row>
    <row r="1074" spans="1:9" x14ac:dyDescent="0.35">
      <c r="A1074" s="3" t="s">
        <v>9836</v>
      </c>
      <c r="B1074" s="3" t="s">
        <v>2435</v>
      </c>
      <c r="C1074" s="3" t="s">
        <v>2436</v>
      </c>
      <c r="D1074">
        <v>2042</v>
      </c>
      <c r="E1074" s="6">
        <v>43933</v>
      </c>
      <c r="F1074">
        <v>250</v>
      </c>
      <c r="G1074">
        <v>3.83</v>
      </c>
      <c r="H1074">
        <v>0.68</v>
      </c>
      <c r="I1074" s="3" t="s">
        <v>8699</v>
      </c>
    </row>
    <row r="1075" spans="1:9" x14ac:dyDescent="0.35">
      <c r="A1075" s="3" t="s">
        <v>11194</v>
      </c>
      <c r="B1075" s="3" t="s">
        <v>5316</v>
      </c>
      <c r="C1075" s="3" t="s">
        <v>5317</v>
      </c>
      <c r="D1075">
        <v>2061</v>
      </c>
      <c r="E1075" s="6">
        <v>43914</v>
      </c>
      <c r="F1075">
        <v>0</v>
      </c>
      <c r="G1075">
        <v>1.08</v>
      </c>
      <c r="H1075">
        <v>4.92</v>
      </c>
      <c r="I1075" s="3" t="s">
        <v>8699</v>
      </c>
    </row>
    <row r="1076" spans="1:9" x14ac:dyDescent="0.35">
      <c r="A1076" s="3" t="s">
        <v>9510</v>
      </c>
      <c r="B1076" s="3" t="s">
        <v>1732</v>
      </c>
      <c r="C1076" s="3" t="s">
        <v>1733</v>
      </c>
      <c r="D1076">
        <v>2068</v>
      </c>
      <c r="E1076" s="6">
        <v>43907</v>
      </c>
      <c r="F1076">
        <v>100</v>
      </c>
      <c r="G1076">
        <v>2.625</v>
      </c>
      <c r="H1076">
        <v>0.875</v>
      </c>
      <c r="I1076" s="3" t="s">
        <v>8699</v>
      </c>
    </row>
    <row r="1077" spans="1:9" x14ac:dyDescent="0.35">
      <c r="A1077" s="3" t="s">
        <v>9787</v>
      </c>
      <c r="B1077" s="3" t="s">
        <v>2326</v>
      </c>
      <c r="C1077" s="3" t="s">
        <v>2327</v>
      </c>
      <c r="D1077">
        <v>23</v>
      </c>
      <c r="E1077" s="6">
        <v>45952</v>
      </c>
      <c r="F1077">
        <v>0</v>
      </c>
      <c r="G1077">
        <v>6.0000000000000001E-3</v>
      </c>
      <c r="H1077">
        <v>0.14400000000000002</v>
      </c>
      <c r="I1077" s="3" t="s">
        <v>8712</v>
      </c>
    </row>
    <row r="1078" spans="1:9" x14ac:dyDescent="0.35">
      <c r="A1078" s="3" t="s">
        <v>9788</v>
      </c>
      <c r="B1078" s="3" t="s">
        <v>2328</v>
      </c>
      <c r="C1078" s="3" t="s">
        <v>2329</v>
      </c>
      <c r="D1078">
        <v>120</v>
      </c>
      <c r="E1078" s="6">
        <v>45855</v>
      </c>
      <c r="F1078">
        <v>120</v>
      </c>
      <c r="G1078">
        <v>26.1</v>
      </c>
      <c r="H1078">
        <v>2.9</v>
      </c>
      <c r="I1078" s="3" t="s">
        <v>8729</v>
      </c>
    </row>
    <row r="1079" spans="1:9" x14ac:dyDescent="0.35">
      <c r="A1079" s="3" t="s">
        <v>10567</v>
      </c>
      <c r="B1079" s="3" t="s">
        <v>3988</v>
      </c>
      <c r="C1079" s="3" t="s">
        <v>3989</v>
      </c>
      <c r="D1079">
        <v>2079</v>
      </c>
      <c r="E1079" s="6">
        <v>43896</v>
      </c>
      <c r="F1079">
        <v>0</v>
      </c>
      <c r="G1079">
        <v>19.600000000000001</v>
      </c>
      <c r="H1079">
        <v>0.4</v>
      </c>
      <c r="I1079" s="3" t="s">
        <v>8699</v>
      </c>
    </row>
    <row r="1080" spans="1:9" x14ac:dyDescent="0.35">
      <c r="A1080" s="3" t="s">
        <v>11072</v>
      </c>
      <c r="B1080" s="3" t="s">
        <v>5057</v>
      </c>
      <c r="C1080" s="3" t="s">
        <v>5058</v>
      </c>
      <c r="D1080">
        <v>2079</v>
      </c>
      <c r="E1080" s="6">
        <v>43896</v>
      </c>
      <c r="F1080">
        <v>0</v>
      </c>
      <c r="G1080">
        <v>3.4710000000000001</v>
      </c>
      <c r="H1080">
        <v>0.42900000000000005</v>
      </c>
      <c r="I1080" s="3" t="s">
        <v>8699</v>
      </c>
    </row>
    <row r="1081" spans="1:9" x14ac:dyDescent="0.35">
      <c r="A1081" s="3" t="s">
        <v>9791</v>
      </c>
      <c r="B1081" s="3" t="s">
        <v>2339</v>
      </c>
      <c r="C1081" s="3" t="s">
        <v>2340</v>
      </c>
      <c r="D1081">
        <v>366</v>
      </c>
      <c r="E1081" s="6">
        <v>45609</v>
      </c>
      <c r="F1081">
        <v>0</v>
      </c>
      <c r="G1081">
        <v>7.0000000000000001E-3</v>
      </c>
      <c r="H1081">
        <v>0.12300000000000001</v>
      </c>
      <c r="I1081" s="3" t="s">
        <v>8712</v>
      </c>
    </row>
    <row r="1082" spans="1:9" x14ac:dyDescent="0.35">
      <c r="A1082" s="3" t="s">
        <v>10787</v>
      </c>
      <c r="B1082" s="3" t="s">
        <v>4452</v>
      </c>
      <c r="C1082" s="3" t="s">
        <v>4453</v>
      </c>
      <c r="D1082">
        <v>2083</v>
      </c>
      <c r="E1082" s="6">
        <v>43892</v>
      </c>
      <c r="F1082">
        <v>0</v>
      </c>
      <c r="G1082">
        <v>1.54</v>
      </c>
      <c r="H1082">
        <v>0.46</v>
      </c>
      <c r="I1082" s="3" t="s">
        <v>8699</v>
      </c>
    </row>
    <row r="1083" spans="1:9" x14ac:dyDescent="0.35">
      <c r="A1083" s="3" t="s">
        <v>9793</v>
      </c>
      <c r="B1083" s="3" t="s">
        <v>2344</v>
      </c>
      <c r="C1083" s="3" t="s">
        <v>2345</v>
      </c>
      <c r="D1083">
        <v>22</v>
      </c>
      <c r="E1083" s="6">
        <v>45953</v>
      </c>
      <c r="F1083">
        <v>10</v>
      </c>
      <c r="G1083">
        <v>30.69</v>
      </c>
      <c r="H1083">
        <v>0.31</v>
      </c>
      <c r="I1083" s="3" t="s">
        <v>8705</v>
      </c>
    </row>
    <row r="1084" spans="1:9" x14ac:dyDescent="0.35">
      <c r="A1084" s="3" t="s">
        <v>9794</v>
      </c>
      <c r="B1084" s="3" t="s">
        <v>2346</v>
      </c>
      <c r="C1084" s="3" t="s">
        <v>2347</v>
      </c>
      <c r="D1084">
        <v>2714</v>
      </c>
      <c r="E1084" s="6">
        <v>43261</v>
      </c>
      <c r="F1084">
        <v>0</v>
      </c>
      <c r="G1084">
        <v>0</v>
      </c>
      <c r="H1084">
        <v>0</v>
      </c>
      <c r="I1084" s="3" t="s">
        <v>28</v>
      </c>
    </row>
    <row r="1085" spans="1:9" x14ac:dyDescent="0.35">
      <c r="A1085" s="3" t="s">
        <v>10167</v>
      </c>
      <c r="B1085" s="3" t="s">
        <v>3141</v>
      </c>
      <c r="C1085" s="3" t="s">
        <v>3142</v>
      </c>
      <c r="D1085">
        <v>2087</v>
      </c>
      <c r="E1085" s="6">
        <v>43888</v>
      </c>
      <c r="F1085">
        <v>100</v>
      </c>
      <c r="G1085">
        <v>1.48</v>
      </c>
      <c r="H1085">
        <v>0.52</v>
      </c>
      <c r="I1085" s="3" t="s">
        <v>8699</v>
      </c>
    </row>
    <row r="1086" spans="1:9" x14ac:dyDescent="0.35">
      <c r="A1086" s="3" t="s">
        <v>11219</v>
      </c>
      <c r="B1086" s="3" t="s">
        <v>5367</v>
      </c>
      <c r="C1086" s="3" t="s">
        <v>5368</v>
      </c>
      <c r="D1086">
        <v>2097</v>
      </c>
      <c r="E1086" s="6">
        <v>43878</v>
      </c>
      <c r="F1086">
        <v>0</v>
      </c>
      <c r="G1086">
        <v>2.9</v>
      </c>
      <c r="H1086">
        <v>0.2</v>
      </c>
      <c r="I1086" s="3" t="s">
        <v>8699</v>
      </c>
    </row>
    <row r="1087" spans="1:9" x14ac:dyDescent="0.35">
      <c r="A1087" s="3" t="s">
        <v>10033</v>
      </c>
      <c r="B1087" s="3" t="s">
        <v>2851</v>
      </c>
      <c r="C1087" s="3" t="s">
        <v>2852</v>
      </c>
      <c r="D1087">
        <v>2107</v>
      </c>
      <c r="E1087" s="6">
        <v>43868</v>
      </c>
      <c r="F1087">
        <v>0</v>
      </c>
      <c r="G1087">
        <v>5.6000000000000001E-2</v>
      </c>
      <c r="H1087">
        <v>0.45400000000000001</v>
      </c>
      <c r="I1087" s="3" t="s">
        <v>8699</v>
      </c>
    </row>
    <row r="1088" spans="1:9" x14ac:dyDescent="0.35">
      <c r="A1088" s="3" t="s">
        <v>9798</v>
      </c>
      <c r="B1088" s="3" t="s">
        <v>2354</v>
      </c>
      <c r="C1088" s="3" t="s">
        <v>2355</v>
      </c>
      <c r="D1088">
        <v>4</v>
      </c>
      <c r="E1088" s="6">
        <v>45971</v>
      </c>
      <c r="F1088">
        <v>0</v>
      </c>
      <c r="G1088">
        <v>4.774</v>
      </c>
      <c r="H1088">
        <v>2.9260000000000002</v>
      </c>
      <c r="I1088" s="3" t="s">
        <v>8701</v>
      </c>
    </row>
    <row r="1089" spans="1:9" x14ac:dyDescent="0.35">
      <c r="A1089" s="3" t="s">
        <v>10220</v>
      </c>
      <c r="B1089" s="3" t="s">
        <v>3248</v>
      </c>
      <c r="C1089" s="3" t="s">
        <v>3249</v>
      </c>
      <c r="D1089">
        <v>2107</v>
      </c>
      <c r="E1089" s="6">
        <v>43868</v>
      </c>
      <c r="F1089">
        <v>0</v>
      </c>
      <c r="G1089">
        <v>4.5250000000000004</v>
      </c>
      <c r="H1089">
        <v>0.47500000000000003</v>
      </c>
      <c r="I1089" s="3" t="s">
        <v>8699</v>
      </c>
    </row>
    <row r="1090" spans="1:9" x14ac:dyDescent="0.35">
      <c r="A1090" s="3" t="s">
        <v>9800</v>
      </c>
      <c r="B1090" s="3" t="s">
        <v>2358</v>
      </c>
      <c r="C1090" s="3" t="s">
        <v>2359</v>
      </c>
      <c r="D1090">
        <v>381</v>
      </c>
      <c r="E1090" s="6">
        <v>45594</v>
      </c>
      <c r="F1090">
        <v>0</v>
      </c>
      <c r="G1090">
        <v>6.0000000000000001E-3</v>
      </c>
      <c r="H1090">
        <v>0.10500000000000001</v>
      </c>
      <c r="I1090" s="3" t="s">
        <v>8712</v>
      </c>
    </row>
    <row r="1091" spans="1:9" x14ac:dyDescent="0.35">
      <c r="A1091" s="3" t="s">
        <v>9801</v>
      </c>
      <c r="B1091" s="3" t="s">
        <v>2361</v>
      </c>
      <c r="C1091" s="3" t="s">
        <v>2362</v>
      </c>
      <c r="D1091">
        <v>87</v>
      </c>
      <c r="E1091" s="6">
        <v>45888</v>
      </c>
      <c r="F1091">
        <v>50</v>
      </c>
      <c r="G1091">
        <v>11.076000000000001</v>
      </c>
      <c r="H1091">
        <v>3.1240000000000001</v>
      </c>
      <c r="I1091" s="3" t="s">
        <v>8738</v>
      </c>
    </row>
    <row r="1092" spans="1:9" x14ac:dyDescent="0.35">
      <c r="A1092" s="3" t="s">
        <v>10488</v>
      </c>
      <c r="B1092" s="3" t="s">
        <v>3825</v>
      </c>
      <c r="C1092" s="3" t="s">
        <v>3826</v>
      </c>
      <c r="D1092">
        <v>2118</v>
      </c>
      <c r="E1092" s="6">
        <v>43857</v>
      </c>
      <c r="F1092">
        <v>100</v>
      </c>
      <c r="G1092">
        <v>15.13</v>
      </c>
      <c r="H1092">
        <v>0.47000000000000003</v>
      </c>
      <c r="I1092" s="3" t="s">
        <v>8699</v>
      </c>
    </row>
    <row r="1093" spans="1:9" x14ac:dyDescent="0.35">
      <c r="A1093" s="3" t="s">
        <v>9803</v>
      </c>
      <c r="B1093" s="3" t="s">
        <v>2365</v>
      </c>
      <c r="C1093" s="3" t="s">
        <v>2366</v>
      </c>
      <c r="D1093">
        <v>955</v>
      </c>
      <c r="E1093" s="6">
        <v>45020</v>
      </c>
      <c r="F1093">
        <v>0</v>
      </c>
      <c r="G1093">
        <v>0</v>
      </c>
      <c r="H1093">
        <v>0</v>
      </c>
      <c r="I1093" s="3" t="s">
        <v>28</v>
      </c>
    </row>
    <row r="1094" spans="1:9" x14ac:dyDescent="0.35">
      <c r="A1094" s="3" t="s">
        <v>10797</v>
      </c>
      <c r="B1094" s="3" t="s">
        <v>4472</v>
      </c>
      <c r="C1094" s="3" t="s">
        <v>4473</v>
      </c>
      <c r="D1094">
        <v>2121</v>
      </c>
      <c r="E1094" s="6">
        <v>43854</v>
      </c>
      <c r="F1094">
        <v>0</v>
      </c>
      <c r="G1094">
        <v>2.5580000000000003</v>
      </c>
      <c r="H1094">
        <v>0.56200000000000006</v>
      </c>
      <c r="I1094" s="3" t="s">
        <v>8699</v>
      </c>
    </row>
    <row r="1095" spans="1:9" x14ac:dyDescent="0.35">
      <c r="A1095" s="3" t="s">
        <v>9805</v>
      </c>
      <c r="B1095" s="3" t="s">
        <v>2369</v>
      </c>
      <c r="C1095" s="3" t="s">
        <v>2370</v>
      </c>
      <c r="D1095">
        <v>955</v>
      </c>
      <c r="E1095" s="6">
        <v>45020</v>
      </c>
      <c r="F1095">
        <v>0</v>
      </c>
      <c r="G1095">
        <v>0</v>
      </c>
      <c r="H1095">
        <v>0</v>
      </c>
      <c r="I1095" s="3" t="s">
        <v>28</v>
      </c>
    </row>
    <row r="1096" spans="1:9" x14ac:dyDescent="0.35">
      <c r="A1096" s="3" t="s">
        <v>11280</v>
      </c>
      <c r="B1096" s="3" t="s">
        <v>5495</v>
      </c>
      <c r="C1096" s="3" t="s">
        <v>5496</v>
      </c>
      <c r="D1096">
        <v>2121</v>
      </c>
      <c r="E1096" s="6">
        <v>43854</v>
      </c>
      <c r="F1096">
        <v>0</v>
      </c>
      <c r="G1096">
        <v>29.400000000000002</v>
      </c>
      <c r="H1096">
        <v>0.6</v>
      </c>
      <c r="I1096" s="3" t="s">
        <v>8699</v>
      </c>
    </row>
    <row r="1097" spans="1:9" x14ac:dyDescent="0.35">
      <c r="A1097" s="3" t="s">
        <v>9807</v>
      </c>
      <c r="B1097" s="3" t="s">
        <v>2373</v>
      </c>
      <c r="C1097" s="3" t="s">
        <v>2374</v>
      </c>
      <c r="D1097">
        <v>955</v>
      </c>
      <c r="E1097" s="6">
        <v>45020</v>
      </c>
      <c r="F1097">
        <v>0</v>
      </c>
      <c r="G1097">
        <v>0</v>
      </c>
      <c r="H1097">
        <v>0</v>
      </c>
      <c r="I1097" s="3" t="s">
        <v>28</v>
      </c>
    </row>
    <row r="1098" spans="1:9" x14ac:dyDescent="0.35">
      <c r="A1098" s="3" t="s">
        <v>11045</v>
      </c>
      <c r="B1098" s="3" t="s">
        <v>5002</v>
      </c>
      <c r="C1098" s="3" t="s">
        <v>5003</v>
      </c>
      <c r="D1098">
        <v>2128</v>
      </c>
      <c r="E1098" s="6">
        <v>43847</v>
      </c>
      <c r="F1098">
        <v>0</v>
      </c>
      <c r="G1098">
        <v>1.78</v>
      </c>
      <c r="H1098">
        <v>0.22</v>
      </c>
      <c r="I1098" s="3" t="s">
        <v>8699</v>
      </c>
    </row>
    <row r="1099" spans="1:9" x14ac:dyDescent="0.35">
      <c r="A1099" s="3" t="s">
        <v>9809</v>
      </c>
      <c r="B1099" s="3" t="s">
        <v>2377</v>
      </c>
      <c r="C1099" s="3" t="s">
        <v>2378</v>
      </c>
      <c r="D1099">
        <v>1193</v>
      </c>
      <c r="E1099" s="6">
        <v>44782</v>
      </c>
      <c r="F1099">
        <v>0</v>
      </c>
      <c r="G1099">
        <v>5.94</v>
      </c>
      <c r="H1099">
        <v>0.06</v>
      </c>
      <c r="I1099" s="3" t="s">
        <v>8756</v>
      </c>
    </row>
    <row r="1100" spans="1:9" x14ac:dyDescent="0.35">
      <c r="A1100" s="3" t="s">
        <v>9810</v>
      </c>
      <c r="B1100" s="3" t="s">
        <v>2379</v>
      </c>
      <c r="C1100" s="3" t="s">
        <v>2380</v>
      </c>
      <c r="D1100">
        <v>5128</v>
      </c>
      <c r="E1100" s="6">
        <v>40847</v>
      </c>
      <c r="F1100">
        <v>0</v>
      </c>
      <c r="G1100">
        <v>13.373000000000001</v>
      </c>
      <c r="H1100">
        <v>0.55700000000000005</v>
      </c>
      <c r="I1100" s="3" t="s">
        <v>8701</v>
      </c>
    </row>
    <row r="1101" spans="1:9" x14ac:dyDescent="0.35">
      <c r="A1101" s="3" t="s">
        <v>9811</v>
      </c>
      <c r="B1101" s="3" t="s">
        <v>2381</v>
      </c>
      <c r="C1101" s="3" t="s">
        <v>2382</v>
      </c>
      <c r="D1101">
        <v>24</v>
      </c>
      <c r="E1101" s="6">
        <v>45951</v>
      </c>
      <c r="F1101">
        <v>0</v>
      </c>
      <c r="G1101">
        <v>1.054</v>
      </c>
      <c r="H1101">
        <v>0.64600000000000002</v>
      </c>
      <c r="I1101" s="3" t="s">
        <v>8701</v>
      </c>
    </row>
    <row r="1102" spans="1:9" x14ac:dyDescent="0.35">
      <c r="A1102" s="3" t="s">
        <v>9812</v>
      </c>
      <c r="B1102" s="3" t="s">
        <v>2383</v>
      </c>
      <c r="C1102" s="3" t="s">
        <v>2384</v>
      </c>
      <c r="D1102">
        <v>163</v>
      </c>
      <c r="E1102" s="6">
        <v>45812</v>
      </c>
      <c r="F1102">
        <v>0</v>
      </c>
      <c r="G1102">
        <v>3.0000000000000001E-3</v>
      </c>
      <c r="H1102">
        <v>6.7000000000000004E-2</v>
      </c>
      <c r="I1102" s="3" t="s">
        <v>8712</v>
      </c>
    </row>
    <row r="1103" spans="1:9" x14ac:dyDescent="0.35">
      <c r="A1103" s="3" t="s">
        <v>9813</v>
      </c>
      <c r="B1103" s="3" t="s">
        <v>2386</v>
      </c>
      <c r="C1103" s="3" t="s">
        <v>2387</v>
      </c>
      <c r="D1103">
        <v>173</v>
      </c>
      <c r="E1103" s="6">
        <v>45802</v>
      </c>
      <c r="F1103">
        <v>0</v>
      </c>
      <c r="G1103">
        <v>66.98</v>
      </c>
      <c r="H1103">
        <v>1.02</v>
      </c>
      <c r="I1103" s="3" t="s">
        <v>8701</v>
      </c>
    </row>
    <row r="1104" spans="1:9" x14ac:dyDescent="0.35">
      <c r="A1104" s="3" t="s">
        <v>9814</v>
      </c>
      <c r="B1104" s="3" t="s">
        <v>2388</v>
      </c>
      <c r="C1104" s="3" t="s">
        <v>2389</v>
      </c>
      <c r="D1104">
        <v>291</v>
      </c>
      <c r="E1104" s="6">
        <v>45684</v>
      </c>
      <c r="F1104">
        <v>0</v>
      </c>
      <c r="G1104">
        <v>7.0000000000000001E-3</v>
      </c>
      <c r="H1104">
        <v>0.10300000000000001</v>
      </c>
      <c r="I1104" s="3" t="s">
        <v>8712</v>
      </c>
    </row>
    <row r="1105" spans="1:9" x14ac:dyDescent="0.35">
      <c r="A1105" s="3" t="s">
        <v>8841</v>
      </c>
      <c r="B1105" s="3" t="s">
        <v>337</v>
      </c>
      <c r="C1105" s="3" t="s">
        <v>338</v>
      </c>
      <c r="D1105">
        <v>2131</v>
      </c>
      <c r="E1105" s="6">
        <v>43844</v>
      </c>
      <c r="F1105">
        <v>100</v>
      </c>
      <c r="G1105">
        <v>0.24</v>
      </c>
      <c r="H1105">
        <v>0.76</v>
      </c>
      <c r="I1105" s="3" t="s">
        <v>8699</v>
      </c>
    </row>
    <row r="1106" spans="1:9" x14ac:dyDescent="0.35">
      <c r="A1106" s="3" t="s">
        <v>9816</v>
      </c>
      <c r="B1106" s="3" t="s">
        <v>2392</v>
      </c>
      <c r="C1106" s="3" t="s">
        <v>2393</v>
      </c>
      <c r="D1106">
        <v>7150</v>
      </c>
      <c r="E1106" s="6">
        <v>38825</v>
      </c>
      <c r="F1106">
        <v>0</v>
      </c>
      <c r="G1106">
        <v>0</v>
      </c>
      <c r="H1106">
        <v>0</v>
      </c>
      <c r="I1106" s="3" t="s">
        <v>28</v>
      </c>
    </row>
    <row r="1107" spans="1:9" x14ac:dyDescent="0.35">
      <c r="A1107" s="3" t="s">
        <v>9817</v>
      </c>
      <c r="B1107" s="3" t="s">
        <v>2394</v>
      </c>
      <c r="C1107" s="3" t="s">
        <v>2395</v>
      </c>
      <c r="D1107">
        <v>3</v>
      </c>
      <c r="E1107" s="6">
        <v>45972</v>
      </c>
      <c r="F1107">
        <v>0</v>
      </c>
      <c r="G1107">
        <v>4.5</v>
      </c>
      <c r="H1107">
        <v>0.5</v>
      </c>
      <c r="I1107" s="3" t="s">
        <v>8756</v>
      </c>
    </row>
    <row r="1108" spans="1:9" x14ac:dyDescent="0.35">
      <c r="A1108" s="3" t="s">
        <v>9818</v>
      </c>
      <c r="B1108" s="3" t="s">
        <v>2396</v>
      </c>
      <c r="C1108" s="3" t="s">
        <v>2397</v>
      </c>
      <c r="D1108">
        <v>2467</v>
      </c>
      <c r="E1108" s="6">
        <v>43508</v>
      </c>
      <c r="F1108">
        <v>0</v>
      </c>
      <c r="G1108">
        <v>0</v>
      </c>
      <c r="H1108">
        <v>0</v>
      </c>
      <c r="I1108" s="3" t="s">
        <v>28</v>
      </c>
    </row>
    <row r="1109" spans="1:9" x14ac:dyDescent="0.35">
      <c r="A1109" s="3" t="s">
        <v>9819</v>
      </c>
      <c r="B1109" s="3" t="s">
        <v>2398</v>
      </c>
      <c r="C1109" s="3" t="s">
        <v>2399</v>
      </c>
      <c r="D1109">
        <v>955</v>
      </c>
      <c r="E1109" s="6">
        <v>45020</v>
      </c>
      <c r="F1109">
        <v>0</v>
      </c>
      <c r="G1109">
        <v>0</v>
      </c>
      <c r="H1109">
        <v>0</v>
      </c>
      <c r="I1109" s="3" t="s">
        <v>28</v>
      </c>
    </row>
    <row r="1110" spans="1:9" x14ac:dyDescent="0.35">
      <c r="A1110" s="3" t="s">
        <v>9820</v>
      </c>
      <c r="B1110" s="3" t="s">
        <v>2400</v>
      </c>
      <c r="C1110" s="3" t="s">
        <v>2401</v>
      </c>
      <c r="D1110">
        <v>357</v>
      </c>
      <c r="E1110" s="6">
        <v>45618</v>
      </c>
      <c r="F1110">
        <v>0</v>
      </c>
      <c r="G1110">
        <v>6.0000000000000001E-3</v>
      </c>
      <c r="H1110">
        <v>0.10400000000000001</v>
      </c>
      <c r="I1110" s="3" t="s">
        <v>8712</v>
      </c>
    </row>
    <row r="1111" spans="1:9" x14ac:dyDescent="0.35">
      <c r="A1111" s="3" t="s">
        <v>9020</v>
      </c>
      <c r="B1111" s="3" t="s">
        <v>711</v>
      </c>
      <c r="C1111" s="3" t="s">
        <v>712</v>
      </c>
      <c r="D1111">
        <v>2131</v>
      </c>
      <c r="E1111" s="6">
        <v>43844</v>
      </c>
      <c r="F1111">
        <v>0</v>
      </c>
      <c r="G1111">
        <v>16.490000000000002</v>
      </c>
      <c r="H1111">
        <v>0.51</v>
      </c>
      <c r="I1111" s="3" t="s">
        <v>8699</v>
      </c>
    </row>
    <row r="1112" spans="1:9" x14ac:dyDescent="0.35">
      <c r="A1112" s="3" t="s">
        <v>11265</v>
      </c>
      <c r="B1112" s="3" t="s">
        <v>5465</v>
      </c>
      <c r="C1112" s="3" t="s">
        <v>5466</v>
      </c>
      <c r="D1112">
        <v>2172</v>
      </c>
      <c r="E1112" s="6">
        <v>43803</v>
      </c>
      <c r="F1112">
        <v>0</v>
      </c>
      <c r="G1112">
        <v>47.263000000000005</v>
      </c>
      <c r="H1112">
        <v>0.23700000000000002</v>
      </c>
      <c r="I1112" s="3" t="s">
        <v>8699</v>
      </c>
    </row>
    <row r="1113" spans="1:9" x14ac:dyDescent="0.35">
      <c r="A1113" s="3" t="s">
        <v>10382</v>
      </c>
      <c r="B1113" s="3" t="s">
        <v>3598</v>
      </c>
      <c r="C1113" s="3" t="s">
        <v>3599</v>
      </c>
      <c r="D1113">
        <v>2178</v>
      </c>
      <c r="E1113" s="6">
        <v>43797</v>
      </c>
      <c r="F1113">
        <v>0</v>
      </c>
      <c r="G1113">
        <v>2.0249999999999999</v>
      </c>
      <c r="H1113">
        <v>0.47500000000000003</v>
      </c>
      <c r="I1113" s="3" t="s">
        <v>8699</v>
      </c>
    </row>
    <row r="1114" spans="1:9" x14ac:dyDescent="0.35">
      <c r="A1114" s="3" t="s">
        <v>8726</v>
      </c>
      <c r="B1114" s="3" t="s">
        <v>69</v>
      </c>
      <c r="C1114" s="3" t="s">
        <v>70</v>
      </c>
      <c r="D1114">
        <v>2179</v>
      </c>
      <c r="E1114" s="6">
        <v>43796</v>
      </c>
      <c r="F1114">
        <v>0</v>
      </c>
      <c r="G1114">
        <v>4.2839999999999998</v>
      </c>
      <c r="H1114">
        <v>0.81600000000000006</v>
      </c>
      <c r="I1114" s="3" t="s">
        <v>8699</v>
      </c>
    </row>
    <row r="1115" spans="1:9" x14ac:dyDescent="0.35">
      <c r="A1115" s="3" t="s">
        <v>8934</v>
      </c>
      <c r="B1115" s="3" t="s">
        <v>527</v>
      </c>
      <c r="C1115" s="3" t="s">
        <v>528</v>
      </c>
      <c r="D1115">
        <v>2179</v>
      </c>
      <c r="E1115" s="6">
        <v>43796</v>
      </c>
      <c r="F1115">
        <v>0</v>
      </c>
      <c r="G1115">
        <v>2.496</v>
      </c>
      <c r="H1115">
        <v>0.70400000000000007</v>
      </c>
      <c r="I1115" s="3" t="s">
        <v>8699</v>
      </c>
    </row>
    <row r="1116" spans="1:9" x14ac:dyDescent="0.35">
      <c r="A1116" s="3" t="s">
        <v>9826</v>
      </c>
      <c r="B1116" s="3" t="s">
        <v>2413</v>
      </c>
      <c r="C1116" s="3" t="s">
        <v>2414</v>
      </c>
      <c r="D1116">
        <v>385</v>
      </c>
      <c r="E1116" s="6">
        <v>45590</v>
      </c>
      <c r="F1116">
        <v>0</v>
      </c>
      <c r="G1116">
        <v>6.0000000000000001E-3</v>
      </c>
      <c r="H1116">
        <v>0.10400000000000001</v>
      </c>
      <c r="I1116" s="3" t="s">
        <v>8712</v>
      </c>
    </row>
    <row r="1117" spans="1:9" x14ac:dyDescent="0.35">
      <c r="A1117" s="3" t="s">
        <v>9323</v>
      </c>
      <c r="B1117" s="3" t="s">
        <v>1348</v>
      </c>
      <c r="C1117" s="3" t="s">
        <v>1349</v>
      </c>
      <c r="D1117">
        <v>2192</v>
      </c>
      <c r="E1117" s="6">
        <v>43783</v>
      </c>
      <c r="F1117">
        <v>0</v>
      </c>
      <c r="G1117">
        <v>4.95</v>
      </c>
      <c r="H1117">
        <v>0.05</v>
      </c>
      <c r="I1117" s="3" t="s">
        <v>8699</v>
      </c>
    </row>
    <row r="1118" spans="1:9" x14ac:dyDescent="0.35">
      <c r="A1118" s="3" t="s">
        <v>9828</v>
      </c>
      <c r="B1118" s="3" t="s">
        <v>2417</v>
      </c>
      <c r="C1118" s="3" t="s">
        <v>2418</v>
      </c>
      <c r="D1118">
        <v>8789</v>
      </c>
      <c r="E1118" s="6">
        <v>37186</v>
      </c>
      <c r="F1118">
        <v>0</v>
      </c>
      <c r="G1118">
        <v>1.5</v>
      </c>
      <c r="H1118">
        <v>1.5</v>
      </c>
      <c r="I1118" s="3" t="s">
        <v>9484</v>
      </c>
    </row>
    <row r="1119" spans="1:9" x14ac:dyDescent="0.35">
      <c r="A1119" s="3" t="s">
        <v>9829</v>
      </c>
      <c r="B1119" s="3" t="s">
        <v>2419</v>
      </c>
      <c r="C1119" s="3" t="s">
        <v>2420</v>
      </c>
      <c r="D1119">
        <v>955</v>
      </c>
      <c r="E1119" s="6">
        <v>45020</v>
      </c>
      <c r="F1119">
        <v>0</v>
      </c>
      <c r="G1119">
        <v>0</v>
      </c>
      <c r="H1119">
        <v>0</v>
      </c>
      <c r="I1119" s="3" t="s">
        <v>28</v>
      </c>
    </row>
    <row r="1120" spans="1:9" x14ac:dyDescent="0.35">
      <c r="A1120" s="3" t="s">
        <v>9830</v>
      </c>
      <c r="B1120" s="3" t="s">
        <v>2421</v>
      </c>
      <c r="C1120" s="3" t="s">
        <v>2422</v>
      </c>
      <c r="D1120">
        <v>205</v>
      </c>
      <c r="E1120" s="6">
        <v>45770</v>
      </c>
      <c r="F1120">
        <v>0</v>
      </c>
      <c r="G1120">
        <v>1E-3</v>
      </c>
      <c r="H1120">
        <v>2.9000000000000001E-2</v>
      </c>
      <c r="I1120" s="3" t="s">
        <v>8701</v>
      </c>
    </row>
    <row r="1121" spans="1:9" x14ac:dyDescent="0.35">
      <c r="A1121" s="3" t="s">
        <v>9831</v>
      </c>
      <c r="B1121" s="3" t="s">
        <v>2423</v>
      </c>
      <c r="C1121" s="3" t="s">
        <v>2424</v>
      </c>
      <c r="D1121">
        <v>29</v>
      </c>
      <c r="E1121" s="6">
        <v>45946</v>
      </c>
      <c r="F1121">
        <v>0</v>
      </c>
      <c r="G1121">
        <v>3.08</v>
      </c>
      <c r="H1121">
        <v>0.42</v>
      </c>
      <c r="I1121" s="3" t="s">
        <v>8701</v>
      </c>
    </row>
    <row r="1122" spans="1:9" x14ac:dyDescent="0.35">
      <c r="A1122" s="3" t="s">
        <v>10640</v>
      </c>
      <c r="B1122" s="3" t="s">
        <v>4141</v>
      </c>
      <c r="C1122" s="3" t="s">
        <v>4142</v>
      </c>
      <c r="D1122">
        <v>2198</v>
      </c>
      <c r="E1122" s="6">
        <v>43777</v>
      </c>
      <c r="F1122">
        <v>0</v>
      </c>
      <c r="G1122">
        <v>4.75</v>
      </c>
      <c r="H1122">
        <v>0.25</v>
      </c>
      <c r="I1122" s="3" t="s">
        <v>8699</v>
      </c>
    </row>
    <row r="1123" spans="1:9" x14ac:dyDescent="0.35">
      <c r="A1123" s="3" t="s">
        <v>8868</v>
      </c>
      <c r="B1123" s="3" t="s">
        <v>392</v>
      </c>
      <c r="C1123" s="3" t="s">
        <v>393</v>
      </c>
      <c r="D1123">
        <v>2200</v>
      </c>
      <c r="E1123" s="6">
        <v>43775</v>
      </c>
      <c r="F1123">
        <v>0</v>
      </c>
      <c r="G1123">
        <v>4.9000000000000004</v>
      </c>
      <c r="H1123">
        <v>0.1</v>
      </c>
      <c r="I1123" s="3" t="s">
        <v>8699</v>
      </c>
    </row>
    <row r="1124" spans="1:9" x14ac:dyDescent="0.35">
      <c r="A1124" s="3" t="s">
        <v>9834</v>
      </c>
      <c r="B1124" s="3" t="s">
        <v>2429</v>
      </c>
      <c r="C1124" s="3" t="s">
        <v>2430</v>
      </c>
      <c r="D1124">
        <v>446</v>
      </c>
      <c r="E1124" s="6">
        <v>45529</v>
      </c>
      <c r="F1124">
        <v>0</v>
      </c>
      <c r="G1124">
        <v>57.938000000000002</v>
      </c>
      <c r="H1124">
        <v>1.0620000000000001</v>
      </c>
      <c r="I1124" s="3" t="s">
        <v>8701</v>
      </c>
    </row>
    <row r="1125" spans="1:9" x14ac:dyDescent="0.35">
      <c r="A1125" s="3" t="s">
        <v>9835</v>
      </c>
      <c r="B1125" s="3" t="s">
        <v>2433</v>
      </c>
      <c r="C1125" s="3" t="s">
        <v>2434</v>
      </c>
      <c r="D1125">
        <v>322</v>
      </c>
      <c r="E1125" s="6">
        <v>45653</v>
      </c>
      <c r="F1125">
        <v>0</v>
      </c>
      <c r="G1125">
        <v>0.01</v>
      </c>
      <c r="H1125">
        <v>0.19</v>
      </c>
      <c r="I1125" s="3" t="s">
        <v>8712</v>
      </c>
    </row>
    <row r="1126" spans="1:9" x14ac:dyDescent="0.35">
      <c r="A1126" s="3" t="s">
        <v>10635</v>
      </c>
      <c r="B1126" s="3" t="s">
        <v>4129</v>
      </c>
      <c r="C1126" s="3" t="s">
        <v>4130</v>
      </c>
      <c r="D1126">
        <v>2205</v>
      </c>
      <c r="E1126" s="6">
        <v>43770</v>
      </c>
      <c r="F1126">
        <v>100</v>
      </c>
      <c r="G1126">
        <v>15.297000000000001</v>
      </c>
      <c r="H1126">
        <v>0.63700000000000001</v>
      </c>
      <c r="I1126" s="3" t="s">
        <v>8699</v>
      </c>
    </row>
    <row r="1127" spans="1:9" x14ac:dyDescent="0.35">
      <c r="A1127" s="3" t="s">
        <v>9837</v>
      </c>
      <c r="B1127" s="3" t="s">
        <v>2437</v>
      </c>
      <c r="C1127" s="3" t="s">
        <v>2438</v>
      </c>
      <c r="D1127">
        <v>88</v>
      </c>
      <c r="E1127" s="6">
        <v>45887</v>
      </c>
      <c r="F1127">
        <v>150</v>
      </c>
      <c r="G1127">
        <v>12.71</v>
      </c>
      <c r="H1127">
        <v>1.49</v>
      </c>
      <c r="I1127" s="3" t="s">
        <v>8705</v>
      </c>
    </row>
    <row r="1128" spans="1:9" x14ac:dyDescent="0.35">
      <c r="A1128" s="3" t="s">
        <v>9838</v>
      </c>
      <c r="B1128" s="3" t="s">
        <v>2439</v>
      </c>
      <c r="C1128" s="3" t="s">
        <v>2440</v>
      </c>
      <c r="D1128">
        <v>78</v>
      </c>
      <c r="E1128" s="6">
        <v>45897</v>
      </c>
      <c r="F1128">
        <v>100</v>
      </c>
      <c r="G1128">
        <v>0.60799999999999998</v>
      </c>
      <c r="H1128">
        <v>0.99199999999999999</v>
      </c>
      <c r="I1128" s="3" t="s">
        <v>8701</v>
      </c>
    </row>
    <row r="1129" spans="1:9" x14ac:dyDescent="0.35">
      <c r="A1129" s="3" t="s">
        <v>9839</v>
      </c>
      <c r="B1129" s="3" t="s">
        <v>2441</v>
      </c>
      <c r="C1129" s="3" t="s">
        <v>2442</v>
      </c>
      <c r="D1129">
        <v>59</v>
      </c>
      <c r="E1129" s="6">
        <v>45916</v>
      </c>
      <c r="F1129">
        <v>0</v>
      </c>
      <c r="G1129">
        <v>28.8</v>
      </c>
      <c r="H1129">
        <v>3.2</v>
      </c>
      <c r="I1129" s="3" t="s">
        <v>8756</v>
      </c>
    </row>
    <row r="1130" spans="1:9" x14ac:dyDescent="0.35">
      <c r="A1130" s="3" t="s">
        <v>9840</v>
      </c>
      <c r="B1130" s="3" t="s">
        <v>2443</v>
      </c>
      <c r="C1130" s="3" t="s">
        <v>2444</v>
      </c>
      <c r="D1130">
        <v>955</v>
      </c>
      <c r="E1130" s="6">
        <v>45020</v>
      </c>
      <c r="F1130">
        <v>0</v>
      </c>
      <c r="G1130">
        <v>0</v>
      </c>
      <c r="H1130">
        <v>0</v>
      </c>
      <c r="I1130" s="3" t="s">
        <v>28</v>
      </c>
    </row>
    <row r="1131" spans="1:9" x14ac:dyDescent="0.35">
      <c r="A1131" s="3" t="s">
        <v>9841</v>
      </c>
      <c r="B1131" s="3" t="s">
        <v>2445</v>
      </c>
      <c r="C1131" s="3" t="s">
        <v>2446</v>
      </c>
      <c r="D1131">
        <v>49</v>
      </c>
      <c r="E1131" s="6">
        <v>45926</v>
      </c>
      <c r="F1131">
        <v>100</v>
      </c>
      <c r="G1131">
        <v>5.1000000000000005</v>
      </c>
      <c r="H1131">
        <v>0.9</v>
      </c>
      <c r="I1131" s="3" t="s">
        <v>8701</v>
      </c>
    </row>
    <row r="1132" spans="1:9" x14ac:dyDescent="0.35">
      <c r="A1132" s="3" t="s">
        <v>9842</v>
      </c>
      <c r="B1132" s="3" t="s">
        <v>2447</v>
      </c>
      <c r="C1132" s="3" t="s">
        <v>2448</v>
      </c>
      <c r="D1132">
        <v>955</v>
      </c>
      <c r="E1132" s="6">
        <v>45020</v>
      </c>
      <c r="F1132">
        <v>0</v>
      </c>
      <c r="G1132">
        <v>0</v>
      </c>
      <c r="H1132">
        <v>0</v>
      </c>
      <c r="I1132" s="3" t="s">
        <v>28</v>
      </c>
    </row>
    <row r="1133" spans="1:9" x14ac:dyDescent="0.35">
      <c r="A1133" s="3" t="s">
        <v>9191</v>
      </c>
      <c r="B1133" s="3" t="s">
        <v>1069</v>
      </c>
      <c r="C1133" s="3" t="s">
        <v>1070</v>
      </c>
      <c r="D1133">
        <v>2216</v>
      </c>
      <c r="E1133" s="6">
        <v>43759</v>
      </c>
      <c r="F1133">
        <v>0</v>
      </c>
      <c r="G1133">
        <v>3.68</v>
      </c>
      <c r="H1133">
        <v>0.32</v>
      </c>
      <c r="I1133" s="3" t="s">
        <v>8699</v>
      </c>
    </row>
    <row r="1134" spans="1:9" x14ac:dyDescent="0.35">
      <c r="A1134" s="3" t="s">
        <v>9844</v>
      </c>
      <c r="B1134" s="3" t="s">
        <v>2451</v>
      </c>
      <c r="C1134" s="3" t="s">
        <v>2452</v>
      </c>
      <c r="D1134">
        <v>58</v>
      </c>
      <c r="E1134" s="6">
        <v>45917</v>
      </c>
      <c r="F1134">
        <v>0</v>
      </c>
      <c r="G1134">
        <v>4.55</v>
      </c>
      <c r="H1134">
        <v>2.4500000000000002</v>
      </c>
      <c r="I1134" s="3" t="s">
        <v>8756</v>
      </c>
    </row>
    <row r="1135" spans="1:9" x14ac:dyDescent="0.35">
      <c r="A1135" s="3" t="s">
        <v>9285</v>
      </c>
      <c r="B1135" s="3" t="s">
        <v>1266</v>
      </c>
      <c r="C1135" s="3" t="s">
        <v>1267</v>
      </c>
      <c r="D1135">
        <v>2220</v>
      </c>
      <c r="E1135" s="6">
        <v>43755</v>
      </c>
      <c r="F1135">
        <v>0</v>
      </c>
      <c r="G1135">
        <v>9</v>
      </c>
      <c r="H1135">
        <v>1</v>
      </c>
      <c r="I1135" s="3" t="s">
        <v>8699</v>
      </c>
    </row>
    <row r="1136" spans="1:9" x14ac:dyDescent="0.35">
      <c r="A1136" s="3" t="s">
        <v>9846</v>
      </c>
      <c r="B1136" s="3" t="s">
        <v>2455</v>
      </c>
      <c r="C1136" s="3" t="s">
        <v>2456</v>
      </c>
      <c r="D1136">
        <v>44</v>
      </c>
      <c r="E1136" s="6">
        <v>45931</v>
      </c>
      <c r="F1136">
        <v>50</v>
      </c>
      <c r="G1136">
        <v>4.032</v>
      </c>
      <c r="H1136">
        <v>0.16800000000000001</v>
      </c>
      <c r="I1136" s="3" t="s">
        <v>8756</v>
      </c>
    </row>
    <row r="1137" spans="1:9" x14ac:dyDescent="0.35">
      <c r="A1137" s="3" t="s">
        <v>9847</v>
      </c>
      <c r="B1137" s="3" t="s">
        <v>2457</v>
      </c>
      <c r="C1137" s="3" t="s">
        <v>2458</v>
      </c>
      <c r="D1137">
        <v>955</v>
      </c>
      <c r="E1137" s="6">
        <v>45020</v>
      </c>
      <c r="F1137">
        <v>0</v>
      </c>
      <c r="G1137">
        <v>0</v>
      </c>
      <c r="H1137">
        <v>0</v>
      </c>
      <c r="I1137" s="3" t="s">
        <v>28</v>
      </c>
    </row>
    <row r="1138" spans="1:9" x14ac:dyDescent="0.35">
      <c r="A1138" s="3" t="s">
        <v>10196</v>
      </c>
      <c r="B1138" s="3" t="s">
        <v>3199</v>
      </c>
      <c r="C1138" s="3" t="s">
        <v>3200</v>
      </c>
      <c r="D1138">
        <v>2221</v>
      </c>
      <c r="E1138" s="6">
        <v>43754</v>
      </c>
      <c r="F1138">
        <v>0</v>
      </c>
      <c r="G1138">
        <v>4.4000000000000004E-2</v>
      </c>
      <c r="H1138">
        <v>0.21400000000000002</v>
      </c>
      <c r="I1138" s="3" t="s">
        <v>8699</v>
      </c>
    </row>
    <row r="1139" spans="1:9" x14ac:dyDescent="0.35">
      <c r="A1139" s="3" t="s">
        <v>9849</v>
      </c>
      <c r="B1139" s="3" t="s">
        <v>2461</v>
      </c>
      <c r="C1139" s="3" t="s">
        <v>2462</v>
      </c>
      <c r="D1139">
        <v>270</v>
      </c>
      <c r="E1139" s="6">
        <v>45705</v>
      </c>
      <c r="F1139">
        <v>0</v>
      </c>
      <c r="G1139">
        <v>19.98</v>
      </c>
      <c r="H1139">
        <v>0.02</v>
      </c>
      <c r="I1139" s="3" t="s">
        <v>8701</v>
      </c>
    </row>
    <row r="1140" spans="1:9" x14ac:dyDescent="0.35">
      <c r="A1140" s="3" t="s">
        <v>9850</v>
      </c>
      <c r="B1140" s="3" t="s">
        <v>2463</v>
      </c>
      <c r="C1140" s="3" t="s">
        <v>2464</v>
      </c>
      <c r="D1140">
        <v>955</v>
      </c>
      <c r="E1140" s="6">
        <v>45020</v>
      </c>
      <c r="F1140">
        <v>0</v>
      </c>
      <c r="G1140">
        <v>0</v>
      </c>
      <c r="H1140">
        <v>0</v>
      </c>
      <c r="I1140" s="3" t="s">
        <v>28</v>
      </c>
    </row>
    <row r="1141" spans="1:9" x14ac:dyDescent="0.35">
      <c r="A1141" s="3" t="s">
        <v>9851</v>
      </c>
      <c r="B1141" s="3" t="s">
        <v>2465</v>
      </c>
      <c r="C1141" s="3" t="s">
        <v>2466</v>
      </c>
      <c r="D1141">
        <v>726</v>
      </c>
      <c r="E1141" s="6">
        <v>45249</v>
      </c>
      <c r="F1141">
        <v>0</v>
      </c>
      <c r="G1141">
        <v>0</v>
      </c>
      <c r="H1141">
        <v>0</v>
      </c>
      <c r="I1141" s="3" t="s">
        <v>28</v>
      </c>
    </row>
    <row r="1142" spans="1:9" x14ac:dyDescent="0.35">
      <c r="A1142" s="3" t="s">
        <v>9852</v>
      </c>
      <c r="B1142" s="3" t="s">
        <v>2467</v>
      </c>
      <c r="C1142" s="3" t="s">
        <v>2468</v>
      </c>
      <c r="D1142">
        <v>108</v>
      </c>
      <c r="E1142" s="6">
        <v>45867</v>
      </c>
      <c r="F1142">
        <v>50</v>
      </c>
      <c r="G1142">
        <v>12.969000000000001</v>
      </c>
      <c r="H1142">
        <v>0.13100000000000001</v>
      </c>
      <c r="I1142" s="3" t="s">
        <v>8701</v>
      </c>
    </row>
    <row r="1143" spans="1:9" x14ac:dyDescent="0.35">
      <c r="A1143" s="3" t="s">
        <v>9853</v>
      </c>
      <c r="B1143" s="3" t="s">
        <v>2469</v>
      </c>
      <c r="C1143" s="3" t="s">
        <v>2470</v>
      </c>
      <c r="D1143">
        <v>49</v>
      </c>
      <c r="E1143" s="6">
        <v>45926</v>
      </c>
      <c r="F1143">
        <v>0</v>
      </c>
      <c r="G1143">
        <v>4.2560000000000002</v>
      </c>
      <c r="H1143">
        <v>1.3440000000000001</v>
      </c>
      <c r="I1143" s="3" t="s">
        <v>8701</v>
      </c>
    </row>
    <row r="1144" spans="1:9" x14ac:dyDescent="0.35">
      <c r="A1144" s="3" t="s">
        <v>9854</v>
      </c>
      <c r="B1144" s="3" t="s">
        <v>2471</v>
      </c>
      <c r="C1144" s="3" t="s">
        <v>2472</v>
      </c>
      <c r="D1144">
        <v>47</v>
      </c>
      <c r="E1144" s="6">
        <v>45928</v>
      </c>
      <c r="F1144">
        <v>50</v>
      </c>
      <c r="G1144">
        <v>26.1</v>
      </c>
      <c r="H1144">
        <v>2.9</v>
      </c>
      <c r="I1144" s="3" t="s">
        <v>8756</v>
      </c>
    </row>
    <row r="1145" spans="1:9" x14ac:dyDescent="0.35">
      <c r="A1145" s="3" t="s">
        <v>10436</v>
      </c>
      <c r="B1145" s="3" t="s">
        <v>3711</v>
      </c>
      <c r="C1145" s="3" t="s">
        <v>3712</v>
      </c>
      <c r="D1145">
        <v>2230</v>
      </c>
      <c r="E1145" s="6">
        <v>43745</v>
      </c>
      <c r="F1145">
        <v>0</v>
      </c>
      <c r="G1145">
        <v>0</v>
      </c>
      <c r="H1145">
        <v>0</v>
      </c>
      <c r="I1145" s="3" t="s">
        <v>8699</v>
      </c>
    </row>
    <row r="1146" spans="1:9" x14ac:dyDescent="0.35">
      <c r="A1146" s="3" t="s">
        <v>9856</v>
      </c>
      <c r="B1146" s="3" t="s">
        <v>2475</v>
      </c>
      <c r="C1146" s="3" t="s">
        <v>2476</v>
      </c>
      <c r="D1146">
        <v>171</v>
      </c>
      <c r="E1146" s="6">
        <v>45804</v>
      </c>
      <c r="F1146">
        <v>100</v>
      </c>
      <c r="G1146">
        <v>3.52</v>
      </c>
      <c r="H1146">
        <v>0.48</v>
      </c>
      <c r="I1146" s="3" t="s">
        <v>8701</v>
      </c>
    </row>
    <row r="1147" spans="1:9" x14ac:dyDescent="0.35">
      <c r="A1147" s="3" t="s">
        <v>9857</v>
      </c>
      <c r="B1147" s="3" t="s">
        <v>2477</v>
      </c>
      <c r="C1147" s="3" t="s">
        <v>2478</v>
      </c>
      <c r="D1147">
        <v>49</v>
      </c>
      <c r="E1147" s="6">
        <v>45926</v>
      </c>
      <c r="F1147">
        <v>100</v>
      </c>
      <c r="G1147">
        <v>1.1000000000000001</v>
      </c>
      <c r="H1147">
        <v>0.9</v>
      </c>
      <c r="I1147" s="3" t="s">
        <v>8701</v>
      </c>
    </row>
    <row r="1148" spans="1:9" x14ac:dyDescent="0.35">
      <c r="A1148" s="3" t="s">
        <v>9858</v>
      </c>
      <c r="B1148" s="3" t="s">
        <v>2479</v>
      </c>
      <c r="C1148" s="3" t="s">
        <v>2480</v>
      </c>
      <c r="D1148">
        <v>46</v>
      </c>
      <c r="E1148" s="6">
        <v>45929</v>
      </c>
      <c r="F1148">
        <v>100</v>
      </c>
      <c r="G1148">
        <v>9.016</v>
      </c>
      <c r="H1148">
        <v>0.184</v>
      </c>
      <c r="I1148" s="3" t="s">
        <v>8701</v>
      </c>
    </row>
    <row r="1149" spans="1:9" x14ac:dyDescent="0.35">
      <c r="A1149" s="3" t="s">
        <v>9859</v>
      </c>
      <c r="B1149" s="3" t="s">
        <v>2481</v>
      </c>
      <c r="C1149" s="3" t="s">
        <v>2482</v>
      </c>
      <c r="D1149">
        <v>23</v>
      </c>
      <c r="E1149" s="6">
        <v>45952</v>
      </c>
      <c r="F1149">
        <v>0</v>
      </c>
      <c r="G1149">
        <v>6.4</v>
      </c>
      <c r="H1149">
        <v>1.6</v>
      </c>
      <c r="I1149" s="3" t="s">
        <v>8701</v>
      </c>
    </row>
    <row r="1150" spans="1:9" x14ac:dyDescent="0.35">
      <c r="A1150" s="3" t="s">
        <v>8784</v>
      </c>
      <c r="B1150" s="3" t="s">
        <v>208</v>
      </c>
      <c r="C1150" s="3" t="s">
        <v>209</v>
      </c>
      <c r="D1150">
        <v>2234</v>
      </c>
      <c r="E1150" s="6">
        <v>43741</v>
      </c>
      <c r="F1150">
        <v>0</v>
      </c>
      <c r="G1150">
        <v>3.4</v>
      </c>
      <c r="H1150">
        <v>0.6</v>
      </c>
      <c r="I1150" s="3" t="s">
        <v>8699</v>
      </c>
    </row>
    <row r="1151" spans="1:9" x14ac:dyDescent="0.35">
      <c r="A1151" s="3" t="s">
        <v>9861</v>
      </c>
      <c r="B1151" s="3" t="s">
        <v>2485</v>
      </c>
      <c r="C1151" s="3" t="s">
        <v>2486</v>
      </c>
      <c r="D1151">
        <v>157</v>
      </c>
      <c r="E1151" s="6">
        <v>45818</v>
      </c>
      <c r="F1151">
        <v>0</v>
      </c>
      <c r="G1151">
        <v>13.664000000000001</v>
      </c>
      <c r="H1151">
        <v>0.33600000000000002</v>
      </c>
      <c r="I1151" s="3" t="s">
        <v>8701</v>
      </c>
    </row>
    <row r="1152" spans="1:9" x14ac:dyDescent="0.35">
      <c r="A1152" s="3" t="s">
        <v>9862</v>
      </c>
      <c r="B1152" s="3" t="s">
        <v>2487</v>
      </c>
      <c r="C1152" s="3" t="s">
        <v>2488</v>
      </c>
      <c r="D1152">
        <v>102</v>
      </c>
      <c r="E1152" s="6">
        <v>45873</v>
      </c>
      <c r="F1152">
        <v>0</v>
      </c>
      <c r="G1152">
        <v>1</v>
      </c>
      <c r="H1152">
        <v>1.5</v>
      </c>
      <c r="I1152" s="3" t="s">
        <v>8701</v>
      </c>
    </row>
    <row r="1153" spans="1:9" x14ac:dyDescent="0.35">
      <c r="A1153" s="3" t="s">
        <v>9863</v>
      </c>
      <c r="B1153" s="3" t="s">
        <v>2489</v>
      </c>
      <c r="C1153" s="3" t="s">
        <v>2490</v>
      </c>
      <c r="D1153">
        <v>46</v>
      </c>
      <c r="E1153" s="6">
        <v>45929</v>
      </c>
      <c r="F1153">
        <v>0</v>
      </c>
      <c r="G1153">
        <v>0.94000000000000006</v>
      </c>
      <c r="H1153">
        <v>1.41</v>
      </c>
      <c r="I1153" s="3" t="s">
        <v>8701</v>
      </c>
    </row>
    <row r="1154" spans="1:9" x14ac:dyDescent="0.35">
      <c r="A1154" s="3" t="s">
        <v>9864</v>
      </c>
      <c r="B1154" s="3" t="s">
        <v>2491</v>
      </c>
      <c r="C1154" s="3" t="s">
        <v>2492</v>
      </c>
      <c r="D1154">
        <v>53</v>
      </c>
      <c r="E1154" s="6">
        <v>45922</v>
      </c>
      <c r="F1154">
        <v>0</v>
      </c>
      <c r="G1154">
        <v>42.14</v>
      </c>
      <c r="H1154">
        <v>0.86</v>
      </c>
      <c r="I1154" s="3" t="s">
        <v>8701</v>
      </c>
    </row>
    <row r="1155" spans="1:9" x14ac:dyDescent="0.35">
      <c r="A1155" s="3" t="s">
        <v>9865</v>
      </c>
      <c r="B1155" s="3" t="s">
        <v>2493</v>
      </c>
      <c r="C1155" s="3" t="s">
        <v>2494</v>
      </c>
      <c r="D1155">
        <v>955</v>
      </c>
      <c r="E1155" s="6">
        <v>45020</v>
      </c>
      <c r="F1155">
        <v>0</v>
      </c>
      <c r="G1155">
        <v>0</v>
      </c>
      <c r="H1155">
        <v>0</v>
      </c>
      <c r="I1155" s="3" t="s">
        <v>28</v>
      </c>
    </row>
    <row r="1156" spans="1:9" x14ac:dyDescent="0.35">
      <c r="A1156" s="3" t="s">
        <v>9866</v>
      </c>
      <c r="B1156" s="3" t="s">
        <v>2495</v>
      </c>
      <c r="C1156" s="3" t="s">
        <v>2496</v>
      </c>
      <c r="D1156">
        <v>25</v>
      </c>
      <c r="E1156" s="6">
        <v>45950</v>
      </c>
      <c r="F1156">
        <v>200</v>
      </c>
      <c r="G1156">
        <v>6.32</v>
      </c>
      <c r="H1156">
        <v>1.68</v>
      </c>
      <c r="I1156" s="3" t="s">
        <v>8756</v>
      </c>
    </row>
    <row r="1157" spans="1:9" x14ac:dyDescent="0.35">
      <c r="A1157" s="3" t="s">
        <v>9867</v>
      </c>
      <c r="B1157" s="3" t="s">
        <v>2497</v>
      </c>
      <c r="C1157" s="3" t="s">
        <v>2498</v>
      </c>
      <c r="D1157">
        <v>22</v>
      </c>
      <c r="E1157" s="6">
        <v>45953</v>
      </c>
      <c r="F1157">
        <v>0</v>
      </c>
      <c r="G1157">
        <v>0.66</v>
      </c>
      <c r="H1157">
        <v>1.34</v>
      </c>
      <c r="I1157" s="3" t="s">
        <v>8705</v>
      </c>
    </row>
    <row r="1158" spans="1:9" x14ac:dyDescent="0.35">
      <c r="A1158" s="3" t="s">
        <v>9868</v>
      </c>
      <c r="B1158" s="3" t="s">
        <v>2499</v>
      </c>
      <c r="C1158" s="3" t="s">
        <v>2500</v>
      </c>
      <c r="D1158">
        <v>0</v>
      </c>
      <c r="E1158" s="6">
        <v>45975</v>
      </c>
      <c r="F1158">
        <v>250</v>
      </c>
      <c r="G1158">
        <v>0.48</v>
      </c>
      <c r="H1158">
        <v>1.92</v>
      </c>
      <c r="I1158" s="3" t="s">
        <v>8701</v>
      </c>
    </row>
    <row r="1159" spans="1:9" x14ac:dyDescent="0.35">
      <c r="A1159" s="3" t="s">
        <v>9869</v>
      </c>
      <c r="B1159" s="3" t="s">
        <v>2501</v>
      </c>
      <c r="C1159" s="3" t="s">
        <v>2502</v>
      </c>
      <c r="D1159">
        <v>955</v>
      </c>
      <c r="E1159" s="6">
        <v>45020</v>
      </c>
      <c r="F1159">
        <v>0</v>
      </c>
      <c r="G1159">
        <v>0</v>
      </c>
      <c r="H1159">
        <v>0</v>
      </c>
      <c r="I1159" s="3" t="s">
        <v>28</v>
      </c>
    </row>
    <row r="1160" spans="1:9" x14ac:dyDescent="0.35">
      <c r="A1160" s="3" t="s">
        <v>11148</v>
      </c>
      <c r="B1160" s="3" t="s">
        <v>5217</v>
      </c>
      <c r="C1160" s="3" t="s">
        <v>5218</v>
      </c>
      <c r="D1160">
        <v>2237</v>
      </c>
      <c r="E1160" s="6">
        <v>43738</v>
      </c>
      <c r="F1160">
        <v>0</v>
      </c>
      <c r="G1160">
        <v>7.76</v>
      </c>
      <c r="H1160">
        <v>0.24</v>
      </c>
      <c r="I1160" s="3" t="s">
        <v>8699</v>
      </c>
    </row>
    <row r="1161" spans="1:9" x14ac:dyDescent="0.35">
      <c r="A1161" s="3" t="s">
        <v>9871</v>
      </c>
      <c r="B1161" s="3" t="s">
        <v>2505</v>
      </c>
      <c r="C1161" s="3" t="s">
        <v>2506</v>
      </c>
      <c r="D1161">
        <v>955</v>
      </c>
      <c r="E1161" s="6">
        <v>45020</v>
      </c>
      <c r="F1161">
        <v>0</v>
      </c>
      <c r="G1161">
        <v>0</v>
      </c>
      <c r="H1161">
        <v>0</v>
      </c>
      <c r="I1161" s="3" t="s">
        <v>28</v>
      </c>
    </row>
    <row r="1162" spans="1:9" x14ac:dyDescent="0.35">
      <c r="A1162" s="3" t="s">
        <v>9872</v>
      </c>
      <c r="B1162" s="3" t="s">
        <v>2507</v>
      </c>
      <c r="C1162" s="3" t="s">
        <v>2508</v>
      </c>
      <c r="D1162">
        <v>38</v>
      </c>
      <c r="E1162" s="6">
        <v>45937</v>
      </c>
      <c r="F1162">
        <v>0</v>
      </c>
      <c r="G1162">
        <v>6.4</v>
      </c>
      <c r="H1162">
        <v>1.6</v>
      </c>
      <c r="I1162" s="3" t="s">
        <v>8701</v>
      </c>
    </row>
    <row r="1163" spans="1:9" x14ac:dyDescent="0.35">
      <c r="A1163" s="3" t="s">
        <v>9873</v>
      </c>
      <c r="B1163" s="3" t="s">
        <v>2509</v>
      </c>
      <c r="C1163" s="3" t="s">
        <v>2510</v>
      </c>
      <c r="D1163">
        <v>26</v>
      </c>
      <c r="E1163" s="6">
        <v>45949</v>
      </c>
      <c r="F1163">
        <v>0</v>
      </c>
      <c r="G1163">
        <v>6.8</v>
      </c>
      <c r="H1163">
        <v>1.2</v>
      </c>
      <c r="I1163" s="3" t="s">
        <v>8703</v>
      </c>
    </row>
    <row r="1164" spans="1:9" x14ac:dyDescent="0.35">
      <c r="A1164" s="3" t="s">
        <v>9874</v>
      </c>
      <c r="B1164" s="3" t="s">
        <v>2511</v>
      </c>
      <c r="C1164" s="3" t="s">
        <v>2512</v>
      </c>
      <c r="D1164">
        <v>381</v>
      </c>
      <c r="E1164" s="6">
        <v>45594</v>
      </c>
      <c r="F1164">
        <v>0</v>
      </c>
      <c r="G1164">
        <v>7.0000000000000001E-3</v>
      </c>
      <c r="H1164">
        <v>0.10400000000000001</v>
      </c>
      <c r="I1164" s="3" t="s">
        <v>8712</v>
      </c>
    </row>
    <row r="1165" spans="1:9" x14ac:dyDescent="0.35">
      <c r="A1165" s="3" t="s">
        <v>8799</v>
      </c>
      <c r="B1165" s="3" t="s">
        <v>239</v>
      </c>
      <c r="C1165" s="3" t="s">
        <v>240</v>
      </c>
      <c r="D1165">
        <v>2243</v>
      </c>
      <c r="E1165" s="6">
        <v>43732</v>
      </c>
      <c r="F1165">
        <v>0</v>
      </c>
      <c r="G1165">
        <v>2.7600000000000002</v>
      </c>
      <c r="H1165">
        <v>0.24</v>
      </c>
      <c r="I1165" s="3" t="s">
        <v>8699</v>
      </c>
    </row>
    <row r="1166" spans="1:9" x14ac:dyDescent="0.35">
      <c r="A1166" s="3" t="s">
        <v>9876</v>
      </c>
      <c r="B1166" s="3" t="s">
        <v>2516</v>
      </c>
      <c r="C1166" s="3" t="s">
        <v>2517</v>
      </c>
      <c r="D1166">
        <v>563</v>
      </c>
      <c r="E1166" s="6">
        <v>45412</v>
      </c>
      <c r="F1166">
        <v>0</v>
      </c>
      <c r="G1166">
        <v>6.0000000000000001E-3</v>
      </c>
      <c r="H1166">
        <v>0.114</v>
      </c>
      <c r="I1166" s="3" t="s">
        <v>8712</v>
      </c>
    </row>
    <row r="1167" spans="1:9" x14ac:dyDescent="0.35">
      <c r="A1167" s="3" t="s">
        <v>9877</v>
      </c>
      <c r="B1167" s="3" t="s">
        <v>2518</v>
      </c>
      <c r="C1167" s="3" t="s">
        <v>2519</v>
      </c>
      <c r="D1167">
        <v>5841</v>
      </c>
      <c r="E1167" s="6">
        <v>40134</v>
      </c>
      <c r="F1167">
        <v>0</v>
      </c>
      <c r="G1167">
        <v>0</v>
      </c>
      <c r="H1167">
        <v>0</v>
      </c>
      <c r="I1167" s="3" t="s">
        <v>28</v>
      </c>
    </row>
    <row r="1168" spans="1:9" x14ac:dyDescent="0.35">
      <c r="A1168" s="3" t="s">
        <v>9580</v>
      </c>
      <c r="B1168" s="3" t="s">
        <v>1888</v>
      </c>
      <c r="C1168" s="3" t="s">
        <v>1889</v>
      </c>
      <c r="D1168">
        <v>2276</v>
      </c>
      <c r="E1168" s="6">
        <v>43699</v>
      </c>
      <c r="F1168">
        <v>0</v>
      </c>
      <c r="G1168">
        <v>20.196000000000002</v>
      </c>
      <c r="H1168">
        <v>0.20400000000000001</v>
      </c>
      <c r="I1168" s="3" t="s">
        <v>8699</v>
      </c>
    </row>
    <row r="1169" spans="1:9" x14ac:dyDescent="0.35">
      <c r="A1169" s="3" t="s">
        <v>9879</v>
      </c>
      <c r="B1169" s="3" t="s">
        <v>2522</v>
      </c>
      <c r="C1169" s="3" t="s">
        <v>2523</v>
      </c>
      <c r="D1169">
        <v>16</v>
      </c>
      <c r="E1169" s="6">
        <v>45959</v>
      </c>
      <c r="F1169">
        <v>0</v>
      </c>
      <c r="G1169">
        <v>19.32</v>
      </c>
      <c r="H1169">
        <v>1.68</v>
      </c>
      <c r="I1169" s="3" t="s">
        <v>8756</v>
      </c>
    </row>
    <row r="1170" spans="1:9" x14ac:dyDescent="0.35">
      <c r="A1170" s="3" t="s">
        <v>11055</v>
      </c>
      <c r="B1170" s="3" t="s">
        <v>5022</v>
      </c>
      <c r="C1170" s="3" t="s">
        <v>5023</v>
      </c>
      <c r="D1170">
        <v>2277</v>
      </c>
      <c r="E1170" s="6">
        <v>43698</v>
      </c>
      <c r="F1170">
        <v>100</v>
      </c>
      <c r="G1170">
        <v>0.56000000000000005</v>
      </c>
      <c r="H1170">
        <v>0.44</v>
      </c>
      <c r="I1170" s="3" t="s">
        <v>8699</v>
      </c>
    </row>
    <row r="1171" spans="1:9" x14ac:dyDescent="0.35">
      <c r="A1171" s="3" t="s">
        <v>9881</v>
      </c>
      <c r="B1171" s="3" t="s">
        <v>2526</v>
      </c>
      <c r="C1171" s="3" t="s">
        <v>2527</v>
      </c>
      <c r="D1171">
        <v>126</v>
      </c>
      <c r="E1171" s="6">
        <v>45849</v>
      </c>
      <c r="F1171">
        <v>0</v>
      </c>
      <c r="G1171">
        <v>8.0000000000000002E-3</v>
      </c>
      <c r="H1171">
        <v>0.192</v>
      </c>
      <c r="I1171" s="3" t="s">
        <v>8712</v>
      </c>
    </row>
    <row r="1172" spans="1:9" x14ac:dyDescent="0.35">
      <c r="A1172" s="3" t="s">
        <v>9882</v>
      </c>
      <c r="B1172" s="3" t="s">
        <v>2528</v>
      </c>
      <c r="C1172" s="3" t="s">
        <v>2529</v>
      </c>
      <c r="D1172">
        <v>109</v>
      </c>
      <c r="E1172" s="6">
        <v>45866</v>
      </c>
      <c r="F1172">
        <v>50</v>
      </c>
      <c r="G1172">
        <v>46.46</v>
      </c>
      <c r="H1172">
        <v>4.04</v>
      </c>
      <c r="I1172" s="3" t="s">
        <v>8729</v>
      </c>
    </row>
    <row r="1173" spans="1:9" x14ac:dyDescent="0.35">
      <c r="A1173" s="3" t="s">
        <v>11084</v>
      </c>
      <c r="B1173" s="3" t="s">
        <v>5082</v>
      </c>
      <c r="C1173" s="3" t="s">
        <v>5083</v>
      </c>
      <c r="D1173">
        <v>2310</v>
      </c>
      <c r="E1173" s="6">
        <v>43665</v>
      </c>
      <c r="F1173">
        <v>0</v>
      </c>
      <c r="G1173">
        <v>3.33</v>
      </c>
      <c r="H1173">
        <v>1.17</v>
      </c>
      <c r="I1173" s="3" t="s">
        <v>8699</v>
      </c>
    </row>
    <row r="1174" spans="1:9" x14ac:dyDescent="0.35">
      <c r="A1174" s="3" t="s">
        <v>9884</v>
      </c>
      <c r="B1174" s="3" t="s">
        <v>2532</v>
      </c>
      <c r="C1174" s="3" t="s">
        <v>2533</v>
      </c>
      <c r="D1174">
        <v>107</v>
      </c>
      <c r="E1174" s="6">
        <v>45868</v>
      </c>
      <c r="F1174">
        <v>0</v>
      </c>
      <c r="G1174">
        <v>0</v>
      </c>
      <c r="H1174">
        <v>0</v>
      </c>
      <c r="I1174" s="3" t="s">
        <v>28</v>
      </c>
    </row>
    <row r="1175" spans="1:9" x14ac:dyDescent="0.35">
      <c r="A1175" s="3" t="s">
        <v>9885</v>
      </c>
      <c r="B1175" s="3" t="s">
        <v>2534</v>
      </c>
      <c r="C1175" s="3" t="s">
        <v>2535</v>
      </c>
      <c r="D1175">
        <v>152</v>
      </c>
      <c r="E1175" s="6">
        <v>45823</v>
      </c>
      <c r="F1175">
        <v>100</v>
      </c>
      <c r="G1175">
        <v>1.879</v>
      </c>
      <c r="H1175">
        <v>1.151</v>
      </c>
      <c r="I1175" s="3" t="s">
        <v>8756</v>
      </c>
    </row>
    <row r="1176" spans="1:9" x14ac:dyDescent="0.35">
      <c r="A1176" s="3" t="s">
        <v>9824</v>
      </c>
      <c r="B1176" s="3" t="s">
        <v>2409</v>
      </c>
      <c r="C1176" s="3" t="s">
        <v>2410</v>
      </c>
      <c r="D1176">
        <v>2311</v>
      </c>
      <c r="E1176" s="6">
        <v>43664</v>
      </c>
      <c r="F1176">
        <v>100</v>
      </c>
      <c r="G1176">
        <v>5.3010000000000002</v>
      </c>
      <c r="H1176">
        <v>0.39900000000000002</v>
      </c>
      <c r="I1176" s="3" t="s">
        <v>8699</v>
      </c>
    </row>
    <row r="1177" spans="1:9" x14ac:dyDescent="0.35">
      <c r="A1177" s="3" t="s">
        <v>10034</v>
      </c>
      <c r="B1177" s="3" t="s">
        <v>2853</v>
      </c>
      <c r="C1177" s="3" t="s">
        <v>2854</v>
      </c>
      <c r="D1177">
        <v>2356</v>
      </c>
      <c r="E1177" s="6">
        <v>43619</v>
      </c>
      <c r="F1177">
        <v>0</v>
      </c>
      <c r="G1177">
        <v>29.7</v>
      </c>
      <c r="H1177">
        <v>0.3</v>
      </c>
      <c r="I1177" s="3" t="s">
        <v>8699</v>
      </c>
    </row>
    <row r="1178" spans="1:9" x14ac:dyDescent="0.35">
      <c r="A1178" s="3" t="s">
        <v>9208</v>
      </c>
      <c r="B1178" s="3" t="s">
        <v>1108</v>
      </c>
      <c r="C1178" s="3" t="s">
        <v>1109</v>
      </c>
      <c r="D1178">
        <v>2383</v>
      </c>
      <c r="E1178" s="6">
        <v>43592</v>
      </c>
      <c r="F1178">
        <v>0</v>
      </c>
      <c r="G1178">
        <v>1.19</v>
      </c>
      <c r="H1178">
        <v>0.21</v>
      </c>
      <c r="I1178" s="3" t="s">
        <v>8699</v>
      </c>
    </row>
    <row r="1179" spans="1:9" x14ac:dyDescent="0.35">
      <c r="A1179" s="3" t="s">
        <v>9889</v>
      </c>
      <c r="B1179" s="3" t="s">
        <v>2542</v>
      </c>
      <c r="C1179" s="3" t="s">
        <v>2543</v>
      </c>
      <c r="D1179">
        <v>18</v>
      </c>
      <c r="E1179" s="6">
        <v>45957</v>
      </c>
      <c r="F1179">
        <v>30</v>
      </c>
      <c r="G1179">
        <v>8.1</v>
      </c>
      <c r="H1179">
        <v>0.9</v>
      </c>
      <c r="I1179" s="3" t="s">
        <v>8705</v>
      </c>
    </row>
    <row r="1180" spans="1:9" x14ac:dyDescent="0.35">
      <c r="A1180" s="3" t="s">
        <v>10990</v>
      </c>
      <c r="B1180" s="3" t="s">
        <v>4879</v>
      </c>
      <c r="C1180" s="3" t="s">
        <v>4880</v>
      </c>
      <c r="D1180">
        <v>2405</v>
      </c>
      <c r="E1180" s="6">
        <v>43570</v>
      </c>
      <c r="F1180">
        <v>0</v>
      </c>
      <c r="G1180">
        <v>10.504000000000001</v>
      </c>
      <c r="H1180">
        <v>0.10600000000000001</v>
      </c>
      <c r="I1180" s="3" t="s">
        <v>8699</v>
      </c>
    </row>
    <row r="1181" spans="1:9" x14ac:dyDescent="0.35">
      <c r="A1181" s="3" t="s">
        <v>9017</v>
      </c>
      <c r="B1181" s="3" t="s">
        <v>705</v>
      </c>
      <c r="C1181" s="3" t="s">
        <v>706</v>
      </c>
      <c r="D1181">
        <v>2408</v>
      </c>
      <c r="E1181" s="6">
        <v>43567</v>
      </c>
      <c r="F1181">
        <v>0</v>
      </c>
      <c r="G1181">
        <v>15.045</v>
      </c>
      <c r="H1181">
        <v>0.46500000000000002</v>
      </c>
      <c r="I1181" s="3" t="s">
        <v>8699</v>
      </c>
    </row>
    <row r="1182" spans="1:9" x14ac:dyDescent="0.35">
      <c r="A1182" s="3" t="s">
        <v>9892</v>
      </c>
      <c r="B1182" s="3" t="s">
        <v>2548</v>
      </c>
      <c r="C1182" s="3" t="s">
        <v>2549</v>
      </c>
      <c r="D1182">
        <v>23</v>
      </c>
      <c r="E1182" s="6">
        <v>45952</v>
      </c>
      <c r="F1182">
        <v>0</v>
      </c>
      <c r="G1182">
        <v>5.0000000000000001E-3</v>
      </c>
      <c r="H1182">
        <v>0.115</v>
      </c>
      <c r="I1182" s="3" t="s">
        <v>8712</v>
      </c>
    </row>
    <row r="1183" spans="1:9" x14ac:dyDescent="0.35">
      <c r="A1183" s="3" t="s">
        <v>9893</v>
      </c>
      <c r="B1183" s="3" t="s">
        <v>2550</v>
      </c>
      <c r="C1183" s="3" t="s">
        <v>2551</v>
      </c>
      <c r="D1183">
        <v>29</v>
      </c>
      <c r="E1183" s="6">
        <v>45946</v>
      </c>
      <c r="F1183">
        <v>0</v>
      </c>
      <c r="G1183">
        <v>7.3100000000000005</v>
      </c>
      <c r="H1183">
        <v>1.19</v>
      </c>
      <c r="I1183" s="3" t="s">
        <v>8701</v>
      </c>
    </row>
    <row r="1184" spans="1:9" x14ac:dyDescent="0.35">
      <c r="A1184" s="3" t="s">
        <v>9464</v>
      </c>
      <c r="B1184" s="3" t="s">
        <v>1641</v>
      </c>
      <c r="C1184" s="3" t="s">
        <v>1642</v>
      </c>
      <c r="D1184">
        <v>2415</v>
      </c>
      <c r="E1184" s="6">
        <v>43560</v>
      </c>
      <c r="F1184">
        <v>0</v>
      </c>
      <c r="G1184">
        <v>3.306</v>
      </c>
      <c r="H1184">
        <v>0.49400000000000005</v>
      </c>
      <c r="I1184" s="3" t="s">
        <v>8699</v>
      </c>
    </row>
    <row r="1185" spans="1:9" x14ac:dyDescent="0.35">
      <c r="A1185" s="3" t="s">
        <v>9895</v>
      </c>
      <c r="B1185" s="3" t="s">
        <v>2554</v>
      </c>
      <c r="C1185" s="3" t="s">
        <v>2555</v>
      </c>
      <c r="D1185">
        <v>23</v>
      </c>
      <c r="E1185" s="6">
        <v>45952</v>
      </c>
      <c r="F1185">
        <v>0</v>
      </c>
      <c r="G1185">
        <v>6.0000000000000001E-3</v>
      </c>
      <c r="H1185">
        <v>0.154</v>
      </c>
      <c r="I1185" s="3" t="s">
        <v>8712</v>
      </c>
    </row>
    <row r="1186" spans="1:9" x14ac:dyDescent="0.35">
      <c r="A1186" s="3" t="s">
        <v>10005</v>
      </c>
      <c r="B1186" s="3" t="s">
        <v>2789</v>
      </c>
      <c r="C1186" s="3" t="s">
        <v>2790</v>
      </c>
      <c r="D1186">
        <v>2415</v>
      </c>
      <c r="E1186" s="6">
        <v>43560</v>
      </c>
      <c r="F1186">
        <v>0</v>
      </c>
      <c r="G1186">
        <v>2.4E-2</v>
      </c>
      <c r="H1186">
        <v>0.57600000000000007</v>
      </c>
      <c r="I1186" s="3" t="s">
        <v>8699</v>
      </c>
    </row>
    <row r="1187" spans="1:9" x14ac:dyDescent="0.35">
      <c r="A1187" s="3" t="s">
        <v>9897</v>
      </c>
      <c r="B1187" s="3" t="s">
        <v>2558</v>
      </c>
      <c r="C1187" s="3" t="s">
        <v>2559</v>
      </c>
      <c r="D1187">
        <v>215</v>
      </c>
      <c r="E1187" s="6">
        <v>45760</v>
      </c>
      <c r="F1187">
        <v>0</v>
      </c>
      <c r="G1187">
        <v>2.4</v>
      </c>
      <c r="H1187">
        <v>0.8</v>
      </c>
      <c r="I1187" s="3" t="s">
        <v>8705</v>
      </c>
    </row>
    <row r="1188" spans="1:9" x14ac:dyDescent="0.35">
      <c r="A1188" s="3" t="s">
        <v>9080</v>
      </c>
      <c r="B1188" s="3" t="s">
        <v>841</v>
      </c>
      <c r="C1188" s="3" t="s">
        <v>842</v>
      </c>
      <c r="D1188">
        <v>2478</v>
      </c>
      <c r="E1188" s="6">
        <v>43497</v>
      </c>
      <c r="F1188">
        <v>0</v>
      </c>
      <c r="G1188">
        <v>0</v>
      </c>
      <c r="H1188">
        <v>0</v>
      </c>
      <c r="I1188" s="3" t="s">
        <v>8699</v>
      </c>
    </row>
    <row r="1189" spans="1:9" x14ac:dyDescent="0.35">
      <c r="A1189" s="3" t="s">
        <v>9899</v>
      </c>
      <c r="B1189" s="3" t="s">
        <v>2563</v>
      </c>
      <c r="C1189" s="3" t="s">
        <v>2564</v>
      </c>
      <c r="D1189">
        <v>262</v>
      </c>
      <c r="E1189" s="6">
        <v>45713</v>
      </c>
      <c r="F1189">
        <v>0</v>
      </c>
      <c r="G1189">
        <v>15.21</v>
      </c>
      <c r="H1189">
        <v>1.69</v>
      </c>
      <c r="I1189" s="3" t="s">
        <v>8701</v>
      </c>
    </row>
    <row r="1190" spans="1:9" x14ac:dyDescent="0.35">
      <c r="A1190" s="3" t="s">
        <v>9900</v>
      </c>
      <c r="B1190" s="3" t="s">
        <v>2565</v>
      </c>
      <c r="C1190" s="3" t="s">
        <v>2566</v>
      </c>
      <c r="D1190">
        <v>955</v>
      </c>
      <c r="E1190" s="6">
        <v>45020</v>
      </c>
      <c r="F1190">
        <v>0</v>
      </c>
      <c r="G1190">
        <v>0</v>
      </c>
      <c r="H1190">
        <v>0</v>
      </c>
      <c r="I1190" s="3" t="s">
        <v>28</v>
      </c>
    </row>
    <row r="1191" spans="1:9" x14ac:dyDescent="0.35">
      <c r="A1191" s="3" t="s">
        <v>9901</v>
      </c>
      <c r="B1191" s="3" t="s">
        <v>2567</v>
      </c>
      <c r="C1191" s="3" t="s">
        <v>2568</v>
      </c>
      <c r="D1191">
        <v>130</v>
      </c>
      <c r="E1191" s="6">
        <v>45845</v>
      </c>
      <c r="F1191">
        <v>0</v>
      </c>
      <c r="G1191">
        <v>3.0000000000000001E-3</v>
      </c>
      <c r="H1191">
        <v>6.7000000000000004E-2</v>
      </c>
      <c r="I1191" s="3" t="s">
        <v>8712</v>
      </c>
    </row>
    <row r="1192" spans="1:9" x14ac:dyDescent="0.35">
      <c r="A1192" s="3" t="s">
        <v>9902</v>
      </c>
      <c r="B1192" s="3" t="s">
        <v>2569</v>
      </c>
      <c r="C1192" s="3" t="s">
        <v>2570</v>
      </c>
      <c r="D1192">
        <v>23</v>
      </c>
      <c r="E1192" s="6">
        <v>45952</v>
      </c>
      <c r="F1192">
        <v>0</v>
      </c>
      <c r="G1192">
        <v>5.0000000000000001E-3</v>
      </c>
      <c r="H1192">
        <v>0.115</v>
      </c>
      <c r="I1192" s="3" t="s">
        <v>8712</v>
      </c>
    </row>
    <row r="1193" spans="1:9" x14ac:dyDescent="0.35">
      <c r="A1193" s="3" t="s">
        <v>9903</v>
      </c>
      <c r="B1193" s="3" t="s">
        <v>2572</v>
      </c>
      <c r="C1193" s="3" t="s">
        <v>2573</v>
      </c>
      <c r="D1193">
        <v>46</v>
      </c>
      <c r="E1193" s="6">
        <v>45929</v>
      </c>
      <c r="F1193">
        <v>0</v>
      </c>
      <c r="G1193">
        <v>40.158000000000001</v>
      </c>
      <c r="H1193">
        <v>1.242</v>
      </c>
      <c r="I1193" s="3" t="s">
        <v>8701</v>
      </c>
    </row>
    <row r="1194" spans="1:9" x14ac:dyDescent="0.35">
      <c r="A1194" s="3" t="s">
        <v>9904</v>
      </c>
      <c r="B1194" s="3" t="s">
        <v>2574</v>
      </c>
      <c r="C1194" s="3" t="s">
        <v>2575</v>
      </c>
      <c r="D1194">
        <v>527</v>
      </c>
      <c r="E1194" s="6">
        <v>45448</v>
      </c>
      <c r="F1194">
        <v>0</v>
      </c>
      <c r="G1194">
        <v>3.0000000000000001E-3</v>
      </c>
      <c r="H1194">
        <v>6.7000000000000004E-2</v>
      </c>
      <c r="I1194" s="3" t="s">
        <v>8712</v>
      </c>
    </row>
    <row r="1195" spans="1:9" x14ac:dyDescent="0.35">
      <c r="A1195" s="3" t="s">
        <v>10494</v>
      </c>
      <c r="B1195" s="3" t="s">
        <v>3837</v>
      </c>
      <c r="C1195" s="3" t="s">
        <v>3838</v>
      </c>
      <c r="D1195">
        <v>2520</v>
      </c>
      <c r="E1195" s="6">
        <v>43455</v>
      </c>
      <c r="F1195">
        <v>0</v>
      </c>
      <c r="G1195">
        <v>2.0020000000000002</v>
      </c>
      <c r="H1195">
        <v>0.59799999999999998</v>
      </c>
      <c r="I1195" s="3" t="s">
        <v>8699</v>
      </c>
    </row>
    <row r="1196" spans="1:9" x14ac:dyDescent="0.35">
      <c r="A1196" s="3" t="s">
        <v>9122</v>
      </c>
      <c r="B1196" s="3" t="s">
        <v>925</v>
      </c>
      <c r="C1196" s="3" t="s">
        <v>926</v>
      </c>
      <c r="D1196">
        <v>2536</v>
      </c>
      <c r="E1196" s="6">
        <v>43439</v>
      </c>
      <c r="F1196">
        <v>0</v>
      </c>
      <c r="G1196">
        <v>29.7</v>
      </c>
      <c r="H1196">
        <v>0.3</v>
      </c>
      <c r="I1196" s="3" t="s">
        <v>8699</v>
      </c>
    </row>
    <row r="1197" spans="1:9" x14ac:dyDescent="0.35">
      <c r="A1197" s="3" t="s">
        <v>9141</v>
      </c>
      <c r="B1197" s="3" t="s">
        <v>965</v>
      </c>
      <c r="C1197" s="3" t="s">
        <v>966</v>
      </c>
      <c r="D1197">
        <v>2536</v>
      </c>
      <c r="E1197" s="6">
        <v>43439</v>
      </c>
      <c r="F1197">
        <v>0</v>
      </c>
      <c r="G1197">
        <v>0.9</v>
      </c>
      <c r="H1197">
        <v>0.6</v>
      </c>
      <c r="I1197" s="3" t="s">
        <v>8699</v>
      </c>
    </row>
    <row r="1198" spans="1:9" x14ac:dyDescent="0.35">
      <c r="A1198" s="3" t="s">
        <v>9908</v>
      </c>
      <c r="B1198" s="3" t="s">
        <v>2583</v>
      </c>
      <c r="C1198" s="3" t="s">
        <v>2584</v>
      </c>
      <c r="D1198">
        <v>45</v>
      </c>
      <c r="E1198" s="6">
        <v>45930</v>
      </c>
      <c r="F1198">
        <v>300</v>
      </c>
      <c r="G1198">
        <v>5.76</v>
      </c>
      <c r="H1198">
        <v>6.24</v>
      </c>
      <c r="I1198" s="3" t="s">
        <v>8701</v>
      </c>
    </row>
    <row r="1199" spans="1:9" x14ac:dyDescent="0.35">
      <c r="A1199" s="3" t="s">
        <v>9883</v>
      </c>
      <c r="B1199" s="3" t="s">
        <v>2530</v>
      </c>
      <c r="C1199" s="3" t="s">
        <v>2531</v>
      </c>
      <c r="D1199">
        <v>2536</v>
      </c>
      <c r="E1199" s="6">
        <v>43439</v>
      </c>
      <c r="F1199">
        <v>0</v>
      </c>
      <c r="G1199">
        <v>4.9000000000000004</v>
      </c>
      <c r="H1199">
        <v>0.1</v>
      </c>
      <c r="I1199" s="3" t="s">
        <v>8699</v>
      </c>
    </row>
    <row r="1200" spans="1:9" x14ac:dyDescent="0.35">
      <c r="A1200" s="3" t="s">
        <v>10383</v>
      </c>
      <c r="B1200" s="3" t="s">
        <v>3600</v>
      </c>
      <c r="C1200" s="3" t="s">
        <v>3601</v>
      </c>
      <c r="D1200">
        <v>2556</v>
      </c>
      <c r="E1200" s="6">
        <v>43419</v>
      </c>
      <c r="F1200">
        <v>0</v>
      </c>
      <c r="G1200">
        <v>0.61199999999999999</v>
      </c>
      <c r="H1200">
        <v>0.58800000000000008</v>
      </c>
      <c r="I1200" s="3" t="s">
        <v>8699</v>
      </c>
    </row>
    <row r="1201" spans="1:9" x14ac:dyDescent="0.35">
      <c r="A1201" s="3" t="s">
        <v>9911</v>
      </c>
      <c r="B1201" s="3" t="s">
        <v>2590</v>
      </c>
      <c r="C1201" s="3" t="s">
        <v>2591</v>
      </c>
      <c r="D1201">
        <v>157</v>
      </c>
      <c r="E1201" s="6">
        <v>45818</v>
      </c>
      <c r="F1201">
        <v>300</v>
      </c>
      <c r="G1201">
        <v>8</v>
      </c>
      <c r="H1201">
        <v>2</v>
      </c>
      <c r="I1201" s="3" t="s">
        <v>8756</v>
      </c>
    </row>
    <row r="1202" spans="1:9" x14ac:dyDescent="0.35">
      <c r="A1202" s="3" t="s">
        <v>9206</v>
      </c>
      <c r="B1202" s="3" t="s">
        <v>1104</v>
      </c>
      <c r="C1202" s="3" t="s">
        <v>1105</v>
      </c>
      <c r="D1202">
        <v>2563</v>
      </c>
      <c r="E1202" s="6">
        <v>43412</v>
      </c>
      <c r="F1202">
        <v>100</v>
      </c>
      <c r="G1202">
        <v>0.89</v>
      </c>
      <c r="H1202">
        <v>0.42</v>
      </c>
      <c r="I1202" s="3" t="s">
        <v>8699</v>
      </c>
    </row>
    <row r="1203" spans="1:9" x14ac:dyDescent="0.35">
      <c r="A1203" s="3" t="s">
        <v>9913</v>
      </c>
      <c r="B1203" s="3" t="s">
        <v>2596</v>
      </c>
      <c r="C1203" s="3" t="s">
        <v>2597</v>
      </c>
      <c r="D1203">
        <v>6259</v>
      </c>
      <c r="E1203" s="6">
        <v>39716</v>
      </c>
      <c r="F1203">
        <v>0</v>
      </c>
      <c r="G1203">
        <v>0</v>
      </c>
      <c r="H1203">
        <v>0</v>
      </c>
      <c r="I1203" s="3" t="s">
        <v>28</v>
      </c>
    </row>
    <row r="1204" spans="1:9" x14ac:dyDescent="0.35">
      <c r="A1204" s="3" t="s">
        <v>9914</v>
      </c>
      <c r="B1204" s="3" t="s">
        <v>2598</v>
      </c>
      <c r="C1204" s="3" t="s">
        <v>2599</v>
      </c>
      <c r="D1204">
        <v>29</v>
      </c>
      <c r="E1204" s="6">
        <v>45946</v>
      </c>
      <c r="F1204">
        <v>0</v>
      </c>
      <c r="G1204">
        <v>4.0000000000000001E-3</v>
      </c>
      <c r="H1204">
        <v>0.11600000000000001</v>
      </c>
      <c r="I1204" s="3" t="s">
        <v>8712</v>
      </c>
    </row>
    <row r="1205" spans="1:9" x14ac:dyDescent="0.35">
      <c r="A1205" s="3" t="s">
        <v>10491</v>
      </c>
      <c r="B1205" s="3" t="s">
        <v>3831</v>
      </c>
      <c r="C1205" s="3" t="s">
        <v>3832</v>
      </c>
      <c r="D1205">
        <v>2563</v>
      </c>
      <c r="E1205" s="6">
        <v>43412</v>
      </c>
      <c r="F1205">
        <v>500</v>
      </c>
      <c r="G1205">
        <v>0.55900000000000005</v>
      </c>
      <c r="H1205">
        <v>0.74099999999999999</v>
      </c>
      <c r="I1205" s="3" t="s">
        <v>8699</v>
      </c>
    </row>
    <row r="1206" spans="1:9" x14ac:dyDescent="0.35">
      <c r="A1206" s="3" t="s">
        <v>9223</v>
      </c>
      <c r="B1206" s="3" t="s">
        <v>1139</v>
      </c>
      <c r="C1206" s="3" t="s">
        <v>1140</v>
      </c>
      <c r="D1206">
        <v>2569</v>
      </c>
      <c r="E1206" s="6">
        <v>43406</v>
      </c>
      <c r="F1206">
        <v>0</v>
      </c>
      <c r="G1206">
        <v>2.52</v>
      </c>
      <c r="H1206">
        <v>0.48</v>
      </c>
      <c r="I1206" s="3" t="s">
        <v>8699</v>
      </c>
    </row>
    <row r="1207" spans="1:9" x14ac:dyDescent="0.35">
      <c r="A1207" s="3" t="s">
        <v>9917</v>
      </c>
      <c r="B1207" s="3" t="s">
        <v>2604</v>
      </c>
      <c r="C1207" s="3" t="s">
        <v>2605</v>
      </c>
      <c r="D1207">
        <v>8893</v>
      </c>
      <c r="E1207" s="6">
        <v>37082</v>
      </c>
      <c r="F1207">
        <v>0</v>
      </c>
      <c r="G1207">
        <v>0.41300000000000003</v>
      </c>
      <c r="H1207">
        <v>1.2370000000000001</v>
      </c>
      <c r="I1207" s="3" t="s">
        <v>8701</v>
      </c>
    </row>
    <row r="1208" spans="1:9" x14ac:dyDescent="0.35">
      <c r="A1208" s="3" t="s">
        <v>9918</v>
      </c>
      <c r="B1208" s="3" t="s">
        <v>2606</v>
      </c>
      <c r="C1208" s="3" t="s">
        <v>2607</v>
      </c>
      <c r="D1208">
        <v>17</v>
      </c>
      <c r="E1208" s="6">
        <v>45958</v>
      </c>
      <c r="F1208">
        <v>0</v>
      </c>
      <c r="G1208">
        <v>20.274000000000001</v>
      </c>
      <c r="H1208">
        <v>1.526</v>
      </c>
      <c r="I1208" s="3" t="s">
        <v>8701</v>
      </c>
    </row>
    <row r="1209" spans="1:9" x14ac:dyDescent="0.35">
      <c r="A1209" s="3" t="s">
        <v>10029</v>
      </c>
      <c r="B1209" s="3" t="s">
        <v>2843</v>
      </c>
      <c r="C1209" s="3" t="s">
        <v>2844</v>
      </c>
      <c r="D1209">
        <v>2584</v>
      </c>
      <c r="E1209" s="6">
        <v>43391</v>
      </c>
      <c r="F1209">
        <v>0</v>
      </c>
      <c r="G1209">
        <v>0.13</v>
      </c>
      <c r="H1209">
        <v>1.17</v>
      </c>
      <c r="I1209" s="3" t="s">
        <v>8699</v>
      </c>
    </row>
    <row r="1210" spans="1:9" x14ac:dyDescent="0.35">
      <c r="A1210" s="3" t="s">
        <v>10189</v>
      </c>
      <c r="B1210" s="3" t="s">
        <v>3185</v>
      </c>
      <c r="C1210" s="3" t="s">
        <v>3186</v>
      </c>
      <c r="D1210">
        <v>2584</v>
      </c>
      <c r="E1210" s="6">
        <v>43391</v>
      </c>
      <c r="F1210">
        <v>0</v>
      </c>
      <c r="G1210">
        <v>0.12</v>
      </c>
      <c r="H1210">
        <v>0.88</v>
      </c>
      <c r="I1210" s="3" t="s">
        <v>8699</v>
      </c>
    </row>
    <row r="1211" spans="1:9" x14ac:dyDescent="0.35">
      <c r="A1211" s="3" t="s">
        <v>9921</v>
      </c>
      <c r="B1211" s="3" t="s">
        <v>2612</v>
      </c>
      <c r="C1211" s="3" t="s">
        <v>2613</v>
      </c>
      <c r="D1211">
        <v>955</v>
      </c>
      <c r="E1211" s="6">
        <v>45020</v>
      </c>
      <c r="F1211">
        <v>0</v>
      </c>
      <c r="G1211">
        <v>0</v>
      </c>
      <c r="H1211">
        <v>0</v>
      </c>
      <c r="I1211" s="3" t="s">
        <v>28</v>
      </c>
    </row>
    <row r="1212" spans="1:9" x14ac:dyDescent="0.35">
      <c r="A1212" s="3" t="s">
        <v>9922</v>
      </c>
      <c r="B1212" s="3" t="s">
        <v>2614</v>
      </c>
      <c r="C1212" s="3" t="s">
        <v>2615</v>
      </c>
      <c r="D1212">
        <v>46</v>
      </c>
      <c r="E1212" s="6">
        <v>45929</v>
      </c>
      <c r="F1212">
        <v>0</v>
      </c>
      <c r="G1212">
        <v>108.35000000000001</v>
      </c>
      <c r="H1212">
        <v>1.6500000000000001</v>
      </c>
      <c r="I1212" s="3" t="s">
        <v>8701</v>
      </c>
    </row>
    <row r="1213" spans="1:9" x14ac:dyDescent="0.35">
      <c r="A1213" s="3" t="s">
        <v>10401</v>
      </c>
      <c r="B1213" s="3" t="s">
        <v>3637</v>
      </c>
      <c r="C1213" s="3" t="s">
        <v>3638</v>
      </c>
      <c r="D1213">
        <v>2584</v>
      </c>
      <c r="E1213" s="6">
        <v>43391</v>
      </c>
      <c r="F1213">
        <v>0</v>
      </c>
      <c r="G1213">
        <v>3.96</v>
      </c>
      <c r="H1213">
        <v>0.04</v>
      </c>
      <c r="I1213" s="3" t="s">
        <v>8699</v>
      </c>
    </row>
    <row r="1214" spans="1:9" x14ac:dyDescent="0.35">
      <c r="A1214" s="3" t="s">
        <v>10873</v>
      </c>
      <c r="B1214" s="3" t="s">
        <v>4628</v>
      </c>
      <c r="C1214" s="3" t="s">
        <v>4629</v>
      </c>
      <c r="D1214">
        <v>2620</v>
      </c>
      <c r="E1214" s="6">
        <v>43355</v>
      </c>
      <c r="F1214">
        <v>0</v>
      </c>
      <c r="G1214">
        <v>40.234000000000002</v>
      </c>
      <c r="H1214">
        <v>0.40600000000000003</v>
      </c>
      <c r="I1214" s="3" t="s">
        <v>8699</v>
      </c>
    </row>
    <row r="1215" spans="1:9" x14ac:dyDescent="0.35">
      <c r="A1215" s="3" t="s">
        <v>9925</v>
      </c>
      <c r="B1215" s="3" t="s">
        <v>2622</v>
      </c>
      <c r="C1215" s="3" t="s">
        <v>2623</v>
      </c>
      <c r="D1215">
        <v>955</v>
      </c>
      <c r="E1215" s="6">
        <v>45020</v>
      </c>
      <c r="F1215">
        <v>0</v>
      </c>
      <c r="G1215">
        <v>0</v>
      </c>
      <c r="H1215">
        <v>0</v>
      </c>
      <c r="I1215" s="3" t="s">
        <v>28</v>
      </c>
    </row>
    <row r="1216" spans="1:9" x14ac:dyDescent="0.35">
      <c r="A1216" s="3" t="s">
        <v>10693</v>
      </c>
      <c r="B1216" s="3" t="s">
        <v>4253</v>
      </c>
      <c r="C1216" s="3" t="s">
        <v>4254</v>
      </c>
      <c r="D1216">
        <v>2702</v>
      </c>
      <c r="E1216" s="6">
        <v>43273</v>
      </c>
      <c r="F1216">
        <v>0</v>
      </c>
      <c r="G1216">
        <v>2.9410000000000003</v>
      </c>
      <c r="H1216">
        <v>0.13900000000000001</v>
      </c>
      <c r="I1216" s="3" t="s">
        <v>8699</v>
      </c>
    </row>
    <row r="1217" spans="1:9" x14ac:dyDescent="0.35">
      <c r="A1217" s="3" t="s">
        <v>9927</v>
      </c>
      <c r="B1217" s="3" t="s">
        <v>2626</v>
      </c>
      <c r="C1217" s="3" t="s">
        <v>2627</v>
      </c>
      <c r="D1217">
        <v>55</v>
      </c>
      <c r="E1217" s="6">
        <v>45920</v>
      </c>
      <c r="F1217">
        <v>0</v>
      </c>
      <c r="G1217">
        <v>103.95</v>
      </c>
      <c r="H1217">
        <v>1.05</v>
      </c>
      <c r="I1217" s="3" t="s">
        <v>8701</v>
      </c>
    </row>
    <row r="1218" spans="1:9" x14ac:dyDescent="0.35">
      <c r="A1218" s="3" t="s">
        <v>9928</v>
      </c>
      <c r="B1218" s="3" t="s">
        <v>2628</v>
      </c>
      <c r="C1218" s="3" t="s">
        <v>2629</v>
      </c>
      <c r="D1218">
        <v>23</v>
      </c>
      <c r="E1218" s="6">
        <v>45952</v>
      </c>
      <c r="F1218">
        <v>0</v>
      </c>
      <c r="G1218">
        <v>77.08</v>
      </c>
      <c r="H1218">
        <v>4.92</v>
      </c>
      <c r="I1218" s="3" t="s">
        <v>8701</v>
      </c>
    </row>
    <row r="1219" spans="1:9" x14ac:dyDescent="0.35">
      <c r="A1219" s="3" t="s">
        <v>10252</v>
      </c>
      <c r="B1219" s="3" t="s">
        <v>3314</v>
      </c>
      <c r="C1219" s="3" t="s">
        <v>3315</v>
      </c>
      <c r="D1219">
        <v>2713</v>
      </c>
      <c r="E1219" s="6">
        <v>43262</v>
      </c>
      <c r="F1219">
        <v>0</v>
      </c>
      <c r="G1219">
        <v>64.02</v>
      </c>
      <c r="H1219">
        <v>1.98</v>
      </c>
      <c r="I1219" s="3" t="s">
        <v>8699</v>
      </c>
    </row>
    <row r="1220" spans="1:9" x14ac:dyDescent="0.35">
      <c r="A1220" s="3" t="s">
        <v>9930</v>
      </c>
      <c r="B1220" s="3" t="s">
        <v>2632</v>
      </c>
      <c r="C1220" s="3" t="s">
        <v>2633</v>
      </c>
      <c r="D1220">
        <v>46</v>
      </c>
      <c r="E1220" s="6">
        <v>45929</v>
      </c>
      <c r="F1220">
        <v>0</v>
      </c>
      <c r="G1220">
        <v>81.680999999999997</v>
      </c>
      <c r="H1220">
        <v>4.2990000000000004</v>
      </c>
      <c r="I1220" s="3" t="s">
        <v>8703</v>
      </c>
    </row>
    <row r="1221" spans="1:9" x14ac:dyDescent="0.35">
      <c r="A1221" s="3" t="s">
        <v>9035</v>
      </c>
      <c r="B1221" s="3" t="s">
        <v>743</v>
      </c>
      <c r="C1221" s="3" t="s">
        <v>744</v>
      </c>
      <c r="D1221">
        <v>2719</v>
      </c>
      <c r="E1221" s="6">
        <v>43256</v>
      </c>
      <c r="F1221">
        <v>0</v>
      </c>
      <c r="G1221">
        <v>27.72</v>
      </c>
      <c r="H1221">
        <v>0.28000000000000003</v>
      </c>
      <c r="I1221" s="3" t="s">
        <v>8699</v>
      </c>
    </row>
    <row r="1222" spans="1:9" x14ac:dyDescent="0.35">
      <c r="A1222" s="3" t="s">
        <v>9932</v>
      </c>
      <c r="B1222" s="3" t="s">
        <v>2637</v>
      </c>
      <c r="C1222" s="3" t="s">
        <v>2638</v>
      </c>
      <c r="D1222">
        <v>262</v>
      </c>
      <c r="E1222" s="6">
        <v>45713</v>
      </c>
      <c r="F1222">
        <v>0</v>
      </c>
      <c r="G1222">
        <v>1.992</v>
      </c>
      <c r="H1222">
        <v>0.40800000000000003</v>
      </c>
      <c r="I1222" s="3" t="s">
        <v>8756</v>
      </c>
    </row>
    <row r="1223" spans="1:9" x14ac:dyDescent="0.35">
      <c r="A1223" s="3" t="s">
        <v>9933</v>
      </c>
      <c r="B1223" s="3" t="s">
        <v>2639</v>
      </c>
      <c r="C1223" s="3" t="s">
        <v>2640</v>
      </c>
      <c r="D1223">
        <v>23</v>
      </c>
      <c r="E1223" s="6">
        <v>45952</v>
      </c>
      <c r="F1223">
        <v>0</v>
      </c>
      <c r="G1223">
        <v>9.0000000000000011E-3</v>
      </c>
      <c r="H1223">
        <v>0.221</v>
      </c>
      <c r="I1223" s="3" t="s">
        <v>8712</v>
      </c>
    </row>
    <row r="1224" spans="1:9" x14ac:dyDescent="0.35">
      <c r="A1224" s="3" t="s">
        <v>9934</v>
      </c>
      <c r="B1224" s="3" t="s">
        <v>2642</v>
      </c>
      <c r="C1224" s="3" t="s">
        <v>2643</v>
      </c>
      <c r="D1224">
        <v>331</v>
      </c>
      <c r="E1224" s="6">
        <v>45644</v>
      </c>
      <c r="F1224">
        <v>0</v>
      </c>
      <c r="G1224">
        <v>9.0000000000000011E-3</v>
      </c>
      <c r="H1224">
        <v>0.21100000000000002</v>
      </c>
      <c r="I1224" s="3" t="s">
        <v>8712</v>
      </c>
    </row>
    <row r="1225" spans="1:9" x14ac:dyDescent="0.35">
      <c r="A1225" s="3" t="s">
        <v>9935</v>
      </c>
      <c r="B1225" s="3" t="s">
        <v>2645</v>
      </c>
      <c r="C1225" s="3" t="s">
        <v>2646</v>
      </c>
      <c r="D1225">
        <v>8718</v>
      </c>
      <c r="E1225" s="6">
        <v>37257</v>
      </c>
      <c r="F1225">
        <v>0</v>
      </c>
      <c r="G1225">
        <v>0.56700000000000006</v>
      </c>
      <c r="H1225">
        <v>0.13300000000000001</v>
      </c>
      <c r="I1225" s="3" t="s">
        <v>8701</v>
      </c>
    </row>
    <row r="1226" spans="1:9" x14ac:dyDescent="0.35">
      <c r="A1226" s="3" t="s">
        <v>9936</v>
      </c>
      <c r="B1226" s="3" t="s">
        <v>2649</v>
      </c>
      <c r="C1226" s="3" t="s">
        <v>2650</v>
      </c>
      <c r="D1226">
        <v>357</v>
      </c>
      <c r="E1226" s="6">
        <v>45618</v>
      </c>
      <c r="F1226">
        <v>0</v>
      </c>
      <c r="G1226">
        <v>6.0000000000000001E-3</v>
      </c>
      <c r="H1226">
        <v>0.10400000000000001</v>
      </c>
      <c r="I1226" s="3" t="s">
        <v>8712</v>
      </c>
    </row>
    <row r="1227" spans="1:9" x14ac:dyDescent="0.35">
      <c r="A1227" s="3" t="s">
        <v>9937</v>
      </c>
      <c r="B1227" s="3" t="s">
        <v>2651</v>
      </c>
      <c r="C1227" s="3" t="s">
        <v>2652</v>
      </c>
      <c r="D1227">
        <v>5434</v>
      </c>
      <c r="E1227" s="6">
        <v>40541</v>
      </c>
      <c r="F1227">
        <v>0</v>
      </c>
      <c r="G1227">
        <v>0</v>
      </c>
      <c r="H1227">
        <v>0</v>
      </c>
      <c r="I1227" s="3" t="s">
        <v>28</v>
      </c>
    </row>
    <row r="1228" spans="1:9" x14ac:dyDescent="0.35">
      <c r="A1228" s="3" t="s">
        <v>9938</v>
      </c>
      <c r="B1228" s="3" t="s">
        <v>2654</v>
      </c>
      <c r="C1228" s="3" t="s">
        <v>2655</v>
      </c>
      <c r="D1228">
        <v>955</v>
      </c>
      <c r="E1228" s="6">
        <v>45020</v>
      </c>
      <c r="F1228">
        <v>0</v>
      </c>
      <c r="G1228">
        <v>0</v>
      </c>
      <c r="H1228">
        <v>0</v>
      </c>
      <c r="I1228" s="3" t="s">
        <v>28</v>
      </c>
    </row>
    <row r="1229" spans="1:9" x14ac:dyDescent="0.35">
      <c r="A1229" s="3" t="s">
        <v>9939</v>
      </c>
      <c r="B1229" s="3" t="s">
        <v>2656</v>
      </c>
      <c r="C1229" s="3" t="s">
        <v>2657</v>
      </c>
      <c r="D1229">
        <v>91</v>
      </c>
      <c r="E1229" s="6">
        <v>45884</v>
      </c>
      <c r="F1229">
        <v>90</v>
      </c>
      <c r="G1229">
        <v>4.4460000000000006</v>
      </c>
      <c r="H1229">
        <v>1.254</v>
      </c>
      <c r="I1229" s="3" t="s">
        <v>8756</v>
      </c>
    </row>
    <row r="1230" spans="1:9" x14ac:dyDescent="0.35">
      <c r="A1230" s="3" t="s">
        <v>10429</v>
      </c>
      <c r="B1230" s="3" t="s">
        <v>3697</v>
      </c>
      <c r="C1230" s="3" t="s">
        <v>3698</v>
      </c>
      <c r="D1230">
        <v>2733</v>
      </c>
      <c r="E1230" s="6">
        <v>43242</v>
      </c>
      <c r="F1230">
        <v>200</v>
      </c>
      <c r="G1230">
        <v>0.4</v>
      </c>
      <c r="H1230">
        <v>0.4</v>
      </c>
      <c r="I1230" s="3" t="s">
        <v>8699</v>
      </c>
    </row>
    <row r="1231" spans="1:9" x14ac:dyDescent="0.35">
      <c r="A1231" s="3" t="s">
        <v>9699</v>
      </c>
      <c r="B1231" s="3" t="s">
        <v>2140</v>
      </c>
      <c r="C1231" s="3" t="s">
        <v>2141</v>
      </c>
      <c r="D1231">
        <v>2747</v>
      </c>
      <c r="E1231" s="6">
        <v>43228</v>
      </c>
      <c r="F1231">
        <v>0</v>
      </c>
      <c r="G1231">
        <v>24.064</v>
      </c>
      <c r="H1231">
        <v>1.536</v>
      </c>
      <c r="I1231" s="3" t="s">
        <v>8699</v>
      </c>
    </row>
    <row r="1232" spans="1:9" x14ac:dyDescent="0.35">
      <c r="A1232" s="3" t="s">
        <v>9942</v>
      </c>
      <c r="B1232" s="3" t="s">
        <v>2662</v>
      </c>
      <c r="C1232" s="3" t="s">
        <v>2663</v>
      </c>
      <c r="D1232">
        <v>24</v>
      </c>
      <c r="E1232" s="6">
        <v>45951</v>
      </c>
      <c r="F1232">
        <v>0</v>
      </c>
      <c r="G1232">
        <v>334.96700000000004</v>
      </c>
      <c r="H1232">
        <v>3.3000000000000002E-2</v>
      </c>
      <c r="I1232" s="3" t="s">
        <v>8701</v>
      </c>
    </row>
    <row r="1233" spans="1:9" x14ac:dyDescent="0.35">
      <c r="A1233" s="3" t="s">
        <v>8996</v>
      </c>
      <c r="B1233" s="3" t="s">
        <v>661</v>
      </c>
      <c r="C1233" s="3" t="s">
        <v>662</v>
      </c>
      <c r="D1233">
        <v>2765</v>
      </c>
      <c r="E1233" s="6">
        <v>43210</v>
      </c>
      <c r="F1233">
        <v>0</v>
      </c>
      <c r="G1233">
        <v>15.84</v>
      </c>
      <c r="H1233">
        <v>0.16</v>
      </c>
      <c r="I1233" s="3" t="s">
        <v>8699</v>
      </c>
    </row>
    <row r="1234" spans="1:9" x14ac:dyDescent="0.35">
      <c r="A1234" s="3" t="s">
        <v>9944</v>
      </c>
      <c r="B1234" s="3" t="s">
        <v>2666</v>
      </c>
      <c r="C1234" s="3" t="s">
        <v>2667</v>
      </c>
      <c r="D1234">
        <v>87</v>
      </c>
      <c r="E1234" s="6">
        <v>45888</v>
      </c>
      <c r="F1234">
        <v>0</v>
      </c>
      <c r="G1234">
        <v>42.133000000000003</v>
      </c>
      <c r="H1234">
        <v>4.1669999999999998</v>
      </c>
      <c r="I1234" s="3" t="s">
        <v>8701</v>
      </c>
    </row>
    <row r="1235" spans="1:9" x14ac:dyDescent="0.35">
      <c r="A1235" s="3" t="s">
        <v>9768</v>
      </c>
      <c r="B1235" s="3" t="s">
        <v>2284</v>
      </c>
      <c r="C1235" s="3" t="s">
        <v>2285</v>
      </c>
      <c r="D1235">
        <v>2788</v>
      </c>
      <c r="E1235" s="6">
        <v>43187</v>
      </c>
      <c r="F1235">
        <v>0</v>
      </c>
      <c r="G1235">
        <v>0</v>
      </c>
      <c r="H1235">
        <v>0.1</v>
      </c>
      <c r="I1235" s="3" t="s">
        <v>8699</v>
      </c>
    </row>
    <row r="1236" spans="1:9" x14ac:dyDescent="0.35">
      <c r="A1236" s="3" t="s">
        <v>10994</v>
      </c>
      <c r="B1236" s="3" t="s">
        <v>4890</v>
      </c>
      <c r="C1236" s="3" t="s">
        <v>4891</v>
      </c>
      <c r="D1236">
        <v>2793</v>
      </c>
      <c r="E1236" s="6">
        <v>43182</v>
      </c>
      <c r="F1236">
        <v>0</v>
      </c>
      <c r="G1236">
        <v>1E-3</v>
      </c>
      <c r="H1236">
        <v>9.9000000000000005E-2</v>
      </c>
      <c r="I1236" s="3" t="s">
        <v>8699</v>
      </c>
    </row>
    <row r="1237" spans="1:9" x14ac:dyDescent="0.35">
      <c r="A1237" s="3" t="s">
        <v>9947</v>
      </c>
      <c r="B1237" s="3" t="s">
        <v>2672</v>
      </c>
      <c r="C1237" s="3" t="s">
        <v>2673</v>
      </c>
      <c r="D1237">
        <v>955</v>
      </c>
      <c r="E1237" s="6">
        <v>45020</v>
      </c>
      <c r="F1237">
        <v>0</v>
      </c>
      <c r="G1237">
        <v>0</v>
      </c>
      <c r="H1237">
        <v>0</v>
      </c>
      <c r="I1237" s="3" t="s">
        <v>28</v>
      </c>
    </row>
    <row r="1238" spans="1:9" x14ac:dyDescent="0.35">
      <c r="A1238" s="3" t="s">
        <v>9310</v>
      </c>
      <c r="B1238" s="3" t="s">
        <v>1321</v>
      </c>
      <c r="C1238" s="3" t="s">
        <v>1322</v>
      </c>
      <c r="D1238">
        <v>2794</v>
      </c>
      <c r="E1238" s="6">
        <v>43181</v>
      </c>
      <c r="F1238">
        <v>0</v>
      </c>
      <c r="G1238">
        <v>2.67</v>
      </c>
      <c r="H1238">
        <v>0.33</v>
      </c>
      <c r="I1238" s="3" t="s">
        <v>8699</v>
      </c>
    </row>
    <row r="1239" spans="1:9" x14ac:dyDescent="0.35">
      <c r="A1239" s="3" t="s">
        <v>10620</v>
      </c>
      <c r="B1239" s="3" t="s">
        <v>4098</v>
      </c>
      <c r="C1239" s="3" t="s">
        <v>4099</v>
      </c>
      <c r="D1239">
        <v>2800</v>
      </c>
      <c r="E1239" s="6">
        <v>43175</v>
      </c>
      <c r="I1239" s="3" t="s">
        <v>8699</v>
      </c>
    </row>
    <row r="1240" spans="1:9" x14ac:dyDescent="0.35">
      <c r="A1240" s="3" t="s">
        <v>9950</v>
      </c>
      <c r="B1240" s="3" t="s">
        <v>2678</v>
      </c>
      <c r="C1240" s="3" t="s">
        <v>2679</v>
      </c>
      <c r="D1240">
        <v>59</v>
      </c>
      <c r="E1240" s="6">
        <v>45916</v>
      </c>
      <c r="F1240">
        <v>0</v>
      </c>
      <c r="G1240">
        <v>0.375</v>
      </c>
      <c r="H1240">
        <v>1.125</v>
      </c>
      <c r="I1240" s="3" t="s">
        <v>8756</v>
      </c>
    </row>
    <row r="1241" spans="1:9" x14ac:dyDescent="0.35">
      <c r="A1241" s="3" t="s">
        <v>9039</v>
      </c>
      <c r="B1241" s="3" t="s">
        <v>751</v>
      </c>
      <c r="C1241" s="3" t="s">
        <v>752</v>
      </c>
      <c r="D1241">
        <v>2804</v>
      </c>
      <c r="E1241" s="6">
        <v>43171</v>
      </c>
      <c r="F1241">
        <v>0</v>
      </c>
      <c r="G1241">
        <v>2.38</v>
      </c>
      <c r="H1241">
        <v>1.1200000000000001</v>
      </c>
      <c r="I1241" s="3" t="s">
        <v>8699</v>
      </c>
    </row>
    <row r="1242" spans="1:9" x14ac:dyDescent="0.35">
      <c r="A1242" s="3" t="s">
        <v>10255</v>
      </c>
      <c r="B1242" s="3" t="s">
        <v>3320</v>
      </c>
      <c r="C1242" s="3" t="s">
        <v>3321</v>
      </c>
      <c r="D1242">
        <v>2804</v>
      </c>
      <c r="E1242" s="6">
        <v>43171</v>
      </c>
      <c r="F1242">
        <v>0</v>
      </c>
      <c r="G1242">
        <v>0.18</v>
      </c>
      <c r="I1242" s="3" t="s">
        <v>8699</v>
      </c>
    </row>
    <row r="1243" spans="1:9" x14ac:dyDescent="0.35">
      <c r="A1243" s="3" t="s">
        <v>9953</v>
      </c>
      <c r="B1243" s="3" t="s">
        <v>2684</v>
      </c>
      <c r="C1243" s="3" t="s">
        <v>2685</v>
      </c>
      <c r="D1243">
        <v>955</v>
      </c>
      <c r="E1243" s="6">
        <v>45020</v>
      </c>
      <c r="F1243">
        <v>0</v>
      </c>
      <c r="G1243">
        <v>0</v>
      </c>
      <c r="H1243">
        <v>0</v>
      </c>
      <c r="I1243" s="3" t="s">
        <v>28</v>
      </c>
    </row>
    <row r="1244" spans="1:9" x14ac:dyDescent="0.35">
      <c r="A1244" s="3" t="s">
        <v>9954</v>
      </c>
      <c r="B1244" s="3" t="s">
        <v>2686</v>
      </c>
      <c r="C1244" s="3" t="s">
        <v>2687</v>
      </c>
      <c r="D1244">
        <v>2019</v>
      </c>
      <c r="E1244" s="6">
        <v>43956</v>
      </c>
      <c r="F1244">
        <v>0</v>
      </c>
      <c r="G1244">
        <v>8.0000000000000002E-3</v>
      </c>
      <c r="H1244">
        <v>0.12200000000000001</v>
      </c>
      <c r="I1244" s="3" t="s">
        <v>8712</v>
      </c>
    </row>
    <row r="1245" spans="1:9" x14ac:dyDescent="0.35">
      <c r="A1245" s="3" t="s">
        <v>9955</v>
      </c>
      <c r="B1245" s="3" t="s">
        <v>2688</v>
      </c>
      <c r="C1245" s="3" t="s">
        <v>2689</v>
      </c>
      <c r="D1245">
        <v>47</v>
      </c>
      <c r="E1245" s="6">
        <v>45928</v>
      </c>
      <c r="F1245">
        <v>100</v>
      </c>
      <c r="G1245">
        <v>4.4690000000000003</v>
      </c>
      <c r="H1245">
        <v>0.98100000000000009</v>
      </c>
      <c r="I1245" s="3" t="s">
        <v>8701</v>
      </c>
    </row>
    <row r="1246" spans="1:9" x14ac:dyDescent="0.35">
      <c r="A1246" s="3" t="s">
        <v>9137</v>
      </c>
      <c r="B1246" s="3" t="s">
        <v>957</v>
      </c>
      <c r="C1246" s="3" t="s">
        <v>958</v>
      </c>
      <c r="D1246">
        <v>2806</v>
      </c>
      <c r="E1246" s="6">
        <v>43169</v>
      </c>
      <c r="F1246">
        <v>100</v>
      </c>
      <c r="G1246">
        <v>13.58</v>
      </c>
      <c r="H1246">
        <v>0.42</v>
      </c>
      <c r="I1246" s="3" t="s">
        <v>8699</v>
      </c>
    </row>
    <row r="1247" spans="1:9" x14ac:dyDescent="0.35">
      <c r="A1247" s="3" t="s">
        <v>9957</v>
      </c>
      <c r="B1247" s="3" t="s">
        <v>2693</v>
      </c>
      <c r="C1247" s="3" t="s">
        <v>2694</v>
      </c>
      <c r="D1247">
        <v>179</v>
      </c>
      <c r="E1247" s="6">
        <v>45796</v>
      </c>
      <c r="F1247">
        <v>50</v>
      </c>
      <c r="G1247">
        <v>4.0369999999999999</v>
      </c>
      <c r="H1247">
        <v>2.173</v>
      </c>
      <c r="I1247" s="3" t="s">
        <v>8756</v>
      </c>
    </row>
    <row r="1248" spans="1:9" x14ac:dyDescent="0.35">
      <c r="A1248" s="3" t="s">
        <v>9958</v>
      </c>
      <c r="B1248" s="3" t="s">
        <v>2695</v>
      </c>
      <c r="C1248" s="3" t="s">
        <v>2696</v>
      </c>
      <c r="D1248">
        <v>726</v>
      </c>
      <c r="E1248" s="6">
        <v>45249</v>
      </c>
      <c r="F1248">
        <v>0</v>
      </c>
      <c r="G1248">
        <v>0</v>
      </c>
      <c r="H1248">
        <v>0</v>
      </c>
      <c r="I1248" s="3" t="s">
        <v>28</v>
      </c>
    </row>
    <row r="1249" spans="1:9" x14ac:dyDescent="0.35">
      <c r="A1249" s="3" t="s">
        <v>10019</v>
      </c>
      <c r="B1249" s="3" t="s">
        <v>2823</v>
      </c>
      <c r="C1249" s="3" t="s">
        <v>2824</v>
      </c>
      <c r="D1249">
        <v>2807</v>
      </c>
      <c r="E1249" s="6">
        <v>43168</v>
      </c>
      <c r="F1249">
        <v>0</v>
      </c>
      <c r="G1249">
        <v>7.84</v>
      </c>
      <c r="H1249">
        <v>0.16</v>
      </c>
      <c r="I1249" s="3" t="s">
        <v>8699</v>
      </c>
    </row>
    <row r="1250" spans="1:9" x14ac:dyDescent="0.35">
      <c r="A1250" s="3" t="s">
        <v>8800</v>
      </c>
      <c r="B1250" s="3" t="s">
        <v>241</v>
      </c>
      <c r="C1250" s="3" t="s">
        <v>242</v>
      </c>
      <c r="D1250">
        <v>2810</v>
      </c>
      <c r="E1250" s="6">
        <v>43165</v>
      </c>
      <c r="F1250">
        <v>0</v>
      </c>
      <c r="G1250">
        <v>1.127</v>
      </c>
      <c r="H1250">
        <v>1.173</v>
      </c>
      <c r="I1250" s="3" t="s">
        <v>8699</v>
      </c>
    </row>
    <row r="1251" spans="1:9" x14ac:dyDescent="0.35">
      <c r="A1251" s="3" t="s">
        <v>9961</v>
      </c>
      <c r="B1251" s="3" t="s">
        <v>2701</v>
      </c>
      <c r="C1251" s="3" t="s">
        <v>2702</v>
      </c>
      <c r="D1251">
        <v>24</v>
      </c>
      <c r="E1251" s="6">
        <v>45951</v>
      </c>
      <c r="F1251">
        <v>0</v>
      </c>
      <c r="G1251">
        <v>13.5</v>
      </c>
      <c r="H1251">
        <v>1.5</v>
      </c>
      <c r="I1251" s="3" t="s">
        <v>8703</v>
      </c>
    </row>
    <row r="1252" spans="1:9" x14ac:dyDescent="0.35">
      <c r="A1252" s="3" t="s">
        <v>8724</v>
      </c>
      <c r="B1252" s="3" t="s">
        <v>64</v>
      </c>
      <c r="C1252" s="3" t="s">
        <v>65</v>
      </c>
      <c r="D1252">
        <v>2815</v>
      </c>
      <c r="E1252" s="6">
        <v>43160</v>
      </c>
      <c r="F1252">
        <v>0</v>
      </c>
      <c r="G1252">
        <v>70.070000000000007</v>
      </c>
      <c r="H1252">
        <v>6.93</v>
      </c>
      <c r="I1252" s="3" t="s">
        <v>8699</v>
      </c>
    </row>
    <row r="1253" spans="1:9" x14ac:dyDescent="0.35">
      <c r="A1253" s="3" t="s">
        <v>9963</v>
      </c>
      <c r="B1253" s="3" t="s">
        <v>2705</v>
      </c>
      <c r="C1253" s="3" t="s">
        <v>2706</v>
      </c>
      <c r="D1253">
        <v>46</v>
      </c>
      <c r="E1253" s="6">
        <v>45929</v>
      </c>
      <c r="F1253">
        <v>100</v>
      </c>
      <c r="G1253">
        <v>5.9190000000000005</v>
      </c>
      <c r="H1253">
        <v>0.311</v>
      </c>
      <c r="I1253" s="3" t="s">
        <v>8701</v>
      </c>
    </row>
    <row r="1254" spans="1:9" x14ac:dyDescent="0.35">
      <c r="A1254" s="3" t="s">
        <v>9964</v>
      </c>
      <c r="B1254" s="3" t="s">
        <v>2707</v>
      </c>
      <c r="C1254" s="3" t="s">
        <v>2708</v>
      </c>
      <c r="D1254">
        <v>49</v>
      </c>
      <c r="E1254" s="6">
        <v>45926</v>
      </c>
      <c r="F1254">
        <v>150</v>
      </c>
      <c r="G1254">
        <v>38</v>
      </c>
      <c r="H1254">
        <v>2</v>
      </c>
      <c r="I1254" s="3" t="s">
        <v>8701</v>
      </c>
    </row>
    <row r="1255" spans="1:9" x14ac:dyDescent="0.35">
      <c r="A1255" s="3" t="s">
        <v>9965</v>
      </c>
      <c r="B1255" s="3" t="s">
        <v>2709</v>
      </c>
      <c r="C1255" s="3" t="s">
        <v>2710</v>
      </c>
      <c r="D1255">
        <v>79</v>
      </c>
      <c r="E1255" s="6">
        <v>45896</v>
      </c>
      <c r="F1255">
        <v>0</v>
      </c>
      <c r="G1255">
        <v>53.35</v>
      </c>
      <c r="H1255">
        <v>1.6500000000000001</v>
      </c>
      <c r="I1255" s="3" t="s">
        <v>8701</v>
      </c>
    </row>
    <row r="1256" spans="1:9" x14ac:dyDescent="0.35">
      <c r="A1256" s="3" t="s">
        <v>9966</v>
      </c>
      <c r="B1256" s="3" t="s">
        <v>2711</v>
      </c>
      <c r="C1256" s="3" t="s">
        <v>2712</v>
      </c>
      <c r="D1256">
        <v>49</v>
      </c>
      <c r="E1256" s="6">
        <v>45926</v>
      </c>
      <c r="F1256">
        <v>0</v>
      </c>
      <c r="G1256">
        <v>0.81600000000000006</v>
      </c>
      <c r="H1256">
        <v>0.88400000000000001</v>
      </c>
      <c r="I1256" s="3" t="s">
        <v>8701</v>
      </c>
    </row>
    <row r="1257" spans="1:9" x14ac:dyDescent="0.35">
      <c r="A1257" s="3" t="s">
        <v>9495</v>
      </c>
      <c r="B1257" s="3" t="s">
        <v>1702</v>
      </c>
      <c r="C1257" s="3" t="s">
        <v>1703</v>
      </c>
      <c r="D1257">
        <v>2821</v>
      </c>
      <c r="E1257" s="6">
        <v>43154</v>
      </c>
      <c r="F1257">
        <v>0</v>
      </c>
      <c r="G1257">
        <v>0</v>
      </c>
      <c r="H1257">
        <v>0</v>
      </c>
      <c r="I1257" s="3" t="s">
        <v>8699</v>
      </c>
    </row>
    <row r="1258" spans="1:9" x14ac:dyDescent="0.35">
      <c r="A1258" s="3" t="s">
        <v>9968</v>
      </c>
      <c r="B1258" s="3" t="s">
        <v>2715</v>
      </c>
      <c r="C1258" s="3" t="s">
        <v>2716</v>
      </c>
      <c r="D1258">
        <v>23</v>
      </c>
      <c r="E1258" s="6">
        <v>45952</v>
      </c>
      <c r="F1258">
        <v>0</v>
      </c>
      <c r="G1258">
        <v>4.0000000000000001E-3</v>
      </c>
      <c r="H1258">
        <v>9.6000000000000002E-2</v>
      </c>
      <c r="I1258" s="3" t="s">
        <v>8712</v>
      </c>
    </row>
    <row r="1259" spans="1:9" x14ac:dyDescent="0.35">
      <c r="A1259" s="3" t="s">
        <v>9969</v>
      </c>
      <c r="B1259" s="3" t="s">
        <v>2717</v>
      </c>
      <c r="C1259" s="3" t="s">
        <v>2718</v>
      </c>
      <c r="D1259">
        <v>955</v>
      </c>
      <c r="E1259" s="6">
        <v>45020</v>
      </c>
      <c r="F1259">
        <v>0</v>
      </c>
      <c r="G1259">
        <v>0</v>
      </c>
      <c r="H1259">
        <v>0</v>
      </c>
      <c r="I1259" s="3" t="s">
        <v>28</v>
      </c>
    </row>
    <row r="1260" spans="1:9" x14ac:dyDescent="0.35">
      <c r="A1260" s="3" t="s">
        <v>9970</v>
      </c>
      <c r="B1260" s="3" t="s">
        <v>2719</v>
      </c>
      <c r="C1260" s="3" t="s">
        <v>2720</v>
      </c>
      <c r="D1260">
        <v>44</v>
      </c>
      <c r="E1260" s="6">
        <v>45931</v>
      </c>
      <c r="F1260">
        <v>900</v>
      </c>
      <c r="G1260">
        <v>5.4380000000000006</v>
      </c>
      <c r="H1260">
        <v>0.81200000000000006</v>
      </c>
      <c r="I1260" s="3" t="s">
        <v>8756</v>
      </c>
    </row>
    <row r="1261" spans="1:9" x14ac:dyDescent="0.35">
      <c r="A1261" s="3" t="s">
        <v>10267</v>
      </c>
      <c r="B1261" s="3" t="s">
        <v>3349</v>
      </c>
      <c r="C1261" s="3" t="s">
        <v>3350</v>
      </c>
      <c r="D1261">
        <v>2821</v>
      </c>
      <c r="E1261" s="6">
        <v>43154</v>
      </c>
      <c r="F1261">
        <v>0</v>
      </c>
      <c r="G1261">
        <v>0</v>
      </c>
      <c r="H1261">
        <v>0</v>
      </c>
      <c r="I1261" s="3" t="s">
        <v>8699</v>
      </c>
    </row>
    <row r="1262" spans="1:9" x14ac:dyDescent="0.35">
      <c r="A1262" s="3" t="s">
        <v>9972</v>
      </c>
      <c r="B1262" s="3" t="s">
        <v>2723</v>
      </c>
      <c r="C1262" s="3" t="s">
        <v>2724</v>
      </c>
      <c r="D1262">
        <v>12</v>
      </c>
      <c r="E1262" s="6">
        <v>45963</v>
      </c>
      <c r="F1262">
        <v>0</v>
      </c>
      <c r="G1262">
        <v>43.24</v>
      </c>
      <c r="H1262">
        <v>2.7600000000000002</v>
      </c>
      <c r="I1262" s="3" t="s">
        <v>8703</v>
      </c>
    </row>
    <row r="1263" spans="1:9" x14ac:dyDescent="0.35">
      <c r="A1263" s="3" t="s">
        <v>9973</v>
      </c>
      <c r="B1263" s="3" t="s">
        <v>2725</v>
      </c>
      <c r="C1263" s="3" t="s">
        <v>2726</v>
      </c>
      <c r="D1263">
        <v>45</v>
      </c>
      <c r="E1263" s="6">
        <v>45930</v>
      </c>
      <c r="F1263">
        <v>250</v>
      </c>
      <c r="G1263">
        <v>1.1599999999999999</v>
      </c>
      <c r="H1263">
        <v>4.6399999999999997</v>
      </c>
      <c r="I1263" s="3" t="s">
        <v>8701</v>
      </c>
    </row>
    <row r="1264" spans="1:9" x14ac:dyDescent="0.35">
      <c r="A1264" s="3" t="s">
        <v>10717</v>
      </c>
      <c r="B1264" s="3" t="s">
        <v>4305</v>
      </c>
      <c r="C1264" s="3" t="s">
        <v>4306</v>
      </c>
      <c r="D1264">
        <v>2821</v>
      </c>
      <c r="E1264" s="6">
        <v>43154</v>
      </c>
      <c r="F1264">
        <v>0</v>
      </c>
      <c r="G1264">
        <v>0</v>
      </c>
      <c r="H1264">
        <v>0</v>
      </c>
      <c r="I1264" s="3" t="s">
        <v>8699</v>
      </c>
    </row>
    <row r="1265" spans="1:9" x14ac:dyDescent="0.35">
      <c r="A1265" s="3" t="s">
        <v>9975</v>
      </c>
      <c r="B1265" s="3" t="s">
        <v>2729</v>
      </c>
      <c r="C1265" s="3" t="s">
        <v>2730</v>
      </c>
      <c r="D1265">
        <v>23</v>
      </c>
      <c r="E1265" s="6">
        <v>45952</v>
      </c>
      <c r="F1265">
        <v>0</v>
      </c>
      <c r="G1265">
        <v>8.2799999999999994</v>
      </c>
      <c r="H1265">
        <v>0.72</v>
      </c>
      <c r="I1265" s="3" t="s">
        <v>8701</v>
      </c>
    </row>
    <row r="1266" spans="1:9" x14ac:dyDescent="0.35">
      <c r="A1266" s="3" t="s">
        <v>9976</v>
      </c>
      <c r="B1266" s="3" t="s">
        <v>2731</v>
      </c>
      <c r="C1266" s="3" t="s">
        <v>2732</v>
      </c>
      <c r="D1266">
        <v>32</v>
      </c>
      <c r="E1266" s="6">
        <v>45943</v>
      </c>
      <c r="F1266">
        <v>0</v>
      </c>
      <c r="G1266">
        <v>16.929000000000002</v>
      </c>
      <c r="H1266">
        <v>0.17100000000000001</v>
      </c>
      <c r="I1266" s="3" t="s">
        <v>8756</v>
      </c>
    </row>
    <row r="1267" spans="1:9" x14ac:dyDescent="0.35">
      <c r="A1267" s="3" t="s">
        <v>10928</v>
      </c>
      <c r="B1267" s="3" t="s">
        <v>4744</v>
      </c>
      <c r="C1267" s="3" t="s">
        <v>4745</v>
      </c>
      <c r="D1267">
        <v>2821</v>
      </c>
      <c r="E1267" s="6">
        <v>43154</v>
      </c>
      <c r="F1267">
        <v>0</v>
      </c>
      <c r="G1267">
        <v>0</v>
      </c>
      <c r="H1267">
        <v>0</v>
      </c>
      <c r="I1267" s="3" t="s">
        <v>8699</v>
      </c>
    </row>
    <row r="1268" spans="1:9" x14ac:dyDescent="0.35">
      <c r="A1268" s="3" t="s">
        <v>9978</v>
      </c>
      <c r="B1268" s="3" t="s">
        <v>2735</v>
      </c>
      <c r="C1268" s="3" t="s">
        <v>2736</v>
      </c>
      <c r="D1268">
        <v>25</v>
      </c>
      <c r="E1268" s="6">
        <v>45950</v>
      </c>
      <c r="F1268">
        <v>0</v>
      </c>
      <c r="G1268">
        <v>22.882000000000001</v>
      </c>
      <c r="H1268">
        <v>2.3180000000000001</v>
      </c>
      <c r="I1268" s="3" t="s">
        <v>8701</v>
      </c>
    </row>
    <row r="1269" spans="1:9" x14ac:dyDescent="0.35">
      <c r="A1269" s="3" t="s">
        <v>9979</v>
      </c>
      <c r="B1269" s="3" t="s">
        <v>2737</v>
      </c>
      <c r="C1269" s="3" t="s">
        <v>2738</v>
      </c>
      <c r="D1269">
        <v>465</v>
      </c>
      <c r="E1269" s="6">
        <v>45510</v>
      </c>
      <c r="F1269">
        <v>0</v>
      </c>
      <c r="G1269">
        <v>8.0000000000000002E-3</v>
      </c>
      <c r="H1269">
        <v>0.192</v>
      </c>
      <c r="I1269" s="3" t="s">
        <v>8712</v>
      </c>
    </row>
    <row r="1270" spans="1:9" x14ac:dyDescent="0.35">
      <c r="A1270" s="3" t="s">
        <v>9980</v>
      </c>
      <c r="B1270" s="3" t="s">
        <v>2739</v>
      </c>
      <c r="C1270" s="3" t="s">
        <v>2740</v>
      </c>
      <c r="D1270">
        <v>87</v>
      </c>
      <c r="E1270" s="6">
        <v>45888</v>
      </c>
      <c r="F1270">
        <v>500</v>
      </c>
      <c r="G1270">
        <v>15.624000000000001</v>
      </c>
      <c r="H1270">
        <v>1.1760000000000002</v>
      </c>
      <c r="I1270" s="3" t="s">
        <v>8705</v>
      </c>
    </row>
    <row r="1271" spans="1:9" x14ac:dyDescent="0.35">
      <c r="A1271" s="3" t="s">
        <v>9981</v>
      </c>
      <c r="B1271" s="3" t="s">
        <v>2741</v>
      </c>
      <c r="C1271" s="3" t="s">
        <v>2742</v>
      </c>
      <c r="D1271">
        <v>160</v>
      </c>
      <c r="E1271" s="6">
        <v>45815</v>
      </c>
      <c r="F1271">
        <v>100</v>
      </c>
      <c r="G1271">
        <v>0.68400000000000005</v>
      </c>
      <c r="H1271">
        <v>0.51600000000000001</v>
      </c>
      <c r="I1271" s="3" t="s">
        <v>8756</v>
      </c>
    </row>
    <row r="1272" spans="1:9" x14ac:dyDescent="0.35">
      <c r="A1272" s="3" t="s">
        <v>9982</v>
      </c>
      <c r="B1272" s="3" t="s">
        <v>2743</v>
      </c>
      <c r="C1272" s="3" t="s">
        <v>2744</v>
      </c>
      <c r="D1272">
        <v>318</v>
      </c>
      <c r="E1272" s="6">
        <v>45657</v>
      </c>
      <c r="F1272">
        <v>100</v>
      </c>
      <c r="G1272">
        <v>1.008</v>
      </c>
      <c r="H1272">
        <v>0.67200000000000004</v>
      </c>
      <c r="I1272" s="3" t="s">
        <v>8705</v>
      </c>
    </row>
    <row r="1273" spans="1:9" x14ac:dyDescent="0.35">
      <c r="A1273" s="3" t="s">
        <v>9983</v>
      </c>
      <c r="B1273" s="3" t="s">
        <v>2745</v>
      </c>
      <c r="C1273" s="3" t="s">
        <v>2746</v>
      </c>
      <c r="D1273">
        <v>50</v>
      </c>
      <c r="E1273" s="6">
        <v>45925</v>
      </c>
      <c r="F1273">
        <v>0</v>
      </c>
      <c r="G1273">
        <v>1.3</v>
      </c>
      <c r="H1273">
        <v>0.70000000000000007</v>
      </c>
      <c r="I1273" s="3" t="s">
        <v>8701</v>
      </c>
    </row>
    <row r="1274" spans="1:9" x14ac:dyDescent="0.35">
      <c r="A1274" s="3" t="s">
        <v>10938</v>
      </c>
      <c r="B1274" s="3" t="s">
        <v>4764</v>
      </c>
      <c r="C1274" s="3" t="s">
        <v>4765</v>
      </c>
      <c r="D1274">
        <v>2821</v>
      </c>
      <c r="E1274" s="6">
        <v>43154</v>
      </c>
      <c r="F1274">
        <v>0</v>
      </c>
      <c r="G1274">
        <v>0</v>
      </c>
      <c r="H1274">
        <v>0</v>
      </c>
      <c r="I1274" s="3" t="s">
        <v>8699</v>
      </c>
    </row>
    <row r="1275" spans="1:9" x14ac:dyDescent="0.35">
      <c r="A1275" s="3" t="s">
        <v>11016</v>
      </c>
      <c r="B1275" s="3" t="s">
        <v>4942</v>
      </c>
      <c r="C1275" s="3" t="s">
        <v>4943</v>
      </c>
      <c r="D1275">
        <v>2821</v>
      </c>
      <c r="E1275" s="6">
        <v>43154</v>
      </c>
      <c r="F1275">
        <v>0</v>
      </c>
      <c r="G1275">
        <v>0</v>
      </c>
      <c r="H1275">
        <v>0</v>
      </c>
      <c r="I1275" s="3" t="s">
        <v>8699</v>
      </c>
    </row>
    <row r="1276" spans="1:9" x14ac:dyDescent="0.35">
      <c r="A1276" s="3" t="s">
        <v>9986</v>
      </c>
      <c r="B1276" s="3" t="s">
        <v>2751</v>
      </c>
      <c r="C1276" s="3" t="s">
        <v>2752</v>
      </c>
      <c r="D1276">
        <v>48</v>
      </c>
      <c r="E1276" s="6">
        <v>45927</v>
      </c>
      <c r="F1276">
        <v>0</v>
      </c>
      <c r="G1276">
        <v>1.1020000000000001</v>
      </c>
      <c r="H1276">
        <v>5.8000000000000003E-2</v>
      </c>
      <c r="I1276" s="3" t="s">
        <v>8701</v>
      </c>
    </row>
    <row r="1277" spans="1:9" x14ac:dyDescent="0.35">
      <c r="A1277" s="3" t="s">
        <v>9987</v>
      </c>
      <c r="B1277" s="3" t="s">
        <v>2753</v>
      </c>
      <c r="C1277" s="3" t="s">
        <v>2754</v>
      </c>
      <c r="D1277">
        <v>193</v>
      </c>
      <c r="E1277" s="6">
        <v>45782</v>
      </c>
      <c r="F1277">
        <v>0</v>
      </c>
      <c r="G1277">
        <v>30.400000000000002</v>
      </c>
      <c r="H1277">
        <v>1.6</v>
      </c>
      <c r="I1277" s="3" t="s">
        <v>8701</v>
      </c>
    </row>
    <row r="1278" spans="1:9" x14ac:dyDescent="0.35">
      <c r="A1278" s="3" t="s">
        <v>9988</v>
      </c>
      <c r="B1278" s="3" t="s">
        <v>2755</v>
      </c>
      <c r="C1278" s="3" t="s">
        <v>2756</v>
      </c>
      <c r="D1278">
        <v>25</v>
      </c>
      <c r="E1278" s="6">
        <v>45950</v>
      </c>
      <c r="F1278">
        <v>0</v>
      </c>
      <c r="G1278">
        <v>17.100000000000001</v>
      </c>
      <c r="H1278">
        <v>2.9</v>
      </c>
      <c r="I1278" s="3" t="s">
        <v>8701</v>
      </c>
    </row>
    <row r="1279" spans="1:9" x14ac:dyDescent="0.35">
      <c r="A1279" s="3" t="s">
        <v>9989</v>
      </c>
      <c r="B1279" s="3" t="s">
        <v>2757</v>
      </c>
      <c r="C1279" s="3" t="s">
        <v>2758</v>
      </c>
      <c r="D1279">
        <v>92</v>
      </c>
      <c r="E1279" s="6">
        <v>45883</v>
      </c>
      <c r="F1279">
        <v>125</v>
      </c>
      <c r="G1279">
        <v>3.7240000000000002</v>
      </c>
      <c r="H1279">
        <v>1.1760000000000002</v>
      </c>
      <c r="I1279" s="3" t="s">
        <v>8756</v>
      </c>
    </row>
    <row r="1280" spans="1:9" x14ac:dyDescent="0.35">
      <c r="A1280" s="3" t="s">
        <v>11059</v>
      </c>
      <c r="B1280" s="3" t="s">
        <v>5031</v>
      </c>
      <c r="C1280" s="3" t="s">
        <v>5032</v>
      </c>
      <c r="D1280">
        <v>2821</v>
      </c>
      <c r="E1280" s="6">
        <v>43154</v>
      </c>
      <c r="F1280">
        <v>0</v>
      </c>
      <c r="G1280">
        <v>0</v>
      </c>
      <c r="H1280">
        <v>0</v>
      </c>
      <c r="I1280" s="3" t="s">
        <v>8699</v>
      </c>
    </row>
    <row r="1281" spans="1:9" x14ac:dyDescent="0.35">
      <c r="A1281" s="3" t="s">
        <v>9991</v>
      </c>
      <c r="B1281" s="3" t="s">
        <v>2761</v>
      </c>
      <c r="C1281" s="3" t="s">
        <v>2762</v>
      </c>
      <c r="D1281">
        <v>92</v>
      </c>
      <c r="E1281" s="6">
        <v>45883</v>
      </c>
      <c r="F1281">
        <v>0</v>
      </c>
      <c r="G1281">
        <v>2.08</v>
      </c>
      <c r="H1281">
        <v>2.08</v>
      </c>
      <c r="I1281" s="3" t="s">
        <v>8756</v>
      </c>
    </row>
    <row r="1282" spans="1:9" x14ac:dyDescent="0.35">
      <c r="A1282" s="3" t="s">
        <v>11109</v>
      </c>
      <c r="B1282" s="3" t="s">
        <v>5135</v>
      </c>
      <c r="C1282" s="3" t="s">
        <v>5136</v>
      </c>
      <c r="D1282">
        <v>2821</v>
      </c>
      <c r="E1282" s="6">
        <v>43154</v>
      </c>
      <c r="F1282">
        <v>0</v>
      </c>
      <c r="G1282">
        <v>0</v>
      </c>
      <c r="H1282">
        <v>0</v>
      </c>
      <c r="I1282" s="3" t="s">
        <v>8699</v>
      </c>
    </row>
    <row r="1283" spans="1:9" x14ac:dyDescent="0.35">
      <c r="A1283" s="3" t="s">
        <v>8820</v>
      </c>
      <c r="B1283" s="3" t="s">
        <v>291</v>
      </c>
      <c r="C1283" s="3" t="s">
        <v>292</v>
      </c>
      <c r="D1283">
        <v>2825</v>
      </c>
      <c r="E1283" s="6">
        <v>43150</v>
      </c>
      <c r="F1283">
        <v>0</v>
      </c>
      <c r="G1283">
        <v>8.4</v>
      </c>
      <c r="H1283">
        <v>3.6</v>
      </c>
      <c r="I1283" s="3" t="s">
        <v>8699</v>
      </c>
    </row>
    <row r="1284" spans="1:9" x14ac:dyDescent="0.35">
      <c r="A1284" s="3" t="s">
        <v>9994</v>
      </c>
      <c r="B1284" s="3" t="s">
        <v>2767</v>
      </c>
      <c r="C1284" s="3" t="s">
        <v>2768</v>
      </c>
      <c r="D1284">
        <v>955</v>
      </c>
      <c r="E1284" s="6">
        <v>45020</v>
      </c>
      <c r="F1284">
        <v>0</v>
      </c>
      <c r="G1284">
        <v>0</v>
      </c>
      <c r="H1284">
        <v>0</v>
      </c>
      <c r="I1284" s="3" t="s">
        <v>28</v>
      </c>
    </row>
    <row r="1285" spans="1:9" x14ac:dyDescent="0.35">
      <c r="A1285" s="3" t="s">
        <v>8905</v>
      </c>
      <c r="B1285" s="3" t="s">
        <v>469</v>
      </c>
      <c r="C1285" s="3" t="s">
        <v>470</v>
      </c>
      <c r="D1285">
        <v>2830</v>
      </c>
      <c r="E1285" s="6">
        <v>43145</v>
      </c>
      <c r="F1285">
        <v>500</v>
      </c>
      <c r="G1285">
        <v>4.55</v>
      </c>
      <c r="H1285">
        <v>0.45</v>
      </c>
      <c r="I1285" s="3" t="s">
        <v>8699</v>
      </c>
    </row>
    <row r="1286" spans="1:9" x14ac:dyDescent="0.35">
      <c r="A1286" s="3" t="s">
        <v>9674</v>
      </c>
      <c r="B1286" s="3" t="s">
        <v>2088</v>
      </c>
      <c r="C1286" s="3" t="s">
        <v>2089</v>
      </c>
      <c r="D1286">
        <v>2835</v>
      </c>
      <c r="E1286" s="6">
        <v>43140</v>
      </c>
      <c r="F1286">
        <v>0</v>
      </c>
      <c r="G1286">
        <v>3.29</v>
      </c>
      <c r="H1286">
        <v>3.71</v>
      </c>
      <c r="I1286" s="3" t="s">
        <v>8699</v>
      </c>
    </row>
    <row r="1287" spans="1:9" x14ac:dyDescent="0.35">
      <c r="A1287" s="3" t="s">
        <v>9997</v>
      </c>
      <c r="B1287" s="3" t="s">
        <v>2773</v>
      </c>
      <c r="C1287" s="3" t="s">
        <v>2774</v>
      </c>
      <c r="D1287">
        <v>25</v>
      </c>
      <c r="E1287" s="6">
        <v>45950</v>
      </c>
      <c r="F1287">
        <v>0</v>
      </c>
      <c r="G1287">
        <v>10.68</v>
      </c>
      <c r="H1287">
        <v>1.32</v>
      </c>
      <c r="I1287" s="3" t="s">
        <v>8701</v>
      </c>
    </row>
    <row r="1288" spans="1:9" x14ac:dyDescent="0.35">
      <c r="A1288" s="3" t="s">
        <v>9998</v>
      </c>
      <c r="B1288" s="3" t="s">
        <v>2775</v>
      </c>
      <c r="C1288" s="3" t="s">
        <v>2776</v>
      </c>
      <c r="D1288">
        <v>955</v>
      </c>
      <c r="E1288" s="6">
        <v>45020</v>
      </c>
      <c r="F1288">
        <v>0</v>
      </c>
      <c r="G1288">
        <v>0</v>
      </c>
      <c r="H1288">
        <v>0</v>
      </c>
      <c r="I1288" s="3" t="s">
        <v>28</v>
      </c>
    </row>
    <row r="1289" spans="1:9" x14ac:dyDescent="0.35">
      <c r="A1289" s="3" t="s">
        <v>9999</v>
      </c>
      <c r="B1289" s="3" t="s">
        <v>2777</v>
      </c>
      <c r="C1289" s="3" t="s">
        <v>2778</v>
      </c>
      <c r="D1289">
        <v>45</v>
      </c>
      <c r="E1289" s="6">
        <v>45930</v>
      </c>
      <c r="F1289">
        <v>100</v>
      </c>
      <c r="G1289">
        <v>12.6</v>
      </c>
      <c r="H1289">
        <v>1.4000000000000001</v>
      </c>
      <c r="I1289" s="3" t="s">
        <v>8701</v>
      </c>
    </row>
    <row r="1290" spans="1:9" x14ac:dyDescent="0.35">
      <c r="A1290" s="3" t="s">
        <v>10000</v>
      </c>
      <c r="B1290" s="3" t="s">
        <v>2779</v>
      </c>
      <c r="C1290" s="3" t="s">
        <v>2780</v>
      </c>
      <c r="D1290">
        <v>59</v>
      </c>
      <c r="E1290" s="6">
        <v>45916</v>
      </c>
      <c r="F1290">
        <v>0</v>
      </c>
      <c r="G1290">
        <v>4.2</v>
      </c>
      <c r="H1290">
        <v>1.8</v>
      </c>
      <c r="I1290" s="3" t="s">
        <v>8756</v>
      </c>
    </row>
    <row r="1291" spans="1:9" x14ac:dyDescent="0.35">
      <c r="A1291" s="3" t="s">
        <v>10001</v>
      </c>
      <c r="B1291" s="3" t="s">
        <v>2781</v>
      </c>
      <c r="C1291" s="3" t="s">
        <v>2782</v>
      </c>
      <c r="D1291">
        <v>395</v>
      </c>
      <c r="E1291" s="6">
        <v>45580</v>
      </c>
      <c r="F1291">
        <v>0</v>
      </c>
      <c r="G1291">
        <v>6.0000000000000001E-3</v>
      </c>
      <c r="H1291">
        <v>0.10400000000000001</v>
      </c>
      <c r="I1291" s="3" t="s">
        <v>8712</v>
      </c>
    </row>
    <row r="1292" spans="1:9" x14ac:dyDescent="0.35">
      <c r="A1292" s="3" t="s">
        <v>10002</v>
      </c>
      <c r="B1292" s="3" t="s">
        <v>2783</v>
      </c>
      <c r="C1292" s="3" t="s">
        <v>2784</v>
      </c>
      <c r="D1292">
        <v>955</v>
      </c>
      <c r="E1292" s="6">
        <v>45020</v>
      </c>
      <c r="F1292">
        <v>0</v>
      </c>
      <c r="G1292">
        <v>0</v>
      </c>
      <c r="H1292">
        <v>0</v>
      </c>
      <c r="I1292" s="3" t="s">
        <v>28</v>
      </c>
    </row>
    <row r="1293" spans="1:9" x14ac:dyDescent="0.35">
      <c r="A1293" s="3" t="s">
        <v>10561</v>
      </c>
      <c r="B1293" s="3" t="s">
        <v>3976</v>
      </c>
      <c r="C1293" s="3" t="s">
        <v>3977</v>
      </c>
      <c r="D1293">
        <v>2837</v>
      </c>
      <c r="E1293" s="6">
        <v>43138</v>
      </c>
      <c r="F1293">
        <v>50</v>
      </c>
      <c r="G1293">
        <v>6.0780000000000003</v>
      </c>
      <c r="H1293">
        <v>0.42200000000000004</v>
      </c>
      <c r="I1293" s="3" t="s">
        <v>8699</v>
      </c>
    </row>
    <row r="1294" spans="1:9" x14ac:dyDescent="0.35">
      <c r="A1294" s="3" t="s">
        <v>10379</v>
      </c>
      <c r="B1294" s="3" t="s">
        <v>3592</v>
      </c>
      <c r="C1294" s="3" t="s">
        <v>3593</v>
      </c>
      <c r="D1294">
        <v>2838</v>
      </c>
      <c r="E1294" s="6">
        <v>43137</v>
      </c>
      <c r="F1294">
        <v>0</v>
      </c>
      <c r="G1294">
        <v>0.6</v>
      </c>
      <c r="H1294">
        <v>0.9</v>
      </c>
      <c r="I1294" s="3" t="s">
        <v>8699</v>
      </c>
    </row>
    <row r="1295" spans="1:9" x14ac:dyDescent="0.35">
      <c r="A1295" s="3" t="s">
        <v>11371</v>
      </c>
      <c r="B1295" s="3" t="s">
        <v>5684</v>
      </c>
      <c r="C1295" s="3" t="s">
        <v>5685</v>
      </c>
      <c r="D1295">
        <v>2850</v>
      </c>
      <c r="E1295" s="6">
        <v>43125</v>
      </c>
      <c r="F1295">
        <v>0</v>
      </c>
      <c r="G1295">
        <v>1.1340000000000001</v>
      </c>
      <c r="H1295">
        <v>0.96600000000000008</v>
      </c>
      <c r="I1295" s="3" t="s">
        <v>8699</v>
      </c>
    </row>
    <row r="1296" spans="1:9" x14ac:dyDescent="0.35">
      <c r="A1296" s="3" t="s">
        <v>10006</v>
      </c>
      <c r="B1296" s="3" t="s">
        <v>2791</v>
      </c>
      <c r="C1296" s="3" t="s">
        <v>2792</v>
      </c>
      <c r="D1296">
        <v>955</v>
      </c>
      <c r="E1296" s="6">
        <v>45020</v>
      </c>
      <c r="F1296">
        <v>0</v>
      </c>
      <c r="G1296">
        <v>0</v>
      </c>
      <c r="H1296">
        <v>0</v>
      </c>
      <c r="I1296" s="3" t="s">
        <v>28</v>
      </c>
    </row>
    <row r="1297" spans="1:9" x14ac:dyDescent="0.35">
      <c r="A1297" s="3" t="s">
        <v>10007</v>
      </c>
      <c r="B1297" s="3" t="s">
        <v>2793</v>
      </c>
      <c r="C1297" s="3" t="s">
        <v>2794</v>
      </c>
      <c r="D1297">
        <v>3243</v>
      </c>
      <c r="E1297" s="6">
        <v>42732</v>
      </c>
      <c r="F1297">
        <v>0</v>
      </c>
      <c r="G1297">
        <v>0</v>
      </c>
      <c r="H1297">
        <v>0</v>
      </c>
      <c r="I1297" s="3" t="s">
        <v>28</v>
      </c>
    </row>
    <row r="1298" spans="1:9" x14ac:dyDescent="0.35">
      <c r="A1298" s="3" t="s">
        <v>10008</v>
      </c>
      <c r="B1298" s="3" t="s">
        <v>2795</v>
      </c>
      <c r="C1298" s="3" t="s">
        <v>2796</v>
      </c>
      <c r="D1298">
        <v>4868</v>
      </c>
      <c r="E1298" s="6">
        <v>41107</v>
      </c>
      <c r="F1298">
        <v>0</v>
      </c>
      <c r="G1298">
        <v>0</v>
      </c>
      <c r="H1298">
        <v>0</v>
      </c>
      <c r="I1298" s="3" t="s">
        <v>28</v>
      </c>
    </row>
    <row r="1299" spans="1:9" x14ac:dyDescent="0.35">
      <c r="A1299" s="3" t="s">
        <v>10009</v>
      </c>
      <c r="B1299" s="3" t="s">
        <v>2797</v>
      </c>
      <c r="C1299" s="3" t="s">
        <v>2798</v>
      </c>
      <c r="D1299">
        <v>737</v>
      </c>
      <c r="E1299" s="6">
        <v>45238</v>
      </c>
      <c r="F1299">
        <v>0</v>
      </c>
      <c r="G1299">
        <v>0</v>
      </c>
      <c r="H1299">
        <v>0</v>
      </c>
      <c r="I1299" s="3" t="s">
        <v>28</v>
      </c>
    </row>
    <row r="1300" spans="1:9" x14ac:dyDescent="0.35">
      <c r="A1300" s="3" t="s">
        <v>9608</v>
      </c>
      <c r="B1300" s="3" t="s">
        <v>1943</v>
      </c>
      <c r="C1300" s="3" t="s">
        <v>1944</v>
      </c>
      <c r="D1300">
        <v>2852</v>
      </c>
      <c r="E1300" s="6">
        <v>43123</v>
      </c>
      <c r="F1300">
        <v>100</v>
      </c>
      <c r="G1300">
        <v>0.20200000000000001</v>
      </c>
      <c r="H1300">
        <v>0.71800000000000008</v>
      </c>
      <c r="I1300" s="3" t="s">
        <v>8699</v>
      </c>
    </row>
    <row r="1301" spans="1:9" x14ac:dyDescent="0.35">
      <c r="A1301" s="3" t="s">
        <v>10028</v>
      </c>
      <c r="B1301" s="3" t="s">
        <v>2841</v>
      </c>
      <c r="C1301" s="3" t="s">
        <v>2842</v>
      </c>
      <c r="D1301">
        <v>2861</v>
      </c>
      <c r="E1301" s="6">
        <v>43114</v>
      </c>
      <c r="F1301">
        <v>0</v>
      </c>
      <c r="G1301">
        <v>54.45</v>
      </c>
      <c r="H1301">
        <v>0.55000000000000004</v>
      </c>
      <c r="I1301" s="3" t="s">
        <v>8699</v>
      </c>
    </row>
    <row r="1302" spans="1:9" x14ac:dyDescent="0.35">
      <c r="A1302" s="3" t="s">
        <v>9256</v>
      </c>
      <c r="B1302" s="3" t="s">
        <v>1206</v>
      </c>
      <c r="C1302" s="3" t="s">
        <v>1207</v>
      </c>
      <c r="D1302">
        <v>2864</v>
      </c>
      <c r="E1302" s="6">
        <v>43111</v>
      </c>
      <c r="F1302">
        <v>0</v>
      </c>
      <c r="G1302">
        <v>17.82</v>
      </c>
      <c r="H1302">
        <v>0.18</v>
      </c>
      <c r="I1302" s="3" t="s">
        <v>8699</v>
      </c>
    </row>
    <row r="1303" spans="1:9" x14ac:dyDescent="0.35">
      <c r="A1303" s="3" t="s">
        <v>10625</v>
      </c>
      <c r="B1303" s="3" t="s">
        <v>4108</v>
      </c>
      <c r="C1303" s="3" t="s">
        <v>4109</v>
      </c>
      <c r="D1303">
        <v>2865</v>
      </c>
      <c r="E1303" s="6">
        <v>43110</v>
      </c>
      <c r="F1303">
        <v>0</v>
      </c>
      <c r="G1303">
        <v>12.35</v>
      </c>
      <c r="H1303">
        <v>0.65</v>
      </c>
      <c r="I1303" s="3" t="s">
        <v>8699</v>
      </c>
    </row>
    <row r="1304" spans="1:9" x14ac:dyDescent="0.35">
      <c r="A1304" s="3" t="s">
        <v>10014</v>
      </c>
      <c r="B1304" s="3" t="s">
        <v>2807</v>
      </c>
      <c r="C1304" s="3" t="s">
        <v>2808</v>
      </c>
      <c r="D1304">
        <v>157</v>
      </c>
      <c r="E1304" s="6">
        <v>45818</v>
      </c>
      <c r="F1304">
        <v>0</v>
      </c>
      <c r="G1304">
        <v>0.84</v>
      </c>
      <c r="H1304">
        <v>1.56</v>
      </c>
      <c r="I1304" s="3" t="s">
        <v>8756</v>
      </c>
    </row>
    <row r="1305" spans="1:9" x14ac:dyDescent="0.35">
      <c r="A1305" s="3" t="s">
        <v>9733</v>
      </c>
      <c r="B1305" s="3" t="s">
        <v>2214</v>
      </c>
      <c r="C1305" s="3" t="s">
        <v>2215</v>
      </c>
      <c r="D1305">
        <v>2889</v>
      </c>
      <c r="E1305" s="6">
        <v>43086</v>
      </c>
      <c r="F1305">
        <v>0</v>
      </c>
      <c r="G1305">
        <v>0.57000000000000006</v>
      </c>
      <c r="H1305">
        <v>0.93</v>
      </c>
      <c r="I1305" s="3" t="s">
        <v>8699</v>
      </c>
    </row>
    <row r="1306" spans="1:9" x14ac:dyDescent="0.35">
      <c r="A1306" s="3" t="s">
        <v>10016</v>
      </c>
      <c r="B1306" s="3" t="s">
        <v>2812</v>
      </c>
      <c r="C1306" s="3" t="s">
        <v>2813</v>
      </c>
      <c r="D1306">
        <v>955</v>
      </c>
      <c r="E1306" s="6">
        <v>45020</v>
      </c>
      <c r="F1306">
        <v>0</v>
      </c>
      <c r="G1306">
        <v>0</v>
      </c>
      <c r="H1306">
        <v>0</v>
      </c>
      <c r="I1306" s="3" t="s">
        <v>28</v>
      </c>
    </row>
    <row r="1307" spans="1:9" x14ac:dyDescent="0.35">
      <c r="A1307" s="3" t="s">
        <v>10017</v>
      </c>
      <c r="B1307" s="3" t="s">
        <v>2815</v>
      </c>
      <c r="C1307" s="3" t="s">
        <v>2816</v>
      </c>
      <c r="D1307">
        <v>1662</v>
      </c>
      <c r="E1307" s="6">
        <v>44313</v>
      </c>
      <c r="F1307">
        <v>0</v>
      </c>
      <c r="G1307">
        <v>0</v>
      </c>
      <c r="H1307">
        <v>0</v>
      </c>
      <c r="I1307" s="3" t="s">
        <v>28</v>
      </c>
    </row>
    <row r="1308" spans="1:9" x14ac:dyDescent="0.35">
      <c r="A1308" s="3" t="s">
        <v>10553</v>
      </c>
      <c r="B1308" s="3" t="s">
        <v>3959</v>
      </c>
      <c r="C1308" s="3" t="s">
        <v>3960</v>
      </c>
      <c r="D1308">
        <v>2928</v>
      </c>
      <c r="E1308" s="6">
        <v>43047</v>
      </c>
      <c r="F1308">
        <v>0</v>
      </c>
      <c r="G1308">
        <v>8.4920000000000009</v>
      </c>
      <c r="H1308">
        <v>8.0000000000000002E-3</v>
      </c>
      <c r="I1308" s="3" t="s">
        <v>8699</v>
      </c>
    </row>
    <row r="1309" spans="1:9" x14ac:dyDescent="0.35">
      <c r="A1309" s="3" t="s">
        <v>10030</v>
      </c>
      <c r="B1309" s="3" t="s">
        <v>2845</v>
      </c>
      <c r="C1309" s="3" t="s">
        <v>2846</v>
      </c>
      <c r="D1309">
        <v>2930</v>
      </c>
      <c r="E1309" s="6">
        <v>43045</v>
      </c>
      <c r="F1309">
        <v>0</v>
      </c>
      <c r="G1309">
        <v>12.9</v>
      </c>
      <c r="H1309">
        <v>2.1</v>
      </c>
      <c r="I1309" s="3" t="s">
        <v>8699</v>
      </c>
    </row>
    <row r="1310" spans="1:9" x14ac:dyDescent="0.35">
      <c r="A1310" s="3" t="s">
        <v>10020</v>
      </c>
      <c r="B1310" s="3" t="s">
        <v>2825</v>
      </c>
      <c r="C1310" s="3" t="s">
        <v>2826</v>
      </c>
      <c r="D1310">
        <v>58</v>
      </c>
      <c r="E1310" s="6">
        <v>45917</v>
      </c>
      <c r="F1310">
        <v>0</v>
      </c>
      <c r="G1310">
        <v>31.68</v>
      </c>
      <c r="H1310">
        <v>1.32</v>
      </c>
      <c r="I1310" s="3" t="s">
        <v>8756</v>
      </c>
    </row>
    <row r="1311" spans="1:9" x14ac:dyDescent="0.35">
      <c r="A1311" s="3" t="s">
        <v>10021</v>
      </c>
      <c r="B1311" s="3" t="s">
        <v>2827</v>
      </c>
      <c r="C1311" s="3" t="s">
        <v>2828</v>
      </c>
      <c r="D1311">
        <v>49</v>
      </c>
      <c r="E1311" s="6">
        <v>45926</v>
      </c>
      <c r="F1311">
        <v>160</v>
      </c>
      <c r="G1311">
        <v>31.5</v>
      </c>
      <c r="H1311">
        <v>3.5</v>
      </c>
      <c r="I1311" s="3" t="s">
        <v>8703</v>
      </c>
    </row>
    <row r="1312" spans="1:9" x14ac:dyDescent="0.35">
      <c r="A1312" s="3" t="s">
        <v>10022</v>
      </c>
      <c r="B1312" s="3" t="s">
        <v>2829</v>
      </c>
      <c r="C1312" s="3" t="s">
        <v>2830</v>
      </c>
      <c r="D1312">
        <v>23</v>
      </c>
      <c r="E1312" s="6">
        <v>45952</v>
      </c>
      <c r="F1312">
        <v>0</v>
      </c>
      <c r="G1312">
        <v>43.2</v>
      </c>
      <c r="H1312">
        <v>1.8</v>
      </c>
      <c r="I1312" s="3" t="s">
        <v>8701</v>
      </c>
    </row>
    <row r="1313" spans="1:9" x14ac:dyDescent="0.35">
      <c r="A1313" s="3" t="s">
        <v>10023</v>
      </c>
      <c r="B1313" s="3" t="s">
        <v>2831</v>
      </c>
      <c r="C1313" s="3" t="s">
        <v>2832</v>
      </c>
      <c r="D1313">
        <v>45</v>
      </c>
      <c r="E1313" s="6">
        <v>45930</v>
      </c>
      <c r="F1313">
        <v>100</v>
      </c>
      <c r="G1313">
        <v>19.8</v>
      </c>
      <c r="H1313">
        <v>2.2000000000000002</v>
      </c>
      <c r="I1313" s="3" t="s">
        <v>8738</v>
      </c>
    </row>
    <row r="1314" spans="1:9" x14ac:dyDescent="0.35">
      <c r="A1314" s="3" t="s">
        <v>10882</v>
      </c>
      <c r="B1314" s="3" t="s">
        <v>4650</v>
      </c>
      <c r="C1314" s="3" t="s">
        <v>4651</v>
      </c>
      <c r="D1314">
        <v>2956</v>
      </c>
      <c r="E1314" s="6">
        <v>43019</v>
      </c>
      <c r="F1314">
        <v>0</v>
      </c>
      <c r="G1314">
        <v>0.93</v>
      </c>
      <c r="H1314">
        <v>1.35</v>
      </c>
      <c r="I1314" s="3" t="s">
        <v>8699</v>
      </c>
    </row>
    <row r="1315" spans="1:9" x14ac:dyDescent="0.35">
      <c r="A1315" s="3" t="s">
        <v>10025</v>
      </c>
      <c r="B1315" s="3" t="s">
        <v>2835</v>
      </c>
      <c r="C1315" s="3" t="s">
        <v>2836</v>
      </c>
      <c r="D1315">
        <v>90</v>
      </c>
      <c r="E1315" s="6">
        <v>45885</v>
      </c>
      <c r="F1315">
        <v>90</v>
      </c>
      <c r="G1315">
        <v>0.49</v>
      </c>
      <c r="H1315">
        <v>1.26</v>
      </c>
      <c r="I1315" s="3" t="s">
        <v>8756</v>
      </c>
    </row>
    <row r="1316" spans="1:9" x14ac:dyDescent="0.35">
      <c r="A1316" s="3" t="s">
        <v>10026</v>
      </c>
      <c r="B1316" s="3" t="s">
        <v>2837</v>
      </c>
      <c r="C1316" s="3" t="s">
        <v>2838</v>
      </c>
      <c r="D1316">
        <v>59</v>
      </c>
      <c r="E1316" s="6">
        <v>45916</v>
      </c>
      <c r="F1316">
        <v>0</v>
      </c>
      <c r="G1316">
        <v>27.3</v>
      </c>
      <c r="H1316">
        <v>7.7</v>
      </c>
      <c r="I1316" s="3" t="s">
        <v>8756</v>
      </c>
    </row>
    <row r="1317" spans="1:9" x14ac:dyDescent="0.35">
      <c r="A1317" s="3" t="s">
        <v>10027</v>
      </c>
      <c r="B1317" s="3" t="s">
        <v>2839</v>
      </c>
      <c r="C1317" s="3" t="s">
        <v>2840</v>
      </c>
      <c r="D1317">
        <v>62</v>
      </c>
      <c r="E1317" s="6">
        <v>45913</v>
      </c>
      <c r="F1317">
        <v>0</v>
      </c>
      <c r="G1317">
        <v>6.8</v>
      </c>
      <c r="H1317">
        <v>1.2</v>
      </c>
      <c r="I1317" s="3" t="s">
        <v>8756</v>
      </c>
    </row>
    <row r="1318" spans="1:9" x14ac:dyDescent="0.35">
      <c r="A1318" s="3" t="s">
        <v>8719</v>
      </c>
      <c r="B1318" s="3" t="s">
        <v>53</v>
      </c>
      <c r="C1318" s="3" t="s">
        <v>54</v>
      </c>
      <c r="D1318">
        <v>2958</v>
      </c>
      <c r="E1318" s="6">
        <v>43017</v>
      </c>
      <c r="F1318">
        <v>0</v>
      </c>
      <c r="G1318">
        <v>0</v>
      </c>
      <c r="H1318">
        <v>0</v>
      </c>
      <c r="I1318" s="3" t="s">
        <v>8699</v>
      </c>
    </row>
    <row r="1319" spans="1:9" x14ac:dyDescent="0.35">
      <c r="A1319" s="3" t="s">
        <v>10789</v>
      </c>
      <c r="B1319" s="3" t="s">
        <v>4456</v>
      </c>
      <c r="C1319" s="3" t="s">
        <v>4457</v>
      </c>
      <c r="D1319">
        <v>2975</v>
      </c>
      <c r="E1319" s="6">
        <v>43000</v>
      </c>
      <c r="F1319">
        <v>0</v>
      </c>
      <c r="G1319">
        <v>15.52</v>
      </c>
      <c r="H1319">
        <v>0.48</v>
      </c>
      <c r="I1319" s="3" t="s">
        <v>8699</v>
      </c>
    </row>
    <row r="1320" spans="1:9" x14ac:dyDescent="0.35">
      <c r="A1320" s="3" t="s">
        <v>9843</v>
      </c>
      <c r="B1320" s="3" t="s">
        <v>2449</v>
      </c>
      <c r="C1320" s="3" t="s">
        <v>2450</v>
      </c>
      <c r="D1320">
        <v>2991</v>
      </c>
      <c r="E1320" s="6">
        <v>42984</v>
      </c>
      <c r="F1320">
        <v>100</v>
      </c>
      <c r="G1320">
        <v>19.400000000000002</v>
      </c>
      <c r="H1320">
        <v>0.6</v>
      </c>
      <c r="I1320" s="3" t="s">
        <v>8699</v>
      </c>
    </row>
    <row r="1321" spans="1:9" x14ac:dyDescent="0.35">
      <c r="A1321" s="3" t="s">
        <v>10031</v>
      </c>
      <c r="B1321" s="3" t="s">
        <v>2847</v>
      </c>
      <c r="C1321" s="3" t="s">
        <v>2848</v>
      </c>
      <c r="D1321">
        <v>50</v>
      </c>
      <c r="E1321" s="6">
        <v>45925</v>
      </c>
      <c r="F1321">
        <v>200</v>
      </c>
      <c r="G1321">
        <v>19.580000000000002</v>
      </c>
      <c r="H1321">
        <v>2.42</v>
      </c>
      <c r="I1321" s="3" t="s">
        <v>8701</v>
      </c>
    </row>
    <row r="1322" spans="1:9" x14ac:dyDescent="0.35">
      <c r="A1322" s="3" t="s">
        <v>11154</v>
      </c>
      <c r="B1322" s="3" t="s">
        <v>5229</v>
      </c>
      <c r="C1322" s="3" t="s">
        <v>5230</v>
      </c>
      <c r="D1322">
        <v>2991</v>
      </c>
      <c r="E1322" s="6">
        <v>42984</v>
      </c>
      <c r="F1322">
        <v>0</v>
      </c>
      <c r="G1322">
        <v>17.86</v>
      </c>
      <c r="H1322">
        <v>1.1400000000000001</v>
      </c>
      <c r="I1322" s="3" t="s">
        <v>8699</v>
      </c>
    </row>
    <row r="1323" spans="1:9" x14ac:dyDescent="0.35">
      <c r="A1323" s="3" t="s">
        <v>10262</v>
      </c>
      <c r="B1323" s="3" t="s">
        <v>3335</v>
      </c>
      <c r="C1323" s="3" t="s">
        <v>3336</v>
      </c>
      <c r="D1323">
        <v>2998</v>
      </c>
      <c r="E1323" s="6">
        <v>42977</v>
      </c>
      <c r="F1323">
        <v>0</v>
      </c>
      <c r="G1323">
        <v>9.8000000000000007</v>
      </c>
      <c r="H1323">
        <v>0.2</v>
      </c>
      <c r="I1323" s="3" t="s">
        <v>8699</v>
      </c>
    </row>
    <row r="1324" spans="1:9" x14ac:dyDescent="0.35">
      <c r="A1324" s="3" t="s">
        <v>11266</v>
      </c>
      <c r="B1324" s="3" t="s">
        <v>5467</v>
      </c>
      <c r="C1324" s="3" t="s">
        <v>5468</v>
      </c>
      <c r="D1324">
        <v>3003</v>
      </c>
      <c r="E1324" s="6">
        <v>42972</v>
      </c>
      <c r="F1324">
        <v>0</v>
      </c>
      <c r="G1324">
        <v>0</v>
      </c>
      <c r="H1324">
        <v>0</v>
      </c>
      <c r="I1324" s="3" t="s">
        <v>8699</v>
      </c>
    </row>
    <row r="1325" spans="1:9" x14ac:dyDescent="0.35">
      <c r="A1325" s="3" t="s">
        <v>10035</v>
      </c>
      <c r="B1325" s="3" t="s">
        <v>2855</v>
      </c>
      <c r="C1325" s="3" t="s">
        <v>2856</v>
      </c>
      <c r="D1325">
        <v>955</v>
      </c>
      <c r="E1325" s="6">
        <v>45020</v>
      </c>
      <c r="F1325">
        <v>0</v>
      </c>
      <c r="G1325">
        <v>0</v>
      </c>
      <c r="H1325">
        <v>0</v>
      </c>
      <c r="I1325" s="3" t="s">
        <v>28</v>
      </c>
    </row>
    <row r="1326" spans="1:9" x14ac:dyDescent="0.35">
      <c r="A1326" s="3" t="s">
        <v>10036</v>
      </c>
      <c r="B1326" s="3" t="s">
        <v>2857</v>
      </c>
      <c r="C1326" s="3" t="s">
        <v>2858</v>
      </c>
      <c r="D1326">
        <v>2467</v>
      </c>
      <c r="E1326" s="6">
        <v>43508</v>
      </c>
      <c r="F1326">
        <v>0</v>
      </c>
      <c r="G1326">
        <v>0</v>
      </c>
      <c r="H1326">
        <v>0</v>
      </c>
      <c r="I1326" s="3" t="s">
        <v>28</v>
      </c>
    </row>
    <row r="1327" spans="1:9" x14ac:dyDescent="0.35">
      <c r="A1327" s="3" t="s">
        <v>10037</v>
      </c>
      <c r="B1327" s="3" t="s">
        <v>2859</v>
      </c>
      <c r="C1327" s="3" t="s">
        <v>2860</v>
      </c>
      <c r="D1327">
        <v>59</v>
      </c>
      <c r="E1327" s="6">
        <v>45916</v>
      </c>
      <c r="F1327">
        <v>0</v>
      </c>
      <c r="G1327">
        <v>6.48</v>
      </c>
      <c r="H1327">
        <v>2.52</v>
      </c>
      <c r="I1327" s="3" t="s">
        <v>8756</v>
      </c>
    </row>
    <row r="1328" spans="1:9" x14ac:dyDescent="0.35">
      <c r="A1328" s="3" t="s">
        <v>10038</v>
      </c>
      <c r="B1328" s="3" t="s">
        <v>2861</v>
      </c>
      <c r="C1328" s="3" t="s">
        <v>2862</v>
      </c>
      <c r="D1328">
        <v>60</v>
      </c>
      <c r="E1328" s="6">
        <v>45915</v>
      </c>
      <c r="F1328">
        <v>0</v>
      </c>
      <c r="G1328">
        <v>42.32</v>
      </c>
      <c r="H1328">
        <v>3.68</v>
      </c>
      <c r="I1328" s="3" t="s">
        <v>8701</v>
      </c>
    </row>
    <row r="1329" spans="1:9" x14ac:dyDescent="0.35">
      <c r="A1329" s="3" t="s">
        <v>10039</v>
      </c>
      <c r="B1329" s="3" t="s">
        <v>2863</v>
      </c>
      <c r="C1329" s="3" t="s">
        <v>2864</v>
      </c>
      <c r="D1329">
        <v>955</v>
      </c>
      <c r="E1329" s="6">
        <v>45020</v>
      </c>
      <c r="F1329">
        <v>0</v>
      </c>
      <c r="G1329">
        <v>0</v>
      </c>
      <c r="H1329">
        <v>0</v>
      </c>
      <c r="I1329" s="3" t="s">
        <v>28</v>
      </c>
    </row>
    <row r="1330" spans="1:9" x14ac:dyDescent="0.35">
      <c r="A1330" s="3" t="s">
        <v>9022</v>
      </c>
      <c r="B1330" s="3" t="s">
        <v>715</v>
      </c>
      <c r="C1330" s="3" t="s">
        <v>716</v>
      </c>
      <c r="D1330">
        <v>3005</v>
      </c>
      <c r="E1330" s="6">
        <v>42970</v>
      </c>
      <c r="F1330">
        <v>0</v>
      </c>
      <c r="G1330">
        <v>4.8719999999999999</v>
      </c>
      <c r="H1330">
        <v>0.72799999999999998</v>
      </c>
      <c r="I1330" s="3" t="s">
        <v>8699</v>
      </c>
    </row>
    <row r="1331" spans="1:9" x14ac:dyDescent="0.35">
      <c r="A1331" s="3" t="s">
        <v>10041</v>
      </c>
      <c r="B1331" s="3" t="s">
        <v>2867</v>
      </c>
      <c r="C1331" s="3" t="s">
        <v>2868</v>
      </c>
      <c r="D1331">
        <v>955</v>
      </c>
      <c r="E1331" s="6">
        <v>45020</v>
      </c>
      <c r="F1331">
        <v>0</v>
      </c>
      <c r="G1331">
        <v>0</v>
      </c>
      <c r="H1331">
        <v>0</v>
      </c>
      <c r="I1331" s="3" t="s">
        <v>28</v>
      </c>
    </row>
    <row r="1332" spans="1:9" x14ac:dyDescent="0.35">
      <c r="A1332" s="3" t="s">
        <v>10042</v>
      </c>
      <c r="B1332" s="3" t="s">
        <v>2869</v>
      </c>
      <c r="C1332" s="3" t="s">
        <v>2870</v>
      </c>
      <c r="D1332">
        <v>58</v>
      </c>
      <c r="E1332" s="6">
        <v>45917</v>
      </c>
      <c r="F1332">
        <v>0</v>
      </c>
      <c r="G1332">
        <v>10.68</v>
      </c>
      <c r="H1332">
        <v>1.32</v>
      </c>
      <c r="I1332" s="3" t="s">
        <v>8756</v>
      </c>
    </row>
    <row r="1333" spans="1:9" x14ac:dyDescent="0.35">
      <c r="A1333" s="3" t="s">
        <v>10043</v>
      </c>
      <c r="B1333" s="3" t="s">
        <v>2871</v>
      </c>
      <c r="C1333" s="3" t="s">
        <v>2872</v>
      </c>
      <c r="D1333">
        <v>9052</v>
      </c>
      <c r="E1333" s="6">
        <v>36923</v>
      </c>
      <c r="F1333">
        <v>0</v>
      </c>
      <c r="G1333">
        <v>0.42</v>
      </c>
      <c r="H1333">
        <v>7.98</v>
      </c>
      <c r="I1333" s="3" t="s">
        <v>8701</v>
      </c>
    </row>
    <row r="1334" spans="1:9" x14ac:dyDescent="0.35">
      <c r="A1334" s="3" t="s">
        <v>9663</v>
      </c>
      <c r="B1334" s="3" t="s">
        <v>2066</v>
      </c>
      <c r="C1334" s="3" t="s">
        <v>2067</v>
      </c>
      <c r="D1334">
        <v>3011</v>
      </c>
      <c r="E1334" s="6">
        <v>42964</v>
      </c>
      <c r="F1334">
        <v>0</v>
      </c>
      <c r="G1334">
        <v>1.0430000000000001</v>
      </c>
      <c r="H1334">
        <v>0.34700000000000003</v>
      </c>
      <c r="I1334" s="3" t="s">
        <v>8699</v>
      </c>
    </row>
    <row r="1335" spans="1:9" x14ac:dyDescent="0.35">
      <c r="A1335" s="3" t="s">
        <v>10045</v>
      </c>
      <c r="B1335" s="3" t="s">
        <v>2875</v>
      </c>
      <c r="C1335" s="3" t="s">
        <v>2876</v>
      </c>
      <c r="D1335">
        <v>23</v>
      </c>
      <c r="E1335" s="6">
        <v>45952</v>
      </c>
      <c r="F1335">
        <v>0</v>
      </c>
      <c r="G1335">
        <v>2.85</v>
      </c>
      <c r="H1335">
        <v>0.15</v>
      </c>
      <c r="I1335" s="3" t="s">
        <v>8756</v>
      </c>
    </row>
    <row r="1336" spans="1:9" x14ac:dyDescent="0.35">
      <c r="A1336" s="3" t="s">
        <v>10046</v>
      </c>
      <c r="B1336" s="3" t="s">
        <v>2877</v>
      </c>
      <c r="C1336" s="3" t="s">
        <v>2878</v>
      </c>
      <c r="D1336">
        <v>50</v>
      </c>
      <c r="E1336" s="6">
        <v>45925</v>
      </c>
      <c r="F1336">
        <v>0</v>
      </c>
      <c r="G1336">
        <v>1.4520000000000002</v>
      </c>
      <c r="H1336">
        <v>1.1880000000000002</v>
      </c>
      <c r="I1336" s="3" t="s">
        <v>8756</v>
      </c>
    </row>
    <row r="1337" spans="1:9" x14ac:dyDescent="0.35">
      <c r="A1337" s="3" t="s">
        <v>10047</v>
      </c>
      <c r="B1337" s="3" t="s">
        <v>2879</v>
      </c>
      <c r="C1337" s="3" t="s">
        <v>2880</v>
      </c>
      <c r="D1337">
        <v>7359</v>
      </c>
      <c r="E1337" s="6">
        <v>38616</v>
      </c>
      <c r="F1337">
        <v>0</v>
      </c>
      <c r="G1337">
        <v>0.21</v>
      </c>
      <c r="H1337">
        <v>1.03</v>
      </c>
      <c r="I1337" s="3" t="s">
        <v>8701</v>
      </c>
    </row>
    <row r="1338" spans="1:9" x14ac:dyDescent="0.35">
      <c r="A1338" s="3" t="s">
        <v>10048</v>
      </c>
      <c r="B1338" s="3" t="s">
        <v>2881</v>
      </c>
      <c r="C1338" s="3" t="s">
        <v>2882</v>
      </c>
      <c r="D1338">
        <v>14</v>
      </c>
      <c r="E1338" s="6">
        <v>45961</v>
      </c>
      <c r="F1338">
        <v>0</v>
      </c>
      <c r="G1338">
        <v>0.29400000000000004</v>
      </c>
      <c r="H1338">
        <v>5.6000000000000001E-2</v>
      </c>
      <c r="I1338" s="3" t="s">
        <v>8701</v>
      </c>
    </row>
    <row r="1339" spans="1:9" x14ac:dyDescent="0.35">
      <c r="A1339" s="3" t="s">
        <v>10049</v>
      </c>
      <c r="B1339" s="3" t="s">
        <v>2883</v>
      </c>
      <c r="C1339" s="3" t="s">
        <v>2884</v>
      </c>
      <c r="D1339">
        <v>427</v>
      </c>
      <c r="E1339" s="6">
        <v>45548</v>
      </c>
      <c r="F1339">
        <v>0</v>
      </c>
      <c r="G1339">
        <v>3.0000000000000001E-3</v>
      </c>
      <c r="H1339">
        <v>6.7000000000000004E-2</v>
      </c>
      <c r="I1339" s="3" t="s">
        <v>8712</v>
      </c>
    </row>
    <row r="1340" spans="1:9" x14ac:dyDescent="0.35">
      <c r="A1340" s="3" t="s">
        <v>10050</v>
      </c>
      <c r="B1340" s="3" t="s">
        <v>2885</v>
      </c>
      <c r="C1340" s="3" t="s">
        <v>2886</v>
      </c>
      <c r="D1340">
        <v>955</v>
      </c>
      <c r="E1340" s="6">
        <v>45020</v>
      </c>
      <c r="F1340">
        <v>0</v>
      </c>
      <c r="G1340">
        <v>0</v>
      </c>
      <c r="H1340">
        <v>0</v>
      </c>
      <c r="I1340" s="3" t="s">
        <v>28</v>
      </c>
    </row>
    <row r="1341" spans="1:9" x14ac:dyDescent="0.35">
      <c r="A1341" s="3" t="s">
        <v>10051</v>
      </c>
      <c r="B1341" s="3" t="s">
        <v>2887</v>
      </c>
      <c r="C1341" s="3" t="s">
        <v>2888</v>
      </c>
      <c r="D1341">
        <v>726</v>
      </c>
      <c r="E1341" s="6">
        <v>45249</v>
      </c>
      <c r="F1341">
        <v>0</v>
      </c>
      <c r="G1341">
        <v>0</v>
      </c>
      <c r="H1341">
        <v>0</v>
      </c>
      <c r="I1341" s="3" t="s">
        <v>28</v>
      </c>
    </row>
    <row r="1342" spans="1:9" x14ac:dyDescent="0.35">
      <c r="A1342" s="3" t="s">
        <v>10010</v>
      </c>
      <c r="B1342" s="3" t="s">
        <v>2799</v>
      </c>
      <c r="C1342" s="3" t="s">
        <v>2800</v>
      </c>
      <c r="D1342">
        <v>3012</v>
      </c>
      <c r="E1342" s="6">
        <v>42963</v>
      </c>
      <c r="F1342">
        <v>0</v>
      </c>
      <c r="G1342">
        <v>108.35000000000001</v>
      </c>
      <c r="I1342" s="3" t="s">
        <v>8699</v>
      </c>
    </row>
    <row r="1343" spans="1:9" x14ac:dyDescent="0.35">
      <c r="A1343" s="3" t="s">
        <v>10999</v>
      </c>
      <c r="B1343" s="3" t="s">
        <v>4901</v>
      </c>
      <c r="C1343" s="3" t="s">
        <v>4902</v>
      </c>
      <c r="D1343">
        <v>3020</v>
      </c>
      <c r="E1343" s="6">
        <v>42955</v>
      </c>
      <c r="F1343">
        <v>800</v>
      </c>
      <c r="G1343">
        <v>2.5529999999999999</v>
      </c>
      <c r="H1343">
        <v>0.89700000000000002</v>
      </c>
      <c r="I1343" s="3" t="s">
        <v>8699</v>
      </c>
    </row>
    <row r="1344" spans="1:9" x14ac:dyDescent="0.35">
      <c r="A1344" s="3" t="s">
        <v>10054</v>
      </c>
      <c r="B1344" s="3" t="s">
        <v>2893</v>
      </c>
      <c r="C1344" s="3" t="s">
        <v>2894</v>
      </c>
      <c r="D1344">
        <v>75</v>
      </c>
      <c r="E1344" s="6">
        <v>45900</v>
      </c>
      <c r="F1344">
        <v>0</v>
      </c>
      <c r="G1344">
        <v>4.0000000000000001E-3</v>
      </c>
      <c r="H1344">
        <v>9.6000000000000002E-2</v>
      </c>
      <c r="I1344" s="3" t="s">
        <v>8712</v>
      </c>
    </row>
    <row r="1345" spans="1:9" x14ac:dyDescent="0.35">
      <c r="A1345" s="3" t="s">
        <v>9544</v>
      </c>
      <c r="B1345" s="3" t="s">
        <v>1809</v>
      </c>
      <c r="C1345" s="3" t="s">
        <v>1810</v>
      </c>
      <c r="D1345">
        <v>3025</v>
      </c>
      <c r="E1345" s="6">
        <v>42950</v>
      </c>
      <c r="F1345">
        <v>0</v>
      </c>
      <c r="G1345">
        <v>0.04</v>
      </c>
      <c r="H1345">
        <v>1.96</v>
      </c>
      <c r="I1345" s="3" t="s">
        <v>8699</v>
      </c>
    </row>
    <row r="1346" spans="1:9" x14ac:dyDescent="0.35">
      <c r="A1346" s="3" t="s">
        <v>9154</v>
      </c>
      <c r="B1346" s="3" t="s">
        <v>991</v>
      </c>
      <c r="C1346" s="3" t="s">
        <v>992</v>
      </c>
      <c r="D1346">
        <v>3026</v>
      </c>
      <c r="E1346" s="6">
        <v>42949</v>
      </c>
      <c r="F1346">
        <v>0</v>
      </c>
      <c r="G1346">
        <v>48.51</v>
      </c>
      <c r="H1346">
        <v>0.49</v>
      </c>
      <c r="I1346" s="3" t="s">
        <v>8699</v>
      </c>
    </row>
    <row r="1347" spans="1:9" x14ac:dyDescent="0.35">
      <c r="A1347" s="3" t="s">
        <v>10057</v>
      </c>
      <c r="B1347" s="3" t="s">
        <v>2900</v>
      </c>
      <c r="C1347" s="3" t="s">
        <v>2901</v>
      </c>
      <c r="D1347">
        <v>955</v>
      </c>
      <c r="E1347" s="6">
        <v>45020</v>
      </c>
      <c r="F1347">
        <v>0</v>
      </c>
      <c r="G1347">
        <v>0</v>
      </c>
      <c r="H1347">
        <v>0</v>
      </c>
      <c r="I1347" s="3" t="s">
        <v>28</v>
      </c>
    </row>
    <row r="1348" spans="1:9" x14ac:dyDescent="0.35">
      <c r="A1348" s="3" t="s">
        <v>10058</v>
      </c>
      <c r="B1348" s="3" t="s">
        <v>2902</v>
      </c>
      <c r="C1348" s="3" t="s">
        <v>2903</v>
      </c>
      <c r="D1348">
        <v>29</v>
      </c>
      <c r="E1348" s="6">
        <v>45946</v>
      </c>
      <c r="F1348">
        <v>0</v>
      </c>
      <c r="G1348">
        <v>8.0000000000000002E-3</v>
      </c>
      <c r="H1348">
        <v>0.192</v>
      </c>
      <c r="I1348" s="3" t="s">
        <v>8712</v>
      </c>
    </row>
    <row r="1349" spans="1:9" x14ac:dyDescent="0.35">
      <c r="A1349" s="3" t="s">
        <v>10059</v>
      </c>
      <c r="B1349" s="3" t="s">
        <v>2907</v>
      </c>
      <c r="C1349" s="3" t="s">
        <v>2908</v>
      </c>
      <c r="D1349">
        <v>955</v>
      </c>
      <c r="E1349" s="6">
        <v>45020</v>
      </c>
      <c r="F1349">
        <v>0</v>
      </c>
      <c r="G1349">
        <v>0</v>
      </c>
      <c r="H1349">
        <v>0</v>
      </c>
      <c r="I1349" s="3" t="s">
        <v>28</v>
      </c>
    </row>
    <row r="1350" spans="1:9" x14ac:dyDescent="0.35">
      <c r="A1350" s="3" t="s">
        <v>10060</v>
      </c>
      <c r="B1350" s="3" t="s">
        <v>2909</v>
      </c>
      <c r="C1350" s="3" t="s">
        <v>2910</v>
      </c>
      <c r="D1350">
        <v>49</v>
      </c>
      <c r="E1350" s="6">
        <v>45926</v>
      </c>
      <c r="F1350">
        <v>150</v>
      </c>
      <c r="G1350">
        <v>12.9</v>
      </c>
      <c r="H1350">
        <v>2.1</v>
      </c>
      <c r="I1350" s="3" t="s">
        <v>8701</v>
      </c>
    </row>
    <row r="1351" spans="1:9" x14ac:dyDescent="0.35">
      <c r="A1351" s="3" t="s">
        <v>10061</v>
      </c>
      <c r="B1351" s="3" t="s">
        <v>2911</v>
      </c>
      <c r="C1351" s="3" t="s">
        <v>2912</v>
      </c>
      <c r="D1351">
        <v>8840</v>
      </c>
      <c r="E1351" s="6">
        <v>37135</v>
      </c>
      <c r="F1351">
        <v>0</v>
      </c>
      <c r="G1351">
        <v>0.51</v>
      </c>
      <c r="H1351">
        <v>0.99</v>
      </c>
      <c r="I1351" s="3" t="s">
        <v>8701</v>
      </c>
    </row>
    <row r="1352" spans="1:9" x14ac:dyDescent="0.35">
      <c r="A1352" s="3" t="s">
        <v>9133</v>
      </c>
      <c r="B1352" s="3" t="s">
        <v>948</v>
      </c>
      <c r="C1352" s="3" t="s">
        <v>949</v>
      </c>
      <c r="D1352">
        <v>3033</v>
      </c>
      <c r="E1352" s="6">
        <v>42942</v>
      </c>
      <c r="F1352">
        <v>0</v>
      </c>
      <c r="G1352">
        <v>0</v>
      </c>
      <c r="H1352">
        <v>0</v>
      </c>
      <c r="I1352" s="3" t="s">
        <v>8699</v>
      </c>
    </row>
    <row r="1353" spans="1:9" x14ac:dyDescent="0.35">
      <c r="A1353" s="3" t="s">
        <v>10063</v>
      </c>
      <c r="B1353" s="3" t="s">
        <v>2915</v>
      </c>
      <c r="C1353" s="3" t="s">
        <v>2916</v>
      </c>
      <c r="D1353">
        <v>955</v>
      </c>
      <c r="E1353" s="6">
        <v>45020</v>
      </c>
      <c r="F1353">
        <v>0</v>
      </c>
      <c r="G1353">
        <v>0</v>
      </c>
      <c r="H1353">
        <v>0</v>
      </c>
      <c r="I1353" s="3" t="s">
        <v>28</v>
      </c>
    </row>
    <row r="1354" spans="1:9" x14ac:dyDescent="0.35">
      <c r="A1354" s="3" t="s">
        <v>10064</v>
      </c>
      <c r="B1354" s="3" t="s">
        <v>2917</v>
      </c>
      <c r="C1354" s="3" t="s">
        <v>2918</v>
      </c>
      <c r="D1354">
        <v>5646</v>
      </c>
      <c r="E1354" s="6">
        <v>40329</v>
      </c>
      <c r="F1354">
        <v>0</v>
      </c>
      <c r="G1354">
        <v>4.0000000000000001E-3</v>
      </c>
      <c r="H1354">
        <v>9.6000000000000002E-2</v>
      </c>
      <c r="I1354" s="3" t="s">
        <v>8712</v>
      </c>
    </row>
    <row r="1355" spans="1:9" x14ac:dyDescent="0.35">
      <c r="A1355" s="3" t="s">
        <v>10300</v>
      </c>
      <c r="B1355" s="3" t="s">
        <v>3422</v>
      </c>
      <c r="C1355" s="3" t="s">
        <v>3423</v>
      </c>
      <c r="D1355">
        <v>3033</v>
      </c>
      <c r="E1355" s="6">
        <v>42942</v>
      </c>
      <c r="F1355">
        <v>0</v>
      </c>
      <c r="G1355">
        <v>0</v>
      </c>
      <c r="H1355">
        <v>0</v>
      </c>
      <c r="I1355" s="3" t="s">
        <v>8699</v>
      </c>
    </row>
    <row r="1356" spans="1:9" x14ac:dyDescent="0.35">
      <c r="A1356" s="3" t="s">
        <v>10652</v>
      </c>
      <c r="B1356" s="3" t="s">
        <v>4165</v>
      </c>
      <c r="C1356" s="3" t="s">
        <v>4166</v>
      </c>
      <c r="D1356">
        <v>3035</v>
      </c>
      <c r="E1356" s="6">
        <v>42940</v>
      </c>
      <c r="F1356">
        <v>0</v>
      </c>
      <c r="G1356">
        <v>106.92</v>
      </c>
      <c r="H1356">
        <v>1.08</v>
      </c>
      <c r="I1356" s="3" t="s">
        <v>8699</v>
      </c>
    </row>
    <row r="1357" spans="1:9" x14ac:dyDescent="0.35">
      <c r="A1357" s="3" t="s">
        <v>10067</v>
      </c>
      <c r="B1357" s="3" t="s">
        <v>2923</v>
      </c>
      <c r="C1357" s="3" t="s">
        <v>2924</v>
      </c>
      <c r="D1357">
        <v>101</v>
      </c>
      <c r="E1357" s="6">
        <v>45874</v>
      </c>
      <c r="F1357">
        <v>0</v>
      </c>
      <c r="G1357">
        <v>8</v>
      </c>
      <c r="H1357">
        <v>2</v>
      </c>
      <c r="I1357" s="3" t="s">
        <v>8756</v>
      </c>
    </row>
    <row r="1358" spans="1:9" x14ac:dyDescent="0.35">
      <c r="A1358" s="3" t="s">
        <v>11049</v>
      </c>
      <c r="B1358" s="3" t="s">
        <v>5010</v>
      </c>
      <c r="C1358" s="3" t="s">
        <v>5011</v>
      </c>
      <c r="D1358">
        <v>3040</v>
      </c>
      <c r="E1358" s="6">
        <v>42935</v>
      </c>
      <c r="F1358">
        <v>0</v>
      </c>
      <c r="G1358">
        <v>12.304</v>
      </c>
      <c r="H1358">
        <v>0.92600000000000005</v>
      </c>
      <c r="I1358" s="3" t="s">
        <v>8699</v>
      </c>
    </row>
    <row r="1359" spans="1:9" x14ac:dyDescent="0.35">
      <c r="A1359" s="3" t="s">
        <v>10069</v>
      </c>
      <c r="B1359" s="3" t="s">
        <v>2928</v>
      </c>
      <c r="C1359" s="3" t="s">
        <v>2929</v>
      </c>
      <c r="D1359">
        <v>955</v>
      </c>
      <c r="E1359" s="6">
        <v>45020</v>
      </c>
      <c r="F1359">
        <v>0</v>
      </c>
      <c r="G1359">
        <v>0</v>
      </c>
      <c r="H1359">
        <v>0</v>
      </c>
      <c r="I1359" s="3" t="s">
        <v>28</v>
      </c>
    </row>
    <row r="1360" spans="1:9" x14ac:dyDescent="0.35">
      <c r="A1360" s="3" t="s">
        <v>9445</v>
      </c>
      <c r="B1360" s="3" t="s">
        <v>1600</v>
      </c>
      <c r="C1360" s="3" t="s">
        <v>1601</v>
      </c>
      <c r="D1360">
        <v>3055</v>
      </c>
      <c r="E1360" s="6">
        <v>42920</v>
      </c>
      <c r="F1360">
        <v>0</v>
      </c>
      <c r="G1360">
        <v>0</v>
      </c>
      <c r="H1360">
        <v>0</v>
      </c>
      <c r="I1360" s="3" t="s">
        <v>8699</v>
      </c>
    </row>
    <row r="1361" spans="1:9" x14ac:dyDescent="0.35">
      <c r="A1361" s="3" t="s">
        <v>10071</v>
      </c>
      <c r="B1361" s="3" t="s">
        <v>2935</v>
      </c>
      <c r="C1361" s="3" t="s">
        <v>2936</v>
      </c>
      <c r="D1361">
        <v>78</v>
      </c>
      <c r="E1361" s="6">
        <v>45897</v>
      </c>
      <c r="F1361">
        <v>0</v>
      </c>
      <c r="G1361">
        <v>5.0000000000000001E-3</v>
      </c>
      <c r="H1361">
        <v>9.5000000000000001E-2</v>
      </c>
      <c r="I1361" s="3" t="s">
        <v>8712</v>
      </c>
    </row>
    <row r="1362" spans="1:9" x14ac:dyDescent="0.35">
      <c r="A1362" s="3" t="s">
        <v>10144</v>
      </c>
      <c r="B1362" s="3" t="s">
        <v>3092</v>
      </c>
      <c r="C1362" s="3" t="s">
        <v>3093</v>
      </c>
      <c r="D1362">
        <v>3055</v>
      </c>
      <c r="E1362" s="6">
        <v>42920</v>
      </c>
      <c r="F1362">
        <v>0</v>
      </c>
      <c r="G1362">
        <v>0</v>
      </c>
      <c r="H1362">
        <v>0</v>
      </c>
      <c r="I1362" s="3" t="s">
        <v>8699</v>
      </c>
    </row>
    <row r="1363" spans="1:9" x14ac:dyDescent="0.35">
      <c r="A1363" s="3" t="s">
        <v>10073</v>
      </c>
      <c r="B1363" s="3" t="s">
        <v>2939</v>
      </c>
      <c r="C1363" s="3" t="s">
        <v>2940</v>
      </c>
      <c r="D1363">
        <v>59</v>
      </c>
      <c r="E1363" s="6">
        <v>45916</v>
      </c>
      <c r="F1363">
        <v>0</v>
      </c>
      <c r="G1363">
        <v>10.71</v>
      </c>
      <c r="H1363">
        <v>1.19</v>
      </c>
      <c r="I1363" s="3" t="s">
        <v>8701</v>
      </c>
    </row>
    <row r="1364" spans="1:9" x14ac:dyDescent="0.35">
      <c r="A1364" s="3" t="s">
        <v>10074</v>
      </c>
      <c r="B1364" s="3" t="s">
        <v>2941</v>
      </c>
      <c r="C1364" s="3" t="s">
        <v>2942</v>
      </c>
      <c r="D1364">
        <v>23</v>
      </c>
      <c r="E1364" s="6">
        <v>45952</v>
      </c>
      <c r="F1364">
        <v>0</v>
      </c>
      <c r="G1364">
        <v>2E-3</v>
      </c>
      <c r="H1364">
        <v>0.1</v>
      </c>
      <c r="I1364" s="3" t="s">
        <v>8712</v>
      </c>
    </row>
    <row r="1365" spans="1:9" x14ac:dyDescent="0.35">
      <c r="A1365" s="3" t="s">
        <v>8760</v>
      </c>
      <c r="B1365" s="3" t="s">
        <v>154</v>
      </c>
      <c r="C1365" s="3" t="s">
        <v>155</v>
      </c>
      <c r="D1365">
        <v>3058</v>
      </c>
      <c r="E1365" s="6">
        <v>42917</v>
      </c>
      <c r="F1365">
        <v>0</v>
      </c>
      <c r="G1365">
        <v>0</v>
      </c>
      <c r="H1365">
        <v>0</v>
      </c>
      <c r="I1365" s="3" t="s">
        <v>8699</v>
      </c>
    </row>
    <row r="1366" spans="1:9" x14ac:dyDescent="0.35">
      <c r="A1366" s="3" t="s">
        <v>9572</v>
      </c>
      <c r="B1366" s="3" t="s">
        <v>1872</v>
      </c>
      <c r="C1366" s="3" t="s">
        <v>1873</v>
      </c>
      <c r="D1366">
        <v>3080</v>
      </c>
      <c r="E1366" s="6">
        <v>42895</v>
      </c>
      <c r="F1366">
        <v>150</v>
      </c>
      <c r="G1366">
        <v>0.06</v>
      </c>
      <c r="H1366">
        <v>0.54</v>
      </c>
      <c r="I1366" s="3" t="s">
        <v>8699</v>
      </c>
    </row>
    <row r="1367" spans="1:9" x14ac:dyDescent="0.35">
      <c r="A1367" s="3" t="s">
        <v>10306</v>
      </c>
      <c r="B1367" s="3" t="s">
        <v>3434</v>
      </c>
      <c r="C1367" s="3" t="s">
        <v>3435</v>
      </c>
      <c r="D1367">
        <v>3084</v>
      </c>
      <c r="E1367" s="6">
        <v>42891</v>
      </c>
      <c r="F1367">
        <v>0</v>
      </c>
      <c r="G1367">
        <v>8.01</v>
      </c>
      <c r="H1367">
        <v>0.28999999999999998</v>
      </c>
      <c r="I1367" s="3" t="s">
        <v>8699</v>
      </c>
    </row>
    <row r="1368" spans="1:9" x14ac:dyDescent="0.35">
      <c r="A1368" s="3" t="s">
        <v>8877</v>
      </c>
      <c r="B1368" s="3" t="s">
        <v>410</v>
      </c>
      <c r="C1368" s="3" t="s">
        <v>411</v>
      </c>
      <c r="D1368">
        <v>3122</v>
      </c>
      <c r="E1368" s="6">
        <v>42853</v>
      </c>
      <c r="F1368">
        <v>0</v>
      </c>
      <c r="G1368">
        <v>1.125</v>
      </c>
      <c r="H1368">
        <v>1.125</v>
      </c>
      <c r="I1368" s="3" t="s">
        <v>8699</v>
      </c>
    </row>
    <row r="1369" spans="1:9" x14ac:dyDescent="0.35">
      <c r="A1369" s="3" t="s">
        <v>11308</v>
      </c>
      <c r="B1369" s="3" t="s">
        <v>5553</v>
      </c>
      <c r="C1369" s="3" t="s">
        <v>5554</v>
      </c>
      <c r="D1369">
        <v>3125</v>
      </c>
      <c r="E1369" s="6">
        <v>42850</v>
      </c>
      <c r="F1369">
        <v>0</v>
      </c>
      <c r="G1369">
        <v>10.4</v>
      </c>
      <c r="H1369">
        <v>2.6</v>
      </c>
      <c r="I1369" s="3" t="s">
        <v>8699</v>
      </c>
    </row>
    <row r="1370" spans="1:9" x14ac:dyDescent="0.35">
      <c r="A1370" s="3" t="s">
        <v>10080</v>
      </c>
      <c r="B1370" s="3" t="s">
        <v>2955</v>
      </c>
      <c r="C1370" s="3" t="s">
        <v>2956</v>
      </c>
      <c r="D1370">
        <v>31</v>
      </c>
      <c r="E1370" s="6">
        <v>45944</v>
      </c>
      <c r="F1370">
        <v>0</v>
      </c>
      <c r="G1370">
        <v>11.16</v>
      </c>
      <c r="H1370">
        <v>0.84</v>
      </c>
      <c r="I1370" s="3" t="s">
        <v>8738</v>
      </c>
    </row>
    <row r="1371" spans="1:9" x14ac:dyDescent="0.35">
      <c r="A1371" s="3" t="s">
        <v>10081</v>
      </c>
      <c r="B1371" s="3" t="s">
        <v>2957</v>
      </c>
      <c r="C1371" s="3" t="s">
        <v>2958</v>
      </c>
      <c r="D1371">
        <v>23</v>
      </c>
      <c r="E1371" s="6">
        <v>45952</v>
      </c>
      <c r="F1371">
        <v>0</v>
      </c>
      <c r="G1371">
        <v>4.62</v>
      </c>
      <c r="H1371">
        <v>1.3800000000000001</v>
      </c>
      <c r="I1371" s="3" t="s">
        <v>8756</v>
      </c>
    </row>
    <row r="1372" spans="1:9" x14ac:dyDescent="0.35">
      <c r="A1372" s="3" t="s">
        <v>10082</v>
      </c>
      <c r="B1372" s="3" t="s">
        <v>2959</v>
      </c>
      <c r="C1372" s="3" t="s">
        <v>2960</v>
      </c>
      <c r="D1372">
        <v>30</v>
      </c>
      <c r="E1372" s="6">
        <v>45945</v>
      </c>
      <c r="F1372">
        <v>0</v>
      </c>
      <c r="G1372">
        <v>101.97</v>
      </c>
      <c r="H1372">
        <v>1.03</v>
      </c>
      <c r="I1372" s="3" t="s">
        <v>8738</v>
      </c>
    </row>
    <row r="1373" spans="1:9" x14ac:dyDescent="0.35">
      <c r="A1373" s="3" t="s">
        <v>10083</v>
      </c>
      <c r="B1373" s="3" t="s">
        <v>2963</v>
      </c>
      <c r="C1373" s="3" t="s">
        <v>2964</v>
      </c>
      <c r="D1373">
        <v>49</v>
      </c>
      <c r="E1373" s="6">
        <v>45926</v>
      </c>
      <c r="F1373">
        <v>10</v>
      </c>
      <c r="G1373">
        <v>6</v>
      </c>
      <c r="H1373">
        <v>6</v>
      </c>
      <c r="I1373" s="3" t="s">
        <v>8701</v>
      </c>
    </row>
    <row r="1374" spans="1:9" x14ac:dyDescent="0.35">
      <c r="A1374" s="3" t="s">
        <v>10084</v>
      </c>
      <c r="B1374" s="3" t="s">
        <v>2965</v>
      </c>
      <c r="C1374" s="3" t="s">
        <v>2966</v>
      </c>
      <c r="D1374">
        <v>49</v>
      </c>
      <c r="E1374" s="6">
        <v>45926</v>
      </c>
      <c r="F1374">
        <v>0</v>
      </c>
      <c r="G1374">
        <v>2.9750000000000001</v>
      </c>
      <c r="H1374">
        <v>0.52500000000000002</v>
      </c>
      <c r="I1374" s="3" t="s">
        <v>8756</v>
      </c>
    </row>
    <row r="1375" spans="1:9" x14ac:dyDescent="0.35">
      <c r="A1375" s="3" t="s">
        <v>10085</v>
      </c>
      <c r="B1375" s="3" t="s">
        <v>2967</v>
      </c>
      <c r="C1375" s="3" t="s">
        <v>2968</v>
      </c>
      <c r="D1375">
        <v>23</v>
      </c>
      <c r="E1375" s="6">
        <v>45952</v>
      </c>
      <c r="F1375">
        <v>0</v>
      </c>
      <c r="G1375">
        <v>13.5</v>
      </c>
      <c r="H1375">
        <v>1.5</v>
      </c>
      <c r="I1375" s="3" t="s">
        <v>8701</v>
      </c>
    </row>
    <row r="1376" spans="1:9" x14ac:dyDescent="0.35">
      <c r="A1376" s="3" t="s">
        <v>10086</v>
      </c>
      <c r="B1376" s="3" t="s">
        <v>2969</v>
      </c>
      <c r="C1376" s="3" t="s">
        <v>2970</v>
      </c>
      <c r="D1376">
        <v>47</v>
      </c>
      <c r="E1376" s="6">
        <v>45928</v>
      </c>
      <c r="F1376">
        <v>0</v>
      </c>
      <c r="G1376">
        <v>10.120000000000001</v>
      </c>
      <c r="H1376">
        <v>0.88</v>
      </c>
      <c r="I1376" s="3" t="s">
        <v>8756</v>
      </c>
    </row>
    <row r="1377" spans="1:9" x14ac:dyDescent="0.35">
      <c r="A1377" s="3" t="s">
        <v>10087</v>
      </c>
      <c r="B1377" s="3" t="s">
        <v>2971</v>
      </c>
      <c r="C1377" s="3" t="s">
        <v>2972</v>
      </c>
      <c r="D1377">
        <v>47</v>
      </c>
      <c r="E1377" s="6">
        <v>45928</v>
      </c>
      <c r="F1377">
        <v>0</v>
      </c>
      <c r="G1377">
        <v>12.22</v>
      </c>
      <c r="H1377">
        <v>0.78</v>
      </c>
      <c r="I1377" s="3" t="s">
        <v>8756</v>
      </c>
    </row>
    <row r="1378" spans="1:9" x14ac:dyDescent="0.35">
      <c r="A1378" s="3" t="s">
        <v>10088</v>
      </c>
      <c r="B1378" s="3" t="s">
        <v>2973</v>
      </c>
      <c r="C1378" s="3" t="s">
        <v>2974</v>
      </c>
      <c r="D1378">
        <v>100</v>
      </c>
      <c r="E1378" s="6">
        <v>45875</v>
      </c>
      <c r="F1378">
        <v>0</v>
      </c>
      <c r="G1378">
        <v>40.18</v>
      </c>
      <c r="H1378">
        <v>0.82000000000000006</v>
      </c>
      <c r="I1378" s="3" t="s">
        <v>8701</v>
      </c>
    </row>
    <row r="1379" spans="1:9" x14ac:dyDescent="0.35">
      <c r="A1379" s="3" t="s">
        <v>10089</v>
      </c>
      <c r="B1379" s="3" t="s">
        <v>2975</v>
      </c>
      <c r="C1379" s="3" t="s">
        <v>2976</v>
      </c>
      <c r="D1379">
        <v>119</v>
      </c>
      <c r="E1379" s="6">
        <v>45856</v>
      </c>
      <c r="F1379">
        <v>100</v>
      </c>
      <c r="G1379">
        <v>35.880000000000003</v>
      </c>
      <c r="H1379">
        <v>3.12</v>
      </c>
      <c r="I1379" s="3" t="s">
        <v>8729</v>
      </c>
    </row>
    <row r="1380" spans="1:9" x14ac:dyDescent="0.35">
      <c r="A1380" s="3" t="s">
        <v>8917</v>
      </c>
      <c r="B1380" s="3" t="s">
        <v>492</v>
      </c>
      <c r="C1380" s="3" t="s">
        <v>493</v>
      </c>
      <c r="D1380">
        <v>3145</v>
      </c>
      <c r="E1380" s="6">
        <v>42830</v>
      </c>
      <c r="F1380">
        <v>0</v>
      </c>
      <c r="G1380">
        <v>12.48</v>
      </c>
      <c r="H1380">
        <v>0.52</v>
      </c>
      <c r="I1380" s="3" t="s">
        <v>8699</v>
      </c>
    </row>
    <row r="1381" spans="1:9" x14ac:dyDescent="0.35">
      <c r="A1381" s="3" t="s">
        <v>10091</v>
      </c>
      <c r="B1381" s="3" t="s">
        <v>2980</v>
      </c>
      <c r="C1381" s="3" t="s">
        <v>2981</v>
      </c>
      <c r="D1381">
        <v>8870</v>
      </c>
      <c r="E1381" s="6">
        <v>37105</v>
      </c>
      <c r="F1381">
        <v>0</v>
      </c>
      <c r="G1381">
        <v>0.34500000000000003</v>
      </c>
      <c r="H1381">
        <v>0.80500000000000005</v>
      </c>
      <c r="I1381" s="3" t="s">
        <v>8701</v>
      </c>
    </row>
    <row r="1382" spans="1:9" x14ac:dyDescent="0.35">
      <c r="A1382" s="3" t="s">
        <v>10092</v>
      </c>
      <c r="B1382" s="3" t="s">
        <v>2982</v>
      </c>
      <c r="C1382" s="3" t="s">
        <v>2983</v>
      </c>
      <c r="D1382">
        <v>23</v>
      </c>
      <c r="E1382" s="6">
        <v>45952</v>
      </c>
      <c r="F1382">
        <v>0</v>
      </c>
      <c r="G1382">
        <v>2.75</v>
      </c>
      <c r="H1382">
        <v>2.25</v>
      </c>
      <c r="I1382" s="3" t="s">
        <v>8701</v>
      </c>
    </row>
    <row r="1383" spans="1:9" x14ac:dyDescent="0.35">
      <c r="A1383" s="3" t="s">
        <v>10093</v>
      </c>
      <c r="B1383" s="3" t="s">
        <v>2984</v>
      </c>
      <c r="C1383" s="3" t="s">
        <v>2985</v>
      </c>
      <c r="D1383">
        <v>5646</v>
      </c>
      <c r="E1383" s="6">
        <v>40329</v>
      </c>
      <c r="F1383">
        <v>0</v>
      </c>
      <c r="G1383">
        <v>1.5000000000000001E-2</v>
      </c>
      <c r="H1383">
        <v>0.38500000000000001</v>
      </c>
      <c r="I1383" s="3" t="s">
        <v>8712</v>
      </c>
    </row>
    <row r="1384" spans="1:9" x14ac:dyDescent="0.35">
      <c r="A1384" s="3" t="s">
        <v>10554</v>
      </c>
      <c r="B1384" s="3" t="s">
        <v>3961</v>
      </c>
      <c r="C1384" s="3" t="s">
        <v>3962</v>
      </c>
      <c r="D1384">
        <v>3145</v>
      </c>
      <c r="E1384" s="6">
        <v>42830</v>
      </c>
      <c r="F1384">
        <v>0</v>
      </c>
      <c r="G1384">
        <v>15.280000000000001</v>
      </c>
      <c r="H1384">
        <v>0.72</v>
      </c>
      <c r="I1384" s="3" t="s">
        <v>8699</v>
      </c>
    </row>
    <row r="1385" spans="1:9" x14ac:dyDescent="0.35">
      <c r="A1385" s="3" t="s">
        <v>9059</v>
      </c>
      <c r="B1385" s="3" t="s">
        <v>794</v>
      </c>
      <c r="C1385" s="3" t="s">
        <v>795</v>
      </c>
      <c r="D1385">
        <v>3159</v>
      </c>
      <c r="E1385" s="6">
        <v>42816</v>
      </c>
      <c r="F1385">
        <v>0</v>
      </c>
      <c r="G1385">
        <v>0.23800000000000002</v>
      </c>
      <c r="H1385">
        <v>2E-3</v>
      </c>
      <c r="I1385" s="3" t="s">
        <v>8699</v>
      </c>
    </row>
    <row r="1386" spans="1:9" x14ac:dyDescent="0.35">
      <c r="A1386" s="3" t="s">
        <v>11339</v>
      </c>
      <c r="B1386" s="3" t="s">
        <v>5615</v>
      </c>
      <c r="C1386" s="3" t="s">
        <v>5616</v>
      </c>
      <c r="D1386">
        <v>3159</v>
      </c>
      <c r="E1386" s="6">
        <v>42816</v>
      </c>
      <c r="F1386">
        <v>0</v>
      </c>
      <c r="G1386">
        <v>0.03</v>
      </c>
      <c r="H1386">
        <v>0</v>
      </c>
      <c r="I1386" s="3" t="s">
        <v>8699</v>
      </c>
    </row>
    <row r="1387" spans="1:9" x14ac:dyDescent="0.35">
      <c r="A1387" s="3" t="s">
        <v>10172</v>
      </c>
      <c r="B1387" s="3" t="s">
        <v>3151</v>
      </c>
      <c r="C1387" s="3" t="s">
        <v>3152</v>
      </c>
      <c r="D1387">
        <v>3166</v>
      </c>
      <c r="E1387" s="6">
        <v>42809</v>
      </c>
      <c r="F1387">
        <v>300</v>
      </c>
      <c r="G1387">
        <v>8.3000000000000004E-2</v>
      </c>
      <c r="H1387">
        <v>8.7000000000000008E-2</v>
      </c>
      <c r="I1387" s="3" t="s">
        <v>8699</v>
      </c>
    </row>
    <row r="1388" spans="1:9" x14ac:dyDescent="0.35">
      <c r="A1388" s="3" t="s">
        <v>11129</v>
      </c>
      <c r="B1388" s="3" t="s">
        <v>5175</v>
      </c>
      <c r="C1388" s="3" t="s">
        <v>5176</v>
      </c>
      <c r="D1388">
        <v>3172</v>
      </c>
      <c r="E1388" s="6">
        <v>42803</v>
      </c>
      <c r="F1388">
        <v>0</v>
      </c>
      <c r="G1388">
        <v>3.65</v>
      </c>
      <c r="H1388">
        <v>1.35</v>
      </c>
      <c r="I1388" s="3" t="s">
        <v>8699</v>
      </c>
    </row>
    <row r="1389" spans="1:9" x14ac:dyDescent="0.35">
      <c r="A1389" s="3" t="s">
        <v>10099</v>
      </c>
      <c r="B1389" s="3" t="s">
        <v>2998</v>
      </c>
      <c r="C1389" s="3" t="s">
        <v>2999</v>
      </c>
      <c r="D1389">
        <v>955</v>
      </c>
      <c r="E1389" s="6">
        <v>45020</v>
      </c>
      <c r="F1389">
        <v>0</v>
      </c>
      <c r="G1389">
        <v>0</v>
      </c>
      <c r="H1389">
        <v>0</v>
      </c>
      <c r="I1389" s="3" t="s">
        <v>28</v>
      </c>
    </row>
    <row r="1390" spans="1:9" x14ac:dyDescent="0.35">
      <c r="A1390" s="3" t="s">
        <v>10100</v>
      </c>
      <c r="B1390" s="3" t="s">
        <v>3000</v>
      </c>
      <c r="C1390" s="3" t="s">
        <v>3001</v>
      </c>
      <c r="D1390">
        <v>121</v>
      </c>
      <c r="E1390" s="6">
        <v>45854</v>
      </c>
      <c r="F1390">
        <v>0</v>
      </c>
      <c r="G1390">
        <v>0.72</v>
      </c>
      <c r="H1390">
        <v>0.88</v>
      </c>
      <c r="I1390" s="3" t="s">
        <v>8701</v>
      </c>
    </row>
    <row r="1391" spans="1:9" x14ac:dyDescent="0.35">
      <c r="A1391" s="3" t="s">
        <v>10101</v>
      </c>
      <c r="B1391" s="3" t="s">
        <v>3003</v>
      </c>
      <c r="C1391" s="3" t="s">
        <v>3004</v>
      </c>
      <c r="D1391">
        <v>955</v>
      </c>
      <c r="E1391" s="6">
        <v>45020</v>
      </c>
      <c r="F1391">
        <v>0</v>
      </c>
      <c r="G1391">
        <v>0</v>
      </c>
      <c r="H1391">
        <v>0</v>
      </c>
      <c r="I1391" s="3" t="s">
        <v>28</v>
      </c>
    </row>
    <row r="1392" spans="1:9" x14ac:dyDescent="0.35">
      <c r="A1392" s="3" t="s">
        <v>10102</v>
      </c>
      <c r="B1392" s="3" t="s">
        <v>3005</v>
      </c>
      <c r="C1392" s="3" t="s">
        <v>3006</v>
      </c>
      <c r="D1392">
        <v>38</v>
      </c>
      <c r="E1392" s="6">
        <v>45937</v>
      </c>
      <c r="F1392">
        <v>0</v>
      </c>
      <c r="G1392">
        <v>16.2</v>
      </c>
      <c r="H1392">
        <v>1.8</v>
      </c>
      <c r="I1392" s="3" t="s">
        <v>8701</v>
      </c>
    </row>
    <row r="1393" spans="1:9" x14ac:dyDescent="0.35">
      <c r="A1393" s="3" t="s">
        <v>9291</v>
      </c>
      <c r="B1393" s="3" t="s">
        <v>1281</v>
      </c>
      <c r="C1393" s="3" t="s">
        <v>1282</v>
      </c>
      <c r="D1393">
        <v>3173</v>
      </c>
      <c r="E1393" s="6">
        <v>42802</v>
      </c>
      <c r="F1393">
        <v>100</v>
      </c>
      <c r="G1393">
        <v>8.4600000000000009</v>
      </c>
      <c r="H1393">
        <v>0.54</v>
      </c>
      <c r="I1393" s="3" t="s">
        <v>8699</v>
      </c>
    </row>
    <row r="1394" spans="1:9" x14ac:dyDescent="0.35">
      <c r="A1394" s="3" t="s">
        <v>9496</v>
      </c>
      <c r="B1394" s="3" t="s">
        <v>1704</v>
      </c>
      <c r="C1394" s="3" t="s">
        <v>1705</v>
      </c>
      <c r="D1394">
        <v>3180</v>
      </c>
      <c r="E1394" s="6">
        <v>42795</v>
      </c>
      <c r="F1394">
        <v>0</v>
      </c>
      <c r="G1394">
        <v>0.35000000000000003</v>
      </c>
      <c r="H1394">
        <v>1.05</v>
      </c>
      <c r="I1394" s="3" t="s">
        <v>8699</v>
      </c>
    </row>
    <row r="1395" spans="1:9" x14ac:dyDescent="0.35">
      <c r="A1395" s="3" t="s">
        <v>9754</v>
      </c>
      <c r="B1395" s="3" t="s">
        <v>2256</v>
      </c>
      <c r="C1395" s="3" t="s">
        <v>2257</v>
      </c>
      <c r="D1395">
        <v>3180</v>
      </c>
      <c r="E1395" s="6">
        <v>42795</v>
      </c>
      <c r="F1395">
        <v>0</v>
      </c>
      <c r="G1395">
        <v>0.98</v>
      </c>
      <c r="H1395">
        <v>0.02</v>
      </c>
      <c r="I1395" s="3" t="s">
        <v>8699</v>
      </c>
    </row>
    <row r="1396" spans="1:9" x14ac:dyDescent="0.35">
      <c r="A1396" s="3" t="s">
        <v>10106</v>
      </c>
      <c r="B1396" s="3" t="s">
        <v>3013</v>
      </c>
      <c r="C1396" s="3" t="s">
        <v>3014</v>
      </c>
      <c r="D1396">
        <v>9696</v>
      </c>
      <c r="E1396" s="6">
        <v>36279</v>
      </c>
      <c r="F1396">
        <v>310</v>
      </c>
      <c r="G1396">
        <v>0.98</v>
      </c>
      <c r="H1396">
        <v>8.7799999999999994</v>
      </c>
      <c r="I1396" s="3" t="s">
        <v>8701</v>
      </c>
    </row>
    <row r="1397" spans="1:9" x14ac:dyDescent="0.35">
      <c r="A1397" s="3" t="s">
        <v>10107</v>
      </c>
      <c r="B1397" s="3" t="s">
        <v>3015</v>
      </c>
      <c r="C1397" s="3" t="s">
        <v>3016</v>
      </c>
      <c r="D1397">
        <v>23</v>
      </c>
      <c r="E1397" s="6">
        <v>45952</v>
      </c>
      <c r="F1397">
        <v>0</v>
      </c>
      <c r="G1397">
        <v>8.0000000000000002E-3</v>
      </c>
      <c r="H1397">
        <v>0.192</v>
      </c>
      <c r="I1397" s="3" t="s">
        <v>8712</v>
      </c>
    </row>
    <row r="1398" spans="1:9" x14ac:dyDescent="0.35">
      <c r="A1398" s="3" t="s">
        <v>10108</v>
      </c>
      <c r="B1398" s="3" t="s">
        <v>3017</v>
      </c>
      <c r="C1398" s="3" t="s">
        <v>3018</v>
      </c>
      <c r="D1398">
        <v>80</v>
      </c>
      <c r="E1398" s="6">
        <v>45895</v>
      </c>
      <c r="F1398">
        <v>0</v>
      </c>
      <c r="G1398">
        <v>113.88600000000001</v>
      </c>
      <c r="H1398">
        <v>0.114</v>
      </c>
      <c r="I1398" s="3" t="s">
        <v>8756</v>
      </c>
    </row>
    <row r="1399" spans="1:9" x14ac:dyDescent="0.35">
      <c r="A1399" s="3" t="s">
        <v>10913</v>
      </c>
      <c r="B1399" s="3" t="s">
        <v>4713</v>
      </c>
      <c r="C1399" s="3" t="s">
        <v>4714</v>
      </c>
      <c r="D1399">
        <v>3180</v>
      </c>
      <c r="E1399" s="6">
        <v>42795</v>
      </c>
      <c r="F1399">
        <v>0</v>
      </c>
      <c r="G1399">
        <v>19.8</v>
      </c>
      <c r="H1399">
        <v>0.2</v>
      </c>
      <c r="I1399" s="3" t="s">
        <v>8699</v>
      </c>
    </row>
    <row r="1400" spans="1:9" x14ac:dyDescent="0.35">
      <c r="A1400" s="3" t="s">
        <v>10110</v>
      </c>
      <c r="B1400" s="3" t="s">
        <v>3022</v>
      </c>
      <c r="C1400" s="3" t="s">
        <v>3023</v>
      </c>
      <c r="D1400">
        <v>91</v>
      </c>
      <c r="E1400" s="6">
        <v>45884</v>
      </c>
      <c r="F1400">
        <v>90</v>
      </c>
      <c r="G1400">
        <v>0.96300000000000008</v>
      </c>
      <c r="H1400">
        <v>1.7870000000000001</v>
      </c>
      <c r="I1400" s="3" t="s">
        <v>8756</v>
      </c>
    </row>
    <row r="1401" spans="1:9" x14ac:dyDescent="0.35">
      <c r="A1401" s="3" t="s">
        <v>10951</v>
      </c>
      <c r="B1401" s="3" t="s">
        <v>4795</v>
      </c>
      <c r="C1401" s="3" t="s">
        <v>4796</v>
      </c>
      <c r="D1401">
        <v>3180</v>
      </c>
      <c r="E1401" s="6">
        <v>42795</v>
      </c>
      <c r="F1401">
        <v>0</v>
      </c>
      <c r="G1401">
        <v>6.3</v>
      </c>
      <c r="H1401">
        <v>0.70000000000000007</v>
      </c>
      <c r="I1401" s="3" t="s">
        <v>8699</v>
      </c>
    </row>
    <row r="1402" spans="1:9" x14ac:dyDescent="0.35">
      <c r="A1402" s="3" t="s">
        <v>10112</v>
      </c>
      <c r="B1402" s="3" t="s">
        <v>3027</v>
      </c>
      <c r="C1402" s="3" t="s">
        <v>3028</v>
      </c>
      <c r="D1402">
        <v>22</v>
      </c>
      <c r="E1402" s="6">
        <v>45953</v>
      </c>
      <c r="F1402">
        <v>0</v>
      </c>
      <c r="G1402">
        <v>3.7130000000000001</v>
      </c>
      <c r="H1402">
        <v>0.9870000000000001</v>
      </c>
      <c r="I1402" s="3" t="s">
        <v>8701</v>
      </c>
    </row>
    <row r="1403" spans="1:9" x14ac:dyDescent="0.35">
      <c r="A1403" s="3" t="s">
        <v>10113</v>
      </c>
      <c r="B1403" s="3" t="s">
        <v>3029</v>
      </c>
      <c r="C1403" s="3" t="s">
        <v>3030</v>
      </c>
      <c r="D1403">
        <v>49</v>
      </c>
      <c r="E1403" s="6">
        <v>45926</v>
      </c>
      <c r="F1403">
        <v>162</v>
      </c>
      <c r="G1403">
        <v>44.18</v>
      </c>
      <c r="H1403">
        <v>2.82</v>
      </c>
      <c r="I1403" s="3" t="s">
        <v>8701</v>
      </c>
    </row>
    <row r="1404" spans="1:9" x14ac:dyDescent="0.35">
      <c r="A1404" s="3" t="s">
        <v>10114</v>
      </c>
      <c r="B1404" s="3" t="s">
        <v>3031</v>
      </c>
      <c r="C1404" s="3" t="s">
        <v>3032</v>
      </c>
      <c r="D1404">
        <v>87</v>
      </c>
      <c r="E1404" s="6">
        <v>45888</v>
      </c>
      <c r="F1404">
        <v>0</v>
      </c>
      <c r="G1404">
        <v>15.64</v>
      </c>
      <c r="H1404">
        <v>1.36</v>
      </c>
      <c r="I1404" s="3" t="s">
        <v>8738</v>
      </c>
    </row>
    <row r="1405" spans="1:9" x14ac:dyDescent="0.35">
      <c r="A1405" s="3" t="s">
        <v>10115</v>
      </c>
      <c r="B1405" s="3" t="s">
        <v>3033</v>
      </c>
      <c r="C1405" s="3" t="s">
        <v>3034</v>
      </c>
      <c r="D1405">
        <v>78</v>
      </c>
      <c r="E1405" s="6">
        <v>45897</v>
      </c>
      <c r="F1405">
        <v>100</v>
      </c>
      <c r="G1405">
        <v>8.6479999999999997</v>
      </c>
      <c r="H1405">
        <v>0.752</v>
      </c>
      <c r="I1405" s="3" t="s">
        <v>8701</v>
      </c>
    </row>
    <row r="1406" spans="1:9" x14ac:dyDescent="0.35">
      <c r="A1406" s="3" t="s">
        <v>10116</v>
      </c>
      <c r="B1406" s="3" t="s">
        <v>3035</v>
      </c>
      <c r="C1406" s="3" t="s">
        <v>3036</v>
      </c>
      <c r="D1406">
        <v>385</v>
      </c>
      <c r="E1406" s="6">
        <v>45590</v>
      </c>
      <c r="F1406">
        <v>0</v>
      </c>
      <c r="G1406">
        <v>6.0000000000000001E-3</v>
      </c>
      <c r="H1406">
        <v>0.10400000000000001</v>
      </c>
      <c r="I1406" s="3" t="s">
        <v>8712</v>
      </c>
    </row>
    <row r="1407" spans="1:9" x14ac:dyDescent="0.35">
      <c r="A1407" s="3" t="s">
        <v>10239</v>
      </c>
      <c r="B1407" s="3" t="s">
        <v>3286</v>
      </c>
      <c r="C1407" s="3" t="s">
        <v>3287</v>
      </c>
      <c r="D1407">
        <v>3193</v>
      </c>
      <c r="E1407" s="6">
        <v>42782</v>
      </c>
      <c r="F1407">
        <v>0</v>
      </c>
      <c r="G1407">
        <v>44.550000000000004</v>
      </c>
      <c r="H1407">
        <v>0.45</v>
      </c>
      <c r="I1407" s="3" t="s">
        <v>8699</v>
      </c>
    </row>
    <row r="1408" spans="1:9" x14ac:dyDescent="0.35">
      <c r="A1408" s="3" t="s">
        <v>10118</v>
      </c>
      <c r="B1408" s="3" t="s">
        <v>3039</v>
      </c>
      <c r="C1408" s="3" t="s">
        <v>3040</v>
      </c>
      <c r="D1408">
        <v>33</v>
      </c>
      <c r="E1408" s="6">
        <v>45942</v>
      </c>
      <c r="F1408">
        <v>0</v>
      </c>
      <c r="G1408">
        <v>5.58</v>
      </c>
      <c r="H1408">
        <v>0.42</v>
      </c>
      <c r="I1408" s="3" t="s">
        <v>8756</v>
      </c>
    </row>
    <row r="1409" spans="1:9" x14ac:dyDescent="0.35">
      <c r="A1409" s="3" t="s">
        <v>10183</v>
      </c>
      <c r="B1409" s="3" t="s">
        <v>3173</v>
      </c>
      <c r="C1409" s="3" t="s">
        <v>3174</v>
      </c>
      <c r="D1409">
        <v>3195</v>
      </c>
      <c r="E1409" s="6">
        <v>42780</v>
      </c>
      <c r="F1409">
        <v>0</v>
      </c>
      <c r="G1409">
        <v>7.83</v>
      </c>
      <c r="H1409">
        <v>1.17</v>
      </c>
      <c r="I1409" s="3" t="s">
        <v>8699</v>
      </c>
    </row>
    <row r="1410" spans="1:9" x14ac:dyDescent="0.35">
      <c r="A1410" s="3" t="s">
        <v>10120</v>
      </c>
      <c r="B1410" s="3" t="s">
        <v>3043</v>
      </c>
      <c r="C1410" s="3" t="s">
        <v>3044</v>
      </c>
      <c r="D1410">
        <v>100</v>
      </c>
      <c r="E1410" s="6">
        <v>45875</v>
      </c>
      <c r="F1410">
        <v>0</v>
      </c>
      <c r="G1410">
        <v>2.75</v>
      </c>
      <c r="H1410">
        <v>2.25</v>
      </c>
      <c r="I1410" s="3" t="s">
        <v>8701</v>
      </c>
    </row>
    <row r="1411" spans="1:9" x14ac:dyDescent="0.35">
      <c r="A1411" s="3" t="s">
        <v>9822</v>
      </c>
      <c r="B1411" s="3" t="s">
        <v>2404</v>
      </c>
      <c r="C1411" s="3" t="s">
        <v>2405</v>
      </c>
      <c r="D1411">
        <v>3205</v>
      </c>
      <c r="E1411" s="6">
        <v>42770</v>
      </c>
      <c r="F1411">
        <v>0</v>
      </c>
      <c r="G1411">
        <v>4.2430000000000003</v>
      </c>
      <c r="H1411">
        <v>1.1970000000000001</v>
      </c>
      <c r="I1411" s="3" t="s">
        <v>8699</v>
      </c>
    </row>
    <row r="1412" spans="1:9" x14ac:dyDescent="0.35">
      <c r="A1412" s="3" t="s">
        <v>9364</v>
      </c>
      <c r="B1412" s="3" t="s">
        <v>1437</v>
      </c>
      <c r="C1412" s="3" t="s">
        <v>1438</v>
      </c>
      <c r="D1412">
        <v>3207</v>
      </c>
      <c r="E1412" s="6">
        <v>42768</v>
      </c>
      <c r="F1412">
        <v>0</v>
      </c>
      <c r="G1412">
        <v>2.1</v>
      </c>
      <c r="H1412">
        <v>0.9</v>
      </c>
      <c r="I1412" s="3" t="s">
        <v>8699</v>
      </c>
    </row>
    <row r="1413" spans="1:9" x14ac:dyDescent="0.35">
      <c r="A1413" s="3" t="s">
        <v>10123</v>
      </c>
      <c r="B1413" s="3" t="s">
        <v>3049</v>
      </c>
      <c r="C1413" s="3" t="s">
        <v>3050</v>
      </c>
      <c r="D1413">
        <v>319</v>
      </c>
      <c r="E1413" s="6">
        <v>45656</v>
      </c>
      <c r="F1413">
        <v>0</v>
      </c>
      <c r="G1413">
        <v>6.0000000000000001E-3</v>
      </c>
      <c r="H1413">
        <v>0.14400000000000002</v>
      </c>
      <c r="I1413" s="3" t="s">
        <v>8712</v>
      </c>
    </row>
    <row r="1414" spans="1:9" x14ac:dyDescent="0.35">
      <c r="A1414" s="3" t="s">
        <v>10124</v>
      </c>
      <c r="B1414" s="3" t="s">
        <v>3051</v>
      </c>
      <c r="C1414" s="3" t="s">
        <v>3052</v>
      </c>
      <c r="D1414">
        <v>25</v>
      </c>
      <c r="E1414" s="6">
        <v>45950</v>
      </c>
      <c r="F1414">
        <v>0</v>
      </c>
      <c r="G1414">
        <v>0.93900000000000006</v>
      </c>
      <c r="H1414">
        <v>0.60099999999999998</v>
      </c>
      <c r="I1414" s="3" t="s">
        <v>8701</v>
      </c>
    </row>
    <row r="1415" spans="1:9" x14ac:dyDescent="0.35">
      <c r="A1415" s="3" t="s">
        <v>9159</v>
      </c>
      <c r="B1415" s="3" t="s">
        <v>1001</v>
      </c>
      <c r="C1415" s="3" t="s">
        <v>1002</v>
      </c>
      <c r="D1415">
        <v>3214</v>
      </c>
      <c r="E1415" s="6">
        <v>42761</v>
      </c>
      <c r="F1415">
        <v>0</v>
      </c>
      <c r="G1415">
        <v>0.97500000000000009</v>
      </c>
      <c r="H1415">
        <v>0.97500000000000009</v>
      </c>
      <c r="I1415" s="3" t="s">
        <v>8699</v>
      </c>
    </row>
    <row r="1416" spans="1:9" x14ac:dyDescent="0.35">
      <c r="A1416" s="3" t="s">
        <v>10126</v>
      </c>
      <c r="B1416" s="3" t="s">
        <v>3055</v>
      </c>
      <c r="C1416" s="3" t="s">
        <v>3056</v>
      </c>
      <c r="D1416">
        <v>2019</v>
      </c>
      <c r="E1416" s="6">
        <v>43956</v>
      </c>
      <c r="F1416">
        <v>0</v>
      </c>
      <c r="G1416">
        <v>1.2E-2</v>
      </c>
      <c r="H1416">
        <v>0.188</v>
      </c>
      <c r="I1416" s="3" t="s">
        <v>8712</v>
      </c>
    </row>
    <row r="1417" spans="1:9" x14ac:dyDescent="0.35">
      <c r="A1417" s="3" t="s">
        <v>10127</v>
      </c>
      <c r="B1417" s="3" t="s">
        <v>3058</v>
      </c>
      <c r="C1417" s="3" t="s">
        <v>3059</v>
      </c>
      <c r="D1417">
        <v>955</v>
      </c>
      <c r="E1417" s="6">
        <v>45020</v>
      </c>
      <c r="F1417">
        <v>0</v>
      </c>
      <c r="G1417">
        <v>0</v>
      </c>
      <c r="H1417">
        <v>0</v>
      </c>
      <c r="I1417" s="3" t="s">
        <v>28</v>
      </c>
    </row>
    <row r="1418" spans="1:9" x14ac:dyDescent="0.35">
      <c r="A1418" s="3" t="s">
        <v>9389</v>
      </c>
      <c r="B1418" s="3" t="s">
        <v>1488</v>
      </c>
      <c r="C1418" s="3" t="s">
        <v>1489</v>
      </c>
      <c r="D1418">
        <v>3218</v>
      </c>
      <c r="E1418" s="6">
        <v>42757</v>
      </c>
      <c r="F1418">
        <v>0</v>
      </c>
      <c r="G1418">
        <v>0.4</v>
      </c>
      <c r="H1418">
        <v>1.6</v>
      </c>
      <c r="I1418" s="3" t="s">
        <v>8699</v>
      </c>
    </row>
    <row r="1419" spans="1:9" x14ac:dyDescent="0.35">
      <c r="A1419" s="3" t="s">
        <v>10129</v>
      </c>
      <c r="B1419" s="3" t="s">
        <v>3062</v>
      </c>
      <c r="C1419" s="3" t="s">
        <v>3063</v>
      </c>
      <c r="D1419">
        <v>24</v>
      </c>
      <c r="E1419" s="6">
        <v>45951</v>
      </c>
      <c r="F1419">
        <v>0</v>
      </c>
      <c r="G1419">
        <v>1.95</v>
      </c>
      <c r="H1419">
        <v>1.05</v>
      </c>
      <c r="I1419" s="3" t="s">
        <v>8705</v>
      </c>
    </row>
    <row r="1420" spans="1:9" x14ac:dyDescent="0.35">
      <c r="A1420" s="3" t="s">
        <v>10130</v>
      </c>
      <c r="B1420" s="3" t="s">
        <v>3064</v>
      </c>
      <c r="C1420" s="3" t="s">
        <v>3065</v>
      </c>
      <c r="D1420">
        <v>45</v>
      </c>
      <c r="E1420" s="6">
        <v>45930</v>
      </c>
      <c r="F1420">
        <v>80</v>
      </c>
      <c r="G1420">
        <v>13.05</v>
      </c>
      <c r="H1420">
        <v>1.95</v>
      </c>
      <c r="I1420" s="3" t="s">
        <v>8705</v>
      </c>
    </row>
    <row r="1421" spans="1:9" x14ac:dyDescent="0.35">
      <c r="A1421" s="3" t="s">
        <v>10131</v>
      </c>
      <c r="B1421" s="3" t="s">
        <v>3066</v>
      </c>
      <c r="C1421" s="3" t="s">
        <v>3067</v>
      </c>
      <c r="D1421">
        <v>386</v>
      </c>
      <c r="E1421" s="6">
        <v>45589</v>
      </c>
      <c r="F1421">
        <v>0</v>
      </c>
      <c r="G1421">
        <v>9.213000000000001</v>
      </c>
      <c r="H1421">
        <v>1.887</v>
      </c>
      <c r="I1421" s="3" t="s">
        <v>8701</v>
      </c>
    </row>
    <row r="1422" spans="1:9" x14ac:dyDescent="0.35">
      <c r="A1422" s="3" t="s">
        <v>10132</v>
      </c>
      <c r="B1422" s="3" t="s">
        <v>3068</v>
      </c>
      <c r="C1422" s="3" t="s">
        <v>3069</v>
      </c>
      <c r="D1422">
        <v>50</v>
      </c>
      <c r="E1422" s="6">
        <v>45925</v>
      </c>
      <c r="F1422">
        <v>80</v>
      </c>
      <c r="G1422">
        <v>10.34</v>
      </c>
      <c r="H1422">
        <v>0.66</v>
      </c>
      <c r="I1422" s="3" t="s">
        <v>8701</v>
      </c>
    </row>
    <row r="1423" spans="1:9" x14ac:dyDescent="0.35">
      <c r="A1423" s="3" t="s">
        <v>10133</v>
      </c>
      <c r="B1423" s="3" t="s">
        <v>3070</v>
      </c>
      <c r="C1423" s="3" t="s">
        <v>3071</v>
      </c>
      <c r="D1423">
        <v>87</v>
      </c>
      <c r="E1423" s="6">
        <v>45888</v>
      </c>
      <c r="F1423">
        <v>0</v>
      </c>
      <c r="G1423">
        <v>22.466000000000001</v>
      </c>
      <c r="H1423">
        <v>1.034</v>
      </c>
      <c r="I1423" s="3" t="s">
        <v>8701</v>
      </c>
    </row>
    <row r="1424" spans="1:9" x14ac:dyDescent="0.35">
      <c r="A1424" s="3" t="s">
        <v>9426</v>
      </c>
      <c r="B1424" s="3" t="s">
        <v>1562</v>
      </c>
      <c r="C1424" s="3" t="s">
        <v>1563</v>
      </c>
      <c r="D1424">
        <v>3218</v>
      </c>
      <c r="E1424" s="6">
        <v>42757</v>
      </c>
      <c r="F1424">
        <v>0</v>
      </c>
      <c r="G1424">
        <v>1.2</v>
      </c>
      <c r="H1424">
        <v>0.8</v>
      </c>
      <c r="I1424" s="3" t="s">
        <v>8699</v>
      </c>
    </row>
    <row r="1425" spans="1:9" x14ac:dyDescent="0.35">
      <c r="A1425" s="3" t="s">
        <v>10135</v>
      </c>
      <c r="B1425" s="3" t="s">
        <v>3074</v>
      </c>
      <c r="C1425" s="3" t="s">
        <v>3075</v>
      </c>
      <c r="D1425">
        <v>145</v>
      </c>
      <c r="E1425" s="6">
        <v>45830</v>
      </c>
      <c r="F1425">
        <v>100</v>
      </c>
      <c r="G1425">
        <v>8.8000000000000007</v>
      </c>
      <c r="H1425">
        <v>2.2000000000000002</v>
      </c>
      <c r="I1425" s="3" t="s">
        <v>8703</v>
      </c>
    </row>
    <row r="1426" spans="1:9" x14ac:dyDescent="0.35">
      <c r="A1426" s="3" t="s">
        <v>10314</v>
      </c>
      <c r="B1426" s="3" t="s">
        <v>3450</v>
      </c>
      <c r="C1426" s="3" t="s">
        <v>3451</v>
      </c>
      <c r="D1426">
        <v>3218</v>
      </c>
      <c r="E1426" s="6">
        <v>42757</v>
      </c>
      <c r="F1426">
        <v>0</v>
      </c>
      <c r="G1426">
        <v>8.5</v>
      </c>
      <c r="H1426">
        <v>1.5</v>
      </c>
      <c r="I1426" s="3" t="s">
        <v>8699</v>
      </c>
    </row>
    <row r="1427" spans="1:9" x14ac:dyDescent="0.35">
      <c r="A1427" s="3" t="s">
        <v>10137</v>
      </c>
      <c r="B1427" s="3" t="s">
        <v>3078</v>
      </c>
      <c r="C1427" s="3" t="s">
        <v>3079</v>
      </c>
      <c r="D1427">
        <v>47</v>
      </c>
      <c r="E1427" s="6">
        <v>45928</v>
      </c>
      <c r="F1427">
        <v>950</v>
      </c>
      <c r="G1427">
        <v>0.15</v>
      </c>
      <c r="H1427">
        <v>2.85</v>
      </c>
      <c r="I1427" s="3" t="s">
        <v>8701</v>
      </c>
    </row>
    <row r="1428" spans="1:9" x14ac:dyDescent="0.35">
      <c r="A1428" s="3" t="s">
        <v>10138</v>
      </c>
      <c r="B1428" s="3" t="s">
        <v>3080</v>
      </c>
      <c r="C1428" s="3" t="s">
        <v>3081</v>
      </c>
      <c r="D1428">
        <v>50</v>
      </c>
      <c r="E1428" s="6">
        <v>45925</v>
      </c>
      <c r="F1428">
        <v>0</v>
      </c>
      <c r="G1428">
        <v>3.2730000000000001</v>
      </c>
      <c r="H1428">
        <v>0.57700000000000007</v>
      </c>
      <c r="I1428" s="3" t="s">
        <v>8701</v>
      </c>
    </row>
    <row r="1429" spans="1:9" x14ac:dyDescent="0.35">
      <c r="A1429" s="3" t="s">
        <v>10139</v>
      </c>
      <c r="B1429" s="3" t="s">
        <v>3082</v>
      </c>
      <c r="C1429" s="3" t="s">
        <v>3083</v>
      </c>
      <c r="D1429">
        <v>372</v>
      </c>
      <c r="E1429" s="6">
        <v>45603</v>
      </c>
      <c r="F1429">
        <v>0</v>
      </c>
      <c r="G1429">
        <v>3.0000000000000001E-3</v>
      </c>
      <c r="H1429">
        <v>6.7000000000000004E-2</v>
      </c>
      <c r="I1429" s="3" t="s">
        <v>8712</v>
      </c>
    </row>
    <row r="1430" spans="1:9" x14ac:dyDescent="0.35">
      <c r="A1430" s="3" t="s">
        <v>10140</v>
      </c>
      <c r="B1430" s="3" t="s">
        <v>3084</v>
      </c>
      <c r="C1430" s="3" t="s">
        <v>3085</v>
      </c>
      <c r="D1430">
        <v>4658</v>
      </c>
      <c r="E1430" s="6">
        <v>41317</v>
      </c>
      <c r="F1430">
        <v>0</v>
      </c>
      <c r="G1430">
        <v>0</v>
      </c>
      <c r="H1430">
        <v>0</v>
      </c>
      <c r="I1430" s="3" t="s">
        <v>28</v>
      </c>
    </row>
    <row r="1431" spans="1:9" x14ac:dyDescent="0.35">
      <c r="A1431" s="3" t="s">
        <v>10642</v>
      </c>
      <c r="B1431" s="3" t="s">
        <v>4145</v>
      </c>
      <c r="C1431" s="3" t="s">
        <v>4146</v>
      </c>
      <c r="D1431">
        <v>3218</v>
      </c>
      <c r="E1431" s="6">
        <v>42757</v>
      </c>
      <c r="F1431">
        <v>0</v>
      </c>
      <c r="G1431">
        <v>9</v>
      </c>
      <c r="H1431">
        <v>1</v>
      </c>
      <c r="I1431" s="3" t="s">
        <v>8699</v>
      </c>
    </row>
    <row r="1432" spans="1:9" x14ac:dyDescent="0.35">
      <c r="A1432" s="3" t="s">
        <v>10142</v>
      </c>
      <c r="B1432" s="3" t="s">
        <v>3088</v>
      </c>
      <c r="C1432" s="3" t="s">
        <v>3089</v>
      </c>
      <c r="D1432">
        <v>955</v>
      </c>
      <c r="E1432" s="6">
        <v>45020</v>
      </c>
      <c r="F1432">
        <v>0</v>
      </c>
      <c r="G1432">
        <v>0</v>
      </c>
      <c r="H1432">
        <v>0</v>
      </c>
      <c r="I1432" s="3" t="s">
        <v>28</v>
      </c>
    </row>
    <row r="1433" spans="1:9" x14ac:dyDescent="0.35">
      <c r="A1433" s="3" t="s">
        <v>10143</v>
      </c>
      <c r="B1433" s="3" t="s">
        <v>3090</v>
      </c>
      <c r="C1433" s="3" t="s">
        <v>3091</v>
      </c>
      <c r="D1433">
        <v>2612</v>
      </c>
      <c r="E1433" s="6">
        <v>43363</v>
      </c>
      <c r="F1433">
        <v>0</v>
      </c>
      <c r="G1433">
        <v>0</v>
      </c>
      <c r="H1433">
        <v>0</v>
      </c>
      <c r="I1433" s="3" t="s">
        <v>28</v>
      </c>
    </row>
    <row r="1434" spans="1:9" x14ac:dyDescent="0.35">
      <c r="A1434" s="3" t="s">
        <v>10931</v>
      </c>
      <c r="B1434" s="3" t="s">
        <v>4750</v>
      </c>
      <c r="C1434" s="3" t="s">
        <v>4751</v>
      </c>
      <c r="D1434">
        <v>3218</v>
      </c>
      <c r="E1434" s="6">
        <v>42757</v>
      </c>
      <c r="F1434">
        <v>0</v>
      </c>
      <c r="G1434">
        <v>0.06</v>
      </c>
      <c r="H1434">
        <v>1.44</v>
      </c>
      <c r="I1434" s="3" t="s">
        <v>8699</v>
      </c>
    </row>
    <row r="1435" spans="1:9" x14ac:dyDescent="0.35">
      <c r="A1435" s="3" t="s">
        <v>10145</v>
      </c>
      <c r="B1435" s="3" t="s">
        <v>3094</v>
      </c>
      <c r="C1435" s="3" t="s">
        <v>3095</v>
      </c>
      <c r="D1435">
        <v>955</v>
      </c>
      <c r="E1435" s="6">
        <v>45020</v>
      </c>
      <c r="F1435">
        <v>0</v>
      </c>
      <c r="G1435">
        <v>0</v>
      </c>
      <c r="H1435">
        <v>0</v>
      </c>
      <c r="I1435" s="3" t="s">
        <v>28</v>
      </c>
    </row>
    <row r="1436" spans="1:9" x14ac:dyDescent="0.35">
      <c r="A1436" s="3" t="s">
        <v>10146</v>
      </c>
      <c r="B1436" s="3" t="s">
        <v>3096</v>
      </c>
      <c r="C1436" s="3" t="s">
        <v>3097</v>
      </c>
      <c r="D1436">
        <v>263</v>
      </c>
      <c r="E1436" s="6">
        <v>45712</v>
      </c>
      <c r="F1436">
        <v>0</v>
      </c>
      <c r="G1436">
        <v>0.03</v>
      </c>
      <c r="H1436">
        <v>0.27</v>
      </c>
      <c r="I1436" s="3" t="s">
        <v>8712</v>
      </c>
    </row>
    <row r="1437" spans="1:9" x14ac:dyDescent="0.35">
      <c r="A1437" s="3" t="s">
        <v>9996</v>
      </c>
      <c r="B1437" s="3" t="s">
        <v>2771</v>
      </c>
      <c r="C1437" s="3" t="s">
        <v>2772</v>
      </c>
      <c r="D1437">
        <v>3221</v>
      </c>
      <c r="E1437" s="6">
        <v>42754</v>
      </c>
      <c r="F1437">
        <v>0</v>
      </c>
      <c r="G1437">
        <v>46</v>
      </c>
      <c r="H1437">
        <v>4</v>
      </c>
      <c r="I1437" s="3" t="s">
        <v>8699</v>
      </c>
    </row>
    <row r="1438" spans="1:9" x14ac:dyDescent="0.35">
      <c r="A1438" s="3" t="s">
        <v>10148</v>
      </c>
      <c r="B1438" s="3" t="s">
        <v>3100</v>
      </c>
      <c r="C1438" s="3" t="s">
        <v>3101</v>
      </c>
      <c r="D1438">
        <v>46</v>
      </c>
      <c r="E1438" s="6">
        <v>45929</v>
      </c>
      <c r="F1438">
        <v>0</v>
      </c>
      <c r="G1438">
        <v>32.299999999999997</v>
      </c>
      <c r="H1438">
        <v>1.7</v>
      </c>
      <c r="I1438" s="3" t="s">
        <v>8701</v>
      </c>
    </row>
    <row r="1439" spans="1:9" x14ac:dyDescent="0.35">
      <c r="A1439" s="3" t="s">
        <v>10149</v>
      </c>
      <c r="B1439" s="3" t="s">
        <v>3102</v>
      </c>
      <c r="C1439" s="3" t="s">
        <v>3103</v>
      </c>
      <c r="D1439">
        <v>159</v>
      </c>
      <c r="E1439" s="6">
        <v>45816</v>
      </c>
      <c r="F1439">
        <v>100</v>
      </c>
      <c r="G1439">
        <v>3</v>
      </c>
      <c r="H1439">
        <v>1</v>
      </c>
      <c r="I1439" s="3" t="s">
        <v>8756</v>
      </c>
    </row>
    <row r="1440" spans="1:9" x14ac:dyDescent="0.35">
      <c r="A1440" s="3" t="s">
        <v>10150</v>
      </c>
      <c r="B1440" s="3" t="s">
        <v>3104</v>
      </c>
      <c r="C1440" s="3" t="s">
        <v>3105</v>
      </c>
      <c r="D1440">
        <v>109</v>
      </c>
      <c r="E1440" s="6">
        <v>45866</v>
      </c>
      <c r="F1440">
        <v>60</v>
      </c>
      <c r="G1440">
        <v>19.256</v>
      </c>
      <c r="H1440">
        <v>1.6740000000000002</v>
      </c>
      <c r="I1440" s="3" t="s">
        <v>8729</v>
      </c>
    </row>
    <row r="1441" spans="1:9" x14ac:dyDescent="0.35">
      <c r="A1441" s="3" t="s">
        <v>11317</v>
      </c>
      <c r="B1441" s="3" t="s">
        <v>5571</v>
      </c>
      <c r="C1441" s="3" t="s">
        <v>5572</v>
      </c>
      <c r="D1441">
        <v>3221</v>
      </c>
      <c r="E1441" s="6">
        <v>42754</v>
      </c>
      <c r="F1441">
        <v>0</v>
      </c>
      <c r="G1441">
        <v>0.32</v>
      </c>
      <c r="H1441">
        <v>0.68</v>
      </c>
      <c r="I1441" s="3" t="s">
        <v>8699</v>
      </c>
    </row>
    <row r="1442" spans="1:9" x14ac:dyDescent="0.35">
      <c r="A1442" s="3" t="s">
        <v>10152</v>
      </c>
      <c r="B1442" s="3" t="s">
        <v>3108</v>
      </c>
      <c r="C1442" s="3" t="s">
        <v>3109</v>
      </c>
      <c r="D1442">
        <v>45</v>
      </c>
      <c r="E1442" s="6">
        <v>45930</v>
      </c>
      <c r="F1442">
        <v>100</v>
      </c>
      <c r="G1442">
        <v>0.58500000000000008</v>
      </c>
      <c r="H1442">
        <v>0.71500000000000008</v>
      </c>
      <c r="I1442" s="3" t="s">
        <v>8701</v>
      </c>
    </row>
    <row r="1443" spans="1:9" x14ac:dyDescent="0.35">
      <c r="A1443" s="3" t="s">
        <v>10153</v>
      </c>
      <c r="B1443" s="3" t="s">
        <v>3110</v>
      </c>
      <c r="C1443" s="3" t="s">
        <v>3111</v>
      </c>
      <c r="D1443">
        <v>2195</v>
      </c>
      <c r="E1443" s="6">
        <v>43780</v>
      </c>
      <c r="F1443">
        <v>0</v>
      </c>
      <c r="G1443">
        <v>224.77500000000001</v>
      </c>
      <c r="H1443">
        <v>0.22500000000000001</v>
      </c>
      <c r="I1443" s="3" t="s">
        <v>8701</v>
      </c>
    </row>
    <row r="1444" spans="1:9" x14ac:dyDescent="0.35">
      <c r="A1444" s="3" t="s">
        <v>10154</v>
      </c>
      <c r="B1444" s="3" t="s">
        <v>3112</v>
      </c>
      <c r="C1444" s="3" t="s">
        <v>3113</v>
      </c>
      <c r="D1444">
        <v>955</v>
      </c>
      <c r="E1444" s="6">
        <v>45020</v>
      </c>
      <c r="F1444">
        <v>0</v>
      </c>
      <c r="G1444">
        <v>0</v>
      </c>
      <c r="H1444">
        <v>0</v>
      </c>
      <c r="I1444" s="3" t="s">
        <v>28</v>
      </c>
    </row>
    <row r="1445" spans="1:9" x14ac:dyDescent="0.35">
      <c r="A1445" s="3" t="s">
        <v>9470</v>
      </c>
      <c r="B1445" s="3" t="s">
        <v>1653</v>
      </c>
      <c r="C1445" s="3" t="s">
        <v>1654</v>
      </c>
      <c r="D1445">
        <v>3227</v>
      </c>
      <c r="E1445" s="6">
        <v>42748</v>
      </c>
      <c r="F1445">
        <v>0</v>
      </c>
      <c r="G1445">
        <v>29.1</v>
      </c>
      <c r="H1445">
        <v>0.9</v>
      </c>
      <c r="I1445" s="3" t="s">
        <v>8699</v>
      </c>
    </row>
    <row r="1446" spans="1:9" x14ac:dyDescent="0.35">
      <c r="A1446" s="3" t="s">
        <v>10156</v>
      </c>
      <c r="B1446" s="3" t="s">
        <v>3116</v>
      </c>
      <c r="C1446" s="3" t="s">
        <v>3117</v>
      </c>
      <c r="D1446">
        <v>22</v>
      </c>
      <c r="E1446" s="6">
        <v>45953</v>
      </c>
      <c r="F1446">
        <v>250</v>
      </c>
      <c r="G1446">
        <v>7.12</v>
      </c>
      <c r="H1446">
        <v>0.88</v>
      </c>
      <c r="I1446" s="3" t="s">
        <v>8705</v>
      </c>
    </row>
    <row r="1447" spans="1:9" x14ac:dyDescent="0.35">
      <c r="A1447" s="3" t="s">
        <v>10157</v>
      </c>
      <c r="B1447" s="3" t="s">
        <v>3119</v>
      </c>
      <c r="C1447" s="3" t="s">
        <v>3120</v>
      </c>
      <c r="D1447">
        <v>955</v>
      </c>
      <c r="E1447" s="6">
        <v>45020</v>
      </c>
      <c r="F1447">
        <v>0</v>
      </c>
      <c r="G1447">
        <v>0</v>
      </c>
      <c r="H1447">
        <v>0</v>
      </c>
      <c r="I1447" s="3" t="s">
        <v>28</v>
      </c>
    </row>
    <row r="1448" spans="1:9" x14ac:dyDescent="0.35">
      <c r="A1448" s="3" t="s">
        <v>10158</v>
      </c>
      <c r="B1448" s="3" t="s">
        <v>3121</v>
      </c>
      <c r="C1448" s="3" t="s">
        <v>3122</v>
      </c>
      <c r="D1448">
        <v>955</v>
      </c>
      <c r="E1448" s="6">
        <v>45020</v>
      </c>
      <c r="F1448">
        <v>0</v>
      </c>
      <c r="G1448">
        <v>0</v>
      </c>
      <c r="H1448">
        <v>0</v>
      </c>
      <c r="I1448" s="3" t="s">
        <v>28</v>
      </c>
    </row>
    <row r="1449" spans="1:9" x14ac:dyDescent="0.35">
      <c r="A1449" s="3" t="s">
        <v>10159</v>
      </c>
      <c r="B1449" s="3" t="s">
        <v>3123</v>
      </c>
      <c r="C1449" s="3" t="s">
        <v>3124</v>
      </c>
      <c r="D1449">
        <v>58</v>
      </c>
      <c r="E1449" s="6">
        <v>45917</v>
      </c>
      <c r="F1449">
        <v>0</v>
      </c>
      <c r="G1449">
        <v>9.6</v>
      </c>
      <c r="H1449">
        <v>2.4</v>
      </c>
      <c r="I1449" s="3" t="s">
        <v>8756</v>
      </c>
    </row>
    <row r="1450" spans="1:9" x14ac:dyDescent="0.35">
      <c r="A1450" s="3" t="s">
        <v>10160</v>
      </c>
      <c r="B1450" s="3" t="s">
        <v>3126</v>
      </c>
      <c r="C1450" s="3" t="s">
        <v>3127</v>
      </c>
      <c r="D1450">
        <v>955</v>
      </c>
      <c r="E1450" s="6">
        <v>45020</v>
      </c>
      <c r="F1450">
        <v>0</v>
      </c>
      <c r="G1450">
        <v>0</v>
      </c>
      <c r="H1450">
        <v>0</v>
      </c>
      <c r="I1450" s="3" t="s">
        <v>28</v>
      </c>
    </row>
    <row r="1451" spans="1:9" x14ac:dyDescent="0.35">
      <c r="A1451" s="3" t="s">
        <v>10161</v>
      </c>
      <c r="B1451" s="3" t="s">
        <v>3128</v>
      </c>
      <c r="C1451" s="3" t="s">
        <v>3129</v>
      </c>
      <c r="D1451">
        <v>109</v>
      </c>
      <c r="E1451" s="6">
        <v>45866</v>
      </c>
      <c r="F1451">
        <v>120</v>
      </c>
      <c r="G1451">
        <v>6.0449999999999999</v>
      </c>
      <c r="H1451">
        <v>3.2550000000000003</v>
      </c>
      <c r="I1451" s="3" t="s">
        <v>8729</v>
      </c>
    </row>
    <row r="1452" spans="1:9" x14ac:dyDescent="0.35">
      <c r="A1452" s="3" t="s">
        <v>9237</v>
      </c>
      <c r="B1452" s="3" t="s">
        <v>1168</v>
      </c>
      <c r="C1452" s="3" t="s">
        <v>1169</v>
      </c>
      <c r="D1452">
        <v>3229</v>
      </c>
      <c r="E1452" s="6">
        <v>42746</v>
      </c>
      <c r="F1452">
        <v>0</v>
      </c>
      <c r="G1452">
        <v>34.300000000000004</v>
      </c>
      <c r="H1452">
        <v>0.70000000000000007</v>
      </c>
      <c r="I1452" s="3" t="s">
        <v>8699</v>
      </c>
    </row>
    <row r="1453" spans="1:9" x14ac:dyDescent="0.35">
      <c r="A1453" s="3" t="s">
        <v>10268</v>
      </c>
      <c r="B1453" s="3" t="s">
        <v>3351</v>
      </c>
      <c r="C1453" s="3" t="s">
        <v>3352</v>
      </c>
      <c r="D1453">
        <v>3235</v>
      </c>
      <c r="E1453" s="6">
        <v>42740</v>
      </c>
      <c r="F1453">
        <v>0</v>
      </c>
      <c r="G1453">
        <v>4.75</v>
      </c>
      <c r="H1453">
        <v>0.25</v>
      </c>
      <c r="I1453" s="3" t="s">
        <v>8699</v>
      </c>
    </row>
    <row r="1454" spans="1:9" x14ac:dyDescent="0.35">
      <c r="A1454" s="3" t="s">
        <v>10164</v>
      </c>
      <c r="B1454" s="3" t="s">
        <v>3134</v>
      </c>
      <c r="C1454" s="3" t="s">
        <v>3135</v>
      </c>
      <c r="D1454">
        <v>12</v>
      </c>
      <c r="E1454" s="6">
        <v>45963</v>
      </c>
      <c r="F1454">
        <v>0</v>
      </c>
      <c r="G1454">
        <v>6.8</v>
      </c>
      <c r="H1454">
        <v>1.2</v>
      </c>
      <c r="I1454" s="3" t="s">
        <v>8703</v>
      </c>
    </row>
    <row r="1455" spans="1:9" x14ac:dyDescent="0.35">
      <c r="A1455" s="3" t="s">
        <v>11155</v>
      </c>
      <c r="B1455" s="3" t="s">
        <v>5231</v>
      </c>
      <c r="C1455" s="3" t="s">
        <v>5232</v>
      </c>
      <c r="D1455">
        <v>3235</v>
      </c>
      <c r="E1455" s="6">
        <v>42740</v>
      </c>
      <c r="F1455">
        <v>0</v>
      </c>
      <c r="G1455">
        <v>26.73</v>
      </c>
      <c r="I1455" s="3" t="s">
        <v>8699</v>
      </c>
    </row>
    <row r="1456" spans="1:9" x14ac:dyDescent="0.35">
      <c r="A1456" s="3" t="s">
        <v>8963</v>
      </c>
      <c r="B1456" s="3" t="s">
        <v>592</v>
      </c>
      <c r="C1456" s="3" t="s">
        <v>593</v>
      </c>
      <c r="D1456">
        <v>3236</v>
      </c>
      <c r="E1456" s="6">
        <v>42739</v>
      </c>
      <c r="F1456">
        <v>0</v>
      </c>
      <c r="G1456">
        <v>0.77</v>
      </c>
      <c r="H1456">
        <v>0.23</v>
      </c>
      <c r="I1456" s="3" t="s">
        <v>8699</v>
      </c>
    </row>
    <row r="1457" spans="1:9" x14ac:dyDescent="0.35">
      <c r="A1457" s="3" t="s">
        <v>9240</v>
      </c>
      <c r="B1457" s="3" t="s">
        <v>1174</v>
      </c>
      <c r="C1457" s="3" t="s">
        <v>1175</v>
      </c>
      <c r="D1457">
        <v>3236</v>
      </c>
      <c r="E1457" s="6">
        <v>42739</v>
      </c>
      <c r="F1457">
        <v>0</v>
      </c>
      <c r="G1457">
        <v>11.557</v>
      </c>
      <c r="H1457">
        <v>1.143</v>
      </c>
      <c r="I1457" s="3" t="s">
        <v>8699</v>
      </c>
    </row>
    <row r="1458" spans="1:9" x14ac:dyDescent="0.35">
      <c r="A1458" s="3" t="s">
        <v>9773</v>
      </c>
      <c r="B1458" s="3" t="s">
        <v>2294</v>
      </c>
      <c r="C1458" s="3" t="s">
        <v>2295</v>
      </c>
      <c r="D1458">
        <v>3237</v>
      </c>
      <c r="E1458" s="6">
        <v>42738</v>
      </c>
      <c r="F1458">
        <v>0</v>
      </c>
      <c r="G1458">
        <v>7.05</v>
      </c>
      <c r="H1458">
        <v>0.45</v>
      </c>
      <c r="I1458" s="3" t="s">
        <v>8699</v>
      </c>
    </row>
    <row r="1459" spans="1:9" x14ac:dyDescent="0.35">
      <c r="A1459" s="3" t="s">
        <v>10169</v>
      </c>
      <c r="B1459" s="3" t="s">
        <v>3145</v>
      </c>
      <c r="C1459" s="3" t="s">
        <v>3146</v>
      </c>
      <c r="D1459">
        <v>955</v>
      </c>
      <c r="E1459" s="6">
        <v>45020</v>
      </c>
      <c r="F1459">
        <v>0</v>
      </c>
      <c r="G1459">
        <v>0</v>
      </c>
      <c r="H1459">
        <v>0</v>
      </c>
      <c r="I1459" s="3" t="s">
        <v>28</v>
      </c>
    </row>
    <row r="1460" spans="1:9" x14ac:dyDescent="0.35">
      <c r="A1460" s="3" t="s">
        <v>10170</v>
      </c>
      <c r="B1460" s="3" t="s">
        <v>3147</v>
      </c>
      <c r="C1460" s="3" t="s">
        <v>3148</v>
      </c>
      <c r="D1460">
        <v>38</v>
      </c>
      <c r="E1460" s="6">
        <v>45937</v>
      </c>
      <c r="F1460">
        <v>50</v>
      </c>
      <c r="G1460">
        <v>0.86399999999999999</v>
      </c>
      <c r="H1460">
        <v>0.93600000000000005</v>
      </c>
      <c r="I1460" s="3" t="s">
        <v>8756</v>
      </c>
    </row>
    <row r="1461" spans="1:9" x14ac:dyDescent="0.35">
      <c r="A1461" s="3" t="s">
        <v>10171</v>
      </c>
      <c r="B1461" s="3" t="s">
        <v>3149</v>
      </c>
      <c r="C1461" s="3" t="s">
        <v>3150</v>
      </c>
      <c r="D1461">
        <v>955</v>
      </c>
      <c r="E1461" s="6">
        <v>45020</v>
      </c>
      <c r="F1461">
        <v>0</v>
      </c>
      <c r="G1461">
        <v>0</v>
      </c>
      <c r="H1461">
        <v>0</v>
      </c>
      <c r="I1461" s="3" t="s">
        <v>28</v>
      </c>
    </row>
    <row r="1462" spans="1:9" x14ac:dyDescent="0.35">
      <c r="A1462" s="3" t="s">
        <v>11151</v>
      </c>
      <c r="B1462" s="3" t="s">
        <v>5223</v>
      </c>
      <c r="C1462" s="3" t="s">
        <v>5224</v>
      </c>
      <c r="D1462">
        <v>3237</v>
      </c>
      <c r="E1462" s="6">
        <v>42738</v>
      </c>
      <c r="F1462">
        <v>0</v>
      </c>
      <c r="G1462">
        <v>7.6000000000000005</v>
      </c>
      <c r="H1462">
        <v>0.4</v>
      </c>
      <c r="I1462" s="3" t="s">
        <v>8699</v>
      </c>
    </row>
    <row r="1463" spans="1:9" x14ac:dyDescent="0.35">
      <c r="A1463" s="3" t="s">
        <v>10173</v>
      </c>
      <c r="B1463" s="3" t="s">
        <v>3153</v>
      </c>
      <c r="C1463" s="3" t="s">
        <v>3154</v>
      </c>
      <c r="D1463">
        <v>955</v>
      </c>
      <c r="E1463" s="6">
        <v>45020</v>
      </c>
      <c r="F1463">
        <v>0</v>
      </c>
      <c r="G1463">
        <v>0</v>
      </c>
      <c r="H1463">
        <v>0</v>
      </c>
      <c r="I1463" s="3" t="s">
        <v>28</v>
      </c>
    </row>
    <row r="1464" spans="1:9" x14ac:dyDescent="0.35">
      <c r="A1464" s="3" t="s">
        <v>10174</v>
      </c>
      <c r="B1464" s="3" t="s">
        <v>3155</v>
      </c>
      <c r="C1464" s="3" t="s">
        <v>3156</v>
      </c>
      <c r="D1464">
        <v>33</v>
      </c>
      <c r="E1464" s="6">
        <v>45942</v>
      </c>
      <c r="F1464">
        <v>0</v>
      </c>
      <c r="G1464">
        <v>0.6</v>
      </c>
      <c r="H1464">
        <v>0.9</v>
      </c>
      <c r="I1464" s="3" t="s">
        <v>8756</v>
      </c>
    </row>
    <row r="1465" spans="1:9" x14ac:dyDescent="0.35">
      <c r="A1465" s="3" t="s">
        <v>10175</v>
      </c>
      <c r="B1465" s="3" t="s">
        <v>3157</v>
      </c>
      <c r="C1465" s="3" t="s">
        <v>3158</v>
      </c>
      <c r="D1465">
        <v>49</v>
      </c>
      <c r="E1465" s="6">
        <v>45926</v>
      </c>
      <c r="F1465">
        <v>0</v>
      </c>
      <c r="G1465">
        <v>2.625</v>
      </c>
      <c r="H1465">
        <v>0.875</v>
      </c>
      <c r="I1465" s="3" t="s">
        <v>8756</v>
      </c>
    </row>
    <row r="1466" spans="1:9" x14ac:dyDescent="0.35">
      <c r="A1466" s="3" t="s">
        <v>10176</v>
      </c>
      <c r="B1466" s="3" t="s">
        <v>3159</v>
      </c>
      <c r="C1466" s="3" t="s">
        <v>3160</v>
      </c>
      <c r="D1466">
        <v>262</v>
      </c>
      <c r="E1466" s="6">
        <v>45713</v>
      </c>
      <c r="F1466">
        <v>0</v>
      </c>
      <c r="G1466">
        <v>3.2800000000000002</v>
      </c>
      <c r="H1466">
        <v>0.72</v>
      </c>
      <c r="I1466" s="3" t="s">
        <v>8756</v>
      </c>
    </row>
    <row r="1467" spans="1:9" x14ac:dyDescent="0.35">
      <c r="A1467" s="3" t="s">
        <v>9065</v>
      </c>
      <c r="B1467" s="3" t="s">
        <v>808</v>
      </c>
      <c r="C1467" s="3" t="s">
        <v>809</v>
      </c>
      <c r="D1467">
        <v>3238</v>
      </c>
      <c r="E1467" s="6">
        <v>42737</v>
      </c>
      <c r="F1467">
        <v>0</v>
      </c>
      <c r="G1467">
        <v>0.161</v>
      </c>
      <c r="H1467">
        <v>0.53900000000000003</v>
      </c>
      <c r="I1467" s="3" t="s">
        <v>8699</v>
      </c>
    </row>
    <row r="1468" spans="1:9" x14ac:dyDescent="0.35">
      <c r="A1468" s="3" t="s">
        <v>10178</v>
      </c>
      <c r="B1468" s="3" t="s">
        <v>3163</v>
      </c>
      <c r="C1468" s="3" t="s">
        <v>3164</v>
      </c>
      <c r="D1468">
        <v>160</v>
      </c>
      <c r="E1468" s="6">
        <v>45815</v>
      </c>
      <c r="F1468">
        <v>100</v>
      </c>
      <c r="G1468">
        <v>3.64</v>
      </c>
      <c r="H1468">
        <v>0.36</v>
      </c>
      <c r="I1468" s="3" t="s">
        <v>8756</v>
      </c>
    </row>
    <row r="1469" spans="1:9" x14ac:dyDescent="0.35">
      <c r="A1469" s="3" t="s">
        <v>10179</v>
      </c>
      <c r="B1469" s="3" t="s">
        <v>3165</v>
      </c>
      <c r="C1469" s="3" t="s">
        <v>3166</v>
      </c>
      <c r="D1469">
        <v>31</v>
      </c>
      <c r="E1469" s="6">
        <v>45944</v>
      </c>
      <c r="F1469">
        <v>0</v>
      </c>
      <c r="G1469">
        <v>6.532</v>
      </c>
      <c r="H1469">
        <v>0.56800000000000006</v>
      </c>
      <c r="I1469" s="3" t="s">
        <v>8705</v>
      </c>
    </row>
    <row r="1470" spans="1:9" x14ac:dyDescent="0.35">
      <c r="A1470" s="3" t="s">
        <v>10180</v>
      </c>
      <c r="B1470" s="3" t="s">
        <v>3167</v>
      </c>
      <c r="C1470" s="3" t="s">
        <v>3168</v>
      </c>
      <c r="D1470">
        <v>109</v>
      </c>
      <c r="E1470" s="6">
        <v>45866</v>
      </c>
      <c r="F1470">
        <v>50</v>
      </c>
      <c r="G1470">
        <v>1.1200000000000001</v>
      </c>
      <c r="H1470">
        <v>0.48</v>
      </c>
      <c r="I1470" s="3" t="s">
        <v>8729</v>
      </c>
    </row>
    <row r="1471" spans="1:9" x14ac:dyDescent="0.35">
      <c r="A1471" s="3" t="s">
        <v>10181</v>
      </c>
      <c r="B1471" s="3" t="s">
        <v>3169</v>
      </c>
      <c r="C1471" s="3" t="s">
        <v>3170</v>
      </c>
      <c r="D1471">
        <v>31</v>
      </c>
      <c r="E1471" s="6">
        <v>45944</v>
      </c>
      <c r="F1471">
        <v>0</v>
      </c>
      <c r="G1471">
        <v>10.545</v>
      </c>
      <c r="H1471">
        <v>0.55500000000000005</v>
      </c>
      <c r="I1471" s="3" t="s">
        <v>8705</v>
      </c>
    </row>
    <row r="1472" spans="1:9" x14ac:dyDescent="0.35">
      <c r="A1472" s="3" t="s">
        <v>10182</v>
      </c>
      <c r="B1472" s="3" t="s">
        <v>3171</v>
      </c>
      <c r="C1472" s="3" t="s">
        <v>3172</v>
      </c>
      <c r="D1472">
        <v>109</v>
      </c>
      <c r="E1472" s="6">
        <v>45866</v>
      </c>
      <c r="F1472">
        <v>100</v>
      </c>
      <c r="G1472">
        <v>27.28</v>
      </c>
      <c r="H1472">
        <v>3.72</v>
      </c>
      <c r="I1472" s="3" t="s">
        <v>8729</v>
      </c>
    </row>
    <row r="1473" spans="1:9" x14ac:dyDescent="0.35">
      <c r="A1473" s="3" t="s">
        <v>9488</v>
      </c>
      <c r="B1473" s="3" t="s">
        <v>1687</v>
      </c>
      <c r="C1473" s="3" t="s">
        <v>1688</v>
      </c>
      <c r="D1473">
        <v>3238</v>
      </c>
      <c r="E1473" s="6">
        <v>42737</v>
      </c>
      <c r="F1473">
        <v>0</v>
      </c>
      <c r="G1473">
        <v>8.7360000000000007</v>
      </c>
      <c r="H1473">
        <v>0.36399999999999999</v>
      </c>
      <c r="I1473" s="3" t="s">
        <v>8699</v>
      </c>
    </row>
    <row r="1474" spans="1:9" x14ac:dyDescent="0.35">
      <c r="A1474" s="3" t="s">
        <v>10184</v>
      </c>
      <c r="B1474" s="3" t="s">
        <v>3175</v>
      </c>
      <c r="C1474" s="3" t="s">
        <v>3176</v>
      </c>
      <c r="D1474">
        <v>122</v>
      </c>
      <c r="E1474" s="6">
        <v>45853</v>
      </c>
      <c r="F1474">
        <v>0</v>
      </c>
      <c r="G1474">
        <v>9.4530000000000012</v>
      </c>
      <c r="H1474">
        <v>4.7E-2</v>
      </c>
      <c r="I1474" s="3" t="s">
        <v>8701</v>
      </c>
    </row>
    <row r="1475" spans="1:9" x14ac:dyDescent="0.35">
      <c r="A1475" s="3" t="s">
        <v>10185</v>
      </c>
      <c r="B1475" s="3" t="s">
        <v>3177</v>
      </c>
      <c r="C1475" s="3" t="s">
        <v>3178</v>
      </c>
      <c r="D1475">
        <v>81</v>
      </c>
      <c r="E1475" s="6">
        <v>45894</v>
      </c>
      <c r="F1475">
        <v>0</v>
      </c>
      <c r="G1475">
        <v>21.85</v>
      </c>
      <c r="H1475">
        <v>1.1500000000000001</v>
      </c>
      <c r="I1475" s="3" t="s">
        <v>8701</v>
      </c>
    </row>
    <row r="1476" spans="1:9" x14ac:dyDescent="0.35">
      <c r="A1476" s="3" t="s">
        <v>10186</v>
      </c>
      <c r="B1476" s="3" t="s">
        <v>3179</v>
      </c>
      <c r="C1476" s="3" t="s">
        <v>3180</v>
      </c>
      <c r="D1476">
        <v>129</v>
      </c>
      <c r="E1476" s="6">
        <v>45846</v>
      </c>
      <c r="F1476">
        <v>200</v>
      </c>
      <c r="G1476">
        <v>21.6</v>
      </c>
      <c r="H1476">
        <v>2.4</v>
      </c>
      <c r="I1476" s="3" t="s">
        <v>8701</v>
      </c>
    </row>
    <row r="1477" spans="1:9" x14ac:dyDescent="0.35">
      <c r="A1477" s="3" t="s">
        <v>10187</v>
      </c>
      <c r="B1477" s="3" t="s">
        <v>3181</v>
      </c>
      <c r="C1477" s="3" t="s">
        <v>3182</v>
      </c>
      <c r="D1477">
        <v>24</v>
      </c>
      <c r="E1477" s="6">
        <v>45951</v>
      </c>
      <c r="F1477">
        <v>50</v>
      </c>
      <c r="G1477">
        <v>2.61</v>
      </c>
      <c r="H1477">
        <v>0.39</v>
      </c>
      <c r="I1477" s="3" t="s">
        <v>8701</v>
      </c>
    </row>
    <row r="1478" spans="1:9" x14ac:dyDescent="0.35">
      <c r="A1478" s="3" t="s">
        <v>10188</v>
      </c>
      <c r="B1478" s="3" t="s">
        <v>3183</v>
      </c>
      <c r="C1478" s="3" t="s">
        <v>3184</v>
      </c>
      <c r="D1478">
        <v>78</v>
      </c>
      <c r="E1478" s="6">
        <v>45897</v>
      </c>
      <c r="F1478">
        <v>0</v>
      </c>
      <c r="G1478">
        <v>10.961</v>
      </c>
      <c r="H1478">
        <v>0.33900000000000002</v>
      </c>
      <c r="I1478" s="3" t="s">
        <v>8701</v>
      </c>
    </row>
    <row r="1479" spans="1:9" x14ac:dyDescent="0.35">
      <c r="A1479" s="3" t="s">
        <v>9025</v>
      </c>
      <c r="B1479" s="3" t="s">
        <v>723</v>
      </c>
      <c r="C1479" s="3" t="s">
        <v>724</v>
      </c>
      <c r="D1479">
        <v>3267</v>
      </c>
      <c r="E1479" s="6">
        <v>42708</v>
      </c>
      <c r="F1479">
        <v>0</v>
      </c>
      <c r="G1479">
        <v>37.24</v>
      </c>
      <c r="H1479">
        <v>0.76</v>
      </c>
      <c r="I1479" s="3" t="s">
        <v>8699</v>
      </c>
    </row>
    <row r="1480" spans="1:9" x14ac:dyDescent="0.35">
      <c r="A1480" s="3" t="s">
        <v>10190</v>
      </c>
      <c r="B1480" s="3" t="s">
        <v>3187</v>
      </c>
      <c r="C1480" s="3" t="s">
        <v>3188</v>
      </c>
      <c r="D1480">
        <v>49</v>
      </c>
      <c r="E1480" s="6">
        <v>45926</v>
      </c>
      <c r="F1480">
        <v>0</v>
      </c>
      <c r="G1480">
        <v>1.7230000000000001</v>
      </c>
      <c r="H1480">
        <v>0.92700000000000005</v>
      </c>
      <c r="I1480" s="3" t="s">
        <v>8756</v>
      </c>
    </row>
    <row r="1481" spans="1:9" x14ac:dyDescent="0.35">
      <c r="A1481" s="3" t="s">
        <v>10191</v>
      </c>
      <c r="B1481" s="3" t="s">
        <v>3189</v>
      </c>
      <c r="C1481" s="3" t="s">
        <v>3190</v>
      </c>
      <c r="D1481">
        <v>45</v>
      </c>
      <c r="E1481" s="6">
        <v>45930</v>
      </c>
      <c r="F1481">
        <v>0</v>
      </c>
      <c r="G1481">
        <v>11.05</v>
      </c>
      <c r="H1481">
        <v>1.95</v>
      </c>
      <c r="I1481" s="3" t="s">
        <v>8701</v>
      </c>
    </row>
    <row r="1482" spans="1:9" x14ac:dyDescent="0.35">
      <c r="A1482" s="3" t="s">
        <v>10192</v>
      </c>
      <c r="B1482" s="3" t="s">
        <v>3191</v>
      </c>
      <c r="C1482" s="3" t="s">
        <v>3192</v>
      </c>
      <c r="D1482">
        <v>50</v>
      </c>
      <c r="E1482" s="6">
        <v>45925</v>
      </c>
      <c r="F1482">
        <v>100</v>
      </c>
      <c r="G1482">
        <v>5.34</v>
      </c>
      <c r="H1482">
        <v>0.66</v>
      </c>
      <c r="I1482" s="3" t="s">
        <v>8701</v>
      </c>
    </row>
    <row r="1483" spans="1:9" x14ac:dyDescent="0.35">
      <c r="A1483" s="3" t="s">
        <v>10193</v>
      </c>
      <c r="B1483" s="3" t="s">
        <v>3193</v>
      </c>
      <c r="C1483" s="3" t="s">
        <v>3194</v>
      </c>
      <c r="D1483">
        <v>32</v>
      </c>
      <c r="E1483" s="6">
        <v>45943</v>
      </c>
      <c r="F1483">
        <v>0</v>
      </c>
      <c r="G1483">
        <v>7.04</v>
      </c>
      <c r="H1483">
        <v>0.96</v>
      </c>
      <c r="I1483" s="3" t="s">
        <v>8756</v>
      </c>
    </row>
    <row r="1484" spans="1:9" x14ac:dyDescent="0.35">
      <c r="A1484" s="3" t="s">
        <v>10194</v>
      </c>
      <c r="B1484" s="3" t="s">
        <v>3195</v>
      </c>
      <c r="C1484" s="3" t="s">
        <v>3196</v>
      </c>
      <c r="D1484">
        <v>3</v>
      </c>
      <c r="E1484" s="6">
        <v>45972</v>
      </c>
      <c r="F1484">
        <v>40</v>
      </c>
      <c r="G1484">
        <v>10.68</v>
      </c>
      <c r="H1484">
        <v>1.32</v>
      </c>
      <c r="I1484" s="3" t="s">
        <v>8701</v>
      </c>
    </row>
    <row r="1485" spans="1:9" x14ac:dyDescent="0.35">
      <c r="A1485" s="3" t="s">
        <v>10195</v>
      </c>
      <c r="B1485" s="3" t="s">
        <v>3197</v>
      </c>
      <c r="C1485" s="3" t="s">
        <v>3198</v>
      </c>
      <c r="D1485">
        <v>56</v>
      </c>
      <c r="E1485" s="6">
        <v>45919</v>
      </c>
      <c r="F1485">
        <v>0</v>
      </c>
      <c r="G1485">
        <v>4.875</v>
      </c>
      <c r="H1485">
        <v>1.625</v>
      </c>
      <c r="I1485" s="3" t="s">
        <v>8756</v>
      </c>
    </row>
    <row r="1486" spans="1:9" x14ac:dyDescent="0.35">
      <c r="A1486" s="3" t="s">
        <v>9028</v>
      </c>
      <c r="B1486" s="3" t="s">
        <v>729</v>
      </c>
      <c r="C1486" s="3" t="s">
        <v>730</v>
      </c>
      <c r="D1486">
        <v>3283</v>
      </c>
      <c r="E1486" s="6">
        <v>42692</v>
      </c>
      <c r="F1486">
        <v>0</v>
      </c>
      <c r="G1486">
        <v>29.7</v>
      </c>
      <c r="H1486">
        <v>0.3</v>
      </c>
      <c r="I1486" s="3" t="s">
        <v>8699</v>
      </c>
    </row>
    <row r="1487" spans="1:9" x14ac:dyDescent="0.35">
      <c r="A1487" s="3" t="s">
        <v>10197</v>
      </c>
      <c r="B1487" s="3" t="s">
        <v>3201</v>
      </c>
      <c r="C1487" s="3" t="s">
        <v>3202</v>
      </c>
      <c r="D1487">
        <v>50</v>
      </c>
      <c r="E1487" s="6">
        <v>45925</v>
      </c>
      <c r="F1487">
        <v>100</v>
      </c>
      <c r="G1487">
        <v>184.14000000000001</v>
      </c>
      <c r="H1487">
        <v>1.86</v>
      </c>
      <c r="I1487" s="3" t="s">
        <v>8701</v>
      </c>
    </row>
    <row r="1488" spans="1:9" x14ac:dyDescent="0.35">
      <c r="A1488" s="3" t="s">
        <v>10198</v>
      </c>
      <c r="B1488" s="3" t="s">
        <v>3203</v>
      </c>
      <c r="C1488" s="3" t="s">
        <v>3204</v>
      </c>
      <c r="D1488">
        <v>58</v>
      </c>
      <c r="E1488" s="6">
        <v>45917</v>
      </c>
      <c r="F1488">
        <v>0</v>
      </c>
      <c r="G1488">
        <v>10.8</v>
      </c>
      <c r="H1488">
        <v>1.2</v>
      </c>
      <c r="I1488" s="3" t="s">
        <v>8756</v>
      </c>
    </row>
    <row r="1489" spans="1:9" x14ac:dyDescent="0.35">
      <c r="A1489" s="3" t="s">
        <v>10199</v>
      </c>
      <c r="B1489" s="3" t="s">
        <v>3205</v>
      </c>
      <c r="C1489" s="3" t="s">
        <v>3206</v>
      </c>
      <c r="D1489">
        <v>102</v>
      </c>
      <c r="E1489" s="6">
        <v>45873</v>
      </c>
      <c r="F1489">
        <v>0</v>
      </c>
      <c r="G1489">
        <v>41.58</v>
      </c>
      <c r="H1489">
        <v>0.42</v>
      </c>
      <c r="I1489" s="3" t="s">
        <v>8701</v>
      </c>
    </row>
    <row r="1490" spans="1:9" x14ac:dyDescent="0.35">
      <c r="A1490" s="3" t="s">
        <v>10200</v>
      </c>
      <c r="B1490" s="3" t="s">
        <v>3207</v>
      </c>
      <c r="C1490" s="3" t="s">
        <v>3208</v>
      </c>
      <c r="D1490">
        <v>304</v>
      </c>
      <c r="E1490" s="6">
        <v>45671</v>
      </c>
      <c r="F1490">
        <v>0</v>
      </c>
      <c r="G1490">
        <v>1.71</v>
      </c>
      <c r="H1490">
        <v>2.09</v>
      </c>
      <c r="I1490" s="3" t="s">
        <v>8701</v>
      </c>
    </row>
    <row r="1491" spans="1:9" x14ac:dyDescent="0.35">
      <c r="A1491" s="3" t="s">
        <v>10201</v>
      </c>
      <c r="B1491" s="3" t="s">
        <v>3209</v>
      </c>
      <c r="C1491" s="3" t="s">
        <v>3210</v>
      </c>
      <c r="D1491">
        <v>56</v>
      </c>
      <c r="E1491" s="6">
        <v>45919</v>
      </c>
      <c r="F1491">
        <v>0</v>
      </c>
      <c r="G1491">
        <v>5.36</v>
      </c>
      <c r="H1491">
        <v>2.64</v>
      </c>
      <c r="I1491" s="3" t="s">
        <v>8756</v>
      </c>
    </row>
    <row r="1492" spans="1:9" x14ac:dyDescent="0.35">
      <c r="A1492" s="3" t="s">
        <v>10202</v>
      </c>
      <c r="B1492" s="3" t="s">
        <v>3211</v>
      </c>
      <c r="C1492" s="3" t="s">
        <v>3212</v>
      </c>
      <c r="D1492">
        <v>100</v>
      </c>
      <c r="E1492" s="6">
        <v>45875</v>
      </c>
      <c r="F1492">
        <v>0</v>
      </c>
      <c r="G1492">
        <v>0.3</v>
      </c>
      <c r="H1492">
        <v>2.7</v>
      </c>
      <c r="I1492" s="3" t="s">
        <v>8701</v>
      </c>
    </row>
    <row r="1493" spans="1:9" x14ac:dyDescent="0.35">
      <c r="A1493" s="3" t="s">
        <v>10203</v>
      </c>
      <c r="B1493" s="3" t="s">
        <v>3213</v>
      </c>
      <c r="C1493" s="3" t="s">
        <v>3214</v>
      </c>
      <c r="D1493">
        <v>0</v>
      </c>
      <c r="E1493" s="6">
        <v>45975</v>
      </c>
      <c r="F1493">
        <v>200</v>
      </c>
      <c r="G1493">
        <v>3.61</v>
      </c>
      <c r="H1493">
        <v>3.61</v>
      </c>
      <c r="I1493" s="3" t="s">
        <v>8701</v>
      </c>
    </row>
    <row r="1494" spans="1:9" x14ac:dyDescent="0.35">
      <c r="A1494" s="3" t="s">
        <v>9386</v>
      </c>
      <c r="B1494" s="3" t="s">
        <v>1481</v>
      </c>
      <c r="C1494" s="3" t="s">
        <v>1482</v>
      </c>
      <c r="D1494">
        <v>3292</v>
      </c>
      <c r="E1494" s="6">
        <v>42683</v>
      </c>
      <c r="F1494">
        <v>0</v>
      </c>
      <c r="G1494">
        <v>49.5</v>
      </c>
      <c r="H1494">
        <v>0.5</v>
      </c>
      <c r="I1494" s="3" t="s">
        <v>8699</v>
      </c>
    </row>
    <row r="1495" spans="1:9" x14ac:dyDescent="0.35">
      <c r="A1495" s="3" t="s">
        <v>9802</v>
      </c>
      <c r="B1495" s="3" t="s">
        <v>2363</v>
      </c>
      <c r="C1495" s="3" t="s">
        <v>2364</v>
      </c>
      <c r="D1495">
        <v>3292</v>
      </c>
      <c r="E1495" s="6">
        <v>42683</v>
      </c>
      <c r="F1495">
        <v>0</v>
      </c>
      <c r="G1495">
        <v>0.01</v>
      </c>
      <c r="H1495">
        <v>0.99</v>
      </c>
      <c r="I1495" s="3" t="s">
        <v>8699</v>
      </c>
    </row>
    <row r="1496" spans="1:9" x14ac:dyDescent="0.35">
      <c r="A1496" s="3" t="s">
        <v>10206</v>
      </c>
      <c r="B1496" s="3" t="s">
        <v>3220</v>
      </c>
      <c r="C1496" s="3" t="s">
        <v>3221</v>
      </c>
      <c r="D1496">
        <v>46</v>
      </c>
      <c r="E1496" s="6">
        <v>45929</v>
      </c>
      <c r="F1496">
        <v>0</v>
      </c>
      <c r="G1496">
        <v>14.875</v>
      </c>
      <c r="H1496">
        <v>2.625</v>
      </c>
      <c r="I1496" s="3" t="s">
        <v>8738</v>
      </c>
    </row>
    <row r="1497" spans="1:9" x14ac:dyDescent="0.35">
      <c r="A1497" s="3" t="s">
        <v>10207</v>
      </c>
      <c r="B1497" s="3" t="s">
        <v>3222</v>
      </c>
      <c r="C1497" s="3" t="s">
        <v>3223</v>
      </c>
      <c r="D1497">
        <v>259</v>
      </c>
      <c r="E1497" s="6">
        <v>45716</v>
      </c>
      <c r="F1497">
        <v>0</v>
      </c>
      <c r="G1497">
        <v>0.9880000000000001</v>
      </c>
      <c r="H1497">
        <v>1.512</v>
      </c>
      <c r="I1497" s="3" t="s">
        <v>8701</v>
      </c>
    </row>
    <row r="1498" spans="1:9" x14ac:dyDescent="0.35">
      <c r="A1498" s="3" t="s">
        <v>10208</v>
      </c>
      <c r="B1498" s="3" t="s">
        <v>3224</v>
      </c>
      <c r="C1498" s="3" t="s">
        <v>3225</v>
      </c>
      <c r="D1498">
        <v>30</v>
      </c>
      <c r="E1498" s="6">
        <v>45945</v>
      </c>
      <c r="F1498">
        <v>0</v>
      </c>
      <c r="G1498">
        <v>30.72</v>
      </c>
      <c r="H1498">
        <v>1.28</v>
      </c>
      <c r="I1498" s="3" t="s">
        <v>8701</v>
      </c>
    </row>
    <row r="1499" spans="1:9" x14ac:dyDescent="0.35">
      <c r="A1499" s="3" t="s">
        <v>10209</v>
      </c>
      <c r="B1499" s="3" t="s">
        <v>3226</v>
      </c>
      <c r="C1499" s="3" t="s">
        <v>3227</v>
      </c>
      <c r="D1499">
        <v>29</v>
      </c>
      <c r="E1499" s="6">
        <v>45946</v>
      </c>
      <c r="F1499">
        <v>0</v>
      </c>
      <c r="G1499">
        <v>31.36</v>
      </c>
      <c r="H1499">
        <v>0.64</v>
      </c>
      <c r="I1499" s="3" t="s">
        <v>8701</v>
      </c>
    </row>
    <row r="1500" spans="1:9" x14ac:dyDescent="0.35">
      <c r="A1500" s="3" t="s">
        <v>10210</v>
      </c>
      <c r="B1500" s="3" t="s">
        <v>3228</v>
      </c>
      <c r="C1500" s="3" t="s">
        <v>3229</v>
      </c>
      <c r="D1500">
        <v>53</v>
      </c>
      <c r="E1500" s="6">
        <v>45922</v>
      </c>
      <c r="F1500">
        <v>0</v>
      </c>
      <c r="G1500">
        <v>2.1</v>
      </c>
      <c r="H1500">
        <v>0.9</v>
      </c>
      <c r="I1500" s="3" t="s">
        <v>8701</v>
      </c>
    </row>
    <row r="1501" spans="1:9" x14ac:dyDescent="0.35">
      <c r="A1501" s="3" t="s">
        <v>10211</v>
      </c>
      <c r="B1501" s="3" t="s">
        <v>3230</v>
      </c>
      <c r="C1501" s="3" t="s">
        <v>3231</v>
      </c>
      <c r="D1501">
        <v>38</v>
      </c>
      <c r="E1501" s="6">
        <v>45937</v>
      </c>
      <c r="F1501">
        <v>0</v>
      </c>
      <c r="G1501">
        <v>3.12</v>
      </c>
      <c r="H1501">
        <v>2.88</v>
      </c>
      <c r="I1501" s="3" t="s">
        <v>8701</v>
      </c>
    </row>
    <row r="1502" spans="1:9" x14ac:dyDescent="0.35">
      <c r="A1502" s="3" t="s">
        <v>10212</v>
      </c>
      <c r="B1502" s="3" t="s">
        <v>3232</v>
      </c>
      <c r="C1502" s="3" t="s">
        <v>3233</v>
      </c>
      <c r="D1502">
        <v>30</v>
      </c>
      <c r="E1502" s="6">
        <v>45945</v>
      </c>
      <c r="F1502">
        <v>0</v>
      </c>
      <c r="G1502">
        <v>9.2000000000000011</v>
      </c>
      <c r="H1502">
        <v>0.8</v>
      </c>
      <c r="I1502" s="3" t="s">
        <v>8701</v>
      </c>
    </row>
    <row r="1503" spans="1:9" x14ac:dyDescent="0.35">
      <c r="A1503" s="3" t="s">
        <v>10213</v>
      </c>
      <c r="B1503" s="3" t="s">
        <v>3234</v>
      </c>
      <c r="C1503" s="3" t="s">
        <v>3235</v>
      </c>
      <c r="D1503">
        <v>25</v>
      </c>
      <c r="E1503" s="6">
        <v>45950</v>
      </c>
      <c r="F1503">
        <v>0</v>
      </c>
      <c r="G1503">
        <v>3.4650000000000003</v>
      </c>
      <c r="H1503">
        <v>2.835</v>
      </c>
      <c r="I1503" s="3" t="s">
        <v>8729</v>
      </c>
    </row>
    <row r="1504" spans="1:9" x14ac:dyDescent="0.35">
      <c r="A1504" s="3" t="s">
        <v>10376</v>
      </c>
      <c r="B1504" s="3" t="s">
        <v>3586</v>
      </c>
      <c r="C1504" s="3" t="s">
        <v>3587</v>
      </c>
      <c r="D1504">
        <v>3292</v>
      </c>
      <c r="E1504" s="6">
        <v>42683</v>
      </c>
      <c r="F1504">
        <v>0</v>
      </c>
      <c r="G1504">
        <v>7.2</v>
      </c>
      <c r="H1504">
        <v>0.8</v>
      </c>
      <c r="I1504" s="3" t="s">
        <v>8699</v>
      </c>
    </row>
    <row r="1505" spans="1:9" x14ac:dyDescent="0.35">
      <c r="A1505" s="3" t="s">
        <v>10215</v>
      </c>
      <c r="B1505" s="3" t="s">
        <v>3238</v>
      </c>
      <c r="C1505" s="3" t="s">
        <v>3239</v>
      </c>
      <c r="D1505">
        <v>955</v>
      </c>
      <c r="E1505" s="6">
        <v>45020</v>
      </c>
      <c r="F1505">
        <v>0</v>
      </c>
      <c r="G1505">
        <v>0</v>
      </c>
      <c r="H1505">
        <v>0</v>
      </c>
      <c r="I1505" s="3" t="s">
        <v>28</v>
      </c>
    </row>
    <row r="1506" spans="1:9" x14ac:dyDescent="0.35">
      <c r="A1506" s="3" t="s">
        <v>10216</v>
      </c>
      <c r="B1506" s="3" t="s">
        <v>3240</v>
      </c>
      <c r="C1506" s="3" t="s">
        <v>3241</v>
      </c>
      <c r="D1506">
        <v>23</v>
      </c>
      <c r="E1506" s="6">
        <v>45952</v>
      </c>
      <c r="F1506">
        <v>0</v>
      </c>
      <c r="G1506">
        <v>22.8</v>
      </c>
      <c r="H1506">
        <v>1.2</v>
      </c>
      <c r="I1506" s="3" t="s">
        <v>8701</v>
      </c>
    </row>
    <row r="1507" spans="1:9" x14ac:dyDescent="0.35">
      <c r="A1507" s="3" t="s">
        <v>10217</v>
      </c>
      <c r="B1507" s="3" t="s">
        <v>3242</v>
      </c>
      <c r="C1507" s="3" t="s">
        <v>3243</v>
      </c>
      <c r="D1507">
        <v>955</v>
      </c>
      <c r="E1507" s="6">
        <v>45020</v>
      </c>
      <c r="F1507">
        <v>0</v>
      </c>
      <c r="G1507">
        <v>0</v>
      </c>
      <c r="H1507">
        <v>0</v>
      </c>
      <c r="I1507" s="3" t="s">
        <v>28</v>
      </c>
    </row>
    <row r="1508" spans="1:9" x14ac:dyDescent="0.35">
      <c r="A1508" s="3" t="s">
        <v>9714</v>
      </c>
      <c r="B1508" s="3" t="s">
        <v>2172</v>
      </c>
      <c r="C1508" s="3" t="s">
        <v>2173</v>
      </c>
      <c r="D1508">
        <v>3297</v>
      </c>
      <c r="E1508" s="6">
        <v>42678</v>
      </c>
      <c r="F1508">
        <v>0</v>
      </c>
      <c r="G1508">
        <v>0</v>
      </c>
      <c r="H1508">
        <v>0</v>
      </c>
      <c r="I1508" s="3" t="s">
        <v>8699</v>
      </c>
    </row>
    <row r="1509" spans="1:9" x14ac:dyDescent="0.35">
      <c r="A1509" s="3" t="s">
        <v>10219</v>
      </c>
      <c r="B1509" s="3" t="s">
        <v>3246</v>
      </c>
      <c r="C1509" s="3" t="s">
        <v>3247</v>
      </c>
      <c r="D1509">
        <v>955</v>
      </c>
      <c r="E1509" s="6">
        <v>45020</v>
      </c>
      <c r="F1509">
        <v>0</v>
      </c>
      <c r="G1509">
        <v>0</v>
      </c>
      <c r="H1509">
        <v>0</v>
      </c>
      <c r="I1509" s="3" t="s">
        <v>28</v>
      </c>
    </row>
    <row r="1510" spans="1:9" x14ac:dyDescent="0.35">
      <c r="A1510" s="3" t="s">
        <v>10459</v>
      </c>
      <c r="B1510" s="3" t="s">
        <v>3762</v>
      </c>
      <c r="C1510" s="3" t="s">
        <v>3763</v>
      </c>
      <c r="D1510">
        <v>3315</v>
      </c>
      <c r="E1510" s="6">
        <v>42660</v>
      </c>
      <c r="F1510">
        <v>0</v>
      </c>
      <c r="G1510">
        <v>7.97</v>
      </c>
      <c r="H1510">
        <v>1.03</v>
      </c>
      <c r="I1510" s="3" t="s">
        <v>8699</v>
      </c>
    </row>
    <row r="1511" spans="1:9" x14ac:dyDescent="0.35">
      <c r="A1511" s="3" t="s">
        <v>9906</v>
      </c>
      <c r="B1511" s="3" t="s">
        <v>2578</v>
      </c>
      <c r="C1511" s="3" t="s">
        <v>2579</v>
      </c>
      <c r="D1511">
        <v>3320</v>
      </c>
      <c r="E1511" s="6">
        <v>42655</v>
      </c>
      <c r="F1511">
        <v>0</v>
      </c>
      <c r="G1511">
        <v>0.35000000000000003</v>
      </c>
      <c r="H1511">
        <v>0.8</v>
      </c>
      <c r="I1511" s="3" t="s">
        <v>8699</v>
      </c>
    </row>
    <row r="1512" spans="1:9" x14ac:dyDescent="0.35">
      <c r="A1512" s="3" t="s">
        <v>11278</v>
      </c>
      <c r="B1512" s="3" t="s">
        <v>5491</v>
      </c>
      <c r="C1512" s="3" t="s">
        <v>5492</v>
      </c>
      <c r="D1512">
        <v>3332</v>
      </c>
      <c r="E1512" s="6">
        <v>42643</v>
      </c>
      <c r="F1512">
        <v>0</v>
      </c>
      <c r="G1512">
        <v>56.448</v>
      </c>
      <c r="H1512">
        <v>1.1520000000000001</v>
      </c>
      <c r="I1512" s="3" t="s">
        <v>8699</v>
      </c>
    </row>
    <row r="1513" spans="1:9" x14ac:dyDescent="0.35">
      <c r="A1513" s="3" t="s">
        <v>10223</v>
      </c>
      <c r="B1513" s="3" t="s">
        <v>3254</v>
      </c>
      <c r="C1513" s="3" t="s">
        <v>3255</v>
      </c>
      <c r="D1513">
        <v>357</v>
      </c>
      <c r="E1513" s="6">
        <v>45618</v>
      </c>
      <c r="F1513">
        <v>0</v>
      </c>
      <c r="G1513">
        <v>6.0000000000000001E-3</v>
      </c>
      <c r="H1513">
        <v>0.10400000000000001</v>
      </c>
      <c r="I1513" s="3" t="s">
        <v>8712</v>
      </c>
    </row>
    <row r="1514" spans="1:9" x14ac:dyDescent="0.35">
      <c r="A1514" s="3" t="s">
        <v>10224</v>
      </c>
      <c r="B1514" s="3" t="s">
        <v>3256</v>
      </c>
      <c r="C1514" s="3" t="s">
        <v>3257</v>
      </c>
      <c r="D1514">
        <v>123</v>
      </c>
      <c r="E1514" s="6">
        <v>45852</v>
      </c>
      <c r="F1514">
        <v>0</v>
      </c>
      <c r="G1514">
        <v>69.930000000000007</v>
      </c>
      <c r="H1514">
        <v>7.0000000000000007E-2</v>
      </c>
      <c r="I1514" s="3" t="s">
        <v>8729</v>
      </c>
    </row>
    <row r="1515" spans="1:9" x14ac:dyDescent="0.35">
      <c r="A1515" s="3" t="s">
        <v>10225</v>
      </c>
      <c r="B1515" s="3" t="s">
        <v>3258</v>
      </c>
      <c r="C1515" s="3" t="s">
        <v>3259</v>
      </c>
      <c r="D1515">
        <v>2438</v>
      </c>
      <c r="E1515" s="6">
        <v>43537</v>
      </c>
      <c r="F1515">
        <v>0</v>
      </c>
      <c r="G1515">
        <v>0</v>
      </c>
      <c r="H1515">
        <v>0</v>
      </c>
      <c r="I1515" s="3" t="s">
        <v>28</v>
      </c>
    </row>
    <row r="1516" spans="1:9" x14ac:dyDescent="0.35">
      <c r="A1516" s="3" t="s">
        <v>10226</v>
      </c>
      <c r="B1516" s="3" t="s">
        <v>3260</v>
      </c>
      <c r="C1516" s="3" t="s">
        <v>3261</v>
      </c>
      <c r="D1516">
        <v>30</v>
      </c>
      <c r="E1516" s="6">
        <v>45945</v>
      </c>
      <c r="F1516">
        <v>0</v>
      </c>
      <c r="G1516">
        <v>20.16</v>
      </c>
      <c r="H1516">
        <v>0.84</v>
      </c>
      <c r="I1516" s="3" t="s">
        <v>8701</v>
      </c>
    </row>
    <row r="1517" spans="1:9" x14ac:dyDescent="0.35">
      <c r="A1517" s="3" t="s">
        <v>10227</v>
      </c>
      <c r="B1517" s="3" t="s">
        <v>3262</v>
      </c>
      <c r="C1517" s="3" t="s">
        <v>3263</v>
      </c>
      <c r="D1517">
        <v>153</v>
      </c>
      <c r="E1517" s="6">
        <v>45822</v>
      </c>
      <c r="F1517">
        <v>100</v>
      </c>
      <c r="G1517">
        <v>2.08</v>
      </c>
      <c r="H1517">
        <v>0.52</v>
      </c>
      <c r="I1517" s="3" t="s">
        <v>8756</v>
      </c>
    </row>
    <row r="1518" spans="1:9" x14ac:dyDescent="0.35">
      <c r="A1518" s="3" t="s">
        <v>10228</v>
      </c>
      <c r="B1518" s="3" t="s">
        <v>3264</v>
      </c>
      <c r="C1518" s="3" t="s">
        <v>3265</v>
      </c>
      <c r="D1518">
        <v>366</v>
      </c>
      <c r="E1518" s="6">
        <v>45609</v>
      </c>
      <c r="F1518">
        <v>0</v>
      </c>
      <c r="G1518">
        <v>6.0000000000000001E-3</v>
      </c>
      <c r="H1518">
        <v>0.10400000000000001</v>
      </c>
      <c r="I1518" s="3" t="s">
        <v>8712</v>
      </c>
    </row>
    <row r="1519" spans="1:9" x14ac:dyDescent="0.35">
      <c r="A1519" s="3" t="s">
        <v>10229</v>
      </c>
      <c r="B1519" s="3" t="s">
        <v>3266</v>
      </c>
      <c r="C1519" s="3" t="s">
        <v>3267</v>
      </c>
      <c r="D1519">
        <v>46</v>
      </c>
      <c r="E1519" s="6">
        <v>45929</v>
      </c>
      <c r="F1519">
        <v>0</v>
      </c>
      <c r="G1519">
        <v>39.9</v>
      </c>
      <c r="H1519">
        <v>2.1</v>
      </c>
      <c r="I1519" s="3" t="s">
        <v>8701</v>
      </c>
    </row>
    <row r="1520" spans="1:9" x14ac:dyDescent="0.35">
      <c r="A1520" s="3" t="s">
        <v>10230</v>
      </c>
      <c r="B1520" s="3" t="s">
        <v>3268</v>
      </c>
      <c r="C1520" s="3" t="s">
        <v>3269</v>
      </c>
      <c r="D1520">
        <v>150</v>
      </c>
      <c r="E1520" s="6">
        <v>45825</v>
      </c>
      <c r="F1520">
        <v>0</v>
      </c>
      <c r="G1520">
        <v>4.4000000000000004</v>
      </c>
      <c r="H1520">
        <v>1.1000000000000001</v>
      </c>
      <c r="I1520" s="3" t="s">
        <v>8701</v>
      </c>
    </row>
    <row r="1521" spans="1:9" x14ac:dyDescent="0.35">
      <c r="A1521" s="3" t="s">
        <v>9924</v>
      </c>
      <c r="B1521" s="3" t="s">
        <v>2620</v>
      </c>
      <c r="C1521" s="3" t="s">
        <v>2621</v>
      </c>
      <c r="D1521">
        <v>3340</v>
      </c>
      <c r="E1521" s="6">
        <v>42635</v>
      </c>
      <c r="F1521">
        <v>0</v>
      </c>
      <c r="G1521">
        <v>0</v>
      </c>
      <c r="H1521">
        <v>0</v>
      </c>
      <c r="I1521" s="3" t="s">
        <v>8699</v>
      </c>
    </row>
    <row r="1522" spans="1:9" x14ac:dyDescent="0.35">
      <c r="A1522" s="3" t="s">
        <v>10232</v>
      </c>
      <c r="B1522" s="3" t="s">
        <v>3272</v>
      </c>
      <c r="C1522" s="3" t="s">
        <v>3273</v>
      </c>
      <c r="D1522">
        <v>46</v>
      </c>
      <c r="E1522" s="6">
        <v>45929</v>
      </c>
      <c r="F1522">
        <v>0</v>
      </c>
      <c r="G1522">
        <v>53.625</v>
      </c>
      <c r="H1522">
        <v>1.375</v>
      </c>
      <c r="I1522" s="3" t="s">
        <v>8701</v>
      </c>
    </row>
    <row r="1523" spans="1:9" x14ac:dyDescent="0.35">
      <c r="A1523" s="3" t="s">
        <v>10233</v>
      </c>
      <c r="B1523" s="3" t="s">
        <v>3274</v>
      </c>
      <c r="C1523" s="3" t="s">
        <v>3275</v>
      </c>
      <c r="D1523">
        <v>92</v>
      </c>
      <c r="E1523" s="6">
        <v>45883</v>
      </c>
      <c r="F1523">
        <v>90</v>
      </c>
      <c r="G1523">
        <v>4.4020000000000001</v>
      </c>
      <c r="H1523">
        <v>1.798</v>
      </c>
      <c r="I1523" s="3" t="s">
        <v>8756</v>
      </c>
    </row>
    <row r="1524" spans="1:9" x14ac:dyDescent="0.35">
      <c r="A1524" s="3" t="s">
        <v>8790</v>
      </c>
      <c r="B1524" s="3" t="s">
        <v>220</v>
      </c>
      <c r="C1524" s="3" t="s">
        <v>221</v>
      </c>
      <c r="D1524">
        <v>3350</v>
      </c>
      <c r="E1524" s="6">
        <v>42625</v>
      </c>
      <c r="F1524">
        <v>0</v>
      </c>
      <c r="G1524">
        <v>31.36</v>
      </c>
      <c r="H1524">
        <v>0.64</v>
      </c>
      <c r="I1524" s="3" t="s">
        <v>8699</v>
      </c>
    </row>
    <row r="1525" spans="1:9" x14ac:dyDescent="0.35">
      <c r="A1525" s="3" t="s">
        <v>10235</v>
      </c>
      <c r="B1525" s="3" t="s">
        <v>3278</v>
      </c>
      <c r="C1525" s="3" t="s">
        <v>3279</v>
      </c>
      <c r="D1525">
        <v>5842</v>
      </c>
      <c r="E1525" s="6">
        <v>40133</v>
      </c>
      <c r="F1525">
        <v>0</v>
      </c>
      <c r="G1525">
        <v>0</v>
      </c>
      <c r="H1525">
        <v>0</v>
      </c>
      <c r="I1525" s="3" t="s">
        <v>28</v>
      </c>
    </row>
    <row r="1526" spans="1:9" x14ac:dyDescent="0.35">
      <c r="A1526" s="3" t="s">
        <v>10236</v>
      </c>
      <c r="B1526" s="3" t="s">
        <v>3280</v>
      </c>
      <c r="C1526" s="3" t="s">
        <v>3281</v>
      </c>
      <c r="D1526">
        <v>599</v>
      </c>
      <c r="E1526" s="6">
        <v>45376</v>
      </c>
      <c r="F1526">
        <v>0</v>
      </c>
      <c r="G1526">
        <v>4.3010000000000002</v>
      </c>
      <c r="H1526">
        <v>1.109</v>
      </c>
      <c r="I1526" s="3" t="s">
        <v>8701</v>
      </c>
    </row>
    <row r="1527" spans="1:9" x14ac:dyDescent="0.35">
      <c r="A1527" s="3" t="s">
        <v>8950</v>
      </c>
      <c r="B1527" s="3" t="s">
        <v>562</v>
      </c>
      <c r="C1527" s="3" t="s">
        <v>563</v>
      </c>
      <c r="D1527">
        <v>3350</v>
      </c>
      <c r="E1527" s="6">
        <v>42625</v>
      </c>
      <c r="F1527">
        <v>0</v>
      </c>
      <c r="G1527">
        <v>8.8730000000000011</v>
      </c>
      <c r="H1527">
        <v>0.877</v>
      </c>
      <c r="I1527" s="3" t="s">
        <v>8699</v>
      </c>
    </row>
    <row r="1528" spans="1:9" x14ac:dyDescent="0.35">
      <c r="A1528" s="3" t="s">
        <v>10238</v>
      </c>
      <c r="B1528" s="3" t="s">
        <v>3284</v>
      </c>
      <c r="C1528" s="3" t="s">
        <v>3285</v>
      </c>
      <c r="D1528">
        <v>23</v>
      </c>
      <c r="E1528" s="6">
        <v>45952</v>
      </c>
      <c r="F1528">
        <v>0</v>
      </c>
      <c r="G1528">
        <v>5.22</v>
      </c>
      <c r="H1528">
        <v>0.78</v>
      </c>
      <c r="I1528" s="3" t="s">
        <v>8756</v>
      </c>
    </row>
    <row r="1529" spans="1:9" x14ac:dyDescent="0.35">
      <c r="A1529" s="3" t="s">
        <v>10564</v>
      </c>
      <c r="B1529" s="3" t="s">
        <v>3982</v>
      </c>
      <c r="C1529" s="3" t="s">
        <v>3983</v>
      </c>
      <c r="D1529">
        <v>3361</v>
      </c>
      <c r="E1529" s="6">
        <v>42614</v>
      </c>
      <c r="F1529">
        <v>0</v>
      </c>
      <c r="G1529">
        <v>7.5600000000000005</v>
      </c>
      <c r="H1529">
        <v>1.44</v>
      </c>
      <c r="I1529" s="3" t="s">
        <v>8699</v>
      </c>
    </row>
    <row r="1530" spans="1:9" x14ac:dyDescent="0.35">
      <c r="A1530" s="3" t="s">
        <v>9890</v>
      </c>
      <c r="B1530" s="3" t="s">
        <v>2544</v>
      </c>
      <c r="C1530" s="3" t="s">
        <v>2545</v>
      </c>
      <c r="D1530">
        <v>3392</v>
      </c>
      <c r="E1530" s="6">
        <v>42583</v>
      </c>
      <c r="F1530">
        <v>0</v>
      </c>
      <c r="G1530">
        <v>9.5</v>
      </c>
      <c r="H1530">
        <v>0.5</v>
      </c>
      <c r="I1530" s="3" t="s">
        <v>8699</v>
      </c>
    </row>
    <row r="1531" spans="1:9" x14ac:dyDescent="0.35">
      <c r="A1531" s="3" t="s">
        <v>9262</v>
      </c>
      <c r="B1531" s="3" t="s">
        <v>1218</v>
      </c>
      <c r="C1531" s="3" t="s">
        <v>1219</v>
      </c>
      <c r="D1531">
        <v>3398</v>
      </c>
      <c r="E1531" s="6">
        <v>42577</v>
      </c>
      <c r="F1531">
        <v>0</v>
      </c>
      <c r="G1531">
        <v>101.97</v>
      </c>
      <c r="H1531">
        <v>1.03</v>
      </c>
      <c r="I1531" s="3" t="s">
        <v>8699</v>
      </c>
    </row>
    <row r="1532" spans="1:9" x14ac:dyDescent="0.35">
      <c r="A1532" s="3" t="s">
        <v>10242</v>
      </c>
      <c r="B1532" s="3" t="s">
        <v>3293</v>
      </c>
      <c r="C1532" s="3" t="s">
        <v>3294</v>
      </c>
      <c r="D1532">
        <v>100</v>
      </c>
      <c r="E1532" s="6">
        <v>45875</v>
      </c>
      <c r="F1532">
        <v>0</v>
      </c>
      <c r="G1532">
        <v>69.3</v>
      </c>
      <c r="H1532">
        <v>0.70000000000000007</v>
      </c>
      <c r="I1532" s="3" t="s">
        <v>8701</v>
      </c>
    </row>
    <row r="1533" spans="1:9" x14ac:dyDescent="0.35">
      <c r="A1533" s="3" t="s">
        <v>10751</v>
      </c>
      <c r="B1533" s="3" t="s">
        <v>4375</v>
      </c>
      <c r="C1533" s="3" t="s">
        <v>4376</v>
      </c>
      <c r="D1533">
        <v>3398</v>
      </c>
      <c r="E1533" s="6">
        <v>42577</v>
      </c>
      <c r="F1533">
        <v>0</v>
      </c>
      <c r="G1533">
        <v>29.44</v>
      </c>
      <c r="H1533">
        <v>2.56</v>
      </c>
      <c r="I1533" s="3" t="s">
        <v>8699</v>
      </c>
    </row>
    <row r="1534" spans="1:9" x14ac:dyDescent="0.35">
      <c r="A1534" s="3" t="s">
        <v>10244</v>
      </c>
      <c r="B1534" s="3" t="s">
        <v>3298</v>
      </c>
      <c r="C1534" s="3" t="s">
        <v>3299</v>
      </c>
      <c r="D1534">
        <v>18</v>
      </c>
      <c r="E1534" s="6">
        <v>45957</v>
      </c>
      <c r="F1534">
        <v>0</v>
      </c>
      <c r="G1534">
        <v>2.31</v>
      </c>
      <c r="H1534">
        <v>0.99</v>
      </c>
      <c r="I1534" s="3" t="s">
        <v>8703</v>
      </c>
    </row>
    <row r="1535" spans="1:9" x14ac:dyDescent="0.35">
      <c r="A1535" s="3" t="s">
        <v>10245</v>
      </c>
      <c r="B1535" s="3" t="s">
        <v>3300</v>
      </c>
      <c r="C1535" s="3" t="s">
        <v>3301</v>
      </c>
      <c r="D1535">
        <v>726</v>
      </c>
      <c r="E1535" s="6">
        <v>45249</v>
      </c>
      <c r="F1535">
        <v>0</v>
      </c>
      <c r="G1535">
        <v>0</v>
      </c>
      <c r="H1535">
        <v>0</v>
      </c>
      <c r="I1535" s="3" t="s">
        <v>28</v>
      </c>
    </row>
    <row r="1536" spans="1:9" x14ac:dyDescent="0.35">
      <c r="A1536" s="3" t="s">
        <v>11039</v>
      </c>
      <c r="B1536" s="3" t="s">
        <v>4990</v>
      </c>
      <c r="C1536" s="3" t="s">
        <v>4991</v>
      </c>
      <c r="D1536">
        <v>3399</v>
      </c>
      <c r="E1536" s="6">
        <v>42576</v>
      </c>
      <c r="F1536">
        <v>0</v>
      </c>
      <c r="G1536">
        <v>41.65</v>
      </c>
      <c r="H1536">
        <v>0.85</v>
      </c>
      <c r="I1536" s="3" t="s">
        <v>8699</v>
      </c>
    </row>
    <row r="1537" spans="1:9" x14ac:dyDescent="0.35">
      <c r="A1537" s="3" t="s">
        <v>10247</v>
      </c>
      <c r="B1537" s="3" t="s">
        <v>3304</v>
      </c>
      <c r="C1537" s="3" t="s">
        <v>3305</v>
      </c>
      <c r="D1537">
        <v>5854</v>
      </c>
      <c r="E1537" s="6">
        <v>40121</v>
      </c>
      <c r="F1537">
        <v>0</v>
      </c>
      <c r="G1537">
        <v>0</v>
      </c>
      <c r="H1537">
        <v>0</v>
      </c>
      <c r="I1537" s="3" t="s">
        <v>28</v>
      </c>
    </row>
    <row r="1538" spans="1:9" x14ac:dyDescent="0.35">
      <c r="A1538" s="3" t="s">
        <v>9014</v>
      </c>
      <c r="B1538" s="3" t="s">
        <v>698</v>
      </c>
      <c r="C1538" s="3" t="s">
        <v>699</v>
      </c>
      <c r="D1538">
        <v>3405</v>
      </c>
      <c r="E1538" s="6">
        <v>42570</v>
      </c>
      <c r="F1538">
        <v>0</v>
      </c>
      <c r="G1538">
        <v>0</v>
      </c>
      <c r="H1538">
        <v>0</v>
      </c>
      <c r="I1538" s="3" t="s">
        <v>8699</v>
      </c>
    </row>
    <row r="1539" spans="1:9" x14ac:dyDescent="0.35">
      <c r="A1539" s="3" t="s">
        <v>10249</v>
      </c>
      <c r="B1539" s="3" t="s">
        <v>3308</v>
      </c>
      <c r="C1539" s="3" t="s">
        <v>3309</v>
      </c>
      <c r="D1539">
        <v>726</v>
      </c>
      <c r="E1539" s="6">
        <v>45249</v>
      </c>
      <c r="F1539">
        <v>0</v>
      </c>
      <c r="G1539">
        <v>0</v>
      </c>
      <c r="H1539">
        <v>0</v>
      </c>
      <c r="I1539" s="3" t="s">
        <v>28</v>
      </c>
    </row>
    <row r="1540" spans="1:9" x14ac:dyDescent="0.35">
      <c r="A1540" s="3" t="s">
        <v>11247</v>
      </c>
      <c r="B1540" s="3" t="s">
        <v>5427</v>
      </c>
      <c r="C1540" s="3" t="s">
        <v>5428</v>
      </c>
      <c r="D1540">
        <v>3413</v>
      </c>
      <c r="E1540" s="6">
        <v>42562</v>
      </c>
      <c r="F1540">
        <v>0</v>
      </c>
      <c r="G1540">
        <v>0</v>
      </c>
      <c r="H1540">
        <v>0.01</v>
      </c>
      <c r="I1540" s="3" t="s">
        <v>8699</v>
      </c>
    </row>
    <row r="1541" spans="1:9" x14ac:dyDescent="0.35">
      <c r="A1541" s="3" t="s">
        <v>10251</v>
      </c>
      <c r="B1541" s="3" t="s">
        <v>3312</v>
      </c>
      <c r="C1541" s="3" t="s">
        <v>3313</v>
      </c>
      <c r="D1541">
        <v>246</v>
      </c>
      <c r="E1541" s="6">
        <v>45729</v>
      </c>
      <c r="F1541">
        <v>0</v>
      </c>
      <c r="G1541">
        <v>5.0000000000000001E-3</v>
      </c>
      <c r="H1541">
        <v>9.5000000000000001E-2</v>
      </c>
      <c r="I1541" s="3" t="s">
        <v>8712</v>
      </c>
    </row>
    <row r="1542" spans="1:9" x14ac:dyDescent="0.35">
      <c r="A1542" s="3" t="s">
        <v>8956</v>
      </c>
      <c r="B1542" s="3" t="s">
        <v>576</v>
      </c>
      <c r="C1542" s="3" t="s">
        <v>577</v>
      </c>
      <c r="D1542">
        <v>3414</v>
      </c>
      <c r="E1542" s="6">
        <v>42561</v>
      </c>
      <c r="F1542">
        <v>0</v>
      </c>
      <c r="G1542">
        <v>4.0000000000000001E-3</v>
      </c>
      <c r="H1542">
        <v>9.6000000000000002E-2</v>
      </c>
      <c r="I1542" s="3" t="s">
        <v>8699</v>
      </c>
    </row>
    <row r="1543" spans="1:9" x14ac:dyDescent="0.35">
      <c r="A1543" s="3" t="s">
        <v>10253</v>
      </c>
      <c r="B1543" s="3" t="s">
        <v>3316</v>
      </c>
      <c r="C1543" s="3" t="s">
        <v>3317</v>
      </c>
      <c r="D1543">
        <v>58</v>
      </c>
      <c r="E1543" s="6">
        <v>45917</v>
      </c>
      <c r="F1543">
        <v>0</v>
      </c>
      <c r="G1543">
        <v>15.47</v>
      </c>
      <c r="H1543">
        <v>1.53</v>
      </c>
      <c r="I1543" s="3" t="s">
        <v>8701</v>
      </c>
    </row>
    <row r="1544" spans="1:9" x14ac:dyDescent="0.35">
      <c r="A1544" s="3" t="s">
        <v>9227</v>
      </c>
      <c r="B1544" s="3" t="s">
        <v>1147</v>
      </c>
      <c r="C1544" s="3" t="s">
        <v>1148</v>
      </c>
      <c r="D1544">
        <v>3414</v>
      </c>
      <c r="E1544" s="6">
        <v>42561</v>
      </c>
      <c r="F1544">
        <v>0</v>
      </c>
      <c r="G1544">
        <v>1.2E-2</v>
      </c>
      <c r="H1544">
        <v>0.218</v>
      </c>
      <c r="I1544" s="3" t="s">
        <v>8699</v>
      </c>
    </row>
    <row r="1545" spans="1:9" x14ac:dyDescent="0.35">
      <c r="A1545" s="3" t="s">
        <v>9260</v>
      </c>
      <c r="B1545" s="3" t="s">
        <v>1214</v>
      </c>
      <c r="C1545" s="3" t="s">
        <v>1215</v>
      </c>
      <c r="D1545">
        <v>3414</v>
      </c>
      <c r="E1545" s="6">
        <v>42561</v>
      </c>
      <c r="F1545">
        <v>0</v>
      </c>
      <c r="G1545">
        <v>2E-3</v>
      </c>
      <c r="H1545">
        <v>0.108</v>
      </c>
      <c r="I1545" s="3" t="s">
        <v>8699</v>
      </c>
    </row>
    <row r="1546" spans="1:9" x14ac:dyDescent="0.35">
      <c r="A1546" s="3" t="s">
        <v>9486</v>
      </c>
      <c r="B1546" s="3" t="s">
        <v>1683</v>
      </c>
      <c r="C1546" s="3" t="s">
        <v>1684</v>
      </c>
      <c r="D1546">
        <v>3414</v>
      </c>
      <c r="E1546" s="6">
        <v>42561</v>
      </c>
      <c r="F1546">
        <v>0</v>
      </c>
      <c r="G1546">
        <v>2E-3</v>
      </c>
      <c r="H1546">
        <v>5.8000000000000003E-2</v>
      </c>
      <c r="I1546" s="3" t="s">
        <v>8699</v>
      </c>
    </row>
    <row r="1547" spans="1:9" x14ac:dyDescent="0.35">
      <c r="A1547" s="3" t="s">
        <v>10257</v>
      </c>
      <c r="B1547" s="3" t="s">
        <v>3324</v>
      </c>
      <c r="C1547" s="3" t="s">
        <v>3325</v>
      </c>
      <c r="D1547">
        <v>18</v>
      </c>
      <c r="E1547" s="6">
        <v>45957</v>
      </c>
      <c r="F1547">
        <v>0</v>
      </c>
      <c r="G1547">
        <v>4.9800000000000004</v>
      </c>
      <c r="H1547">
        <v>1.02</v>
      </c>
      <c r="I1547" s="3" t="s">
        <v>8703</v>
      </c>
    </row>
    <row r="1548" spans="1:9" x14ac:dyDescent="0.35">
      <c r="A1548" s="3" t="s">
        <v>10258</v>
      </c>
      <c r="B1548" s="3" t="s">
        <v>3326</v>
      </c>
      <c r="C1548" s="3" t="s">
        <v>3327</v>
      </c>
      <c r="D1548">
        <v>23</v>
      </c>
      <c r="E1548" s="6">
        <v>45952</v>
      </c>
      <c r="F1548">
        <v>0</v>
      </c>
      <c r="G1548">
        <v>8.0000000000000002E-3</v>
      </c>
      <c r="H1548">
        <v>0.192</v>
      </c>
      <c r="I1548" s="3" t="s">
        <v>8712</v>
      </c>
    </row>
    <row r="1549" spans="1:9" x14ac:dyDescent="0.35">
      <c r="A1549" s="3" t="s">
        <v>10259</v>
      </c>
      <c r="B1549" s="3" t="s">
        <v>3329</v>
      </c>
      <c r="C1549" s="3" t="s">
        <v>3330</v>
      </c>
      <c r="D1549">
        <v>107</v>
      </c>
      <c r="E1549" s="6">
        <v>45868</v>
      </c>
      <c r="F1549">
        <v>0</v>
      </c>
      <c r="G1549">
        <v>18.05</v>
      </c>
      <c r="H1549">
        <v>0.95000000000000007</v>
      </c>
      <c r="I1549" s="3" t="s">
        <v>8701</v>
      </c>
    </row>
    <row r="1550" spans="1:9" x14ac:dyDescent="0.35">
      <c r="A1550" s="3" t="s">
        <v>10260</v>
      </c>
      <c r="B1550" s="3" t="s">
        <v>3331</v>
      </c>
      <c r="C1550" s="3" t="s">
        <v>3332</v>
      </c>
      <c r="D1550">
        <v>46</v>
      </c>
      <c r="E1550" s="6">
        <v>45929</v>
      </c>
      <c r="F1550">
        <v>0</v>
      </c>
      <c r="G1550">
        <v>0.85100000000000009</v>
      </c>
      <c r="H1550">
        <v>0.48900000000000005</v>
      </c>
      <c r="I1550" s="3" t="s">
        <v>8701</v>
      </c>
    </row>
    <row r="1551" spans="1:9" x14ac:dyDescent="0.35">
      <c r="A1551" s="3" t="s">
        <v>10261</v>
      </c>
      <c r="B1551" s="3" t="s">
        <v>3333</v>
      </c>
      <c r="C1551" s="3" t="s">
        <v>3334</v>
      </c>
      <c r="D1551">
        <v>273</v>
      </c>
      <c r="E1551" s="6">
        <v>45702</v>
      </c>
      <c r="F1551">
        <v>0</v>
      </c>
      <c r="G1551">
        <v>119.04</v>
      </c>
      <c r="H1551">
        <v>0.96</v>
      </c>
      <c r="I1551" s="3" t="s">
        <v>8701</v>
      </c>
    </row>
    <row r="1552" spans="1:9" x14ac:dyDescent="0.35">
      <c r="A1552" s="3" t="s">
        <v>9533</v>
      </c>
      <c r="B1552" s="3" t="s">
        <v>1781</v>
      </c>
      <c r="C1552" s="3" t="s">
        <v>1782</v>
      </c>
      <c r="D1552">
        <v>3414</v>
      </c>
      <c r="E1552" s="6">
        <v>42561</v>
      </c>
      <c r="F1552">
        <v>0</v>
      </c>
      <c r="G1552">
        <v>1E-3</v>
      </c>
      <c r="H1552">
        <v>5.9000000000000004E-2</v>
      </c>
      <c r="I1552" s="3" t="s">
        <v>8699</v>
      </c>
    </row>
    <row r="1553" spans="1:9" x14ac:dyDescent="0.35">
      <c r="A1553" s="3" t="s">
        <v>10263</v>
      </c>
      <c r="B1553" s="3" t="s">
        <v>3337</v>
      </c>
      <c r="C1553" s="3" t="s">
        <v>3338</v>
      </c>
      <c r="D1553">
        <v>46</v>
      </c>
      <c r="E1553" s="6">
        <v>45929</v>
      </c>
      <c r="F1553">
        <v>0</v>
      </c>
      <c r="G1553">
        <v>2.4</v>
      </c>
      <c r="H1553">
        <v>0.1</v>
      </c>
      <c r="I1553" s="3" t="s">
        <v>8756</v>
      </c>
    </row>
    <row r="1554" spans="1:9" x14ac:dyDescent="0.35">
      <c r="A1554" s="3" t="s">
        <v>10264</v>
      </c>
      <c r="B1554" s="3" t="s">
        <v>3340</v>
      </c>
      <c r="C1554" s="3" t="s">
        <v>3341</v>
      </c>
      <c r="D1554">
        <v>24</v>
      </c>
      <c r="E1554" s="6">
        <v>45951</v>
      </c>
      <c r="F1554">
        <v>0</v>
      </c>
      <c r="G1554">
        <v>27.695</v>
      </c>
      <c r="H1554">
        <v>1.7050000000000001</v>
      </c>
      <c r="I1554" s="3" t="s">
        <v>8701</v>
      </c>
    </row>
    <row r="1555" spans="1:9" x14ac:dyDescent="0.35">
      <c r="A1555" s="3" t="s">
        <v>10265</v>
      </c>
      <c r="B1555" s="3" t="s">
        <v>3342</v>
      </c>
      <c r="C1555" s="3" t="s">
        <v>3343</v>
      </c>
      <c r="D1555">
        <v>2019</v>
      </c>
      <c r="E1555" s="6">
        <v>43956</v>
      </c>
      <c r="F1555">
        <v>0</v>
      </c>
      <c r="G1555">
        <v>6.0000000000000001E-3</v>
      </c>
      <c r="H1555">
        <v>9.4E-2</v>
      </c>
      <c r="I1555" s="3" t="s">
        <v>8712</v>
      </c>
    </row>
    <row r="1556" spans="1:9" x14ac:dyDescent="0.35">
      <c r="A1556" s="3" t="s">
        <v>9952</v>
      </c>
      <c r="B1556" s="3" t="s">
        <v>2682</v>
      </c>
      <c r="C1556" s="3" t="s">
        <v>2683</v>
      </c>
      <c r="D1556">
        <v>3414</v>
      </c>
      <c r="E1556" s="6">
        <v>42561</v>
      </c>
      <c r="F1556">
        <v>0</v>
      </c>
      <c r="G1556">
        <v>5.3000000000000005E-2</v>
      </c>
      <c r="H1556">
        <v>0.10700000000000001</v>
      </c>
      <c r="I1556" s="3" t="s">
        <v>8699</v>
      </c>
    </row>
    <row r="1557" spans="1:9" x14ac:dyDescent="0.35">
      <c r="A1557" s="3" t="s">
        <v>10587</v>
      </c>
      <c r="B1557" s="3" t="s">
        <v>4029</v>
      </c>
      <c r="C1557" s="3" t="s">
        <v>4030</v>
      </c>
      <c r="D1557">
        <v>3414</v>
      </c>
      <c r="E1557" s="6">
        <v>42561</v>
      </c>
      <c r="F1557">
        <v>0</v>
      </c>
      <c r="G1557">
        <v>3.0000000000000001E-3</v>
      </c>
      <c r="H1557">
        <v>6.7000000000000004E-2</v>
      </c>
      <c r="I1557" s="3" t="s">
        <v>8699</v>
      </c>
    </row>
    <row r="1558" spans="1:9" x14ac:dyDescent="0.35">
      <c r="A1558" s="3" t="s">
        <v>10925</v>
      </c>
      <c r="B1558" s="3" t="s">
        <v>4738</v>
      </c>
      <c r="C1558" s="3" t="s">
        <v>4739</v>
      </c>
      <c r="D1558">
        <v>3414</v>
      </c>
      <c r="E1558" s="6">
        <v>42561</v>
      </c>
      <c r="F1558">
        <v>0</v>
      </c>
      <c r="G1558">
        <v>0</v>
      </c>
      <c r="H1558">
        <v>0.05</v>
      </c>
      <c r="I1558" s="3" t="s">
        <v>8699</v>
      </c>
    </row>
    <row r="1559" spans="1:9" x14ac:dyDescent="0.35">
      <c r="A1559" s="3" t="s">
        <v>10269</v>
      </c>
      <c r="B1559" s="3" t="s">
        <v>3353</v>
      </c>
      <c r="C1559" s="3" t="s">
        <v>3354</v>
      </c>
      <c r="D1559">
        <v>53</v>
      </c>
      <c r="E1559" s="6">
        <v>45922</v>
      </c>
      <c r="F1559">
        <v>0</v>
      </c>
      <c r="G1559">
        <v>3</v>
      </c>
      <c r="H1559">
        <v>2</v>
      </c>
      <c r="I1559" s="3" t="s">
        <v>8701</v>
      </c>
    </row>
    <row r="1560" spans="1:9" x14ac:dyDescent="0.35">
      <c r="A1560" s="3" t="s">
        <v>10270</v>
      </c>
      <c r="B1560" s="3" t="s">
        <v>3355</v>
      </c>
      <c r="C1560" s="3" t="s">
        <v>3356</v>
      </c>
      <c r="D1560">
        <v>23</v>
      </c>
      <c r="E1560" s="6">
        <v>45952</v>
      </c>
      <c r="F1560">
        <v>0</v>
      </c>
      <c r="G1560">
        <v>4.8</v>
      </c>
      <c r="H1560">
        <v>1.2</v>
      </c>
      <c r="I1560" s="3" t="s">
        <v>8701</v>
      </c>
    </row>
    <row r="1561" spans="1:9" x14ac:dyDescent="0.35">
      <c r="A1561" s="3" t="s">
        <v>11058</v>
      </c>
      <c r="B1561" s="3" t="s">
        <v>5029</v>
      </c>
      <c r="C1561" s="3" t="s">
        <v>5030</v>
      </c>
      <c r="D1561">
        <v>3414</v>
      </c>
      <c r="E1561" s="6">
        <v>42561</v>
      </c>
      <c r="F1561">
        <v>0</v>
      </c>
      <c r="G1561">
        <v>5.0000000000000001E-3</v>
      </c>
      <c r="H1561">
        <v>0.155</v>
      </c>
      <c r="I1561" s="3" t="s">
        <v>8699</v>
      </c>
    </row>
    <row r="1562" spans="1:9" x14ac:dyDescent="0.35">
      <c r="A1562" s="3" t="s">
        <v>10272</v>
      </c>
      <c r="B1562" s="3" t="s">
        <v>3361</v>
      </c>
      <c r="C1562" s="3" t="s">
        <v>3362</v>
      </c>
      <c r="D1562">
        <v>2038</v>
      </c>
      <c r="E1562" s="6">
        <v>43937</v>
      </c>
      <c r="F1562">
        <v>0</v>
      </c>
      <c r="G1562">
        <v>1.4E-2</v>
      </c>
      <c r="H1562">
        <v>0.216</v>
      </c>
      <c r="I1562" s="3" t="s">
        <v>8712</v>
      </c>
    </row>
    <row r="1563" spans="1:9" x14ac:dyDescent="0.35">
      <c r="A1563" s="3" t="s">
        <v>10273</v>
      </c>
      <c r="B1563" s="3" t="s">
        <v>3364</v>
      </c>
      <c r="C1563" s="3" t="s">
        <v>3365</v>
      </c>
      <c r="D1563">
        <v>22</v>
      </c>
      <c r="E1563" s="6">
        <v>45953</v>
      </c>
      <c r="F1563">
        <v>0</v>
      </c>
      <c r="G1563">
        <v>2.88</v>
      </c>
      <c r="H1563">
        <v>0.92</v>
      </c>
      <c r="I1563" s="3" t="s">
        <v>8701</v>
      </c>
    </row>
    <row r="1564" spans="1:9" x14ac:dyDescent="0.35">
      <c r="A1564" s="3" t="s">
        <v>10274</v>
      </c>
      <c r="B1564" s="3" t="s">
        <v>3367</v>
      </c>
      <c r="C1564" s="3" t="s">
        <v>3368</v>
      </c>
      <c r="D1564">
        <v>955</v>
      </c>
      <c r="E1564" s="6">
        <v>45020</v>
      </c>
      <c r="F1564">
        <v>0</v>
      </c>
      <c r="G1564">
        <v>0</v>
      </c>
      <c r="H1564">
        <v>0</v>
      </c>
      <c r="I1564" s="3" t="s">
        <v>28</v>
      </c>
    </row>
    <row r="1565" spans="1:9" x14ac:dyDescent="0.35">
      <c r="A1565" s="3" t="s">
        <v>10275</v>
      </c>
      <c r="B1565" s="3" t="s">
        <v>3369</v>
      </c>
      <c r="C1565" s="3" t="s">
        <v>3370</v>
      </c>
      <c r="D1565">
        <v>7818</v>
      </c>
      <c r="E1565" s="6">
        <v>38157</v>
      </c>
      <c r="F1565">
        <v>0</v>
      </c>
      <c r="G1565">
        <v>0</v>
      </c>
      <c r="H1565">
        <v>0</v>
      </c>
      <c r="I1565" s="3" t="s">
        <v>28</v>
      </c>
    </row>
    <row r="1566" spans="1:9" x14ac:dyDescent="0.35">
      <c r="A1566" s="3" t="s">
        <v>10276</v>
      </c>
      <c r="B1566" s="3" t="s">
        <v>3371</v>
      </c>
      <c r="C1566" s="3" t="s">
        <v>3372</v>
      </c>
      <c r="D1566">
        <v>239</v>
      </c>
      <c r="E1566" s="6">
        <v>45736</v>
      </c>
      <c r="F1566">
        <v>0</v>
      </c>
      <c r="G1566">
        <v>6.0000000000000001E-3</v>
      </c>
      <c r="H1566">
        <v>0.154</v>
      </c>
      <c r="I1566" s="3" t="s">
        <v>8712</v>
      </c>
    </row>
    <row r="1567" spans="1:9" x14ac:dyDescent="0.35">
      <c r="A1567" s="3" t="s">
        <v>10277</v>
      </c>
      <c r="B1567" s="3" t="s">
        <v>3373</v>
      </c>
      <c r="C1567" s="3" t="s">
        <v>3374</v>
      </c>
      <c r="D1567">
        <v>23</v>
      </c>
      <c r="E1567" s="6">
        <v>45952</v>
      </c>
      <c r="F1567">
        <v>0</v>
      </c>
      <c r="G1567">
        <v>6.3</v>
      </c>
      <c r="H1567">
        <v>0.70000000000000007</v>
      </c>
      <c r="I1567" s="3" t="s">
        <v>8756</v>
      </c>
    </row>
    <row r="1568" spans="1:9" x14ac:dyDescent="0.35">
      <c r="A1568" s="3" t="s">
        <v>8727</v>
      </c>
      <c r="B1568" s="3" t="s">
        <v>78</v>
      </c>
      <c r="C1568" s="3" t="s">
        <v>79</v>
      </c>
      <c r="D1568">
        <v>3417</v>
      </c>
      <c r="E1568" s="6">
        <v>42558</v>
      </c>
      <c r="F1568">
        <v>0</v>
      </c>
      <c r="G1568">
        <v>5.0000000000000001E-3</v>
      </c>
      <c r="H1568">
        <v>0.45500000000000002</v>
      </c>
      <c r="I1568" s="3" t="s">
        <v>8699</v>
      </c>
    </row>
    <row r="1569" spans="1:9" x14ac:dyDescent="0.35">
      <c r="A1569" s="3" t="s">
        <v>10279</v>
      </c>
      <c r="B1569" s="3" t="s">
        <v>3377</v>
      </c>
      <c r="C1569" s="3" t="s">
        <v>3378</v>
      </c>
      <c r="D1569">
        <v>9039</v>
      </c>
      <c r="E1569" s="6">
        <v>36936</v>
      </c>
      <c r="F1569">
        <v>0</v>
      </c>
      <c r="G1569">
        <v>0.496</v>
      </c>
      <c r="H1569">
        <v>0.65400000000000003</v>
      </c>
      <c r="I1569" s="3" t="s">
        <v>8701</v>
      </c>
    </row>
    <row r="1570" spans="1:9" x14ac:dyDescent="0.35">
      <c r="A1570" s="3" t="s">
        <v>10280</v>
      </c>
      <c r="B1570" s="3" t="s">
        <v>3379</v>
      </c>
      <c r="C1570" s="3" t="s">
        <v>3380</v>
      </c>
      <c r="D1570">
        <v>46</v>
      </c>
      <c r="E1570" s="6">
        <v>45929</v>
      </c>
      <c r="F1570">
        <v>0</v>
      </c>
      <c r="G1570">
        <v>15.84</v>
      </c>
      <c r="H1570">
        <v>2.16</v>
      </c>
      <c r="I1570" s="3" t="s">
        <v>8701</v>
      </c>
    </row>
    <row r="1571" spans="1:9" x14ac:dyDescent="0.35">
      <c r="A1571" s="3" t="s">
        <v>8813</v>
      </c>
      <c r="B1571" s="3" t="s">
        <v>276</v>
      </c>
      <c r="C1571" s="3" t="s">
        <v>277</v>
      </c>
      <c r="D1571">
        <v>3417</v>
      </c>
      <c r="E1571" s="6">
        <v>42558</v>
      </c>
      <c r="F1571">
        <v>0</v>
      </c>
      <c r="G1571">
        <v>9.0000000000000011E-3</v>
      </c>
      <c r="H1571">
        <v>0.221</v>
      </c>
      <c r="I1571" s="3" t="s">
        <v>8699</v>
      </c>
    </row>
    <row r="1572" spans="1:9" x14ac:dyDescent="0.35">
      <c r="A1572" s="3" t="s">
        <v>8833</v>
      </c>
      <c r="B1572" s="3" t="s">
        <v>319</v>
      </c>
      <c r="C1572" s="3" t="s">
        <v>320</v>
      </c>
      <c r="D1572">
        <v>3417</v>
      </c>
      <c r="E1572" s="6">
        <v>42558</v>
      </c>
      <c r="F1572">
        <v>0</v>
      </c>
      <c r="G1572">
        <v>0.36</v>
      </c>
      <c r="H1572">
        <v>0.24</v>
      </c>
      <c r="I1572" s="3" t="s">
        <v>8699</v>
      </c>
    </row>
    <row r="1573" spans="1:9" x14ac:dyDescent="0.35">
      <c r="A1573" s="3" t="s">
        <v>9250</v>
      </c>
      <c r="B1573" s="3" t="s">
        <v>1194</v>
      </c>
      <c r="C1573" s="3" t="s">
        <v>1195</v>
      </c>
      <c r="D1573">
        <v>3417</v>
      </c>
      <c r="E1573" s="6">
        <v>42558</v>
      </c>
      <c r="F1573">
        <v>0</v>
      </c>
      <c r="G1573">
        <v>3.0000000000000001E-3</v>
      </c>
      <c r="H1573">
        <v>0.127</v>
      </c>
      <c r="I1573" s="3" t="s">
        <v>8699</v>
      </c>
    </row>
    <row r="1574" spans="1:9" x14ac:dyDescent="0.35">
      <c r="A1574" s="3" t="s">
        <v>10284</v>
      </c>
      <c r="B1574" s="3" t="s">
        <v>3387</v>
      </c>
      <c r="C1574" s="3" t="s">
        <v>3388</v>
      </c>
      <c r="D1574">
        <v>109</v>
      </c>
      <c r="E1574" s="6">
        <v>45866</v>
      </c>
      <c r="F1574">
        <v>100</v>
      </c>
      <c r="G1574">
        <v>17.73</v>
      </c>
      <c r="H1574">
        <v>1.97</v>
      </c>
      <c r="I1574" s="3" t="s">
        <v>8729</v>
      </c>
    </row>
    <row r="1575" spans="1:9" x14ac:dyDescent="0.35">
      <c r="A1575" s="3" t="s">
        <v>9362</v>
      </c>
      <c r="B1575" s="3" t="s">
        <v>1433</v>
      </c>
      <c r="C1575" s="3" t="s">
        <v>1434</v>
      </c>
      <c r="D1575">
        <v>3417</v>
      </c>
      <c r="E1575" s="6">
        <v>42558</v>
      </c>
      <c r="F1575">
        <v>0</v>
      </c>
      <c r="G1575">
        <v>0.01</v>
      </c>
      <c r="H1575">
        <v>0.13</v>
      </c>
      <c r="I1575" s="3" t="s">
        <v>8699</v>
      </c>
    </row>
    <row r="1576" spans="1:9" x14ac:dyDescent="0.35">
      <c r="A1576" s="3" t="s">
        <v>10286</v>
      </c>
      <c r="B1576" s="3" t="s">
        <v>3393</v>
      </c>
      <c r="C1576" s="3" t="s">
        <v>3394</v>
      </c>
      <c r="D1576">
        <v>23</v>
      </c>
      <c r="E1576" s="6">
        <v>45952</v>
      </c>
      <c r="F1576">
        <v>0</v>
      </c>
      <c r="G1576">
        <v>5.0000000000000001E-3</v>
      </c>
      <c r="H1576">
        <v>0.125</v>
      </c>
      <c r="I1576" s="3" t="s">
        <v>8712</v>
      </c>
    </row>
    <row r="1577" spans="1:9" x14ac:dyDescent="0.35">
      <c r="A1577" s="3" t="s">
        <v>10287</v>
      </c>
      <c r="B1577" s="3" t="s">
        <v>3395</v>
      </c>
      <c r="C1577" s="3" t="s">
        <v>3396</v>
      </c>
      <c r="D1577">
        <v>21</v>
      </c>
      <c r="E1577" s="6">
        <v>45954</v>
      </c>
      <c r="F1577">
        <v>0</v>
      </c>
      <c r="G1577">
        <v>6.6030000000000006</v>
      </c>
      <c r="H1577">
        <v>0.497</v>
      </c>
      <c r="I1577" s="3" t="s">
        <v>8701</v>
      </c>
    </row>
    <row r="1578" spans="1:9" x14ac:dyDescent="0.35">
      <c r="A1578" s="3" t="s">
        <v>10288</v>
      </c>
      <c r="B1578" s="3" t="s">
        <v>3397</v>
      </c>
      <c r="C1578" s="3" t="s">
        <v>3398</v>
      </c>
      <c r="D1578">
        <v>726</v>
      </c>
      <c r="E1578" s="6">
        <v>45249</v>
      </c>
      <c r="F1578">
        <v>0</v>
      </c>
      <c r="G1578">
        <v>0</v>
      </c>
      <c r="H1578">
        <v>0</v>
      </c>
      <c r="I1578" s="3" t="s">
        <v>28</v>
      </c>
    </row>
    <row r="1579" spans="1:9" x14ac:dyDescent="0.35">
      <c r="A1579" s="3" t="s">
        <v>10289</v>
      </c>
      <c r="B1579" s="3" t="s">
        <v>3399</v>
      </c>
      <c r="C1579" s="3" t="s">
        <v>3400</v>
      </c>
      <c r="D1579">
        <v>14</v>
      </c>
      <c r="E1579" s="6">
        <v>45961</v>
      </c>
      <c r="F1579">
        <v>0</v>
      </c>
      <c r="G1579">
        <v>43.126000000000005</v>
      </c>
      <c r="H1579">
        <v>1.5640000000000001</v>
      </c>
      <c r="I1579" s="3" t="s">
        <v>8701</v>
      </c>
    </row>
    <row r="1580" spans="1:9" x14ac:dyDescent="0.35">
      <c r="A1580" s="3" t="s">
        <v>10290</v>
      </c>
      <c r="B1580" s="3" t="s">
        <v>3401</v>
      </c>
      <c r="C1580" s="3" t="s">
        <v>3402</v>
      </c>
      <c r="D1580">
        <v>726</v>
      </c>
      <c r="E1580" s="6">
        <v>45249</v>
      </c>
      <c r="F1580">
        <v>0</v>
      </c>
      <c r="G1580">
        <v>0</v>
      </c>
      <c r="H1580">
        <v>0</v>
      </c>
      <c r="I1580" s="3" t="s">
        <v>28</v>
      </c>
    </row>
    <row r="1581" spans="1:9" x14ac:dyDescent="0.35">
      <c r="A1581" s="3" t="s">
        <v>10291</v>
      </c>
      <c r="B1581" s="3" t="s">
        <v>3403</v>
      </c>
      <c r="C1581" s="3" t="s">
        <v>3404</v>
      </c>
      <c r="D1581">
        <v>955</v>
      </c>
      <c r="E1581" s="6">
        <v>45020</v>
      </c>
      <c r="F1581">
        <v>0</v>
      </c>
      <c r="G1581">
        <v>0</v>
      </c>
      <c r="H1581">
        <v>0</v>
      </c>
      <c r="I1581" s="3" t="s">
        <v>28</v>
      </c>
    </row>
    <row r="1582" spans="1:9" x14ac:dyDescent="0.35">
      <c r="A1582" s="3" t="s">
        <v>10292</v>
      </c>
      <c r="B1582" s="3" t="s">
        <v>3405</v>
      </c>
      <c r="C1582" s="3" t="s">
        <v>3406</v>
      </c>
      <c r="D1582">
        <v>268</v>
      </c>
      <c r="E1582" s="6">
        <v>45707</v>
      </c>
      <c r="F1582">
        <v>0</v>
      </c>
      <c r="G1582">
        <v>48.265000000000001</v>
      </c>
      <c r="H1582">
        <v>0.73499999999999999</v>
      </c>
      <c r="I1582" s="3" t="s">
        <v>8756</v>
      </c>
    </row>
    <row r="1583" spans="1:9" x14ac:dyDescent="0.35">
      <c r="A1583" s="3" t="s">
        <v>10293</v>
      </c>
      <c r="B1583" s="3" t="s">
        <v>3407</v>
      </c>
      <c r="C1583" s="3" t="s">
        <v>3408</v>
      </c>
      <c r="D1583">
        <v>7955</v>
      </c>
      <c r="E1583" s="6">
        <v>38020</v>
      </c>
      <c r="F1583">
        <v>0</v>
      </c>
      <c r="G1583">
        <v>0</v>
      </c>
      <c r="H1583">
        <v>0</v>
      </c>
      <c r="I1583" s="3" t="s">
        <v>28</v>
      </c>
    </row>
    <row r="1584" spans="1:9" x14ac:dyDescent="0.35">
      <c r="A1584" s="3" t="s">
        <v>9615</v>
      </c>
      <c r="B1584" s="3" t="s">
        <v>1959</v>
      </c>
      <c r="C1584" s="3" t="s">
        <v>1960</v>
      </c>
      <c r="D1584">
        <v>3417</v>
      </c>
      <c r="E1584" s="6">
        <v>42558</v>
      </c>
      <c r="F1584">
        <v>0</v>
      </c>
      <c r="G1584">
        <v>1.4E-2</v>
      </c>
      <c r="H1584">
        <v>0.16600000000000001</v>
      </c>
      <c r="I1584" s="3" t="s">
        <v>8699</v>
      </c>
    </row>
    <row r="1585" spans="1:9" x14ac:dyDescent="0.35">
      <c r="A1585" s="3" t="s">
        <v>9677</v>
      </c>
      <c r="B1585" s="3" t="s">
        <v>2095</v>
      </c>
      <c r="C1585" s="3" t="s">
        <v>2096</v>
      </c>
      <c r="D1585">
        <v>3417</v>
      </c>
      <c r="E1585" s="6">
        <v>42558</v>
      </c>
      <c r="F1585">
        <v>0</v>
      </c>
      <c r="G1585">
        <v>5.0000000000000001E-3</v>
      </c>
      <c r="H1585">
        <v>0.14500000000000002</v>
      </c>
      <c r="I1585" s="3" t="s">
        <v>8699</v>
      </c>
    </row>
    <row r="1586" spans="1:9" x14ac:dyDescent="0.35">
      <c r="A1586" s="3" t="s">
        <v>9700</v>
      </c>
      <c r="B1586" s="3" t="s">
        <v>2142</v>
      </c>
      <c r="C1586" s="3" t="s">
        <v>2143</v>
      </c>
      <c r="D1586">
        <v>3417</v>
      </c>
      <c r="E1586" s="6">
        <v>42558</v>
      </c>
      <c r="F1586">
        <v>0</v>
      </c>
      <c r="G1586">
        <v>4.0000000000000001E-3</v>
      </c>
      <c r="H1586">
        <v>7.5999999999999998E-2</v>
      </c>
      <c r="I1586" s="3" t="s">
        <v>8699</v>
      </c>
    </row>
    <row r="1587" spans="1:9" x14ac:dyDescent="0.35">
      <c r="A1587" s="3" t="s">
        <v>10077</v>
      </c>
      <c r="B1587" s="3" t="s">
        <v>2948</v>
      </c>
      <c r="C1587" s="3" t="s">
        <v>2949</v>
      </c>
      <c r="D1587">
        <v>3417</v>
      </c>
      <c r="E1587" s="6">
        <v>42558</v>
      </c>
      <c r="F1587">
        <v>0</v>
      </c>
      <c r="G1587">
        <v>6.0000000000000001E-3</v>
      </c>
      <c r="H1587">
        <v>0.20400000000000001</v>
      </c>
      <c r="I1587" s="3" t="s">
        <v>8699</v>
      </c>
    </row>
    <row r="1588" spans="1:9" x14ac:dyDescent="0.35">
      <c r="A1588" s="3" t="s">
        <v>10298</v>
      </c>
      <c r="B1588" s="3" t="s">
        <v>3418</v>
      </c>
      <c r="C1588" s="3" t="s">
        <v>3419</v>
      </c>
      <c r="D1588">
        <v>366</v>
      </c>
      <c r="E1588" s="6">
        <v>45609</v>
      </c>
      <c r="F1588">
        <v>0</v>
      </c>
      <c r="G1588">
        <v>1.1000000000000001E-2</v>
      </c>
      <c r="H1588">
        <v>0.159</v>
      </c>
      <c r="I1588" s="3" t="s">
        <v>8712</v>
      </c>
    </row>
    <row r="1589" spans="1:9" x14ac:dyDescent="0.35">
      <c r="A1589" s="3" t="s">
        <v>10299</v>
      </c>
      <c r="B1589" s="3" t="s">
        <v>3420</v>
      </c>
      <c r="C1589" s="3" t="s">
        <v>3421</v>
      </c>
      <c r="D1589">
        <v>2116</v>
      </c>
      <c r="E1589" s="6">
        <v>43859</v>
      </c>
      <c r="F1589">
        <v>0</v>
      </c>
      <c r="G1589">
        <v>1.8000000000000002E-2</v>
      </c>
      <c r="H1589">
        <v>0.42400000000000004</v>
      </c>
      <c r="I1589" s="3" t="s">
        <v>8712</v>
      </c>
    </row>
    <row r="1590" spans="1:9" x14ac:dyDescent="0.35">
      <c r="A1590" s="3" t="s">
        <v>10319</v>
      </c>
      <c r="B1590" s="3" t="s">
        <v>3462</v>
      </c>
      <c r="C1590" s="3" t="s">
        <v>3463</v>
      </c>
      <c r="D1590">
        <v>3417</v>
      </c>
      <c r="E1590" s="6">
        <v>42558</v>
      </c>
      <c r="F1590">
        <v>0</v>
      </c>
      <c r="G1590">
        <v>10.476000000000001</v>
      </c>
      <c r="H1590">
        <v>0.32400000000000001</v>
      </c>
      <c r="I1590" s="3" t="s">
        <v>8699</v>
      </c>
    </row>
    <row r="1591" spans="1:9" x14ac:dyDescent="0.35">
      <c r="A1591" s="3" t="s">
        <v>10301</v>
      </c>
      <c r="B1591" s="3" t="s">
        <v>3424</v>
      </c>
      <c r="C1591" s="3" t="s">
        <v>3425</v>
      </c>
      <c r="D1591">
        <v>955</v>
      </c>
      <c r="E1591" s="6">
        <v>45020</v>
      </c>
      <c r="F1591">
        <v>0</v>
      </c>
      <c r="G1591">
        <v>0</v>
      </c>
      <c r="H1591">
        <v>0</v>
      </c>
      <c r="I1591" s="3" t="s">
        <v>28</v>
      </c>
    </row>
    <row r="1592" spans="1:9" x14ac:dyDescent="0.35">
      <c r="A1592" s="3" t="s">
        <v>10302</v>
      </c>
      <c r="B1592" s="3" t="s">
        <v>3426</v>
      </c>
      <c r="C1592" s="3" t="s">
        <v>3427</v>
      </c>
      <c r="D1592">
        <v>955</v>
      </c>
      <c r="E1592" s="6">
        <v>45020</v>
      </c>
      <c r="F1592">
        <v>0</v>
      </c>
      <c r="G1592">
        <v>0</v>
      </c>
      <c r="H1592">
        <v>0</v>
      </c>
      <c r="I1592" s="3" t="s">
        <v>28</v>
      </c>
    </row>
    <row r="1593" spans="1:9" x14ac:dyDescent="0.35">
      <c r="A1593" s="3" t="s">
        <v>10869</v>
      </c>
      <c r="B1593" s="3" t="s">
        <v>4620</v>
      </c>
      <c r="C1593" s="3" t="s">
        <v>4621</v>
      </c>
      <c r="D1593">
        <v>3417</v>
      </c>
      <c r="E1593" s="6">
        <v>42558</v>
      </c>
      <c r="F1593">
        <v>0</v>
      </c>
      <c r="G1593">
        <v>1.1000000000000001E-2</v>
      </c>
      <c r="H1593">
        <v>0.17900000000000002</v>
      </c>
      <c r="I1593" s="3" t="s">
        <v>8699</v>
      </c>
    </row>
    <row r="1594" spans="1:9" x14ac:dyDescent="0.35">
      <c r="A1594" s="3" t="s">
        <v>10304</v>
      </c>
      <c r="B1594" s="3" t="s">
        <v>3430</v>
      </c>
      <c r="C1594" s="3" t="s">
        <v>3431</v>
      </c>
      <c r="D1594">
        <v>955</v>
      </c>
      <c r="E1594" s="6">
        <v>45020</v>
      </c>
      <c r="F1594">
        <v>0</v>
      </c>
      <c r="G1594">
        <v>0</v>
      </c>
      <c r="H1594">
        <v>0</v>
      </c>
      <c r="I1594" s="3" t="s">
        <v>28</v>
      </c>
    </row>
    <row r="1595" spans="1:9" x14ac:dyDescent="0.35">
      <c r="A1595" s="3" t="s">
        <v>10305</v>
      </c>
      <c r="B1595" s="3" t="s">
        <v>3432</v>
      </c>
      <c r="C1595" s="3" t="s">
        <v>3433</v>
      </c>
      <c r="D1595">
        <v>955</v>
      </c>
      <c r="E1595" s="6">
        <v>45020</v>
      </c>
      <c r="F1595">
        <v>0</v>
      </c>
      <c r="G1595">
        <v>0</v>
      </c>
      <c r="H1595">
        <v>0</v>
      </c>
      <c r="I1595" s="3" t="s">
        <v>28</v>
      </c>
    </row>
    <row r="1596" spans="1:9" x14ac:dyDescent="0.35">
      <c r="A1596" s="3" t="s">
        <v>11056</v>
      </c>
      <c r="B1596" s="3" t="s">
        <v>5024</v>
      </c>
      <c r="C1596" s="3" t="s">
        <v>5025</v>
      </c>
      <c r="D1596">
        <v>3417</v>
      </c>
      <c r="E1596" s="6">
        <v>42558</v>
      </c>
      <c r="F1596">
        <v>0</v>
      </c>
      <c r="G1596">
        <v>6.0000000000000001E-3</v>
      </c>
      <c r="H1596">
        <v>0.20400000000000001</v>
      </c>
      <c r="I1596" s="3" t="s">
        <v>8699</v>
      </c>
    </row>
    <row r="1597" spans="1:9" x14ac:dyDescent="0.35">
      <c r="A1597" s="3" t="s">
        <v>10307</v>
      </c>
      <c r="B1597" s="3" t="s">
        <v>3436</v>
      </c>
      <c r="C1597" s="3" t="s">
        <v>3437</v>
      </c>
      <c r="D1597">
        <v>23</v>
      </c>
      <c r="E1597" s="6">
        <v>45952</v>
      </c>
      <c r="F1597">
        <v>0</v>
      </c>
      <c r="G1597">
        <v>4.0000000000000001E-3</v>
      </c>
      <c r="H1597">
        <v>9.6000000000000002E-2</v>
      </c>
      <c r="I1597" s="3" t="s">
        <v>8712</v>
      </c>
    </row>
    <row r="1598" spans="1:9" x14ac:dyDescent="0.35">
      <c r="A1598" s="3" t="s">
        <v>10308</v>
      </c>
      <c r="B1598" s="3" t="s">
        <v>3438</v>
      </c>
      <c r="C1598" s="3" t="s">
        <v>3439</v>
      </c>
      <c r="D1598">
        <v>723</v>
      </c>
      <c r="E1598" s="6">
        <v>45252</v>
      </c>
      <c r="F1598">
        <v>0</v>
      </c>
      <c r="G1598">
        <v>0</v>
      </c>
      <c r="H1598">
        <v>0</v>
      </c>
      <c r="I1598" s="3" t="s">
        <v>28</v>
      </c>
    </row>
    <row r="1599" spans="1:9" x14ac:dyDescent="0.35">
      <c r="A1599" s="3" t="s">
        <v>10309</v>
      </c>
      <c r="B1599" s="3" t="s">
        <v>3440</v>
      </c>
      <c r="C1599" s="3" t="s">
        <v>3441</v>
      </c>
      <c r="D1599">
        <v>23</v>
      </c>
      <c r="E1599" s="6">
        <v>45952</v>
      </c>
      <c r="F1599">
        <v>0</v>
      </c>
      <c r="G1599">
        <v>1E-3</v>
      </c>
      <c r="H1599">
        <v>2.9000000000000001E-2</v>
      </c>
      <c r="I1599" s="3" t="s">
        <v>8712</v>
      </c>
    </row>
    <row r="1600" spans="1:9" x14ac:dyDescent="0.35">
      <c r="A1600" s="3" t="s">
        <v>9110</v>
      </c>
      <c r="B1600" s="3" t="s">
        <v>901</v>
      </c>
      <c r="C1600" s="3" t="s">
        <v>902</v>
      </c>
      <c r="D1600">
        <v>3418</v>
      </c>
      <c r="E1600" s="6">
        <v>42557</v>
      </c>
      <c r="F1600">
        <v>0</v>
      </c>
      <c r="G1600">
        <v>1</v>
      </c>
      <c r="H1600">
        <v>1</v>
      </c>
      <c r="I1600" s="3" t="s">
        <v>8699</v>
      </c>
    </row>
    <row r="1601" spans="1:9" x14ac:dyDescent="0.35">
      <c r="A1601" s="3" t="s">
        <v>9338</v>
      </c>
      <c r="B1601" s="3" t="s">
        <v>1384</v>
      </c>
      <c r="C1601" s="3" t="s">
        <v>1385</v>
      </c>
      <c r="D1601">
        <v>3418</v>
      </c>
      <c r="E1601" s="6">
        <v>42557</v>
      </c>
      <c r="F1601">
        <v>0</v>
      </c>
      <c r="G1601">
        <v>0.15</v>
      </c>
      <c r="H1601">
        <v>0.85</v>
      </c>
      <c r="I1601" s="3" t="s">
        <v>8699</v>
      </c>
    </row>
    <row r="1602" spans="1:9" x14ac:dyDescent="0.35">
      <c r="A1602" s="3" t="s">
        <v>10312</v>
      </c>
      <c r="B1602" s="3" t="s">
        <v>3446</v>
      </c>
      <c r="C1602" s="3" t="s">
        <v>3447</v>
      </c>
      <c r="D1602">
        <v>63</v>
      </c>
      <c r="E1602" s="6">
        <v>45912</v>
      </c>
      <c r="F1602">
        <v>0</v>
      </c>
      <c r="G1602">
        <v>7.05</v>
      </c>
      <c r="H1602">
        <v>0.45</v>
      </c>
      <c r="I1602" s="3" t="s">
        <v>8701</v>
      </c>
    </row>
    <row r="1603" spans="1:9" x14ac:dyDescent="0.35">
      <c r="A1603" s="3" t="s">
        <v>9727</v>
      </c>
      <c r="B1603" s="3" t="s">
        <v>2202</v>
      </c>
      <c r="C1603" s="3" t="s">
        <v>2203</v>
      </c>
      <c r="D1603">
        <v>3418</v>
      </c>
      <c r="E1603" s="6">
        <v>42557</v>
      </c>
      <c r="F1603">
        <v>0</v>
      </c>
      <c r="G1603">
        <v>0.05</v>
      </c>
      <c r="H1603">
        <v>0.95000000000000007</v>
      </c>
      <c r="I1603" s="3" t="s">
        <v>8699</v>
      </c>
    </row>
    <row r="1604" spans="1:9" x14ac:dyDescent="0.35">
      <c r="A1604" s="3" t="s">
        <v>10879</v>
      </c>
      <c r="B1604" s="3" t="s">
        <v>4643</v>
      </c>
      <c r="C1604" s="3" t="s">
        <v>4644</v>
      </c>
      <c r="D1604">
        <v>3418</v>
      </c>
      <c r="E1604" s="6">
        <v>42557</v>
      </c>
      <c r="F1604">
        <v>0</v>
      </c>
      <c r="G1604">
        <v>2.9750000000000001</v>
      </c>
      <c r="H1604">
        <v>0.52500000000000002</v>
      </c>
      <c r="I1604" s="3" t="s">
        <v>8699</v>
      </c>
    </row>
    <row r="1605" spans="1:9" x14ac:dyDescent="0.35">
      <c r="A1605" s="3" t="s">
        <v>10315</v>
      </c>
      <c r="B1605" s="3" t="s">
        <v>3452</v>
      </c>
      <c r="C1605" s="3" t="s">
        <v>3453</v>
      </c>
      <c r="D1605">
        <v>315</v>
      </c>
      <c r="E1605" s="6">
        <v>45660</v>
      </c>
      <c r="F1605">
        <v>0</v>
      </c>
      <c r="G1605">
        <v>5.0000000000000001E-3</v>
      </c>
      <c r="H1605">
        <v>9.5000000000000001E-2</v>
      </c>
      <c r="I1605" s="3" t="s">
        <v>8712</v>
      </c>
    </row>
    <row r="1606" spans="1:9" x14ac:dyDescent="0.35">
      <c r="A1606" s="3" t="s">
        <v>10316</v>
      </c>
      <c r="B1606" s="3" t="s">
        <v>3455</v>
      </c>
      <c r="C1606" s="3" t="s">
        <v>3456</v>
      </c>
      <c r="D1606">
        <v>80</v>
      </c>
      <c r="E1606" s="6">
        <v>45895</v>
      </c>
      <c r="F1606">
        <v>0</v>
      </c>
      <c r="G1606">
        <v>3.7720000000000002</v>
      </c>
      <c r="H1606">
        <v>0.32800000000000001</v>
      </c>
      <c r="I1606" s="3" t="s">
        <v>8701</v>
      </c>
    </row>
    <row r="1607" spans="1:9" x14ac:dyDescent="0.35">
      <c r="A1607" s="3" t="s">
        <v>10317</v>
      </c>
      <c r="B1607" s="3" t="s">
        <v>3457</v>
      </c>
      <c r="C1607" s="3" t="s">
        <v>3458</v>
      </c>
      <c r="D1607">
        <v>955</v>
      </c>
      <c r="E1607" s="6">
        <v>45020</v>
      </c>
      <c r="F1607">
        <v>0</v>
      </c>
      <c r="G1607">
        <v>0</v>
      </c>
      <c r="H1607">
        <v>0</v>
      </c>
      <c r="I1607" s="3" t="s">
        <v>28</v>
      </c>
    </row>
    <row r="1608" spans="1:9" x14ac:dyDescent="0.35">
      <c r="A1608" s="3" t="s">
        <v>10318</v>
      </c>
      <c r="B1608" s="3" t="s">
        <v>3460</v>
      </c>
      <c r="C1608" s="3" t="s">
        <v>3461</v>
      </c>
      <c r="D1608">
        <v>5646</v>
      </c>
      <c r="E1608" s="6">
        <v>40329</v>
      </c>
      <c r="F1608">
        <v>0</v>
      </c>
      <c r="G1608">
        <v>1E-3</v>
      </c>
      <c r="H1608">
        <v>4.9000000000000002E-2</v>
      </c>
      <c r="I1608" s="3" t="s">
        <v>8712</v>
      </c>
    </row>
    <row r="1609" spans="1:9" x14ac:dyDescent="0.35">
      <c r="A1609" s="3" t="s">
        <v>11013</v>
      </c>
      <c r="B1609" s="3" t="s">
        <v>4936</v>
      </c>
      <c r="C1609" s="3" t="s">
        <v>4937</v>
      </c>
      <c r="D1609">
        <v>3418</v>
      </c>
      <c r="E1609" s="6">
        <v>42557</v>
      </c>
      <c r="F1609">
        <v>0</v>
      </c>
      <c r="G1609">
        <v>10.81</v>
      </c>
      <c r="H1609">
        <v>0.69000000000000006</v>
      </c>
      <c r="I1609" s="3" t="s">
        <v>8699</v>
      </c>
    </row>
    <row r="1610" spans="1:9" x14ac:dyDescent="0.35">
      <c r="A1610" s="3" t="s">
        <v>10320</v>
      </c>
      <c r="B1610" s="3" t="s">
        <v>3464</v>
      </c>
      <c r="C1610" s="3" t="s">
        <v>3465</v>
      </c>
      <c r="D1610">
        <v>77</v>
      </c>
      <c r="E1610" s="6">
        <v>45898</v>
      </c>
      <c r="F1610">
        <v>100</v>
      </c>
      <c r="G1610">
        <v>0.70100000000000007</v>
      </c>
      <c r="H1610">
        <v>1.0090000000000001</v>
      </c>
      <c r="I1610" s="3" t="s">
        <v>8701</v>
      </c>
    </row>
    <row r="1611" spans="1:9" x14ac:dyDescent="0.35">
      <c r="A1611" s="3" t="s">
        <v>11313</v>
      </c>
      <c r="B1611" s="3" t="s">
        <v>5563</v>
      </c>
      <c r="C1611" s="3" t="s">
        <v>5564</v>
      </c>
      <c r="D1611">
        <v>3418</v>
      </c>
      <c r="E1611" s="6">
        <v>42557</v>
      </c>
      <c r="F1611">
        <v>0</v>
      </c>
      <c r="G1611">
        <v>0.54</v>
      </c>
      <c r="H1611">
        <v>0.54</v>
      </c>
      <c r="I1611" s="3" t="s">
        <v>8699</v>
      </c>
    </row>
    <row r="1612" spans="1:9" x14ac:dyDescent="0.35">
      <c r="A1612" s="3" t="s">
        <v>10322</v>
      </c>
      <c r="B1612" s="3" t="s">
        <v>3468</v>
      </c>
      <c r="C1612" s="3" t="s">
        <v>3469</v>
      </c>
      <c r="D1612">
        <v>2019</v>
      </c>
      <c r="E1612" s="6">
        <v>43956</v>
      </c>
      <c r="F1612">
        <v>0</v>
      </c>
      <c r="G1612">
        <v>1.2E-2</v>
      </c>
      <c r="H1612">
        <v>0.188</v>
      </c>
      <c r="I1612" s="3" t="s">
        <v>8712</v>
      </c>
    </row>
    <row r="1613" spans="1:9" x14ac:dyDescent="0.35">
      <c r="A1613" s="3" t="s">
        <v>10323</v>
      </c>
      <c r="B1613" s="3" t="s">
        <v>3470</v>
      </c>
      <c r="C1613" s="3" t="s">
        <v>3471</v>
      </c>
      <c r="D1613">
        <v>23</v>
      </c>
      <c r="E1613" s="6">
        <v>45952</v>
      </c>
      <c r="F1613">
        <v>0</v>
      </c>
      <c r="G1613">
        <v>28.48</v>
      </c>
      <c r="H1613">
        <v>3.52</v>
      </c>
      <c r="I1613" s="3" t="s">
        <v>8701</v>
      </c>
    </row>
    <row r="1614" spans="1:9" x14ac:dyDescent="0.35">
      <c r="A1614" s="3" t="s">
        <v>10324</v>
      </c>
      <c r="B1614" s="3" t="s">
        <v>3472</v>
      </c>
      <c r="C1614" s="3" t="s">
        <v>3473</v>
      </c>
      <c r="D1614">
        <v>26</v>
      </c>
      <c r="E1614" s="6">
        <v>45949</v>
      </c>
      <c r="F1614">
        <v>0</v>
      </c>
      <c r="G1614">
        <v>39.6</v>
      </c>
      <c r="H1614">
        <v>0.4</v>
      </c>
      <c r="I1614" s="3" t="s">
        <v>8701</v>
      </c>
    </row>
    <row r="1615" spans="1:9" x14ac:dyDescent="0.35">
      <c r="A1615" s="3" t="s">
        <v>9701</v>
      </c>
      <c r="B1615" s="3" t="s">
        <v>2144</v>
      </c>
      <c r="C1615" s="3" t="s">
        <v>2145</v>
      </c>
      <c r="D1615">
        <v>3423</v>
      </c>
      <c r="E1615" s="6">
        <v>42552</v>
      </c>
      <c r="F1615">
        <v>0</v>
      </c>
      <c r="G1615">
        <v>3.5000000000000003E-2</v>
      </c>
      <c r="H1615">
        <v>0.115</v>
      </c>
      <c r="I1615" s="3" t="s">
        <v>8699</v>
      </c>
    </row>
    <row r="1616" spans="1:9" x14ac:dyDescent="0.35">
      <c r="A1616" s="3" t="s">
        <v>10326</v>
      </c>
      <c r="B1616" s="3" t="s">
        <v>3476</v>
      </c>
      <c r="C1616" s="3" t="s">
        <v>3477</v>
      </c>
      <c r="D1616">
        <v>955</v>
      </c>
      <c r="E1616" s="6">
        <v>45020</v>
      </c>
      <c r="F1616">
        <v>0</v>
      </c>
      <c r="G1616">
        <v>0</v>
      </c>
      <c r="H1616">
        <v>0</v>
      </c>
      <c r="I1616" s="3" t="s">
        <v>28</v>
      </c>
    </row>
    <row r="1617" spans="1:9" x14ac:dyDescent="0.35">
      <c r="A1617" s="3" t="s">
        <v>9789</v>
      </c>
      <c r="B1617" s="3" t="s">
        <v>2330</v>
      </c>
      <c r="C1617" s="3" t="s">
        <v>2331</v>
      </c>
      <c r="D1617">
        <v>3423</v>
      </c>
      <c r="E1617" s="6">
        <v>42552</v>
      </c>
      <c r="F1617">
        <v>0</v>
      </c>
      <c r="G1617">
        <v>5.0000000000000001E-3</v>
      </c>
      <c r="H1617">
        <v>8.2000000000000003E-2</v>
      </c>
      <c r="I1617" s="3" t="s">
        <v>8699</v>
      </c>
    </row>
    <row r="1618" spans="1:9" x14ac:dyDescent="0.35">
      <c r="A1618" s="3" t="s">
        <v>9790</v>
      </c>
      <c r="B1618" s="3" t="s">
        <v>2336</v>
      </c>
      <c r="C1618" s="3" t="s">
        <v>2337</v>
      </c>
      <c r="D1618">
        <v>3423</v>
      </c>
      <c r="E1618" s="6">
        <v>42552</v>
      </c>
      <c r="F1618">
        <v>0</v>
      </c>
      <c r="G1618">
        <v>1E-3</v>
      </c>
      <c r="H1618">
        <v>4.8000000000000001E-2</v>
      </c>
      <c r="I1618" s="3" t="s">
        <v>8699</v>
      </c>
    </row>
    <row r="1619" spans="1:9" x14ac:dyDescent="0.35">
      <c r="A1619" s="3" t="s">
        <v>10329</v>
      </c>
      <c r="B1619" s="3" t="s">
        <v>3482</v>
      </c>
      <c r="C1619" s="3" t="s">
        <v>3483</v>
      </c>
      <c r="D1619">
        <v>318</v>
      </c>
      <c r="E1619" s="6">
        <v>45657</v>
      </c>
      <c r="F1619">
        <v>100</v>
      </c>
      <c r="G1619">
        <v>0.112</v>
      </c>
      <c r="H1619">
        <v>0.90800000000000003</v>
      </c>
      <c r="I1619" s="3" t="s">
        <v>8756</v>
      </c>
    </row>
    <row r="1620" spans="1:9" x14ac:dyDescent="0.35">
      <c r="A1620" s="3" t="s">
        <v>10330</v>
      </c>
      <c r="B1620" s="3" t="s">
        <v>3484</v>
      </c>
      <c r="C1620" s="3" t="s">
        <v>3485</v>
      </c>
      <c r="D1620">
        <v>125</v>
      </c>
      <c r="E1620" s="6">
        <v>45850</v>
      </c>
      <c r="F1620">
        <v>100</v>
      </c>
      <c r="G1620">
        <v>12.174000000000001</v>
      </c>
      <c r="H1620">
        <v>0.91600000000000004</v>
      </c>
      <c r="I1620" s="3" t="s">
        <v>8729</v>
      </c>
    </row>
    <row r="1621" spans="1:9" x14ac:dyDescent="0.35">
      <c r="A1621" s="3" t="s">
        <v>10331</v>
      </c>
      <c r="B1621" s="3" t="s">
        <v>3486</v>
      </c>
      <c r="C1621" s="3" t="s">
        <v>3487</v>
      </c>
      <c r="D1621">
        <v>49</v>
      </c>
      <c r="E1621" s="6">
        <v>45926</v>
      </c>
      <c r="F1621">
        <v>0</v>
      </c>
      <c r="G1621">
        <v>3.6260000000000003</v>
      </c>
      <c r="H1621">
        <v>7.400000000000001E-2</v>
      </c>
      <c r="I1621" s="3" t="s">
        <v>8756</v>
      </c>
    </row>
    <row r="1622" spans="1:9" x14ac:dyDescent="0.35">
      <c r="A1622" s="3" t="s">
        <v>9948</v>
      </c>
      <c r="B1622" s="3" t="s">
        <v>2674</v>
      </c>
      <c r="C1622" s="3" t="s">
        <v>2675</v>
      </c>
      <c r="D1622">
        <v>3423</v>
      </c>
      <c r="E1622" s="6">
        <v>42552</v>
      </c>
      <c r="F1622">
        <v>0</v>
      </c>
      <c r="G1622">
        <v>0.17500000000000002</v>
      </c>
      <c r="H1622">
        <v>0.35500000000000004</v>
      </c>
      <c r="I1622" s="3" t="s">
        <v>8699</v>
      </c>
    </row>
    <row r="1623" spans="1:9" x14ac:dyDescent="0.35">
      <c r="A1623" s="3" t="s">
        <v>10333</v>
      </c>
      <c r="B1623" s="3" t="s">
        <v>3490</v>
      </c>
      <c r="C1623" s="3" t="s">
        <v>3491</v>
      </c>
      <c r="D1623">
        <v>53</v>
      </c>
      <c r="E1623" s="6">
        <v>45922</v>
      </c>
      <c r="F1623">
        <v>0</v>
      </c>
      <c r="G1623">
        <v>4.08</v>
      </c>
      <c r="H1623">
        <v>4.42</v>
      </c>
      <c r="I1623" s="3" t="s">
        <v>8701</v>
      </c>
    </row>
    <row r="1624" spans="1:9" x14ac:dyDescent="0.35">
      <c r="A1624" s="3" t="s">
        <v>10359</v>
      </c>
      <c r="B1624" s="3" t="s">
        <v>3552</v>
      </c>
      <c r="C1624" s="3" t="s">
        <v>3553</v>
      </c>
      <c r="D1624">
        <v>3423</v>
      </c>
      <c r="E1624" s="6">
        <v>42552</v>
      </c>
      <c r="F1624">
        <v>0</v>
      </c>
      <c r="G1624">
        <v>6.0000000000000001E-3</v>
      </c>
      <c r="H1624">
        <v>0.17900000000000002</v>
      </c>
      <c r="I1624" s="3" t="s">
        <v>8699</v>
      </c>
    </row>
    <row r="1625" spans="1:9" x14ac:dyDescent="0.35">
      <c r="A1625" s="3" t="s">
        <v>10335</v>
      </c>
      <c r="B1625" s="3" t="s">
        <v>3494</v>
      </c>
      <c r="C1625" s="3" t="s">
        <v>3495</v>
      </c>
      <c r="D1625">
        <v>449</v>
      </c>
      <c r="E1625" s="6">
        <v>45526</v>
      </c>
      <c r="F1625">
        <v>0</v>
      </c>
      <c r="G1625">
        <v>0.182</v>
      </c>
      <c r="H1625">
        <v>1.1180000000000001</v>
      </c>
      <c r="I1625" s="3" t="s">
        <v>8712</v>
      </c>
    </row>
    <row r="1626" spans="1:9" x14ac:dyDescent="0.35">
      <c r="A1626" s="3" t="s">
        <v>10405</v>
      </c>
      <c r="B1626" s="3" t="s">
        <v>3645</v>
      </c>
      <c r="C1626" s="3" t="s">
        <v>3646</v>
      </c>
      <c r="D1626">
        <v>3423</v>
      </c>
      <c r="E1626" s="6">
        <v>42552</v>
      </c>
      <c r="F1626">
        <v>0</v>
      </c>
      <c r="G1626">
        <v>1E-3</v>
      </c>
      <c r="H1626">
        <v>4.9000000000000002E-2</v>
      </c>
      <c r="I1626" s="3" t="s">
        <v>8699</v>
      </c>
    </row>
    <row r="1627" spans="1:9" x14ac:dyDescent="0.35">
      <c r="A1627" s="3" t="s">
        <v>10337</v>
      </c>
      <c r="B1627" s="3" t="s">
        <v>3499</v>
      </c>
      <c r="C1627" s="3" t="s">
        <v>3500</v>
      </c>
      <c r="D1627">
        <v>129</v>
      </c>
      <c r="E1627" s="6">
        <v>45846</v>
      </c>
      <c r="F1627">
        <v>0</v>
      </c>
      <c r="G1627">
        <v>4.2</v>
      </c>
      <c r="H1627">
        <v>0.8</v>
      </c>
      <c r="I1627" s="3" t="s">
        <v>8701</v>
      </c>
    </row>
    <row r="1628" spans="1:9" x14ac:dyDescent="0.35">
      <c r="A1628" s="3" t="s">
        <v>10338</v>
      </c>
      <c r="B1628" s="3" t="s">
        <v>3501</v>
      </c>
      <c r="C1628" s="3" t="s">
        <v>3502</v>
      </c>
      <c r="D1628">
        <v>25</v>
      </c>
      <c r="E1628" s="6">
        <v>45950</v>
      </c>
      <c r="F1628">
        <v>0</v>
      </c>
      <c r="G1628">
        <v>5.915</v>
      </c>
      <c r="H1628">
        <v>0.58500000000000008</v>
      </c>
      <c r="I1628" s="3" t="s">
        <v>8756</v>
      </c>
    </row>
    <row r="1629" spans="1:9" x14ac:dyDescent="0.35">
      <c r="A1629" s="3" t="s">
        <v>10339</v>
      </c>
      <c r="B1629" s="3" t="s">
        <v>3503</v>
      </c>
      <c r="C1629" s="3" t="s">
        <v>3504</v>
      </c>
      <c r="D1629">
        <v>726</v>
      </c>
      <c r="E1629" s="6">
        <v>45249</v>
      </c>
      <c r="F1629">
        <v>0</v>
      </c>
      <c r="G1629">
        <v>0</v>
      </c>
      <c r="H1629">
        <v>0</v>
      </c>
      <c r="I1629" s="3" t="s">
        <v>28</v>
      </c>
    </row>
    <row r="1630" spans="1:9" x14ac:dyDescent="0.35">
      <c r="A1630" s="3" t="s">
        <v>10340</v>
      </c>
      <c r="B1630" s="3" t="s">
        <v>3505</v>
      </c>
      <c r="C1630" s="3" t="s">
        <v>3506</v>
      </c>
      <c r="D1630">
        <v>55</v>
      </c>
      <c r="E1630" s="6">
        <v>45920</v>
      </c>
      <c r="F1630">
        <v>0</v>
      </c>
      <c r="G1630">
        <v>4.5000000000000005E-2</v>
      </c>
      <c r="H1630">
        <v>0.13500000000000001</v>
      </c>
      <c r="I1630" s="3" t="s">
        <v>8701</v>
      </c>
    </row>
    <row r="1631" spans="1:9" x14ac:dyDescent="0.35">
      <c r="A1631" s="3" t="s">
        <v>10341</v>
      </c>
      <c r="B1631" s="3" t="s">
        <v>3507</v>
      </c>
      <c r="C1631" s="3" t="s">
        <v>3508</v>
      </c>
      <c r="D1631">
        <v>46</v>
      </c>
      <c r="E1631" s="6">
        <v>45929</v>
      </c>
      <c r="F1631">
        <v>0</v>
      </c>
      <c r="G1631">
        <v>6.44</v>
      </c>
      <c r="H1631">
        <v>0.56000000000000005</v>
      </c>
      <c r="I1631" s="3" t="s">
        <v>8756</v>
      </c>
    </row>
    <row r="1632" spans="1:9" x14ac:dyDescent="0.35">
      <c r="A1632" s="3" t="s">
        <v>10407</v>
      </c>
      <c r="B1632" s="3" t="s">
        <v>3649</v>
      </c>
      <c r="C1632" s="3" t="s">
        <v>3650</v>
      </c>
      <c r="D1632">
        <v>3423</v>
      </c>
      <c r="E1632" s="6">
        <v>42552</v>
      </c>
      <c r="F1632">
        <v>0</v>
      </c>
      <c r="G1632">
        <v>8.0000000000000002E-3</v>
      </c>
      <c r="H1632">
        <v>8.900000000000001E-2</v>
      </c>
      <c r="I1632" s="3" t="s">
        <v>8699</v>
      </c>
    </row>
    <row r="1633" spans="1:9" x14ac:dyDescent="0.35">
      <c r="A1633" s="3" t="s">
        <v>10343</v>
      </c>
      <c r="B1633" s="3" t="s">
        <v>3511</v>
      </c>
      <c r="C1633" s="3" t="s">
        <v>3512</v>
      </c>
      <c r="D1633">
        <v>18</v>
      </c>
      <c r="E1633" s="6">
        <v>45957</v>
      </c>
      <c r="F1633">
        <v>0</v>
      </c>
      <c r="G1633">
        <v>1.1000000000000001</v>
      </c>
      <c r="H1633">
        <v>1.1000000000000001</v>
      </c>
      <c r="I1633" s="3" t="s">
        <v>8705</v>
      </c>
    </row>
    <row r="1634" spans="1:9" x14ac:dyDescent="0.35">
      <c r="A1634" s="3" t="s">
        <v>10344</v>
      </c>
      <c r="B1634" s="3" t="s">
        <v>3513</v>
      </c>
      <c r="C1634" s="3" t="s">
        <v>3514</v>
      </c>
      <c r="D1634">
        <v>2311</v>
      </c>
      <c r="E1634" s="6">
        <v>43664</v>
      </c>
      <c r="F1634">
        <v>0</v>
      </c>
      <c r="G1634">
        <v>0</v>
      </c>
      <c r="H1634">
        <v>0</v>
      </c>
      <c r="I1634" s="3" t="s">
        <v>28</v>
      </c>
    </row>
    <row r="1635" spans="1:9" x14ac:dyDescent="0.35">
      <c r="A1635" s="3" t="s">
        <v>10345</v>
      </c>
      <c r="B1635" s="3" t="s">
        <v>3519</v>
      </c>
      <c r="C1635" s="3" t="s">
        <v>3520</v>
      </c>
      <c r="D1635">
        <v>151</v>
      </c>
      <c r="E1635" s="6">
        <v>45824</v>
      </c>
      <c r="F1635">
        <v>0</v>
      </c>
      <c r="G1635">
        <v>4.2700000000000005</v>
      </c>
      <c r="H1635">
        <v>1.83</v>
      </c>
      <c r="I1635" s="3" t="s">
        <v>8756</v>
      </c>
    </row>
    <row r="1636" spans="1:9" x14ac:dyDescent="0.35">
      <c r="A1636" s="3" t="s">
        <v>10346</v>
      </c>
      <c r="B1636" s="3" t="s">
        <v>3521</v>
      </c>
      <c r="C1636" s="3" t="s">
        <v>3522</v>
      </c>
      <c r="D1636">
        <v>270</v>
      </c>
      <c r="E1636" s="6">
        <v>45705</v>
      </c>
      <c r="F1636">
        <v>0</v>
      </c>
      <c r="G1636">
        <v>3.0000000000000001E-3</v>
      </c>
      <c r="H1636">
        <v>6.7000000000000004E-2</v>
      </c>
      <c r="I1636" s="3" t="s">
        <v>8712</v>
      </c>
    </row>
    <row r="1637" spans="1:9" x14ac:dyDescent="0.35">
      <c r="A1637" s="3" t="s">
        <v>10347</v>
      </c>
      <c r="B1637" s="3" t="s">
        <v>3523</v>
      </c>
      <c r="C1637" s="3" t="s">
        <v>3524</v>
      </c>
      <c r="D1637">
        <v>726</v>
      </c>
      <c r="E1637" s="6">
        <v>45249</v>
      </c>
      <c r="F1637">
        <v>0</v>
      </c>
      <c r="G1637">
        <v>0</v>
      </c>
      <c r="H1637">
        <v>0</v>
      </c>
      <c r="I1637" s="3" t="s">
        <v>28</v>
      </c>
    </row>
    <row r="1638" spans="1:9" x14ac:dyDescent="0.35">
      <c r="A1638" s="3" t="s">
        <v>10348</v>
      </c>
      <c r="B1638" s="3" t="s">
        <v>3525</v>
      </c>
      <c r="C1638" s="3" t="s">
        <v>3526</v>
      </c>
      <c r="D1638">
        <v>49</v>
      </c>
      <c r="E1638" s="6">
        <v>45926</v>
      </c>
      <c r="F1638">
        <v>100</v>
      </c>
      <c r="G1638">
        <v>0.25</v>
      </c>
      <c r="H1638">
        <v>0.75</v>
      </c>
      <c r="I1638" s="3" t="s">
        <v>9145</v>
      </c>
    </row>
    <row r="1639" spans="1:9" x14ac:dyDescent="0.35">
      <c r="A1639" s="3" t="s">
        <v>10349</v>
      </c>
      <c r="B1639" s="3" t="s">
        <v>3527</v>
      </c>
      <c r="C1639" s="3" t="s">
        <v>3528</v>
      </c>
      <c r="D1639">
        <v>955</v>
      </c>
      <c r="E1639" s="6">
        <v>45020</v>
      </c>
      <c r="F1639">
        <v>0</v>
      </c>
      <c r="G1639">
        <v>0</v>
      </c>
      <c r="H1639">
        <v>0</v>
      </c>
      <c r="I1639" s="3" t="s">
        <v>28</v>
      </c>
    </row>
    <row r="1640" spans="1:9" x14ac:dyDescent="0.35">
      <c r="A1640" s="3" t="s">
        <v>10350</v>
      </c>
      <c r="B1640" s="3" t="s">
        <v>3529</v>
      </c>
      <c r="C1640" s="3" t="s">
        <v>3530</v>
      </c>
      <c r="D1640">
        <v>53</v>
      </c>
      <c r="E1640" s="6">
        <v>45922</v>
      </c>
      <c r="F1640">
        <v>0</v>
      </c>
      <c r="G1640">
        <v>5.74</v>
      </c>
      <c r="H1640">
        <v>1.26</v>
      </c>
      <c r="I1640" s="3" t="s">
        <v>8756</v>
      </c>
    </row>
    <row r="1641" spans="1:9" x14ac:dyDescent="0.35">
      <c r="A1641" s="3" t="s">
        <v>10351</v>
      </c>
      <c r="B1641" s="3" t="s">
        <v>3531</v>
      </c>
      <c r="C1641" s="3" t="s">
        <v>3532</v>
      </c>
      <c r="D1641">
        <v>955</v>
      </c>
      <c r="E1641" s="6">
        <v>45020</v>
      </c>
      <c r="F1641">
        <v>0</v>
      </c>
      <c r="G1641">
        <v>0</v>
      </c>
      <c r="H1641">
        <v>0</v>
      </c>
      <c r="I1641" s="3" t="s">
        <v>28</v>
      </c>
    </row>
    <row r="1642" spans="1:9" x14ac:dyDescent="0.35">
      <c r="A1642" s="3" t="s">
        <v>10352</v>
      </c>
      <c r="B1642" s="3" t="s">
        <v>3533</v>
      </c>
      <c r="C1642" s="3" t="s">
        <v>3534</v>
      </c>
      <c r="D1642">
        <v>5646</v>
      </c>
      <c r="E1642" s="6">
        <v>40329</v>
      </c>
      <c r="F1642">
        <v>0</v>
      </c>
      <c r="G1642">
        <v>7.0000000000000001E-3</v>
      </c>
      <c r="H1642">
        <v>0.193</v>
      </c>
      <c r="I1642" s="3" t="s">
        <v>8712</v>
      </c>
    </row>
    <row r="1643" spans="1:9" x14ac:dyDescent="0.35">
      <c r="A1643" s="3" t="s">
        <v>10353</v>
      </c>
      <c r="B1643" s="3" t="s">
        <v>3535</v>
      </c>
      <c r="C1643" s="3" t="s">
        <v>3536</v>
      </c>
      <c r="D1643">
        <v>109</v>
      </c>
      <c r="E1643" s="6">
        <v>45866</v>
      </c>
      <c r="F1643">
        <v>50</v>
      </c>
      <c r="G1643">
        <v>11</v>
      </c>
      <c r="H1643">
        <v>1.5</v>
      </c>
      <c r="I1643" s="3" t="s">
        <v>8729</v>
      </c>
    </row>
    <row r="1644" spans="1:9" x14ac:dyDescent="0.35">
      <c r="A1644" s="3" t="s">
        <v>10354</v>
      </c>
      <c r="B1644" s="3" t="s">
        <v>3538</v>
      </c>
      <c r="C1644" s="3" t="s">
        <v>3539</v>
      </c>
      <c r="D1644">
        <v>955</v>
      </c>
      <c r="E1644" s="6">
        <v>45020</v>
      </c>
      <c r="F1644">
        <v>0</v>
      </c>
      <c r="G1644">
        <v>0</v>
      </c>
      <c r="H1644">
        <v>0</v>
      </c>
      <c r="I1644" s="3" t="s">
        <v>28</v>
      </c>
    </row>
    <row r="1645" spans="1:9" x14ac:dyDescent="0.35">
      <c r="A1645" s="3" t="s">
        <v>10355</v>
      </c>
      <c r="B1645" s="3" t="s">
        <v>3540</v>
      </c>
      <c r="C1645" s="3" t="s">
        <v>3541</v>
      </c>
      <c r="D1645">
        <v>10</v>
      </c>
      <c r="E1645" s="6">
        <v>45965</v>
      </c>
      <c r="F1645">
        <v>200</v>
      </c>
      <c r="G1645">
        <v>20.182000000000002</v>
      </c>
      <c r="H1645">
        <v>6.0280000000000005</v>
      </c>
      <c r="I1645" s="3" t="s">
        <v>8701</v>
      </c>
    </row>
    <row r="1646" spans="1:9" x14ac:dyDescent="0.35">
      <c r="A1646" s="3" t="s">
        <v>10356</v>
      </c>
      <c r="B1646" s="3" t="s">
        <v>3542</v>
      </c>
      <c r="C1646" s="3" t="s">
        <v>3543</v>
      </c>
      <c r="D1646">
        <v>955</v>
      </c>
      <c r="E1646" s="6">
        <v>45020</v>
      </c>
      <c r="F1646">
        <v>0</v>
      </c>
      <c r="G1646">
        <v>0</v>
      </c>
      <c r="H1646">
        <v>0</v>
      </c>
      <c r="I1646" s="3" t="s">
        <v>28</v>
      </c>
    </row>
    <row r="1647" spans="1:9" x14ac:dyDescent="0.35">
      <c r="A1647" s="3" t="s">
        <v>10581</v>
      </c>
      <c r="B1647" s="3" t="s">
        <v>4017</v>
      </c>
      <c r="C1647" s="3" t="s">
        <v>4018</v>
      </c>
      <c r="D1647">
        <v>3423</v>
      </c>
      <c r="E1647" s="6">
        <v>42552</v>
      </c>
      <c r="F1647">
        <v>0</v>
      </c>
      <c r="G1647">
        <v>4.0000000000000001E-3</v>
      </c>
      <c r="H1647">
        <v>7.6999999999999999E-2</v>
      </c>
      <c r="I1647" s="3" t="s">
        <v>8699</v>
      </c>
    </row>
    <row r="1648" spans="1:9" x14ac:dyDescent="0.35">
      <c r="A1648" s="3" t="s">
        <v>10358</v>
      </c>
      <c r="B1648" s="3" t="s">
        <v>3550</v>
      </c>
      <c r="C1648" s="3" t="s">
        <v>3551</v>
      </c>
      <c r="D1648">
        <v>563</v>
      </c>
      <c r="E1648" s="6">
        <v>45412</v>
      </c>
      <c r="F1648">
        <v>0</v>
      </c>
      <c r="G1648">
        <v>6.0000000000000001E-3</v>
      </c>
      <c r="H1648">
        <v>0.114</v>
      </c>
      <c r="I1648" s="3" t="s">
        <v>8712</v>
      </c>
    </row>
    <row r="1649" spans="1:9" x14ac:dyDescent="0.35">
      <c r="A1649" s="3" t="s">
        <v>10818</v>
      </c>
      <c r="B1649" s="3" t="s">
        <v>4517</v>
      </c>
      <c r="C1649" s="3" t="s">
        <v>4518</v>
      </c>
      <c r="D1649">
        <v>3423</v>
      </c>
      <c r="E1649" s="6">
        <v>42552</v>
      </c>
      <c r="F1649">
        <v>0</v>
      </c>
      <c r="G1649">
        <v>1E-3</v>
      </c>
      <c r="H1649">
        <v>3.2000000000000001E-2</v>
      </c>
      <c r="I1649" s="3" t="s">
        <v>8699</v>
      </c>
    </row>
    <row r="1650" spans="1:9" x14ac:dyDescent="0.35">
      <c r="A1650" s="3" t="s">
        <v>10868</v>
      </c>
      <c r="B1650" s="3" t="s">
        <v>4618</v>
      </c>
      <c r="C1650" s="3" t="s">
        <v>4619</v>
      </c>
      <c r="D1650">
        <v>3423</v>
      </c>
      <c r="E1650" s="6">
        <v>42552</v>
      </c>
      <c r="F1650">
        <v>0</v>
      </c>
      <c r="G1650">
        <v>1E-3</v>
      </c>
      <c r="H1650">
        <v>5.5E-2</v>
      </c>
      <c r="I1650" s="3" t="s">
        <v>8699</v>
      </c>
    </row>
    <row r="1651" spans="1:9" x14ac:dyDescent="0.35">
      <c r="A1651" s="3" t="s">
        <v>11004</v>
      </c>
      <c r="B1651" s="3" t="s">
        <v>4915</v>
      </c>
      <c r="C1651" s="3" t="s">
        <v>4916</v>
      </c>
      <c r="D1651">
        <v>3423</v>
      </c>
      <c r="E1651" s="6">
        <v>42552</v>
      </c>
      <c r="F1651">
        <v>0</v>
      </c>
      <c r="G1651">
        <v>3.0000000000000001E-3</v>
      </c>
      <c r="H1651">
        <v>9.2999999999999999E-2</v>
      </c>
      <c r="I1651" s="3" t="s">
        <v>8699</v>
      </c>
    </row>
    <row r="1652" spans="1:9" x14ac:dyDescent="0.35">
      <c r="A1652" s="3" t="s">
        <v>10362</v>
      </c>
      <c r="B1652" s="3" t="s">
        <v>3558</v>
      </c>
      <c r="C1652" s="3" t="s">
        <v>3559</v>
      </c>
      <c r="D1652">
        <v>55</v>
      </c>
      <c r="E1652" s="6">
        <v>45920</v>
      </c>
      <c r="F1652">
        <v>0</v>
      </c>
      <c r="G1652">
        <v>16.53</v>
      </c>
      <c r="H1652">
        <v>2.4700000000000002</v>
      </c>
      <c r="I1652" s="3" t="s">
        <v>8701</v>
      </c>
    </row>
    <row r="1653" spans="1:9" x14ac:dyDescent="0.35">
      <c r="A1653" s="3" t="s">
        <v>10363</v>
      </c>
      <c r="B1653" s="3" t="s">
        <v>3560</v>
      </c>
      <c r="C1653" s="3" t="s">
        <v>3561</v>
      </c>
      <c r="D1653">
        <v>220</v>
      </c>
      <c r="E1653" s="6">
        <v>45755</v>
      </c>
      <c r="F1653">
        <v>0</v>
      </c>
      <c r="G1653">
        <v>9.35</v>
      </c>
      <c r="H1653">
        <v>1.6500000000000001</v>
      </c>
      <c r="I1653" s="3" t="s">
        <v>8756</v>
      </c>
    </row>
    <row r="1654" spans="1:9" x14ac:dyDescent="0.35">
      <c r="A1654" s="3" t="s">
        <v>10364</v>
      </c>
      <c r="B1654" s="3" t="s">
        <v>3562</v>
      </c>
      <c r="C1654" s="3" t="s">
        <v>3563</v>
      </c>
      <c r="D1654">
        <v>49</v>
      </c>
      <c r="E1654" s="6">
        <v>45926</v>
      </c>
      <c r="F1654">
        <v>100</v>
      </c>
      <c r="G1654">
        <v>0.85</v>
      </c>
      <c r="H1654">
        <v>0.85</v>
      </c>
      <c r="I1654" s="3" t="s">
        <v>8701</v>
      </c>
    </row>
    <row r="1655" spans="1:9" x14ac:dyDescent="0.35">
      <c r="A1655" s="3" t="s">
        <v>10365</v>
      </c>
      <c r="B1655" s="3" t="s">
        <v>3564</v>
      </c>
      <c r="C1655" s="3" t="s">
        <v>3565</v>
      </c>
      <c r="D1655">
        <v>23</v>
      </c>
      <c r="E1655" s="6">
        <v>45952</v>
      </c>
      <c r="F1655">
        <v>50</v>
      </c>
      <c r="G1655">
        <v>2.1</v>
      </c>
      <c r="H1655">
        <v>0.9</v>
      </c>
      <c r="I1655" s="3" t="s">
        <v>8756</v>
      </c>
    </row>
    <row r="1656" spans="1:9" x14ac:dyDescent="0.35">
      <c r="A1656" s="3" t="s">
        <v>10366</v>
      </c>
      <c r="B1656" s="3" t="s">
        <v>3566</v>
      </c>
      <c r="C1656" s="3" t="s">
        <v>3567</v>
      </c>
      <c r="D1656">
        <v>52</v>
      </c>
      <c r="E1656" s="6">
        <v>45923</v>
      </c>
      <c r="F1656">
        <v>0</v>
      </c>
      <c r="G1656">
        <v>194.02500000000001</v>
      </c>
      <c r="H1656">
        <v>0.97500000000000009</v>
      </c>
      <c r="I1656" s="3" t="s">
        <v>8738</v>
      </c>
    </row>
    <row r="1657" spans="1:9" x14ac:dyDescent="0.35">
      <c r="A1657" s="3" t="s">
        <v>10367</v>
      </c>
      <c r="B1657" s="3" t="s">
        <v>3568</v>
      </c>
      <c r="C1657" s="3" t="s">
        <v>3569</v>
      </c>
      <c r="D1657">
        <v>47</v>
      </c>
      <c r="E1657" s="6">
        <v>45928</v>
      </c>
      <c r="F1657">
        <v>0</v>
      </c>
      <c r="G1657">
        <v>11.4</v>
      </c>
      <c r="H1657">
        <v>0.6</v>
      </c>
      <c r="I1657" s="3" t="s">
        <v>8756</v>
      </c>
    </row>
    <row r="1658" spans="1:9" x14ac:dyDescent="0.35">
      <c r="A1658" s="3" t="s">
        <v>10368</v>
      </c>
      <c r="B1658" s="3" t="s">
        <v>3570</v>
      </c>
      <c r="C1658" s="3" t="s">
        <v>3571</v>
      </c>
      <c r="D1658">
        <v>25</v>
      </c>
      <c r="E1658" s="6">
        <v>45950</v>
      </c>
      <c r="F1658">
        <v>0</v>
      </c>
      <c r="G1658">
        <v>9.2000000000000011</v>
      </c>
      <c r="H1658">
        <v>0.8</v>
      </c>
      <c r="I1658" s="3" t="s">
        <v>8701</v>
      </c>
    </row>
    <row r="1659" spans="1:9" x14ac:dyDescent="0.35">
      <c r="A1659" s="3" t="s">
        <v>10369</v>
      </c>
      <c r="B1659" s="3" t="s">
        <v>3572</v>
      </c>
      <c r="C1659" s="3" t="s">
        <v>3573</v>
      </c>
      <c r="D1659">
        <v>30</v>
      </c>
      <c r="E1659" s="6">
        <v>45945</v>
      </c>
      <c r="F1659">
        <v>0</v>
      </c>
      <c r="G1659">
        <v>19</v>
      </c>
      <c r="H1659">
        <v>1</v>
      </c>
      <c r="I1659" s="3" t="s">
        <v>8756</v>
      </c>
    </row>
    <row r="1660" spans="1:9" x14ac:dyDescent="0.35">
      <c r="A1660" s="3" t="s">
        <v>10370</v>
      </c>
      <c r="B1660" s="3" t="s">
        <v>3574</v>
      </c>
      <c r="C1660" s="3" t="s">
        <v>3575</v>
      </c>
      <c r="D1660">
        <v>46</v>
      </c>
      <c r="E1660" s="6">
        <v>45929</v>
      </c>
      <c r="F1660">
        <v>0</v>
      </c>
      <c r="G1660">
        <v>0.28400000000000003</v>
      </c>
      <c r="H1660">
        <v>6.6000000000000003E-2</v>
      </c>
      <c r="I1660" s="3" t="s">
        <v>8756</v>
      </c>
    </row>
    <row r="1661" spans="1:9" x14ac:dyDescent="0.35">
      <c r="A1661" s="3" t="s">
        <v>10371</v>
      </c>
      <c r="B1661" s="3" t="s">
        <v>3576</v>
      </c>
      <c r="C1661" s="3" t="s">
        <v>3577</v>
      </c>
      <c r="D1661">
        <v>15</v>
      </c>
      <c r="E1661" s="6">
        <v>45960</v>
      </c>
      <c r="F1661">
        <v>0</v>
      </c>
      <c r="G1661">
        <v>3.2</v>
      </c>
      <c r="H1661">
        <v>0.8</v>
      </c>
      <c r="I1661" s="3" t="s">
        <v>8705</v>
      </c>
    </row>
    <row r="1662" spans="1:9" x14ac:dyDescent="0.35">
      <c r="A1662" s="3" t="s">
        <v>11017</v>
      </c>
      <c r="B1662" s="3" t="s">
        <v>4944</v>
      </c>
      <c r="C1662" s="3" t="s">
        <v>4945</v>
      </c>
      <c r="D1662">
        <v>3423</v>
      </c>
      <c r="E1662" s="6">
        <v>42552</v>
      </c>
      <c r="F1662">
        <v>0</v>
      </c>
      <c r="G1662">
        <v>2E-3</v>
      </c>
      <c r="H1662">
        <v>6.6000000000000003E-2</v>
      </c>
      <c r="I1662" s="3" t="s">
        <v>8699</v>
      </c>
    </row>
    <row r="1663" spans="1:9" x14ac:dyDescent="0.35">
      <c r="A1663" s="3" t="s">
        <v>10373</v>
      </c>
      <c r="B1663" s="3" t="s">
        <v>3580</v>
      </c>
      <c r="C1663" s="3" t="s">
        <v>3581</v>
      </c>
      <c r="D1663">
        <v>955</v>
      </c>
      <c r="E1663" s="6">
        <v>45020</v>
      </c>
      <c r="F1663">
        <v>0</v>
      </c>
      <c r="G1663">
        <v>0</v>
      </c>
      <c r="H1663">
        <v>0</v>
      </c>
      <c r="I1663" s="3" t="s">
        <v>28</v>
      </c>
    </row>
    <row r="1664" spans="1:9" x14ac:dyDescent="0.35">
      <c r="A1664" s="3" t="s">
        <v>10374</v>
      </c>
      <c r="B1664" s="3" t="s">
        <v>3582</v>
      </c>
      <c r="C1664" s="3" t="s">
        <v>3583</v>
      </c>
      <c r="D1664">
        <v>108</v>
      </c>
      <c r="E1664" s="6">
        <v>45867</v>
      </c>
      <c r="F1664">
        <v>100</v>
      </c>
      <c r="G1664">
        <v>1.95</v>
      </c>
      <c r="H1664">
        <v>1.05</v>
      </c>
      <c r="I1664" s="3" t="s">
        <v>8701</v>
      </c>
    </row>
    <row r="1665" spans="1:9" x14ac:dyDescent="0.35">
      <c r="A1665" s="3" t="s">
        <v>10375</v>
      </c>
      <c r="B1665" s="3" t="s">
        <v>3584</v>
      </c>
      <c r="C1665" s="3" t="s">
        <v>3585</v>
      </c>
      <c r="D1665">
        <v>55</v>
      </c>
      <c r="E1665" s="6">
        <v>45920</v>
      </c>
      <c r="F1665">
        <v>0</v>
      </c>
      <c r="G1665">
        <v>6.58</v>
      </c>
      <c r="H1665">
        <v>0.42</v>
      </c>
      <c r="I1665" s="3" t="s">
        <v>8756</v>
      </c>
    </row>
    <row r="1666" spans="1:9" x14ac:dyDescent="0.35">
      <c r="A1666" s="3" t="s">
        <v>10975</v>
      </c>
      <c r="B1666" s="3" t="s">
        <v>4846</v>
      </c>
      <c r="C1666" s="3" t="s">
        <v>4847</v>
      </c>
      <c r="D1666">
        <v>3448</v>
      </c>
      <c r="E1666" s="6">
        <v>42527</v>
      </c>
      <c r="F1666">
        <v>0</v>
      </c>
      <c r="G1666">
        <v>7.2</v>
      </c>
      <c r="H1666">
        <v>0.8</v>
      </c>
      <c r="I1666" s="3" t="s">
        <v>8699</v>
      </c>
    </row>
    <row r="1667" spans="1:9" x14ac:dyDescent="0.35">
      <c r="A1667" s="3" t="s">
        <v>10377</v>
      </c>
      <c r="B1667" s="3" t="s">
        <v>3588</v>
      </c>
      <c r="C1667" s="3" t="s">
        <v>3589</v>
      </c>
      <c r="D1667">
        <v>33</v>
      </c>
      <c r="E1667" s="6">
        <v>45942</v>
      </c>
      <c r="F1667">
        <v>0</v>
      </c>
      <c r="G1667">
        <v>0.76</v>
      </c>
      <c r="H1667">
        <v>1.1400000000000001</v>
      </c>
      <c r="I1667" s="3" t="s">
        <v>8756</v>
      </c>
    </row>
    <row r="1668" spans="1:9" x14ac:dyDescent="0.35">
      <c r="A1668" s="3" t="s">
        <v>10378</v>
      </c>
      <c r="B1668" s="3" t="s">
        <v>3590</v>
      </c>
      <c r="C1668" s="3" t="s">
        <v>3591</v>
      </c>
      <c r="D1668">
        <v>21</v>
      </c>
      <c r="E1668" s="6">
        <v>45954</v>
      </c>
      <c r="F1668">
        <v>0</v>
      </c>
      <c r="G1668">
        <v>88.27300000000001</v>
      </c>
      <c r="H1668">
        <v>1.5270000000000001</v>
      </c>
      <c r="I1668" s="3" t="s">
        <v>8701</v>
      </c>
    </row>
    <row r="1669" spans="1:9" x14ac:dyDescent="0.35">
      <c r="A1669" s="3" t="s">
        <v>9943</v>
      </c>
      <c r="B1669" s="3" t="s">
        <v>2664</v>
      </c>
      <c r="C1669" s="3" t="s">
        <v>2665</v>
      </c>
      <c r="D1669">
        <v>3493</v>
      </c>
      <c r="E1669" s="6">
        <v>42482</v>
      </c>
      <c r="F1669">
        <v>0</v>
      </c>
      <c r="G1669">
        <v>2.4500000000000002</v>
      </c>
      <c r="H1669">
        <v>0.05</v>
      </c>
      <c r="I1669" s="3" t="s">
        <v>8699</v>
      </c>
    </row>
    <row r="1670" spans="1:9" x14ac:dyDescent="0.35">
      <c r="A1670" s="3" t="s">
        <v>10380</v>
      </c>
      <c r="B1670" s="3" t="s">
        <v>3594</v>
      </c>
      <c r="C1670" s="3" t="s">
        <v>3595</v>
      </c>
      <c r="D1670">
        <v>50</v>
      </c>
      <c r="E1670" s="6">
        <v>45925</v>
      </c>
      <c r="F1670">
        <v>80</v>
      </c>
      <c r="G1670">
        <v>8.5500000000000007</v>
      </c>
      <c r="H1670">
        <v>0.45</v>
      </c>
      <c r="I1670" s="3" t="s">
        <v>8701</v>
      </c>
    </row>
    <row r="1671" spans="1:9" x14ac:dyDescent="0.35">
      <c r="A1671" s="3" t="s">
        <v>10381</v>
      </c>
      <c r="B1671" s="3" t="s">
        <v>3596</v>
      </c>
      <c r="C1671" s="3" t="s">
        <v>3597</v>
      </c>
      <c r="D1671">
        <v>262</v>
      </c>
      <c r="E1671" s="6">
        <v>45713</v>
      </c>
      <c r="F1671">
        <v>0</v>
      </c>
      <c r="G1671">
        <v>6.16</v>
      </c>
      <c r="H1671">
        <v>1.54</v>
      </c>
      <c r="I1671" s="3" t="s">
        <v>8756</v>
      </c>
    </row>
    <row r="1672" spans="1:9" x14ac:dyDescent="0.35">
      <c r="A1672" s="3" t="s">
        <v>8943</v>
      </c>
      <c r="B1672" s="3" t="s">
        <v>546</v>
      </c>
      <c r="C1672" s="3" t="s">
        <v>547</v>
      </c>
      <c r="D1672">
        <v>3497</v>
      </c>
      <c r="E1672" s="6">
        <v>42478</v>
      </c>
      <c r="F1672">
        <v>0</v>
      </c>
      <c r="G1672">
        <v>30.38</v>
      </c>
      <c r="H1672">
        <v>0.62</v>
      </c>
      <c r="I1672" s="3" t="s">
        <v>8699</v>
      </c>
    </row>
    <row r="1673" spans="1:9" x14ac:dyDescent="0.35">
      <c r="A1673" s="3" t="s">
        <v>10218</v>
      </c>
      <c r="B1673" s="3" t="s">
        <v>3244</v>
      </c>
      <c r="C1673" s="3" t="s">
        <v>3245</v>
      </c>
      <c r="D1673">
        <v>3509</v>
      </c>
      <c r="E1673" s="6">
        <v>42466</v>
      </c>
      <c r="F1673">
        <v>0</v>
      </c>
      <c r="G1673">
        <v>1E-3</v>
      </c>
      <c r="H1673">
        <v>8.900000000000001E-2</v>
      </c>
      <c r="I1673" s="3" t="s">
        <v>8699</v>
      </c>
    </row>
    <row r="1674" spans="1:9" x14ac:dyDescent="0.35">
      <c r="A1674" s="3" t="s">
        <v>10384</v>
      </c>
      <c r="B1674" s="3" t="s">
        <v>3602</v>
      </c>
      <c r="C1674" s="3" t="s">
        <v>3603</v>
      </c>
      <c r="D1674">
        <v>102</v>
      </c>
      <c r="E1674" s="6">
        <v>45873</v>
      </c>
      <c r="F1674">
        <v>0</v>
      </c>
      <c r="G1674">
        <v>6.3</v>
      </c>
      <c r="H1674">
        <v>0.70000000000000007</v>
      </c>
      <c r="I1674" s="3" t="s">
        <v>8701</v>
      </c>
    </row>
    <row r="1675" spans="1:9" x14ac:dyDescent="0.35">
      <c r="A1675" s="3" t="s">
        <v>10385</v>
      </c>
      <c r="B1675" s="3" t="s">
        <v>3605</v>
      </c>
      <c r="C1675" s="3" t="s">
        <v>3606</v>
      </c>
      <c r="D1675">
        <v>18</v>
      </c>
      <c r="E1675" s="6">
        <v>45957</v>
      </c>
      <c r="F1675">
        <v>0</v>
      </c>
      <c r="G1675">
        <v>16.192</v>
      </c>
      <c r="H1675">
        <v>1.4080000000000001</v>
      </c>
      <c r="I1675" s="3" t="s">
        <v>8756</v>
      </c>
    </row>
    <row r="1676" spans="1:9" x14ac:dyDescent="0.35">
      <c r="A1676" s="3" t="s">
        <v>10386</v>
      </c>
      <c r="B1676" s="3" t="s">
        <v>3607</v>
      </c>
      <c r="C1676" s="3" t="s">
        <v>3608</v>
      </c>
      <c r="D1676">
        <v>44</v>
      </c>
      <c r="E1676" s="6">
        <v>45931</v>
      </c>
      <c r="F1676">
        <v>20</v>
      </c>
      <c r="G1676">
        <v>74.25</v>
      </c>
      <c r="H1676">
        <v>0.75</v>
      </c>
      <c r="I1676" s="3" t="s">
        <v>8756</v>
      </c>
    </row>
    <row r="1677" spans="1:9" x14ac:dyDescent="0.35">
      <c r="A1677" s="3" t="s">
        <v>10387</v>
      </c>
      <c r="B1677" s="3" t="s">
        <v>3609</v>
      </c>
      <c r="C1677" s="3" t="s">
        <v>3610</v>
      </c>
      <c r="D1677">
        <v>353</v>
      </c>
      <c r="E1677" s="6">
        <v>45622</v>
      </c>
      <c r="F1677">
        <v>0</v>
      </c>
      <c r="G1677">
        <v>0.01</v>
      </c>
      <c r="H1677">
        <v>0.19</v>
      </c>
      <c r="I1677" s="3" t="s">
        <v>8712</v>
      </c>
    </row>
    <row r="1678" spans="1:9" x14ac:dyDescent="0.35">
      <c r="A1678" s="3" t="s">
        <v>10388</v>
      </c>
      <c r="B1678" s="3" t="s">
        <v>3611</v>
      </c>
      <c r="C1678" s="3" t="s">
        <v>3612</v>
      </c>
      <c r="D1678">
        <v>955</v>
      </c>
      <c r="E1678" s="6">
        <v>45020</v>
      </c>
      <c r="F1678">
        <v>0</v>
      </c>
      <c r="G1678">
        <v>0</v>
      </c>
      <c r="H1678">
        <v>0</v>
      </c>
      <c r="I1678" s="3" t="s">
        <v>28</v>
      </c>
    </row>
    <row r="1679" spans="1:9" x14ac:dyDescent="0.35">
      <c r="A1679" s="3" t="s">
        <v>10389</v>
      </c>
      <c r="B1679" s="3" t="s">
        <v>3613</v>
      </c>
      <c r="C1679" s="3" t="s">
        <v>3614</v>
      </c>
      <c r="D1679">
        <v>25</v>
      </c>
      <c r="E1679" s="6">
        <v>45950</v>
      </c>
      <c r="F1679">
        <v>0</v>
      </c>
      <c r="G1679">
        <v>5.6000000000000005</v>
      </c>
      <c r="H1679">
        <v>1.4000000000000001</v>
      </c>
      <c r="I1679" s="3" t="s">
        <v>8738</v>
      </c>
    </row>
    <row r="1680" spans="1:9" x14ac:dyDescent="0.35">
      <c r="A1680" s="3" t="s">
        <v>10390</v>
      </c>
      <c r="B1680" s="3" t="s">
        <v>3615</v>
      </c>
      <c r="C1680" s="3" t="s">
        <v>3616</v>
      </c>
      <c r="D1680">
        <v>53</v>
      </c>
      <c r="E1680" s="6">
        <v>45922</v>
      </c>
      <c r="F1680">
        <v>0</v>
      </c>
      <c r="G1680">
        <v>11.4</v>
      </c>
      <c r="H1680">
        <v>0.6</v>
      </c>
      <c r="I1680" s="3" t="s">
        <v>8738</v>
      </c>
    </row>
    <row r="1681" spans="1:9" x14ac:dyDescent="0.35">
      <c r="A1681" s="3" t="s">
        <v>10391</v>
      </c>
      <c r="B1681" s="3" t="s">
        <v>3617</v>
      </c>
      <c r="C1681" s="3" t="s">
        <v>3618</v>
      </c>
      <c r="D1681">
        <v>50</v>
      </c>
      <c r="E1681" s="6">
        <v>45925</v>
      </c>
      <c r="F1681">
        <v>100</v>
      </c>
      <c r="G1681">
        <v>2.964</v>
      </c>
      <c r="H1681">
        <v>0.93600000000000005</v>
      </c>
      <c r="I1681" s="3" t="s">
        <v>8701</v>
      </c>
    </row>
    <row r="1682" spans="1:9" x14ac:dyDescent="0.35">
      <c r="A1682" s="3" t="s">
        <v>10392</v>
      </c>
      <c r="B1682" s="3" t="s">
        <v>3619</v>
      </c>
      <c r="C1682" s="3" t="s">
        <v>3620</v>
      </c>
      <c r="D1682">
        <v>30</v>
      </c>
      <c r="E1682" s="6">
        <v>45945</v>
      </c>
      <c r="F1682">
        <v>0</v>
      </c>
      <c r="G1682">
        <v>22.75</v>
      </c>
      <c r="H1682">
        <v>2.25</v>
      </c>
      <c r="I1682" s="3" t="s">
        <v>8738</v>
      </c>
    </row>
    <row r="1683" spans="1:9" x14ac:dyDescent="0.35">
      <c r="A1683" s="3" t="s">
        <v>10393</v>
      </c>
      <c r="B1683" s="3" t="s">
        <v>3621</v>
      </c>
      <c r="C1683" s="3" t="s">
        <v>3622</v>
      </c>
      <c r="D1683">
        <v>26</v>
      </c>
      <c r="E1683" s="6">
        <v>45949</v>
      </c>
      <c r="F1683">
        <v>0</v>
      </c>
      <c r="G1683">
        <v>9.9</v>
      </c>
      <c r="H1683">
        <v>1.1000000000000001</v>
      </c>
      <c r="I1683" s="3" t="s">
        <v>8701</v>
      </c>
    </row>
    <row r="1684" spans="1:9" x14ac:dyDescent="0.35">
      <c r="A1684" s="3" t="s">
        <v>10394</v>
      </c>
      <c r="B1684" s="3" t="s">
        <v>3623</v>
      </c>
      <c r="C1684" s="3" t="s">
        <v>3624</v>
      </c>
      <c r="D1684">
        <v>159</v>
      </c>
      <c r="E1684" s="6">
        <v>45816</v>
      </c>
      <c r="F1684">
        <v>100</v>
      </c>
      <c r="G1684">
        <v>0.15</v>
      </c>
      <c r="H1684">
        <v>1.35</v>
      </c>
      <c r="I1684" s="3" t="s">
        <v>8756</v>
      </c>
    </row>
    <row r="1685" spans="1:9" x14ac:dyDescent="0.35">
      <c r="A1685" s="3" t="s">
        <v>10395</v>
      </c>
      <c r="B1685" s="3" t="s">
        <v>3625</v>
      </c>
      <c r="C1685" s="3" t="s">
        <v>3626</v>
      </c>
      <c r="D1685">
        <v>955</v>
      </c>
      <c r="E1685" s="6">
        <v>45020</v>
      </c>
      <c r="F1685">
        <v>0</v>
      </c>
      <c r="G1685">
        <v>0</v>
      </c>
      <c r="H1685">
        <v>0</v>
      </c>
      <c r="I1685" s="3" t="s">
        <v>28</v>
      </c>
    </row>
    <row r="1686" spans="1:9" x14ac:dyDescent="0.35">
      <c r="A1686" s="3" t="s">
        <v>10396</v>
      </c>
      <c r="B1686" s="3" t="s">
        <v>3627</v>
      </c>
      <c r="C1686" s="3" t="s">
        <v>3628</v>
      </c>
      <c r="D1686">
        <v>23</v>
      </c>
      <c r="E1686" s="6">
        <v>45952</v>
      </c>
      <c r="F1686">
        <v>0</v>
      </c>
      <c r="G1686">
        <v>4.0000000000000001E-3</v>
      </c>
      <c r="H1686">
        <v>9.6000000000000002E-2</v>
      </c>
      <c r="I1686" s="3" t="s">
        <v>8712</v>
      </c>
    </row>
    <row r="1687" spans="1:9" x14ac:dyDescent="0.35">
      <c r="A1687" s="3" t="s">
        <v>10397</v>
      </c>
      <c r="B1687" s="3" t="s">
        <v>3629</v>
      </c>
      <c r="C1687" s="3" t="s">
        <v>3630</v>
      </c>
      <c r="D1687">
        <v>23</v>
      </c>
      <c r="E1687" s="6">
        <v>45952</v>
      </c>
      <c r="F1687">
        <v>0</v>
      </c>
      <c r="G1687">
        <v>1.35</v>
      </c>
      <c r="H1687">
        <v>1.6500000000000001</v>
      </c>
      <c r="I1687" s="3" t="s">
        <v>8701</v>
      </c>
    </row>
    <row r="1688" spans="1:9" x14ac:dyDescent="0.35">
      <c r="A1688" s="3" t="s">
        <v>10398</v>
      </c>
      <c r="B1688" s="3" t="s">
        <v>3631</v>
      </c>
      <c r="C1688" s="3" t="s">
        <v>3632</v>
      </c>
      <c r="D1688">
        <v>18</v>
      </c>
      <c r="E1688" s="6">
        <v>45957</v>
      </c>
      <c r="F1688">
        <v>0</v>
      </c>
      <c r="G1688">
        <v>5.8930000000000007</v>
      </c>
      <c r="H1688">
        <v>1.2070000000000001</v>
      </c>
      <c r="I1688" s="3" t="s">
        <v>8756</v>
      </c>
    </row>
    <row r="1689" spans="1:9" x14ac:dyDescent="0.35">
      <c r="A1689" s="3" t="s">
        <v>10399</v>
      </c>
      <c r="B1689" s="3" t="s">
        <v>3633</v>
      </c>
      <c r="C1689" s="3" t="s">
        <v>3634</v>
      </c>
      <c r="D1689">
        <v>87</v>
      </c>
      <c r="E1689" s="6">
        <v>45888</v>
      </c>
      <c r="F1689">
        <v>0</v>
      </c>
      <c r="G1689">
        <v>1.242</v>
      </c>
      <c r="H1689">
        <v>1.458</v>
      </c>
      <c r="I1689" s="3" t="s">
        <v>8701</v>
      </c>
    </row>
    <row r="1690" spans="1:9" x14ac:dyDescent="0.35">
      <c r="A1690" s="3" t="s">
        <v>9316</v>
      </c>
      <c r="B1690" s="3" t="s">
        <v>1334</v>
      </c>
      <c r="C1690" s="3" t="s">
        <v>1335</v>
      </c>
      <c r="D1690">
        <v>3510</v>
      </c>
      <c r="E1690" s="6">
        <v>42465</v>
      </c>
      <c r="F1690">
        <v>0</v>
      </c>
      <c r="G1690">
        <v>4.4620000000000006</v>
      </c>
      <c r="H1690">
        <v>0.13800000000000001</v>
      </c>
      <c r="I1690" s="3" t="s">
        <v>8699</v>
      </c>
    </row>
    <row r="1691" spans="1:9" x14ac:dyDescent="0.35">
      <c r="A1691" s="3" t="s">
        <v>9984</v>
      </c>
      <c r="B1691" s="3" t="s">
        <v>2747</v>
      </c>
      <c r="C1691" s="3" t="s">
        <v>2748</v>
      </c>
      <c r="D1691">
        <v>3525</v>
      </c>
      <c r="E1691" s="6">
        <v>42450</v>
      </c>
      <c r="F1691">
        <v>0</v>
      </c>
      <c r="G1691">
        <v>19.8</v>
      </c>
      <c r="H1691">
        <v>0.2</v>
      </c>
      <c r="I1691" s="3" t="s">
        <v>8699</v>
      </c>
    </row>
    <row r="1692" spans="1:9" x14ac:dyDescent="0.35">
      <c r="A1692" s="3" t="s">
        <v>10402</v>
      </c>
      <c r="B1692" s="3" t="s">
        <v>3639</v>
      </c>
      <c r="C1692" s="3" t="s">
        <v>3640</v>
      </c>
      <c r="D1692">
        <v>145</v>
      </c>
      <c r="E1692" s="6">
        <v>45830</v>
      </c>
      <c r="F1692">
        <v>50</v>
      </c>
      <c r="G1692">
        <v>2.1179999999999999</v>
      </c>
      <c r="H1692">
        <v>1.732</v>
      </c>
      <c r="I1692" s="3" t="s">
        <v>8756</v>
      </c>
    </row>
    <row r="1693" spans="1:9" x14ac:dyDescent="0.35">
      <c r="A1693" s="3" t="s">
        <v>10403</v>
      </c>
      <c r="B1693" s="3" t="s">
        <v>3641</v>
      </c>
      <c r="C1693" s="3" t="s">
        <v>3642</v>
      </c>
      <c r="D1693">
        <v>46</v>
      </c>
      <c r="E1693" s="6">
        <v>45929</v>
      </c>
      <c r="F1693">
        <v>100</v>
      </c>
      <c r="G1693">
        <v>0.2</v>
      </c>
      <c r="H1693">
        <v>1.8</v>
      </c>
      <c r="I1693" s="3" t="s">
        <v>8703</v>
      </c>
    </row>
    <row r="1694" spans="1:9" x14ac:dyDescent="0.35">
      <c r="A1694" s="3" t="s">
        <v>10404</v>
      </c>
      <c r="B1694" s="3" t="s">
        <v>3643</v>
      </c>
      <c r="C1694" s="3" t="s">
        <v>3644</v>
      </c>
      <c r="D1694">
        <v>88</v>
      </c>
      <c r="E1694" s="6">
        <v>45887</v>
      </c>
      <c r="F1694">
        <v>0</v>
      </c>
      <c r="G1694">
        <v>9.4440000000000008</v>
      </c>
      <c r="H1694">
        <v>0.65600000000000003</v>
      </c>
      <c r="I1694" s="3" t="s">
        <v>8701</v>
      </c>
    </row>
    <row r="1695" spans="1:9" x14ac:dyDescent="0.35">
      <c r="A1695" s="3" t="s">
        <v>10823</v>
      </c>
      <c r="B1695" s="3" t="s">
        <v>4527</v>
      </c>
      <c r="C1695" s="3" t="s">
        <v>4528</v>
      </c>
      <c r="D1695">
        <v>3529</v>
      </c>
      <c r="E1695" s="6">
        <v>42446</v>
      </c>
      <c r="F1695">
        <v>0</v>
      </c>
      <c r="G1695">
        <v>2.68</v>
      </c>
      <c r="H1695">
        <v>1.32</v>
      </c>
      <c r="I1695" s="3" t="s">
        <v>8699</v>
      </c>
    </row>
    <row r="1696" spans="1:9" x14ac:dyDescent="0.35">
      <c r="A1696" s="3" t="s">
        <v>10406</v>
      </c>
      <c r="B1696" s="3" t="s">
        <v>3647</v>
      </c>
      <c r="C1696" s="3" t="s">
        <v>3648</v>
      </c>
      <c r="D1696">
        <v>955</v>
      </c>
      <c r="E1696" s="6">
        <v>45020</v>
      </c>
      <c r="F1696">
        <v>0</v>
      </c>
      <c r="G1696">
        <v>0</v>
      </c>
      <c r="H1696">
        <v>0</v>
      </c>
      <c r="I1696" s="3" t="s">
        <v>28</v>
      </c>
    </row>
    <row r="1697" spans="1:9" x14ac:dyDescent="0.35">
      <c r="A1697" s="3" t="s">
        <v>11131</v>
      </c>
      <c r="B1697" s="3" t="s">
        <v>5179</v>
      </c>
      <c r="C1697" s="3" t="s">
        <v>5180</v>
      </c>
      <c r="D1697">
        <v>3536</v>
      </c>
      <c r="E1697" s="6">
        <v>42439</v>
      </c>
      <c r="F1697">
        <v>0</v>
      </c>
      <c r="G1697">
        <v>17.945</v>
      </c>
      <c r="H1697">
        <v>0.55500000000000005</v>
      </c>
      <c r="I1697" s="3" t="s">
        <v>8699</v>
      </c>
    </row>
    <row r="1698" spans="1:9" x14ac:dyDescent="0.35">
      <c r="A1698" s="3" t="s">
        <v>10408</v>
      </c>
      <c r="B1698" s="3" t="s">
        <v>3651</v>
      </c>
      <c r="C1698" s="3" t="s">
        <v>3652</v>
      </c>
      <c r="D1698">
        <v>563</v>
      </c>
      <c r="E1698" s="6">
        <v>45412</v>
      </c>
      <c r="F1698">
        <v>0</v>
      </c>
      <c r="G1698">
        <v>6.0000000000000001E-3</v>
      </c>
      <c r="H1698">
        <v>0.114</v>
      </c>
      <c r="I1698" s="3" t="s">
        <v>8712</v>
      </c>
    </row>
    <row r="1699" spans="1:9" x14ac:dyDescent="0.35">
      <c r="A1699" s="3" t="s">
        <v>10409</v>
      </c>
      <c r="B1699" s="3" t="s">
        <v>3653</v>
      </c>
      <c r="C1699" s="3" t="s">
        <v>3654</v>
      </c>
      <c r="D1699">
        <v>3</v>
      </c>
      <c r="E1699" s="6">
        <v>45972</v>
      </c>
      <c r="F1699">
        <v>0</v>
      </c>
      <c r="G1699">
        <v>12.35</v>
      </c>
      <c r="H1699">
        <v>0.65</v>
      </c>
      <c r="I1699" s="3" t="s">
        <v>8756</v>
      </c>
    </row>
    <row r="1700" spans="1:9" x14ac:dyDescent="0.35">
      <c r="A1700" s="3" t="s">
        <v>10540</v>
      </c>
      <c r="B1700" s="3" t="s">
        <v>3933</v>
      </c>
      <c r="C1700" s="3" t="s">
        <v>3934</v>
      </c>
      <c r="D1700">
        <v>3537</v>
      </c>
      <c r="E1700" s="6">
        <v>42438</v>
      </c>
      <c r="F1700">
        <v>0</v>
      </c>
      <c r="G1700">
        <v>11.4</v>
      </c>
      <c r="H1700">
        <v>0.6</v>
      </c>
      <c r="I1700" s="3" t="s">
        <v>8699</v>
      </c>
    </row>
    <row r="1701" spans="1:9" x14ac:dyDescent="0.35">
      <c r="A1701" s="3" t="s">
        <v>8911</v>
      </c>
      <c r="B1701" s="3" t="s">
        <v>482</v>
      </c>
      <c r="C1701" s="3" t="s">
        <v>483</v>
      </c>
      <c r="D1701">
        <v>3538</v>
      </c>
      <c r="E1701" s="6">
        <v>42437</v>
      </c>
      <c r="F1701">
        <v>0</v>
      </c>
      <c r="G1701">
        <v>0.12</v>
      </c>
      <c r="H1701">
        <v>0.88</v>
      </c>
      <c r="I1701" s="3" t="s">
        <v>8699</v>
      </c>
    </row>
    <row r="1702" spans="1:9" x14ac:dyDescent="0.35">
      <c r="A1702" s="3" t="s">
        <v>10412</v>
      </c>
      <c r="B1702" s="3" t="s">
        <v>3659</v>
      </c>
      <c r="C1702" s="3" t="s">
        <v>3660</v>
      </c>
      <c r="D1702">
        <v>955</v>
      </c>
      <c r="E1702" s="6">
        <v>45020</v>
      </c>
      <c r="F1702">
        <v>0</v>
      </c>
      <c r="G1702">
        <v>0</v>
      </c>
      <c r="H1702">
        <v>0</v>
      </c>
      <c r="I1702" s="3" t="s">
        <v>28</v>
      </c>
    </row>
    <row r="1703" spans="1:9" x14ac:dyDescent="0.35">
      <c r="A1703" s="3" t="s">
        <v>10413</v>
      </c>
      <c r="B1703" s="3" t="s">
        <v>3661</v>
      </c>
      <c r="C1703" s="3" t="s">
        <v>3662</v>
      </c>
      <c r="D1703">
        <v>2330</v>
      </c>
      <c r="E1703" s="6">
        <v>43645</v>
      </c>
      <c r="F1703">
        <v>0</v>
      </c>
      <c r="G1703">
        <v>1.1760000000000002</v>
      </c>
      <c r="H1703">
        <v>2.4E-2</v>
      </c>
      <c r="I1703" s="3" t="s">
        <v>8701</v>
      </c>
    </row>
    <row r="1704" spans="1:9" x14ac:dyDescent="0.35">
      <c r="A1704" s="3" t="s">
        <v>10414</v>
      </c>
      <c r="B1704" s="3" t="s">
        <v>3663</v>
      </c>
      <c r="C1704" s="3" t="s">
        <v>3664</v>
      </c>
      <c r="D1704">
        <v>46</v>
      </c>
      <c r="E1704" s="6">
        <v>45929</v>
      </c>
      <c r="F1704">
        <v>0</v>
      </c>
      <c r="G1704">
        <v>83.3</v>
      </c>
      <c r="H1704">
        <v>1.7</v>
      </c>
      <c r="I1704" s="3" t="s">
        <v>8701</v>
      </c>
    </row>
    <row r="1705" spans="1:9" x14ac:dyDescent="0.35">
      <c r="A1705" s="3" t="s">
        <v>10941</v>
      </c>
      <c r="B1705" s="3" t="s">
        <v>4773</v>
      </c>
      <c r="C1705" s="3" t="s">
        <v>4774</v>
      </c>
      <c r="D1705">
        <v>3560</v>
      </c>
      <c r="E1705" s="6">
        <v>42415</v>
      </c>
      <c r="F1705">
        <v>0</v>
      </c>
      <c r="G1705">
        <v>4.2</v>
      </c>
      <c r="H1705">
        <v>1.8</v>
      </c>
      <c r="I1705" s="3" t="s">
        <v>8699</v>
      </c>
    </row>
    <row r="1706" spans="1:9" x14ac:dyDescent="0.35">
      <c r="A1706" s="3" t="s">
        <v>10416</v>
      </c>
      <c r="B1706" s="3" t="s">
        <v>3669</v>
      </c>
      <c r="C1706" s="3" t="s">
        <v>3670</v>
      </c>
      <c r="D1706">
        <v>109</v>
      </c>
      <c r="E1706" s="6">
        <v>45866</v>
      </c>
      <c r="F1706">
        <v>120</v>
      </c>
      <c r="G1706">
        <v>9.984</v>
      </c>
      <c r="H1706">
        <v>2.8160000000000003</v>
      </c>
      <c r="I1706" s="3" t="s">
        <v>8729</v>
      </c>
    </row>
    <row r="1707" spans="1:9" x14ac:dyDescent="0.35">
      <c r="A1707" s="3" t="s">
        <v>10417</v>
      </c>
      <c r="B1707" s="3" t="s">
        <v>3673</v>
      </c>
      <c r="C1707" s="3" t="s">
        <v>3674</v>
      </c>
      <c r="D1707">
        <v>46</v>
      </c>
      <c r="E1707" s="6">
        <v>45929</v>
      </c>
      <c r="F1707">
        <v>0</v>
      </c>
      <c r="G1707">
        <v>0.255</v>
      </c>
      <c r="H1707">
        <v>1.2450000000000001</v>
      </c>
      <c r="I1707" s="3" t="s">
        <v>8756</v>
      </c>
    </row>
    <row r="1708" spans="1:9" x14ac:dyDescent="0.35">
      <c r="A1708" s="3" t="s">
        <v>10752</v>
      </c>
      <c r="B1708" s="3" t="s">
        <v>4378</v>
      </c>
      <c r="C1708" s="3" t="s">
        <v>4379</v>
      </c>
      <c r="D1708">
        <v>3578</v>
      </c>
      <c r="E1708" s="6">
        <v>42397</v>
      </c>
      <c r="F1708">
        <v>0</v>
      </c>
      <c r="G1708">
        <v>0.02</v>
      </c>
      <c r="H1708">
        <v>0.98</v>
      </c>
      <c r="I1708" s="3" t="s">
        <v>8699</v>
      </c>
    </row>
    <row r="1709" spans="1:9" x14ac:dyDescent="0.35">
      <c r="A1709" s="3" t="s">
        <v>10419</v>
      </c>
      <c r="B1709" s="3" t="s">
        <v>3677</v>
      </c>
      <c r="C1709" s="3" t="s">
        <v>3678</v>
      </c>
      <c r="D1709">
        <v>23</v>
      </c>
      <c r="E1709" s="6">
        <v>45952</v>
      </c>
      <c r="F1709">
        <v>0</v>
      </c>
      <c r="G1709">
        <v>7</v>
      </c>
      <c r="H1709">
        <v>3</v>
      </c>
      <c r="I1709" s="3" t="s">
        <v>8701</v>
      </c>
    </row>
    <row r="1710" spans="1:9" x14ac:dyDescent="0.35">
      <c r="A1710" s="3" t="s">
        <v>10420</v>
      </c>
      <c r="B1710" s="3" t="s">
        <v>3679</v>
      </c>
      <c r="C1710" s="3" t="s">
        <v>3680</v>
      </c>
      <c r="D1710">
        <v>24</v>
      </c>
      <c r="E1710" s="6">
        <v>45951</v>
      </c>
      <c r="F1710">
        <v>0</v>
      </c>
      <c r="G1710">
        <v>22.61</v>
      </c>
      <c r="H1710">
        <v>1.19</v>
      </c>
      <c r="I1710" s="3" t="s">
        <v>8701</v>
      </c>
    </row>
    <row r="1711" spans="1:9" x14ac:dyDescent="0.35">
      <c r="A1711" s="3" t="s">
        <v>10421</v>
      </c>
      <c r="B1711" s="3" t="s">
        <v>3681</v>
      </c>
      <c r="C1711" s="3" t="s">
        <v>3682</v>
      </c>
      <c r="D1711">
        <v>14</v>
      </c>
      <c r="E1711" s="6">
        <v>45961</v>
      </c>
      <c r="F1711">
        <v>0</v>
      </c>
      <c r="G1711">
        <v>1.2170000000000001</v>
      </c>
      <c r="H1711">
        <v>0.32300000000000001</v>
      </c>
      <c r="I1711" s="3" t="s">
        <v>8701</v>
      </c>
    </row>
    <row r="1712" spans="1:9" x14ac:dyDescent="0.35">
      <c r="A1712" s="3" t="s">
        <v>10993</v>
      </c>
      <c r="B1712" s="3" t="s">
        <v>4888</v>
      </c>
      <c r="C1712" s="3" t="s">
        <v>4889</v>
      </c>
      <c r="D1712">
        <v>3578</v>
      </c>
      <c r="E1712" s="6">
        <v>42397</v>
      </c>
      <c r="F1712">
        <v>0</v>
      </c>
      <c r="G1712">
        <v>0.05</v>
      </c>
      <c r="H1712">
        <v>0.95000000000000007</v>
      </c>
      <c r="I1712" s="3" t="s">
        <v>8699</v>
      </c>
    </row>
    <row r="1713" spans="1:9" x14ac:dyDescent="0.35">
      <c r="A1713" s="3" t="s">
        <v>10423</v>
      </c>
      <c r="B1713" s="3" t="s">
        <v>3685</v>
      </c>
      <c r="C1713" s="3" t="s">
        <v>3686</v>
      </c>
      <c r="D1713">
        <v>2019</v>
      </c>
      <c r="E1713" s="6">
        <v>43956</v>
      </c>
      <c r="F1713">
        <v>0</v>
      </c>
      <c r="G1713">
        <v>1.2E-2</v>
      </c>
      <c r="H1713">
        <v>0.188</v>
      </c>
      <c r="I1713" s="3" t="s">
        <v>8712</v>
      </c>
    </row>
    <row r="1714" spans="1:9" x14ac:dyDescent="0.35">
      <c r="A1714" s="3" t="s">
        <v>10424</v>
      </c>
      <c r="B1714" s="3" t="s">
        <v>3687</v>
      </c>
      <c r="C1714" s="3" t="s">
        <v>3688</v>
      </c>
      <c r="D1714">
        <v>23</v>
      </c>
      <c r="E1714" s="6">
        <v>45952</v>
      </c>
      <c r="F1714">
        <v>0</v>
      </c>
      <c r="G1714">
        <v>5.6000000000000005</v>
      </c>
      <c r="H1714">
        <v>2.4</v>
      </c>
      <c r="I1714" s="3" t="s">
        <v>8701</v>
      </c>
    </row>
    <row r="1715" spans="1:9" x14ac:dyDescent="0.35">
      <c r="A1715" s="3" t="s">
        <v>10425</v>
      </c>
      <c r="B1715" s="3" t="s">
        <v>3689</v>
      </c>
      <c r="C1715" s="3" t="s">
        <v>3690</v>
      </c>
      <c r="D1715">
        <v>123</v>
      </c>
      <c r="E1715" s="6">
        <v>45852</v>
      </c>
      <c r="F1715">
        <v>0</v>
      </c>
      <c r="G1715">
        <v>4.7560000000000002</v>
      </c>
      <c r="H1715">
        <v>1.044</v>
      </c>
      <c r="I1715" s="3" t="s">
        <v>8701</v>
      </c>
    </row>
    <row r="1716" spans="1:9" x14ac:dyDescent="0.35">
      <c r="A1716" s="3" t="s">
        <v>10737</v>
      </c>
      <c r="B1716" s="3" t="s">
        <v>4346</v>
      </c>
      <c r="C1716" s="3" t="s">
        <v>4347</v>
      </c>
      <c r="D1716">
        <v>3639</v>
      </c>
      <c r="E1716" s="6">
        <v>42336</v>
      </c>
      <c r="F1716">
        <v>0</v>
      </c>
      <c r="G1716">
        <v>0.10200000000000001</v>
      </c>
      <c r="H1716">
        <v>0.498</v>
      </c>
      <c r="I1716" s="3" t="s">
        <v>8699</v>
      </c>
    </row>
    <row r="1717" spans="1:9" x14ac:dyDescent="0.35">
      <c r="A1717" s="3" t="s">
        <v>10674</v>
      </c>
      <c r="B1717" s="3" t="s">
        <v>4210</v>
      </c>
      <c r="C1717" s="3" t="s">
        <v>4211</v>
      </c>
      <c r="D1717">
        <v>3643</v>
      </c>
      <c r="E1717" s="6">
        <v>42332</v>
      </c>
      <c r="F1717">
        <v>0</v>
      </c>
      <c r="G1717">
        <v>49.5</v>
      </c>
      <c r="H1717">
        <v>0.5</v>
      </c>
      <c r="I1717" s="3" t="s">
        <v>8699</v>
      </c>
    </row>
    <row r="1718" spans="1:9" x14ac:dyDescent="0.35">
      <c r="A1718" s="3" t="s">
        <v>11355</v>
      </c>
      <c r="B1718" s="3" t="s">
        <v>5651</v>
      </c>
      <c r="C1718" s="3" t="s">
        <v>5652</v>
      </c>
      <c r="D1718">
        <v>3643</v>
      </c>
      <c r="E1718" s="6">
        <v>42332</v>
      </c>
      <c r="F1718">
        <v>0</v>
      </c>
      <c r="G1718">
        <v>14.55</v>
      </c>
      <c r="H1718">
        <v>0.45</v>
      </c>
      <c r="I1718" s="3" t="s">
        <v>8699</v>
      </c>
    </row>
    <row r="1719" spans="1:9" x14ac:dyDescent="0.35">
      <c r="A1719" s="3" t="s">
        <v>9600</v>
      </c>
      <c r="B1719" s="3" t="s">
        <v>1926</v>
      </c>
      <c r="C1719" s="3" t="s">
        <v>1927</v>
      </c>
      <c r="D1719">
        <v>3656</v>
      </c>
      <c r="E1719" s="6">
        <v>42319</v>
      </c>
      <c r="F1719">
        <v>0</v>
      </c>
      <c r="G1719">
        <v>0.8</v>
      </c>
      <c r="H1719">
        <v>1.2</v>
      </c>
      <c r="I1719" s="3" t="s">
        <v>8699</v>
      </c>
    </row>
    <row r="1720" spans="1:9" x14ac:dyDescent="0.35">
      <c r="A1720" s="3" t="s">
        <v>10430</v>
      </c>
      <c r="B1720" s="3" t="s">
        <v>3699</v>
      </c>
      <c r="C1720" s="3" t="s">
        <v>3700</v>
      </c>
      <c r="D1720">
        <v>23</v>
      </c>
      <c r="E1720" s="6">
        <v>45952</v>
      </c>
      <c r="F1720">
        <v>0</v>
      </c>
      <c r="G1720">
        <v>20.975000000000001</v>
      </c>
      <c r="H1720">
        <v>2.125</v>
      </c>
      <c r="I1720" s="3" t="s">
        <v>8701</v>
      </c>
    </row>
    <row r="1721" spans="1:9" x14ac:dyDescent="0.35">
      <c r="A1721" s="3" t="s">
        <v>10919</v>
      </c>
      <c r="B1721" s="3" t="s">
        <v>4725</v>
      </c>
      <c r="C1721" s="3" t="s">
        <v>4726</v>
      </c>
      <c r="D1721">
        <v>3656</v>
      </c>
      <c r="E1721" s="6">
        <v>42319</v>
      </c>
      <c r="F1721">
        <v>0</v>
      </c>
      <c r="G1721">
        <v>2.4</v>
      </c>
      <c r="H1721">
        <v>1.6</v>
      </c>
      <c r="I1721" s="3" t="s">
        <v>8699</v>
      </c>
    </row>
    <row r="1722" spans="1:9" x14ac:dyDescent="0.35">
      <c r="A1722" s="3" t="s">
        <v>10432</v>
      </c>
      <c r="B1722" s="3" t="s">
        <v>3703</v>
      </c>
      <c r="C1722" s="3" t="s">
        <v>3704</v>
      </c>
      <c r="D1722">
        <v>91</v>
      </c>
      <c r="E1722" s="6">
        <v>45884</v>
      </c>
      <c r="F1722">
        <v>0</v>
      </c>
      <c r="G1722">
        <v>1.0620000000000001</v>
      </c>
      <c r="H1722">
        <v>0.73799999999999999</v>
      </c>
      <c r="I1722" s="3" t="s">
        <v>8756</v>
      </c>
    </row>
    <row r="1723" spans="1:9" x14ac:dyDescent="0.35">
      <c r="A1723" s="3" t="s">
        <v>10433</v>
      </c>
      <c r="B1723" s="3" t="s">
        <v>3705</v>
      </c>
      <c r="C1723" s="3" t="s">
        <v>3706</v>
      </c>
      <c r="D1723">
        <v>23</v>
      </c>
      <c r="E1723" s="6">
        <v>45952</v>
      </c>
      <c r="F1723">
        <v>0</v>
      </c>
      <c r="G1723">
        <v>3.0710000000000002</v>
      </c>
      <c r="H1723">
        <v>0.629</v>
      </c>
      <c r="I1723" s="3" t="s">
        <v>8756</v>
      </c>
    </row>
    <row r="1724" spans="1:9" x14ac:dyDescent="0.35">
      <c r="A1724" s="3" t="s">
        <v>10434</v>
      </c>
      <c r="B1724" s="3" t="s">
        <v>3707</v>
      </c>
      <c r="C1724" s="3" t="s">
        <v>3708</v>
      </c>
      <c r="D1724">
        <v>32</v>
      </c>
      <c r="E1724" s="6">
        <v>45943</v>
      </c>
      <c r="F1724">
        <v>0</v>
      </c>
      <c r="G1724">
        <v>3.5</v>
      </c>
      <c r="H1724">
        <v>3.5</v>
      </c>
      <c r="I1724" s="3" t="s">
        <v>8703</v>
      </c>
    </row>
    <row r="1725" spans="1:9" x14ac:dyDescent="0.35">
      <c r="A1725" s="3" t="s">
        <v>11258</v>
      </c>
      <c r="B1725" s="3" t="s">
        <v>5450</v>
      </c>
      <c r="C1725" s="3" t="s">
        <v>5451</v>
      </c>
      <c r="D1725">
        <v>3656</v>
      </c>
      <c r="E1725" s="6">
        <v>42319</v>
      </c>
      <c r="F1725">
        <v>0</v>
      </c>
      <c r="G1725">
        <v>14.4</v>
      </c>
      <c r="H1725">
        <v>0.6</v>
      </c>
      <c r="I1725" s="3" t="s">
        <v>8699</v>
      </c>
    </row>
    <row r="1726" spans="1:9" x14ac:dyDescent="0.35">
      <c r="A1726" s="3" t="s">
        <v>8839</v>
      </c>
      <c r="B1726" s="3" t="s">
        <v>333</v>
      </c>
      <c r="C1726" s="3" t="s">
        <v>334</v>
      </c>
      <c r="D1726">
        <v>3716</v>
      </c>
      <c r="E1726" s="6">
        <v>42259</v>
      </c>
      <c r="F1726">
        <v>0</v>
      </c>
      <c r="G1726">
        <v>0.39600000000000002</v>
      </c>
      <c r="H1726">
        <v>0.80400000000000005</v>
      </c>
      <c r="I1726" s="3" t="s">
        <v>8699</v>
      </c>
    </row>
    <row r="1727" spans="1:9" x14ac:dyDescent="0.35">
      <c r="A1727" s="3" t="s">
        <v>10437</v>
      </c>
      <c r="B1727" s="3" t="s">
        <v>3713</v>
      </c>
      <c r="C1727" s="3" t="s">
        <v>3714</v>
      </c>
      <c r="D1727">
        <v>955</v>
      </c>
      <c r="E1727" s="6">
        <v>45020</v>
      </c>
      <c r="F1727">
        <v>0</v>
      </c>
      <c r="G1727">
        <v>0</v>
      </c>
      <c r="H1727">
        <v>0</v>
      </c>
      <c r="I1727" s="3" t="s">
        <v>28</v>
      </c>
    </row>
    <row r="1728" spans="1:9" x14ac:dyDescent="0.35">
      <c r="A1728" s="3" t="s">
        <v>8941</v>
      </c>
      <c r="B1728" s="3" t="s">
        <v>541</v>
      </c>
      <c r="C1728" s="3" t="s">
        <v>542</v>
      </c>
      <c r="D1728">
        <v>3734</v>
      </c>
      <c r="E1728" s="6">
        <v>42241</v>
      </c>
      <c r="F1728">
        <v>0</v>
      </c>
      <c r="G1728">
        <v>7.12</v>
      </c>
      <c r="H1728">
        <v>0.88</v>
      </c>
      <c r="I1728" s="3" t="s">
        <v>8699</v>
      </c>
    </row>
    <row r="1729" spans="1:9" x14ac:dyDescent="0.35">
      <c r="A1729" s="3" t="s">
        <v>9277</v>
      </c>
      <c r="B1729" s="3" t="s">
        <v>1250</v>
      </c>
      <c r="C1729" s="3" t="s">
        <v>1251</v>
      </c>
      <c r="D1729">
        <v>3734</v>
      </c>
      <c r="E1729" s="6">
        <v>42241</v>
      </c>
      <c r="F1729">
        <v>0</v>
      </c>
      <c r="G1729">
        <v>10.138</v>
      </c>
      <c r="H1729">
        <v>0.88200000000000001</v>
      </c>
      <c r="I1729" s="3" t="s">
        <v>8699</v>
      </c>
    </row>
    <row r="1730" spans="1:9" x14ac:dyDescent="0.35">
      <c r="A1730" s="3" t="s">
        <v>10440</v>
      </c>
      <c r="B1730" s="3" t="s">
        <v>3719</v>
      </c>
      <c r="C1730" s="3" t="s">
        <v>3720</v>
      </c>
      <c r="D1730">
        <v>23</v>
      </c>
      <c r="E1730" s="6">
        <v>45952</v>
      </c>
      <c r="F1730">
        <v>0</v>
      </c>
      <c r="G1730">
        <v>8.4</v>
      </c>
      <c r="H1730">
        <v>1.6</v>
      </c>
      <c r="I1730" s="3" t="s">
        <v>8756</v>
      </c>
    </row>
    <row r="1731" spans="1:9" x14ac:dyDescent="0.35">
      <c r="A1731" s="3" t="s">
        <v>10441</v>
      </c>
      <c r="B1731" s="3" t="s">
        <v>3721</v>
      </c>
      <c r="C1731" s="3" t="s">
        <v>3722</v>
      </c>
      <c r="D1731">
        <v>323</v>
      </c>
      <c r="E1731" s="6">
        <v>45652</v>
      </c>
      <c r="F1731">
        <v>0</v>
      </c>
      <c r="G1731">
        <v>9.0000000000000011E-3</v>
      </c>
      <c r="H1731">
        <v>0.161</v>
      </c>
      <c r="I1731" s="3" t="s">
        <v>8712</v>
      </c>
    </row>
    <row r="1732" spans="1:9" x14ac:dyDescent="0.35">
      <c r="A1732" s="3" t="s">
        <v>9689</v>
      </c>
      <c r="B1732" s="3" t="s">
        <v>2120</v>
      </c>
      <c r="C1732" s="3" t="s">
        <v>2121</v>
      </c>
      <c r="D1732">
        <v>3734</v>
      </c>
      <c r="E1732" s="6">
        <v>42241</v>
      </c>
      <c r="F1732">
        <v>0</v>
      </c>
      <c r="G1732">
        <v>30.929000000000002</v>
      </c>
      <c r="H1732">
        <v>0.63100000000000001</v>
      </c>
      <c r="I1732" s="3" t="s">
        <v>8699</v>
      </c>
    </row>
    <row r="1733" spans="1:9" x14ac:dyDescent="0.35">
      <c r="A1733" s="3" t="s">
        <v>10443</v>
      </c>
      <c r="B1733" s="3" t="s">
        <v>3725</v>
      </c>
      <c r="C1733" s="3" t="s">
        <v>3726</v>
      </c>
      <c r="D1733">
        <v>58</v>
      </c>
      <c r="E1733" s="6">
        <v>45917</v>
      </c>
      <c r="F1733">
        <v>0</v>
      </c>
      <c r="G1733">
        <v>6.3</v>
      </c>
      <c r="H1733">
        <v>0.70000000000000007</v>
      </c>
      <c r="I1733" s="3" t="s">
        <v>8756</v>
      </c>
    </row>
    <row r="1734" spans="1:9" x14ac:dyDescent="0.35">
      <c r="A1734" s="3" t="s">
        <v>10444</v>
      </c>
      <c r="B1734" s="3" t="s">
        <v>3727</v>
      </c>
      <c r="C1734" s="3" t="s">
        <v>3728</v>
      </c>
      <c r="D1734">
        <v>49</v>
      </c>
      <c r="E1734" s="6">
        <v>45926</v>
      </c>
      <c r="F1734">
        <v>0</v>
      </c>
      <c r="G1734">
        <v>1.5</v>
      </c>
      <c r="H1734">
        <v>0.5</v>
      </c>
      <c r="I1734" s="3" t="s">
        <v>8701</v>
      </c>
    </row>
    <row r="1735" spans="1:9" x14ac:dyDescent="0.35">
      <c r="A1735" s="3" t="s">
        <v>10445</v>
      </c>
      <c r="B1735" s="3" t="s">
        <v>3730</v>
      </c>
      <c r="C1735" s="3" t="s">
        <v>3731</v>
      </c>
      <c r="D1735">
        <v>49</v>
      </c>
      <c r="E1735" s="6">
        <v>45926</v>
      </c>
      <c r="F1735">
        <v>0</v>
      </c>
      <c r="G1735">
        <v>0.81400000000000006</v>
      </c>
      <c r="H1735">
        <v>1.3860000000000001</v>
      </c>
      <c r="I1735" s="3" t="s">
        <v>8756</v>
      </c>
    </row>
    <row r="1736" spans="1:9" x14ac:dyDescent="0.35">
      <c r="A1736" s="3" t="s">
        <v>10072</v>
      </c>
      <c r="B1736" s="3" t="s">
        <v>2937</v>
      </c>
      <c r="C1736" s="3" t="s">
        <v>2938</v>
      </c>
      <c r="D1736">
        <v>3734</v>
      </c>
      <c r="E1736" s="6">
        <v>42241</v>
      </c>
      <c r="F1736">
        <v>0</v>
      </c>
      <c r="G1736">
        <v>47.628</v>
      </c>
      <c r="H1736">
        <v>0.97200000000000009</v>
      </c>
      <c r="I1736" s="3" t="s">
        <v>8699</v>
      </c>
    </row>
    <row r="1737" spans="1:9" x14ac:dyDescent="0.35">
      <c r="A1737" s="3" t="s">
        <v>9713</v>
      </c>
      <c r="B1737" s="3" t="s">
        <v>2170</v>
      </c>
      <c r="C1737" s="3" t="s">
        <v>2171</v>
      </c>
      <c r="D1737">
        <v>3786</v>
      </c>
      <c r="E1737" s="6">
        <v>42189</v>
      </c>
      <c r="F1737">
        <v>0</v>
      </c>
      <c r="G1737">
        <v>43.12</v>
      </c>
      <c r="H1737">
        <v>0.88</v>
      </c>
      <c r="I1737" s="3" t="s">
        <v>8699</v>
      </c>
    </row>
    <row r="1738" spans="1:9" x14ac:dyDescent="0.35">
      <c r="A1738" s="3" t="s">
        <v>9195</v>
      </c>
      <c r="B1738" s="3" t="s">
        <v>1077</v>
      </c>
      <c r="C1738" s="3" t="s">
        <v>1078</v>
      </c>
      <c r="D1738">
        <v>3936</v>
      </c>
      <c r="E1738" s="6">
        <v>42039</v>
      </c>
      <c r="F1738">
        <v>0</v>
      </c>
      <c r="G1738">
        <v>0.93600000000000005</v>
      </c>
      <c r="H1738">
        <v>0.36399999999999999</v>
      </c>
      <c r="I1738" s="3" t="s">
        <v>8699</v>
      </c>
    </row>
    <row r="1739" spans="1:9" x14ac:dyDescent="0.35">
      <c r="A1739" s="3" t="s">
        <v>10449</v>
      </c>
      <c r="B1739" s="3" t="s">
        <v>3738</v>
      </c>
      <c r="C1739" s="3" t="s">
        <v>3739</v>
      </c>
      <c r="D1739">
        <v>23</v>
      </c>
      <c r="E1739" s="6">
        <v>45952</v>
      </c>
      <c r="F1739">
        <v>0</v>
      </c>
      <c r="G1739">
        <v>1.8</v>
      </c>
      <c r="H1739">
        <v>1.2</v>
      </c>
      <c r="I1739" s="3" t="s">
        <v>8756</v>
      </c>
    </row>
    <row r="1740" spans="1:9" x14ac:dyDescent="0.35">
      <c r="A1740" s="3" t="s">
        <v>10450</v>
      </c>
      <c r="B1740" s="3" t="s">
        <v>3741</v>
      </c>
      <c r="C1740" s="3" t="s">
        <v>3742</v>
      </c>
      <c r="D1740">
        <v>955</v>
      </c>
      <c r="E1740" s="6">
        <v>45020</v>
      </c>
      <c r="F1740">
        <v>0</v>
      </c>
      <c r="G1740">
        <v>0</v>
      </c>
      <c r="H1740">
        <v>0</v>
      </c>
      <c r="I1740" s="3" t="s">
        <v>28</v>
      </c>
    </row>
    <row r="1741" spans="1:9" x14ac:dyDescent="0.35">
      <c r="A1741" s="3" t="s">
        <v>10451</v>
      </c>
      <c r="B1741" s="3" t="s">
        <v>3743</v>
      </c>
      <c r="C1741" s="3" t="s">
        <v>3744</v>
      </c>
      <c r="D1741">
        <v>322</v>
      </c>
      <c r="E1741" s="6">
        <v>45653</v>
      </c>
      <c r="F1741">
        <v>0</v>
      </c>
      <c r="G1741">
        <v>0.01</v>
      </c>
      <c r="H1741">
        <v>0.19</v>
      </c>
      <c r="I1741" s="3" t="s">
        <v>8712</v>
      </c>
    </row>
    <row r="1742" spans="1:9" x14ac:dyDescent="0.35">
      <c r="A1742" s="3" t="s">
        <v>10452</v>
      </c>
      <c r="B1742" s="3" t="s">
        <v>3745</v>
      </c>
      <c r="C1742" s="3" t="s">
        <v>3746</v>
      </c>
      <c r="D1742">
        <v>22</v>
      </c>
      <c r="E1742" s="6">
        <v>45953</v>
      </c>
      <c r="F1742">
        <v>0</v>
      </c>
      <c r="G1742">
        <v>1.7830000000000001</v>
      </c>
      <c r="H1742">
        <v>1.3170000000000002</v>
      </c>
      <c r="I1742" s="3" t="s">
        <v>8705</v>
      </c>
    </row>
    <row r="1743" spans="1:9" x14ac:dyDescent="0.35">
      <c r="A1743" s="3" t="s">
        <v>10453</v>
      </c>
      <c r="B1743" s="3" t="s">
        <v>3747</v>
      </c>
      <c r="C1743" s="3" t="s">
        <v>3748</v>
      </c>
      <c r="D1743">
        <v>322</v>
      </c>
      <c r="E1743" s="6">
        <v>45653</v>
      </c>
      <c r="F1743">
        <v>0</v>
      </c>
      <c r="G1743">
        <v>7.0000000000000001E-3</v>
      </c>
      <c r="H1743">
        <v>0.17300000000000001</v>
      </c>
      <c r="I1743" s="3" t="s">
        <v>8712</v>
      </c>
    </row>
    <row r="1744" spans="1:9" x14ac:dyDescent="0.35">
      <c r="A1744" s="3" t="s">
        <v>9029</v>
      </c>
      <c r="B1744" s="3" t="s">
        <v>731</v>
      </c>
      <c r="C1744" s="3" t="s">
        <v>732</v>
      </c>
      <c r="D1744">
        <v>3949</v>
      </c>
      <c r="E1744" s="6">
        <v>42026</v>
      </c>
      <c r="F1744">
        <v>0</v>
      </c>
      <c r="G1744">
        <v>39.6</v>
      </c>
      <c r="H1744">
        <v>0.4</v>
      </c>
      <c r="I1744" s="3" t="s">
        <v>8699</v>
      </c>
    </row>
    <row r="1745" spans="1:9" x14ac:dyDescent="0.35">
      <c r="A1745" s="3" t="s">
        <v>10455</v>
      </c>
      <c r="B1745" s="3" t="s">
        <v>3752</v>
      </c>
      <c r="C1745" s="3" t="s">
        <v>3753</v>
      </c>
      <c r="D1745">
        <v>8762</v>
      </c>
      <c r="E1745" s="6">
        <v>37213</v>
      </c>
      <c r="F1745">
        <v>0</v>
      </c>
      <c r="G1745">
        <v>5.22</v>
      </c>
      <c r="H1745">
        <v>0.57999999999999996</v>
      </c>
      <c r="I1745" s="3" t="s">
        <v>8701</v>
      </c>
    </row>
    <row r="1746" spans="1:9" x14ac:dyDescent="0.35">
      <c r="A1746" s="3" t="s">
        <v>10456</v>
      </c>
      <c r="B1746" s="3" t="s">
        <v>3754</v>
      </c>
      <c r="C1746" s="3" t="s">
        <v>3755</v>
      </c>
      <c r="D1746">
        <v>323</v>
      </c>
      <c r="E1746" s="6">
        <v>45652</v>
      </c>
      <c r="F1746">
        <v>0</v>
      </c>
      <c r="G1746">
        <v>0.01</v>
      </c>
      <c r="H1746">
        <v>0.18</v>
      </c>
      <c r="I1746" s="3" t="s">
        <v>8712</v>
      </c>
    </row>
    <row r="1747" spans="1:9" x14ac:dyDescent="0.35">
      <c r="A1747" s="3" t="s">
        <v>10457</v>
      </c>
      <c r="B1747" s="3" t="s">
        <v>3758</v>
      </c>
      <c r="C1747" s="3" t="s">
        <v>3759</v>
      </c>
      <c r="D1747">
        <v>109</v>
      </c>
      <c r="E1747" s="6">
        <v>45866</v>
      </c>
      <c r="F1747">
        <v>10</v>
      </c>
      <c r="G1747">
        <v>12.834000000000001</v>
      </c>
      <c r="H1747">
        <v>0.96600000000000008</v>
      </c>
      <c r="I1747" s="3" t="s">
        <v>8729</v>
      </c>
    </row>
    <row r="1748" spans="1:9" x14ac:dyDescent="0.35">
      <c r="A1748" s="3" t="s">
        <v>10458</v>
      </c>
      <c r="B1748" s="3" t="s">
        <v>3760</v>
      </c>
      <c r="C1748" s="3" t="s">
        <v>3761</v>
      </c>
      <c r="D1748">
        <v>77</v>
      </c>
      <c r="E1748" s="6">
        <v>45898</v>
      </c>
      <c r="F1748">
        <v>250</v>
      </c>
      <c r="G1748">
        <v>1.081</v>
      </c>
      <c r="H1748">
        <v>1.2190000000000001</v>
      </c>
      <c r="I1748" s="3" t="s">
        <v>8738</v>
      </c>
    </row>
    <row r="1749" spans="1:9" x14ac:dyDescent="0.35">
      <c r="A1749" s="3" t="s">
        <v>9408</v>
      </c>
      <c r="B1749" s="3" t="s">
        <v>1526</v>
      </c>
      <c r="C1749" s="3" t="s">
        <v>1527</v>
      </c>
      <c r="D1749">
        <v>3955</v>
      </c>
      <c r="E1749" s="6">
        <v>42020</v>
      </c>
      <c r="F1749">
        <v>0</v>
      </c>
      <c r="G1749">
        <v>7.82</v>
      </c>
      <c r="H1749">
        <v>0.68</v>
      </c>
      <c r="I1749" s="3" t="s">
        <v>8699</v>
      </c>
    </row>
    <row r="1750" spans="1:9" x14ac:dyDescent="0.35">
      <c r="A1750" s="3" t="s">
        <v>10460</v>
      </c>
      <c r="B1750" s="3" t="s">
        <v>3764</v>
      </c>
      <c r="C1750" s="3" t="s">
        <v>3765</v>
      </c>
      <c r="D1750">
        <v>23</v>
      </c>
      <c r="E1750" s="6">
        <v>45952</v>
      </c>
      <c r="F1750">
        <v>0</v>
      </c>
      <c r="G1750">
        <v>5.0000000000000001E-3</v>
      </c>
      <c r="H1750">
        <v>0.115</v>
      </c>
      <c r="I1750" s="3" t="s">
        <v>8712</v>
      </c>
    </row>
    <row r="1751" spans="1:9" x14ac:dyDescent="0.35">
      <c r="A1751" s="3" t="s">
        <v>9778</v>
      </c>
      <c r="B1751" s="3" t="s">
        <v>2305</v>
      </c>
      <c r="C1751" s="3" t="s">
        <v>2306</v>
      </c>
      <c r="D1751">
        <v>3955</v>
      </c>
      <c r="E1751" s="6">
        <v>42020</v>
      </c>
      <c r="F1751">
        <v>0</v>
      </c>
      <c r="G1751">
        <v>6.1779999999999999</v>
      </c>
      <c r="H1751">
        <v>6.2E-2</v>
      </c>
      <c r="I1751" s="3" t="s">
        <v>8699</v>
      </c>
    </row>
    <row r="1752" spans="1:9" x14ac:dyDescent="0.35">
      <c r="A1752" s="3" t="s">
        <v>10328</v>
      </c>
      <c r="B1752" s="3" t="s">
        <v>3480</v>
      </c>
      <c r="C1752" s="3" t="s">
        <v>3481</v>
      </c>
      <c r="D1752">
        <v>3955</v>
      </c>
      <c r="E1752" s="6">
        <v>42020</v>
      </c>
      <c r="F1752">
        <v>0</v>
      </c>
      <c r="G1752">
        <v>21.285</v>
      </c>
      <c r="H1752">
        <v>0.215</v>
      </c>
      <c r="I1752" s="3" t="s">
        <v>8699</v>
      </c>
    </row>
    <row r="1753" spans="1:9" x14ac:dyDescent="0.35">
      <c r="A1753" s="3" t="s">
        <v>10463</v>
      </c>
      <c r="B1753" s="3" t="s">
        <v>3770</v>
      </c>
      <c r="C1753" s="3" t="s">
        <v>3771</v>
      </c>
      <c r="D1753">
        <v>726</v>
      </c>
      <c r="E1753" s="6">
        <v>45249</v>
      </c>
      <c r="F1753">
        <v>0</v>
      </c>
      <c r="G1753">
        <v>0</v>
      </c>
      <c r="H1753">
        <v>0</v>
      </c>
      <c r="I1753" s="3" t="s">
        <v>28</v>
      </c>
    </row>
    <row r="1754" spans="1:9" x14ac:dyDescent="0.35">
      <c r="A1754" s="3" t="s">
        <v>10464</v>
      </c>
      <c r="B1754" s="3" t="s">
        <v>3772</v>
      </c>
      <c r="C1754" s="3" t="s">
        <v>3773</v>
      </c>
      <c r="D1754">
        <v>24</v>
      </c>
      <c r="E1754" s="6">
        <v>45951</v>
      </c>
      <c r="F1754">
        <v>0</v>
      </c>
      <c r="G1754">
        <v>1.4450000000000001</v>
      </c>
      <c r="H1754">
        <v>0.255</v>
      </c>
      <c r="I1754" s="3" t="s">
        <v>8701</v>
      </c>
    </row>
    <row r="1755" spans="1:9" x14ac:dyDescent="0.35">
      <c r="A1755" s="3" t="s">
        <v>10465</v>
      </c>
      <c r="B1755" s="3" t="s">
        <v>3774</v>
      </c>
      <c r="C1755" s="3" t="s">
        <v>3775</v>
      </c>
      <c r="D1755">
        <v>46</v>
      </c>
      <c r="E1755" s="6">
        <v>45929</v>
      </c>
      <c r="F1755">
        <v>0</v>
      </c>
      <c r="G1755">
        <v>15.13</v>
      </c>
      <c r="H1755">
        <v>1.87</v>
      </c>
      <c r="I1755" s="3" t="s">
        <v>8756</v>
      </c>
    </row>
    <row r="1756" spans="1:9" x14ac:dyDescent="0.35">
      <c r="A1756" s="3" t="s">
        <v>10466</v>
      </c>
      <c r="B1756" s="3" t="s">
        <v>3776</v>
      </c>
      <c r="C1756" s="3" t="s">
        <v>3777</v>
      </c>
      <c r="D1756">
        <v>25</v>
      </c>
      <c r="E1756" s="6">
        <v>45950</v>
      </c>
      <c r="F1756">
        <v>0</v>
      </c>
      <c r="G1756">
        <v>31.57</v>
      </c>
      <c r="H1756">
        <v>9.43</v>
      </c>
      <c r="I1756" s="3" t="s">
        <v>8701</v>
      </c>
    </row>
    <row r="1757" spans="1:9" x14ac:dyDescent="0.35">
      <c r="A1757" s="3" t="s">
        <v>10467</v>
      </c>
      <c r="B1757" s="3" t="s">
        <v>3778</v>
      </c>
      <c r="C1757" s="3" t="s">
        <v>3779</v>
      </c>
      <c r="D1757">
        <v>738</v>
      </c>
      <c r="E1757" s="6">
        <v>45237</v>
      </c>
      <c r="F1757">
        <v>0</v>
      </c>
      <c r="G1757">
        <v>0</v>
      </c>
      <c r="H1757">
        <v>0</v>
      </c>
      <c r="I1757" s="3" t="s">
        <v>28</v>
      </c>
    </row>
    <row r="1758" spans="1:9" x14ac:dyDescent="0.35">
      <c r="A1758" s="3" t="s">
        <v>10468</v>
      </c>
      <c r="B1758" s="3" t="s">
        <v>3780</v>
      </c>
      <c r="C1758" s="3" t="s">
        <v>3781</v>
      </c>
      <c r="D1758">
        <v>291</v>
      </c>
      <c r="E1758" s="6">
        <v>45684</v>
      </c>
      <c r="F1758">
        <v>0</v>
      </c>
      <c r="G1758">
        <v>53.9</v>
      </c>
      <c r="H1758">
        <v>1.1000000000000001</v>
      </c>
      <c r="I1758" s="3" t="s">
        <v>8701</v>
      </c>
    </row>
    <row r="1759" spans="1:9" x14ac:dyDescent="0.35">
      <c r="A1759" s="3" t="s">
        <v>10654</v>
      </c>
      <c r="B1759" s="3" t="s">
        <v>4169</v>
      </c>
      <c r="C1759" s="3" t="s">
        <v>4170</v>
      </c>
      <c r="D1759">
        <v>3955</v>
      </c>
      <c r="E1759" s="6">
        <v>42020</v>
      </c>
      <c r="F1759">
        <v>0</v>
      </c>
      <c r="G1759">
        <v>61.07</v>
      </c>
      <c r="H1759">
        <v>0.93</v>
      </c>
      <c r="I1759" s="3" t="s">
        <v>8699</v>
      </c>
    </row>
    <row r="1760" spans="1:9" x14ac:dyDescent="0.35">
      <c r="A1760" s="3" t="s">
        <v>11066</v>
      </c>
      <c r="B1760" s="3" t="s">
        <v>5045</v>
      </c>
      <c r="C1760" s="3" t="s">
        <v>5046</v>
      </c>
      <c r="D1760">
        <v>4061</v>
      </c>
      <c r="E1760" s="6">
        <v>41914</v>
      </c>
      <c r="F1760">
        <v>0</v>
      </c>
      <c r="G1760">
        <v>1.2</v>
      </c>
      <c r="H1760">
        <v>0.8</v>
      </c>
      <c r="I1760" s="3" t="s">
        <v>8699</v>
      </c>
    </row>
    <row r="1761" spans="1:9" x14ac:dyDescent="0.35">
      <c r="A1761" s="3" t="s">
        <v>8793</v>
      </c>
      <c r="B1761" s="3" t="s">
        <v>226</v>
      </c>
      <c r="C1761" s="3" t="s">
        <v>227</v>
      </c>
      <c r="D1761">
        <v>4076</v>
      </c>
      <c r="E1761" s="6">
        <v>41899</v>
      </c>
      <c r="F1761">
        <v>0</v>
      </c>
      <c r="G1761">
        <v>0.11</v>
      </c>
      <c r="H1761">
        <v>0.99</v>
      </c>
      <c r="I1761" s="3" t="s">
        <v>8699</v>
      </c>
    </row>
    <row r="1762" spans="1:9" x14ac:dyDescent="0.35">
      <c r="A1762" s="3" t="s">
        <v>9967</v>
      </c>
      <c r="B1762" s="3" t="s">
        <v>2713</v>
      </c>
      <c r="C1762" s="3" t="s">
        <v>2714</v>
      </c>
      <c r="D1762">
        <v>4110</v>
      </c>
      <c r="E1762" s="6">
        <v>41865</v>
      </c>
      <c r="F1762">
        <v>0</v>
      </c>
      <c r="G1762">
        <v>60.76</v>
      </c>
      <c r="H1762">
        <v>1.24</v>
      </c>
      <c r="I1762" s="3" t="s">
        <v>8699</v>
      </c>
    </row>
    <row r="1763" spans="1:9" x14ac:dyDescent="0.35">
      <c r="A1763" s="3" t="s">
        <v>10473</v>
      </c>
      <c r="B1763" s="3" t="s">
        <v>3790</v>
      </c>
      <c r="C1763" s="3" t="s">
        <v>3791</v>
      </c>
      <c r="D1763">
        <v>358</v>
      </c>
      <c r="E1763" s="6">
        <v>45617</v>
      </c>
      <c r="F1763">
        <v>0</v>
      </c>
      <c r="G1763">
        <v>6.0000000000000001E-3</v>
      </c>
      <c r="H1763">
        <v>0.10400000000000001</v>
      </c>
      <c r="I1763" s="3" t="s">
        <v>8712</v>
      </c>
    </row>
    <row r="1764" spans="1:9" x14ac:dyDescent="0.35">
      <c r="A1764" s="3" t="s">
        <v>10474</v>
      </c>
      <c r="B1764" s="3" t="s">
        <v>3794</v>
      </c>
      <c r="C1764" s="3" t="s">
        <v>3795</v>
      </c>
      <c r="D1764">
        <v>955</v>
      </c>
      <c r="E1764" s="6">
        <v>45020</v>
      </c>
      <c r="F1764">
        <v>0</v>
      </c>
      <c r="G1764">
        <v>0</v>
      </c>
      <c r="H1764">
        <v>0</v>
      </c>
      <c r="I1764" s="3" t="s">
        <v>28</v>
      </c>
    </row>
    <row r="1765" spans="1:9" x14ac:dyDescent="0.35">
      <c r="A1765" s="3" t="s">
        <v>10475</v>
      </c>
      <c r="B1765" s="3" t="s">
        <v>3796</v>
      </c>
      <c r="C1765" s="3" t="s">
        <v>3797</v>
      </c>
      <c r="D1765">
        <v>95</v>
      </c>
      <c r="E1765" s="6">
        <v>45880</v>
      </c>
      <c r="F1765">
        <v>0</v>
      </c>
      <c r="G1765">
        <v>13.58</v>
      </c>
      <c r="H1765">
        <v>0.42</v>
      </c>
      <c r="I1765" s="3" t="s">
        <v>8729</v>
      </c>
    </row>
    <row r="1766" spans="1:9" x14ac:dyDescent="0.35">
      <c r="A1766" s="3" t="s">
        <v>10476</v>
      </c>
      <c r="B1766" s="3" t="s">
        <v>3798</v>
      </c>
      <c r="C1766" s="3" t="s">
        <v>3799</v>
      </c>
      <c r="D1766">
        <v>23</v>
      </c>
      <c r="E1766" s="6">
        <v>45952</v>
      </c>
      <c r="F1766">
        <v>0</v>
      </c>
      <c r="G1766">
        <v>90.079000000000008</v>
      </c>
      <c r="H1766">
        <v>2.121</v>
      </c>
      <c r="I1766" s="3" t="s">
        <v>8701</v>
      </c>
    </row>
    <row r="1767" spans="1:9" x14ac:dyDescent="0.35">
      <c r="A1767" s="3" t="s">
        <v>10477</v>
      </c>
      <c r="B1767" s="3" t="s">
        <v>3801</v>
      </c>
      <c r="C1767" s="3" t="s">
        <v>3802</v>
      </c>
      <c r="D1767">
        <v>955</v>
      </c>
      <c r="E1767" s="6">
        <v>45020</v>
      </c>
      <c r="F1767">
        <v>0</v>
      </c>
      <c r="G1767">
        <v>0</v>
      </c>
      <c r="H1767">
        <v>0</v>
      </c>
      <c r="I1767" s="3" t="s">
        <v>28</v>
      </c>
    </row>
    <row r="1768" spans="1:9" x14ac:dyDescent="0.35">
      <c r="A1768" s="3" t="s">
        <v>11298</v>
      </c>
      <c r="B1768" s="3" t="s">
        <v>5533</v>
      </c>
      <c r="C1768" s="3" t="s">
        <v>5534</v>
      </c>
      <c r="D1768">
        <v>4176</v>
      </c>
      <c r="E1768" s="6">
        <v>41799</v>
      </c>
      <c r="F1768">
        <v>800</v>
      </c>
      <c r="G1768">
        <v>1.9740000000000002</v>
      </c>
      <c r="H1768">
        <v>0.126</v>
      </c>
      <c r="I1768" s="3" t="s">
        <v>8699</v>
      </c>
    </row>
    <row r="1769" spans="1:9" x14ac:dyDescent="0.35">
      <c r="A1769" s="3" t="s">
        <v>10479</v>
      </c>
      <c r="B1769" s="3" t="s">
        <v>3805</v>
      </c>
      <c r="C1769" s="3" t="s">
        <v>3806</v>
      </c>
      <c r="D1769">
        <v>24</v>
      </c>
      <c r="E1769" s="6">
        <v>45951</v>
      </c>
      <c r="F1769">
        <v>0</v>
      </c>
      <c r="G1769">
        <v>48</v>
      </c>
      <c r="H1769">
        <v>2</v>
      </c>
      <c r="I1769" s="3" t="s">
        <v>8705</v>
      </c>
    </row>
    <row r="1770" spans="1:9" x14ac:dyDescent="0.35">
      <c r="A1770" s="3" t="s">
        <v>10480</v>
      </c>
      <c r="B1770" s="3" t="s">
        <v>3807</v>
      </c>
      <c r="C1770" s="3" t="s">
        <v>3808</v>
      </c>
      <c r="D1770">
        <v>955</v>
      </c>
      <c r="E1770" s="6">
        <v>45020</v>
      </c>
      <c r="F1770">
        <v>0</v>
      </c>
      <c r="G1770">
        <v>0</v>
      </c>
      <c r="H1770">
        <v>0</v>
      </c>
      <c r="I1770" s="3" t="s">
        <v>28</v>
      </c>
    </row>
    <row r="1771" spans="1:9" x14ac:dyDescent="0.35">
      <c r="A1771" s="3" t="s">
        <v>10481</v>
      </c>
      <c r="B1771" s="3" t="s">
        <v>3809</v>
      </c>
      <c r="C1771" s="3" t="s">
        <v>3810</v>
      </c>
      <c r="D1771">
        <v>955</v>
      </c>
      <c r="E1771" s="6">
        <v>45020</v>
      </c>
      <c r="F1771">
        <v>0</v>
      </c>
      <c r="G1771">
        <v>0</v>
      </c>
      <c r="H1771">
        <v>0</v>
      </c>
      <c r="I1771" s="3" t="s">
        <v>28</v>
      </c>
    </row>
    <row r="1772" spans="1:9" x14ac:dyDescent="0.35">
      <c r="A1772" s="3" t="s">
        <v>10482</v>
      </c>
      <c r="B1772" s="3" t="s">
        <v>3811</v>
      </c>
      <c r="C1772" s="3" t="s">
        <v>3812</v>
      </c>
      <c r="D1772">
        <v>955</v>
      </c>
      <c r="E1772" s="6">
        <v>45020</v>
      </c>
      <c r="F1772">
        <v>0</v>
      </c>
      <c r="G1772">
        <v>0</v>
      </c>
      <c r="H1772">
        <v>0</v>
      </c>
      <c r="I1772" s="3" t="s">
        <v>28</v>
      </c>
    </row>
    <row r="1773" spans="1:9" x14ac:dyDescent="0.35">
      <c r="A1773" s="3" t="s">
        <v>10483</v>
      </c>
      <c r="B1773" s="3" t="s">
        <v>3813</v>
      </c>
      <c r="C1773" s="3" t="s">
        <v>3814</v>
      </c>
      <c r="D1773">
        <v>28</v>
      </c>
      <c r="E1773" s="6">
        <v>45947</v>
      </c>
      <c r="F1773">
        <v>20</v>
      </c>
      <c r="G1773">
        <v>3</v>
      </c>
      <c r="H1773">
        <v>1</v>
      </c>
      <c r="I1773" s="3" t="s">
        <v>8705</v>
      </c>
    </row>
    <row r="1774" spans="1:9" x14ac:dyDescent="0.35">
      <c r="A1774" s="3" t="s">
        <v>10484</v>
      </c>
      <c r="B1774" s="3" t="s">
        <v>3815</v>
      </c>
      <c r="C1774" s="3" t="s">
        <v>3816</v>
      </c>
      <c r="D1774">
        <v>955</v>
      </c>
      <c r="E1774" s="6">
        <v>45020</v>
      </c>
      <c r="F1774">
        <v>0</v>
      </c>
      <c r="G1774">
        <v>0</v>
      </c>
      <c r="H1774">
        <v>0</v>
      </c>
      <c r="I1774" s="3" t="s">
        <v>28</v>
      </c>
    </row>
    <row r="1775" spans="1:9" x14ac:dyDescent="0.35">
      <c r="A1775" s="3" t="s">
        <v>10372</v>
      </c>
      <c r="B1775" s="3" t="s">
        <v>3578</v>
      </c>
      <c r="C1775" s="3" t="s">
        <v>3579</v>
      </c>
      <c r="D1775">
        <v>4263</v>
      </c>
      <c r="E1775" s="6">
        <v>41712</v>
      </c>
      <c r="F1775">
        <v>0</v>
      </c>
      <c r="G1775">
        <v>2E-3</v>
      </c>
      <c r="H1775">
        <v>0.14800000000000002</v>
      </c>
      <c r="I1775" s="3" t="s">
        <v>8699</v>
      </c>
    </row>
    <row r="1776" spans="1:9" x14ac:dyDescent="0.35">
      <c r="A1776" s="3" t="s">
        <v>10486</v>
      </c>
      <c r="B1776" s="3" t="s">
        <v>3821</v>
      </c>
      <c r="C1776" s="3" t="s">
        <v>3822</v>
      </c>
      <c r="D1776">
        <v>119</v>
      </c>
      <c r="E1776" s="6">
        <v>45856</v>
      </c>
      <c r="F1776">
        <v>100</v>
      </c>
      <c r="G1776">
        <v>0.29300000000000004</v>
      </c>
      <c r="H1776">
        <v>1.0370000000000001</v>
      </c>
      <c r="I1776" s="3" t="s">
        <v>8729</v>
      </c>
    </row>
    <row r="1777" spans="1:9" x14ac:dyDescent="0.35">
      <c r="A1777" s="3" t="s">
        <v>9430</v>
      </c>
      <c r="B1777" s="3" t="s">
        <v>1570</v>
      </c>
      <c r="C1777" s="3" t="s">
        <v>1571</v>
      </c>
      <c r="D1777">
        <v>4270</v>
      </c>
      <c r="E1777" s="6">
        <v>41705</v>
      </c>
      <c r="F1777">
        <v>0</v>
      </c>
      <c r="G1777">
        <v>57.42</v>
      </c>
      <c r="H1777">
        <v>0.57999999999999996</v>
      </c>
      <c r="I1777" s="3" t="s">
        <v>8699</v>
      </c>
    </row>
    <row r="1778" spans="1:9" x14ac:dyDescent="0.35">
      <c r="A1778" s="3" t="s">
        <v>9898</v>
      </c>
      <c r="B1778" s="3" t="s">
        <v>2560</v>
      </c>
      <c r="C1778" s="3" t="s">
        <v>2561</v>
      </c>
      <c r="D1778">
        <v>4272</v>
      </c>
      <c r="E1778" s="6">
        <v>41703</v>
      </c>
      <c r="F1778">
        <v>0</v>
      </c>
      <c r="G1778">
        <v>18.228000000000002</v>
      </c>
      <c r="H1778">
        <v>0.372</v>
      </c>
      <c r="I1778" s="3" t="s">
        <v>8699</v>
      </c>
    </row>
    <row r="1779" spans="1:9" x14ac:dyDescent="0.35">
      <c r="A1779" s="3" t="s">
        <v>11276</v>
      </c>
      <c r="B1779" s="3" t="s">
        <v>5487</v>
      </c>
      <c r="C1779" s="3" t="s">
        <v>5488</v>
      </c>
      <c r="D1779">
        <v>4272</v>
      </c>
      <c r="E1779" s="6">
        <v>41703</v>
      </c>
      <c r="F1779">
        <v>0</v>
      </c>
      <c r="G1779">
        <v>40.887</v>
      </c>
      <c r="H1779">
        <v>0.41300000000000003</v>
      </c>
      <c r="I1779" s="3" t="s">
        <v>8699</v>
      </c>
    </row>
    <row r="1780" spans="1:9" x14ac:dyDescent="0.35">
      <c r="A1780" s="3" t="s">
        <v>10490</v>
      </c>
      <c r="B1780" s="3" t="s">
        <v>3829</v>
      </c>
      <c r="C1780" s="3" t="s">
        <v>3830</v>
      </c>
      <c r="D1780">
        <v>53</v>
      </c>
      <c r="E1780" s="6">
        <v>45922</v>
      </c>
      <c r="F1780">
        <v>0</v>
      </c>
      <c r="G1780">
        <v>2.6880000000000002</v>
      </c>
      <c r="H1780">
        <v>2.1120000000000001</v>
      </c>
      <c r="I1780" s="3" t="s">
        <v>8701</v>
      </c>
    </row>
    <row r="1781" spans="1:9" x14ac:dyDescent="0.35">
      <c r="A1781" s="3" t="s">
        <v>10018</v>
      </c>
      <c r="B1781" s="3" t="s">
        <v>2819</v>
      </c>
      <c r="C1781" s="3" t="s">
        <v>2820</v>
      </c>
      <c r="D1781">
        <v>4296</v>
      </c>
      <c r="E1781" s="6">
        <v>41679</v>
      </c>
      <c r="F1781">
        <v>0</v>
      </c>
      <c r="G1781">
        <v>2E-3</v>
      </c>
      <c r="H1781">
        <v>6.9000000000000006E-2</v>
      </c>
      <c r="I1781" s="3" t="s">
        <v>8699</v>
      </c>
    </row>
    <row r="1782" spans="1:9" x14ac:dyDescent="0.35">
      <c r="A1782" s="3" t="s">
        <v>10492</v>
      </c>
      <c r="B1782" s="3" t="s">
        <v>3833</v>
      </c>
      <c r="C1782" s="3" t="s">
        <v>3834</v>
      </c>
      <c r="D1782">
        <v>38</v>
      </c>
      <c r="E1782" s="6">
        <v>45937</v>
      </c>
      <c r="F1782">
        <v>0</v>
      </c>
      <c r="G1782">
        <v>7.1400000000000006</v>
      </c>
      <c r="H1782">
        <v>1.36</v>
      </c>
      <c r="I1782" s="3" t="s">
        <v>8701</v>
      </c>
    </row>
    <row r="1783" spans="1:9" x14ac:dyDescent="0.35">
      <c r="A1783" s="3" t="s">
        <v>10493</v>
      </c>
      <c r="B1783" s="3" t="s">
        <v>3835</v>
      </c>
      <c r="C1783" s="3" t="s">
        <v>3836</v>
      </c>
      <c r="D1783">
        <v>95</v>
      </c>
      <c r="E1783" s="6">
        <v>45880</v>
      </c>
      <c r="F1783">
        <v>0</v>
      </c>
      <c r="G1783">
        <v>8.5</v>
      </c>
      <c r="H1783">
        <v>1.5</v>
      </c>
      <c r="I1783" s="3" t="s">
        <v>8705</v>
      </c>
    </row>
    <row r="1784" spans="1:9" x14ac:dyDescent="0.35">
      <c r="A1784" s="3" t="s">
        <v>10524</v>
      </c>
      <c r="B1784" s="3" t="s">
        <v>3899</v>
      </c>
      <c r="C1784" s="3" t="s">
        <v>3900</v>
      </c>
      <c r="D1784">
        <v>4296</v>
      </c>
      <c r="E1784" s="6">
        <v>41679</v>
      </c>
      <c r="F1784">
        <v>0</v>
      </c>
      <c r="G1784">
        <v>2E-3</v>
      </c>
      <c r="H1784">
        <v>0.13800000000000001</v>
      </c>
      <c r="I1784" s="3" t="s">
        <v>8699</v>
      </c>
    </row>
    <row r="1785" spans="1:9" x14ac:dyDescent="0.35">
      <c r="A1785" s="3" t="s">
        <v>9894</v>
      </c>
      <c r="B1785" s="3" t="s">
        <v>2552</v>
      </c>
      <c r="C1785" s="3" t="s">
        <v>2553</v>
      </c>
      <c r="D1785">
        <v>4314</v>
      </c>
      <c r="E1785" s="6">
        <v>41661</v>
      </c>
      <c r="F1785">
        <v>0</v>
      </c>
      <c r="G1785">
        <v>5.5680000000000005</v>
      </c>
      <c r="H1785">
        <v>0.23200000000000001</v>
      </c>
      <c r="I1785" s="3" t="s">
        <v>8699</v>
      </c>
    </row>
    <row r="1786" spans="1:9" x14ac:dyDescent="0.35">
      <c r="A1786" s="3" t="s">
        <v>8828</v>
      </c>
      <c r="B1786" s="3" t="s">
        <v>307</v>
      </c>
      <c r="C1786" s="3" t="s">
        <v>308</v>
      </c>
      <c r="D1786">
        <v>4315</v>
      </c>
      <c r="E1786" s="6">
        <v>41660</v>
      </c>
      <c r="F1786">
        <v>0</v>
      </c>
      <c r="G1786">
        <v>2E-3</v>
      </c>
      <c r="H1786">
        <v>0.14800000000000002</v>
      </c>
      <c r="I1786" s="3" t="s">
        <v>8699</v>
      </c>
    </row>
    <row r="1787" spans="1:9" x14ac:dyDescent="0.35">
      <c r="A1787" s="3" t="s">
        <v>10696</v>
      </c>
      <c r="B1787" s="3" t="s">
        <v>4259</v>
      </c>
      <c r="C1787" s="3" t="s">
        <v>4260</v>
      </c>
      <c r="D1787">
        <v>4319</v>
      </c>
      <c r="E1787" s="6">
        <v>41656</v>
      </c>
      <c r="F1787">
        <v>0</v>
      </c>
      <c r="G1787">
        <v>3.0000000000000001E-3</v>
      </c>
      <c r="H1787">
        <v>0.26700000000000002</v>
      </c>
      <c r="I1787" s="3" t="s">
        <v>8699</v>
      </c>
    </row>
    <row r="1788" spans="1:9" x14ac:dyDescent="0.35">
      <c r="A1788" s="3" t="s">
        <v>10498</v>
      </c>
      <c r="B1788" s="3" t="s">
        <v>3845</v>
      </c>
      <c r="C1788" s="3" t="s">
        <v>3846</v>
      </c>
      <c r="D1788">
        <v>21</v>
      </c>
      <c r="E1788" s="6">
        <v>45954</v>
      </c>
      <c r="F1788">
        <v>30</v>
      </c>
      <c r="G1788">
        <v>0.69000000000000006</v>
      </c>
      <c r="H1788">
        <v>1.61</v>
      </c>
      <c r="I1788" s="3" t="s">
        <v>8705</v>
      </c>
    </row>
    <row r="1789" spans="1:9" x14ac:dyDescent="0.35">
      <c r="A1789" s="3" t="s">
        <v>10499</v>
      </c>
      <c r="B1789" s="3" t="s">
        <v>3847</v>
      </c>
      <c r="C1789" s="3" t="s">
        <v>3848</v>
      </c>
      <c r="D1789">
        <v>49</v>
      </c>
      <c r="E1789" s="6">
        <v>45926</v>
      </c>
      <c r="F1789">
        <v>100</v>
      </c>
      <c r="G1789">
        <v>27.900000000000002</v>
      </c>
      <c r="H1789">
        <v>2.1</v>
      </c>
      <c r="I1789" s="3" t="s">
        <v>8701</v>
      </c>
    </row>
    <row r="1790" spans="1:9" x14ac:dyDescent="0.35">
      <c r="A1790" s="3" t="s">
        <v>10500</v>
      </c>
      <c r="B1790" s="3" t="s">
        <v>3849</v>
      </c>
      <c r="C1790" s="3" t="s">
        <v>3850</v>
      </c>
      <c r="D1790">
        <v>77</v>
      </c>
      <c r="E1790" s="6">
        <v>45898</v>
      </c>
      <c r="F1790">
        <v>0</v>
      </c>
      <c r="G1790">
        <v>12.74</v>
      </c>
      <c r="H1790">
        <v>0.26</v>
      </c>
      <c r="I1790" s="3" t="s">
        <v>8701</v>
      </c>
    </row>
    <row r="1791" spans="1:9" x14ac:dyDescent="0.35">
      <c r="A1791" s="3" t="s">
        <v>10501</v>
      </c>
      <c r="B1791" s="3" t="s">
        <v>3851</v>
      </c>
      <c r="C1791" s="3" t="s">
        <v>3852</v>
      </c>
      <c r="D1791">
        <v>87</v>
      </c>
      <c r="E1791" s="6">
        <v>45888</v>
      </c>
      <c r="F1791">
        <v>50</v>
      </c>
      <c r="G1791">
        <v>3.3120000000000003</v>
      </c>
      <c r="H1791">
        <v>3.8880000000000003</v>
      </c>
      <c r="I1791" s="3" t="s">
        <v>8701</v>
      </c>
    </row>
    <row r="1792" spans="1:9" x14ac:dyDescent="0.35">
      <c r="A1792" s="3" t="s">
        <v>10502</v>
      </c>
      <c r="B1792" s="3" t="s">
        <v>3853</v>
      </c>
      <c r="C1792" s="3" t="s">
        <v>3854</v>
      </c>
      <c r="D1792">
        <v>29</v>
      </c>
      <c r="E1792" s="6">
        <v>45946</v>
      </c>
      <c r="F1792">
        <v>0</v>
      </c>
      <c r="G1792">
        <v>18.690000000000001</v>
      </c>
      <c r="H1792">
        <v>2.31</v>
      </c>
      <c r="I1792" s="3" t="s">
        <v>8701</v>
      </c>
    </row>
    <row r="1793" spans="1:9" x14ac:dyDescent="0.35">
      <c r="A1793" s="3" t="s">
        <v>10503</v>
      </c>
      <c r="B1793" s="3" t="s">
        <v>3855</v>
      </c>
      <c r="C1793" s="3" t="s">
        <v>3856</v>
      </c>
      <c r="D1793">
        <v>8019</v>
      </c>
      <c r="E1793" s="6">
        <v>37956</v>
      </c>
      <c r="F1793">
        <v>0</v>
      </c>
      <c r="G1793">
        <v>0.01</v>
      </c>
      <c r="H1793">
        <v>0.09</v>
      </c>
      <c r="I1793" s="3" t="s">
        <v>8701</v>
      </c>
    </row>
    <row r="1794" spans="1:9" x14ac:dyDescent="0.35">
      <c r="A1794" s="3" t="s">
        <v>10504</v>
      </c>
      <c r="B1794" s="3" t="s">
        <v>3857</v>
      </c>
      <c r="C1794" s="3" t="s">
        <v>3858</v>
      </c>
      <c r="D1794">
        <v>357</v>
      </c>
      <c r="E1794" s="6">
        <v>45618</v>
      </c>
      <c r="F1794">
        <v>0</v>
      </c>
      <c r="G1794">
        <v>6.0000000000000001E-3</v>
      </c>
      <c r="H1794">
        <v>0.10400000000000001</v>
      </c>
      <c r="I1794" s="3" t="s">
        <v>8712</v>
      </c>
    </row>
    <row r="1795" spans="1:9" x14ac:dyDescent="0.35">
      <c r="A1795" s="3" t="s">
        <v>10505</v>
      </c>
      <c r="B1795" s="3" t="s">
        <v>3859</v>
      </c>
      <c r="C1795" s="3" t="s">
        <v>3860</v>
      </c>
      <c r="D1795">
        <v>9052</v>
      </c>
      <c r="E1795" s="6">
        <v>36923</v>
      </c>
      <c r="F1795">
        <v>0</v>
      </c>
      <c r="G1795">
        <v>0.315</v>
      </c>
      <c r="H1795">
        <v>5.9850000000000003</v>
      </c>
      <c r="I1795" s="3" t="s">
        <v>8701</v>
      </c>
    </row>
    <row r="1796" spans="1:9" x14ac:dyDescent="0.35">
      <c r="A1796" s="3" t="s">
        <v>10506</v>
      </c>
      <c r="B1796" s="3" t="s">
        <v>3861</v>
      </c>
      <c r="C1796" s="3" t="s">
        <v>3862</v>
      </c>
      <c r="D1796">
        <v>157</v>
      </c>
      <c r="E1796" s="6">
        <v>45818</v>
      </c>
      <c r="F1796">
        <v>100</v>
      </c>
      <c r="G1796">
        <v>6.12</v>
      </c>
      <c r="H1796">
        <v>1.08</v>
      </c>
      <c r="I1796" s="3" t="s">
        <v>8756</v>
      </c>
    </row>
    <row r="1797" spans="1:9" x14ac:dyDescent="0.35">
      <c r="A1797" s="3" t="s">
        <v>10507</v>
      </c>
      <c r="B1797" s="3" t="s">
        <v>3863</v>
      </c>
      <c r="C1797" s="3" t="s">
        <v>3864</v>
      </c>
      <c r="D1797">
        <v>109</v>
      </c>
      <c r="E1797" s="6">
        <v>45866</v>
      </c>
      <c r="F1797">
        <v>250</v>
      </c>
      <c r="G1797">
        <v>1.59</v>
      </c>
      <c r="H1797">
        <v>3.71</v>
      </c>
      <c r="I1797" s="3" t="s">
        <v>8729</v>
      </c>
    </row>
    <row r="1798" spans="1:9" x14ac:dyDescent="0.35">
      <c r="A1798" s="3" t="s">
        <v>8715</v>
      </c>
      <c r="B1798" s="3" t="s">
        <v>45</v>
      </c>
      <c r="C1798" s="3" t="s">
        <v>46</v>
      </c>
      <c r="D1798">
        <v>4320</v>
      </c>
      <c r="E1798" s="6">
        <v>41655</v>
      </c>
      <c r="F1798">
        <v>0</v>
      </c>
      <c r="G1798">
        <v>17.414000000000001</v>
      </c>
      <c r="H1798">
        <v>0.17600000000000002</v>
      </c>
      <c r="I1798" s="3" t="s">
        <v>8699</v>
      </c>
    </row>
    <row r="1799" spans="1:9" x14ac:dyDescent="0.35">
      <c r="A1799" s="3" t="s">
        <v>10509</v>
      </c>
      <c r="B1799" s="3" t="s">
        <v>3867</v>
      </c>
      <c r="C1799" s="3" t="s">
        <v>3868</v>
      </c>
      <c r="D1799">
        <v>45</v>
      </c>
      <c r="E1799" s="6">
        <v>45930</v>
      </c>
      <c r="F1799">
        <v>100</v>
      </c>
      <c r="G1799">
        <v>43.7</v>
      </c>
      <c r="H1799">
        <v>2.3000000000000003</v>
      </c>
      <c r="I1799" s="3" t="s">
        <v>8701</v>
      </c>
    </row>
    <row r="1800" spans="1:9" x14ac:dyDescent="0.35">
      <c r="A1800" s="3" t="s">
        <v>10875</v>
      </c>
      <c r="B1800" s="3" t="s">
        <v>4632</v>
      </c>
      <c r="C1800" s="3" t="s">
        <v>4633</v>
      </c>
      <c r="D1800">
        <v>4354</v>
      </c>
      <c r="E1800" s="6">
        <v>41621</v>
      </c>
      <c r="F1800">
        <v>0</v>
      </c>
      <c r="G1800">
        <v>9.5</v>
      </c>
      <c r="H1800">
        <v>0.5</v>
      </c>
      <c r="I1800" s="3" t="s">
        <v>8699</v>
      </c>
    </row>
    <row r="1801" spans="1:9" x14ac:dyDescent="0.35">
      <c r="A1801" s="3" t="s">
        <v>10968</v>
      </c>
      <c r="B1801" s="3" t="s">
        <v>4832</v>
      </c>
      <c r="C1801" s="3" t="s">
        <v>4833</v>
      </c>
      <c r="D1801">
        <v>4355</v>
      </c>
      <c r="E1801" s="6">
        <v>41620</v>
      </c>
      <c r="F1801">
        <v>0</v>
      </c>
      <c r="G1801">
        <v>9.4</v>
      </c>
      <c r="H1801">
        <v>0.6</v>
      </c>
      <c r="I1801" s="3" t="s">
        <v>8699</v>
      </c>
    </row>
    <row r="1802" spans="1:9" x14ac:dyDescent="0.35">
      <c r="A1802" s="3" t="s">
        <v>10256</v>
      </c>
      <c r="B1802" s="3" t="s">
        <v>3322</v>
      </c>
      <c r="C1802" s="3" t="s">
        <v>3323</v>
      </c>
      <c r="D1802">
        <v>4363</v>
      </c>
      <c r="E1802" s="6">
        <v>41612</v>
      </c>
      <c r="F1802">
        <v>0</v>
      </c>
      <c r="G1802">
        <v>10.088000000000001</v>
      </c>
      <c r="H1802">
        <v>0.312</v>
      </c>
      <c r="I1802" s="3" t="s">
        <v>8699</v>
      </c>
    </row>
    <row r="1803" spans="1:9" x14ac:dyDescent="0.35">
      <c r="A1803" s="3" t="s">
        <v>10513</v>
      </c>
      <c r="B1803" s="3" t="s">
        <v>3875</v>
      </c>
      <c r="C1803" s="3" t="s">
        <v>3876</v>
      </c>
      <c r="D1803">
        <v>30</v>
      </c>
      <c r="E1803" s="6">
        <v>45945</v>
      </c>
      <c r="F1803">
        <v>0</v>
      </c>
      <c r="G1803">
        <v>28.13</v>
      </c>
      <c r="H1803">
        <v>0.87</v>
      </c>
      <c r="I1803" s="3" t="s">
        <v>8701</v>
      </c>
    </row>
    <row r="1804" spans="1:9" x14ac:dyDescent="0.35">
      <c r="A1804" s="3" t="s">
        <v>10514</v>
      </c>
      <c r="B1804" s="3" t="s">
        <v>3877</v>
      </c>
      <c r="C1804" s="3" t="s">
        <v>3878</v>
      </c>
      <c r="D1804">
        <v>18</v>
      </c>
      <c r="E1804" s="6">
        <v>45957</v>
      </c>
      <c r="F1804">
        <v>0</v>
      </c>
      <c r="G1804">
        <v>2.5500000000000003</v>
      </c>
      <c r="H1804">
        <v>2.4500000000000002</v>
      </c>
      <c r="I1804" s="3" t="s">
        <v>8729</v>
      </c>
    </row>
    <row r="1805" spans="1:9" x14ac:dyDescent="0.35">
      <c r="A1805" s="3" t="s">
        <v>10515</v>
      </c>
      <c r="B1805" s="3" t="s">
        <v>3879</v>
      </c>
      <c r="C1805" s="3" t="s">
        <v>3880</v>
      </c>
      <c r="D1805">
        <v>955</v>
      </c>
      <c r="E1805" s="6">
        <v>45020</v>
      </c>
      <c r="F1805">
        <v>0</v>
      </c>
      <c r="G1805">
        <v>0</v>
      </c>
      <c r="H1805">
        <v>0</v>
      </c>
      <c r="I1805" s="3" t="s">
        <v>28</v>
      </c>
    </row>
    <row r="1806" spans="1:9" x14ac:dyDescent="0.35">
      <c r="A1806" s="3" t="s">
        <v>10516</v>
      </c>
      <c r="B1806" s="3" t="s">
        <v>3881</v>
      </c>
      <c r="C1806" s="3" t="s">
        <v>3882</v>
      </c>
      <c r="D1806">
        <v>30</v>
      </c>
      <c r="E1806" s="6">
        <v>45945</v>
      </c>
      <c r="F1806">
        <v>0</v>
      </c>
      <c r="G1806">
        <v>9.7000000000000011</v>
      </c>
      <c r="H1806">
        <v>0.3</v>
      </c>
      <c r="I1806" s="3" t="s">
        <v>8701</v>
      </c>
    </row>
    <row r="1807" spans="1:9" x14ac:dyDescent="0.35">
      <c r="A1807" s="3" t="s">
        <v>10517</v>
      </c>
      <c r="B1807" s="3" t="s">
        <v>3883</v>
      </c>
      <c r="C1807" s="3" t="s">
        <v>3884</v>
      </c>
      <c r="D1807">
        <v>50</v>
      </c>
      <c r="E1807" s="6">
        <v>45925</v>
      </c>
      <c r="F1807">
        <v>0</v>
      </c>
      <c r="G1807">
        <v>115.05</v>
      </c>
      <c r="H1807">
        <v>1.99</v>
      </c>
      <c r="I1807" s="3" t="s">
        <v>8701</v>
      </c>
    </row>
    <row r="1808" spans="1:9" x14ac:dyDescent="0.35">
      <c r="A1808" s="3" t="s">
        <v>10655</v>
      </c>
      <c r="B1808" s="3" t="s">
        <v>4171</v>
      </c>
      <c r="C1808" s="3" t="s">
        <v>4172</v>
      </c>
      <c r="D1808">
        <v>4363</v>
      </c>
      <c r="E1808" s="6">
        <v>41612</v>
      </c>
      <c r="F1808">
        <v>0</v>
      </c>
      <c r="G1808">
        <v>27.225000000000001</v>
      </c>
      <c r="H1808">
        <v>0.27500000000000002</v>
      </c>
      <c r="I1808" s="3" t="s">
        <v>8699</v>
      </c>
    </row>
    <row r="1809" spans="1:9" x14ac:dyDescent="0.35">
      <c r="A1809" s="3" t="s">
        <v>10519</v>
      </c>
      <c r="B1809" s="3" t="s">
        <v>3888</v>
      </c>
      <c r="C1809" s="3" t="s">
        <v>3889</v>
      </c>
      <c r="D1809">
        <v>955</v>
      </c>
      <c r="E1809" s="6">
        <v>45020</v>
      </c>
      <c r="F1809">
        <v>0</v>
      </c>
      <c r="G1809">
        <v>0</v>
      </c>
      <c r="H1809">
        <v>0</v>
      </c>
      <c r="I1809" s="3" t="s">
        <v>28</v>
      </c>
    </row>
    <row r="1810" spans="1:9" x14ac:dyDescent="0.35">
      <c r="A1810" s="3" t="s">
        <v>10520</v>
      </c>
      <c r="B1810" s="3" t="s">
        <v>3890</v>
      </c>
      <c r="C1810" s="3" t="s">
        <v>3891</v>
      </c>
      <c r="D1810">
        <v>723</v>
      </c>
      <c r="E1810" s="6">
        <v>45252</v>
      </c>
      <c r="F1810">
        <v>0</v>
      </c>
      <c r="G1810">
        <v>0</v>
      </c>
      <c r="H1810">
        <v>0</v>
      </c>
      <c r="I1810" s="3" t="s">
        <v>28</v>
      </c>
    </row>
    <row r="1811" spans="1:9" x14ac:dyDescent="0.35">
      <c r="A1811" s="3" t="s">
        <v>9698</v>
      </c>
      <c r="B1811" s="3" t="s">
        <v>2138</v>
      </c>
      <c r="C1811" s="3" t="s">
        <v>2139</v>
      </c>
      <c r="D1811">
        <v>4369</v>
      </c>
      <c r="E1811" s="6">
        <v>41606</v>
      </c>
      <c r="F1811">
        <v>0</v>
      </c>
      <c r="G1811">
        <v>6.1750000000000007</v>
      </c>
      <c r="H1811">
        <v>0.32500000000000001</v>
      </c>
      <c r="I1811" s="3" t="s">
        <v>8699</v>
      </c>
    </row>
    <row r="1812" spans="1:9" x14ac:dyDescent="0.35">
      <c r="A1812" s="3" t="s">
        <v>10522</v>
      </c>
      <c r="B1812" s="3" t="s">
        <v>3894</v>
      </c>
      <c r="C1812" s="3" t="s">
        <v>3895</v>
      </c>
      <c r="D1812">
        <v>726</v>
      </c>
      <c r="E1812" s="6">
        <v>45249</v>
      </c>
      <c r="F1812">
        <v>0</v>
      </c>
      <c r="G1812">
        <v>0</v>
      </c>
      <c r="H1812">
        <v>0</v>
      </c>
      <c r="I1812" s="3" t="s">
        <v>28</v>
      </c>
    </row>
    <row r="1813" spans="1:9" x14ac:dyDescent="0.35">
      <c r="A1813" s="3" t="s">
        <v>10523</v>
      </c>
      <c r="B1813" s="3" t="s">
        <v>3897</v>
      </c>
      <c r="C1813" s="3" t="s">
        <v>3898</v>
      </c>
      <c r="D1813">
        <v>955</v>
      </c>
      <c r="E1813" s="6">
        <v>45020</v>
      </c>
      <c r="F1813">
        <v>0</v>
      </c>
      <c r="G1813">
        <v>0</v>
      </c>
      <c r="H1813">
        <v>0</v>
      </c>
      <c r="I1813" s="3" t="s">
        <v>28</v>
      </c>
    </row>
    <row r="1814" spans="1:9" x14ac:dyDescent="0.35">
      <c r="A1814" s="3" t="s">
        <v>11273</v>
      </c>
      <c r="B1814" s="3" t="s">
        <v>5481</v>
      </c>
      <c r="C1814" s="3" t="s">
        <v>5482</v>
      </c>
      <c r="D1814">
        <v>4371</v>
      </c>
      <c r="E1814" s="6">
        <v>41604</v>
      </c>
      <c r="F1814">
        <v>0</v>
      </c>
      <c r="G1814">
        <v>57.816000000000003</v>
      </c>
      <c r="H1814">
        <v>0.58400000000000007</v>
      </c>
      <c r="I1814" s="3" t="s">
        <v>8699</v>
      </c>
    </row>
    <row r="1815" spans="1:9" x14ac:dyDescent="0.35">
      <c r="A1815" s="3" t="s">
        <v>10525</v>
      </c>
      <c r="B1815" s="3" t="s">
        <v>3902</v>
      </c>
      <c r="C1815" s="3" t="s">
        <v>3903</v>
      </c>
      <c r="D1815">
        <v>366</v>
      </c>
      <c r="E1815" s="6">
        <v>45609</v>
      </c>
      <c r="F1815">
        <v>0</v>
      </c>
      <c r="G1815">
        <v>7.0000000000000001E-3</v>
      </c>
      <c r="H1815">
        <v>0.113</v>
      </c>
      <c r="I1815" s="3" t="s">
        <v>8712</v>
      </c>
    </row>
    <row r="1816" spans="1:9" x14ac:dyDescent="0.35">
      <c r="A1816" s="3" t="s">
        <v>10526</v>
      </c>
      <c r="B1816" s="3" t="s">
        <v>3904</v>
      </c>
      <c r="C1816" s="3" t="s">
        <v>3905</v>
      </c>
      <c r="D1816">
        <v>59</v>
      </c>
      <c r="E1816" s="6">
        <v>45916</v>
      </c>
      <c r="F1816">
        <v>0</v>
      </c>
      <c r="G1816">
        <v>5.67</v>
      </c>
      <c r="H1816">
        <v>1.33</v>
      </c>
      <c r="I1816" s="3" t="s">
        <v>8756</v>
      </c>
    </row>
    <row r="1817" spans="1:9" x14ac:dyDescent="0.35">
      <c r="A1817" s="3" t="s">
        <v>9328</v>
      </c>
      <c r="B1817" s="3" t="s">
        <v>1359</v>
      </c>
      <c r="C1817" s="3" t="s">
        <v>1360</v>
      </c>
      <c r="D1817">
        <v>4393</v>
      </c>
      <c r="E1817" s="6">
        <v>41582</v>
      </c>
      <c r="F1817">
        <v>0</v>
      </c>
      <c r="G1817">
        <v>14.700000000000001</v>
      </c>
      <c r="H1817">
        <v>0.3</v>
      </c>
      <c r="I1817" s="3" t="s">
        <v>8699</v>
      </c>
    </row>
    <row r="1818" spans="1:9" x14ac:dyDescent="0.35">
      <c r="A1818" s="3" t="s">
        <v>10528</v>
      </c>
      <c r="B1818" s="3" t="s">
        <v>3908</v>
      </c>
      <c r="C1818" s="3" t="s">
        <v>3909</v>
      </c>
      <c r="D1818">
        <v>80</v>
      </c>
      <c r="E1818" s="6">
        <v>45895</v>
      </c>
      <c r="F1818">
        <v>0</v>
      </c>
      <c r="G1818">
        <v>3.15</v>
      </c>
      <c r="H1818">
        <v>1.35</v>
      </c>
      <c r="I1818" s="3" t="s">
        <v>8756</v>
      </c>
    </row>
    <row r="1819" spans="1:9" x14ac:dyDescent="0.35">
      <c r="A1819" s="3" t="s">
        <v>10529</v>
      </c>
      <c r="B1819" s="3" t="s">
        <v>3910</v>
      </c>
      <c r="C1819" s="3" t="s">
        <v>3911</v>
      </c>
      <c r="D1819">
        <v>955</v>
      </c>
      <c r="E1819" s="6">
        <v>45020</v>
      </c>
      <c r="F1819">
        <v>0</v>
      </c>
      <c r="G1819">
        <v>0</v>
      </c>
      <c r="H1819">
        <v>0</v>
      </c>
      <c r="I1819" s="3" t="s">
        <v>28</v>
      </c>
    </row>
    <row r="1820" spans="1:9" x14ac:dyDescent="0.35">
      <c r="A1820" s="3" t="s">
        <v>10530</v>
      </c>
      <c r="B1820" s="3" t="s">
        <v>3913</v>
      </c>
      <c r="C1820" s="3" t="s">
        <v>3914</v>
      </c>
      <c r="D1820">
        <v>58</v>
      </c>
      <c r="E1820" s="6">
        <v>45917</v>
      </c>
      <c r="F1820">
        <v>0</v>
      </c>
      <c r="G1820">
        <v>12.16</v>
      </c>
      <c r="H1820">
        <v>3.84</v>
      </c>
      <c r="I1820" s="3" t="s">
        <v>8756</v>
      </c>
    </row>
    <row r="1821" spans="1:9" x14ac:dyDescent="0.35">
      <c r="A1821" s="3" t="s">
        <v>10531</v>
      </c>
      <c r="B1821" s="3" t="s">
        <v>3915</v>
      </c>
      <c r="C1821" s="3" t="s">
        <v>3916</v>
      </c>
      <c r="D1821">
        <v>366</v>
      </c>
      <c r="E1821" s="6">
        <v>45609</v>
      </c>
      <c r="F1821">
        <v>0</v>
      </c>
      <c r="G1821">
        <v>0.01</v>
      </c>
      <c r="H1821">
        <v>0.18</v>
      </c>
      <c r="I1821" s="3" t="s">
        <v>8712</v>
      </c>
    </row>
    <row r="1822" spans="1:9" x14ac:dyDescent="0.35">
      <c r="A1822" s="3" t="s">
        <v>10991</v>
      </c>
      <c r="B1822" s="3" t="s">
        <v>4883</v>
      </c>
      <c r="C1822" s="3" t="s">
        <v>4884</v>
      </c>
      <c r="D1822">
        <v>4432</v>
      </c>
      <c r="E1822" s="6">
        <v>41543</v>
      </c>
      <c r="F1822">
        <v>0</v>
      </c>
      <c r="G1822">
        <v>0.99</v>
      </c>
      <c r="H1822">
        <v>0.01</v>
      </c>
      <c r="I1822" s="3" t="s">
        <v>8699</v>
      </c>
    </row>
    <row r="1823" spans="1:9" x14ac:dyDescent="0.35">
      <c r="A1823" s="3" t="s">
        <v>10819</v>
      </c>
      <c r="B1823" s="3" t="s">
        <v>4519</v>
      </c>
      <c r="C1823" s="3" t="s">
        <v>4520</v>
      </c>
      <c r="D1823">
        <v>4577</v>
      </c>
      <c r="E1823" s="6">
        <v>41398</v>
      </c>
      <c r="F1823">
        <v>0</v>
      </c>
      <c r="G1823">
        <v>2.91</v>
      </c>
      <c r="H1823">
        <v>0.09</v>
      </c>
      <c r="I1823" s="3" t="s">
        <v>8699</v>
      </c>
    </row>
    <row r="1824" spans="1:9" x14ac:dyDescent="0.35">
      <c r="A1824" s="3" t="s">
        <v>10534</v>
      </c>
      <c r="B1824" s="3" t="s">
        <v>3921</v>
      </c>
      <c r="C1824" s="3" t="s">
        <v>3922</v>
      </c>
      <c r="D1824">
        <v>32</v>
      </c>
      <c r="E1824" s="6">
        <v>45943</v>
      </c>
      <c r="F1824">
        <v>0</v>
      </c>
      <c r="G1824">
        <v>0.31900000000000001</v>
      </c>
      <c r="H1824">
        <v>0.78100000000000003</v>
      </c>
      <c r="I1824" s="3" t="s">
        <v>8756</v>
      </c>
    </row>
    <row r="1825" spans="1:9" x14ac:dyDescent="0.35">
      <c r="A1825" s="3" t="s">
        <v>10535</v>
      </c>
      <c r="B1825" s="3" t="s">
        <v>3923</v>
      </c>
      <c r="C1825" s="3" t="s">
        <v>3924</v>
      </c>
      <c r="D1825">
        <v>23</v>
      </c>
      <c r="E1825" s="6">
        <v>45952</v>
      </c>
      <c r="F1825">
        <v>0</v>
      </c>
      <c r="G1825">
        <v>4</v>
      </c>
      <c r="H1825">
        <v>1</v>
      </c>
      <c r="I1825" s="3" t="s">
        <v>8701</v>
      </c>
    </row>
    <row r="1826" spans="1:9" x14ac:dyDescent="0.35">
      <c r="A1826" s="3" t="s">
        <v>9048</v>
      </c>
      <c r="B1826" s="3" t="s">
        <v>772</v>
      </c>
      <c r="C1826" s="3" t="s">
        <v>773</v>
      </c>
      <c r="D1826">
        <v>4592</v>
      </c>
      <c r="E1826" s="6">
        <v>41383</v>
      </c>
      <c r="F1826">
        <v>0</v>
      </c>
      <c r="G1826">
        <v>3.2550000000000003</v>
      </c>
      <c r="H1826">
        <v>0.24500000000000002</v>
      </c>
      <c r="I1826" s="3" t="s">
        <v>8699</v>
      </c>
    </row>
    <row r="1827" spans="1:9" x14ac:dyDescent="0.35">
      <c r="A1827" s="3" t="s">
        <v>10846</v>
      </c>
      <c r="B1827" s="3" t="s">
        <v>4574</v>
      </c>
      <c r="C1827" s="3" t="s">
        <v>4575</v>
      </c>
      <c r="D1827">
        <v>4595</v>
      </c>
      <c r="E1827" s="6">
        <v>41380</v>
      </c>
      <c r="F1827">
        <v>0</v>
      </c>
      <c r="G1827">
        <v>29.7</v>
      </c>
      <c r="H1827">
        <v>0.3</v>
      </c>
      <c r="I1827" s="3" t="s">
        <v>8699</v>
      </c>
    </row>
    <row r="1828" spans="1:9" x14ac:dyDescent="0.35">
      <c r="A1828" s="3" t="s">
        <v>10538</v>
      </c>
      <c r="B1828" s="3" t="s">
        <v>3929</v>
      </c>
      <c r="C1828" s="3" t="s">
        <v>3930</v>
      </c>
      <c r="D1828">
        <v>58</v>
      </c>
      <c r="E1828" s="6">
        <v>45917</v>
      </c>
      <c r="F1828">
        <v>0</v>
      </c>
      <c r="G1828">
        <v>7.7</v>
      </c>
      <c r="H1828">
        <v>2.3000000000000003</v>
      </c>
      <c r="I1828" s="3" t="s">
        <v>8756</v>
      </c>
    </row>
    <row r="1829" spans="1:9" x14ac:dyDescent="0.35">
      <c r="A1829" s="3" t="s">
        <v>10539</v>
      </c>
      <c r="B1829" s="3" t="s">
        <v>3931</v>
      </c>
      <c r="C1829" s="3" t="s">
        <v>3932</v>
      </c>
      <c r="D1829">
        <v>726</v>
      </c>
      <c r="E1829" s="6">
        <v>45249</v>
      </c>
      <c r="F1829">
        <v>0</v>
      </c>
      <c r="G1829">
        <v>0</v>
      </c>
      <c r="H1829">
        <v>0</v>
      </c>
      <c r="I1829" s="3" t="s">
        <v>28</v>
      </c>
    </row>
    <row r="1830" spans="1:9" x14ac:dyDescent="0.35">
      <c r="A1830" s="3" t="s">
        <v>11282</v>
      </c>
      <c r="B1830" s="3" t="s">
        <v>5500</v>
      </c>
      <c r="C1830" s="3" t="s">
        <v>5501</v>
      </c>
      <c r="D1830">
        <v>4599</v>
      </c>
      <c r="E1830" s="6">
        <v>41376</v>
      </c>
      <c r="F1830">
        <v>0</v>
      </c>
      <c r="G1830">
        <v>0.92800000000000005</v>
      </c>
      <c r="H1830">
        <v>0.67200000000000004</v>
      </c>
      <c r="I1830" s="3" t="s">
        <v>8699</v>
      </c>
    </row>
    <row r="1831" spans="1:9" x14ac:dyDescent="0.35">
      <c r="A1831" s="3" t="s">
        <v>9189</v>
      </c>
      <c r="B1831" s="3" t="s">
        <v>1065</v>
      </c>
      <c r="C1831" s="3" t="s">
        <v>1066</v>
      </c>
      <c r="D1831">
        <v>4656</v>
      </c>
      <c r="E1831" s="6">
        <v>41319</v>
      </c>
      <c r="F1831">
        <v>0</v>
      </c>
      <c r="G1831">
        <v>20.79</v>
      </c>
      <c r="H1831">
        <v>0.21</v>
      </c>
      <c r="I1831" s="3" t="s">
        <v>8699</v>
      </c>
    </row>
    <row r="1832" spans="1:9" x14ac:dyDescent="0.35">
      <c r="A1832" s="3" t="s">
        <v>10542</v>
      </c>
      <c r="B1832" s="3" t="s">
        <v>3937</v>
      </c>
      <c r="C1832" s="3" t="s">
        <v>3938</v>
      </c>
      <c r="D1832">
        <v>26</v>
      </c>
      <c r="E1832" s="6">
        <v>45949</v>
      </c>
      <c r="F1832">
        <v>0</v>
      </c>
      <c r="G1832">
        <v>108.9</v>
      </c>
      <c r="H1832">
        <v>1.1000000000000001</v>
      </c>
      <c r="I1832" s="3" t="s">
        <v>8701</v>
      </c>
    </row>
    <row r="1833" spans="1:9" x14ac:dyDescent="0.35">
      <c r="A1833" s="3" t="s">
        <v>10543</v>
      </c>
      <c r="B1833" s="3" t="s">
        <v>3939</v>
      </c>
      <c r="C1833" s="3" t="s">
        <v>3940</v>
      </c>
      <c r="D1833">
        <v>55</v>
      </c>
      <c r="E1833" s="6">
        <v>45920</v>
      </c>
      <c r="F1833">
        <v>0</v>
      </c>
      <c r="G1833">
        <v>8.4700000000000006</v>
      </c>
      <c r="H1833">
        <v>2.5300000000000002</v>
      </c>
      <c r="I1833" s="3" t="s">
        <v>8701</v>
      </c>
    </row>
    <row r="1834" spans="1:9" x14ac:dyDescent="0.35">
      <c r="A1834" s="3" t="s">
        <v>10544</v>
      </c>
      <c r="B1834" s="3" t="s">
        <v>3941</v>
      </c>
      <c r="C1834" s="3" t="s">
        <v>3942</v>
      </c>
      <c r="D1834">
        <v>23</v>
      </c>
      <c r="E1834" s="6">
        <v>45952</v>
      </c>
      <c r="F1834">
        <v>0</v>
      </c>
      <c r="G1834">
        <v>11.040000000000001</v>
      </c>
      <c r="H1834">
        <v>0.96</v>
      </c>
      <c r="I1834" s="3" t="s">
        <v>8701</v>
      </c>
    </row>
    <row r="1835" spans="1:9" x14ac:dyDescent="0.35">
      <c r="A1835" s="3" t="s">
        <v>10545</v>
      </c>
      <c r="B1835" s="3" t="s">
        <v>3943</v>
      </c>
      <c r="C1835" s="3" t="s">
        <v>3944</v>
      </c>
      <c r="D1835">
        <v>29</v>
      </c>
      <c r="E1835" s="6">
        <v>45946</v>
      </c>
      <c r="F1835">
        <v>0</v>
      </c>
      <c r="G1835">
        <v>24.96</v>
      </c>
      <c r="H1835">
        <v>1.04</v>
      </c>
      <c r="I1835" s="3" t="s">
        <v>8701</v>
      </c>
    </row>
    <row r="1836" spans="1:9" x14ac:dyDescent="0.35">
      <c r="A1836" s="3" t="s">
        <v>10546</v>
      </c>
      <c r="B1836" s="3" t="s">
        <v>3945</v>
      </c>
      <c r="C1836" s="3" t="s">
        <v>3946</v>
      </c>
      <c r="D1836">
        <v>726</v>
      </c>
      <c r="E1836" s="6">
        <v>45249</v>
      </c>
      <c r="F1836">
        <v>0</v>
      </c>
      <c r="G1836">
        <v>0</v>
      </c>
      <c r="H1836">
        <v>0</v>
      </c>
      <c r="I1836" s="3" t="s">
        <v>28</v>
      </c>
    </row>
    <row r="1837" spans="1:9" x14ac:dyDescent="0.35">
      <c r="A1837" s="3" t="s">
        <v>10547</v>
      </c>
      <c r="B1837" s="3" t="s">
        <v>3947</v>
      </c>
      <c r="C1837" s="3" t="s">
        <v>3948</v>
      </c>
      <c r="D1837">
        <v>955</v>
      </c>
      <c r="E1837" s="6">
        <v>45020</v>
      </c>
      <c r="F1837">
        <v>0</v>
      </c>
      <c r="G1837">
        <v>0</v>
      </c>
      <c r="H1837">
        <v>0</v>
      </c>
      <c r="I1837" s="3" t="s">
        <v>28</v>
      </c>
    </row>
    <row r="1838" spans="1:9" x14ac:dyDescent="0.35">
      <c r="A1838" s="3" t="s">
        <v>10548</v>
      </c>
      <c r="B1838" s="3" t="s">
        <v>3949</v>
      </c>
      <c r="C1838" s="3" t="s">
        <v>3950</v>
      </c>
      <c r="D1838">
        <v>49</v>
      </c>
      <c r="E1838" s="6">
        <v>45926</v>
      </c>
      <c r="F1838">
        <v>0</v>
      </c>
      <c r="G1838">
        <v>1.038</v>
      </c>
      <c r="H1838">
        <v>1.462</v>
      </c>
      <c r="I1838" s="3" t="s">
        <v>8756</v>
      </c>
    </row>
    <row r="1839" spans="1:9" x14ac:dyDescent="0.35">
      <c r="A1839" s="3" t="s">
        <v>10549</v>
      </c>
      <c r="B1839" s="3" t="s">
        <v>3951</v>
      </c>
      <c r="C1839" s="3" t="s">
        <v>3952</v>
      </c>
      <c r="D1839">
        <v>78</v>
      </c>
      <c r="E1839" s="6">
        <v>45897</v>
      </c>
      <c r="F1839">
        <v>0</v>
      </c>
      <c r="G1839">
        <v>5.0000000000000001E-3</v>
      </c>
      <c r="H1839">
        <v>9.5000000000000001E-2</v>
      </c>
      <c r="I1839" s="3" t="s">
        <v>8712</v>
      </c>
    </row>
    <row r="1840" spans="1:9" x14ac:dyDescent="0.35">
      <c r="A1840" s="3" t="s">
        <v>10550</v>
      </c>
      <c r="B1840" s="3" t="s">
        <v>3953</v>
      </c>
      <c r="C1840" s="3" t="s">
        <v>3954</v>
      </c>
      <c r="D1840">
        <v>79</v>
      </c>
      <c r="E1840" s="6">
        <v>45896</v>
      </c>
      <c r="F1840">
        <v>0</v>
      </c>
      <c r="G1840">
        <v>18.600000000000001</v>
      </c>
      <c r="H1840">
        <v>1.4000000000000001</v>
      </c>
      <c r="I1840" s="3" t="s">
        <v>8701</v>
      </c>
    </row>
    <row r="1841" spans="1:9" x14ac:dyDescent="0.35">
      <c r="A1841" s="3" t="s">
        <v>10551</v>
      </c>
      <c r="B1841" s="3" t="s">
        <v>3955</v>
      </c>
      <c r="C1841" s="3" t="s">
        <v>3956</v>
      </c>
      <c r="D1841">
        <v>166</v>
      </c>
      <c r="E1841" s="6">
        <v>45809</v>
      </c>
      <c r="F1841">
        <v>100</v>
      </c>
      <c r="G1841">
        <v>11.96</v>
      </c>
      <c r="H1841">
        <v>1.04</v>
      </c>
      <c r="I1841" s="3" t="s">
        <v>8729</v>
      </c>
    </row>
    <row r="1842" spans="1:9" x14ac:dyDescent="0.35">
      <c r="A1842" s="3" t="s">
        <v>10552</v>
      </c>
      <c r="B1842" s="3" t="s">
        <v>3957</v>
      </c>
      <c r="C1842" s="3" t="s">
        <v>3958</v>
      </c>
      <c r="D1842">
        <v>246</v>
      </c>
      <c r="E1842" s="6">
        <v>45729</v>
      </c>
      <c r="F1842">
        <v>0</v>
      </c>
      <c r="G1842">
        <v>1E-3</v>
      </c>
      <c r="H1842">
        <v>2.9000000000000001E-2</v>
      </c>
      <c r="I1842" s="3" t="s">
        <v>8712</v>
      </c>
    </row>
    <row r="1843" spans="1:9" x14ac:dyDescent="0.35">
      <c r="A1843" s="3" t="s">
        <v>10781</v>
      </c>
      <c r="B1843" s="3" t="s">
        <v>4439</v>
      </c>
      <c r="C1843" s="3" t="s">
        <v>4440</v>
      </c>
      <c r="D1843">
        <v>4656</v>
      </c>
      <c r="E1843" s="6">
        <v>41319</v>
      </c>
      <c r="F1843">
        <v>0</v>
      </c>
      <c r="G1843">
        <v>1.2450000000000001</v>
      </c>
      <c r="H1843">
        <v>0.255</v>
      </c>
      <c r="I1843" s="3" t="s">
        <v>8699</v>
      </c>
    </row>
    <row r="1844" spans="1:9" x14ac:dyDescent="0.35">
      <c r="A1844" s="3" t="s">
        <v>9671</v>
      </c>
      <c r="B1844" s="3" t="s">
        <v>2082</v>
      </c>
      <c r="C1844" s="3" t="s">
        <v>2083</v>
      </c>
      <c r="D1844">
        <v>4761</v>
      </c>
      <c r="E1844" s="6">
        <v>41214</v>
      </c>
      <c r="F1844">
        <v>0</v>
      </c>
      <c r="G1844">
        <v>35.343000000000004</v>
      </c>
      <c r="H1844">
        <v>0.35700000000000004</v>
      </c>
      <c r="I1844" s="3" t="s">
        <v>8699</v>
      </c>
    </row>
    <row r="1845" spans="1:9" x14ac:dyDescent="0.35">
      <c r="A1845" s="3" t="s">
        <v>10555</v>
      </c>
      <c r="B1845" s="3" t="s">
        <v>3963</v>
      </c>
      <c r="C1845" s="3" t="s">
        <v>3964</v>
      </c>
      <c r="D1845">
        <v>955</v>
      </c>
      <c r="E1845" s="6">
        <v>45020</v>
      </c>
      <c r="F1845">
        <v>0</v>
      </c>
      <c r="G1845">
        <v>0</v>
      </c>
      <c r="H1845">
        <v>0</v>
      </c>
      <c r="I1845" s="3" t="s">
        <v>28</v>
      </c>
    </row>
    <row r="1846" spans="1:9" x14ac:dyDescent="0.35">
      <c r="A1846" s="3" t="s">
        <v>10556</v>
      </c>
      <c r="B1846" s="3" t="s">
        <v>3965</v>
      </c>
      <c r="C1846" s="3" t="s">
        <v>3966</v>
      </c>
      <c r="D1846">
        <v>165</v>
      </c>
      <c r="E1846" s="6">
        <v>45810</v>
      </c>
      <c r="F1846">
        <v>100</v>
      </c>
      <c r="G1846">
        <v>4.5819999999999999</v>
      </c>
      <c r="H1846">
        <v>1.218</v>
      </c>
      <c r="I1846" s="3" t="s">
        <v>8738</v>
      </c>
    </row>
    <row r="1847" spans="1:9" x14ac:dyDescent="0.35">
      <c r="A1847" s="3" t="s">
        <v>10557</v>
      </c>
      <c r="B1847" s="3" t="s">
        <v>3967</v>
      </c>
      <c r="C1847" s="3" t="s">
        <v>3968</v>
      </c>
      <c r="D1847">
        <v>133</v>
      </c>
      <c r="E1847" s="6">
        <v>45842</v>
      </c>
      <c r="F1847">
        <v>0</v>
      </c>
      <c r="G1847">
        <v>19.196000000000002</v>
      </c>
      <c r="H1847">
        <v>0.90400000000000003</v>
      </c>
      <c r="I1847" s="3" t="s">
        <v>8701</v>
      </c>
    </row>
    <row r="1848" spans="1:9" x14ac:dyDescent="0.35">
      <c r="A1848" s="3" t="s">
        <v>10558</v>
      </c>
      <c r="B1848" s="3" t="s">
        <v>3969</v>
      </c>
      <c r="C1848" s="3" t="s">
        <v>3970</v>
      </c>
      <c r="D1848">
        <v>24</v>
      </c>
      <c r="E1848" s="6">
        <v>45951</v>
      </c>
      <c r="F1848">
        <v>0</v>
      </c>
      <c r="G1848">
        <v>3.1320000000000001</v>
      </c>
      <c r="H1848">
        <v>2.6680000000000001</v>
      </c>
      <c r="I1848" s="3" t="s">
        <v>8701</v>
      </c>
    </row>
    <row r="1849" spans="1:9" x14ac:dyDescent="0.35">
      <c r="A1849" s="3" t="s">
        <v>10559</v>
      </c>
      <c r="B1849" s="3" t="s">
        <v>3972</v>
      </c>
      <c r="C1849" s="3" t="s">
        <v>3973</v>
      </c>
      <c r="D1849">
        <v>0</v>
      </c>
      <c r="E1849" s="6">
        <v>45975</v>
      </c>
      <c r="F1849">
        <v>0</v>
      </c>
      <c r="G1849">
        <v>0.95900000000000007</v>
      </c>
      <c r="H1849">
        <v>2.5910000000000002</v>
      </c>
      <c r="I1849" s="3" t="s">
        <v>8756</v>
      </c>
    </row>
    <row r="1850" spans="1:9" x14ac:dyDescent="0.35">
      <c r="A1850" s="3" t="s">
        <v>10560</v>
      </c>
      <c r="B1850" s="3" t="s">
        <v>3974</v>
      </c>
      <c r="C1850" s="3" t="s">
        <v>3975</v>
      </c>
      <c r="D1850">
        <v>357</v>
      </c>
      <c r="E1850" s="6">
        <v>45618</v>
      </c>
      <c r="F1850">
        <v>0</v>
      </c>
      <c r="G1850">
        <v>6.0000000000000001E-3</v>
      </c>
      <c r="H1850">
        <v>0.10400000000000001</v>
      </c>
      <c r="I1850" s="3" t="s">
        <v>8712</v>
      </c>
    </row>
    <row r="1851" spans="1:9" x14ac:dyDescent="0.35">
      <c r="A1851" s="3" t="s">
        <v>11361</v>
      </c>
      <c r="B1851" s="3" t="s">
        <v>5664</v>
      </c>
      <c r="C1851" s="3" t="s">
        <v>5665</v>
      </c>
      <c r="D1851">
        <v>4848</v>
      </c>
      <c r="E1851" s="6">
        <v>41127</v>
      </c>
      <c r="F1851">
        <v>0</v>
      </c>
      <c r="G1851">
        <v>1.4850000000000001</v>
      </c>
      <c r="H1851">
        <v>1.5000000000000001E-2</v>
      </c>
      <c r="I1851" s="3" t="s">
        <v>8699</v>
      </c>
    </row>
    <row r="1852" spans="1:9" x14ac:dyDescent="0.35">
      <c r="A1852" s="3" t="s">
        <v>10562</v>
      </c>
      <c r="B1852" s="3" t="s">
        <v>3978</v>
      </c>
      <c r="C1852" s="3" t="s">
        <v>3979</v>
      </c>
      <c r="D1852">
        <v>25</v>
      </c>
      <c r="E1852" s="6">
        <v>45950</v>
      </c>
      <c r="F1852">
        <v>100</v>
      </c>
      <c r="G1852">
        <v>2.25</v>
      </c>
      <c r="H1852">
        <v>0.75</v>
      </c>
      <c r="I1852" s="3" t="s">
        <v>9145</v>
      </c>
    </row>
    <row r="1853" spans="1:9" x14ac:dyDescent="0.35">
      <c r="A1853" s="3" t="s">
        <v>10563</v>
      </c>
      <c r="B1853" s="3" t="s">
        <v>3980</v>
      </c>
      <c r="C1853" s="3" t="s">
        <v>3981</v>
      </c>
      <c r="D1853">
        <v>119</v>
      </c>
      <c r="E1853" s="6">
        <v>45856</v>
      </c>
      <c r="F1853">
        <v>150</v>
      </c>
      <c r="G1853">
        <v>1.5</v>
      </c>
      <c r="H1853">
        <v>1.5</v>
      </c>
      <c r="I1853" s="3" t="s">
        <v>8729</v>
      </c>
    </row>
    <row r="1854" spans="1:9" x14ac:dyDescent="0.35">
      <c r="A1854" s="3" t="s">
        <v>9825</v>
      </c>
      <c r="B1854" s="3" t="s">
        <v>2411</v>
      </c>
      <c r="C1854" s="3" t="s">
        <v>2412</v>
      </c>
      <c r="D1854">
        <v>4973</v>
      </c>
      <c r="E1854" s="6">
        <v>41002</v>
      </c>
      <c r="F1854">
        <v>100</v>
      </c>
      <c r="G1854">
        <v>0.04</v>
      </c>
      <c r="H1854">
        <v>0.16</v>
      </c>
      <c r="I1854" s="3" t="s">
        <v>8699</v>
      </c>
    </row>
    <row r="1855" spans="1:9" x14ac:dyDescent="0.35">
      <c r="A1855" s="3" t="s">
        <v>10511</v>
      </c>
      <c r="B1855" s="3" t="s">
        <v>3871</v>
      </c>
      <c r="C1855" s="3" t="s">
        <v>3872</v>
      </c>
      <c r="D1855">
        <v>5026</v>
      </c>
      <c r="E1855" s="6">
        <v>40949</v>
      </c>
      <c r="F1855">
        <v>0</v>
      </c>
      <c r="G1855">
        <v>24.75</v>
      </c>
      <c r="H1855">
        <v>0.25</v>
      </c>
      <c r="I1855" s="3" t="s">
        <v>8699</v>
      </c>
    </row>
    <row r="1856" spans="1:9" x14ac:dyDescent="0.35">
      <c r="A1856" s="3" t="s">
        <v>10566</v>
      </c>
      <c r="B1856" s="3" t="s">
        <v>3986</v>
      </c>
      <c r="C1856" s="3" t="s">
        <v>3987</v>
      </c>
      <c r="D1856">
        <v>6834</v>
      </c>
      <c r="E1856" s="6">
        <v>39141</v>
      </c>
      <c r="F1856">
        <v>0</v>
      </c>
      <c r="G1856">
        <v>0</v>
      </c>
      <c r="H1856">
        <v>0</v>
      </c>
      <c r="I1856" s="3" t="s">
        <v>28</v>
      </c>
    </row>
    <row r="1857" spans="1:9" x14ac:dyDescent="0.35">
      <c r="A1857" s="3" t="s">
        <v>10011</v>
      </c>
      <c r="B1857" s="3" t="s">
        <v>2801</v>
      </c>
      <c r="C1857" s="3" t="s">
        <v>2802</v>
      </c>
      <c r="D1857">
        <v>5028</v>
      </c>
      <c r="E1857" s="6">
        <v>40947</v>
      </c>
      <c r="F1857">
        <v>0</v>
      </c>
      <c r="G1857">
        <v>5.4</v>
      </c>
      <c r="H1857">
        <v>0.6</v>
      </c>
      <c r="I1857" s="3" t="s">
        <v>8699</v>
      </c>
    </row>
    <row r="1858" spans="1:9" x14ac:dyDescent="0.35">
      <c r="A1858" s="3" t="s">
        <v>10568</v>
      </c>
      <c r="B1858" s="3" t="s">
        <v>3990</v>
      </c>
      <c r="C1858" s="3" t="s">
        <v>3991</v>
      </c>
      <c r="D1858">
        <v>23</v>
      </c>
      <c r="E1858" s="6">
        <v>45952</v>
      </c>
      <c r="F1858">
        <v>0</v>
      </c>
      <c r="G1858">
        <v>5.0000000000000001E-3</v>
      </c>
      <c r="H1858">
        <v>0.125</v>
      </c>
      <c r="I1858" s="3" t="s">
        <v>8712</v>
      </c>
    </row>
    <row r="1859" spans="1:9" x14ac:dyDescent="0.35">
      <c r="A1859" s="3" t="s">
        <v>10569</v>
      </c>
      <c r="B1859" s="3" t="s">
        <v>3992</v>
      </c>
      <c r="C1859" s="3" t="s">
        <v>3993</v>
      </c>
      <c r="D1859">
        <v>24</v>
      </c>
      <c r="E1859" s="6">
        <v>45951</v>
      </c>
      <c r="F1859">
        <v>0</v>
      </c>
      <c r="G1859">
        <v>19.2</v>
      </c>
      <c r="H1859">
        <v>0.8</v>
      </c>
      <c r="I1859" s="3" t="s">
        <v>8705</v>
      </c>
    </row>
    <row r="1860" spans="1:9" x14ac:dyDescent="0.35">
      <c r="A1860" s="3" t="s">
        <v>9796</v>
      </c>
      <c r="B1860" s="3" t="s">
        <v>2350</v>
      </c>
      <c r="C1860" s="3" t="s">
        <v>2351</v>
      </c>
      <c r="D1860">
        <v>5034</v>
      </c>
      <c r="E1860" s="6">
        <v>40941</v>
      </c>
      <c r="F1860">
        <v>0</v>
      </c>
      <c r="G1860">
        <v>7.84</v>
      </c>
      <c r="H1860">
        <v>0.16</v>
      </c>
      <c r="I1860" s="3" t="s">
        <v>8699</v>
      </c>
    </row>
    <row r="1861" spans="1:9" x14ac:dyDescent="0.35">
      <c r="A1861" s="3" t="s">
        <v>10250</v>
      </c>
      <c r="B1861" s="3" t="s">
        <v>3310</v>
      </c>
      <c r="C1861" s="3" t="s">
        <v>3311</v>
      </c>
      <c r="D1861">
        <v>5097</v>
      </c>
      <c r="E1861" s="6">
        <v>40878</v>
      </c>
      <c r="F1861">
        <v>0</v>
      </c>
      <c r="G1861">
        <v>0.85300000000000009</v>
      </c>
      <c r="H1861">
        <v>0.69700000000000006</v>
      </c>
      <c r="I1861" s="3" t="s">
        <v>8699</v>
      </c>
    </row>
    <row r="1862" spans="1:9" x14ac:dyDescent="0.35">
      <c r="A1862" s="3" t="s">
        <v>10572</v>
      </c>
      <c r="B1862" s="3" t="s">
        <v>3999</v>
      </c>
      <c r="C1862" s="3" t="s">
        <v>4000</v>
      </c>
      <c r="D1862">
        <v>726</v>
      </c>
      <c r="E1862" s="6">
        <v>45249</v>
      </c>
      <c r="F1862">
        <v>0</v>
      </c>
      <c r="G1862">
        <v>0</v>
      </c>
      <c r="H1862">
        <v>0</v>
      </c>
      <c r="I1862" s="3" t="s">
        <v>28</v>
      </c>
    </row>
    <row r="1863" spans="1:9" x14ac:dyDescent="0.35">
      <c r="A1863" s="3" t="s">
        <v>11200</v>
      </c>
      <c r="B1863" s="3" t="s">
        <v>5328</v>
      </c>
      <c r="C1863" s="3" t="s">
        <v>5329</v>
      </c>
      <c r="D1863">
        <v>5097</v>
      </c>
      <c r="E1863" s="6">
        <v>40878</v>
      </c>
      <c r="F1863">
        <v>200</v>
      </c>
      <c r="G1863">
        <v>0.17100000000000001</v>
      </c>
      <c r="H1863">
        <v>1.7290000000000001</v>
      </c>
      <c r="I1863" s="3" t="s">
        <v>8699</v>
      </c>
    </row>
    <row r="1864" spans="1:9" x14ac:dyDescent="0.35">
      <c r="A1864" s="3" t="s">
        <v>10574</v>
      </c>
      <c r="B1864" s="3" t="s">
        <v>4003</v>
      </c>
      <c r="C1864" s="3" t="s">
        <v>4004</v>
      </c>
      <c r="D1864">
        <v>23</v>
      </c>
      <c r="E1864" s="6">
        <v>45952</v>
      </c>
      <c r="F1864">
        <v>0</v>
      </c>
      <c r="G1864">
        <v>42.054000000000002</v>
      </c>
      <c r="H1864">
        <v>0.94600000000000006</v>
      </c>
      <c r="I1864" s="3" t="s">
        <v>8738</v>
      </c>
    </row>
    <row r="1865" spans="1:9" x14ac:dyDescent="0.35">
      <c r="A1865" s="3" t="s">
        <v>10575</v>
      </c>
      <c r="B1865" s="3" t="s">
        <v>4005</v>
      </c>
      <c r="C1865" s="3" t="s">
        <v>4006</v>
      </c>
      <c r="D1865">
        <v>14</v>
      </c>
      <c r="E1865" s="6">
        <v>45961</v>
      </c>
      <c r="F1865">
        <v>0</v>
      </c>
      <c r="G1865">
        <v>0.74</v>
      </c>
      <c r="H1865">
        <v>0.63</v>
      </c>
      <c r="I1865" s="3" t="s">
        <v>8701</v>
      </c>
    </row>
    <row r="1866" spans="1:9" x14ac:dyDescent="0.35">
      <c r="A1866" s="3" t="s">
        <v>10576</v>
      </c>
      <c r="B1866" s="3" t="s">
        <v>4007</v>
      </c>
      <c r="C1866" s="3" t="s">
        <v>4008</v>
      </c>
      <c r="D1866">
        <v>21</v>
      </c>
      <c r="E1866" s="6">
        <v>45954</v>
      </c>
      <c r="F1866">
        <v>0</v>
      </c>
      <c r="G1866">
        <v>1.2750000000000001</v>
      </c>
      <c r="H1866">
        <v>0.22500000000000001</v>
      </c>
      <c r="I1866" s="3" t="s">
        <v>8701</v>
      </c>
    </row>
    <row r="1867" spans="1:9" x14ac:dyDescent="0.35">
      <c r="A1867" s="3" t="s">
        <v>10541</v>
      </c>
      <c r="B1867" s="3" t="s">
        <v>3935</v>
      </c>
      <c r="C1867" s="3" t="s">
        <v>3936</v>
      </c>
      <c r="D1867">
        <v>5113</v>
      </c>
      <c r="E1867" s="6">
        <v>40862</v>
      </c>
      <c r="F1867">
        <v>0</v>
      </c>
      <c r="G1867">
        <v>6.16</v>
      </c>
      <c r="H1867">
        <v>5.04</v>
      </c>
      <c r="I1867" s="3" t="s">
        <v>8699</v>
      </c>
    </row>
    <row r="1868" spans="1:9" x14ac:dyDescent="0.35">
      <c r="A1868" s="3" t="s">
        <v>10578</v>
      </c>
      <c r="B1868" s="3" t="s">
        <v>4011</v>
      </c>
      <c r="C1868" s="3" t="s">
        <v>4012</v>
      </c>
      <c r="D1868">
        <v>415</v>
      </c>
      <c r="E1868" s="6">
        <v>45560</v>
      </c>
      <c r="F1868">
        <v>0</v>
      </c>
      <c r="G1868">
        <v>6.0000000000000001E-3</v>
      </c>
      <c r="H1868">
        <v>0.10400000000000001</v>
      </c>
      <c r="I1868" s="3" t="s">
        <v>8712</v>
      </c>
    </row>
    <row r="1869" spans="1:9" x14ac:dyDescent="0.35">
      <c r="A1869" s="3" t="s">
        <v>10579</v>
      </c>
      <c r="B1869" s="3" t="s">
        <v>4013</v>
      </c>
      <c r="C1869" s="3" t="s">
        <v>4014</v>
      </c>
      <c r="D1869">
        <v>47</v>
      </c>
      <c r="E1869" s="6">
        <v>45928</v>
      </c>
      <c r="F1869">
        <v>46</v>
      </c>
      <c r="G1869">
        <v>42.488</v>
      </c>
      <c r="H1869">
        <v>2.7120000000000002</v>
      </c>
      <c r="I1869" s="3" t="s">
        <v>8756</v>
      </c>
    </row>
    <row r="1870" spans="1:9" x14ac:dyDescent="0.35">
      <c r="A1870" s="3" t="s">
        <v>10580</v>
      </c>
      <c r="B1870" s="3" t="s">
        <v>4015</v>
      </c>
      <c r="C1870" s="3" t="s">
        <v>4016</v>
      </c>
      <c r="D1870">
        <v>239</v>
      </c>
      <c r="E1870" s="6">
        <v>45736</v>
      </c>
      <c r="F1870">
        <v>0</v>
      </c>
      <c r="G1870">
        <v>9.0000000000000011E-3</v>
      </c>
      <c r="H1870">
        <v>0.21100000000000002</v>
      </c>
      <c r="I1870" s="3" t="s">
        <v>8712</v>
      </c>
    </row>
    <row r="1871" spans="1:9" x14ac:dyDescent="0.35">
      <c r="A1871" s="3" t="s">
        <v>8834</v>
      </c>
      <c r="B1871" s="3" t="s">
        <v>321</v>
      </c>
      <c r="C1871" s="3" t="s">
        <v>322</v>
      </c>
      <c r="D1871">
        <v>5114</v>
      </c>
      <c r="E1871" s="6">
        <v>40861</v>
      </c>
      <c r="F1871">
        <v>100</v>
      </c>
      <c r="G1871">
        <v>0.19500000000000001</v>
      </c>
      <c r="H1871">
        <v>1.105</v>
      </c>
      <c r="I1871" s="3" t="s">
        <v>8699</v>
      </c>
    </row>
    <row r="1872" spans="1:9" x14ac:dyDescent="0.35">
      <c r="A1872" s="3" t="s">
        <v>10582</v>
      </c>
      <c r="B1872" s="3" t="s">
        <v>4019</v>
      </c>
      <c r="C1872" s="3" t="s">
        <v>4020</v>
      </c>
      <c r="D1872">
        <v>3238</v>
      </c>
      <c r="E1872" s="6">
        <v>42737</v>
      </c>
      <c r="F1872">
        <v>0</v>
      </c>
      <c r="G1872">
        <v>8.8000000000000007</v>
      </c>
      <c r="H1872">
        <v>1.2</v>
      </c>
      <c r="I1872" s="3" t="s">
        <v>8756</v>
      </c>
    </row>
    <row r="1873" spans="1:9" x14ac:dyDescent="0.35">
      <c r="A1873" s="3" t="s">
        <v>10583</v>
      </c>
      <c r="B1873" s="3" t="s">
        <v>4021</v>
      </c>
      <c r="C1873" s="3" t="s">
        <v>4022</v>
      </c>
      <c r="D1873">
        <v>366</v>
      </c>
      <c r="E1873" s="6">
        <v>45609</v>
      </c>
      <c r="F1873">
        <v>0</v>
      </c>
      <c r="G1873">
        <v>1.3000000000000001E-2</v>
      </c>
      <c r="H1873">
        <v>0.187</v>
      </c>
      <c r="I1873" s="3" t="s">
        <v>8712</v>
      </c>
    </row>
    <row r="1874" spans="1:9" x14ac:dyDescent="0.35">
      <c r="A1874" s="3" t="s">
        <v>10584</v>
      </c>
      <c r="B1874" s="3" t="s">
        <v>4023</v>
      </c>
      <c r="C1874" s="3" t="s">
        <v>4024</v>
      </c>
      <c r="D1874">
        <v>955</v>
      </c>
      <c r="E1874" s="6">
        <v>45020</v>
      </c>
      <c r="F1874">
        <v>0</v>
      </c>
      <c r="G1874">
        <v>0</v>
      </c>
      <c r="H1874">
        <v>0</v>
      </c>
      <c r="I1874" s="3" t="s">
        <v>28</v>
      </c>
    </row>
    <row r="1875" spans="1:9" x14ac:dyDescent="0.35">
      <c r="A1875" s="3" t="s">
        <v>10585</v>
      </c>
      <c r="B1875" s="3" t="s">
        <v>4025</v>
      </c>
      <c r="C1875" s="3" t="s">
        <v>4026</v>
      </c>
      <c r="D1875">
        <v>955</v>
      </c>
      <c r="E1875" s="6">
        <v>45020</v>
      </c>
      <c r="F1875">
        <v>0</v>
      </c>
      <c r="G1875">
        <v>0</v>
      </c>
      <c r="H1875">
        <v>0</v>
      </c>
      <c r="I1875" s="3" t="s">
        <v>28</v>
      </c>
    </row>
    <row r="1876" spans="1:9" x14ac:dyDescent="0.35">
      <c r="A1876" s="3" t="s">
        <v>9724</v>
      </c>
      <c r="B1876" s="3" t="s">
        <v>2196</v>
      </c>
      <c r="C1876" s="3" t="s">
        <v>2197</v>
      </c>
      <c r="D1876">
        <v>5114</v>
      </c>
      <c r="E1876" s="6">
        <v>40861</v>
      </c>
      <c r="F1876">
        <v>100</v>
      </c>
      <c r="G1876">
        <v>0.22500000000000001</v>
      </c>
      <c r="H1876">
        <v>1.2750000000000001</v>
      </c>
      <c r="I1876" s="3" t="s">
        <v>8699</v>
      </c>
    </row>
    <row r="1877" spans="1:9" x14ac:dyDescent="0.35">
      <c r="A1877" s="3" t="s">
        <v>9592</v>
      </c>
      <c r="B1877" s="3" t="s">
        <v>1910</v>
      </c>
      <c r="C1877" s="3" t="s">
        <v>1911</v>
      </c>
      <c r="D1877">
        <v>5120</v>
      </c>
      <c r="E1877" s="6">
        <v>40855</v>
      </c>
      <c r="F1877">
        <v>200</v>
      </c>
      <c r="G1877">
        <v>2.6240000000000001</v>
      </c>
      <c r="H1877">
        <v>3.7760000000000002</v>
      </c>
      <c r="I1877" s="3" t="s">
        <v>8699</v>
      </c>
    </row>
    <row r="1878" spans="1:9" x14ac:dyDescent="0.35">
      <c r="A1878" s="3" t="s">
        <v>10588</v>
      </c>
      <c r="B1878" s="3" t="s">
        <v>4031</v>
      </c>
      <c r="C1878" s="3" t="s">
        <v>4032</v>
      </c>
      <c r="D1878">
        <v>323</v>
      </c>
      <c r="E1878" s="6">
        <v>45652</v>
      </c>
      <c r="F1878">
        <v>0</v>
      </c>
      <c r="G1878">
        <v>8.0000000000000002E-3</v>
      </c>
      <c r="H1878">
        <v>0.152</v>
      </c>
      <c r="I1878" s="3" t="s">
        <v>8712</v>
      </c>
    </row>
    <row r="1879" spans="1:9" x14ac:dyDescent="0.35">
      <c r="A1879" s="3" t="s">
        <v>10589</v>
      </c>
      <c r="B1879" s="3" t="s">
        <v>4033</v>
      </c>
      <c r="C1879" s="3" t="s">
        <v>4034</v>
      </c>
      <c r="D1879">
        <v>3558</v>
      </c>
      <c r="E1879" s="6">
        <v>42417</v>
      </c>
      <c r="F1879">
        <v>0</v>
      </c>
      <c r="G1879">
        <v>0</v>
      </c>
      <c r="H1879">
        <v>0</v>
      </c>
      <c r="I1879" s="3" t="s">
        <v>28</v>
      </c>
    </row>
    <row r="1880" spans="1:9" x14ac:dyDescent="0.35">
      <c r="A1880" s="3" t="s">
        <v>10590</v>
      </c>
      <c r="B1880" s="3" t="s">
        <v>4035</v>
      </c>
      <c r="C1880" s="3" t="s">
        <v>4036</v>
      </c>
      <c r="D1880">
        <v>46</v>
      </c>
      <c r="E1880" s="6">
        <v>45929</v>
      </c>
      <c r="F1880">
        <v>200</v>
      </c>
      <c r="G1880">
        <v>1.8</v>
      </c>
      <c r="H1880">
        <v>1.2</v>
      </c>
      <c r="I1880" s="3" t="s">
        <v>8738</v>
      </c>
    </row>
    <row r="1881" spans="1:9" x14ac:dyDescent="0.35">
      <c r="A1881" s="3" t="s">
        <v>10591</v>
      </c>
      <c r="B1881" s="3" t="s">
        <v>4037</v>
      </c>
      <c r="C1881" s="3" t="s">
        <v>4038</v>
      </c>
      <c r="D1881">
        <v>109</v>
      </c>
      <c r="E1881" s="6">
        <v>45866</v>
      </c>
      <c r="F1881">
        <v>80</v>
      </c>
      <c r="G1881">
        <v>16.11</v>
      </c>
      <c r="H1881">
        <v>1.79</v>
      </c>
      <c r="I1881" s="3" t="s">
        <v>8729</v>
      </c>
    </row>
    <row r="1882" spans="1:9" x14ac:dyDescent="0.35">
      <c r="A1882" s="3" t="s">
        <v>10592</v>
      </c>
      <c r="B1882" s="3" t="s">
        <v>4039</v>
      </c>
      <c r="C1882" s="3" t="s">
        <v>4040</v>
      </c>
      <c r="D1882">
        <v>89</v>
      </c>
      <c r="E1882" s="6">
        <v>45886</v>
      </c>
      <c r="F1882">
        <v>90</v>
      </c>
      <c r="G1882">
        <v>29.44</v>
      </c>
      <c r="H1882">
        <v>2.56</v>
      </c>
      <c r="I1882" s="3" t="s">
        <v>8756</v>
      </c>
    </row>
    <row r="1883" spans="1:9" x14ac:dyDescent="0.35">
      <c r="A1883" s="3" t="s">
        <v>10234</v>
      </c>
      <c r="B1883" s="3" t="s">
        <v>3276</v>
      </c>
      <c r="C1883" s="3" t="s">
        <v>3277</v>
      </c>
      <c r="D1883">
        <v>5127</v>
      </c>
      <c r="E1883" s="6">
        <v>40848</v>
      </c>
      <c r="F1883">
        <v>0</v>
      </c>
      <c r="G1883">
        <v>7.92</v>
      </c>
      <c r="H1883">
        <v>0.08</v>
      </c>
      <c r="I1883" s="3" t="s">
        <v>8699</v>
      </c>
    </row>
    <row r="1884" spans="1:9" x14ac:dyDescent="0.35">
      <c r="A1884" s="3" t="s">
        <v>10594</v>
      </c>
      <c r="B1884" s="3" t="s">
        <v>4043</v>
      </c>
      <c r="C1884" s="3" t="s">
        <v>4044</v>
      </c>
      <c r="D1884">
        <v>46</v>
      </c>
      <c r="E1884" s="6">
        <v>45929</v>
      </c>
      <c r="F1884">
        <v>0</v>
      </c>
      <c r="G1884">
        <v>24.310000000000002</v>
      </c>
      <c r="H1884">
        <v>1.69</v>
      </c>
      <c r="I1884" s="3" t="s">
        <v>8701</v>
      </c>
    </row>
    <row r="1885" spans="1:9" x14ac:dyDescent="0.35">
      <c r="A1885" s="3" t="s">
        <v>10595</v>
      </c>
      <c r="B1885" s="3" t="s">
        <v>4045</v>
      </c>
      <c r="C1885" s="3" t="s">
        <v>4046</v>
      </c>
      <c r="D1885">
        <v>164</v>
      </c>
      <c r="E1885" s="6">
        <v>45811</v>
      </c>
      <c r="F1885">
        <v>100</v>
      </c>
      <c r="G1885">
        <v>20.88</v>
      </c>
      <c r="H1885">
        <v>3.12</v>
      </c>
      <c r="I1885" s="3" t="s">
        <v>8701</v>
      </c>
    </row>
    <row r="1886" spans="1:9" x14ac:dyDescent="0.35">
      <c r="A1886" s="3" t="s">
        <v>9346</v>
      </c>
      <c r="B1886" s="3" t="s">
        <v>1401</v>
      </c>
      <c r="C1886" s="3" t="s">
        <v>1402</v>
      </c>
      <c r="D1886">
        <v>5128</v>
      </c>
      <c r="E1886" s="6">
        <v>40847</v>
      </c>
      <c r="F1886">
        <v>0</v>
      </c>
      <c r="G1886">
        <v>4.9000000000000002E-2</v>
      </c>
      <c r="H1886">
        <v>0.65100000000000002</v>
      </c>
      <c r="I1886" s="3" t="s">
        <v>8699</v>
      </c>
    </row>
    <row r="1887" spans="1:9" x14ac:dyDescent="0.35">
      <c r="A1887" s="3" t="s">
        <v>10266</v>
      </c>
      <c r="B1887" s="3" t="s">
        <v>3346</v>
      </c>
      <c r="C1887" s="3" t="s">
        <v>3347</v>
      </c>
      <c r="D1887">
        <v>5128</v>
      </c>
      <c r="E1887" s="6">
        <v>40847</v>
      </c>
      <c r="F1887">
        <v>0</v>
      </c>
      <c r="G1887">
        <v>25.248000000000001</v>
      </c>
      <c r="H1887">
        <v>1.052</v>
      </c>
      <c r="I1887" s="3" t="s">
        <v>8699</v>
      </c>
    </row>
    <row r="1888" spans="1:9" x14ac:dyDescent="0.35">
      <c r="A1888" s="3" t="s">
        <v>10598</v>
      </c>
      <c r="B1888" s="3" t="s">
        <v>4051</v>
      </c>
      <c r="C1888" s="3" t="s">
        <v>4052</v>
      </c>
      <c r="D1888">
        <v>955</v>
      </c>
      <c r="E1888" s="6">
        <v>45020</v>
      </c>
      <c r="F1888">
        <v>0</v>
      </c>
      <c r="G1888">
        <v>0</v>
      </c>
      <c r="H1888">
        <v>0</v>
      </c>
      <c r="I1888" s="3" t="s">
        <v>28</v>
      </c>
    </row>
    <row r="1889" spans="1:9" x14ac:dyDescent="0.35">
      <c r="A1889" s="3" t="s">
        <v>10599</v>
      </c>
      <c r="B1889" s="3" t="s">
        <v>4053</v>
      </c>
      <c r="C1889" s="3" t="s">
        <v>4054</v>
      </c>
      <c r="D1889">
        <v>955</v>
      </c>
      <c r="E1889" s="6">
        <v>45020</v>
      </c>
      <c r="F1889">
        <v>0</v>
      </c>
      <c r="G1889">
        <v>0</v>
      </c>
      <c r="H1889">
        <v>0</v>
      </c>
      <c r="I1889" s="3" t="s">
        <v>28</v>
      </c>
    </row>
    <row r="1890" spans="1:9" x14ac:dyDescent="0.35">
      <c r="A1890" s="3" t="s">
        <v>10600</v>
      </c>
      <c r="B1890" s="3" t="s">
        <v>4055</v>
      </c>
      <c r="C1890" s="3" t="s">
        <v>4056</v>
      </c>
      <c r="D1890">
        <v>100</v>
      </c>
      <c r="E1890" s="6">
        <v>45875</v>
      </c>
      <c r="F1890">
        <v>0</v>
      </c>
      <c r="G1890">
        <v>86.24</v>
      </c>
      <c r="H1890">
        <v>1.76</v>
      </c>
      <c r="I1890" s="3" t="s">
        <v>8701</v>
      </c>
    </row>
    <row r="1891" spans="1:9" x14ac:dyDescent="0.35">
      <c r="A1891" s="3" t="s">
        <v>10601</v>
      </c>
      <c r="B1891" s="3" t="s">
        <v>4057</v>
      </c>
      <c r="C1891" s="3" t="s">
        <v>4058</v>
      </c>
      <c r="D1891">
        <v>45</v>
      </c>
      <c r="E1891" s="6">
        <v>45930</v>
      </c>
      <c r="F1891">
        <v>100</v>
      </c>
      <c r="G1891">
        <v>77.42</v>
      </c>
      <c r="H1891">
        <v>1.58</v>
      </c>
      <c r="I1891" s="3" t="s">
        <v>8705</v>
      </c>
    </row>
    <row r="1892" spans="1:9" x14ac:dyDescent="0.35">
      <c r="A1892" s="3" t="s">
        <v>10602</v>
      </c>
      <c r="B1892" s="3" t="s">
        <v>4059</v>
      </c>
      <c r="C1892" s="3" t="s">
        <v>4060</v>
      </c>
      <c r="D1892">
        <v>931</v>
      </c>
      <c r="E1892" s="6">
        <v>45044</v>
      </c>
      <c r="F1892">
        <v>0</v>
      </c>
      <c r="G1892">
        <v>33.6</v>
      </c>
      <c r="H1892">
        <v>1.4000000000000001</v>
      </c>
      <c r="I1892" s="3" t="s">
        <v>8756</v>
      </c>
    </row>
    <row r="1893" spans="1:9" x14ac:dyDescent="0.35">
      <c r="A1893" s="3" t="s">
        <v>10603</v>
      </c>
      <c r="B1893" s="3" t="s">
        <v>4061</v>
      </c>
      <c r="C1893" s="3" t="s">
        <v>4062</v>
      </c>
      <c r="D1893">
        <v>955</v>
      </c>
      <c r="E1893" s="6">
        <v>45020</v>
      </c>
      <c r="F1893">
        <v>0</v>
      </c>
      <c r="G1893">
        <v>0</v>
      </c>
      <c r="H1893">
        <v>0</v>
      </c>
      <c r="I1893" s="3" t="s">
        <v>28</v>
      </c>
    </row>
    <row r="1894" spans="1:9" x14ac:dyDescent="0.35">
      <c r="A1894" s="3" t="s">
        <v>10604</v>
      </c>
      <c r="B1894" s="3" t="s">
        <v>4063</v>
      </c>
      <c r="C1894" s="3" t="s">
        <v>4064</v>
      </c>
      <c r="D1894">
        <v>955</v>
      </c>
      <c r="E1894" s="6">
        <v>45020</v>
      </c>
      <c r="F1894">
        <v>0</v>
      </c>
      <c r="G1894">
        <v>0</v>
      </c>
      <c r="H1894">
        <v>0</v>
      </c>
      <c r="I1894" s="3" t="s">
        <v>28</v>
      </c>
    </row>
    <row r="1895" spans="1:9" x14ac:dyDescent="0.35">
      <c r="A1895" s="3" t="s">
        <v>10605</v>
      </c>
      <c r="B1895" s="3" t="s">
        <v>4065</v>
      </c>
      <c r="C1895" s="3" t="s">
        <v>4066</v>
      </c>
      <c r="D1895">
        <v>17</v>
      </c>
      <c r="E1895" s="6">
        <v>45958</v>
      </c>
      <c r="F1895">
        <v>0</v>
      </c>
      <c r="G1895">
        <v>9.604000000000001</v>
      </c>
      <c r="H1895">
        <v>0.19600000000000001</v>
      </c>
      <c r="I1895" s="3" t="s">
        <v>8705</v>
      </c>
    </row>
    <row r="1896" spans="1:9" x14ac:dyDescent="0.35">
      <c r="A1896" s="3" t="s">
        <v>10606</v>
      </c>
      <c r="B1896" s="3" t="s">
        <v>4067</v>
      </c>
      <c r="C1896" s="3" t="s">
        <v>4068</v>
      </c>
      <c r="D1896">
        <v>50</v>
      </c>
      <c r="E1896" s="6">
        <v>45925</v>
      </c>
      <c r="F1896">
        <v>0</v>
      </c>
      <c r="G1896">
        <v>0.624</v>
      </c>
      <c r="H1896">
        <v>0.14600000000000002</v>
      </c>
      <c r="I1896" s="3" t="s">
        <v>8701</v>
      </c>
    </row>
    <row r="1897" spans="1:9" x14ac:dyDescent="0.35">
      <c r="A1897" s="3" t="s">
        <v>10607</v>
      </c>
      <c r="B1897" s="3" t="s">
        <v>4069</v>
      </c>
      <c r="C1897" s="3" t="s">
        <v>4070</v>
      </c>
      <c r="D1897">
        <v>263</v>
      </c>
      <c r="E1897" s="6">
        <v>45712</v>
      </c>
      <c r="F1897">
        <v>100</v>
      </c>
      <c r="G1897">
        <v>76.44</v>
      </c>
      <c r="H1897">
        <v>1.56</v>
      </c>
      <c r="I1897" s="3" t="s">
        <v>8701</v>
      </c>
    </row>
    <row r="1898" spans="1:9" x14ac:dyDescent="0.35">
      <c r="A1898" s="3" t="s">
        <v>10608</v>
      </c>
      <c r="B1898" s="3" t="s">
        <v>4071</v>
      </c>
      <c r="C1898" s="3" t="s">
        <v>4072</v>
      </c>
      <c r="D1898">
        <v>25</v>
      </c>
      <c r="E1898" s="6">
        <v>45950</v>
      </c>
      <c r="F1898">
        <v>0</v>
      </c>
      <c r="G1898">
        <v>15.200000000000001</v>
      </c>
      <c r="H1898">
        <v>0.8</v>
      </c>
      <c r="I1898" s="3" t="s">
        <v>8705</v>
      </c>
    </row>
    <row r="1899" spans="1:9" x14ac:dyDescent="0.35">
      <c r="A1899" s="3" t="s">
        <v>10609</v>
      </c>
      <c r="B1899" s="3" t="s">
        <v>4073</v>
      </c>
      <c r="C1899" s="3" t="s">
        <v>4074</v>
      </c>
      <c r="D1899">
        <v>46</v>
      </c>
      <c r="E1899" s="6">
        <v>45929</v>
      </c>
      <c r="F1899">
        <v>0</v>
      </c>
      <c r="G1899">
        <v>1.29</v>
      </c>
      <c r="H1899">
        <v>0.79</v>
      </c>
      <c r="I1899" s="3" t="s">
        <v>8701</v>
      </c>
    </row>
    <row r="1900" spans="1:9" x14ac:dyDescent="0.35">
      <c r="A1900" s="3" t="s">
        <v>10610</v>
      </c>
      <c r="B1900" s="3" t="s">
        <v>4075</v>
      </c>
      <c r="C1900" s="3" t="s">
        <v>4076</v>
      </c>
      <c r="D1900">
        <v>630</v>
      </c>
      <c r="E1900" s="6">
        <v>45345</v>
      </c>
      <c r="F1900">
        <v>0</v>
      </c>
      <c r="G1900">
        <v>60.994</v>
      </c>
      <c r="H1900">
        <v>6.0000000000000001E-3</v>
      </c>
      <c r="I1900" s="3" t="s">
        <v>8701</v>
      </c>
    </row>
    <row r="1901" spans="1:9" x14ac:dyDescent="0.35">
      <c r="A1901" s="3" t="s">
        <v>10611</v>
      </c>
      <c r="B1901" s="3" t="s">
        <v>4077</v>
      </c>
      <c r="C1901" s="3" t="s">
        <v>4078</v>
      </c>
      <c r="D1901">
        <v>416</v>
      </c>
      <c r="E1901" s="6">
        <v>45559</v>
      </c>
      <c r="F1901">
        <v>400</v>
      </c>
      <c r="G1901">
        <v>13.948</v>
      </c>
      <c r="H1901">
        <v>1.9020000000000001</v>
      </c>
      <c r="I1901" s="3" t="s">
        <v>8701</v>
      </c>
    </row>
    <row r="1902" spans="1:9" x14ac:dyDescent="0.35">
      <c r="A1902" s="3" t="s">
        <v>11244</v>
      </c>
      <c r="B1902" s="3" t="s">
        <v>5421</v>
      </c>
      <c r="C1902" s="3" t="s">
        <v>5422</v>
      </c>
      <c r="D1902">
        <v>5128</v>
      </c>
      <c r="E1902" s="6">
        <v>40847</v>
      </c>
      <c r="F1902">
        <v>0</v>
      </c>
      <c r="G1902">
        <v>17.150000000000002</v>
      </c>
      <c r="H1902">
        <v>0.35000000000000003</v>
      </c>
      <c r="I1902" s="3" t="s">
        <v>8699</v>
      </c>
    </row>
    <row r="1903" spans="1:9" x14ac:dyDescent="0.35">
      <c r="A1903" s="3" t="s">
        <v>10613</v>
      </c>
      <c r="B1903" s="3" t="s">
        <v>4084</v>
      </c>
      <c r="C1903" s="3" t="s">
        <v>4085</v>
      </c>
      <c r="D1903">
        <v>54</v>
      </c>
      <c r="E1903" s="6">
        <v>45921</v>
      </c>
      <c r="F1903">
        <v>400</v>
      </c>
      <c r="G1903">
        <v>3.5860000000000003</v>
      </c>
      <c r="H1903">
        <v>0.81400000000000006</v>
      </c>
      <c r="I1903" s="3" t="s">
        <v>8701</v>
      </c>
    </row>
    <row r="1904" spans="1:9" x14ac:dyDescent="0.35">
      <c r="A1904" s="3" t="s">
        <v>10947</v>
      </c>
      <c r="B1904" s="3" t="s">
        <v>4785</v>
      </c>
      <c r="C1904" s="3" t="s">
        <v>4786</v>
      </c>
      <c r="D1904">
        <v>5142</v>
      </c>
      <c r="E1904" s="6">
        <v>40833</v>
      </c>
      <c r="F1904">
        <v>0</v>
      </c>
      <c r="G1904">
        <v>0</v>
      </c>
      <c r="H1904">
        <v>0</v>
      </c>
      <c r="I1904" s="3" t="s">
        <v>8699</v>
      </c>
    </row>
    <row r="1905" spans="1:9" x14ac:dyDescent="0.35">
      <c r="A1905" s="3" t="s">
        <v>10615</v>
      </c>
      <c r="B1905" s="3" t="s">
        <v>4088</v>
      </c>
      <c r="C1905" s="3" t="s">
        <v>4089</v>
      </c>
      <c r="D1905">
        <v>23</v>
      </c>
      <c r="E1905" s="6">
        <v>45952</v>
      </c>
      <c r="F1905">
        <v>0</v>
      </c>
      <c r="G1905">
        <v>11.56</v>
      </c>
      <c r="H1905">
        <v>5.44</v>
      </c>
      <c r="I1905" s="3" t="s">
        <v>8701</v>
      </c>
    </row>
    <row r="1906" spans="1:9" x14ac:dyDescent="0.35">
      <c r="A1906" s="3" t="s">
        <v>10616</v>
      </c>
      <c r="B1906" s="3" t="s">
        <v>4090</v>
      </c>
      <c r="C1906" s="3" t="s">
        <v>4091</v>
      </c>
      <c r="D1906">
        <v>5646</v>
      </c>
      <c r="E1906" s="6">
        <v>40329</v>
      </c>
      <c r="F1906">
        <v>0</v>
      </c>
      <c r="G1906">
        <v>1.6E-2</v>
      </c>
      <c r="H1906">
        <v>0.41400000000000003</v>
      </c>
      <c r="I1906" s="3" t="s">
        <v>8712</v>
      </c>
    </row>
    <row r="1907" spans="1:9" x14ac:dyDescent="0.35">
      <c r="A1907" s="3" t="s">
        <v>10945</v>
      </c>
      <c r="B1907" s="3" t="s">
        <v>4781</v>
      </c>
      <c r="C1907" s="3" t="s">
        <v>4782</v>
      </c>
      <c r="D1907">
        <v>5188</v>
      </c>
      <c r="E1907" s="6">
        <v>40787</v>
      </c>
      <c r="F1907">
        <v>100</v>
      </c>
      <c r="G1907">
        <v>1.25</v>
      </c>
      <c r="H1907">
        <v>1.25</v>
      </c>
      <c r="I1907" s="3" t="s">
        <v>8699</v>
      </c>
    </row>
    <row r="1908" spans="1:9" x14ac:dyDescent="0.35">
      <c r="A1908" s="3" t="s">
        <v>11123</v>
      </c>
      <c r="B1908" s="3" t="s">
        <v>5163</v>
      </c>
      <c r="C1908" s="3" t="s">
        <v>5164</v>
      </c>
      <c r="D1908">
        <v>5188</v>
      </c>
      <c r="E1908" s="6">
        <v>40787</v>
      </c>
      <c r="F1908">
        <v>350</v>
      </c>
      <c r="G1908">
        <v>0.14300000000000002</v>
      </c>
      <c r="H1908">
        <v>0.95700000000000007</v>
      </c>
      <c r="I1908" s="3" t="s">
        <v>8699</v>
      </c>
    </row>
    <row r="1909" spans="1:9" x14ac:dyDescent="0.35">
      <c r="A1909" s="3" t="s">
        <v>10619</v>
      </c>
      <c r="B1909" s="3" t="s">
        <v>4096</v>
      </c>
      <c r="C1909" s="3" t="s">
        <v>4097</v>
      </c>
      <c r="D1909">
        <v>46</v>
      </c>
      <c r="E1909" s="6">
        <v>45929</v>
      </c>
      <c r="F1909">
        <v>0</v>
      </c>
      <c r="G1909">
        <v>13.65</v>
      </c>
      <c r="H1909">
        <v>1.35</v>
      </c>
      <c r="I1909" s="3" t="s">
        <v>8701</v>
      </c>
    </row>
    <row r="1910" spans="1:9" x14ac:dyDescent="0.35">
      <c r="A1910" s="3" t="s">
        <v>10360</v>
      </c>
      <c r="B1910" s="3" t="s">
        <v>3554</v>
      </c>
      <c r="C1910" s="3" t="s">
        <v>3555</v>
      </c>
      <c r="D1910">
        <v>5196</v>
      </c>
      <c r="E1910" s="6">
        <v>40779</v>
      </c>
      <c r="F1910">
        <v>0</v>
      </c>
      <c r="G1910">
        <v>32.066000000000003</v>
      </c>
      <c r="H1910">
        <v>0.32400000000000001</v>
      </c>
      <c r="I1910" s="3" t="s">
        <v>8699</v>
      </c>
    </row>
    <row r="1911" spans="1:9" x14ac:dyDescent="0.35">
      <c r="A1911" s="3" t="s">
        <v>10621</v>
      </c>
      <c r="B1911" s="3" t="s">
        <v>4100</v>
      </c>
      <c r="C1911" s="3" t="s">
        <v>4101</v>
      </c>
      <c r="D1911">
        <v>49</v>
      </c>
      <c r="E1911" s="6">
        <v>45926</v>
      </c>
      <c r="F1911">
        <v>100</v>
      </c>
      <c r="G1911">
        <v>43.2</v>
      </c>
      <c r="H1911">
        <v>4.8</v>
      </c>
      <c r="I1911" s="3" t="s">
        <v>8701</v>
      </c>
    </row>
    <row r="1912" spans="1:9" x14ac:dyDescent="0.35">
      <c r="A1912" s="3" t="s">
        <v>10622</v>
      </c>
      <c r="B1912" s="3" t="s">
        <v>4102</v>
      </c>
      <c r="C1912" s="3" t="s">
        <v>4103</v>
      </c>
      <c r="D1912">
        <v>47</v>
      </c>
      <c r="E1912" s="6">
        <v>45928</v>
      </c>
      <c r="F1912">
        <v>0</v>
      </c>
      <c r="G1912">
        <v>40.85</v>
      </c>
      <c r="H1912">
        <v>2.15</v>
      </c>
      <c r="I1912" s="3" t="s">
        <v>8705</v>
      </c>
    </row>
    <row r="1913" spans="1:9" x14ac:dyDescent="0.35">
      <c r="A1913" s="3" t="s">
        <v>10533</v>
      </c>
      <c r="B1913" s="3" t="s">
        <v>3919</v>
      </c>
      <c r="C1913" s="3" t="s">
        <v>3920</v>
      </c>
      <c r="D1913">
        <v>5372</v>
      </c>
      <c r="E1913" s="6">
        <v>40603</v>
      </c>
      <c r="F1913">
        <v>0</v>
      </c>
      <c r="G1913">
        <v>81.801000000000002</v>
      </c>
      <c r="H1913">
        <v>1.669</v>
      </c>
      <c r="I1913" s="3" t="s">
        <v>8699</v>
      </c>
    </row>
    <row r="1914" spans="1:9" x14ac:dyDescent="0.35">
      <c r="A1914" s="3" t="s">
        <v>10624</v>
      </c>
      <c r="B1914" s="3" t="s">
        <v>4106</v>
      </c>
      <c r="C1914" s="3" t="s">
        <v>4107</v>
      </c>
      <c r="D1914">
        <v>3</v>
      </c>
      <c r="E1914" s="6">
        <v>45972</v>
      </c>
      <c r="F1914">
        <v>0</v>
      </c>
      <c r="G1914">
        <v>6.8</v>
      </c>
      <c r="H1914">
        <v>1.2</v>
      </c>
      <c r="I1914" s="3" t="s">
        <v>8756</v>
      </c>
    </row>
    <row r="1915" spans="1:9" x14ac:dyDescent="0.35">
      <c r="A1915" s="3" t="s">
        <v>10612</v>
      </c>
      <c r="B1915" s="3" t="s">
        <v>4081</v>
      </c>
      <c r="C1915" s="3" t="s">
        <v>4082</v>
      </c>
      <c r="D1915">
        <v>5372</v>
      </c>
      <c r="E1915" s="6">
        <v>40603</v>
      </c>
      <c r="F1915">
        <v>0</v>
      </c>
      <c r="G1915">
        <v>0.35000000000000003</v>
      </c>
      <c r="H1915">
        <v>0.35000000000000003</v>
      </c>
      <c r="I1915" s="3" t="s">
        <v>8699</v>
      </c>
    </row>
    <row r="1916" spans="1:9" x14ac:dyDescent="0.35">
      <c r="A1916" s="3" t="s">
        <v>9279</v>
      </c>
      <c r="B1916" s="3" t="s">
        <v>1254</v>
      </c>
      <c r="C1916" s="3" t="s">
        <v>1255</v>
      </c>
      <c r="D1916">
        <v>5378</v>
      </c>
      <c r="E1916" s="6">
        <v>40597</v>
      </c>
      <c r="F1916">
        <v>0</v>
      </c>
      <c r="G1916">
        <v>0.85</v>
      </c>
      <c r="H1916">
        <v>0.15</v>
      </c>
      <c r="I1916" s="3" t="s">
        <v>8699</v>
      </c>
    </row>
    <row r="1917" spans="1:9" x14ac:dyDescent="0.35">
      <c r="A1917" s="3" t="s">
        <v>10627</v>
      </c>
      <c r="B1917" s="3" t="s">
        <v>4113</v>
      </c>
      <c r="C1917" s="3" t="s">
        <v>4114</v>
      </c>
      <c r="D1917">
        <v>44</v>
      </c>
      <c r="E1917" s="6">
        <v>45931</v>
      </c>
      <c r="F1917">
        <v>20</v>
      </c>
      <c r="G1917">
        <v>82.665000000000006</v>
      </c>
      <c r="H1917">
        <v>0.83500000000000008</v>
      </c>
      <c r="I1917" s="3" t="s">
        <v>8738</v>
      </c>
    </row>
    <row r="1918" spans="1:9" x14ac:dyDescent="0.35">
      <c r="A1918" s="3" t="s">
        <v>10628</v>
      </c>
      <c r="B1918" s="3" t="s">
        <v>4115</v>
      </c>
      <c r="C1918" s="3" t="s">
        <v>4116</v>
      </c>
      <c r="D1918">
        <v>87</v>
      </c>
      <c r="E1918" s="6">
        <v>45888</v>
      </c>
      <c r="F1918">
        <v>50</v>
      </c>
      <c r="G1918">
        <v>11.31</v>
      </c>
      <c r="H1918">
        <v>1.69</v>
      </c>
      <c r="I1918" s="3" t="s">
        <v>8701</v>
      </c>
    </row>
    <row r="1919" spans="1:9" x14ac:dyDescent="0.35">
      <c r="A1919" s="3" t="s">
        <v>10866</v>
      </c>
      <c r="B1919" s="3" t="s">
        <v>4614</v>
      </c>
      <c r="C1919" s="3" t="s">
        <v>4615</v>
      </c>
      <c r="D1919">
        <v>5387</v>
      </c>
      <c r="E1919" s="6">
        <v>40588</v>
      </c>
      <c r="F1919">
        <v>0</v>
      </c>
      <c r="G1919">
        <v>1.4850000000000001</v>
      </c>
      <c r="H1919">
        <v>1.5000000000000001E-2</v>
      </c>
      <c r="I1919" s="3" t="s">
        <v>8699</v>
      </c>
    </row>
    <row r="1920" spans="1:9" x14ac:dyDescent="0.35">
      <c r="A1920" s="3" t="s">
        <v>10630</v>
      </c>
      <c r="B1920" s="3" t="s">
        <v>4119</v>
      </c>
      <c r="C1920" s="3" t="s">
        <v>4120</v>
      </c>
      <c r="D1920">
        <v>955</v>
      </c>
      <c r="E1920" s="6">
        <v>45020</v>
      </c>
      <c r="F1920">
        <v>0</v>
      </c>
      <c r="G1920">
        <v>0</v>
      </c>
      <c r="H1920">
        <v>0</v>
      </c>
      <c r="I1920" s="3" t="s">
        <v>28</v>
      </c>
    </row>
    <row r="1921" spans="1:9" x14ac:dyDescent="0.35">
      <c r="A1921" s="3" t="s">
        <v>10631</v>
      </c>
      <c r="B1921" s="3" t="s">
        <v>4121</v>
      </c>
      <c r="C1921" s="3" t="s">
        <v>4122</v>
      </c>
      <c r="D1921">
        <v>955</v>
      </c>
      <c r="E1921" s="6">
        <v>45020</v>
      </c>
      <c r="F1921">
        <v>0</v>
      </c>
      <c r="G1921">
        <v>0</v>
      </c>
      <c r="H1921">
        <v>0</v>
      </c>
      <c r="I1921" s="3" t="s">
        <v>28</v>
      </c>
    </row>
    <row r="1922" spans="1:9" x14ac:dyDescent="0.35">
      <c r="A1922" s="3" t="s">
        <v>10632</v>
      </c>
      <c r="B1922" s="3" t="s">
        <v>4123</v>
      </c>
      <c r="C1922" s="3" t="s">
        <v>4124</v>
      </c>
      <c r="D1922">
        <v>955</v>
      </c>
      <c r="E1922" s="6">
        <v>45020</v>
      </c>
      <c r="F1922">
        <v>0</v>
      </c>
      <c r="G1922">
        <v>0</v>
      </c>
      <c r="H1922">
        <v>0</v>
      </c>
      <c r="I1922" s="3" t="s">
        <v>28</v>
      </c>
    </row>
    <row r="1923" spans="1:9" x14ac:dyDescent="0.35">
      <c r="A1923" s="3" t="s">
        <v>8840</v>
      </c>
      <c r="B1923" s="3" t="s">
        <v>335</v>
      </c>
      <c r="C1923" s="3" t="s">
        <v>336</v>
      </c>
      <c r="D1923">
        <v>5428</v>
      </c>
      <c r="E1923" s="6">
        <v>40547</v>
      </c>
      <c r="F1923">
        <v>0</v>
      </c>
      <c r="G1923">
        <v>4.0790000000000006</v>
      </c>
      <c r="H1923">
        <v>4.1000000000000002E-2</v>
      </c>
      <c r="I1923" s="3" t="s">
        <v>8699</v>
      </c>
    </row>
    <row r="1924" spans="1:9" x14ac:dyDescent="0.35">
      <c r="A1924" s="3" t="s">
        <v>10634</v>
      </c>
      <c r="B1924" s="3" t="s">
        <v>4127</v>
      </c>
      <c r="C1924" s="3" t="s">
        <v>4128</v>
      </c>
      <c r="D1924">
        <v>955</v>
      </c>
      <c r="E1924" s="6">
        <v>45020</v>
      </c>
      <c r="F1924">
        <v>0</v>
      </c>
      <c r="G1924">
        <v>0</v>
      </c>
      <c r="H1924">
        <v>0</v>
      </c>
      <c r="I1924" s="3" t="s">
        <v>28</v>
      </c>
    </row>
    <row r="1925" spans="1:9" x14ac:dyDescent="0.35">
      <c r="A1925" s="3" t="s">
        <v>9782</v>
      </c>
      <c r="B1925" s="3" t="s">
        <v>2313</v>
      </c>
      <c r="C1925" s="3" t="s">
        <v>2314</v>
      </c>
      <c r="D1925">
        <v>5475</v>
      </c>
      <c r="E1925" s="6">
        <v>40500</v>
      </c>
      <c r="F1925">
        <v>0</v>
      </c>
      <c r="G1925">
        <v>24</v>
      </c>
      <c r="H1925">
        <v>6</v>
      </c>
      <c r="I1925" s="3" t="s">
        <v>8699</v>
      </c>
    </row>
    <row r="1926" spans="1:9" x14ac:dyDescent="0.35">
      <c r="A1926" s="3" t="s">
        <v>10636</v>
      </c>
      <c r="B1926" s="3" t="s">
        <v>4131</v>
      </c>
      <c r="C1926" s="3" t="s">
        <v>4132</v>
      </c>
      <c r="D1926">
        <v>955</v>
      </c>
      <c r="E1926" s="6">
        <v>45020</v>
      </c>
      <c r="F1926">
        <v>0</v>
      </c>
      <c r="G1926">
        <v>0</v>
      </c>
      <c r="H1926">
        <v>0</v>
      </c>
      <c r="I1926" s="3" t="s">
        <v>28</v>
      </c>
    </row>
    <row r="1927" spans="1:9" x14ac:dyDescent="0.35">
      <c r="A1927" s="3" t="s">
        <v>10637</v>
      </c>
      <c r="B1927" s="3" t="s">
        <v>4135</v>
      </c>
      <c r="C1927" s="3" t="s">
        <v>4136</v>
      </c>
      <c r="D1927">
        <v>58</v>
      </c>
      <c r="E1927" s="6">
        <v>45917</v>
      </c>
      <c r="F1927">
        <v>0</v>
      </c>
      <c r="G1927">
        <v>5.5200000000000005</v>
      </c>
      <c r="H1927">
        <v>0.48</v>
      </c>
      <c r="I1927" s="3" t="s">
        <v>8756</v>
      </c>
    </row>
    <row r="1928" spans="1:9" x14ac:dyDescent="0.35">
      <c r="A1928" s="3" t="s">
        <v>10638</v>
      </c>
      <c r="B1928" s="3" t="s">
        <v>4137</v>
      </c>
      <c r="C1928" s="3" t="s">
        <v>4138</v>
      </c>
      <c r="D1928">
        <v>53</v>
      </c>
      <c r="E1928" s="6">
        <v>45922</v>
      </c>
      <c r="F1928">
        <v>0</v>
      </c>
      <c r="G1928">
        <v>0.76800000000000002</v>
      </c>
      <c r="H1928">
        <v>0.83200000000000007</v>
      </c>
      <c r="I1928" s="3" t="s">
        <v>8756</v>
      </c>
    </row>
    <row r="1929" spans="1:9" x14ac:dyDescent="0.35">
      <c r="A1929" s="3" t="s">
        <v>9295</v>
      </c>
      <c r="B1929" s="3" t="s">
        <v>1291</v>
      </c>
      <c r="C1929" s="3" t="s">
        <v>1292</v>
      </c>
      <c r="D1929">
        <v>5523</v>
      </c>
      <c r="E1929" s="6">
        <v>40452</v>
      </c>
      <c r="F1929">
        <v>0</v>
      </c>
      <c r="G1929">
        <v>5.7000000000000002E-2</v>
      </c>
      <c r="H1929">
        <v>0.20300000000000001</v>
      </c>
      <c r="I1929" s="3" t="s">
        <v>8699</v>
      </c>
    </row>
    <row r="1930" spans="1:9" x14ac:dyDescent="0.35">
      <c r="A1930" s="3" t="s">
        <v>9530</v>
      </c>
      <c r="B1930" s="3" t="s">
        <v>1775</v>
      </c>
      <c r="C1930" s="3" t="s">
        <v>1776</v>
      </c>
      <c r="D1930">
        <v>5523</v>
      </c>
      <c r="E1930" s="6">
        <v>40452</v>
      </c>
      <c r="F1930">
        <v>0</v>
      </c>
      <c r="G1930">
        <v>0.05</v>
      </c>
      <c r="H1930">
        <v>0.18</v>
      </c>
      <c r="I1930" s="3" t="s">
        <v>8699</v>
      </c>
    </row>
    <row r="1931" spans="1:9" x14ac:dyDescent="0.35">
      <c r="A1931" s="3" t="s">
        <v>9049</v>
      </c>
      <c r="B1931" s="3" t="s">
        <v>774</v>
      </c>
      <c r="C1931" s="3" t="s">
        <v>775</v>
      </c>
      <c r="D1931">
        <v>5553</v>
      </c>
      <c r="E1931" s="6">
        <v>40422</v>
      </c>
      <c r="F1931">
        <v>0</v>
      </c>
      <c r="G1931">
        <v>4.9000000000000002E-2</v>
      </c>
      <c r="H1931">
        <v>0.14100000000000001</v>
      </c>
      <c r="I1931" s="3" t="s">
        <v>8699</v>
      </c>
    </row>
    <row r="1932" spans="1:9" x14ac:dyDescent="0.35">
      <c r="A1932" s="3" t="s">
        <v>9348</v>
      </c>
      <c r="B1932" s="3" t="s">
        <v>1405</v>
      </c>
      <c r="C1932" s="3" t="s">
        <v>1406</v>
      </c>
      <c r="D1932">
        <v>5553</v>
      </c>
      <c r="E1932" s="6">
        <v>40422</v>
      </c>
      <c r="F1932">
        <v>0</v>
      </c>
      <c r="G1932">
        <v>1.6E-2</v>
      </c>
      <c r="H1932">
        <v>4.4000000000000004E-2</v>
      </c>
      <c r="I1932" s="3" t="s">
        <v>8699</v>
      </c>
    </row>
    <row r="1933" spans="1:9" x14ac:dyDescent="0.35">
      <c r="A1933" s="3" t="s">
        <v>10643</v>
      </c>
      <c r="B1933" s="3" t="s">
        <v>4147</v>
      </c>
      <c r="C1933" s="3" t="s">
        <v>4148</v>
      </c>
      <c r="D1933">
        <v>21</v>
      </c>
      <c r="E1933" s="6">
        <v>45954</v>
      </c>
      <c r="F1933">
        <v>0</v>
      </c>
      <c r="G1933">
        <v>146.464</v>
      </c>
      <c r="H1933">
        <v>0.73599999999999999</v>
      </c>
      <c r="I1933" s="3" t="s">
        <v>8701</v>
      </c>
    </row>
    <row r="1934" spans="1:9" x14ac:dyDescent="0.35">
      <c r="A1934" s="3" t="s">
        <v>10644</v>
      </c>
      <c r="B1934" s="3" t="s">
        <v>4149</v>
      </c>
      <c r="C1934" s="3" t="s">
        <v>4150</v>
      </c>
      <c r="D1934">
        <v>740</v>
      </c>
      <c r="E1934" s="6">
        <v>45235</v>
      </c>
      <c r="F1934">
        <v>0</v>
      </c>
      <c r="G1934">
        <v>0</v>
      </c>
      <c r="H1934">
        <v>0</v>
      </c>
      <c r="I1934" s="3" t="s">
        <v>28</v>
      </c>
    </row>
    <row r="1935" spans="1:9" x14ac:dyDescent="0.35">
      <c r="A1935" s="3" t="s">
        <v>10536</v>
      </c>
      <c r="B1935" s="3" t="s">
        <v>3925</v>
      </c>
      <c r="C1935" s="3" t="s">
        <v>3926</v>
      </c>
      <c r="D1935">
        <v>5583</v>
      </c>
      <c r="E1935" s="6">
        <v>40392</v>
      </c>
      <c r="F1935">
        <v>0</v>
      </c>
      <c r="G1935">
        <v>10.23</v>
      </c>
      <c r="H1935">
        <v>0.77</v>
      </c>
      <c r="I1935" s="3" t="s">
        <v>8699</v>
      </c>
    </row>
    <row r="1936" spans="1:9" x14ac:dyDescent="0.35">
      <c r="A1936" s="3" t="s">
        <v>8936</v>
      </c>
      <c r="B1936" s="3" t="s">
        <v>531</v>
      </c>
      <c r="C1936" s="3" t="s">
        <v>532</v>
      </c>
      <c r="D1936">
        <v>5615</v>
      </c>
      <c r="E1936" s="6">
        <v>40360</v>
      </c>
      <c r="F1936">
        <v>0</v>
      </c>
      <c r="G1936">
        <v>5.6000000000000001E-2</v>
      </c>
      <c r="H1936">
        <v>0.13400000000000001</v>
      </c>
      <c r="I1936" s="3" t="s">
        <v>8699</v>
      </c>
    </row>
    <row r="1937" spans="1:9" x14ac:dyDescent="0.35">
      <c r="A1937" s="3" t="s">
        <v>10647</v>
      </c>
      <c r="B1937" s="3" t="s">
        <v>4155</v>
      </c>
      <c r="C1937" s="3" t="s">
        <v>4156</v>
      </c>
      <c r="D1937">
        <v>955</v>
      </c>
      <c r="E1937" s="6">
        <v>45020</v>
      </c>
      <c r="F1937">
        <v>0</v>
      </c>
      <c r="G1937">
        <v>0</v>
      </c>
      <c r="H1937">
        <v>0</v>
      </c>
      <c r="I1937" s="3" t="s">
        <v>28</v>
      </c>
    </row>
    <row r="1938" spans="1:9" x14ac:dyDescent="0.35">
      <c r="A1938" s="3" t="s">
        <v>10648</v>
      </c>
      <c r="B1938" s="3" t="s">
        <v>4157</v>
      </c>
      <c r="C1938" s="3" t="s">
        <v>4158</v>
      </c>
      <c r="D1938">
        <v>46</v>
      </c>
      <c r="E1938" s="6">
        <v>45929</v>
      </c>
      <c r="F1938">
        <v>0</v>
      </c>
      <c r="G1938">
        <v>0.442</v>
      </c>
      <c r="H1938">
        <v>0.8580000000000001</v>
      </c>
      <c r="I1938" s="3" t="s">
        <v>8756</v>
      </c>
    </row>
    <row r="1939" spans="1:9" x14ac:dyDescent="0.35">
      <c r="A1939" s="3" t="s">
        <v>10649</v>
      </c>
      <c r="B1939" s="3" t="s">
        <v>4159</v>
      </c>
      <c r="C1939" s="3" t="s">
        <v>4160</v>
      </c>
      <c r="D1939">
        <v>274</v>
      </c>
      <c r="E1939" s="6">
        <v>45701</v>
      </c>
      <c r="F1939">
        <v>0</v>
      </c>
      <c r="G1939">
        <v>10.56</v>
      </c>
      <c r="H1939">
        <v>0.44</v>
      </c>
      <c r="I1939" s="3" t="s">
        <v>8701</v>
      </c>
    </row>
    <row r="1940" spans="1:9" x14ac:dyDescent="0.35">
      <c r="A1940" s="3" t="s">
        <v>10650</v>
      </c>
      <c r="B1940" s="3" t="s">
        <v>4161</v>
      </c>
      <c r="C1940" s="3" t="s">
        <v>4162</v>
      </c>
      <c r="D1940">
        <v>14</v>
      </c>
      <c r="E1940" s="6">
        <v>45961</v>
      </c>
      <c r="F1940">
        <v>0</v>
      </c>
      <c r="G1940">
        <v>19.846</v>
      </c>
      <c r="H1940">
        <v>1.8440000000000001</v>
      </c>
      <c r="I1940" s="3" t="s">
        <v>8701</v>
      </c>
    </row>
    <row r="1941" spans="1:9" x14ac:dyDescent="0.35">
      <c r="A1941" s="3" t="s">
        <v>10651</v>
      </c>
      <c r="B1941" s="3" t="s">
        <v>4163</v>
      </c>
      <c r="C1941" s="3" t="s">
        <v>4164</v>
      </c>
      <c r="D1941">
        <v>955</v>
      </c>
      <c r="E1941" s="6">
        <v>45020</v>
      </c>
      <c r="F1941">
        <v>0</v>
      </c>
      <c r="G1941">
        <v>0</v>
      </c>
      <c r="H1941">
        <v>0</v>
      </c>
      <c r="I1941" s="3" t="s">
        <v>28</v>
      </c>
    </row>
    <row r="1942" spans="1:9" x14ac:dyDescent="0.35">
      <c r="A1942" s="3" t="s">
        <v>10577</v>
      </c>
      <c r="B1942" s="3" t="s">
        <v>4009</v>
      </c>
      <c r="C1942" s="3" t="s">
        <v>4010</v>
      </c>
      <c r="D1942">
        <v>5657</v>
      </c>
      <c r="E1942" s="6">
        <v>40318</v>
      </c>
      <c r="F1942">
        <v>0</v>
      </c>
      <c r="G1942">
        <v>7.2450000000000001</v>
      </c>
      <c r="H1942">
        <v>0.80500000000000005</v>
      </c>
      <c r="I1942" s="3" t="s">
        <v>8699</v>
      </c>
    </row>
    <row r="1943" spans="1:9" x14ac:dyDescent="0.35">
      <c r="A1943" s="3" t="s">
        <v>10653</v>
      </c>
      <c r="B1943" s="3" t="s">
        <v>4167</v>
      </c>
      <c r="C1943" s="3" t="s">
        <v>4168</v>
      </c>
      <c r="D1943">
        <v>140</v>
      </c>
      <c r="E1943" s="6">
        <v>45835</v>
      </c>
      <c r="F1943">
        <v>0</v>
      </c>
      <c r="G1943">
        <v>70.427999999999997</v>
      </c>
      <c r="H1943">
        <v>1.0720000000000001</v>
      </c>
      <c r="I1943" s="3" t="s">
        <v>8701</v>
      </c>
    </row>
    <row r="1944" spans="1:9" x14ac:dyDescent="0.35">
      <c r="A1944" s="3" t="s">
        <v>10095</v>
      </c>
      <c r="B1944" s="3" t="s">
        <v>2988</v>
      </c>
      <c r="C1944" s="3" t="s">
        <v>2989</v>
      </c>
      <c r="D1944">
        <v>5673</v>
      </c>
      <c r="E1944" s="6">
        <v>40302</v>
      </c>
      <c r="F1944">
        <v>100</v>
      </c>
      <c r="G1944">
        <v>0.14200000000000002</v>
      </c>
      <c r="H1944">
        <v>0.94800000000000006</v>
      </c>
      <c r="I1944" s="3" t="s">
        <v>8699</v>
      </c>
    </row>
    <row r="1945" spans="1:9" x14ac:dyDescent="0.35">
      <c r="A1945" s="3" t="s">
        <v>10719</v>
      </c>
      <c r="B1945" s="3" t="s">
        <v>4309</v>
      </c>
      <c r="C1945" s="3" t="s">
        <v>4310</v>
      </c>
      <c r="D1945">
        <v>5673</v>
      </c>
      <c r="E1945" s="6">
        <v>40302</v>
      </c>
      <c r="F1945">
        <v>0</v>
      </c>
      <c r="G1945">
        <v>0.156</v>
      </c>
      <c r="H1945">
        <v>0.624</v>
      </c>
      <c r="I1945" s="3" t="s">
        <v>8699</v>
      </c>
    </row>
    <row r="1946" spans="1:9" x14ac:dyDescent="0.35">
      <c r="A1946" s="3" t="s">
        <v>9951</v>
      </c>
      <c r="B1946" s="3" t="s">
        <v>2680</v>
      </c>
      <c r="C1946" s="3" t="s">
        <v>2681</v>
      </c>
      <c r="D1946">
        <v>5771</v>
      </c>
      <c r="E1946" s="6">
        <v>40204</v>
      </c>
      <c r="F1946">
        <v>0</v>
      </c>
      <c r="G1946">
        <v>6.7970000000000006</v>
      </c>
      <c r="H1946">
        <v>0.28300000000000003</v>
      </c>
      <c r="I1946" s="3" t="s">
        <v>8699</v>
      </c>
    </row>
    <row r="1947" spans="1:9" x14ac:dyDescent="0.35">
      <c r="A1947" s="3" t="s">
        <v>9517</v>
      </c>
      <c r="B1947" s="3" t="s">
        <v>1746</v>
      </c>
      <c r="C1947" s="3" t="s">
        <v>1747</v>
      </c>
      <c r="D1947">
        <v>5783</v>
      </c>
      <c r="E1947" s="6">
        <v>40192</v>
      </c>
      <c r="F1947">
        <v>0</v>
      </c>
      <c r="G1947">
        <v>1.44</v>
      </c>
      <c r="H1947">
        <v>0.32</v>
      </c>
      <c r="I1947" s="3" t="s">
        <v>8699</v>
      </c>
    </row>
    <row r="1948" spans="1:9" x14ac:dyDescent="0.35">
      <c r="A1948" s="3" t="s">
        <v>10658</v>
      </c>
      <c r="B1948" s="3" t="s">
        <v>4177</v>
      </c>
      <c r="C1948" s="3" t="s">
        <v>4178</v>
      </c>
      <c r="D1948">
        <v>726</v>
      </c>
      <c r="E1948" s="6">
        <v>45249</v>
      </c>
      <c r="F1948">
        <v>0</v>
      </c>
      <c r="G1948">
        <v>0</v>
      </c>
      <c r="H1948">
        <v>0</v>
      </c>
      <c r="I1948" s="3" t="s">
        <v>28</v>
      </c>
    </row>
    <row r="1949" spans="1:9" x14ac:dyDescent="0.35">
      <c r="A1949" s="3" t="s">
        <v>10659</v>
      </c>
      <c r="B1949" s="3" t="s">
        <v>4179</v>
      </c>
      <c r="C1949" s="3" t="s">
        <v>4180</v>
      </c>
      <c r="D1949">
        <v>955</v>
      </c>
      <c r="E1949" s="6">
        <v>45020</v>
      </c>
      <c r="F1949">
        <v>0</v>
      </c>
      <c r="G1949">
        <v>0</v>
      </c>
      <c r="H1949">
        <v>0</v>
      </c>
      <c r="I1949" s="3" t="s">
        <v>28</v>
      </c>
    </row>
    <row r="1950" spans="1:9" x14ac:dyDescent="0.35">
      <c r="A1950" s="3" t="s">
        <v>10660</v>
      </c>
      <c r="B1950" s="3" t="s">
        <v>4181</v>
      </c>
      <c r="C1950" s="3" t="s">
        <v>4182</v>
      </c>
      <c r="D1950">
        <v>726</v>
      </c>
      <c r="E1950" s="6">
        <v>45249</v>
      </c>
      <c r="F1950">
        <v>0</v>
      </c>
      <c r="G1950">
        <v>0</v>
      </c>
      <c r="H1950">
        <v>0</v>
      </c>
      <c r="I1950" s="3" t="s">
        <v>28</v>
      </c>
    </row>
    <row r="1951" spans="1:9" x14ac:dyDescent="0.35">
      <c r="A1951" s="3" t="s">
        <v>10656</v>
      </c>
      <c r="B1951" s="3" t="s">
        <v>4173</v>
      </c>
      <c r="C1951" s="3" t="s">
        <v>4174</v>
      </c>
      <c r="D1951">
        <v>5783</v>
      </c>
      <c r="E1951" s="6">
        <v>40192</v>
      </c>
      <c r="F1951">
        <v>0</v>
      </c>
      <c r="G1951">
        <v>2.25</v>
      </c>
      <c r="H1951">
        <v>0.75</v>
      </c>
      <c r="I1951" s="3" t="s">
        <v>8699</v>
      </c>
    </row>
    <row r="1952" spans="1:9" x14ac:dyDescent="0.35">
      <c r="A1952" s="3" t="s">
        <v>10662</v>
      </c>
      <c r="B1952" s="3" t="s">
        <v>4185</v>
      </c>
      <c r="C1952" s="3" t="s">
        <v>4186</v>
      </c>
      <c r="D1952">
        <v>315</v>
      </c>
      <c r="E1952" s="6">
        <v>45660</v>
      </c>
      <c r="F1952">
        <v>0</v>
      </c>
      <c r="G1952">
        <v>3.0000000000000001E-3</v>
      </c>
      <c r="H1952">
        <v>6.7000000000000004E-2</v>
      </c>
      <c r="I1952" s="3" t="s">
        <v>8712</v>
      </c>
    </row>
    <row r="1953" spans="1:9" x14ac:dyDescent="0.35">
      <c r="A1953" s="3" t="s">
        <v>10663</v>
      </c>
      <c r="B1953" s="3" t="s">
        <v>4187</v>
      </c>
      <c r="C1953" s="3" t="s">
        <v>4188</v>
      </c>
      <c r="D1953">
        <v>130</v>
      </c>
      <c r="E1953" s="6">
        <v>45845</v>
      </c>
      <c r="F1953">
        <v>0</v>
      </c>
      <c r="G1953">
        <v>3.0000000000000001E-3</v>
      </c>
      <c r="H1953">
        <v>6.7000000000000004E-2</v>
      </c>
      <c r="I1953" s="3" t="s">
        <v>8712</v>
      </c>
    </row>
    <row r="1954" spans="1:9" x14ac:dyDescent="0.35">
      <c r="A1954" s="3" t="s">
        <v>10664</v>
      </c>
      <c r="B1954" s="3" t="s">
        <v>4189</v>
      </c>
      <c r="C1954" s="3" t="s">
        <v>4190</v>
      </c>
      <c r="D1954">
        <v>472</v>
      </c>
      <c r="E1954" s="6">
        <v>45503</v>
      </c>
      <c r="F1954">
        <v>0</v>
      </c>
      <c r="G1954">
        <v>2.8580000000000001</v>
      </c>
      <c r="H1954">
        <v>1.1120000000000001</v>
      </c>
      <c r="I1954" s="3" t="s">
        <v>8756</v>
      </c>
    </row>
    <row r="1955" spans="1:9" x14ac:dyDescent="0.35">
      <c r="A1955" s="3" t="s">
        <v>10680</v>
      </c>
      <c r="B1955" s="3" t="s">
        <v>4225</v>
      </c>
      <c r="C1955" s="3" t="s">
        <v>4226</v>
      </c>
      <c r="D1955">
        <v>5796</v>
      </c>
      <c r="E1955" s="6">
        <v>40179</v>
      </c>
      <c r="F1955">
        <v>300</v>
      </c>
      <c r="G1955">
        <v>3.4060000000000001</v>
      </c>
      <c r="H1955">
        <v>3.4000000000000002E-2</v>
      </c>
      <c r="I1955" s="3" t="s">
        <v>8699</v>
      </c>
    </row>
    <row r="1956" spans="1:9" x14ac:dyDescent="0.35">
      <c r="A1956" s="3" t="s">
        <v>8953</v>
      </c>
      <c r="B1956" s="3" t="s">
        <v>569</v>
      </c>
      <c r="C1956" s="3" t="s">
        <v>570</v>
      </c>
      <c r="D1956">
        <v>5883</v>
      </c>
      <c r="E1956" s="6">
        <v>40092</v>
      </c>
      <c r="F1956">
        <v>0</v>
      </c>
      <c r="G1956">
        <v>22.56</v>
      </c>
      <c r="H1956">
        <v>0.94000000000000006</v>
      </c>
      <c r="I1956" s="3" t="s">
        <v>8699</v>
      </c>
    </row>
    <row r="1957" spans="1:9" x14ac:dyDescent="0.35">
      <c r="A1957" s="3" t="s">
        <v>10667</v>
      </c>
      <c r="B1957" s="3" t="s">
        <v>4195</v>
      </c>
      <c r="C1957" s="3" t="s">
        <v>4196</v>
      </c>
      <c r="D1957">
        <v>24</v>
      </c>
      <c r="E1957" s="6">
        <v>45951</v>
      </c>
      <c r="F1957">
        <v>0</v>
      </c>
      <c r="G1957">
        <v>1.9750000000000001</v>
      </c>
      <c r="H1957">
        <v>0.52500000000000002</v>
      </c>
      <c r="I1957" s="3" t="s">
        <v>8701</v>
      </c>
    </row>
    <row r="1958" spans="1:9" x14ac:dyDescent="0.35">
      <c r="A1958" s="3" t="s">
        <v>10668</v>
      </c>
      <c r="B1958" s="3" t="s">
        <v>4197</v>
      </c>
      <c r="C1958" s="3" t="s">
        <v>4198</v>
      </c>
      <c r="D1958">
        <v>955</v>
      </c>
      <c r="E1958" s="6">
        <v>45020</v>
      </c>
      <c r="F1958">
        <v>0</v>
      </c>
      <c r="G1958">
        <v>0</v>
      </c>
      <c r="H1958">
        <v>0</v>
      </c>
      <c r="I1958" s="3" t="s">
        <v>28</v>
      </c>
    </row>
    <row r="1959" spans="1:9" x14ac:dyDescent="0.35">
      <c r="A1959" s="3" t="s">
        <v>9725</v>
      </c>
      <c r="B1959" s="3" t="s">
        <v>2198</v>
      </c>
      <c r="C1959" s="3" t="s">
        <v>2199</v>
      </c>
      <c r="D1959">
        <v>5949</v>
      </c>
      <c r="E1959" s="6">
        <v>40026</v>
      </c>
      <c r="F1959">
        <v>300</v>
      </c>
      <c r="G1959">
        <v>0.80300000000000005</v>
      </c>
      <c r="H1959">
        <v>0.29700000000000004</v>
      </c>
      <c r="I1959" s="3" t="s">
        <v>8699</v>
      </c>
    </row>
    <row r="1960" spans="1:9" x14ac:dyDescent="0.35">
      <c r="A1960" s="3" t="s">
        <v>10670</v>
      </c>
      <c r="B1960" s="3" t="s">
        <v>4202</v>
      </c>
      <c r="C1960" s="3" t="s">
        <v>4203</v>
      </c>
      <c r="D1960">
        <v>58</v>
      </c>
      <c r="E1960" s="6">
        <v>45917</v>
      </c>
      <c r="F1960">
        <v>0</v>
      </c>
      <c r="G1960">
        <v>13.5</v>
      </c>
      <c r="H1960">
        <v>4.5</v>
      </c>
      <c r="I1960" s="3" t="s">
        <v>8705</v>
      </c>
    </row>
    <row r="1961" spans="1:9" x14ac:dyDescent="0.35">
      <c r="A1961" s="3" t="s">
        <v>9512</v>
      </c>
      <c r="B1961" s="3" t="s">
        <v>1736</v>
      </c>
      <c r="C1961" s="3" t="s">
        <v>1737</v>
      </c>
      <c r="D1961">
        <v>5980</v>
      </c>
      <c r="E1961" s="6">
        <v>39995</v>
      </c>
      <c r="F1961">
        <v>0</v>
      </c>
      <c r="G1961">
        <v>9.0000000000000011E-3</v>
      </c>
      <c r="H1961">
        <v>0.161</v>
      </c>
      <c r="I1961" s="3" t="s">
        <v>8699</v>
      </c>
    </row>
    <row r="1962" spans="1:9" x14ac:dyDescent="0.35">
      <c r="A1962" s="3" t="s">
        <v>10672</v>
      </c>
      <c r="B1962" s="3" t="s">
        <v>4206</v>
      </c>
      <c r="C1962" s="3" t="s">
        <v>4207</v>
      </c>
      <c r="D1962">
        <v>955</v>
      </c>
      <c r="E1962" s="6">
        <v>45020</v>
      </c>
      <c r="F1962">
        <v>0</v>
      </c>
      <c r="G1962">
        <v>0</v>
      </c>
      <c r="H1962">
        <v>0</v>
      </c>
      <c r="I1962" s="3" t="s">
        <v>28</v>
      </c>
    </row>
    <row r="1963" spans="1:9" x14ac:dyDescent="0.35">
      <c r="A1963" s="3" t="s">
        <v>10673</v>
      </c>
      <c r="B1963" s="3" t="s">
        <v>4208</v>
      </c>
      <c r="C1963" s="3" t="s">
        <v>4209</v>
      </c>
      <c r="D1963">
        <v>49</v>
      </c>
      <c r="E1963" s="6">
        <v>45926</v>
      </c>
      <c r="F1963">
        <v>0</v>
      </c>
      <c r="G1963">
        <v>0.66600000000000004</v>
      </c>
      <c r="H1963">
        <v>1.1840000000000002</v>
      </c>
      <c r="I1963" s="3" t="s">
        <v>8701</v>
      </c>
    </row>
    <row r="1964" spans="1:9" x14ac:dyDescent="0.35">
      <c r="A1964" s="3" t="s">
        <v>9646</v>
      </c>
      <c r="B1964" s="3" t="s">
        <v>2026</v>
      </c>
      <c r="C1964" s="3" t="s">
        <v>2027</v>
      </c>
      <c r="D1964">
        <v>5980</v>
      </c>
      <c r="E1964" s="6">
        <v>39995</v>
      </c>
      <c r="F1964">
        <v>0</v>
      </c>
      <c r="G1964">
        <v>0.03</v>
      </c>
      <c r="H1964">
        <v>0.56000000000000005</v>
      </c>
      <c r="I1964" s="3" t="s">
        <v>8699</v>
      </c>
    </row>
    <row r="1965" spans="1:9" x14ac:dyDescent="0.35">
      <c r="A1965" s="3" t="s">
        <v>10878</v>
      </c>
      <c r="B1965" s="3" t="s">
        <v>4641</v>
      </c>
      <c r="C1965" s="3" t="s">
        <v>4642</v>
      </c>
      <c r="D1965">
        <v>5980</v>
      </c>
      <c r="E1965" s="6">
        <v>39995</v>
      </c>
      <c r="F1965">
        <v>0</v>
      </c>
      <c r="G1965">
        <v>2.3E-2</v>
      </c>
      <c r="H1965">
        <v>0.437</v>
      </c>
      <c r="I1965" s="3" t="s">
        <v>8699</v>
      </c>
    </row>
    <row r="1966" spans="1:9" x14ac:dyDescent="0.35">
      <c r="A1966" s="3" t="s">
        <v>10676</v>
      </c>
      <c r="B1966" s="3" t="s">
        <v>4214</v>
      </c>
      <c r="C1966" s="3" t="s">
        <v>4215</v>
      </c>
      <c r="D1966">
        <v>955</v>
      </c>
      <c r="E1966" s="6">
        <v>45020</v>
      </c>
      <c r="F1966">
        <v>0</v>
      </c>
      <c r="G1966">
        <v>0</v>
      </c>
      <c r="H1966">
        <v>0</v>
      </c>
      <c r="I1966" s="3" t="s">
        <v>28</v>
      </c>
    </row>
    <row r="1967" spans="1:9" x14ac:dyDescent="0.35">
      <c r="A1967" s="3" t="s">
        <v>10677</v>
      </c>
      <c r="B1967" s="3" t="s">
        <v>4216</v>
      </c>
      <c r="C1967" s="3" t="s">
        <v>4217</v>
      </c>
      <c r="D1967">
        <v>25</v>
      </c>
      <c r="E1967" s="6">
        <v>45950</v>
      </c>
      <c r="F1967">
        <v>0</v>
      </c>
      <c r="G1967">
        <v>6.5520000000000005</v>
      </c>
      <c r="H1967">
        <v>1.248</v>
      </c>
      <c r="I1967" s="3" t="s">
        <v>8701</v>
      </c>
    </row>
    <row r="1968" spans="1:9" x14ac:dyDescent="0.35">
      <c r="A1968" s="3" t="s">
        <v>8818</v>
      </c>
      <c r="B1968" s="3" t="s">
        <v>286</v>
      </c>
      <c r="C1968" s="3" t="s">
        <v>287</v>
      </c>
      <c r="D1968">
        <v>5981</v>
      </c>
      <c r="E1968" s="6">
        <v>39994</v>
      </c>
      <c r="F1968">
        <v>0</v>
      </c>
      <c r="G1968">
        <v>4.0000000000000001E-3</v>
      </c>
      <c r="H1968">
        <v>8.6000000000000007E-2</v>
      </c>
      <c r="I1968" s="3" t="s">
        <v>8699</v>
      </c>
    </row>
    <row r="1969" spans="1:9" x14ac:dyDescent="0.35">
      <c r="A1969" s="3" t="s">
        <v>10679</v>
      </c>
      <c r="B1969" s="3" t="s">
        <v>4220</v>
      </c>
      <c r="C1969" s="3" t="s">
        <v>4221</v>
      </c>
      <c r="D1969">
        <v>109</v>
      </c>
      <c r="E1969" s="6">
        <v>45866</v>
      </c>
      <c r="F1969">
        <v>200</v>
      </c>
      <c r="G1969">
        <v>35.28</v>
      </c>
      <c r="H1969">
        <v>0.72</v>
      </c>
      <c r="I1969" s="3" t="s">
        <v>8729</v>
      </c>
    </row>
    <row r="1970" spans="1:9" x14ac:dyDescent="0.35">
      <c r="A1970" s="3" t="s">
        <v>8881</v>
      </c>
      <c r="B1970" s="3" t="s">
        <v>418</v>
      </c>
      <c r="C1970" s="3" t="s">
        <v>419</v>
      </c>
      <c r="D1970">
        <v>5981</v>
      </c>
      <c r="E1970" s="6">
        <v>39994</v>
      </c>
      <c r="F1970">
        <v>0</v>
      </c>
      <c r="G1970">
        <v>6.3E-2</v>
      </c>
      <c r="H1970">
        <v>0.23700000000000002</v>
      </c>
      <c r="I1970" s="3" t="s">
        <v>8699</v>
      </c>
    </row>
    <row r="1971" spans="1:9" x14ac:dyDescent="0.35">
      <c r="A1971" s="3" t="s">
        <v>10681</v>
      </c>
      <c r="B1971" s="3" t="s">
        <v>4229</v>
      </c>
      <c r="C1971" s="3" t="s">
        <v>4230</v>
      </c>
      <c r="D1971">
        <v>25</v>
      </c>
      <c r="E1971" s="6">
        <v>45950</v>
      </c>
      <c r="F1971">
        <v>100</v>
      </c>
      <c r="G1971">
        <v>23.75</v>
      </c>
      <c r="H1971">
        <v>1.25</v>
      </c>
      <c r="I1971" s="3" t="s">
        <v>8729</v>
      </c>
    </row>
    <row r="1972" spans="1:9" x14ac:dyDescent="0.35">
      <c r="A1972" s="3" t="s">
        <v>10682</v>
      </c>
      <c r="B1972" s="3" t="s">
        <v>4231</v>
      </c>
      <c r="C1972" s="3" t="s">
        <v>4232</v>
      </c>
      <c r="D1972">
        <v>2019</v>
      </c>
      <c r="E1972" s="6">
        <v>43956</v>
      </c>
      <c r="F1972">
        <v>0</v>
      </c>
      <c r="G1972">
        <v>1E-3</v>
      </c>
      <c r="H1972">
        <v>1.9E-2</v>
      </c>
      <c r="I1972" s="3" t="s">
        <v>8712</v>
      </c>
    </row>
    <row r="1973" spans="1:9" x14ac:dyDescent="0.35">
      <c r="A1973" s="3" t="s">
        <v>9068</v>
      </c>
      <c r="B1973" s="3" t="s">
        <v>815</v>
      </c>
      <c r="C1973" s="3" t="s">
        <v>816</v>
      </c>
      <c r="D1973">
        <v>5981</v>
      </c>
      <c r="E1973" s="6">
        <v>39994</v>
      </c>
      <c r="F1973">
        <v>0</v>
      </c>
      <c r="G1973">
        <v>4.2000000000000003E-2</v>
      </c>
      <c r="H1973">
        <v>0.158</v>
      </c>
      <c r="I1973" s="3" t="s">
        <v>8699</v>
      </c>
    </row>
    <row r="1974" spans="1:9" x14ac:dyDescent="0.35">
      <c r="A1974" s="3" t="s">
        <v>9703</v>
      </c>
      <c r="B1974" s="3" t="s">
        <v>2150</v>
      </c>
      <c r="C1974" s="3" t="s">
        <v>2151</v>
      </c>
      <c r="D1974">
        <v>5981</v>
      </c>
      <c r="E1974" s="6">
        <v>39994</v>
      </c>
      <c r="F1974">
        <v>0</v>
      </c>
      <c r="G1974">
        <v>6.3E-2</v>
      </c>
      <c r="H1974">
        <v>0.23700000000000002</v>
      </c>
      <c r="I1974" s="3" t="s">
        <v>8699</v>
      </c>
    </row>
    <row r="1975" spans="1:9" x14ac:dyDescent="0.35">
      <c r="A1975" s="3" t="s">
        <v>10685</v>
      </c>
      <c r="B1975" s="3" t="s">
        <v>4237</v>
      </c>
      <c r="C1975" s="3" t="s">
        <v>4238</v>
      </c>
      <c r="D1975">
        <v>7173</v>
      </c>
      <c r="E1975" s="6">
        <v>38802</v>
      </c>
      <c r="F1975">
        <v>0</v>
      </c>
      <c r="G1975">
        <v>0</v>
      </c>
      <c r="H1975">
        <v>0</v>
      </c>
      <c r="I1975" s="3" t="s">
        <v>28</v>
      </c>
    </row>
    <row r="1976" spans="1:9" x14ac:dyDescent="0.35">
      <c r="A1976" s="3" t="s">
        <v>10686</v>
      </c>
      <c r="B1976" s="3" t="s">
        <v>4239</v>
      </c>
      <c r="C1976" s="3" t="s">
        <v>4240</v>
      </c>
      <c r="D1976">
        <v>239</v>
      </c>
      <c r="E1976" s="6">
        <v>45736</v>
      </c>
      <c r="F1976">
        <v>0</v>
      </c>
      <c r="G1976">
        <v>60.588000000000001</v>
      </c>
      <c r="H1976">
        <v>0.61199999999999999</v>
      </c>
      <c r="I1976" s="3" t="s">
        <v>8701</v>
      </c>
    </row>
    <row r="1977" spans="1:9" x14ac:dyDescent="0.35">
      <c r="A1977" s="3" t="s">
        <v>10687</v>
      </c>
      <c r="B1977" s="3" t="s">
        <v>4241</v>
      </c>
      <c r="C1977" s="3" t="s">
        <v>4242</v>
      </c>
      <c r="D1977">
        <v>955</v>
      </c>
      <c r="E1977" s="6">
        <v>45020</v>
      </c>
      <c r="F1977">
        <v>0</v>
      </c>
      <c r="G1977">
        <v>0</v>
      </c>
      <c r="H1977">
        <v>0</v>
      </c>
      <c r="I1977" s="3" t="s">
        <v>28</v>
      </c>
    </row>
    <row r="1978" spans="1:9" x14ac:dyDescent="0.35">
      <c r="A1978" s="3" t="s">
        <v>9887</v>
      </c>
      <c r="B1978" s="3" t="s">
        <v>2538</v>
      </c>
      <c r="C1978" s="3" t="s">
        <v>2539</v>
      </c>
      <c r="D1978">
        <v>5981</v>
      </c>
      <c r="E1978" s="6">
        <v>39994</v>
      </c>
      <c r="F1978">
        <v>0</v>
      </c>
      <c r="G1978">
        <v>3.0000000000000001E-3</v>
      </c>
      <c r="H1978">
        <v>2.7E-2</v>
      </c>
      <c r="I1978" s="3" t="s">
        <v>8699</v>
      </c>
    </row>
    <row r="1979" spans="1:9" x14ac:dyDescent="0.35">
      <c r="A1979" s="3" t="s">
        <v>11241</v>
      </c>
      <c r="B1979" s="3" t="s">
        <v>5413</v>
      </c>
      <c r="C1979" s="3" t="s">
        <v>5414</v>
      </c>
      <c r="D1979">
        <v>5981</v>
      </c>
      <c r="E1979" s="6">
        <v>39994</v>
      </c>
      <c r="F1979">
        <v>0</v>
      </c>
      <c r="G1979">
        <v>4.2000000000000003E-2</v>
      </c>
      <c r="H1979">
        <v>0.158</v>
      </c>
      <c r="I1979" s="3" t="s">
        <v>8699</v>
      </c>
    </row>
    <row r="1980" spans="1:9" x14ac:dyDescent="0.35">
      <c r="A1980" s="3" t="s">
        <v>10690</v>
      </c>
      <c r="B1980" s="3" t="s">
        <v>4247</v>
      </c>
      <c r="C1980" s="3" t="s">
        <v>4248</v>
      </c>
      <c r="D1980">
        <v>955</v>
      </c>
      <c r="E1980" s="6">
        <v>45020</v>
      </c>
      <c r="F1980">
        <v>0</v>
      </c>
      <c r="G1980">
        <v>0</v>
      </c>
      <c r="H1980">
        <v>0</v>
      </c>
      <c r="I1980" s="3" t="s">
        <v>28</v>
      </c>
    </row>
    <row r="1981" spans="1:9" x14ac:dyDescent="0.35">
      <c r="A1981" s="3" t="s">
        <v>10691</v>
      </c>
      <c r="B1981" s="3" t="s">
        <v>4249</v>
      </c>
      <c r="C1981" s="3" t="s">
        <v>4250</v>
      </c>
      <c r="D1981">
        <v>49</v>
      </c>
      <c r="E1981" s="6">
        <v>45926</v>
      </c>
      <c r="F1981">
        <v>10</v>
      </c>
      <c r="G1981">
        <v>0.94000000000000006</v>
      </c>
      <c r="H1981">
        <v>1.06</v>
      </c>
      <c r="I1981" s="3" t="s">
        <v>8701</v>
      </c>
    </row>
    <row r="1982" spans="1:9" x14ac:dyDescent="0.35">
      <c r="A1982" s="3" t="s">
        <v>10692</v>
      </c>
      <c r="B1982" s="3" t="s">
        <v>4251</v>
      </c>
      <c r="C1982" s="3" t="s">
        <v>4252</v>
      </c>
      <c r="D1982">
        <v>60</v>
      </c>
      <c r="E1982" s="6">
        <v>45915</v>
      </c>
      <c r="F1982">
        <v>0</v>
      </c>
      <c r="G1982">
        <v>72.27</v>
      </c>
      <c r="H1982">
        <v>0.73</v>
      </c>
      <c r="I1982" s="3" t="s">
        <v>8701</v>
      </c>
    </row>
    <row r="1983" spans="1:9" x14ac:dyDescent="0.35">
      <c r="A1983" s="3" t="s">
        <v>9662</v>
      </c>
      <c r="B1983" s="3" t="s">
        <v>2064</v>
      </c>
      <c r="C1983" s="3" t="s">
        <v>2065</v>
      </c>
      <c r="D1983">
        <v>6010</v>
      </c>
      <c r="E1983" s="6">
        <v>39965</v>
      </c>
      <c r="F1983">
        <v>300</v>
      </c>
      <c r="G1983">
        <v>2.3780000000000001</v>
      </c>
      <c r="H1983">
        <v>0.52200000000000002</v>
      </c>
      <c r="I1983" s="3" t="s">
        <v>8699</v>
      </c>
    </row>
    <row r="1984" spans="1:9" x14ac:dyDescent="0.35">
      <c r="A1984" s="3" t="s">
        <v>10694</v>
      </c>
      <c r="B1984" s="3" t="s">
        <v>4255</v>
      </c>
      <c r="C1984" s="3" t="s">
        <v>4256</v>
      </c>
      <c r="D1984">
        <v>2383</v>
      </c>
      <c r="E1984" s="6">
        <v>43592</v>
      </c>
      <c r="F1984">
        <v>0</v>
      </c>
      <c r="G1984">
        <v>1.4E-2</v>
      </c>
      <c r="H1984">
        <v>0.186</v>
      </c>
      <c r="I1984" s="3" t="s">
        <v>8712</v>
      </c>
    </row>
    <row r="1985" spans="1:9" x14ac:dyDescent="0.35">
      <c r="A1985" s="3" t="s">
        <v>10695</v>
      </c>
      <c r="B1985" s="3" t="s">
        <v>4257</v>
      </c>
      <c r="C1985" s="3" t="s">
        <v>4258</v>
      </c>
      <c r="D1985">
        <v>955</v>
      </c>
      <c r="E1985" s="6">
        <v>45020</v>
      </c>
      <c r="F1985">
        <v>0</v>
      </c>
      <c r="G1985">
        <v>0</v>
      </c>
      <c r="H1985">
        <v>0</v>
      </c>
      <c r="I1985" s="3" t="s">
        <v>28</v>
      </c>
    </row>
    <row r="1986" spans="1:9" x14ac:dyDescent="0.35">
      <c r="A1986" s="3" t="s">
        <v>10237</v>
      </c>
      <c r="B1986" s="3" t="s">
        <v>3282</v>
      </c>
      <c r="C1986" s="3" t="s">
        <v>3283</v>
      </c>
      <c r="D1986">
        <v>6033</v>
      </c>
      <c r="E1986" s="6">
        <v>39942</v>
      </c>
      <c r="F1986">
        <v>0</v>
      </c>
      <c r="G1986">
        <v>67.814999999999998</v>
      </c>
      <c r="H1986">
        <v>0.68500000000000005</v>
      </c>
      <c r="I1986" s="3" t="s">
        <v>8699</v>
      </c>
    </row>
    <row r="1987" spans="1:9" x14ac:dyDescent="0.35">
      <c r="A1987" s="3" t="s">
        <v>8788</v>
      </c>
      <c r="B1987" s="3" t="s">
        <v>216</v>
      </c>
      <c r="C1987" s="3" t="s">
        <v>217</v>
      </c>
      <c r="D1987">
        <v>6041</v>
      </c>
      <c r="E1987" s="6">
        <v>39934</v>
      </c>
      <c r="F1987">
        <v>100</v>
      </c>
      <c r="G1987">
        <v>0.15</v>
      </c>
      <c r="H1987">
        <v>0.85</v>
      </c>
      <c r="I1987" s="3" t="s">
        <v>8699</v>
      </c>
    </row>
    <row r="1988" spans="1:9" x14ac:dyDescent="0.35">
      <c r="A1988" s="3" t="s">
        <v>10698</v>
      </c>
      <c r="B1988" s="3" t="s">
        <v>4263</v>
      </c>
      <c r="C1988" s="3" t="s">
        <v>4264</v>
      </c>
      <c r="D1988">
        <v>25</v>
      </c>
      <c r="E1988" s="6">
        <v>45950</v>
      </c>
      <c r="F1988">
        <v>0</v>
      </c>
      <c r="G1988">
        <v>32.980000000000004</v>
      </c>
      <c r="H1988">
        <v>1.02</v>
      </c>
      <c r="I1988" s="3" t="s">
        <v>8701</v>
      </c>
    </row>
    <row r="1989" spans="1:9" x14ac:dyDescent="0.35">
      <c r="A1989" s="3" t="s">
        <v>10699</v>
      </c>
      <c r="B1989" s="3" t="s">
        <v>4265</v>
      </c>
      <c r="C1989" s="3" t="s">
        <v>4266</v>
      </c>
      <c r="D1989">
        <v>837</v>
      </c>
      <c r="E1989" s="6">
        <v>45138</v>
      </c>
      <c r="F1989">
        <v>0</v>
      </c>
      <c r="G1989">
        <v>72.150000000000006</v>
      </c>
      <c r="H1989">
        <v>1.85</v>
      </c>
      <c r="I1989" s="3" t="s">
        <v>8705</v>
      </c>
    </row>
    <row r="1990" spans="1:9" x14ac:dyDescent="0.35">
      <c r="A1990" s="3" t="s">
        <v>10435</v>
      </c>
      <c r="B1990" s="3" t="s">
        <v>3709</v>
      </c>
      <c r="C1990" s="3" t="s">
        <v>3710</v>
      </c>
      <c r="D1990">
        <v>6067</v>
      </c>
      <c r="E1990" s="6">
        <v>39908</v>
      </c>
      <c r="F1990">
        <v>0</v>
      </c>
      <c r="G1990">
        <v>14.4</v>
      </c>
      <c r="H1990">
        <v>0.6</v>
      </c>
      <c r="I1990" s="3" t="s">
        <v>8699</v>
      </c>
    </row>
    <row r="1991" spans="1:9" x14ac:dyDescent="0.35">
      <c r="A1991" s="3" t="s">
        <v>11008</v>
      </c>
      <c r="B1991" s="3" t="s">
        <v>4925</v>
      </c>
      <c r="C1991" s="3" t="s">
        <v>4926</v>
      </c>
      <c r="D1991">
        <v>6071</v>
      </c>
      <c r="E1991" s="6">
        <v>39904</v>
      </c>
      <c r="F1991">
        <v>300</v>
      </c>
      <c r="G1991">
        <v>0.27</v>
      </c>
      <c r="H1991">
        <v>0.63</v>
      </c>
      <c r="I1991" s="3" t="s">
        <v>8699</v>
      </c>
    </row>
    <row r="1992" spans="1:9" x14ac:dyDescent="0.35">
      <c r="A1992" s="3" t="s">
        <v>10702</v>
      </c>
      <c r="B1992" s="3" t="s">
        <v>4275</v>
      </c>
      <c r="C1992" s="3" t="s">
        <v>4276</v>
      </c>
      <c r="D1992">
        <v>955</v>
      </c>
      <c r="E1992" s="6">
        <v>45020</v>
      </c>
      <c r="F1992">
        <v>0</v>
      </c>
      <c r="G1992">
        <v>0</v>
      </c>
      <c r="H1992">
        <v>0</v>
      </c>
      <c r="I1992" s="3" t="s">
        <v>28</v>
      </c>
    </row>
    <row r="1993" spans="1:9" x14ac:dyDescent="0.35">
      <c r="A1993" s="3" t="s">
        <v>11197</v>
      </c>
      <c r="B1993" s="3" t="s">
        <v>5322</v>
      </c>
      <c r="C1993" s="3" t="s">
        <v>5323</v>
      </c>
      <c r="D1993">
        <v>6071</v>
      </c>
      <c r="E1993" s="6">
        <v>39904</v>
      </c>
      <c r="F1993">
        <v>0</v>
      </c>
      <c r="G1993">
        <v>7.2270000000000003</v>
      </c>
      <c r="H1993">
        <v>7.3000000000000009E-2</v>
      </c>
      <c r="I1993" s="3" t="s">
        <v>8699</v>
      </c>
    </row>
    <row r="1994" spans="1:9" x14ac:dyDescent="0.35">
      <c r="A1994" s="3" t="s">
        <v>10704</v>
      </c>
      <c r="B1994" s="3" t="s">
        <v>4279</v>
      </c>
      <c r="C1994" s="3" t="s">
        <v>4280</v>
      </c>
      <c r="D1994">
        <v>23</v>
      </c>
      <c r="E1994" s="6">
        <v>45952</v>
      </c>
      <c r="F1994">
        <v>0</v>
      </c>
      <c r="G1994">
        <v>8.0000000000000002E-3</v>
      </c>
      <c r="H1994">
        <v>0.192</v>
      </c>
      <c r="I1994" s="3" t="s">
        <v>8712</v>
      </c>
    </row>
    <row r="1995" spans="1:9" x14ac:dyDescent="0.35">
      <c r="A1995" s="3" t="s">
        <v>10705</v>
      </c>
      <c r="B1995" s="3" t="s">
        <v>4281</v>
      </c>
      <c r="C1995" s="3" t="s">
        <v>4282</v>
      </c>
      <c r="D1995">
        <v>955</v>
      </c>
      <c r="E1995" s="6">
        <v>45020</v>
      </c>
      <c r="F1995">
        <v>0</v>
      </c>
      <c r="G1995">
        <v>0</v>
      </c>
      <c r="H1995">
        <v>0</v>
      </c>
      <c r="I1995" s="3" t="s">
        <v>28</v>
      </c>
    </row>
    <row r="1996" spans="1:9" x14ac:dyDescent="0.35">
      <c r="A1996" s="3" t="s">
        <v>8731</v>
      </c>
      <c r="B1996" s="3" t="s">
        <v>94</v>
      </c>
      <c r="C1996" s="3" t="s">
        <v>95</v>
      </c>
      <c r="D1996">
        <v>6102</v>
      </c>
      <c r="E1996" s="6">
        <v>39873</v>
      </c>
      <c r="F1996">
        <v>0</v>
      </c>
      <c r="G1996">
        <v>7.0000000000000001E-3</v>
      </c>
      <c r="H1996">
        <v>0.183</v>
      </c>
      <c r="I1996" s="3" t="s">
        <v>8699</v>
      </c>
    </row>
    <row r="1997" spans="1:9" x14ac:dyDescent="0.35">
      <c r="A1997" s="3" t="s">
        <v>10707</v>
      </c>
      <c r="B1997" s="3" t="s">
        <v>4285</v>
      </c>
      <c r="C1997" s="3" t="s">
        <v>4286</v>
      </c>
      <c r="D1997">
        <v>739</v>
      </c>
      <c r="E1997" s="6">
        <v>45236</v>
      </c>
      <c r="F1997">
        <v>0</v>
      </c>
      <c r="G1997">
        <v>0</v>
      </c>
      <c r="H1997">
        <v>0</v>
      </c>
      <c r="I1997" s="3" t="s">
        <v>28</v>
      </c>
    </row>
    <row r="1998" spans="1:9" x14ac:dyDescent="0.35">
      <c r="A1998" s="3" t="s">
        <v>10708</v>
      </c>
      <c r="B1998" s="3" t="s">
        <v>4287</v>
      </c>
      <c r="C1998" s="3" t="s">
        <v>4288</v>
      </c>
      <c r="D1998">
        <v>46</v>
      </c>
      <c r="E1998" s="6">
        <v>45929</v>
      </c>
      <c r="F1998">
        <v>0</v>
      </c>
      <c r="G1998">
        <v>71.042000000000002</v>
      </c>
      <c r="H1998">
        <v>0.71800000000000008</v>
      </c>
      <c r="I1998" s="3" t="s">
        <v>8703</v>
      </c>
    </row>
    <row r="1999" spans="1:9" x14ac:dyDescent="0.35">
      <c r="A1999" s="3" t="s">
        <v>10709</v>
      </c>
      <c r="B1999" s="3" t="s">
        <v>4289</v>
      </c>
      <c r="C1999" s="3" t="s">
        <v>4290</v>
      </c>
      <c r="D1999">
        <v>726</v>
      </c>
      <c r="E1999" s="6">
        <v>45249</v>
      </c>
      <c r="F1999">
        <v>0</v>
      </c>
      <c r="G1999">
        <v>0</v>
      </c>
      <c r="H1999">
        <v>0</v>
      </c>
      <c r="I1999" s="3" t="s">
        <v>28</v>
      </c>
    </row>
    <row r="2000" spans="1:9" x14ac:dyDescent="0.35">
      <c r="A2000" s="3" t="s">
        <v>10710</v>
      </c>
      <c r="B2000" s="3" t="s">
        <v>4291</v>
      </c>
      <c r="C2000" s="3" t="s">
        <v>4292</v>
      </c>
      <c r="D2000">
        <v>14</v>
      </c>
      <c r="E2000" s="6">
        <v>45961</v>
      </c>
      <c r="F2000">
        <v>0</v>
      </c>
      <c r="G2000">
        <v>93.28</v>
      </c>
      <c r="H2000">
        <v>1.42</v>
      </c>
      <c r="I2000" s="3" t="s">
        <v>8701</v>
      </c>
    </row>
    <row r="2001" spans="1:9" x14ac:dyDescent="0.35">
      <c r="A2001" s="3" t="s">
        <v>10711</v>
      </c>
      <c r="B2001" s="3" t="s">
        <v>4293</v>
      </c>
      <c r="C2001" s="3" t="s">
        <v>4294</v>
      </c>
      <c r="D2001">
        <v>78</v>
      </c>
      <c r="E2001" s="6">
        <v>45897</v>
      </c>
      <c r="F2001">
        <v>0</v>
      </c>
      <c r="G2001">
        <v>5.0000000000000001E-3</v>
      </c>
      <c r="H2001">
        <v>9.5000000000000001E-2</v>
      </c>
      <c r="I2001" s="3" t="s">
        <v>8712</v>
      </c>
    </row>
    <row r="2002" spans="1:9" x14ac:dyDescent="0.35">
      <c r="A2002" s="3" t="s">
        <v>10712</v>
      </c>
      <c r="B2002" s="3" t="s">
        <v>4295</v>
      </c>
      <c r="C2002" s="3" t="s">
        <v>4296</v>
      </c>
      <c r="D2002">
        <v>955</v>
      </c>
      <c r="E2002" s="6">
        <v>45020</v>
      </c>
      <c r="F2002">
        <v>0</v>
      </c>
      <c r="G2002">
        <v>0</v>
      </c>
      <c r="H2002">
        <v>0</v>
      </c>
      <c r="I2002" s="3" t="s">
        <v>28</v>
      </c>
    </row>
    <row r="2003" spans="1:9" x14ac:dyDescent="0.35">
      <c r="A2003" s="3" t="s">
        <v>10713</v>
      </c>
      <c r="B2003" s="3" t="s">
        <v>4297</v>
      </c>
      <c r="C2003" s="3" t="s">
        <v>4298</v>
      </c>
      <c r="D2003">
        <v>5504</v>
      </c>
      <c r="E2003" s="6">
        <v>40471</v>
      </c>
      <c r="F2003">
        <v>0</v>
      </c>
      <c r="G2003">
        <v>0</v>
      </c>
      <c r="H2003">
        <v>0</v>
      </c>
      <c r="I2003" s="3" t="s">
        <v>28</v>
      </c>
    </row>
    <row r="2004" spans="1:9" x14ac:dyDescent="0.35">
      <c r="A2004" s="3" t="s">
        <v>10714</v>
      </c>
      <c r="B2004" s="3" t="s">
        <v>4299</v>
      </c>
      <c r="C2004" s="3" t="s">
        <v>4300</v>
      </c>
      <c r="D2004">
        <v>2467</v>
      </c>
      <c r="E2004" s="6">
        <v>43508</v>
      </c>
      <c r="F2004">
        <v>0</v>
      </c>
      <c r="G2004">
        <v>0</v>
      </c>
      <c r="H2004">
        <v>0</v>
      </c>
      <c r="I2004" s="3" t="s">
        <v>28</v>
      </c>
    </row>
    <row r="2005" spans="1:9" x14ac:dyDescent="0.35">
      <c r="A2005" s="3" t="s">
        <v>8836</v>
      </c>
      <c r="B2005" s="3" t="s">
        <v>326</v>
      </c>
      <c r="C2005" s="3" t="s">
        <v>327</v>
      </c>
      <c r="D2005">
        <v>6102</v>
      </c>
      <c r="E2005" s="6">
        <v>39873</v>
      </c>
      <c r="F2005">
        <v>0</v>
      </c>
      <c r="G2005">
        <v>0.04</v>
      </c>
      <c r="H2005">
        <v>0.15</v>
      </c>
      <c r="I2005" s="3" t="s">
        <v>8699</v>
      </c>
    </row>
    <row r="2006" spans="1:9" x14ac:dyDescent="0.35">
      <c r="A2006" s="3" t="s">
        <v>10716</v>
      </c>
      <c r="B2006" s="3" t="s">
        <v>4303</v>
      </c>
      <c r="C2006" s="3" t="s">
        <v>4304</v>
      </c>
      <c r="D2006">
        <v>368</v>
      </c>
      <c r="E2006" s="6">
        <v>45607</v>
      </c>
      <c r="F2006">
        <v>0</v>
      </c>
      <c r="G2006">
        <v>8.0000000000000002E-3</v>
      </c>
      <c r="H2006">
        <v>0.14200000000000002</v>
      </c>
      <c r="I2006" s="3" t="s">
        <v>8712</v>
      </c>
    </row>
    <row r="2007" spans="1:9" x14ac:dyDescent="0.35">
      <c r="A2007" s="3" t="s">
        <v>8883</v>
      </c>
      <c r="B2007" s="3" t="s">
        <v>423</v>
      </c>
      <c r="C2007" s="3" t="s">
        <v>424</v>
      </c>
      <c r="D2007">
        <v>6102</v>
      </c>
      <c r="E2007" s="6">
        <v>39873</v>
      </c>
      <c r="F2007">
        <v>450</v>
      </c>
      <c r="G2007">
        <v>0.22</v>
      </c>
      <c r="H2007">
        <v>0.78</v>
      </c>
      <c r="I2007" s="3" t="s">
        <v>8699</v>
      </c>
    </row>
    <row r="2008" spans="1:9" x14ac:dyDescent="0.35">
      <c r="A2008" s="3" t="s">
        <v>10718</v>
      </c>
      <c r="B2008" s="3" t="s">
        <v>4307</v>
      </c>
      <c r="C2008" s="3" t="s">
        <v>4308</v>
      </c>
      <c r="D2008">
        <v>5646</v>
      </c>
      <c r="E2008" s="6">
        <v>40329</v>
      </c>
      <c r="F2008">
        <v>0</v>
      </c>
      <c r="G2008">
        <v>1.1000000000000001E-2</v>
      </c>
      <c r="H2008">
        <v>0.28900000000000003</v>
      </c>
      <c r="I2008" s="3" t="s">
        <v>8712</v>
      </c>
    </row>
    <row r="2009" spans="1:9" x14ac:dyDescent="0.35">
      <c r="A2009" s="3" t="s">
        <v>8999</v>
      </c>
      <c r="B2009" s="3" t="s">
        <v>668</v>
      </c>
      <c r="C2009" s="3" t="s">
        <v>669</v>
      </c>
      <c r="D2009">
        <v>6102</v>
      </c>
      <c r="E2009" s="6">
        <v>39873</v>
      </c>
      <c r="F2009">
        <v>0</v>
      </c>
      <c r="G2009">
        <v>5.64</v>
      </c>
      <c r="H2009">
        <v>0.36</v>
      </c>
      <c r="I2009" s="3" t="s">
        <v>8699</v>
      </c>
    </row>
    <row r="2010" spans="1:9" x14ac:dyDescent="0.35">
      <c r="A2010" s="3" t="s">
        <v>9073</v>
      </c>
      <c r="B2010" s="3" t="s">
        <v>827</v>
      </c>
      <c r="C2010" s="3" t="s">
        <v>828</v>
      </c>
      <c r="D2010">
        <v>6102</v>
      </c>
      <c r="E2010" s="6">
        <v>39873</v>
      </c>
      <c r="F2010">
        <v>0</v>
      </c>
      <c r="G2010">
        <v>9.0000000000000011E-3</v>
      </c>
      <c r="H2010">
        <v>0.184</v>
      </c>
      <c r="I2010" s="3" t="s">
        <v>8699</v>
      </c>
    </row>
    <row r="2011" spans="1:9" x14ac:dyDescent="0.35">
      <c r="A2011" s="3" t="s">
        <v>10721</v>
      </c>
      <c r="B2011" s="3" t="s">
        <v>4313</v>
      </c>
      <c r="C2011" s="3" t="s">
        <v>4314</v>
      </c>
      <c r="D2011">
        <v>323</v>
      </c>
      <c r="E2011" s="6">
        <v>45652</v>
      </c>
      <c r="F2011">
        <v>0</v>
      </c>
      <c r="G2011">
        <v>8.0000000000000002E-3</v>
      </c>
      <c r="H2011">
        <v>0.14200000000000002</v>
      </c>
      <c r="I2011" s="3" t="s">
        <v>8712</v>
      </c>
    </row>
    <row r="2012" spans="1:9" x14ac:dyDescent="0.35">
      <c r="A2012" s="3" t="s">
        <v>10722</v>
      </c>
      <c r="B2012" s="3" t="s">
        <v>4315</v>
      </c>
      <c r="C2012" s="3" t="s">
        <v>4316</v>
      </c>
      <c r="D2012">
        <v>80</v>
      </c>
      <c r="E2012" s="6">
        <v>45895</v>
      </c>
      <c r="F2012">
        <v>50</v>
      </c>
      <c r="G2012">
        <v>3.75</v>
      </c>
      <c r="H2012">
        <v>1.25</v>
      </c>
      <c r="I2012" s="3" t="s">
        <v>8701</v>
      </c>
    </row>
    <row r="2013" spans="1:9" x14ac:dyDescent="0.35">
      <c r="A2013" s="3" t="s">
        <v>10723</v>
      </c>
      <c r="B2013" s="3" t="s">
        <v>4318</v>
      </c>
      <c r="C2013" s="3" t="s">
        <v>4319</v>
      </c>
      <c r="D2013">
        <v>955</v>
      </c>
      <c r="E2013" s="6">
        <v>45020</v>
      </c>
      <c r="F2013">
        <v>0</v>
      </c>
      <c r="G2013">
        <v>0</v>
      </c>
      <c r="H2013">
        <v>0</v>
      </c>
      <c r="I2013" s="3" t="s">
        <v>28</v>
      </c>
    </row>
    <row r="2014" spans="1:9" x14ac:dyDescent="0.35">
      <c r="A2014" s="3" t="s">
        <v>9166</v>
      </c>
      <c r="B2014" s="3" t="s">
        <v>1015</v>
      </c>
      <c r="C2014" s="3" t="s">
        <v>1016</v>
      </c>
      <c r="D2014">
        <v>6102</v>
      </c>
      <c r="E2014" s="6">
        <v>39873</v>
      </c>
      <c r="F2014">
        <v>0</v>
      </c>
      <c r="G2014">
        <v>0.02</v>
      </c>
      <c r="H2014">
        <v>0.18</v>
      </c>
      <c r="I2014" s="3" t="s">
        <v>8699</v>
      </c>
    </row>
    <row r="2015" spans="1:9" x14ac:dyDescent="0.35">
      <c r="A2015" s="3" t="s">
        <v>9177</v>
      </c>
      <c r="B2015" s="3" t="s">
        <v>1039</v>
      </c>
      <c r="C2015" s="3" t="s">
        <v>1040</v>
      </c>
      <c r="D2015">
        <v>6102</v>
      </c>
      <c r="E2015" s="6">
        <v>39873</v>
      </c>
      <c r="F2015">
        <v>0</v>
      </c>
      <c r="G2015">
        <v>1.5000000000000001E-2</v>
      </c>
      <c r="H2015">
        <v>0.375</v>
      </c>
      <c r="I2015" s="3" t="s">
        <v>8699</v>
      </c>
    </row>
    <row r="2016" spans="1:9" x14ac:dyDescent="0.35">
      <c r="A2016" s="3" t="s">
        <v>10726</v>
      </c>
      <c r="B2016" s="3" t="s">
        <v>4324</v>
      </c>
      <c r="C2016" s="3" t="s">
        <v>4325</v>
      </c>
      <c r="D2016">
        <v>318</v>
      </c>
      <c r="E2016" s="6">
        <v>45657</v>
      </c>
      <c r="F2016">
        <v>50</v>
      </c>
      <c r="G2016">
        <v>1.08</v>
      </c>
      <c r="H2016">
        <v>0.72</v>
      </c>
      <c r="I2016" s="3" t="s">
        <v>8756</v>
      </c>
    </row>
    <row r="2017" spans="1:9" x14ac:dyDescent="0.35">
      <c r="A2017" s="3" t="s">
        <v>9194</v>
      </c>
      <c r="B2017" s="3" t="s">
        <v>1075</v>
      </c>
      <c r="C2017" s="3" t="s">
        <v>1076</v>
      </c>
      <c r="D2017">
        <v>6102</v>
      </c>
      <c r="E2017" s="6">
        <v>39873</v>
      </c>
      <c r="F2017">
        <v>0</v>
      </c>
      <c r="G2017">
        <v>3.9E-2</v>
      </c>
      <c r="H2017">
        <v>0.26100000000000001</v>
      </c>
      <c r="I2017" s="3" t="s">
        <v>8699</v>
      </c>
    </row>
    <row r="2018" spans="1:9" x14ac:dyDescent="0.35">
      <c r="A2018" s="3" t="s">
        <v>9360</v>
      </c>
      <c r="B2018" s="3" t="s">
        <v>1429</v>
      </c>
      <c r="C2018" s="3" t="s">
        <v>1430</v>
      </c>
      <c r="D2018">
        <v>6102</v>
      </c>
      <c r="E2018" s="6">
        <v>39873</v>
      </c>
      <c r="F2018">
        <v>0</v>
      </c>
      <c r="G2018">
        <v>7.8E-2</v>
      </c>
      <c r="H2018">
        <v>5.2000000000000005E-2</v>
      </c>
      <c r="I2018" s="3" t="s">
        <v>8699</v>
      </c>
    </row>
    <row r="2019" spans="1:9" x14ac:dyDescent="0.35">
      <c r="A2019" s="3" t="s">
        <v>9440</v>
      </c>
      <c r="B2019" s="3" t="s">
        <v>1590</v>
      </c>
      <c r="C2019" s="3" t="s">
        <v>1591</v>
      </c>
      <c r="D2019">
        <v>6102</v>
      </c>
      <c r="E2019" s="6">
        <v>39873</v>
      </c>
      <c r="F2019">
        <v>0</v>
      </c>
      <c r="G2019">
        <v>2.9000000000000001E-2</v>
      </c>
      <c r="H2019">
        <v>0.26100000000000001</v>
      </c>
      <c r="I2019" s="3" t="s">
        <v>8699</v>
      </c>
    </row>
    <row r="2020" spans="1:9" x14ac:dyDescent="0.35">
      <c r="A2020" s="3" t="s">
        <v>10730</v>
      </c>
      <c r="B2020" s="3" t="s">
        <v>4332</v>
      </c>
      <c r="C2020" s="3" t="s">
        <v>4333</v>
      </c>
      <c r="D2020">
        <v>153</v>
      </c>
      <c r="E2020" s="6">
        <v>45822</v>
      </c>
      <c r="F2020">
        <v>100</v>
      </c>
      <c r="G2020">
        <v>4.0670000000000002</v>
      </c>
      <c r="H2020">
        <v>0.83300000000000007</v>
      </c>
      <c r="I2020" s="3" t="s">
        <v>8756</v>
      </c>
    </row>
    <row r="2021" spans="1:9" x14ac:dyDescent="0.35">
      <c r="A2021" s="3" t="s">
        <v>10731</v>
      </c>
      <c r="B2021" s="3" t="s">
        <v>4334</v>
      </c>
      <c r="C2021" s="3" t="s">
        <v>4335</v>
      </c>
      <c r="D2021">
        <v>45</v>
      </c>
      <c r="E2021" s="6">
        <v>45930</v>
      </c>
      <c r="F2021">
        <v>100</v>
      </c>
      <c r="G2021">
        <v>2.9</v>
      </c>
      <c r="H2021">
        <v>2.1</v>
      </c>
      <c r="I2021" s="3" t="s">
        <v>8701</v>
      </c>
    </row>
    <row r="2022" spans="1:9" x14ac:dyDescent="0.35">
      <c r="A2022" s="3" t="s">
        <v>10732</v>
      </c>
      <c r="B2022" s="3" t="s">
        <v>4336</v>
      </c>
      <c r="C2022" s="3" t="s">
        <v>4337</v>
      </c>
      <c r="D2022">
        <v>143</v>
      </c>
      <c r="E2022" s="6">
        <v>45832</v>
      </c>
      <c r="F2022">
        <v>0</v>
      </c>
      <c r="G2022">
        <v>16.38</v>
      </c>
      <c r="H2022">
        <v>1.62</v>
      </c>
      <c r="I2022" s="3" t="s">
        <v>8701</v>
      </c>
    </row>
    <row r="2023" spans="1:9" x14ac:dyDescent="0.35">
      <c r="A2023" s="3" t="s">
        <v>10733</v>
      </c>
      <c r="B2023" s="3" t="s">
        <v>4338</v>
      </c>
      <c r="C2023" s="3" t="s">
        <v>4339</v>
      </c>
      <c r="D2023">
        <v>146</v>
      </c>
      <c r="E2023" s="6">
        <v>45829</v>
      </c>
      <c r="F2023">
        <v>100</v>
      </c>
      <c r="G2023">
        <v>3.5</v>
      </c>
      <c r="H2023">
        <v>1.5</v>
      </c>
      <c r="I2023" s="3" t="s">
        <v>8756</v>
      </c>
    </row>
    <row r="2024" spans="1:9" x14ac:dyDescent="0.35">
      <c r="A2024" s="3" t="s">
        <v>10734</v>
      </c>
      <c r="B2024" s="3" t="s">
        <v>4340</v>
      </c>
      <c r="C2024" s="3" t="s">
        <v>4341</v>
      </c>
      <c r="D2024">
        <v>91</v>
      </c>
      <c r="E2024" s="6">
        <v>45884</v>
      </c>
      <c r="F2024">
        <v>0</v>
      </c>
      <c r="G2024">
        <v>0.41800000000000004</v>
      </c>
      <c r="H2024">
        <v>1.482</v>
      </c>
      <c r="I2024" s="3" t="s">
        <v>8756</v>
      </c>
    </row>
    <row r="2025" spans="1:9" x14ac:dyDescent="0.35">
      <c r="A2025" s="3" t="s">
        <v>10735</v>
      </c>
      <c r="B2025" s="3" t="s">
        <v>4342</v>
      </c>
      <c r="C2025" s="3" t="s">
        <v>4343</v>
      </c>
      <c r="D2025">
        <v>109</v>
      </c>
      <c r="E2025" s="6">
        <v>45866</v>
      </c>
      <c r="F2025">
        <v>50</v>
      </c>
      <c r="G2025">
        <v>1.3640000000000001</v>
      </c>
      <c r="H2025">
        <v>0.83600000000000008</v>
      </c>
      <c r="I2025" s="3" t="s">
        <v>8729</v>
      </c>
    </row>
    <row r="2026" spans="1:9" x14ac:dyDescent="0.35">
      <c r="A2026" s="3" t="s">
        <v>9462</v>
      </c>
      <c r="B2026" s="3" t="s">
        <v>1637</v>
      </c>
      <c r="C2026" s="3" t="s">
        <v>1638</v>
      </c>
      <c r="D2026">
        <v>6102</v>
      </c>
      <c r="E2026" s="6">
        <v>39873</v>
      </c>
      <c r="F2026">
        <v>0</v>
      </c>
      <c r="G2026">
        <v>83.3</v>
      </c>
      <c r="H2026">
        <v>1.7</v>
      </c>
      <c r="I2026" s="3" t="s">
        <v>8699</v>
      </c>
    </row>
    <row r="2027" spans="1:9" x14ac:dyDescent="0.35">
      <c r="A2027" s="3" t="s">
        <v>9479</v>
      </c>
      <c r="B2027" s="3" t="s">
        <v>1671</v>
      </c>
      <c r="C2027" s="3" t="s">
        <v>1672</v>
      </c>
      <c r="D2027">
        <v>6102</v>
      </c>
      <c r="E2027" s="6">
        <v>39873</v>
      </c>
      <c r="F2027">
        <v>0</v>
      </c>
      <c r="G2027">
        <v>43.956000000000003</v>
      </c>
      <c r="H2027">
        <v>0.44400000000000001</v>
      </c>
      <c r="I2027" s="3" t="s">
        <v>8699</v>
      </c>
    </row>
    <row r="2028" spans="1:9" x14ac:dyDescent="0.35">
      <c r="A2028" s="3" t="s">
        <v>9522</v>
      </c>
      <c r="B2028" s="3" t="s">
        <v>1758</v>
      </c>
      <c r="C2028" s="3" t="s">
        <v>1759</v>
      </c>
      <c r="D2028">
        <v>6102</v>
      </c>
      <c r="E2028" s="6">
        <v>39873</v>
      </c>
      <c r="F2028">
        <v>0</v>
      </c>
      <c r="G2028">
        <v>1E-3</v>
      </c>
      <c r="H2028">
        <v>0.26900000000000002</v>
      </c>
      <c r="I2028" s="3" t="s">
        <v>8699</v>
      </c>
    </row>
    <row r="2029" spans="1:9" x14ac:dyDescent="0.35">
      <c r="A2029" s="3" t="s">
        <v>10739</v>
      </c>
      <c r="B2029" s="3" t="s">
        <v>4351</v>
      </c>
      <c r="C2029" s="3" t="s">
        <v>4352</v>
      </c>
      <c r="D2029">
        <v>955</v>
      </c>
      <c r="E2029" s="6">
        <v>45020</v>
      </c>
      <c r="F2029">
        <v>0</v>
      </c>
      <c r="G2029">
        <v>0</v>
      </c>
      <c r="H2029">
        <v>0</v>
      </c>
      <c r="I2029" s="3" t="s">
        <v>28</v>
      </c>
    </row>
    <row r="2030" spans="1:9" x14ac:dyDescent="0.35">
      <c r="A2030" s="3" t="s">
        <v>9625</v>
      </c>
      <c r="B2030" s="3" t="s">
        <v>1981</v>
      </c>
      <c r="C2030" s="3" t="s">
        <v>1982</v>
      </c>
      <c r="D2030">
        <v>6102</v>
      </c>
      <c r="E2030" s="6">
        <v>39873</v>
      </c>
      <c r="F2030">
        <v>0</v>
      </c>
      <c r="G2030">
        <v>3.2000000000000001E-2</v>
      </c>
      <c r="H2030">
        <v>0.11800000000000001</v>
      </c>
      <c r="I2030" s="3" t="s">
        <v>8699</v>
      </c>
    </row>
    <row r="2031" spans="1:9" x14ac:dyDescent="0.35">
      <c r="A2031" s="3" t="s">
        <v>9783</v>
      </c>
      <c r="B2031" s="3" t="s">
        <v>2315</v>
      </c>
      <c r="C2031" s="3" t="s">
        <v>2316</v>
      </c>
      <c r="D2031">
        <v>6102</v>
      </c>
      <c r="E2031" s="6">
        <v>39873</v>
      </c>
      <c r="F2031">
        <v>0</v>
      </c>
      <c r="G2031">
        <v>2.9000000000000001E-2</v>
      </c>
      <c r="H2031">
        <v>0.26100000000000001</v>
      </c>
      <c r="I2031" s="3" t="s">
        <v>8699</v>
      </c>
    </row>
    <row r="2032" spans="1:9" x14ac:dyDescent="0.35">
      <c r="A2032" s="3" t="s">
        <v>10742</v>
      </c>
      <c r="B2032" s="3" t="s">
        <v>4357</v>
      </c>
      <c r="C2032" s="3" t="s">
        <v>4358</v>
      </c>
      <c r="D2032">
        <v>200</v>
      </c>
      <c r="E2032" s="6">
        <v>45775</v>
      </c>
      <c r="F2032">
        <v>0</v>
      </c>
      <c r="G2032">
        <v>1.92</v>
      </c>
      <c r="H2032">
        <v>1.28</v>
      </c>
      <c r="I2032" s="3" t="s">
        <v>8701</v>
      </c>
    </row>
    <row r="2033" spans="1:9" x14ac:dyDescent="0.35">
      <c r="A2033" s="3" t="s">
        <v>9949</v>
      </c>
      <c r="B2033" s="3" t="s">
        <v>2676</v>
      </c>
      <c r="C2033" s="3" t="s">
        <v>2677</v>
      </c>
      <c r="D2033">
        <v>6102</v>
      </c>
      <c r="E2033" s="6">
        <v>39873</v>
      </c>
      <c r="F2033">
        <v>0</v>
      </c>
      <c r="G2033">
        <v>1.44</v>
      </c>
      <c r="H2033">
        <v>0.96</v>
      </c>
      <c r="I2033" s="3" t="s">
        <v>8699</v>
      </c>
    </row>
    <row r="2034" spans="1:9" x14ac:dyDescent="0.35">
      <c r="A2034" s="3" t="s">
        <v>10094</v>
      </c>
      <c r="B2034" s="3" t="s">
        <v>2986</v>
      </c>
      <c r="C2034" s="3" t="s">
        <v>2987</v>
      </c>
      <c r="D2034">
        <v>6102</v>
      </c>
      <c r="E2034" s="6">
        <v>39873</v>
      </c>
      <c r="F2034">
        <v>0</v>
      </c>
      <c r="G2034">
        <v>3.2000000000000001E-2</v>
      </c>
      <c r="H2034">
        <v>0.11800000000000001</v>
      </c>
      <c r="I2034" s="3" t="s">
        <v>8699</v>
      </c>
    </row>
    <row r="2035" spans="1:9" x14ac:dyDescent="0.35">
      <c r="A2035" s="3" t="s">
        <v>10745</v>
      </c>
      <c r="B2035" s="3" t="s">
        <v>4363</v>
      </c>
      <c r="C2035" s="3" t="s">
        <v>4364</v>
      </c>
      <c r="D2035">
        <v>140</v>
      </c>
      <c r="E2035" s="6">
        <v>45835</v>
      </c>
      <c r="F2035">
        <v>0</v>
      </c>
      <c r="G2035">
        <v>32.980000000000004</v>
      </c>
      <c r="H2035">
        <v>1.02</v>
      </c>
      <c r="I2035" s="3" t="s">
        <v>8756</v>
      </c>
    </row>
    <row r="2036" spans="1:9" x14ac:dyDescent="0.35">
      <c r="A2036" s="3" t="s">
        <v>10746</v>
      </c>
      <c r="B2036" s="3" t="s">
        <v>4365</v>
      </c>
      <c r="C2036" s="3" t="s">
        <v>4366</v>
      </c>
      <c r="D2036">
        <v>25</v>
      </c>
      <c r="E2036" s="6">
        <v>45950</v>
      </c>
      <c r="F2036">
        <v>0</v>
      </c>
      <c r="G2036">
        <v>10.35</v>
      </c>
      <c r="H2036">
        <v>1.1500000000000001</v>
      </c>
      <c r="I2036" s="3" t="s">
        <v>8701</v>
      </c>
    </row>
    <row r="2037" spans="1:9" x14ac:dyDescent="0.35">
      <c r="A2037" s="3" t="s">
        <v>10747</v>
      </c>
      <c r="B2037" s="3" t="s">
        <v>4367</v>
      </c>
      <c r="C2037" s="3" t="s">
        <v>4368</v>
      </c>
      <c r="D2037">
        <v>25</v>
      </c>
      <c r="E2037" s="6">
        <v>45950</v>
      </c>
      <c r="F2037">
        <v>0</v>
      </c>
      <c r="G2037">
        <v>49.68</v>
      </c>
      <c r="H2037">
        <v>4.32</v>
      </c>
      <c r="I2037" s="3" t="s">
        <v>8701</v>
      </c>
    </row>
    <row r="2038" spans="1:9" x14ac:dyDescent="0.35">
      <c r="A2038" s="3" t="s">
        <v>10748</v>
      </c>
      <c r="B2038" s="3" t="s">
        <v>4369</v>
      </c>
      <c r="C2038" s="3" t="s">
        <v>4370</v>
      </c>
      <c r="D2038">
        <v>23</v>
      </c>
      <c r="E2038" s="6">
        <v>45952</v>
      </c>
      <c r="F2038">
        <v>0</v>
      </c>
      <c r="G2038">
        <v>59.1</v>
      </c>
      <c r="H2038">
        <v>0.9</v>
      </c>
      <c r="I2038" s="3" t="s">
        <v>8701</v>
      </c>
    </row>
    <row r="2039" spans="1:9" x14ac:dyDescent="0.35">
      <c r="A2039" s="3" t="s">
        <v>10104</v>
      </c>
      <c r="B2039" s="3" t="s">
        <v>3009</v>
      </c>
      <c r="C2039" s="3" t="s">
        <v>3010</v>
      </c>
      <c r="D2039">
        <v>6102</v>
      </c>
      <c r="E2039" s="6">
        <v>39873</v>
      </c>
      <c r="F2039">
        <v>0</v>
      </c>
      <c r="G2039">
        <v>0.05</v>
      </c>
      <c r="H2039">
        <v>0.34</v>
      </c>
      <c r="I2039" s="3" t="s">
        <v>8699</v>
      </c>
    </row>
    <row r="2040" spans="1:9" x14ac:dyDescent="0.35">
      <c r="A2040" s="3" t="s">
        <v>10750</v>
      </c>
      <c r="B2040" s="3" t="s">
        <v>4373</v>
      </c>
      <c r="C2040" s="3" t="s">
        <v>4374</v>
      </c>
      <c r="D2040">
        <v>24</v>
      </c>
      <c r="E2040" s="6">
        <v>45951</v>
      </c>
      <c r="F2040">
        <v>0</v>
      </c>
      <c r="G2040">
        <v>104.646</v>
      </c>
      <c r="H2040">
        <v>2.3540000000000001</v>
      </c>
      <c r="I2040" s="3" t="s">
        <v>8701</v>
      </c>
    </row>
    <row r="2041" spans="1:9" x14ac:dyDescent="0.35">
      <c r="A2041" s="3" t="s">
        <v>10111</v>
      </c>
      <c r="B2041" s="3" t="s">
        <v>3025</v>
      </c>
      <c r="C2041" s="3" t="s">
        <v>3026</v>
      </c>
      <c r="D2041">
        <v>6102</v>
      </c>
      <c r="E2041" s="6">
        <v>39873</v>
      </c>
      <c r="F2041">
        <v>0</v>
      </c>
      <c r="G2041">
        <v>1.9720000000000002</v>
      </c>
      <c r="H2041">
        <v>0.92800000000000005</v>
      </c>
      <c r="I2041" s="3" t="s">
        <v>8699</v>
      </c>
    </row>
    <row r="2042" spans="1:9" x14ac:dyDescent="0.35">
      <c r="A2042" s="3" t="s">
        <v>10471</v>
      </c>
      <c r="B2042" s="3" t="s">
        <v>3786</v>
      </c>
      <c r="C2042" s="3" t="s">
        <v>3787</v>
      </c>
      <c r="D2042">
        <v>6102</v>
      </c>
      <c r="E2042" s="6">
        <v>39873</v>
      </c>
      <c r="F2042">
        <v>0</v>
      </c>
      <c r="G2042">
        <v>5.1000000000000004E-2</v>
      </c>
      <c r="H2042">
        <v>0.33900000000000002</v>
      </c>
      <c r="I2042" s="3" t="s">
        <v>8699</v>
      </c>
    </row>
    <row r="2043" spans="1:9" x14ac:dyDescent="0.35">
      <c r="A2043" s="3" t="s">
        <v>10753</v>
      </c>
      <c r="B2043" s="3" t="s">
        <v>4380</v>
      </c>
      <c r="C2043" s="3" t="s">
        <v>4381</v>
      </c>
      <c r="D2043">
        <v>23</v>
      </c>
      <c r="E2043" s="6">
        <v>45952</v>
      </c>
      <c r="F2043">
        <v>0</v>
      </c>
      <c r="G2043">
        <v>16.2</v>
      </c>
      <c r="H2043">
        <v>1.8</v>
      </c>
      <c r="I2043" s="3" t="s">
        <v>8701</v>
      </c>
    </row>
    <row r="2044" spans="1:9" x14ac:dyDescent="0.35">
      <c r="A2044" s="3" t="s">
        <v>10571</v>
      </c>
      <c r="B2044" s="3" t="s">
        <v>3997</v>
      </c>
      <c r="C2044" s="3" t="s">
        <v>3998</v>
      </c>
      <c r="D2044">
        <v>6102</v>
      </c>
      <c r="E2044" s="6">
        <v>39873</v>
      </c>
      <c r="F2044">
        <v>0</v>
      </c>
      <c r="G2044">
        <v>0.01</v>
      </c>
      <c r="H2044">
        <v>0.09</v>
      </c>
      <c r="I2044" s="3" t="s">
        <v>8699</v>
      </c>
    </row>
    <row r="2045" spans="1:9" x14ac:dyDescent="0.35">
      <c r="A2045" s="3" t="s">
        <v>10646</v>
      </c>
      <c r="B2045" s="3" t="s">
        <v>4153</v>
      </c>
      <c r="C2045" s="3" t="s">
        <v>4154</v>
      </c>
      <c r="D2045">
        <v>6102</v>
      </c>
      <c r="E2045" s="6">
        <v>39873</v>
      </c>
      <c r="F2045">
        <v>0</v>
      </c>
      <c r="G2045">
        <v>7.92</v>
      </c>
      <c r="H2045">
        <v>0.08</v>
      </c>
      <c r="I2045" s="3" t="s">
        <v>8699</v>
      </c>
    </row>
    <row r="2046" spans="1:9" x14ac:dyDescent="0.35">
      <c r="A2046" s="3" t="s">
        <v>10756</v>
      </c>
      <c r="B2046" s="3" t="s">
        <v>4386</v>
      </c>
      <c r="C2046" s="3" t="s">
        <v>4387</v>
      </c>
      <c r="D2046">
        <v>47</v>
      </c>
      <c r="E2046" s="6">
        <v>45928</v>
      </c>
      <c r="F2046">
        <v>7</v>
      </c>
      <c r="G2046">
        <v>25.245000000000001</v>
      </c>
      <c r="H2046">
        <v>0.255</v>
      </c>
      <c r="I2046" s="3" t="s">
        <v>8701</v>
      </c>
    </row>
    <row r="2047" spans="1:9" x14ac:dyDescent="0.35">
      <c r="A2047" s="3" t="s">
        <v>10757</v>
      </c>
      <c r="B2047" s="3" t="s">
        <v>4389</v>
      </c>
      <c r="C2047" s="3" t="s">
        <v>4390</v>
      </c>
      <c r="D2047">
        <v>46</v>
      </c>
      <c r="E2047" s="6">
        <v>45929</v>
      </c>
      <c r="F2047">
        <v>0</v>
      </c>
      <c r="G2047">
        <v>22.161000000000001</v>
      </c>
      <c r="H2047">
        <v>2.7390000000000003</v>
      </c>
      <c r="I2047" s="3" t="s">
        <v>8701</v>
      </c>
    </row>
    <row r="2048" spans="1:9" x14ac:dyDescent="0.35">
      <c r="A2048" s="3" t="s">
        <v>10661</v>
      </c>
      <c r="B2048" s="3" t="s">
        <v>4183</v>
      </c>
      <c r="C2048" s="3" t="s">
        <v>4184</v>
      </c>
      <c r="D2048">
        <v>6102</v>
      </c>
      <c r="E2048" s="6">
        <v>39873</v>
      </c>
      <c r="F2048">
        <v>0</v>
      </c>
      <c r="G2048">
        <v>0.01</v>
      </c>
      <c r="H2048">
        <v>0.1</v>
      </c>
      <c r="I2048" s="3" t="s">
        <v>8699</v>
      </c>
    </row>
    <row r="2049" spans="1:9" x14ac:dyDescent="0.35">
      <c r="A2049" s="3" t="s">
        <v>10761</v>
      </c>
      <c r="B2049" s="3" t="s">
        <v>4399</v>
      </c>
      <c r="C2049" s="3" t="s">
        <v>4400</v>
      </c>
      <c r="D2049">
        <v>6102</v>
      </c>
      <c r="E2049" s="6">
        <v>39873</v>
      </c>
      <c r="F2049">
        <v>0</v>
      </c>
      <c r="G2049">
        <v>0.01</v>
      </c>
      <c r="H2049">
        <v>0.24</v>
      </c>
      <c r="I2049" s="3" t="s">
        <v>8699</v>
      </c>
    </row>
    <row r="2050" spans="1:9" x14ac:dyDescent="0.35">
      <c r="A2050" s="3" t="s">
        <v>10760</v>
      </c>
      <c r="B2050" s="3" t="s">
        <v>4397</v>
      </c>
      <c r="C2050" s="3" t="s">
        <v>4398</v>
      </c>
      <c r="D2050">
        <v>47</v>
      </c>
      <c r="E2050" s="6">
        <v>45928</v>
      </c>
      <c r="F2050">
        <v>7</v>
      </c>
      <c r="G2050">
        <v>4.048</v>
      </c>
      <c r="H2050">
        <v>0.55200000000000005</v>
      </c>
      <c r="I2050" s="3" t="s">
        <v>8756</v>
      </c>
    </row>
    <row r="2051" spans="1:9" x14ac:dyDescent="0.35">
      <c r="A2051" s="3" t="s">
        <v>10791</v>
      </c>
      <c r="B2051" s="3" t="s">
        <v>4460</v>
      </c>
      <c r="C2051" s="3" t="s">
        <v>4461</v>
      </c>
      <c r="D2051">
        <v>6102</v>
      </c>
      <c r="E2051" s="6">
        <v>39873</v>
      </c>
      <c r="F2051">
        <v>0</v>
      </c>
      <c r="G2051">
        <v>3.1E-2</v>
      </c>
      <c r="H2051">
        <v>0.22900000000000001</v>
      </c>
      <c r="I2051" s="3" t="s">
        <v>8699</v>
      </c>
    </row>
    <row r="2052" spans="1:9" x14ac:dyDescent="0.35">
      <c r="A2052" s="3" t="s">
        <v>10762</v>
      </c>
      <c r="B2052" s="3" t="s">
        <v>4401</v>
      </c>
      <c r="C2052" s="3" t="s">
        <v>4402</v>
      </c>
      <c r="D2052">
        <v>58</v>
      </c>
      <c r="E2052" s="6">
        <v>45917</v>
      </c>
      <c r="F2052">
        <v>0</v>
      </c>
      <c r="G2052">
        <v>0.15</v>
      </c>
      <c r="H2052">
        <v>1.35</v>
      </c>
      <c r="I2052" s="3" t="s">
        <v>8756</v>
      </c>
    </row>
    <row r="2053" spans="1:9" x14ac:dyDescent="0.35">
      <c r="A2053" s="3" t="s">
        <v>10939</v>
      </c>
      <c r="B2053" s="3" t="s">
        <v>4766</v>
      </c>
      <c r="C2053" s="3" t="s">
        <v>4767</v>
      </c>
      <c r="D2053">
        <v>6102</v>
      </c>
      <c r="E2053" s="6">
        <v>39873</v>
      </c>
      <c r="F2053">
        <v>0</v>
      </c>
      <c r="G2053">
        <v>0.01</v>
      </c>
      <c r="H2053">
        <v>0.25</v>
      </c>
      <c r="I2053" s="3" t="s">
        <v>8699</v>
      </c>
    </row>
    <row r="2054" spans="1:9" x14ac:dyDescent="0.35">
      <c r="A2054" s="3" t="s">
        <v>10764</v>
      </c>
      <c r="B2054" s="3" t="s">
        <v>4405</v>
      </c>
      <c r="C2054" s="3" t="s">
        <v>4406</v>
      </c>
      <c r="D2054">
        <v>25</v>
      </c>
      <c r="E2054" s="6">
        <v>45950</v>
      </c>
      <c r="F2054">
        <v>100</v>
      </c>
      <c r="G2054">
        <v>4.74</v>
      </c>
      <c r="H2054">
        <v>1.26</v>
      </c>
      <c r="I2054" s="3" t="s">
        <v>8701</v>
      </c>
    </row>
    <row r="2055" spans="1:9" x14ac:dyDescent="0.35">
      <c r="A2055" s="3" t="s">
        <v>10765</v>
      </c>
      <c r="B2055" s="3" t="s">
        <v>4407</v>
      </c>
      <c r="C2055" s="3" t="s">
        <v>4408</v>
      </c>
      <c r="D2055">
        <v>6527</v>
      </c>
      <c r="E2055" s="6">
        <v>39448</v>
      </c>
      <c r="F2055">
        <v>0</v>
      </c>
      <c r="G2055">
        <v>0</v>
      </c>
      <c r="H2055">
        <v>0</v>
      </c>
      <c r="I2055" s="3" t="s">
        <v>28</v>
      </c>
    </row>
    <row r="2056" spans="1:9" x14ac:dyDescent="0.35">
      <c r="A2056" s="3" t="s">
        <v>10766</v>
      </c>
      <c r="B2056" s="3" t="s">
        <v>4409</v>
      </c>
      <c r="C2056" s="3" t="s">
        <v>4410</v>
      </c>
      <c r="D2056">
        <v>323</v>
      </c>
      <c r="E2056" s="6">
        <v>45652</v>
      </c>
      <c r="F2056">
        <v>0</v>
      </c>
      <c r="G2056">
        <v>0.01</v>
      </c>
      <c r="H2056">
        <v>0.18</v>
      </c>
      <c r="I2056" s="3" t="s">
        <v>8712</v>
      </c>
    </row>
    <row r="2057" spans="1:9" x14ac:dyDescent="0.35">
      <c r="A2057" s="3" t="s">
        <v>10767</v>
      </c>
      <c r="B2057" s="3" t="s">
        <v>4411</v>
      </c>
      <c r="C2057" s="3" t="s">
        <v>4412</v>
      </c>
      <c r="D2057">
        <v>5833</v>
      </c>
      <c r="E2057" s="6">
        <v>40142</v>
      </c>
      <c r="F2057">
        <v>0</v>
      </c>
      <c r="G2057">
        <v>0</v>
      </c>
      <c r="H2057">
        <v>0</v>
      </c>
      <c r="I2057" s="3" t="s">
        <v>28</v>
      </c>
    </row>
    <row r="2058" spans="1:9" x14ac:dyDescent="0.35">
      <c r="A2058" s="3" t="s">
        <v>10768</v>
      </c>
      <c r="B2058" s="3" t="s">
        <v>4413</v>
      </c>
      <c r="C2058" s="3" t="s">
        <v>4414</v>
      </c>
      <c r="D2058">
        <v>22</v>
      </c>
      <c r="E2058" s="6">
        <v>45953</v>
      </c>
      <c r="F2058">
        <v>250</v>
      </c>
      <c r="G2058">
        <v>60.578000000000003</v>
      </c>
      <c r="H2058">
        <v>0.92200000000000004</v>
      </c>
      <c r="I2058" s="3" t="s">
        <v>8701</v>
      </c>
    </row>
    <row r="2059" spans="1:9" x14ac:dyDescent="0.35">
      <c r="A2059" s="3" t="s">
        <v>10769</v>
      </c>
      <c r="B2059" s="3" t="s">
        <v>4415</v>
      </c>
      <c r="C2059" s="3" t="s">
        <v>4416</v>
      </c>
      <c r="D2059">
        <v>30</v>
      </c>
      <c r="E2059" s="6">
        <v>45945</v>
      </c>
      <c r="F2059">
        <v>0</v>
      </c>
      <c r="G2059">
        <v>21.78</v>
      </c>
      <c r="H2059">
        <v>0.22</v>
      </c>
      <c r="I2059" s="3" t="s">
        <v>8701</v>
      </c>
    </row>
    <row r="2060" spans="1:9" x14ac:dyDescent="0.35">
      <c r="A2060" s="3" t="s">
        <v>10770</v>
      </c>
      <c r="B2060" s="3" t="s">
        <v>4417</v>
      </c>
      <c r="C2060" s="3" t="s">
        <v>4418</v>
      </c>
      <c r="D2060">
        <v>955</v>
      </c>
      <c r="E2060" s="6">
        <v>45020</v>
      </c>
      <c r="F2060">
        <v>0</v>
      </c>
      <c r="G2060">
        <v>0</v>
      </c>
      <c r="H2060">
        <v>0</v>
      </c>
      <c r="I2060" s="3" t="s">
        <v>28</v>
      </c>
    </row>
    <row r="2061" spans="1:9" x14ac:dyDescent="0.35">
      <c r="A2061" s="3" t="s">
        <v>11235</v>
      </c>
      <c r="B2061" s="3" t="s">
        <v>5399</v>
      </c>
      <c r="C2061" s="3" t="s">
        <v>5400</v>
      </c>
      <c r="D2061">
        <v>6102</v>
      </c>
      <c r="E2061" s="6">
        <v>39873</v>
      </c>
      <c r="F2061">
        <v>0</v>
      </c>
      <c r="G2061">
        <v>0.03</v>
      </c>
      <c r="H2061">
        <v>0.24</v>
      </c>
      <c r="I2061" s="3" t="s">
        <v>8699</v>
      </c>
    </row>
    <row r="2062" spans="1:9" x14ac:dyDescent="0.35">
      <c r="A2062" s="3" t="s">
        <v>9535</v>
      </c>
      <c r="B2062" s="3" t="s">
        <v>1786</v>
      </c>
      <c r="C2062" s="3" t="s">
        <v>1787</v>
      </c>
      <c r="D2062">
        <v>6104</v>
      </c>
      <c r="E2062" s="6">
        <v>39871</v>
      </c>
      <c r="F2062">
        <v>0</v>
      </c>
      <c r="G2062">
        <v>0.3</v>
      </c>
      <c r="H2062">
        <v>0.70000000000000007</v>
      </c>
      <c r="I2062" s="3" t="s">
        <v>8699</v>
      </c>
    </row>
    <row r="2063" spans="1:9" x14ac:dyDescent="0.35">
      <c r="A2063" s="3" t="s">
        <v>10959</v>
      </c>
      <c r="B2063" s="3" t="s">
        <v>4812</v>
      </c>
      <c r="C2063" s="3" t="s">
        <v>4813</v>
      </c>
      <c r="D2063">
        <v>6104</v>
      </c>
      <c r="E2063" s="6">
        <v>39871</v>
      </c>
      <c r="F2063">
        <v>0</v>
      </c>
      <c r="G2063">
        <v>5.5200000000000005</v>
      </c>
      <c r="H2063">
        <v>0.48</v>
      </c>
      <c r="I2063" s="3" t="s">
        <v>8699</v>
      </c>
    </row>
    <row r="2064" spans="1:9" x14ac:dyDescent="0.35">
      <c r="A2064" s="3" t="s">
        <v>10774</v>
      </c>
      <c r="B2064" s="3" t="s">
        <v>4425</v>
      </c>
      <c r="C2064" s="3" t="s">
        <v>4426</v>
      </c>
      <c r="D2064">
        <v>46</v>
      </c>
      <c r="E2064" s="6">
        <v>45929</v>
      </c>
      <c r="F2064">
        <v>0</v>
      </c>
      <c r="G2064">
        <v>7.12</v>
      </c>
      <c r="H2064">
        <v>0.88</v>
      </c>
      <c r="I2064" s="3" t="s">
        <v>8701</v>
      </c>
    </row>
    <row r="2065" spans="1:9" x14ac:dyDescent="0.35">
      <c r="A2065" s="3" t="s">
        <v>10775</v>
      </c>
      <c r="B2065" s="3" t="s">
        <v>4427</v>
      </c>
      <c r="C2065" s="3" t="s">
        <v>4428</v>
      </c>
      <c r="D2065">
        <v>49</v>
      </c>
      <c r="E2065" s="6">
        <v>45926</v>
      </c>
      <c r="F2065">
        <v>0</v>
      </c>
      <c r="G2065">
        <v>2.6950000000000003</v>
      </c>
      <c r="H2065">
        <v>0.80500000000000005</v>
      </c>
      <c r="I2065" s="3" t="s">
        <v>8701</v>
      </c>
    </row>
    <row r="2066" spans="1:9" x14ac:dyDescent="0.35">
      <c r="A2066" s="3" t="s">
        <v>10776</v>
      </c>
      <c r="B2066" s="3" t="s">
        <v>4429</v>
      </c>
      <c r="C2066" s="3" t="s">
        <v>4430</v>
      </c>
      <c r="D2066">
        <v>287</v>
      </c>
      <c r="E2066" s="6">
        <v>45688</v>
      </c>
      <c r="F2066">
        <v>0</v>
      </c>
      <c r="G2066">
        <v>9.0000000000000011E-3</v>
      </c>
      <c r="H2066">
        <v>0.191</v>
      </c>
      <c r="I2066" s="3" t="s">
        <v>8712</v>
      </c>
    </row>
    <row r="2067" spans="1:9" x14ac:dyDescent="0.35">
      <c r="A2067" s="3" t="s">
        <v>9103</v>
      </c>
      <c r="B2067" s="3" t="s">
        <v>887</v>
      </c>
      <c r="C2067" s="3" t="s">
        <v>888</v>
      </c>
      <c r="D2067">
        <v>6161</v>
      </c>
      <c r="E2067" s="6">
        <v>39814</v>
      </c>
      <c r="F2067">
        <v>100</v>
      </c>
      <c r="G2067">
        <v>0.19</v>
      </c>
      <c r="H2067">
        <v>0.81</v>
      </c>
      <c r="I2067" s="3" t="s">
        <v>8699</v>
      </c>
    </row>
    <row r="2068" spans="1:9" x14ac:dyDescent="0.35">
      <c r="A2068" s="3" t="s">
        <v>10778</v>
      </c>
      <c r="B2068" s="3" t="s">
        <v>4433</v>
      </c>
      <c r="C2068" s="3" t="s">
        <v>4434</v>
      </c>
      <c r="D2068">
        <v>156</v>
      </c>
      <c r="E2068" s="6">
        <v>45819</v>
      </c>
      <c r="F2068">
        <v>100</v>
      </c>
      <c r="G2068">
        <v>5.2</v>
      </c>
      <c r="H2068">
        <v>1.3</v>
      </c>
      <c r="I2068" s="3" t="s">
        <v>8756</v>
      </c>
    </row>
    <row r="2069" spans="1:9" x14ac:dyDescent="0.35">
      <c r="A2069" s="3" t="s">
        <v>10779</v>
      </c>
      <c r="B2069" s="3" t="s">
        <v>4435</v>
      </c>
      <c r="C2069" s="3" t="s">
        <v>4436</v>
      </c>
      <c r="D2069">
        <v>120</v>
      </c>
      <c r="E2069" s="6">
        <v>45855</v>
      </c>
      <c r="F2069">
        <v>200</v>
      </c>
      <c r="G2069">
        <v>5.22</v>
      </c>
      <c r="H2069">
        <v>3.48</v>
      </c>
      <c r="I2069" s="3" t="s">
        <v>8729</v>
      </c>
    </row>
    <row r="2070" spans="1:9" x14ac:dyDescent="0.35">
      <c r="A2070" s="3" t="s">
        <v>9251</v>
      </c>
      <c r="B2070" s="3" t="s">
        <v>1196</v>
      </c>
      <c r="C2070" s="3" t="s">
        <v>1197</v>
      </c>
      <c r="D2070">
        <v>6161</v>
      </c>
      <c r="E2070" s="6">
        <v>39814</v>
      </c>
      <c r="F2070">
        <v>500</v>
      </c>
      <c r="G2070">
        <v>0.45</v>
      </c>
      <c r="H2070">
        <v>1.05</v>
      </c>
      <c r="I2070" s="3" t="s">
        <v>8699</v>
      </c>
    </row>
    <row r="2071" spans="1:9" x14ac:dyDescent="0.35">
      <c r="A2071" s="3" t="s">
        <v>9447</v>
      </c>
      <c r="B2071" s="3" t="s">
        <v>1604</v>
      </c>
      <c r="C2071" s="3" t="s">
        <v>1605</v>
      </c>
      <c r="D2071">
        <v>6161</v>
      </c>
      <c r="E2071" s="6">
        <v>39814</v>
      </c>
      <c r="F2071">
        <v>200</v>
      </c>
      <c r="G2071">
        <v>8.1</v>
      </c>
      <c r="H2071">
        <v>0.9</v>
      </c>
      <c r="I2071" s="3" t="s">
        <v>8699</v>
      </c>
    </row>
    <row r="2072" spans="1:9" x14ac:dyDescent="0.35">
      <c r="A2072" s="3" t="s">
        <v>10782</v>
      </c>
      <c r="B2072" s="3" t="s">
        <v>4441</v>
      </c>
      <c r="C2072" s="3" t="s">
        <v>4442</v>
      </c>
      <c r="D2072">
        <v>30</v>
      </c>
      <c r="E2072" s="6">
        <v>45945</v>
      </c>
      <c r="F2072">
        <v>0</v>
      </c>
      <c r="G2072">
        <v>51.22</v>
      </c>
      <c r="H2072">
        <v>0.78</v>
      </c>
      <c r="I2072" s="3" t="s">
        <v>8701</v>
      </c>
    </row>
    <row r="2073" spans="1:9" x14ac:dyDescent="0.35">
      <c r="A2073" s="3" t="s">
        <v>10783</v>
      </c>
      <c r="B2073" s="3" t="s">
        <v>4444</v>
      </c>
      <c r="C2073" s="3" t="s">
        <v>4445</v>
      </c>
      <c r="D2073">
        <v>24</v>
      </c>
      <c r="E2073" s="6">
        <v>45951</v>
      </c>
      <c r="F2073">
        <v>0</v>
      </c>
      <c r="G2073">
        <v>58.2</v>
      </c>
      <c r="H2073">
        <v>1.8</v>
      </c>
      <c r="I2073" s="3" t="s">
        <v>8705</v>
      </c>
    </row>
    <row r="2074" spans="1:9" x14ac:dyDescent="0.35">
      <c r="A2074" s="3" t="s">
        <v>10784</v>
      </c>
      <c r="B2074" s="3" t="s">
        <v>4446</v>
      </c>
      <c r="C2074" s="3" t="s">
        <v>4447</v>
      </c>
      <c r="D2074">
        <v>29</v>
      </c>
      <c r="E2074" s="6">
        <v>45946</v>
      </c>
      <c r="F2074">
        <v>0</v>
      </c>
      <c r="G2074">
        <v>49.47</v>
      </c>
      <c r="H2074">
        <v>1.53</v>
      </c>
      <c r="I2074" s="3" t="s">
        <v>8701</v>
      </c>
    </row>
    <row r="2075" spans="1:9" x14ac:dyDescent="0.35">
      <c r="A2075" s="3" t="s">
        <v>9704</v>
      </c>
      <c r="B2075" s="3" t="s">
        <v>2152</v>
      </c>
      <c r="C2075" s="3" t="s">
        <v>2153</v>
      </c>
      <c r="D2075">
        <v>6161</v>
      </c>
      <c r="E2075" s="6">
        <v>39814</v>
      </c>
      <c r="F2075">
        <v>200</v>
      </c>
      <c r="G2075">
        <v>1.68</v>
      </c>
      <c r="H2075">
        <v>0.42</v>
      </c>
      <c r="I2075" s="3" t="s">
        <v>8699</v>
      </c>
    </row>
    <row r="2076" spans="1:9" x14ac:dyDescent="0.35">
      <c r="A2076" s="3" t="s">
        <v>10786</v>
      </c>
      <c r="B2076" s="3" t="s">
        <v>4450</v>
      </c>
      <c r="C2076" s="3" t="s">
        <v>4451</v>
      </c>
      <c r="D2076">
        <v>21</v>
      </c>
      <c r="E2076" s="6">
        <v>45954</v>
      </c>
      <c r="F2076">
        <v>0</v>
      </c>
      <c r="G2076">
        <v>115.54100000000001</v>
      </c>
      <c r="H2076">
        <v>1.7590000000000001</v>
      </c>
      <c r="I2076" s="3" t="s">
        <v>8701</v>
      </c>
    </row>
    <row r="2077" spans="1:9" x14ac:dyDescent="0.35">
      <c r="A2077" s="3" t="s">
        <v>10096</v>
      </c>
      <c r="B2077" s="3" t="s">
        <v>2990</v>
      </c>
      <c r="C2077" s="3" t="s">
        <v>2991</v>
      </c>
      <c r="D2077">
        <v>6161</v>
      </c>
      <c r="E2077" s="6">
        <v>39814</v>
      </c>
      <c r="F2077">
        <v>0</v>
      </c>
      <c r="G2077">
        <v>58.014000000000003</v>
      </c>
      <c r="H2077">
        <v>0.58600000000000008</v>
      </c>
      <c r="I2077" s="3" t="s">
        <v>8699</v>
      </c>
    </row>
    <row r="2078" spans="1:9" x14ac:dyDescent="0.35">
      <c r="A2078" s="3" t="s">
        <v>10788</v>
      </c>
      <c r="B2078" s="3" t="s">
        <v>4454</v>
      </c>
      <c r="C2078" s="3" t="s">
        <v>4455</v>
      </c>
      <c r="D2078">
        <v>23</v>
      </c>
      <c r="E2078" s="6">
        <v>45952</v>
      </c>
      <c r="F2078">
        <v>0</v>
      </c>
      <c r="G2078">
        <v>2E-3</v>
      </c>
      <c r="H2078">
        <v>4.8000000000000001E-2</v>
      </c>
      <c r="I2078" s="3" t="s">
        <v>8712</v>
      </c>
    </row>
    <row r="2079" spans="1:9" x14ac:dyDescent="0.35">
      <c r="A2079" s="3" t="s">
        <v>11083</v>
      </c>
      <c r="B2079" s="3" t="s">
        <v>5080</v>
      </c>
      <c r="C2079" s="3" t="s">
        <v>5081</v>
      </c>
      <c r="D2079">
        <v>6161</v>
      </c>
      <c r="E2079" s="6">
        <v>39814</v>
      </c>
      <c r="F2079">
        <v>0</v>
      </c>
      <c r="G2079">
        <v>15.388</v>
      </c>
      <c r="H2079">
        <v>1.522</v>
      </c>
      <c r="I2079" s="3" t="s">
        <v>8699</v>
      </c>
    </row>
    <row r="2080" spans="1:9" x14ac:dyDescent="0.35">
      <c r="A2080" s="3" t="s">
        <v>10790</v>
      </c>
      <c r="B2080" s="3" t="s">
        <v>4458</v>
      </c>
      <c r="C2080" s="3" t="s">
        <v>4459</v>
      </c>
      <c r="D2080">
        <v>955</v>
      </c>
      <c r="E2080" s="6">
        <v>45020</v>
      </c>
      <c r="F2080">
        <v>0</v>
      </c>
      <c r="G2080">
        <v>0</v>
      </c>
      <c r="H2080">
        <v>0</v>
      </c>
      <c r="I2080" s="3" t="s">
        <v>28</v>
      </c>
    </row>
    <row r="2081" spans="1:9" x14ac:dyDescent="0.35">
      <c r="A2081" s="3" t="s">
        <v>9682</v>
      </c>
      <c r="B2081" s="3" t="s">
        <v>2106</v>
      </c>
      <c r="C2081" s="3" t="s">
        <v>2107</v>
      </c>
      <c r="D2081">
        <v>6192</v>
      </c>
      <c r="E2081" s="6">
        <v>39783</v>
      </c>
      <c r="F2081">
        <v>0</v>
      </c>
      <c r="G2081">
        <v>4.7170000000000005</v>
      </c>
      <c r="H2081">
        <v>0.64300000000000002</v>
      </c>
      <c r="I2081" s="3" t="s">
        <v>8699</v>
      </c>
    </row>
    <row r="2082" spans="1:9" x14ac:dyDescent="0.35">
      <c r="A2082" s="3" t="s">
        <v>10792</v>
      </c>
      <c r="B2082" s="3" t="s">
        <v>4462</v>
      </c>
      <c r="C2082" s="3" t="s">
        <v>4463</v>
      </c>
      <c r="D2082">
        <v>23</v>
      </c>
      <c r="E2082" s="6">
        <v>45952</v>
      </c>
      <c r="F2082">
        <v>0</v>
      </c>
      <c r="G2082">
        <v>48</v>
      </c>
      <c r="H2082">
        <v>2</v>
      </c>
      <c r="I2082" s="3" t="s">
        <v>8701</v>
      </c>
    </row>
    <row r="2083" spans="1:9" x14ac:dyDescent="0.35">
      <c r="A2083" s="3" t="s">
        <v>10793</v>
      </c>
      <c r="B2083" s="3" t="s">
        <v>4464</v>
      </c>
      <c r="C2083" s="3" t="s">
        <v>4465</v>
      </c>
      <c r="D2083">
        <v>955</v>
      </c>
      <c r="E2083" s="6">
        <v>45020</v>
      </c>
      <c r="F2083">
        <v>0</v>
      </c>
      <c r="G2083">
        <v>0</v>
      </c>
      <c r="H2083">
        <v>0</v>
      </c>
      <c r="I2083" s="3" t="s">
        <v>28</v>
      </c>
    </row>
    <row r="2084" spans="1:9" x14ac:dyDescent="0.35">
      <c r="A2084" s="3" t="s">
        <v>10794</v>
      </c>
      <c r="B2084" s="3" t="s">
        <v>4466</v>
      </c>
      <c r="C2084" s="3" t="s">
        <v>4467</v>
      </c>
      <c r="D2084">
        <v>163</v>
      </c>
      <c r="E2084" s="6">
        <v>45812</v>
      </c>
      <c r="F2084">
        <v>0</v>
      </c>
      <c r="G2084">
        <v>5.0000000000000001E-3</v>
      </c>
      <c r="H2084">
        <v>9.5000000000000001E-2</v>
      </c>
      <c r="I2084" s="3" t="s">
        <v>8712</v>
      </c>
    </row>
    <row r="2085" spans="1:9" x14ac:dyDescent="0.35">
      <c r="A2085" s="3" t="s">
        <v>10740</v>
      </c>
      <c r="B2085" s="3" t="s">
        <v>4353</v>
      </c>
      <c r="C2085" s="3" t="s">
        <v>4354</v>
      </c>
      <c r="D2085">
        <v>6192</v>
      </c>
      <c r="E2085" s="6">
        <v>39783</v>
      </c>
      <c r="F2085">
        <v>0</v>
      </c>
      <c r="G2085">
        <v>98.990000000000009</v>
      </c>
      <c r="H2085">
        <v>1</v>
      </c>
      <c r="I2085" s="3" t="s">
        <v>8699</v>
      </c>
    </row>
    <row r="2086" spans="1:9" x14ac:dyDescent="0.35">
      <c r="A2086" s="3" t="s">
        <v>10796</v>
      </c>
      <c r="B2086" s="3" t="s">
        <v>4470</v>
      </c>
      <c r="C2086" s="3" t="s">
        <v>4471</v>
      </c>
      <c r="D2086">
        <v>50</v>
      </c>
      <c r="E2086" s="6">
        <v>45925</v>
      </c>
      <c r="F2086">
        <v>100</v>
      </c>
      <c r="G2086">
        <v>0.66</v>
      </c>
      <c r="H2086">
        <v>0.54</v>
      </c>
      <c r="I2086" s="3" t="s">
        <v>8915</v>
      </c>
    </row>
    <row r="2087" spans="1:9" x14ac:dyDescent="0.35">
      <c r="A2087" s="3" t="s">
        <v>10859</v>
      </c>
      <c r="B2087" s="3" t="s">
        <v>4600</v>
      </c>
      <c r="C2087" s="3" t="s">
        <v>4601</v>
      </c>
      <c r="D2087">
        <v>6192</v>
      </c>
      <c r="E2087" s="6">
        <v>39783</v>
      </c>
      <c r="F2087">
        <v>0</v>
      </c>
      <c r="G2087">
        <v>2.97</v>
      </c>
      <c r="H2087">
        <v>0.03</v>
      </c>
      <c r="I2087" s="3" t="s">
        <v>8699</v>
      </c>
    </row>
    <row r="2088" spans="1:9" x14ac:dyDescent="0.35">
      <c r="A2088" s="3" t="s">
        <v>10798</v>
      </c>
      <c r="B2088" s="3" t="s">
        <v>4474</v>
      </c>
      <c r="C2088" s="3" t="s">
        <v>4475</v>
      </c>
      <c r="D2088">
        <v>29</v>
      </c>
      <c r="E2088" s="6">
        <v>45946</v>
      </c>
      <c r="F2088">
        <v>0</v>
      </c>
      <c r="G2088">
        <v>2.1</v>
      </c>
      <c r="H2088">
        <v>0.70000000000000007</v>
      </c>
      <c r="I2088" s="3" t="s">
        <v>8729</v>
      </c>
    </row>
    <row r="2089" spans="1:9" x14ac:dyDescent="0.35">
      <c r="A2089" s="3" t="s">
        <v>10799</v>
      </c>
      <c r="B2089" s="3" t="s">
        <v>4476</v>
      </c>
      <c r="C2089" s="3" t="s">
        <v>4477</v>
      </c>
      <c r="D2089">
        <v>303</v>
      </c>
      <c r="E2089" s="6">
        <v>45672</v>
      </c>
      <c r="F2089">
        <v>0</v>
      </c>
      <c r="G2089">
        <v>8.0000000000000002E-3</v>
      </c>
      <c r="H2089">
        <v>0.192</v>
      </c>
      <c r="I2089" s="3" t="s">
        <v>8712</v>
      </c>
    </row>
    <row r="2090" spans="1:9" x14ac:dyDescent="0.35">
      <c r="A2090" s="3" t="s">
        <v>10800</v>
      </c>
      <c r="B2090" s="3" t="s">
        <v>4478</v>
      </c>
      <c r="C2090" s="3" t="s">
        <v>4479</v>
      </c>
      <c r="D2090">
        <v>153</v>
      </c>
      <c r="E2090" s="6">
        <v>45822</v>
      </c>
      <c r="F2090">
        <v>100</v>
      </c>
      <c r="G2090">
        <v>0.85100000000000009</v>
      </c>
      <c r="H2090">
        <v>1.129</v>
      </c>
      <c r="I2090" s="3" t="s">
        <v>8756</v>
      </c>
    </row>
    <row r="2091" spans="1:9" x14ac:dyDescent="0.35">
      <c r="A2091" s="3" t="s">
        <v>10801</v>
      </c>
      <c r="B2091" s="3" t="s">
        <v>4480</v>
      </c>
      <c r="C2091" s="3" t="s">
        <v>4481</v>
      </c>
      <c r="D2091">
        <v>23</v>
      </c>
      <c r="E2091" s="6">
        <v>45952</v>
      </c>
      <c r="F2091">
        <v>0</v>
      </c>
      <c r="G2091">
        <v>22.32</v>
      </c>
      <c r="H2091">
        <v>1.68</v>
      </c>
      <c r="I2091" s="3" t="s">
        <v>8756</v>
      </c>
    </row>
    <row r="2092" spans="1:9" x14ac:dyDescent="0.35">
      <c r="A2092" s="3" t="s">
        <v>10802</v>
      </c>
      <c r="B2092" s="3" t="s">
        <v>4482</v>
      </c>
      <c r="C2092" s="3" t="s">
        <v>4483</v>
      </c>
      <c r="D2092">
        <v>59</v>
      </c>
      <c r="E2092" s="6">
        <v>45916</v>
      </c>
      <c r="F2092">
        <v>0</v>
      </c>
      <c r="G2092">
        <v>44.1</v>
      </c>
      <c r="H2092">
        <v>4.9000000000000004</v>
      </c>
      <c r="I2092" s="3" t="s">
        <v>8756</v>
      </c>
    </row>
    <row r="2093" spans="1:9" x14ac:dyDescent="0.35">
      <c r="A2093" s="3" t="s">
        <v>10803</v>
      </c>
      <c r="B2093" s="3" t="s">
        <v>4484</v>
      </c>
      <c r="C2093" s="3" t="s">
        <v>4485</v>
      </c>
      <c r="D2093">
        <v>287</v>
      </c>
      <c r="E2093" s="6">
        <v>45688</v>
      </c>
      <c r="F2093">
        <v>0</v>
      </c>
      <c r="G2093">
        <v>8.0000000000000002E-3</v>
      </c>
      <c r="H2093">
        <v>0.182</v>
      </c>
      <c r="I2093" s="3" t="s">
        <v>8712</v>
      </c>
    </row>
    <row r="2094" spans="1:9" x14ac:dyDescent="0.35">
      <c r="A2094" s="3" t="s">
        <v>10804</v>
      </c>
      <c r="B2094" s="3" t="s">
        <v>4486</v>
      </c>
      <c r="C2094" s="3" t="s">
        <v>4487</v>
      </c>
      <c r="D2094">
        <v>50</v>
      </c>
      <c r="E2094" s="6">
        <v>45925</v>
      </c>
      <c r="F2094">
        <v>500</v>
      </c>
      <c r="G2094">
        <v>27</v>
      </c>
      <c r="H2094">
        <v>3</v>
      </c>
      <c r="I2094" s="3" t="s">
        <v>8703</v>
      </c>
    </row>
    <row r="2095" spans="1:9" x14ac:dyDescent="0.35">
      <c r="A2095" s="3" t="s">
        <v>10805</v>
      </c>
      <c r="B2095" s="3" t="s">
        <v>4488</v>
      </c>
      <c r="C2095" s="3" t="s">
        <v>4489</v>
      </c>
      <c r="D2095">
        <v>30</v>
      </c>
      <c r="E2095" s="6">
        <v>45945</v>
      </c>
      <c r="F2095">
        <v>0</v>
      </c>
      <c r="G2095">
        <v>4.25</v>
      </c>
      <c r="H2095">
        <v>0.75</v>
      </c>
      <c r="I2095" s="3" t="s">
        <v>8703</v>
      </c>
    </row>
    <row r="2096" spans="1:9" x14ac:dyDescent="0.35">
      <c r="A2096" s="3" t="s">
        <v>9024</v>
      </c>
      <c r="B2096" s="3" t="s">
        <v>719</v>
      </c>
      <c r="C2096" s="3" t="s">
        <v>720</v>
      </c>
      <c r="D2096">
        <v>6199</v>
      </c>
      <c r="E2096" s="6">
        <v>39776</v>
      </c>
      <c r="F2096">
        <v>0</v>
      </c>
      <c r="G2096">
        <v>1.82</v>
      </c>
      <c r="H2096">
        <v>0.98</v>
      </c>
      <c r="I2096" s="3" t="s">
        <v>8699</v>
      </c>
    </row>
    <row r="2097" spans="1:9" x14ac:dyDescent="0.35">
      <c r="A2097" s="3" t="s">
        <v>10807</v>
      </c>
      <c r="B2097" s="3" t="s">
        <v>4492</v>
      </c>
      <c r="C2097" s="3" t="s">
        <v>4493</v>
      </c>
      <c r="D2097">
        <v>23</v>
      </c>
      <c r="E2097" s="6">
        <v>45952</v>
      </c>
      <c r="F2097">
        <v>0</v>
      </c>
      <c r="G2097">
        <v>5.0049999999999999</v>
      </c>
      <c r="H2097">
        <v>1.4950000000000001</v>
      </c>
      <c r="I2097" s="3" t="s">
        <v>8756</v>
      </c>
    </row>
    <row r="2098" spans="1:9" x14ac:dyDescent="0.35">
      <c r="A2098" s="3" t="s">
        <v>10808</v>
      </c>
      <c r="B2098" s="3" t="s">
        <v>4494</v>
      </c>
      <c r="C2098" s="3" t="s">
        <v>4495</v>
      </c>
      <c r="D2098">
        <v>0</v>
      </c>
      <c r="E2098" s="6">
        <v>45975</v>
      </c>
      <c r="F2098">
        <v>250</v>
      </c>
      <c r="G2098">
        <v>0.6</v>
      </c>
      <c r="H2098">
        <v>1.9000000000000001</v>
      </c>
      <c r="I2098" s="3" t="s">
        <v>8701</v>
      </c>
    </row>
    <row r="2099" spans="1:9" x14ac:dyDescent="0.35">
      <c r="A2099" s="3" t="s">
        <v>10809</v>
      </c>
      <c r="B2099" s="3" t="s">
        <v>4496</v>
      </c>
      <c r="C2099" s="3" t="s">
        <v>4497</v>
      </c>
      <c r="D2099">
        <v>53</v>
      </c>
      <c r="E2099" s="6">
        <v>45922</v>
      </c>
      <c r="F2099">
        <v>0</v>
      </c>
      <c r="G2099">
        <v>0.52</v>
      </c>
      <c r="H2099">
        <v>1.48</v>
      </c>
      <c r="I2099" s="3" t="s">
        <v>8701</v>
      </c>
    </row>
    <row r="2100" spans="1:9" x14ac:dyDescent="0.35">
      <c r="A2100" s="3" t="s">
        <v>10810</v>
      </c>
      <c r="B2100" s="3" t="s">
        <v>4499</v>
      </c>
      <c r="C2100" s="3" t="s">
        <v>4500</v>
      </c>
      <c r="D2100">
        <v>25</v>
      </c>
      <c r="E2100" s="6">
        <v>45950</v>
      </c>
      <c r="F2100">
        <v>300</v>
      </c>
      <c r="G2100">
        <v>17.29</v>
      </c>
      <c r="H2100">
        <v>1.71</v>
      </c>
      <c r="I2100" s="3" t="s">
        <v>8756</v>
      </c>
    </row>
    <row r="2101" spans="1:9" x14ac:dyDescent="0.35">
      <c r="A2101" s="3" t="s">
        <v>8778</v>
      </c>
      <c r="B2101" s="3" t="s">
        <v>192</v>
      </c>
      <c r="C2101" s="3" t="s">
        <v>193</v>
      </c>
      <c r="D2101">
        <v>6232</v>
      </c>
      <c r="E2101" s="6">
        <v>39743</v>
      </c>
      <c r="F2101">
        <v>0</v>
      </c>
      <c r="G2101">
        <v>34.300000000000004</v>
      </c>
      <c r="H2101">
        <v>0.70000000000000007</v>
      </c>
      <c r="I2101" s="3" t="s">
        <v>8699</v>
      </c>
    </row>
    <row r="2102" spans="1:9" x14ac:dyDescent="0.35">
      <c r="A2102" s="3" t="s">
        <v>10812</v>
      </c>
      <c r="B2102" s="3" t="s">
        <v>4504</v>
      </c>
      <c r="C2102" s="3" t="s">
        <v>4505</v>
      </c>
      <c r="D2102">
        <v>5114</v>
      </c>
      <c r="E2102" s="6">
        <v>40861</v>
      </c>
      <c r="F2102">
        <v>0</v>
      </c>
      <c r="G2102">
        <v>2E-3</v>
      </c>
      <c r="H2102">
        <v>0.108</v>
      </c>
      <c r="I2102" s="3" t="s">
        <v>8712</v>
      </c>
    </row>
    <row r="2103" spans="1:9" x14ac:dyDescent="0.35">
      <c r="A2103" s="3" t="s">
        <v>9151</v>
      </c>
      <c r="B2103" s="3" t="s">
        <v>984</v>
      </c>
      <c r="C2103" s="3" t="s">
        <v>985</v>
      </c>
      <c r="D2103">
        <v>6283</v>
      </c>
      <c r="E2103" s="6">
        <v>39692</v>
      </c>
      <c r="F2103">
        <v>0</v>
      </c>
      <c r="G2103">
        <v>0.1</v>
      </c>
      <c r="H2103">
        <v>0.9</v>
      </c>
      <c r="I2103" s="3" t="s">
        <v>8699</v>
      </c>
    </row>
    <row r="2104" spans="1:9" x14ac:dyDescent="0.35">
      <c r="A2104" s="3" t="s">
        <v>10814</v>
      </c>
      <c r="B2104" s="3" t="s">
        <v>4509</v>
      </c>
      <c r="C2104" s="3" t="s">
        <v>4510</v>
      </c>
      <c r="D2104">
        <v>3</v>
      </c>
      <c r="E2104" s="6">
        <v>45972</v>
      </c>
      <c r="F2104">
        <v>0</v>
      </c>
      <c r="G2104">
        <v>4.0999999999999996</v>
      </c>
      <c r="H2104">
        <v>0.9</v>
      </c>
      <c r="I2104" s="3" t="s">
        <v>8756</v>
      </c>
    </row>
    <row r="2105" spans="1:9" x14ac:dyDescent="0.35">
      <c r="A2105" s="3" t="s">
        <v>9492</v>
      </c>
      <c r="B2105" s="3" t="s">
        <v>1696</v>
      </c>
      <c r="C2105" s="3" t="s">
        <v>1697</v>
      </c>
      <c r="D2105">
        <v>6314</v>
      </c>
      <c r="E2105" s="6">
        <v>39661</v>
      </c>
      <c r="F2105">
        <v>0</v>
      </c>
      <c r="G2105">
        <v>1.1520000000000001</v>
      </c>
      <c r="H2105">
        <v>0.44800000000000001</v>
      </c>
      <c r="I2105" s="3" t="s">
        <v>8699</v>
      </c>
    </row>
    <row r="2106" spans="1:9" x14ac:dyDescent="0.35">
      <c r="A2106" s="3" t="s">
        <v>10816</v>
      </c>
      <c r="B2106" s="3" t="s">
        <v>4513</v>
      </c>
      <c r="C2106" s="3" t="s">
        <v>4514</v>
      </c>
      <c r="D2106">
        <v>2019</v>
      </c>
      <c r="E2106" s="6">
        <v>43956</v>
      </c>
      <c r="F2106">
        <v>0</v>
      </c>
      <c r="G2106">
        <v>3.0000000000000001E-3</v>
      </c>
      <c r="H2106">
        <v>4.7E-2</v>
      </c>
      <c r="I2106" s="3" t="s">
        <v>8712</v>
      </c>
    </row>
    <row r="2107" spans="1:9" x14ac:dyDescent="0.35">
      <c r="A2107" s="3" t="s">
        <v>9726</v>
      </c>
      <c r="B2107" s="3" t="s">
        <v>2200</v>
      </c>
      <c r="C2107" s="3" t="s">
        <v>2201</v>
      </c>
      <c r="D2107">
        <v>6315</v>
      </c>
      <c r="E2107" s="6">
        <v>39660</v>
      </c>
      <c r="F2107">
        <v>0</v>
      </c>
      <c r="G2107">
        <v>1.8</v>
      </c>
      <c r="H2107">
        <v>0.2</v>
      </c>
      <c r="I2107" s="3" t="s">
        <v>8699</v>
      </c>
    </row>
    <row r="2108" spans="1:9" x14ac:dyDescent="0.35">
      <c r="A2108" s="3" t="s">
        <v>11106</v>
      </c>
      <c r="B2108" s="3" t="s">
        <v>5127</v>
      </c>
      <c r="C2108" s="3" t="s">
        <v>5128</v>
      </c>
      <c r="D2108">
        <v>6315</v>
      </c>
      <c r="E2108" s="6">
        <v>39660</v>
      </c>
      <c r="F2108">
        <v>0</v>
      </c>
      <c r="G2108">
        <v>1.46</v>
      </c>
      <c r="H2108">
        <v>0.54</v>
      </c>
      <c r="I2108" s="3" t="s">
        <v>8699</v>
      </c>
    </row>
    <row r="2109" spans="1:9" x14ac:dyDescent="0.35">
      <c r="A2109" s="3" t="s">
        <v>10485</v>
      </c>
      <c r="B2109" s="3" t="s">
        <v>3819</v>
      </c>
      <c r="C2109" s="3" t="s">
        <v>3820</v>
      </c>
      <c r="D2109">
        <v>6337</v>
      </c>
      <c r="E2109" s="6">
        <v>39638</v>
      </c>
      <c r="F2109">
        <v>0</v>
      </c>
      <c r="G2109">
        <v>0.61199999999999999</v>
      </c>
      <c r="H2109">
        <v>0.58800000000000008</v>
      </c>
      <c r="I2109" s="3" t="s">
        <v>8699</v>
      </c>
    </row>
    <row r="2110" spans="1:9" x14ac:dyDescent="0.35">
      <c r="A2110" s="3" t="s">
        <v>10820</v>
      </c>
      <c r="B2110" s="3" t="s">
        <v>4521</v>
      </c>
      <c r="C2110" s="3" t="s">
        <v>4522</v>
      </c>
      <c r="D2110">
        <v>1</v>
      </c>
      <c r="E2110" s="6">
        <v>45974</v>
      </c>
      <c r="F2110">
        <v>100</v>
      </c>
      <c r="G2110">
        <v>1.145</v>
      </c>
      <c r="H2110">
        <v>0.51500000000000001</v>
      </c>
      <c r="I2110" s="3" t="s">
        <v>8701</v>
      </c>
    </row>
    <row r="2111" spans="1:9" x14ac:dyDescent="0.35">
      <c r="A2111" s="3" t="s">
        <v>10795</v>
      </c>
      <c r="B2111" s="3" t="s">
        <v>4468</v>
      </c>
      <c r="C2111" s="3" t="s">
        <v>4469</v>
      </c>
      <c r="D2111">
        <v>6345</v>
      </c>
      <c r="E2111" s="6">
        <v>39630</v>
      </c>
      <c r="F2111">
        <v>0</v>
      </c>
      <c r="G2111">
        <v>2.66</v>
      </c>
      <c r="H2111">
        <v>0.3</v>
      </c>
      <c r="I2111" s="3" t="s">
        <v>8699</v>
      </c>
    </row>
    <row r="2112" spans="1:9" x14ac:dyDescent="0.35">
      <c r="A2112" s="3" t="s">
        <v>10822</v>
      </c>
      <c r="B2112" s="3" t="s">
        <v>4525</v>
      </c>
      <c r="C2112" s="3" t="s">
        <v>4526</v>
      </c>
      <c r="D2112">
        <v>62</v>
      </c>
      <c r="E2112" s="6">
        <v>45913</v>
      </c>
      <c r="F2112">
        <v>0</v>
      </c>
      <c r="G2112">
        <v>14.57</v>
      </c>
      <c r="H2112">
        <v>0.93</v>
      </c>
      <c r="I2112" s="3" t="s">
        <v>8738</v>
      </c>
    </row>
    <row r="2113" spans="1:9" x14ac:dyDescent="0.35">
      <c r="A2113" s="3" t="s">
        <v>9490</v>
      </c>
      <c r="B2113" s="3" t="s">
        <v>1691</v>
      </c>
      <c r="C2113" s="3" t="s">
        <v>1692</v>
      </c>
      <c r="D2113">
        <v>6376</v>
      </c>
      <c r="E2113" s="6">
        <v>39599</v>
      </c>
      <c r="F2113">
        <v>200</v>
      </c>
      <c r="G2113">
        <v>0.10300000000000001</v>
      </c>
      <c r="H2113">
        <v>0.437</v>
      </c>
      <c r="I2113" s="3" t="s">
        <v>8699</v>
      </c>
    </row>
    <row r="2114" spans="1:9" x14ac:dyDescent="0.35">
      <c r="A2114" s="3" t="s">
        <v>9097</v>
      </c>
      <c r="B2114" s="3" t="s">
        <v>876</v>
      </c>
      <c r="C2114" s="3" t="s">
        <v>877</v>
      </c>
      <c r="D2114">
        <v>6468</v>
      </c>
      <c r="E2114" s="6">
        <v>39507</v>
      </c>
      <c r="F2114">
        <v>0</v>
      </c>
      <c r="G2114">
        <v>13.86</v>
      </c>
      <c r="H2114">
        <v>0.14000000000000001</v>
      </c>
      <c r="I2114" s="3" t="s">
        <v>8699</v>
      </c>
    </row>
    <row r="2115" spans="1:9" x14ac:dyDescent="0.35">
      <c r="A2115" s="3" t="s">
        <v>10825</v>
      </c>
      <c r="B2115" s="3" t="s">
        <v>4531</v>
      </c>
      <c r="C2115" s="3" t="s">
        <v>4532</v>
      </c>
      <c r="D2115">
        <v>88</v>
      </c>
      <c r="E2115" s="6">
        <v>45887</v>
      </c>
      <c r="F2115">
        <v>0</v>
      </c>
      <c r="G2115">
        <v>0.24200000000000002</v>
      </c>
      <c r="H2115">
        <v>0.90800000000000003</v>
      </c>
      <c r="I2115" s="3" t="s">
        <v>8756</v>
      </c>
    </row>
    <row r="2116" spans="1:9" x14ac:dyDescent="0.35">
      <c r="A2116" s="3" t="s">
        <v>10826</v>
      </c>
      <c r="B2116" s="3" t="s">
        <v>4533</v>
      </c>
      <c r="C2116" s="3" t="s">
        <v>4534</v>
      </c>
      <c r="D2116">
        <v>25</v>
      </c>
      <c r="E2116" s="6">
        <v>45950</v>
      </c>
      <c r="F2116">
        <v>0</v>
      </c>
      <c r="G2116">
        <v>36.480000000000004</v>
      </c>
      <c r="H2116">
        <v>1.52</v>
      </c>
      <c r="I2116" s="3" t="s">
        <v>8701</v>
      </c>
    </row>
    <row r="2117" spans="1:9" x14ac:dyDescent="0.35">
      <c r="A2117" s="3" t="s">
        <v>10827</v>
      </c>
      <c r="B2117" s="3" t="s">
        <v>4535</v>
      </c>
      <c r="C2117" s="3" t="s">
        <v>4536</v>
      </c>
      <c r="D2117">
        <v>89</v>
      </c>
      <c r="E2117" s="6">
        <v>45886</v>
      </c>
      <c r="F2117">
        <v>0</v>
      </c>
      <c r="G2117">
        <v>4.62</v>
      </c>
      <c r="H2117">
        <v>2.38</v>
      </c>
      <c r="I2117" s="3" t="s">
        <v>8756</v>
      </c>
    </row>
    <row r="2118" spans="1:9" x14ac:dyDescent="0.35">
      <c r="A2118" s="3" t="s">
        <v>10828</v>
      </c>
      <c r="B2118" s="3" t="s">
        <v>4537</v>
      </c>
      <c r="C2118" s="3" t="s">
        <v>4538</v>
      </c>
      <c r="D2118">
        <v>129</v>
      </c>
      <c r="E2118" s="6">
        <v>45846</v>
      </c>
      <c r="F2118">
        <v>100</v>
      </c>
      <c r="G2118">
        <v>34.96</v>
      </c>
      <c r="H2118">
        <v>3.04</v>
      </c>
      <c r="I2118" s="3" t="s">
        <v>8701</v>
      </c>
    </row>
    <row r="2119" spans="1:9" x14ac:dyDescent="0.35">
      <c r="A2119" s="3" t="s">
        <v>10992</v>
      </c>
      <c r="B2119" s="3" t="s">
        <v>4886</v>
      </c>
      <c r="C2119" s="3" t="s">
        <v>4887</v>
      </c>
      <c r="D2119">
        <v>6468</v>
      </c>
      <c r="E2119" s="6">
        <v>39507</v>
      </c>
      <c r="F2119">
        <v>100</v>
      </c>
      <c r="G2119">
        <v>0.44400000000000001</v>
      </c>
      <c r="H2119">
        <v>0.75600000000000001</v>
      </c>
      <c r="I2119" s="3" t="s">
        <v>8699</v>
      </c>
    </row>
    <row r="2120" spans="1:9" x14ac:dyDescent="0.35">
      <c r="A2120" s="3" t="s">
        <v>10830</v>
      </c>
      <c r="B2120" s="3" t="s">
        <v>4541</v>
      </c>
      <c r="C2120" s="3" t="s">
        <v>4542</v>
      </c>
      <c r="D2120">
        <v>156</v>
      </c>
      <c r="E2120" s="6">
        <v>45819</v>
      </c>
      <c r="F2120">
        <v>0</v>
      </c>
      <c r="G2120">
        <v>11.05</v>
      </c>
      <c r="H2120">
        <v>1.95</v>
      </c>
      <c r="I2120" s="3" t="s">
        <v>8756</v>
      </c>
    </row>
    <row r="2121" spans="1:9" x14ac:dyDescent="0.35">
      <c r="A2121" s="3" t="s">
        <v>10831</v>
      </c>
      <c r="B2121" s="3" t="s">
        <v>4543</v>
      </c>
      <c r="C2121" s="3" t="s">
        <v>4544</v>
      </c>
      <c r="D2121">
        <v>87</v>
      </c>
      <c r="E2121" s="6">
        <v>45888</v>
      </c>
      <c r="F2121">
        <v>100</v>
      </c>
      <c r="G2121">
        <v>0.57600000000000007</v>
      </c>
      <c r="H2121">
        <v>1.3440000000000001</v>
      </c>
      <c r="I2121" s="3" t="s">
        <v>8756</v>
      </c>
    </row>
    <row r="2122" spans="1:9" x14ac:dyDescent="0.35">
      <c r="A2122" s="3" t="s">
        <v>10832</v>
      </c>
      <c r="B2122" s="3" t="s">
        <v>4545</v>
      </c>
      <c r="C2122" s="3" t="s">
        <v>4546</v>
      </c>
      <c r="D2122">
        <v>45</v>
      </c>
      <c r="E2122" s="6">
        <v>45930</v>
      </c>
      <c r="F2122">
        <v>200</v>
      </c>
      <c r="G2122">
        <v>25.48</v>
      </c>
      <c r="H2122">
        <v>2.52</v>
      </c>
      <c r="I2122" s="3" t="s">
        <v>8701</v>
      </c>
    </row>
    <row r="2123" spans="1:9" x14ac:dyDescent="0.35">
      <c r="A2123" s="3" t="s">
        <v>10833</v>
      </c>
      <c r="B2123" s="3" t="s">
        <v>4547</v>
      </c>
      <c r="C2123" s="3" t="s">
        <v>4548</v>
      </c>
      <c r="D2123">
        <v>59</v>
      </c>
      <c r="E2123" s="6">
        <v>45916</v>
      </c>
      <c r="F2123">
        <v>0</v>
      </c>
      <c r="G2123">
        <v>1.8</v>
      </c>
      <c r="H2123">
        <v>1.2</v>
      </c>
      <c r="I2123" s="3" t="s">
        <v>8756</v>
      </c>
    </row>
    <row r="2124" spans="1:9" x14ac:dyDescent="0.35">
      <c r="A2124" s="3" t="s">
        <v>10834</v>
      </c>
      <c r="B2124" s="3" t="s">
        <v>4549</v>
      </c>
      <c r="C2124" s="3" t="s">
        <v>4550</v>
      </c>
      <c r="D2124">
        <v>287</v>
      </c>
      <c r="E2124" s="6">
        <v>45688</v>
      </c>
      <c r="F2124">
        <v>0</v>
      </c>
      <c r="G2124">
        <v>9.0000000000000011E-3</v>
      </c>
      <c r="H2124">
        <v>0.191</v>
      </c>
      <c r="I2124" s="3" t="s">
        <v>8712</v>
      </c>
    </row>
    <row r="2125" spans="1:9" x14ac:dyDescent="0.35">
      <c r="A2125" s="3" t="s">
        <v>10835</v>
      </c>
      <c r="B2125" s="3" t="s">
        <v>4551</v>
      </c>
      <c r="C2125" s="3" t="s">
        <v>4552</v>
      </c>
      <c r="D2125">
        <v>24</v>
      </c>
      <c r="E2125" s="6">
        <v>45951</v>
      </c>
      <c r="F2125">
        <v>0</v>
      </c>
      <c r="G2125">
        <v>5.1589999999999998</v>
      </c>
      <c r="H2125">
        <v>1.5410000000000001</v>
      </c>
      <c r="I2125" s="3" t="s">
        <v>8701</v>
      </c>
    </row>
    <row r="2126" spans="1:9" x14ac:dyDescent="0.35">
      <c r="A2126" s="3" t="s">
        <v>10836</v>
      </c>
      <c r="B2126" s="3" t="s">
        <v>4553</v>
      </c>
      <c r="C2126" s="3" t="s">
        <v>4554</v>
      </c>
      <c r="D2126">
        <v>25</v>
      </c>
      <c r="E2126" s="6">
        <v>45950</v>
      </c>
      <c r="F2126">
        <v>0</v>
      </c>
      <c r="G2126">
        <v>5.76</v>
      </c>
      <c r="H2126">
        <v>0.24</v>
      </c>
      <c r="I2126" s="3" t="s">
        <v>8701</v>
      </c>
    </row>
    <row r="2127" spans="1:9" x14ac:dyDescent="0.35">
      <c r="A2127" s="3" t="s">
        <v>10837</v>
      </c>
      <c r="B2127" s="3" t="s">
        <v>4555</v>
      </c>
      <c r="C2127" s="3" t="s">
        <v>4556</v>
      </c>
      <c r="D2127">
        <v>22</v>
      </c>
      <c r="E2127" s="6">
        <v>45953</v>
      </c>
      <c r="F2127">
        <v>0</v>
      </c>
      <c r="G2127">
        <v>0.32500000000000001</v>
      </c>
      <c r="H2127">
        <v>0.97500000000000009</v>
      </c>
      <c r="I2127" s="3" t="s">
        <v>8705</v>
      </c>
    </row>
    <row r="2128" spans="1:9" x14ac:dyDescent="0.35">
      <c r="A2128" s="3" t="s">
        <v>10838</v>
      </c>
      <c r="B2128" s="3" t="s">
        <v>4557</v>
      </c>
      <c r="C2128" s="3" t="s">
        <v>4558</v>
      </c>
      <c r="D2128">
        <v>23</v>
      </c>
      <c r="E2128" s="6">
        <v>45952</v>
      </c>
      <c r="F2128">
        <v>0</v>
      </c>
      <c r="G2128">
        <v>16.740000000000002</v>
      </c>
      <c r="H2128">
        <v>1.26</v>
      </c>
      <c r="I2128" s="3" t="s">
        <v>8701</v>
      </c>
    </row>
    <row r="2129" spans="1:9" x14ac:dyDescent="0.35">
      <c r="A2129" s="3" t="s">
        <v>10839</v>
      </c>
      <c r="B2129" s="3" t="s">
        <v>4559</v>
      </c>
      <c r="C2129" s="3" t="s">
        <v>4560</v>
      </c>
      <c r="D2129">
        <v>163</v>
      </c>
      <c r="E2129" s="6">
        <v>45812</v>
      </c>
      <c r="F2129">
        <v>0</v>
      </c>
      <c r="G2129">
        <v>5.0000000000000001E-3</v>
      </c>
      <c r="H2129">
        <v>9.5000000000000001E-2</v>
      </c>
      <c r="I2129" s="3" t="s">
        <v>8712</v>
      </c>
    </row>
    <row r="2130" spans="1:9" x14ac:dyDescent="0.35">
      <c r="A2130" s="3" t="s">
        <v>10840</v>
      </c>
      <c r="B2130" s="3" t="s">
        <v>4561</v>
      </c>
      <c r="C2130" s="3" t="s">
        <v>4562</v>
      </c>
      <c r="D2130">
        <v>5646</v>
      </c>
      <c r="E2130" s="6">
        <v>40329</v>
      </c>
      <c r="F2130">
        <v>0</v>
      </c>
      <c r="G2130">
        <v>4.0000000000000001E-3</v>
      </c>
      <c r="H2130">
        <v>9.6000000000000002E-2</v>
      </c>
      <c r="I2130" s="3" t="s">
        <v>8712</v>
      </c>
    </row>
    <row r="2131" spans="1:9" x14ac:dyDescent="0.35">
      <c r="A2131" s="3" t="s">
        <v>10841</v>
      </c>
      <c r="B2131" s="3" t="s">
        <v>4563</v>
      </c>
      <c r="C2131" s="3" t="s">
        <v>4564</v>
      </c>
      <c r="D2131">
        <v>23</v>
      </c>
      <c r="E2131" s="6">
        <v>45952</v>
      </c>
      <c r="F2131">
        <v>0</v>
      </c>
      <c r="G2131">
        <v>39.06</v>
      </c>
      <c r="H2131">
        <v>2.94</v>
      </c>
      <c r="I2131" s="3" t="s">
        <v>8701</v>
      </c>
    </row>
    <row r="2132" spans="1:9" x14ac:dyDescent="0.35">
      <c r="A2132" s="3" t="s">
        <v>10842</v>
      </c>
      <c r="B2132" s="3" t="s">
        <v>4565</v>
      </c>
      <c r="C2132" s="3" t="s">
        <v>4566</v>
      </c>
      <c r="D2132">
        <v>46</v>
      </c>
      <c r="E2132" s="6">
        <v>45929</v>
      </c>
      <c r="F2132">
        <v>0</v>
      </c>
      <c r="G2132">
        <v>1.04</v>
      </c>
      <c r="H2132">
        <v>1.56</v>
      </c>
      <c r="I2132" s="3" t="s">
        <v>8701</v>
      </c>
    </row>
    <row r="2133" spans="1:9" x14ac:dyDescent="0.35">
      <c r="A2133" s="3" t="s">
        <v>10843</v>
      </c>
      <c r="B2133" s="3" t="s">
        <v>4567</v>
      </c>
      <c r="C2133" s="3" t="s">
        <v>4568</v>
      </c>
      <c r="D2133">
        <v>23</v>
      </c>
      <c r="E2133" s="6">
        <v>45952</v>
      </c>
      <c r="F2133">
        <v>0</v>
      </c>
      <c r="G2133">
        <v>5.0000000000000001E-3</v>
      </c>
      <c r="H2133">
        <v>0.125</v>
      </c>
      <c r="I2133" s="3" t="s">
        <v>8712</v>
      </c>
    </row>
    <row r="2134" spans="1:9" x14ac:dyDescent="0.35">
      <c r="A2134" s="3" t="s">
        <v>10844</v>
      </c>
      <c r="B2134" s="3" t="s">
        <v>4570</v>
      </c>
      <c r="C2134" s="3" t="s">
        <v>4571</v>
      </c>
      <c r="D2134">
        <v>21</v>
      </c>
      <c r="E2134" s="6">
        <v>45954</v>
      </c>
      <c r="F2134">
        <v>0</v>
      </c>
      <c r="G2134">
        <v>7.9580000000000002</v>
      </c>
      <c r="H2134">
        <v>1.242</v>
      </c>
      <c r="I2134" s="3" t="s">
        <v>8701</v>
      </c>
    </row>
    <row r="2135" spans="1:9" x14ac:dyDescent="0.35">
      <c r="A2135" s="3" t="s">
        <v>10845</v>
      </c>
      <c r="B2135" s="3" t="s">
        <v>4572</v>
      </c>
      <c r="C2135" s="3" t="s">
        <v>4573</v>
      </c>
      <c r="D2135">
        <v>2195</v>
      </c>
      <c r="E2135" s="6">
        <v>43780</v>
      </c>
      <c r="F2135">
        <v>0</v>
      </c>
      <c r="G2135">
        <v>0</v>
      </c>
      <c r="H2135">
        <v>0</v>
      </c>
      <c r="I2135" s="3" t="s">
        <v>28</v>
      </c>
    </row>
    <row r="2136" spans="1:9" x14ac:dyDescent="0.35">
      <c r="A2136" s="3" t="s">
        <v>11044</v>
      </c>
      <c r="B2136" s="3" t="s">
        <v>5000</v>
      </c>
      <c r="C2136" s="3" t="s">
        <v>5001</v>
      </c>
      <c r="D2136">
        <v>6468</v>
      </c>
      <c r="E2136" s="6">
        <v>39507</v>
      </c>
      <c r="F2136">
        <v>0</v>
      </c>
      <c r="G2136">
        <v>27.46</v>
      </c>
      <c r="H2136">
        <v>0.56000000000000005</v>
      </c>
      <c r="I2136" s="3" t="s">
        <v>8699</v>
      </c>
    </row>
    <row r="2137" spans="1:9" x14ac:dyDescent="0.35">
      <c r="A2137" s="3" t="s">
        <v>10847</v>
      </c>
      <c r="B2137" s="3" t="s">
        <v>4576</v>
      </c>
      <c r="C2137" s="3" t="s">
        <v>4577</v>
      </c>
      <c r="D2137">
        <v>955</v>
      </c>
      <c r="E2137" s="6">
        <v>45020</v>
      </c>
      <c r="F2137">
        <v>0</v>
      </c>
      <c r="G2137">
        <v>0</v>
      </c>
      <c r="H2137">
        <v>0</v>
      </c>
      <c r="I2137" s="3" t="s">
        <v>28</v>
      </c>
    </row>
    <row r="2138" spans="1:9" x14ac:dyDescent="0.35">
      <c r="A2138" s="3" t="s">
        <v>10294</v>
      </c>
      <c r="B2138" s="3" t="s">
        <v>3409</v>
      </c>
      <c r="C2138" s="3" t="s">
        <v>3410</v>
      </c>
      <c r="D2138">
        <v>6469</v>
      </c>
      <c r="E2138" s="6">
        <v>39506</v>
      </c>
      <c r="F2138">
        <v>0</v>
      </c>
      <c r="G2138">
        <v>0.13</v>
      </c>
      <c r="H2138">
        <v>0.04</v>
      </c>
      <c r="I2138" s="3" t="s">
        <v>8699</v>
      </c>
    </row>
    <row r="2139" spans="1:9" x14ac:dyDescent="0.35">
      <c r="A2139" s="3" t="s">
        <v>10849</v>
      </c>
      <c r="B2139" s="3" t="s">
        <v>4580</v>
      </c>
      <c r="C2139" s="3" t="s">
        <v>4581</v>
      </c>
      <c r="D2139">
        <v>55</v>
      </c>
      <c r="E2139" s="6">
        <v>45920</v>
      </c>
      <c r="F2139">
        <v>1000</v>
      </c>
      <c r="G2139">
        <v>0.28800000000000003</v>
      </c>
      <c r="H2139">
        <v>1.3120000000000001</v>
      </c>
      <c r="I2139" s="3" t="s">
        <v>8705</v>
      </c>
    </row>
    <row r="2140" spans="1:9" x14ac:dyDescent="0.35">
      <c r="A2140" s="3" t="s">
        <v>10850</v>
      </c>
      <c r="B2140" s="3" t="s">
        <v>4582</v>
      </c>
      <c r="C2140" s="3" t="s">
        <v>4583</v>
      </c>
      <c r="D2140">
        <v>109</v>
      </c>
      <c r="E2140" s="6">
        <v>45866</v>
      </c>
      <c r="F2140">
        <v>50</v>
      </c>
      <c r="G2140">
        <v>30.69</v>
      </c>
      <c r="H2140">
        <v>0.31</v>
      </c>
      <c r="I2140" s="3" t="s">
        <v>8729</v>
      </c>
    </row>
    <row r="2141" spans="1:9" x14ac:dyDescent="0.35">
      <c r="A2141" s="3" t="s">
        <v>10851</v>
      </c>
      <c r="B2141" s="3" t="s">
        <v>4584</v>
      </c>
      <c r="C2141" s="3" t="s">
        <v>4585</v>
      </c>
      <c r="D2141">
        <v>62</v>
      </c>
      <c r="E2141" s="6">
        <v>45913</v>
      </c>
      <c r="F2141">
        <v>0</v>
      </c>
      <c r="G2141">
        <v>1.2</v>
      </c>
      <c r="H2141">
        <v>0.8</v>
      </c>
      <c r="I2141" s="3" t="s">
        <v>8701</v>
      </c>
    </row>
    <row r="2142" spans="1:9" x14ac:dyDescent="0.35">
      <c r="A2142" s="3" t="s">
        <v>10852</v>
      </c>
      <c r="B2142" s="3" t="s">
        <v>4586</v>
      </c>
      <c r="C2142" s="3" t="s">
        <v>4587</v>
      </c>
      <c r="D2142">
        <v>85</v>
      </c>
      <c r="E2142" s="6">
        <v>45890</v>
      </c>
      <c r="F2142">
        <v>0</v>
      </c>
      <c r="G2142">
        <v>23.75</v>
      </c>
      <c r="H2142">
        <v>1.25</v>
      </c>
      <c r="I2142" s="3" t="s">
        <v>8701</v>
      </c>
    </row>
    <row r="2143" spans="1:9" x14ac:dyDescent="0.35">
      <c r="A2143" s="3" t="s">
        <v>9633</v>
      </c>
      <c r="B2143" s="3" t="s">
        <v>1998</v>
      </c>
      <c r="C2143" s="3" t="s">
        <v>1999</v>
      </c>
      <c r="D2143">
        <v>6483</v>
      </c>
      <c r="E2143" s="6">
        <v>39492</v>
      </c>
      <c r="F2143">
        <v>0</v>
      </c>
      <c r="G2143">
        <v>3.52</v>
      </c>
      <c r="H2143">
        <v>0.48</v>
      </c>
      <c r="I2143" s="3" t="s">
        <v>8699</v>
      </c>
    </row>
    <row r="2144" spans="1:9" x14ac:dyDescent="0.35">
      <c r="A2144" s="3" t="s">
        <v>10854</v>
      </c>
      <c r="B2144" s="3" t="s">
        <v>4590</v>
      </c>
      <c r="C2144" s="3" t="s">
        <v>4591</v>
      </c>
      <c r="D2144">
        <v>365</v>
      </c>
      <c r="E2144" s="6">
        <v>45610</v>
      </c>
      <c r="F2144">
        <v>0</v>
      </c>
      <c r="G2144">
        <v>6.0000000000000001E-3</v>
      </c>
      <c r="H2144">
        <v>0.11900000000000001</v>
      </c>
      <c r="I2144" s="3" t="s">
        <v>8712</v>
      </c>
    </row>
    <row r="2145" spans="1:9" x14ac:dyDescent="0.35">
      <c r="A2145" s="3" t="s">
        <v>10855</v>
      </c>
      <c r="B2145" s="3" t="s">
        <v>4592</v>
      </c>
      <c r="C2145" s="3" t="s">
        <v>4593</v>
      </c>
      <c r="D2145">
        <v>955</v>
      </c>
      <c r="E2145" s="6">
        <v>45020</v>
      </c>
      <c r="F2145">
        <v>0</v>
      </c>
      <c r="G2145">
        <v>0</v>
      </c>
      <c r="H2145">
        <v>0</v>
      </c>
      <c r="I2145" s="3" t="s">
        <v>28</v>
      </c>
    </row>
    <row r="2146" spans="1:9" x14ac:dyDescent="0.35">
      <c r="A2146" s="3" t="s">
        <v>9888</v>
      </c>
      <c r="B2146" s="3" t="s">
        <v>2540</v>
      </c>
      <c r="C2146" s="3" t="s">
        <v>2541</v>
      </c>
      <c r="D2146">
        <v>6483</v>
      </c>
      <c r="E2146" s="6">
        <v>39492</v>
      </c>
      <c r="F2146">
        <v>0</v>
      </c>
      <c r="G2146">
        <v>7.2</v>
      </c>
      <c r="H2146">
        <v>0.8</v>
      </c>
      <c r="I2146" s="3" t="s">
        <v>8699</v>
      </c>
    </row>
    <row r="2147" spans="1:9" x14ac:dyDescent="0.35">
      <c r="A2147" s="3" t="s">
        <v>10098</v>
      </c>
      <c r="B2147" s="3" t="s">
        <v>2994</v>
      </c>
      <c r="C2147" s="3" t="s">
        <v>2995</v>
      </c>
      <c r="D2147">
        <v>6483</v>
      </c>
      <c r="E2147" s="6">
        <v>39492</v>
      </c>
      <c r="F2147">
        <v>0</v>
      </c>
      <c r="G2147">
        <v>0.68</v>
      </c>
      <c r="H2147">
        <v>0.86</v>
      </c>
      <c r="I2147" s="3" t="s">
        <v>8699</v>
      </c>
    </row>
    <row r="2148" spans="1:9" x14ac:dyDescent="0.35">
      <c r="A2148" s="3" t="s">
        <v>10858</v>
      </c>
      <c r="B2148" s="3" t="s">
        <v>4598</v>
      </c>
      <c r="C2148" s="3" t="s">
        <v>4599</v>
      </c>
      <c r="D2148">
        <v>38</v>
      </c>
      <c r="E2148" s="6">
        <v>45937</v>
      </c>
      <c r="F2148">
        <v>0</v>
      </c>
      <c r="G2148">
        <v>6.3</v>
      </c>
      <c r="H2148">
        <v>2.7</v>
      </c>
      <c r="I2148" s="3" t="s">
        <v>8701</v>
      </c>
    </row>
    <row r="2149" spans="1:9" x14ac:dyDescent="0.35">
      <c r="A2149" s="3" t="s">
        <v>10281</v>
      </c>
      <c r="B2149" s="3" t="s">
        <v>3381</v>
      </c>
      <c r="C2149" s="3" t="s">
        <v>3382</v>
      </c>
      <c r="D2149">
        <v>6483</v>
      </c>
      <c r="E2149" s="6">
        <v>39492</v>
      </c>
      <c r="F2149">
        <v>0</v>
      </c>
      <c r="G2149">
        <v>0.96</v>
      </c>
      <c r="H2149">
        <v>0.04</v>
      </c>
      <c r="I2149" s="3" t="s">
        <v>8699</v>
      </c>
    </row>
    <row r="2150" spans="1:9" x14ac:dyDescent="0.35">
      <c r="A2150" s="3" t="s">
        <v>10508</v>
      </c>
      <c r="B2150" s="3" t="s">
        <v>3865</v>
      </c>
      <c r="C2150" s="3" t="s">
        <v>3866</v>
      </c>
      <c r="D2150">
        <v>6483</v>
      </c>
      <c r="E2150" s="6">
        <v>39492</v>
      </c>
      <c r="F2150">
        <v>0</v>
      </c>
      <c r="G2150">
        <v>1.78</v>
      </c>
      <c r="H2150">
        <v>0.22</v>
      </c>
      <c r="I2150" s="3" t="s">
        <v>8699</v>
      </c>
    </row>
    <row r="2151" spans="1:9" x14ac:dyDescent="0.35">
      <c r="A2151" s="3" t="s">
        <v>10861</v>
      </c>
      <c r="B2151" s="3" t="s">
        <v>4606</v>
      </c>
      <c r="C2151" s="3" t="s">
        <v>4607</v>
      </c>
      <c r="D2151">
        <v>46</v>
      </c>
      <c r="E2151" s="6">
        <v>45929</v>
      </c>
      <c r="F2151">
        <v>100</v>
      </c>
      <c r="G2151">
        <v>0.5</v>
      </c>
      <c r="H2151">
        <v>1.5</v>
      </c>
      <c r="I2151" s="3" t="s">
        <v>8701</v>
      </c>
    </row>
    <row r="2152" spans="1:9" x14ac:dyDescent="0.35">
      <c r="A2152" s="3" t="s">
        <v>10862</v>
      </c>
      <c r="B2152" s="3" t="s">
        <v>4608</v>
      </c>
      <c r="C2152" s="3" t="s">
        <v>4609</v>
      </c>
      <c r="D2152">
        <v>44</v>
      </c>
      <c r="E2152" s="6">
        <v>45931</v>
      </c>
      <c r="F2152">
        <v>0</v>
      </c>
      <c r="G2152">
        <v>110.08800000000001</v>
      </c>
      <c r="H2152">
        <v>1.1120000000000001</v>
      </c>
      <c r="I2152" s="3" t="s">
        <v>8738</v>
      </c>
    </row>
    <row r="2153" spans="1:9" x14ac:dyDescent="0.35">
      <c r="A2153" s="3" t="s">
        <v>10863</v>
      </c>
      <c r="B2153" s="3" t="s">
        <v>4610</v>
      </c>
      <c r="C2153" s="3" t="s">
        <v>4611</v>
      </c>
      <c r="D2153">
        <v>88</v>
      </c>
      <c r="E2153" s="6">
        <v>45887</v>
      </c>
      <c r="F2153">
        <v>10</v>
      </c>
      <c r="G2153">
        <v>0.10500000000000001</v>
      </c>
      <c r="H2153">
        <v>1.645</v>
      </c>
      <c r="I2153" s="3" t="s">
        <v>8701</v>
      </c>
    </row>
    <row r="2154" spans="1:9" x14ac:dyDescent="0.35">
      <c r="A2154" s="3" t="s">
        <v>10864</v>
      </c>
      <c r="B2154" s="3" t="s">
        <v>4612</v>
      </c>
      <c r="C2154" s="3" t="s">
        <v>4613</v>
      </c>
      <c r="D2154">
        <v>47</v>
      </c>
      <c r="E2154" s="6">
        <v>45928</v>
      </c>
      <c r="F2154">
        <v>0</v>
      </c>
      <c r="G2154">
        <v>113.486</v>
      </c>
      <c r="H2154">
        <v>0.114</v>
      </c>
      <c r="I2154" s="3" t="s">
        <v>10865</v>
      </c>
    </row>
    <row r="2155" spans="1:9" x14ac:dyDescent="0.35">
      <c r="A2155" s="3" t="s">
        <v>11375</v>
      </c>
      <c r="B2155" s="3" t="s">
        <v>5692</v>
      </c>
      <c r="C2155" s="3" t="s">
        <v>5693</v>
      </c>
      <c r="D2155">
        <v>6483</v>
      </c>
      <c r="E2155" s="6">
        <v>39492</v>
      </c>
      <c r="F2155">
        <v>0</v>
      </c>
      <c r="G2155">
        <v>0.51</v>
      </c>
      <c r="H2155">
        <v>1.03</v>
      </c>
      <c r="I2155" s="3" t="s">
        <v>8699</v>
      </c>
    </row>
    <row r="2156" spans="1:9" x14ac:dyDescent="0.35">
      <c r="A2156" s="3" t="s">
        <v>10867</v>
      </c>
      <c r="B2156" s="3" t="s">
        <v>4616</v>
      </c>
      <c r="C2156" s="3" t="s">
        <v>4617</v>
      </c>
      <c r="D2156">
        <v>603</v>
      </c>
      <c r="E2156" s="6">
        <v>45372</v>
      </c>
      <c r="F2156">
        <v>0</v>
      </c>
      <c r="G2156">
        <v>6.0000000000000001E-3</v>
      </c>
      <c r="H2156">
        <v>0.10400000000000001</v>
      </c>
      <c r="I2156" s="3" t="s">
        <v>8712</v>
      </c>
    </row>
    <row r="2157" spans="1:9" x14ac:dyDescent="0.35">
      <c r="A2157" s="3" t="s">
        <v>9231</v>
      </c>
      <c r="B2157" s="3" t="s">
        <v>1156</v>
      </c>
      <c r="C2157" s="3" t="s">
        <v>1157</v>
      </c>
      <c r="D2157">
        <v>6497</v>
      </c>
      <c r="E2157" s="6">
        <v>39478</v>
      </c>
      <c r="F2157">
        <v>200</v>
      </c>
      <c r="G2157">
        <v>1.08</v>
      </c>
      <c r="H2157">
        <v>0.42</v>
      </c>
      <c r="I2157" s="3" t="s">
        <v>8699</v>
      </c>
    </row>
    <row r="2158" spans="1:9" x14ac:dyDescent="0.35">
      <c r="A2158" s="3" t="s">
        <v>9696</v>
      </c>
      <c r="B2158" s="3" t="s">
        <v>2134</v>
      </c>
      <c r="C2158" s="3" t="s">
        <v>2135</v>
      </c>
      <c r="D2158">
        <v>6497</v>
      </c>
      <c r="E2158" s="6">
        <v>39478</v>
      </c>
      <c r="F2158">
        <v>0</v>
      </c>
      <c r="G2158">
        <v>9.35</v>
      </c>
      <c r="H2158">
        <v>1.6500000000000001</v>
      </c>
      <c r="I2158" s="3" t="s">
        <v>8699</v>
      </c>
    </row>
    <row r="2159" spans="1:9" x14ac:dyDescent="0.35">
      <c r="A2159" s="3" t="s">
        <v>10870</v>
      </c>
      <c r="B2159" s="3" t="s">
        <v>4622</v>
      </c>
      <c r="C2159" s="3" t="s">
        <v>4623</v>
      </c>
      <c r="D2159">
        <v>955</v>
      </c>
      <c r="E2159" s="6">
        <v>45020</v>
      </c>
      <c r="F2159">
        <v>0</v>
      </c>
      <c r="G2159">
        <v>0</v>
      </c>
      <c r="H2159">
        <v>0</v>
      </c>
      <c r="I2159" s="3" t="s">
        <v>28</v>
      </c>
    </row>
    <row r="2160" spans="1:9" x14ac:dyDescent="0.35">
      <c r="A2160" s="3" t="s">
        <v>10871</v>
      </c>
      <c r="B2160" s="3" t="s">
        <v>4624</v>
      </c>
      <c r="C2160" s="3" t="s">
        <v>4625</v>
      </c>
      <c r="D2160">
        <v>18</v>
      </c>
      <c r="E2160" s="6">
        <v>45957</v>
      </c>
      <c r="F2160">
        <v>0</v>
      </c>
      <c r="G2160">
        <v>13.563000000000001</v>
      </c>
      <c r="H2160">
        <v>0.13700000000000001</v>
      </c>
      <c r="I2160" s="3" t="s">
        <v>8705</v>
      </c>
    </row>
    <row r="2161" spans="1:9" x14ac:dyDescent="0.35">
      <c r="A2161" s="3" t="s">
        <v>9795</v>
      </c>
      <c r="B2161" s="3" t="s">
        <v>2348</v>
      </c>
      <c r="C2161" s="3" t="s">
        <v>2349</v>
      </c>
      <c r="D2161">
        <v>6497</v>
      </c>
      <c r="E2161" s="6">
        <v>39478</v>
      </c>
      <c r="F2161">
        <v>450</v>
      </c>
      <c r="G2161">
        <v>0.498</v>
      </c>
      <c r="H2161">
        <v>0.442</v>
      </c>
      <c r="I2161" s="3" t="s">
        <v>8699</v>
      </c>
    </row>
    <row r="2162" spans="1:9" x14ac:dyDescent="0.35">
      <c r="A2162" s="3" t="s">
        <v>10311</v>
      </c>
      <c r="B2162" s="3" t="s">
        <v>3444</v>
      </c>
      <c r="C2162" s="3" t="s">
        <v>3445</v>
      </c>
      <c r="D2162">
        <v>6497</v>
      </c>
      <c r="E2162" s="6">
        <v>39478</v>
      </c>
      <c r="F2162">
        <v>0</v>
      </c>
      <c r="G2162">
        <v>459.86200000000002</v>
      </c>
      <c r="H2162">
        <v>0.13800000000000001</v>
      </c>
      <c r="I2162" s="3" t="s">
        <v>8699</v>
      </c>
    </row>
    <row r="2163" spans="1:9" x14ac:dyDescent="0.35">
      <c r="A2163" s="3" t="s">
        <v>10874</v>
      </c>
      <c r="B2163" s="3" t="s">
        <v>4630</v>
      </c>
      <c r="C2163" s="3" t="s">
        <v>4631</v>
      </c>
      <c r="D2163">
        <v>48</v>
      </c>
      <c r="E2163" s="6">
        <v>45927</v>
      </c>
      <c r="F2163">
        <v>100</v>
      </c>
      <c r="G2163">
        <v>22.513999999999999</v>
      </c>
      <c r="H2163">
        <v>0.69600000000000006</v>
      </c>
      <c r="I2163" s="3" t="s">
        <v>8701</v>
      </c>
    </row>
    <row r="2164" spans="1:9" x14ac:dyDescent="0.35">
      <c r="A2164" s="3" t="s">
        <v>9147</v>
      </c>
      <c r="B2164" s="3" t="s">
        <v>976</v>
      </c>
      <c r="C2164" s="3" t="s">
        <v>977</v>
      </c>
      <c r="D2164">
        <v>6620</v>
      </c>
      <c r="E2164" s="6">
        <v>39355</v>
      </c>
      <c r="F2164">
        <v>0</v>
      </c>
      <c r="G2164">
        <v>1.5390000000000001</v>
      </c>
      <c r="H2164">
        <v>0.36100000000000004</v>
      </c>
      <c r="I2164" s="3" t="s">
        <v>8699</v>
      </c>
    </row>
    <row r="2165" spans="1:9" x14ac:dyDescent="0.35">
      <c r="A2165" s="3" t="s">
        <v>10876</v>
      </c>
      <c r="B2165" s="3" t="s">
        <v>4634</v>
      </c>
      <c r="C2165" s="3" t="s">
        <v>4635</v>
      </c>
      <c r="D2165">
        <v>1</v>
      </c>
      <c r="E2165" s="6">
        <v>45974</v>
      </c>
      <c r="F2165">
        <v>100</v>
      </c>
      <c r="G2165">
        <v>6.16</v>
      </c>
      <c r="H2165">
        <v>0.84</v>
      </c>
      <c r="I2165" s="3" t="s">
        <v>8701</v>
      </c>
    </row>
    <row r="2166" spans="1:9" x14ac:dyDescent="0.35">
      <c r="A2166" s="3" t="s">
        <v>10877</v>
      </c>
      <c r="B2166" s="3" t="s">
        <v>4639</v>
      </c>
      <c r="C2166" s="3" t="s">
        <v>4640</v>
      </c>
      <c r="D2166">
        <v>25</v>
      </c>
      <c r="E2166" s="6">
        <v>45950</v>
      </c>
      <c r="F2166">
        <v>0</v>
      </c>
      <c r="G2166">
        <v>2.8000000000000003</v>
      </c>
      <c r="H2166">
        <v>1.2</v>
      </c>
      <c r="I2166" s="3" t="s">
        <v>8701</v>
      </c>
    </row>
    <row r="2167" spans="1:9" x14ac:dyDescent="0.35">
      <c r="A2167" s="3" t="s">
        <v>10357</v>
      </c>
      <c r="B2167" s="3" t="s">
        <v>3544</v>
      </c>
      <c r="C2167" s="3" t="s">
        <v>3545</v>
      </c>
      <c r="D2167">
        <v>6620</v>
      </c>
      <c r="E2167" s="6">
        <v>39355</v>
      </c>
      <c r="F2167">
        <v>0</v>
      </c>
      <c r="G2167">
        <v>1.258</v>
      </c>
      <c r="H2167">
        <v>0.442</v>
      </c>
      <c r="I2167" s="3" t="s">
        <v>8699</v>
      </c>
    </row>
    <row r="2168" spans="1:9" x14ac:dyDescent="0.35">
      <c r="A2168" s="3" t="s">
        <v>10815</v>
      </c>
      <c r="B2168" s="3" t="s">
        <v>4511</v>
      </c>
      <c r="C2168" s="3" t="s">
        <v>4512</v>
      </c>
      <c r="D2168">
        <v>6620</v>
      </c>
      <c r="E2168" s="6">
        <v>39355</v>
      </c>
      <c r="F2168">
        <v>0</v>
      </c>
      <c r="G2168">
        <v>0.18</v>
      </c>
      <c r="H2168">
        <v>0.82000000000000006</v>
      </c>
      <c r="I2168" s="3" t="s">
        <v>8699</v>
      </c>
    </row>
    <row r="2169" spans="1:9" x14ac:dyDescent="0.35">
      <c r="A2169" s="3" t="s">
        <v>10880</v>
      </c>
      <c r="B2169" s="3" t="s">
        <v>4645</v>
      </c>
      <c r="C2169" s="3" t="s">
        <v>4646</v>
      </c>
      <c r="D2169">
        <v>23</v>
      </c>
      <c r="E2169" s="6">
        <v>45952</v>
      </c>
      <c r="F2169">
        <v>0</v>
      </c>
      <c r="G2169">
        <v>8.1479999999999997</v>
      </c>
      <c r="H2169">
        <v>0.252</v>
      </c>
      <c r="I2169" s="3" t="s">
        <v>8701</v>
      </c>
    </row>
    <row r="2170" spans="1:9" x14ac:dyDescent="0.35">
      <c r="A2170" s="3" t="s">
        <v>10881</v>
      </c>
      <c r="B2170" s="3" t="s">
        <v>4647</v>
      </c>
      <c r="C2170" s="3" t="s">
        <v>4648</v>
      </c>
      <c r="D2170">
        <v>30</v>
      </c>
      <c r="E2170" s="6">
        <v>45945</v>
      </c>
      <c r="F2170">
        <v>10</v>
      </c>
      <c r="G2170">
        <v>0.49</v>
      </c>
      <c r="H2170">
        <v>0.51</v>
      </c>
      <c r="I2170" s="3" t="s">
        <v>8756</v>
      </c>
    </row>
    <row r="2171" spans="1:9" x14ac:dyDescent="0.35">
      <c r="A2171" s="3" t="s">
        <v>9264</v>
      </c>
      <c r="B2171" s="3" t="s">
        <v>1222</v>
      </c>
      <c r="C2171" s="3" t="s">
        <v>1223</v>
      </c>
      <c r="D2171">
        <v>6742</v>
      </c>
      <c r="E2171" s="6">
        <v>39233</v>
      </c>
      <c r="F2171">
        <v>0</v>
      </c>
      <c r="G2171">
        <v>1.96</v>
      </c>
      <c r="H2171">
        <v>0.04</v>
      </c>
      <c r="I2171" s="3" t="s">
        <v>8699</v>
      </c>
    </row>
    <row r="2172" spans="1:9" x14ac:dyDescent="0.35">
      <c r="A2172" s="3" t="s">
        <v>10883</v>
      </c>
      <c r="B2172" s="3" t="s">
        <v>4652</v>
      </c>
      <c r="C2172" s="3" t="s">
        <v>4653</v>
      </c>
      <c r="D2172">
        <v>318</v>
      </c>
      <c r="E2172" s="6">
        <v>45657</v>
      </c>
      <c r="F2172">
        <v>50</v>
      </c>
      <c r="G2172">
        <v>0.96</v>
      </c>
      <c r="H2172">
        <v>2.2400000000000002</v>
      </c>
      <c r="I2172" s="3" t="s">
        <v>8701</v>
      </c>
    </row>
    <row r="2173" spans="1:9" x14ac:dyDescent="0.35">
      <c r="A2173" s="3" t="s">
        <v>10884</v>
      </c>
      <c r="B2173" s="3" t="s">
        <v>4654</v>
      </c>
      <c r="C2173" s="3" t="s">
        <v>4655</v>
      </c>
      <c r="D2173">
        <v>30</v>
      </c>
      <c r="E2173" s="6">
        <v>45945</v>
      </c>
      <c r="F2173">
        <v>0</v>
      </c>
      <c r="G2173">
        <v>4.2640000000000002</v>
      </c>
      <c r="H2173">
        <v>0.93600000000000005</v>
      </c>
      <c r="I2173" s="3" t="s">
        <v>8756</v>
      </c>
    </row>
    <row r="2174" spans="1:9" x14ac:dyDescent="0.35">
      <c r="A2174" s="3" t="s">
        <v>10885</v>
      </c>
      <c r="B2174" s="3" t="s">
        <v>4656</v>
      </c>
      <c r="C2174" s="3" t="s">
        <v>4657</v>
      </c>
      <c r="D2174">
        <v>287</v>
      </c>
      <c r="E2174" s="6">
        <v>45688</v>
      </c>
      <c r="F2174">
        <v>0</v>
      </c>
      <c r="G2174">
        <v>8.0000000000000002E-3</v>
      </c>
      <c r="H2174">
        <v>0.182</v>
      </c>
      <c r="I2174" s="3" t="s">
        <v>8712</v>
      </c>
    </row>
    <row r="2175" spans="1:9" x14ac:dyDescent="0.35">
      <c r="A2175" s="3" t="s">
        <v>10886</v>
      </c>
      <c r="B2175" s="3" t="s">
        <v>4658</v>
      </c>
      <c r="C2175" s="3" t="s">
        <v>4659</v>
      </c>
      <c r="D2175">
        <v>955</v>
      </c>
      <c r="E2175" s="6">
        <v>45020</v>
      </c>
      <c r="F2175">
        <v>0</v>
      </c>
      <c r="G2175">
        <v>0</v>
      </c>
      <c r="H2175">
        <v>0</v>
      </c>
      <c r="I2175" s="3" t="s">
        <v>28</v>
      </c>
    </row>
    <row r="2176" spans="1:9" x14ac:dyDescent="0.35">
      <c r="A2176" s="3" t="s">
        <v>10887</v>
      </c>
      <c r="B2176" s="3" t="s">
        <v>4660</v>
      </c>
      <c r="C2176" s="3" t="s">
        <v>4661</v>
      </c>
      <c r="D2176">
        <v>153</v>
      </c>
      <c r="E2176" s="6">
        <v>45822</v>
      </c>
      <c r="F2176">
        <v>100</v>
      </c>
      <c r="G2176">
        <v>5.1240000000000006</v>
      </c>
      <c r="H2176">
        <v>0.97600000000000009</v>
      </c>
      <c r="I2176" s="3" t="s">
        <v>8756</v>
      </c>
    </row>
    <row r="2177" spans="1:9" x14ac:dyDescent="0.35">
      <c r="A2177" s="3" t="s">
        <v>10888</v>
      </c>
      <c r="B2177" s="3" t="s">
        <v>4662</v>
      </c>
      <c r="C2177" s="3" t="s">
        <v>4663</v>
      </c>
      <c r="D2177">
        <v>17</v>
      </c>
      <c r="E2177" s="6">
        <v>45958</v>
      </c>
      <c r="F2177">
        <v>0</v>
      </c>
      <c r="G2177">
        <v>3.0030000000000001</v>
      </c>
      <c r="H2177">
        <v>0.89700000000000002</v>
      </c>
      <c r="I2177" s="3" t="s">
        <v>8756</v>
      </c>
    </row>
    <row r="2178" spans="1:9" x14ac:dyDescent="0.35">
      <c r="A2178" s="3" t="s">
        <v>10889</v>
      </c>
      <c r="B2178" s="3" t="s">
        <v>4664</v>
      </c>
      <c r="C2178" s="3" t="s">
        <v>4665</v>
      </c>
      <c r="D2178">
        <v>46</v>
      </c>
      <c r="E2178" s="6">
        <v>45929</v>
      </c>
      <c r="F2178">
        <v>0</v>
      </c>
      <c r="G2178">
        <v>69.48</v>
      </c>
      <c r="H2178">
        <v>2.52</v>
      </c>
      <c r="I2178" s="3" t="s">
        <v>8701</v>
      </c>
    </row>
    <row r="2179" spans="1:9" x14ac:dyDescent="0.35">
      <c r="A2179" s="3" t="s">
        <v>10890</v>
      </c>
      <c r="B2179" s="3" t="s">
        <v>4666</v>
      </c>
      <c r="C2179" s="3" t="s">
        <v>4667</v>
      </c>
      <c r="D2179">
        <v>24</v>
      </c>
      <c r="E2179" s="6">
        <v>45951</v>
      </c>
      <c r="F2179">
        <v>0</v>
      </c>
      <c r="G2179">
        <v>1.925</v>
      </c>
      <c r="H2179">
        <v>1.5750000000000002</v>
      </c>
      <c r="I2179" s="3" t="s">
        <v>8701</v>
      </c>
    </row>
    <row r="2180" spans="1:9" x14ac:dyDescent="0.35">
      <c r="A2180" s="3" t="s">
        <v>10891</v>
      </c>
      <c r="B2180" s="3" t="s">
        <v>4668</v>
      </c>
      <c r="C2180" s="3" t="s">
        <v>4669</v>
      </c>
      <c r="D2180">
        <v>17</v>
      </c>
      <c r="E2180" s="6">
        <v>45958</v>
      </c>
      <c r="F2180">
        <v>0</v>
      </c>
      <c r="G2180">
        <v>5.5460000000000003</v>
      </c>
      <c r="H2180">
        <v>0.35400000000000004</v>
      </c>
      <c r="I2180" s="3" t="s">
        <v>8701</v>
      </c>
    </row>
    <row r="2181" spans="1:9" x14ac:dyDescent="0.35">
      <c r="A2181" s="3" t="s">
        <v>10892</v>
      </c>
      <c r="B2181" s="3" t="s">
        <v>4671</v>
      </c>
      <c r="C2181" s="3" t="s">
        <v>4672</v>
      </c>
      <c r="D2181">
        <v>4</v>
      </c>
      <c r="E2181" s="6">
        <v>45971</v>
      </c>
      <c r="F2181">
        <v>0</v>
      </c>
      <c r="G2181">
        <v>8.2140000000000004</v>
      </c>
      <c r="H2181">
        <v>2.8860000000000001</v>
      </c>
      <c r="I2181" s="3" t="s">
        <v>8701</v>
      </c>
    </row>
    <row r="2182" spans="1:9" x14ac:dyDescent="0.35">
      <c r="A2182" s="3" t="s">
        <v>10893</v>
      </c>
      <c r="B2182" s="3" t="s">
        <v>4673</v>
      </c>
      <c r="C2182" s="3" t="s">
        <v>4674</v>
      </c>
      <c r="D2182">
        <v>25</v>
      </c>
      <c r="E2182" s="6">
        <v>45950</v>
      </c>
      <c r="F2182">
        <v>0</v>
      </c>
      <c r="G2182">
        <v>21.34</v>
      </c>
      <c r="H2182">
        <v>0.66</v>
      </c>
      <c r="I2182" s="3" t="s">
        <v>8701</v>
      </c>
    </row>
    <row r="2183" spans="1:9" x14ac:dyDescent="0.35">
      <c r="A2183" s="3" t="s">
        <v>10894</v>
      </c>
      <c r="B2183" s="3" t="s">
        <v>4675</v>
      </c>
      <c r="C2183" s="3" t="s">
        <v>4676</v>
      </c>
      <c r="D2183">
        <v>955</v>
      </c>
      <c r="E2183" s="6">
        <v>45020</v>
      </c>
      <c r="F2183">
        <v>0</v>
      </c>
      <c r="G2183">
        <v>0</v>
      </c>
      <c r="H2183">
        <v>0</v>
      </c>
      <c r="I2183" s="3" t="s">
        <v>28</v>
      </c>
    </row>
    <row r="2184" spans="1:9" x14ac:dyDescent="0.35">
      <c r="A2184" s="3" t="s">
        <v>10895</v>
      </c>
      <c r="B2184" s="3" t="s">
        <v>4677</v>
      </c>
      <c r="C2184" s="3" t="s">
        <v>4678</v>
      </c>
      <c r="D2184">
        <v>955</v>
      </c>
      <c r="E2184" s="6">
        <v>45020</v>
      </c>
      <c r="F2184">
        <v>0</v>
      </c>
      <c r="G2184">
        <v>0</v>
      </c>
      <c r="H2184">
        <v>0</v>
      </c>
      <c r="I2184" s="3" t="s">
        <v>28</v>
      </c>
    </row>
    <row r="2185" spans="1:9" x14ac:dyDescent="0.35">
      <c r="A2185" s="3" t="s">
        <v>10896</v>
      </c>
      <c r="B2185" s="3" t="s">
        <v>4679</v>
      </c>
      <c r="C2185" s="3" t="s">
        <v>4680</v>
      </c>
      <c r="D2185">
        <v>49</v>
      </c>
      <c r="E2185" s="6">
        <v>45926</v>
      </c>
      <c r="F2185">
        <v>162</v>
      </c>
      <c r="G2185">
        <v>18</v>
      </c>
      <c r="H2185">
        <v>2</v>
      </c>
      <c r="I2185" s="3" t="s">
        <v>8703</v>
      </c>
    </row>
    <row r="2186" spans="1:9" x14ac:dyDescent="0.35">
      <c r="A2186" s="3" t="s">
        <v>10897</v>
      </c>
      <c r="B2186" s="3" t="s">
        <v>4681</v>
      </c>
      <c r="C2186" s="3" t="s">
        <v>4682</v>
      </c>
      <c r="D2186">
        <v>78</v>
      </c>
      <c r="E2186" s="6">
        <v>45897</v>
      </c>
      <c r="F2186">
        <v>100</v>
      </c>
      <c r="G2186">
        <v>35.308</v>
      </c>
      <c r="H2186">
        <v>1.0920000000000001</v>
      </c>
      <c r="I2186" s="3" t="s">
        <v>8915</v>
      </c>
    </row>
    <row r="2187" spans="1:9" x14ac:dyDescent="0.35">
      <c r="A2187" s="3" t="s">
        <v>10898</v>
      </c>
      <c r="B2187" s="3" t="s">
        <v>4683</v>
      </c>
      <c r="C2187" s="3" t="s">
        <v>4684</v>
      </c>
      <c r="D2187">
        <v>151</v>
      </c>
      <c r="E2187" s="6">
        <v>45824</v>
      </c>
      <c r="F2187">
        <v>100</v>
      </c>
      <c r="G2187">
        <v>5.306</v>
      </c>
      <c r="H2187">
        <v>0.72400000000000009</v>
      </c>
      <c r="I2187" s="3" t="s">
        <v>8756</v>
      </c>
    </row>
    <row r="2188" spans="1:9" x14ac:dyDescent="0.35">
      <c r="A2188" s="3" t="s">
        <v>10899</v>
      </c>
      <c r="B2188" s="3" t="s">
        <v>4685</v>
      </c>
      <c r="C2188" s="3" t="s">
        <v>4686</v>
      </c>
      <c r="D2188">
        <v>50</v>
      </c>
      <c r="E2188" s="6">
        <v>45925</v>
      </c>
      <c r="F2188">
        <v>130</v>
      </c>
      <c r="G2188">
        <v>50.6</v>
      </c>
      <c r="H2188">
        <v>4.4000000000000004</v>
      </c>
      <c r="I2188" s="3" t="s">
        <v>8701</v>
      </c>
    </row>
    <row r="2189" spans="1:9" x14ac:dyDescent="0.35">
      <c r="A2189" s="3" t="s">
        <v>10900</v>
      </c>
      <c r="B2189" s="3" t="s">
        <v>4687</v>
      </c>
      <c r="C2189" s="3" t="s">
        <v>4688</v>
      </c>
      <c r="D2189">
        <v>31</v>
      </c>
      <c r="E2189" s="6">
        <v>45944</v>
      </c>
      <c r="F2189">
        <v>0</v>
      </c>
      <c r="G2189">
        <v>115.83</v>
      </c>
      <c r="H2189">
        <v>1.17</v>
      </c>
      <c r="I2189" s="3" t="s">
        <v>8738</v>
      </c>
    </row>
    <row r="2190" spans="1:9" x14ac:dyDescent="0.35">
      <c r="A2190" s="3" t="s">
        <v>10901</v>
      </c>
      <c r="B2190" s="3" t="s">
        <v>4689</v>
      </c>
      <c r="C2190" s="3" t="s">
        <v>4690</v>
      </c>
      <c r="D2190">
        <v>955</v>
      </c>
      <c r="E2190" s="6">
        <v>45020</v>
      </c>
      <c r="F2190">
        <v>0</v>
      </c>
      <c r="G2190">
        <v>0</v>
      </c>
      <c r="H2190">
        <v>0</v>
      </c>
      <c r="I2190" s="3" t="s">
        <v>28</v>
      </c>
    </row>
    <row r="2191" spans="1:9" x14ac:dyDescent="0.35">
      <c r="A2191" s="3" t="s">
        <v>10902</v>
      </c>
      <c r="B2191" s="3" t="s">
        <v>4691</v>
      </c>
      <c r="C2191" s="3" t="s">
        <v>4692</v>
      </c>
      <c r="D2191">
        <v>23</v>
      </c>
      <c r="E2191" s="6">
        <v>45952</v>
      </c>
      <c r="F2191">
        <v>0</v>
      </c>
      <c r="G2191">
        <v>5.46</v>
      </c>
      <c r="H2191">
        <v>1.54</v>
      </c>
      <c r="I2191" s="3" t="s">
        <v>8701</v>
      </c>
    </row>
    <row r="2192" spans="1:9" x14ac:dyDescent="0.35">
      <c r="A2192" s="3" t="s">
        <v>10903</v>
      </c>
      <c r="B2192" s="3" t="s">
        <v>4693</v>
      </c>
      <c r="C2192" s="3" t="s">
        <v>4694</v>
      </c>
      <c r="D2192">
        <v>955</v>
      </c>
      <c r="E2192" s="6">
        <v>45020</v>
      </c>
      <c r="F2192">
        <v>0</v>
      </c>
      <c r="G2192">
        <v>0</v>
      </c>
      <c r="H2192">
        <v>0</v>
      </c>
      <c r="I2192" s="3" t="s">
        <v>28</v>
      </c>
    </row>
    <row r="2193" spans="1:9" x14ac:dyDescent="0.35">
      <c r="A2193" s="3" t="s">
        <v>10904</v>
      </c>
      <c r="B2193" s="3" t="s">
        <v>4695</v>
      </c>
      <c r="C2193" s="3" t="s">
        <v>4696</v>
      </c>
      <c r="D2193">
        <v>50</v>
      </c>
      <c r="E2193" s="6">
        <v>45925</v>
      </c>
      <c r="F2193">
        <v>100</v>
      </c>
      <c r="G2193">
        <v>1.43</v>
      </c>
      <c r="H2193">
        <v>0.77</v>
      </c>
      <c r="I2193" s="3" t="s">
        <v>8701</v>
      </c>
    </row>
    <row r="2194" spans="1:9" x14ac:dyDescent="0.35">
      <c r="A2194" s="3" t="s">
        <v>10905</v>
      </c>
      <c r="B2194" s="3" t="s">
        <v>4697</v>
      </c>
      <c r="C2194" s="3" t="s">
        <v>4698</v>
      </c>
      <c r="D2194">
        <v>49</v>
      </c>
      <c r="E2194" s="6">
        <v>45926</v>
      </c>
      <c r="F2194">
        <v>50</v>
      </c>
      <c r="G2194">
        <v>4.68</v>
      </c>
      <c r="H2194">
        <v>1.32</v>
      </c>
      <c r="I2194" s="3" t="s">
        <v>8701</v>
      </c>
    </row>
    <row r="2195" spans="1:9" x14ac:dyDescent="0.35">
      <c r="A2195" s="3" t="s">
        <v>10906</v>
      </c>
      <c r="B2195" s="3" t="s">
        <v>4699</v>
      </c>
      <c r="C2195" s="3" t="s">
        <v>4700</v>
      </c>
      <c r="D2195">
        <v>318</v>
      </c>
      <c r="E2195" s="6">
        <v>45657</v>
      </c>
      <c r="F2195">
        <v>0</v>
      </c>
      <c r="G2195">
        <v>3.972</v>
      </c>
      <c r="H2195">
        <v>0.72799999999999998</v>
      </c>
      <c r="I2195" s="3" t="s">
        <v>8756</v>
      </c>
    </row>
    <row r="2196" spans="1:9" x14ac:dyDescent="0.35">
      <c r="A2196" s="3" t="s">
        <v>10907</v>
      </c>
      <c r="B2196" s="3" t="s">
        <v>4701</v>
      </c>
      <c r="C2196" s="3" t="s">
        <v>4702</v>
      </c>
      <c r="D2196">
        <v>59</v>
      </c>
      <c r="E2196" s="6">
        <v>45916</v>
      </c>
      <c r="F2196">
        <v>0</v>
      </c>
      <c r="G2196">
        <v>46.11</v>
      </c>
      <c r="H2196">
        <v>6.8900000000000006</v>
      </c>
      <c r="I2196" s="3" t="s">
        <v>8756</v>
      </c>
    </row>
    <row r="2197" spans="1:9" x14ac:dyDescent="0.35">
      <c r="A2197" s="3" t="s">
        <v>10908</v>
      </c>
      <c r="B2197" s="3" t="s">
        <v>4703</v>
      </c>
      <c r="C2197" s="3" t="s">
        <v>4704</v>
      </c>
      <c r="D2197">
        <v>18</v>
      </c>
      <c r="E2197" s="6">
        <v>45957</v>
      </c>
      <c r="F2197">
        <v>0</v>
      </c>
      <c r="G2197">
        <v>55.44</v>
      </c>
      <c r="H2197">
        <v>0.56000000000000005</v>
      </c>
      <c r="I2197" s="3" t="s">
        <v>8756</v>
      </c>
    </row>
    <row r="2198" spans="1:9" x14ac:dyDescent="0.35">
      <c r="A2198" s="3" t="s">
        <v>11181</v>
      </c>
      <c r="B2198" s="3" t="s">
        <v>5289</v>
      </c>
      <c r="C2198" s="3" t="s">
        <v>5290</v>
      </c>
      <c r="D2198">
        <v>6988</v>
      </c>
      <c r="E2198" s="6">
        <v>38987</v>
      </c>
      <c r="F2198">
        <v>0</v>
      </c>
      <c r="G2198">
        <v>0.45</v>
      </c>
      <c r="H2198">
        <v>0.45</v>
      </c>
      <c r="I2198" s="3" t="s">
        <v>8699</v>
      </c>
    </row>
    <row r="2199" spans="1:9" x14ac:dyDescent="0.35">
      <c r="A2199" s="3" t="s">
        <v>10910</v>
      </c>
      <c r="B2199" s="3" t="s">
        <v>4707</v>
      </c>
      <c r="C2199" s="3" t="s">
        <v>4708</v>
      </c>
      <c r="D2199">
        <v>109</v>
      </c>
      <c r="E2199" s="6">
        <v>45866</v>
      </c>
      <c r="F2199">
        <v>50</v>
      </c>
      <c r="G2199">
        <v>23.52</v>
      </c>
      <c r="H2199">
        <v>0.98</v>
      </c>
      <c r="I2199" s="3" t="s">
        <v>8729</v>
      </c>
    </row>
    <row r="2200" spans="1:9" x14ac:dyDescent="0.35">
      <c r="A2200" s="3" t="s">
        <v>10911</v>
      </c>
      <c r="B2200" s="3" t="s">
        <v>4709</v>
      </c>
      <c r="C2200" s="3" t="s">
        <v>4710</v>
      </c>
      <c r="D2200">
        <v>21</v>
      </c>
      <c r="E2200" s="6">
        <v>45954</v>
      </c>
      <c r="F2200">
        <v>0</v>
      </c>
      <c r="G2200">
        <v>6.3380000000000001</v>
      </c>
      <c r="H2200">
        <v>0.46200000000000002</v>
      </c>
      <c r="I2200" s="3" t="s">
        <v>8701</v>
      </c>
    </row>
    <row r="2201" spans="1:9" x14ac:dyDescent="0.35">
      <c r="A2201" s="3" t="s">
        <v>10912</v>
      </c>
      <c r="B2201" s="3" t="s">
        <v>4711</v>
      </c>
      <c r="C2201" s="3" t="s">
        <v>4712</v>
      </c>
      <c r="D2201">
        <v>4</v>
      </c>
      <c r="E2201" s="6">
        <v>45971</v>
      </c>
      <c r="F2201">
        <v>0</v>
      </c>
      <c r="G2201">
        <v>9.6</v>
      </c>
      <c r="H2201">
        <v>2.4</v>
      </c>
      <c r="I2201" s="3" t="s">
        <v>8703</v>
      </c>
    </row>
    <row r="2202" spans="1:9" x14ac:dyDescent="0.35">
      <c r="A2202" s="3" t="s">
        <v>8989</v>
      </c>
      <c r="B2202" s="3" t="s">
        <v>646</v>
      </c>
      <c r="C2202" s="3" t="s">
        <v>647</v>
      </c>
      <c r="D2202">
        <v>7045</v>
      </c>
      <c r="E2202" s="6">
        <v>38930</v>
      </c>
      <c r="F2202">
        <v>0</v>
      </c>
      <c r="G2202">
        <v>2.3120000000000003</v>
      </c>
      <c r="H2202">
        <v>0.50800000000000001</v>
      </c>
      <c r="I2202" s="3" t="s">
        <v>8699</v>
      </c>
    </row>
    <row r="2203" spans="1:9" x14ac:dyDescent="0.35">
      <c r="A2203" s="3" t="s">
        <v>11332</v>
      </c>
      <c r="B2203" s="3" t="s">
        <v>5601</v>
      </c>
      <c r="C2203" s="3" t="s">
        <v>5602</v>
      </c>
      <c r="D2203">
        <v>7167</v>
      </c>
      <c r="E2203" s="6">
        <v>38808</v>
      </c>
      <c r="F2203">
        <v>0</v>
      </c>
      <c r="G2203">
        <v>71</v>
      </c>
      <c r="H2203">
        <v>0</v>
      </c>
      <c r="I2203" s="3" t="s">
        <v>8699</v>
      </c>
    </row>
    <row r="2204" spans="1:9" x14ac:dyDescent="0.35">
      <c r="A2204" s="3" t="s">
        <v>10915</v>
      </c>
      <c r="B2204" s="3" t="s">
        <v>4717</v>
      </c>
      <c r="C2204" s="3" t="s">
        <v>4718</v>
      </c>
      <c r="D2204">
        <v>49</v>
      </c>
      <c r="E2204" s="6">
        <v>45926</v>
      </c>
      <c r="F2204">
        <v>100</v>
      </c>
      <c r="G2204">
        <v>4.84</v>
      </c>
      <c r="H2204">
        <v>0.66</v>
      </c>
      <c r="I2204" s="3" t="s">
        <v>8701</v>
      </c>
    </row>
    <row r="2205" spans="1:9" x14ac:dyDescent="0.35">
      <c r="A2205" s="3" t="s">
        <v>10916</v>
      </c>
      <c r="B2205" s="3" t="s">
        <v>4719</v>
      </c>
      <c r="C2205" s="3" t="s">
        <v>4720</v>
      </c>
      <c r="D2205">
        <v>90</v>
      </c>
      <c r="E2205" s="6">
        <v>45885</v>
      </c>
      <c r="F2205">
        <v>0</v>
      </c>
      <c r="G2205">
        <v>0.35200000000000004</v>
      </c>
      <c r="H2205">
        <v>1.248</v>
      </c>
      <c r="I2205" s="3" t="s">
        <v>8756</v>
      </c>
    </row>
    <row r="2206" spans="1:9" x14ac:dyDescent="0.35">
      <c r="A2206" s="3" t="s">
        <v>9293</v>
      </c>
      <c r="B2206" s="3" t="s">
        <v>1287</v>
      </c>
      <c r="C2206" s="3" t="s">
        <v>1288</v>
      </c>
      <c r="D2206">
        <v>7175</v>
      </c>
      <c r="E2206" s="6">
        <v>38800</v>
      </c>
      <c r="F2206">
        <v>195</v>
      </c>
      <c r="G2206">
        <v>0.36200000000000004</v>
      </c>
      <c r="H2206">
        <v>0.76800000000000002</v>
      </c>
      <c r="I2206" s="3" t="s">
        <v>8699</v>
      </c>
    </row>
    <row r="2207" spans="1:9" x14ac:dyDescent="0.35">
      <c r="A2207" s="3" t="s">
        <v>10918</v>
      </c>
      <c r="B2207" s="3" t="s">
        <v>4723</v>
      </c>
      <c r="C2207" s="3" t="s">
        <v>4724</v>
      </c>
      <c r="D2207">
        <v>357</v>
      </c>
      <c r="E2207" s="6">
        <v>45618</v>
      </c>
      <c r="F2207">
        <v>0</v>
      </c>
      <c r="G2207">
        <v>6.0000000000000001E-3</v>
      </c>
      <c r="H2207">
        <v>0.10400000000000001</v>
      </c>
      <c r="I2207" s="3" t="s">
        <v>8712</v>
      </c>
    </row>
    <row r="2208" spans="1:9" x14ac:dyDescent="0.35">
      <c r="A2208" s="3" t="s">
        <v>10271</v>
      </c>
      <c r="B2208" s="3" t="s">
        <v>3357</v>
      </c>
      <c r="C2208" s="3" t="s">
        <v>3358</v>
      </c>
      <c r="D2208">
        <v>7258</v>
      </c>
      <c r="E2208" s="6">
        <v>38717</v>
      </c>
      <c r="F2208">
        <v>0</v>
      </c>
      <c r="G2208">
        <v>0.504</v>
      </c>
      <c r="H2208">
        <v>0.33600000000000002</v>
      </c>
      <c r="I2208" s="3" t="s">
        <v>8699</v>
      </c>
    </row>
    <row r="2209" spans="1:9" x14ac:dyDescent="0.35">
      <c r="A2209" s="3" t="s">
        <v>10920</v>
      </c>
      <c r="B2209" s="3" t="s">
        <v>4727</v>
      </c>
      <c r="C2209" s="3" t="s">
        <v>4728</v>
      </c>
      <c r="D2209">
        <v>46</v>
      </c>
      <c r="E2209" s="6">
        <v>45929</v>
      </c>
      <c r="F2209">
        <v>0</v>
      </c>
      <c r="G2209">
        <v>9.84</v>
      </c>
      <c r="H2209">
        <v>2.16</v>
      </c>
      <c r="I2209" s="3" t="s">
        <v>8701</v>
      </c>
    </row>
    <row r="2210" spans="1:9" x14ac:dyDescent="0.35">
      <c r="A2210" s="3" t="s">
        <v>10921</v>
      </c>
      <c r="B2210" s="3" t="s">
        <v>4729</v>
      </c>
      <c r="C2210" s="3" t="s">
        <v>4730</v>
      </c>
      <c r="D2210">
        <v>385</v>
      </c>
      <c r="E2210" s="6">
        <v>45590</v>
      </c>
      <c r="F2210">
        <v>0</v>
      </c>
      <c r="G2210">
        <v>6.0000000000000001E-3</v>
      </c>
      <c r="H2210">
        <v>0.10400000000000001</v>
      </c>
      <c r="I2210" s="3" t="s">
        <v>8712</v>
      </c>
    </row>
    <row r="2211" spans="1:9" x14ac:dyDescent="0.35">
      <c r="A2211" s="3" t="s">
        <v>9619</v>
      </c>
      <c r="B2211" s="3" t="s">
        <v>1967</v>
      </c>
      <c r="C2211" s="3" t="s">
        <v>1968</v>
      </c>
      <c r="D2211">
        <v>7317</v>
      </c>
      <c r="E2211" s="6">
        <v>38658</v>
      </c>
      <c r="F2211">
        <v>0</v>
      </c>
      <c r="G2211">
        <v>2.976</v>
      </c>
      <c r="H2211">
        <v>0.224</v>
      </c>
      <c r="I2211" s="3" t="s">
        <v>8699</v>
      </c>
    </row>
    <row r="2212" spans="1:9" x14ac:dyDescent="0.35">
      <c r="A2212" s="3" t="s">
        <v>10701</v>
      </c>
      <c r="B2212" s="3" t="s">
        <v>4273</v>
      </c>
      <c r="C2212" s="3" t="s">
        <v>4274</v>
      </c>
      <c r="D2212">
        <v>7318</v>
      </c>
      <c r="E2212" s="6">
        <v>38657</v>
      </c>
      <c r="F2212">
        <v>0</v>
      </c>
      <c r="G2212">
        <v>0.12200000000000001</v>
      </c>
      <c r="H2212">
        <v>0.878</v>
      </c>
      <c r="I2212" s="3" t="s">
        <v>8699</v>
      </c>
    </row>
    <row r="2213" spans="1:9" x14ac:dyDescent="0.35">
      <c r="A2213" s="3" t="s">
        <v>10924</v>
      </c>
      <c r="B2213" s="3" t="s">
        <v>4736</v>
      </c>
      <c r="C2213" s="3" t="s">
        <v>4737</v>
      </c>
      <c r="D2213">
        <v>2380</v>
      </c>
      <c r="E2213" s="6">
        <v>43595</v>
      </c>
      <c r="I2213" s="3" t="s">
        <v>8712</v>
      </c>
    </row>
    <row r="2214" spans="1:9" x14ac:dyDescent="0.35">
      <c r="A2214" s="3" t="s">
        <v>10688</v>
      </c>
      <c r="B2214" s="3" t="s">
        <v>4243</v>
      </c>
      <c r="C2214" s="3" t="s">
        <v>4244</v>
      </c>
      <c r="D2214">
        <v>7450</v>
      </c>
      <c r="E2214" s="6">
        <v>38525</v>
      </c>
      <c r="F2214">
        <v>0</v>
      </c>
      <c r="G2214">
        <v>30.694000000000003</v>
      </c>
      <c r="H2214">
        <v>0.30599999999999999</v>
      </c>
      <c r="I2214" s="3" t="s">
        <v>8699</v>
      </c>
    </row>
    <row r="2215" spans="1:9" x14ac:dyDescent="0.35">
      <c r="A2215" s="3" t="s">
        <v>10926</v>
      </c>
      <c r="B2215" s="3" t="s">
        <v>4740</v>
      </c>
      <c r="C2215" s="3" t="s">
        <v>4741</v>
      </c>
      <c r="D2215">
        <v>955</v>
      </c>
      <c r="E2215" s="6">
        <v>45020</v>
      </c>
      <c r="F2215">
        <v>0</v>
      </c>
      <c r="G2215">
        <v>0</v>
      </c>
      <c r="H2215">
        <v>0</v>
      </c>
      <c r="I2215" s="3" t="s">
        <v>28</v>
      </c>
    </row>
    <row r="2216" spans="1:9" x14ac:dyDescent="0.35">
      <c r="A2216" s="3" t="s">
        <v>11069</v>
      </c>
      <c r="B2216" s="3" t="s">
        <v>5051</v>
      </c>
      <c r="C2216" s="3" t="s">
        <v>5052</v>
      </c>
      <c r="D2216">
        <v>7450</v>
      </c>
      <c r="E2216" s="6">
        <v>38525</v>
      </c>
      <c r="F2216">
        <v>0</v>
      </c>
      <c r="G2216">
        <v>11.76</v>
      </c>
      <c r="H2216">
        <v>0.24</v>
      </c>
      <c r="I2216" s="3" t="s">
        <v>8699</v>
      </c>
    </row>
    <row r="2217" spans="1:9" x14ac:dyDescent="0.35">
      <c r="A2217" s="3" t="s">
        <v>11183</v>
      </c>
      <c r="B2217" s="3" t="s">
        <v>5294</v>
      </c>
      <c r="C2217" s="3" t="s">
        <v>5295</v>
      </c>
      <c r="D2217">
        <v>7450</v>
      </c>
      <c r="E2217" s="6">
        <v>38525</v>
      </c>
      <c r="F2217">
        <v>0</v>
      </c>
      <c r="G2217">
        <v>0.4</v>
      </c>
      <c r="H2217">
        <v>0.6</v>
      </c>
      <c r="I2217" s="3" t="s">
        <v>8699</v>
      </c>
    </row>
    <row r="2218" spans="1:9" x14ac:dyDescent="0.35">
      <c r="A2218" s="3" t="s">
        <v>10929</v>
      </c>
      <c r="B2218" s="3" t="s">
        <v>4746</v>
      </c>
      <c r="C2218" s="3" t="s">
        <v>4747</v>
      </c>
      <c r="D2218">
        <v>955</v>
      </c>
      <c r="E2218" s="6">
        <v>45020</v>
      </c>
      <c r="F2218">
        <v>0</v>
      </c>
      <c r="G2218">
        <v>0</v>
      </c>
      <c r="H2218">
        <v>0</v>
      </c>
      <c r="I2218" s="3" t="s">
        <v>28</v>
      </c>
    </row>
    <row r="2219" spans="1:9" x14ac:dyDescent="0.35">
      <c r="A2219" s="3" t="s">
        <v>9643</v>
      </c>
      <c r="B2219" s="3" t="s">
        <v>2019</v>
      </c>
      <c r="C2219" s="3" t="s">
        <v>2020</v>
      </c>
      <c r="D2219">
        <v>7503</v>
      </c>
      <c r="E2219" s="6">
        <v>38472</v>
      </c>
      <c r="F2219">
        <v>0</v>
      </c>
      <c r="G2219">
        <v>0.55200000000000005</v>
      </c>
      <c r="H2219">
        <v>0.248</v>
      </c>
      <c r="I2219" s="3" t="s">
        <v>8699</v>
      </c>
    </row>
    <row r="2220" spans="1:9" x14ac:dyDescent="0.35">
      <c r="A2220" s="3" t="s">
        <v>10527</v>
      </c>
      <c r="B2220" s="3" t="s">
        <v>3906</v>
      </c>
      <c r="C2220" s="3" t="s">
        <v>3907</v>
      </c>
      <c r="D2220">
        <v>7503</v>
      </c>
      <c r="E2220" s="6">
        <v>38472</v>
      </c>
      <c r="F2220">
        <v>0</v>
      </c>
      <c r="G2220">
        <v>0.6</v>
      </c>
      <c r="H2220">
        <v>0.4</v>
      </c>
      <c r="I2220" s="3" t="s">
        <v>8699</v>
      </c>
    </row>
    <row r="2221" spans="1:9" x14ac:dyDescent="0.35">
      <c r="A2221" s="3" t="s">
        <v>9931</v>
      </c>
      <c r="B2221" s="3" t="s">
        <v>2634</v>
      </c>
      <c r="C2221" s="3" t="s">
        <v>2635</v>
      </c>
      <c r="D2221">
        <v>7550</v>
      </c>
      <c r="E2221" s="6">
        <v>38425</v>
      </c>
      <c r="F2221">
        <v>0</v>
      </c>
      <c r="G2221">
        <v>1.44</v>
      </c>
      <c r="H2221">
        <v>0.56000000000000005</v>
      </c>
      <c r="I2221" s="3" t="s">
        <v>8699</v>
      </c>
    </row>
    <row r="2222" spans="1:9" x14ac:dyDescent="0.35">
      <c r="A2222" s="3" t="s">
        <v>10933</v>
      </c>
      <c r="B2222" s="3" t="s">
        <v>4754</v>
      </c>
      <c r="C2222" s="3" t="s">
        <v>4755</v>
      </c>
      <c r="D2222">
        <v>955</v>
      </c>
      <c r="E2222" s="6">
        <v>45020</v>
      </c>
      <c r="F2222">
        <v>0</v>
      </c>
      <c r="G2222">
        <v>0</v>
      </c>
      <c r="H2222">
        <v>0</v>
      </c>
      <c r="I2222" s="3" t="s">
        <v>28</v>
      </c>
    </row>
    <row r="2223" spans="1:9" x14ac:dyDescent="0.35">
      <c r="A2223" s="3" t="s">
        <v>10934</v>
      </c>
      <c r="B2223" s="3" t="s">
        <v>4756</v>
      </c>
      <c r="C2223" s="3" t="s">
        <v>4757</v>
      </c>
      <c r="D2223">
        <v>14</v>
      </c>
      <c r="E2223" s="6">
        <v>45961</v>
      </c>
      <c r="F2223">
        <v>0</v>
      </c>
      <c r="G2223">
        <v>0.81400000000000006</v>
      </c>
      <c r="H2223">
        <v>0.28600000000000003</v>
      </c>
      <c r="I2223" s="3" t="s">
        <v>8701</v>
      </c>
    </row>
    <row r="2224" spans="1:9" x14ac:dyDescent="0.35">
      <c r="A2224" s="3" t="s">
        <v>8732</v>
      </c>
      <c r="B2224" s="3" t="s">
        <v>96</v>
      </c>
      <c r="C2224" s="3" t="s">
        <v>97</v>
      </c>
      <c r="D2224">
        <v>7553</v>
      </c>
      <c r="E2224" s="6">
        <v>38422</v>
      </c>
      <c r="F2224">
        <v>0</v>
      </c>
      <c r="G2224">
        <v>0.12</v>
      </c>
      <c r="H2224">
        <v>1.08</v>
      </c>
      <c r="I2224" s="3" t="s">
        <v>8699</v>
      </c>
    </row>
    <row r="2225" spans="1:9" x14ac:dyDescent="0.35">
      <c r="A2225" s="3" t="s">
        <v>11158</v>
      </c>
      <c r="B2225" s="3" t="s">
        <v>5239</v>
      </c>
      <c r="C2225" s="3" t="s">
        <v>5240</v>
      </c>
      <c r="D2225">
        <v>7564</v>
      </c>
      <c r="E2225" s="6">
        <v>38411</v>
      </c>
      <c r="F2225">
        <v>0</v>
      </c>
      <c r="G2225">
        <v>13.151</v>
      </c>
      <c r="H2225">
        <v>0.83900000000000008</v>
      </c>
      <c r="I2225" s="3" t="s">
        <v>8699</v>
      </c>
    </row>
    <row r="2226" spans="1:9" x14ac:dyDescent="0.35">
      <c r="A2226" s="3" t="s">
        <v>10937</v>
      </c>
      <c r="B2226" s="3" t="s">
        <v>4762</v>
      </c>
      <c r="C2226" s="3" t="s">
        <v>4763</v>
      </c>
      <c r="D2226">
        <v>9052</v>
      </c>
      <c r="E2226" s="6">
        <v>36923</v>
      </c>
      <c r="F2226">
        <v>0</v>
      </c>
      <c r="G2226">
        <v>0.315</v>
      </c>
      <c r="H2226">
        <v>5.9850000000000003</v>
      </c>
      <c r="I2226" s="3" t="s">
        <v>8701</v>
      </c>
    </row>
    <row r="2227" spans="1:9" x14ac:dyDescent="0.35">
      <c r="A2227" s="3" t="s">
        <v>10856</v>
      </c>
      <c r="B2227" s="3" t="s">
        <v>4594</v>
      </c>
      <c r="C2227" s="3" t="s">
        <v>4595</v>
      </c>
      <c r="D2227">
        <v>7581</v>
      </c>
      <c r="E2227" s="6">
        <v>38394</v>
      </c>
      <c r="F2227">
        <v>340</v>
      </c>
      <c r="G2227">
        <v>0.21</v>
      </c>
      <c r="H2227">
        <v>0.54</v>
      </c>
      <c r="I2227" s="3" t="s">
        <v>8699</v>
      </c>
    </row>
    <row r="2228" spans="1:9" x14ac:dyDescent="0.35">
      <c r="A2228" s="3" t="s">
        <v>11160</v>
      </c>
      <c r="B2228" s="3" t="s">
        <v>5243</v>
      </c>
      <c r="C2228" s="3" t="s">
        <v>5244</v>
      </c>
      <c r="D2228">
        <v>7585</v>
      </c>
      <c r="E2228" s="6">
        <v>38390</v>
      </c>
      <c r="F2228">
        <v>0</v>
      </c>
      <c r="G2228">
        <v>2.4E-2</v>
      </c>
      <c r="H2228">
        <v>1.1760000000000002</v>
      </c>
      <c r="I2228" s="3" t="s">
        <v>8699</v>
      </c>
    </row>
    <row r="2229" spans="1:9" x14ac:dyDescent="0.35">
      <c r="A2229" s="3" t="s">
        <v>10940</v>
      </c>
      <c r="B2229" s="3" t="s">
        <v>4771</v>
      </c>
      <c r="C2229" s="3" t="s">
        <v>4772</v>
      </c>
      <c r="D2229">
        <v>56</v>
      </c>
      <c r="E2229" s="6">
        <v>45919</v>
      </c>
      <c r="F2229">
        <v>0</v>
      </c>
      <c r="G2229">
        <v>13.5</v>
      </c>
      <c r="H2229">
        <v>1.5</v>
      </c>
      <c r="I2229" s="3" t="s">
        <v>8756</v>
      </c>
    </row>
    <row r="2230" spans="1:9" x14ac:dyDescent="0.35">
      <c r="A2230" s="3" t="s">
        <v>8779</v>
      </c>
      <c r="B2230" s="3" t="s">
        <v>196</v>
      </c>
      <c r="C2230" s="3" t="s">
        <v>197</v>
      </c>
      <c r="D2230">
        <v>7633</v>
      </c>
      <c r="E2230" s="6">
        <v>38342</v>
      </c>
      <c r="F2230">
        <v>150</v>
      </c>
      <c r="G2230">
        <v>0.312</v>
      </c>
      <c r="H2230">
        <v>0.33800000000000002</v>
      </c>
      <c r="I2230" s="3" t="s">
        <v>8699</v>
      </c>
    </row>
    <row r="2231" spans="1:9" x14ac:dyDescent="0.35">
      <c r="A2231" s="3" t="s">
        <v>10942</v>
      </c>
      <c r="B2231" s="3" t="s">
        <v>4775</v>
      </c>
      <c r="C2231" s="3" t="s">
        <v>4776</v>
      </c>
      <c r="D2231">
        <v>62</v>
      </c>
      <c r="E2231" s="6">
        <v>45913</v>
      </c>
      <c r="F2231">
        <v>0</v>
      </c>
      <c r="G2231">
        <v>44.1</v>
      </c>
      <c r="H2231">
        <v>0.9</v>
      </c>
      <c r="I2231" s="3" t="s">
        <v>8701</v>
      </c>
    </row>
    <row r="2232" spans="1:9" x14ac:dyDescent="0.35">
      <c r="A2232" s="3" t="s">
        <v>10943</v>
      </c>
      <c r="B2232" s="3" t="s">
        <v>4777</v>
      </c>
      <c r="C2232" s="3" t="s">
        <v>4778</v>
      </c>
      <c r="D2232">
        <v>77</v>
      </c>
      <c r="E2232" s="6">
        <v>45898</v>
      </c>
      <c r="F2232">
        <v>150</v>
      </c>
      <c r="G2232">
        <v>0.5</v>
      </c>
      <c r="H2232">
        <v>1.5</v>
      </c>
      <c r="I2232" s="3" t="s">
        <v>8701</v>
      </c>
    </row>
    <row r="2233" spans="1:9" x14ac:dyDescent="0.35">
      <c r="A2233" s="3" t="s">
        <v>10944</v>
      </c>
      <c r="B2233" s="3" t="s">
        <v>4779</v>
      </c>
      <c r="C2233" s="3" t="s">
        <v>4780</v>
      </c>
      <c r="D2233">
        <v>49</v>
      </c>
      <c r="E2233" s="6">
        <v>45926</v>
      </c>
      <c r="F2233">
        <v>877</v>
      </c>
      <c r="G2233">
        <v>0.45</v>
      </c>
      <c r="H2233">
        <v>0.55000000000000004</v>
      </c>
      <c r="I2233" s="3" t="s">
        <v>8703</v>
      </c>
    </row>
    <row r="2234" spans="1:9" x14ac:dyDescent="0.35">
      <c r="A2234" s="3" t="s">
        <v>10442</v>
      </c>
      <c r="B2234" s="3" t="s">
        <v>3723</v>
      </c>
      <c r="C2234" s="3" t="s">
        <v>3724</v>
      </c>
      <c r="D2234">
        <v>7654</v>
      </c>
      <c r="E2234" s="6">
        <v>38321</v>
      </c>
      <c r="F2234">
        <v>0</v>
      </c>
      <c r="G2234">
        <v>2.9000000000000001E-2</v>
      </c>
      <c r="H2234">
        <v>0.26100000000000001</v>
      </c>
      <c r="I2234" s="3" t="s">
        <v>8699</v>
      </c>
    </row>
    <row r="2235" spans="1:9" x14ac:dyDescent="0.35">
      <c r="A2235" s="3" t="s">
        <v>10946</v>
      </c>
      <c r="B2235" s="3" t="s">
        <v>4783</v>
      </c>
      <c r="C2235" s="3" t="s">
        <v>4784</v>
      </c>
      <c r="D2235">
        <v>45</v>
      </c>
      <c r="E2235" s="6">
        <v>45930</v>
      </c>
      <c r="F2235">
        <v>100</v>
      </c>
      <c r="G2235">
        <v>1.4850000000000001</v>
      </c>
      <c r="H2235">
        <v>1.2150000000000001</v>
      </c>
      <c r="I2235" s="3" t="s">
        <v>8701</v>
      </c>
    </row>
    <row r="2236" spans="1:9" x14ac:dyDescent="0.35">
      <c r="A2236" s="3" t="s">
        <v>10617</v>
      </c>
      <c r="B2236" s="3" t="s">
        <v>4092</v>
      </c>
      <c r="C2236" s="3" t="s">
        <v>4093</v>
      </c>
      <c r="D2236">
        <v>7683</v>
      </c>
      <c r="E2236" s="6">
        <v>38292</v>
      </c>
      <c r="F2236">
        <v>125</v>
      </c>
      <c r="G2236">
        <v>1.9680000000000002</v>
      </c>
      <c r="H2236">
        <v>0.432</v>
      </c>
      <c r="I2236" s="3" t="s">
        <v>8699</v>
      </c>
    </row>
    <row r="2237" spans="1:9" x14ac:dyDescent="0.35">
      <c r="A2237" s="3" t="s">
        <v>11217</v>
      </c>
      <c r="B2237" s="3" t="s">
        <v>5363</v>
      </c>
      <c r="C2237" s="3" t="s">
        <v>5364</v>
      </c>
      <c r="D2237">
        <v>7714</v>
      </c>
      <c r="E2237" s="6">
        <v>38261</v>
      </c>
      <c r="F2237">
        <v>0</v>
      </c>
      <c r="G2237">
        <v>0.2</v>
      </c>
      <c r="H2237">
        <v>0.8</v>
      </c>
      <c r="I2237" s="3" t="s">
        <v>8699</v>
      </c>
    </row>
    <row r="2238" spans="1:9" x14ac:dyDescent="0.35">
      <c r="A2238" s="3" t="s">
        <v>10772</v>
      </c>
      <c r="B2238" s="3" t="s">
        <v>4421</v>
      </c>
      <c r="C2238" s="3" t="s">
        <v>4422</v>
      </c>
      <c r="D2238">
        <v>7722</v>
      </c>
      <c r="E2238" s="6">
        <v>38253</v>
      </c>
      <c r="F2238">
        <v>0</v>
      </c>
      <c r="G2238">
        <v>0.64</v>
      </c>
      <c r="H2238">
        <v>1.02</v>
      </c>
      <c r="I2238" s="3" t="s">
        <v>8699</v>
      </c>
    </row>
    <row r="2239" spans="1:9" x14ac:dyDescent="0.35">
      <c r="A2239" s="3" t="s">
        <v>10950</v>
      </c>
      <c r="B2239" s="3" t="s">
        <v>4793</v>
      </c>
      <c r="C2239" s="3" t="s">
        <v>4794</v>
      </c>
      <c r="D2239">
        <v>13</v>
      </c>
      <c r="E2239" s="6">
        <v>45962</v>
      </c>
      <c r="F2239">
        <v>200</v>
      </c>
      <c r="G2239">
        <v>2.1320000000000001</v>
      </c>
      <c r="H2239">
        <v>1.9680000000000002</v>
      </c>
      <c r="I2239" s="3" t="s">
        <v>8756</v>
      </c>
    </row>
    <row r="2240" spans="1:9" x14ac:dyDescent="0.35">
      <c r="A2240" s="3" t="s">
        <v>11223</v>
      </c>
      <c r="B2240" s="3" t="s">
        <v>5375</v>
      </c>
      <c r="C2240" s="3" t="s">
        <v>5376</v>
      </c>
      <c r="D2240">
        <v>7722</v>
      </c>
      <c r="E2240" s="6">
        <v>38253</v>
      </c>
      <c r="F2240">
        <v>0</v>
      </c>
      <c r="G2240">
        <v>2.97</v>
      </c>
      <c r="H2240">
        <v>0.03</v>
      </c>
      <c r="I2240" s="3" t="s">
        <v>8699</v>
      </c>
    </row>
    <row r="2241" spans="1:9" x14ac:dyDescent="0.35">
      <c r="A2241" s="3" t="s">
        <v>10952</v>
      </c>
      <c r="B2241" s="3" t="s">
        <v>4797</v>
      </c>
      <c r="C2241" s="3" t="s">
        <v>4798</v>
      </c>
      <c r="D2241">
        <v>23</v>
      </c>
      <c r="E2241" s="6">
        <v>45952</v>
      </c>
      <c r="F2241">
        <v>0</v>
      </c>
      <c r="G2241">
        <v>4.92</v>
      </c>
      <c r="H2241">
        <v>1.08</v>
      </c>
      <c r="I2241" s="3" t="s">
        <v>8701</v>
      </c>
    </row>
    <row r="2242" spans="1:9" x14ac:dyDescent="0.35">
      <c r="A2242" s="3" t="s">
        <v>9058</v>
      </c>
      <c r="B2242" s="3" t="s">
        <v>792</v>
      </c>
      <c r="C2242" s="3" t="s">
        <v>793</v>
      </c>
      <c r="D2242">
        <v>7726</v>
      </c>
      <c r="E2242" s="6">
        <v>38249</v>
      </c>
      <c r="F2242">
        <v>0</v>
      </c>
      <c r="G2242">
        <v>1.28</v>
      </c>
      <c r="H2242">
        <v>0.72</v>
      </c>
      <c r="I2242" s="3" t="s">
        <v>8699</v>
      </c>
    </row>
    <row r="2243" spans="1:9" x14ac:dyDescent="0.35">
      <c r="A2243" s="3" t="s">
        <v>10763</v>
      </c>
      <c r="B2243" s="3" t="s">
        <v>4403</v>
      </c>
      <c r="C2243" s="3" t="s">
        <v>4404</v>
      </c>
      <c r="D2243">
        <v>7735</v>
      </c>
      <c r="E2243" s="6">
        <v>38240</v>
      </c>
      <c r="F2243">
        <v>0</v>
      </c>
      <c r="G2243">
        <v>0.24</v>
      </c>
      <c r="H2243">
        <v>1.76</v>
      </c>
      <c r="I2243" s="3" t="s">
        <v>8699</v>
      </c>
    </row>
    <row r="2244" spans="1:9" x14ac:dyDescent="0.35">
      <c r="A2244" s="3" t="s">
        <v>10955</v>
      </c>
      <c r="B2244" s="3" t="s">
        <v>4803</v>
      </c>
      <c r="C2244" s="3" t="s">
        <v>4804</v>
      </c>
      <c r="D2244">
        <v>337</v>
      </c>
      <c r="E2244" s="6">
        <v>45638</v>
      </c>
      <c r="F2244">
        <v>0</v>
      </c>
      <c r="G2244">
        <v>14.4</v>
      </c>
      <c r="H2244">
        <v>0.6</v>
      </c>
      <c r="I2244" s="3" t="s">
        <v>8701</v>
      </c>
    </row>
    <row r="2245" spans="1:9" x14ac:dyDescent="0.35">
      <c r="A2245" s="3" t="s">
        <v>8734</v>
      </c>
      <c r="B2245" s="3" t="s">
        <v>100</v>
      </c>
      <c r="C2245" s="3" t="s">
        <v>101</v>
      </c>
      <c r="D2245">
        <v>7738</v>
      </c>
      <c r="E2245" s="6">
        <v>38237</v>
      </c>
      <c r="F2245">
        <v>0</v>
      </c>
      <c r="G2245">
        <v>0.39</v>
      </c>
      <c r="H2245">
        <v>0.91</v>
      </c>
      <c r="I2245" s="3" t="s">
        <v>8699</v>
      </c>
    </row>
    <row r="2246" spans="1:9" x14ac:dyDescent="0.35">
      <c r="A2246" s="3" t="s">
        <v>10957</v>
      </c>
      <c r="B2246" s="3" t="s">
        <v>4807</v>
      </c>
      <c r="C2246" s="3" t="s">
        <v>4808</v>
      </c>
      <c r="D2246">
        <v>89</v>
      </c>
      <c r="E2246" s="6">
        <v>45886</v>
      </c>
      <c r="F2246">
        <v>0</v>
      </c>
      <c r="G2246">
        <v>1.5810000000000002</v>
      </c>
      <c r="H2246">
        <v>0.92900000000000005</v>
      </c>
      <c r="I2246" s="3" t="s">
        <v>8756</v>
      </c>
    </row>
    <row r="2247" spans="1:9" x14ac:dyDescent="0.35">
      <c r="A2247" s="3" t="s">
        <v>10958</v>
      </c>
      <c r="B2247" s="3" t="s">
        <v>4810</v>
      </c>
      <c r="C2247" s="3" t="s">
        <v>4811</v>
      </c>
      <c r="D2247">
        <v>46</v>
      </c>
      <c r="E2247" s="6">
        <v>45929</v>
      </c>
      <c r="F2247">
        <v>0</v>
      </c>
      <c r="G2247">
        <v>1.804</v>
      </c>
      <c r="H2247">
        <v>2.2960000000000003</v>
      </c>
      <c r="I2247" s="3" t="s">
        <v>8701</v>
      </c>
    </row>
    <row r="2248" spans="1:9" x14ac:dyDescent="0.35">
      <c r="A2248" s="3" t="s">
        <v>8753</v>
      </c>
      <c r="B2248" s="3" t="s">
        <v>137</v>
      </c>
      <c r="C2248" s="3" t="s">
        <v>138</v>
      </c>
      <c r="D2248">
        <v>7744</v>
      </c>
      <c r="E2248" s="6">
        <v>38231</v>
      </c>
      <c r="F2248">
        <v>0</v>
      </c>
      <c r="G2248">
        <v>0.88</v>
      </c>
      <c r="H2248">
        <v>0.72</v>
      </c>
      <c r="I2248" s="3" t="s">
        <v>8699</v>
      </c>
    </row>
    <row r="2249" spans="1:9" x14ac:dyDescent="0.35">
      <c r="A2249" s="3" t="s">
        <v>10960</v>
      </c>
      <c r="B2249" s="3" t="s">
        <v>4814</v>
      </c>
      <c r="C2249" s="3" t="s">
        <v>4815</v>
      </c>
      <c r="D2249">
        <v>29</v>
      </c>
      <c r="E2249" s="6">
        <v>45946</v>
      </c>
      <c r="F2249">
        <v>0</v>
      </c>
      <c r="G2249">
        <v>78.400000000000006</v>
      </c>
      <c r="H2249">
        <v>1.6</v>
      </c>
      <c r="I2249" s="3" t="s">
        <v>8701</v>
      </c>
    </row>
    <row r="2250" spans="1:9" x14ac:dyDescent="0.35">
      <c r="A2250" s="3" t="s">
        <v>9916</v>
      </c>
      <c r="B2250" s="3" t="s">
        <v>2602</v>
      </c>
      <c r="C2250" s="3" t="s">
        <v>2603</v>
      </c>
      <c r="D2250">
        <v>7785</v>
      </c>
      <c r="E2250" s="6">
        <v>38190</v>
      </c>
      <c r="F2250">
        <v>0</v>
      </c>
      <c r="G2250">
        <v>9.0000000000000011E-3</v>
      </c>
      <c r="H2250">
        <v>0.39100000000000001</v>
      </c>
      <c r="I2250" s="3" t="s">
        <v>8699</v>
      </c>
    </row>
    <row r="2251" spans="1:9" x14ac:dyDescent="0.35">
      <c r="A2251" s="3" t="s">
        <v>10962</v>
      </c>
      <c r="B2251" s="3" t="s">
        <v>4818</v>
      </c>
      <c r="C2251" s="3" t="s">
        <v>4819</v>
      </c>
      <c r="D2251">
        <v>88</v>
      </c>
      <c r="E2251" s="6">
        <v>45887</v>
      </c>
      <c r="F2251">
        <v>0</v>
      </c>
      <c r="G2251">
        <v>9.3000000000000007</v>
      </c>
      <c r="H2251">
        <v>0.70000000000000007</v>
      </c>
      <c r="I2251" s="3" t="s">
        <v>8701</v>
      </c>
    </row>
    <row r="2252" spans="1:9" x14ac:dyDescent="0.35">
      <c r="A2252" s="3" t="s">
        <v>8795</v>
      </c>
      <c r="B2252" s="3" t="s">
        <v>230</v>
      </c>
      <c r="C2252" s="3" t="s">
        <v>231</v>
      </c>
      <c r="D2252">
        <v>7841</v>
      </c>
      <c r="E2252" s="6">
        <v>38134</v>
      </c>
      <c r="F2252">
        <v>0</v>
      </c>
      <c r="G2252">
        <v>0.3</v>
      </c>
      <c r="H2252">
        <v>1.7</v>
      </c>
      <c r="I2252" s="3" t="s">
        <v>8699</v>
      </c>
    </row>
    <row r="2253" spans="1:9" x14ac:dyDescent="0.35">
      <c r="A2253" s="3" t="s">
        <v>10964</v>
      </c>
      <c r="B2253" s="3" t="s">
        <v>4822</v>
      </c>
      <c r="C2253" s="3" t="s">
        <v>4823</v>
      </c>
      <c r="D2253">
        <v>24</v>
      </c>
      <c r="E2253" s="6">
        <v>45951</v>
      </c>
      <c r="F2253">
        <v>0</v>
      </c>
      <c r="G2253">
        <v>10.120000000000001</v>
      </c>
      <c r="H2253">
        <v>0.88</v>
      </c>
      <c r="I2253" s="3" t="s">
        <v>8705</v>
      </c>
    </row>
    <row r="2254" spans="1:9" x14ac:dyDescent="0.35">
      <c r="A2254" s="3" t="s">
        <v>10965</v>
      </c>
      <c r="B2254" s="3" t="s">
        <v>4825</v>
      </c>
      <c r="C2254" s="3" t="s">
        <v>4826</v>
      </c>
      <c r="D2254">
        <v>21</v>
      </c>
      <c r="E2254" s="6">
        <v>45954</v>
      </c>
      <c r="F2254">
        <v>0</v>
      </c>
      <c r="G2254">
        <v>7.99</v>
      </c>
      <c r="H2254">
        <v>0.51</v>
      </c>
      <c r="I2254" s="3" t="s">
        <v>8701</v>
      </c>
    </row>
    <row r="2255" spans="1:9" x14ac:dyDescent="0.35">
      <c r="A2255" s="3" t="s">
        <v>10966</v>
      </c>
      <c r="B2255" s="3" t="s">
        <v>4828</v>
      </c>
      <c r="C2255" s="3" t="s">
        <v>4829</v>
      </c>
      <c r="D2255">
        <v>21</v>
      </c>
      <c r="E2255" s="6">
        <v>45954</v>
      </c>
      <c r="F2255">
        <v>0</v>
      </c>
      <c r="G2255">
        <v>29.167000000000002</v>
      </c>
      <c r="H2255">
        <v>0.93300000000000005</v>
      </c>
      <c r="I2255" s="3" t="s">
        <v>8701</v>
      </c>
    </row>
    <row r="2256" spans="1:9" x14ac:dyDescent="0.35">
      <c r="A2256" s="3" t="s">
        <v>10967</v>
      </c>
      <c r="B2256" s="3" t="s">
        <v>4830</v>
      </c>
      <c r="C2256" s="3" t="s">
        <v>4831</v>
      </c>
      <c r="D2256">
        <v>23</v>
      </c>
      <c r="E2256" s="6">
        <v>45952</v>
      </c>
      <c r="F2256">
        <v>0</v>
      </c>
      <c r="G2256">
        <v>10.08</v>
      </c>
      <c r="H2256">
        <v>1.92</v>
      </c>
      <c r="I2256" s="3" t="s">
        <v>8756</v>
      </c>
    </row>
    <row r="2257" spans="1:9" x14ac:dyDescent="0.35">
      <c r="A2257" s="3" t="s">
        <v>8992</v>
      </c>
      <c r="B2257" s="3" t="s">
        <v>653</v>
      </c>
      <c r="C2257" s="3" t="s">
        <v>654</v>
      </c>
      <c r="D2257">
        <v>7851</v>
      </c>
      <c r="E2257" s="6">
        <v>38124</v>
      </c>
      <c r="F2257">
        <v>0</v>
      </c>
      <c r="G2257">
        <v>0.66</v>
      </c>
      <c r="H2257">
        <v>0.44</v>
      </c>
      <c r="I2257" s="3" t="s">
        <v>8699</v>
      </c>
    </row>
    <row r="2258" spans="1:9" x14ac:dyDescent="0.35">
      <c r="A2258" s="3" t="s">
        <v>10969</v>
      </c>
      <c r="B2258" s="3" t="s">
        <v>4834</v>
      </c>
      <c r="C2258" s="3" t="s">
        <v>4835</v>
      </c>
      <c r="D2258">
        <v>23</v>
      </c>
      <c r="E2258" s="6">
        <v>45952</v>
      </c>
      <c r="F2258">
        <v>0</v>
      </c>
      <c r="G2258">
        <v>16.559999999999999</v>
      </c>
      <c r="H2258">
        <v>1.44</v>
      </c>
      <c r="I2258" s="3" t="s">
        <v>8701</v>
      </c>
    </row>
    <row r="2259" spans="1:9" x14ac:dyDescent="0.35">
      <c r="A2259" s="3" t="s">
        <v>10489</v>
      </c>
      <c r="B2259" s="3" t="s">
        <v>3827</v>
      </c>
      <c r="C2259" s="3" t="s">
        <v>3828</v>
      </c>
      <c r="D2259">
        <v>7868</v>
      </c>
      <c r="E2259" s="6">
        <v>38107</v>
      </c>
      <c r="F2259">
        <v>400</v>
      </c>
      <c r="G2259">
        <v>0.108</v>
      </c>
      <c r="H2259">
        <v>0.29200000000000004</v>
      </c>
      <c r="I2259" s="3" t="s">
        <v>8699</v>
      </c>
    </row>
    <row r="2260" spans="1:9" x14ac:dyDescent="0.35">
      <c r="A2260" s="3" t="s">
        <v>10971</v>
      </c>
      <c r="B2260" s="3" t="s">
        <v>4838</v>
      </c>
      <c r="C2260" s="3" t="s">
        <v>4839</v>
      </c>
      <c r="D2260">
        <v>726</v>
      </c>
      <c r="E2260" s="6">
        <v>45249</v>
      </c>
      <c r="F2260">
        <v>0</v>
      </c>
      <c r="G2260">
        <v>0</v>
      </c>
      <c r="H2260">
        <v>0</v>
      </c>
      <c r="I2260" s="3" t="s">
        <v>28</v>
      </c>
    </row>
    <row r="2261" spans="1:9" x14ac:dyDescent="0.35">
      <c r="A2261" s="3" t="s">
        <v>10972</v>
      </c>
      <c r="B2261" s="3" t="s">
        <v>4840</v>
      </c>
      <c r="C2261" s="3" t="s">
        <v>4841</v>
      </c>
      <c r="D2261">
        <v>21</v>
      </c>
      <c r="E2261" s="6">
        <v>45954</v>
      </c>
      <c r="F2261">
        <v>0</v>
      </c>
      <c r="G2261">
        <v>27.645</v>
      </c>
      <c r="H2261">
        <v>0.85500000000000009</v>
      </c>
      <c r="I2261" s="3" t="s">
        <v>8701</v>
      </c>
    </row>
    <row r="2262" spans="1:9" x14ac:dyDescent="0.35">
      <c r="A2262" s="3" t="s">
        <v>10147</v>
      </c>
      <c r="B2262" s="3" t="s">
        <v>3098</v>
      </c>
      <c r="C2262" s="3" t="s">
        <v>3099</v>
      </c>
      <c r="D2262">
        <v>7913</v>
      </c>
      <c r="E2262" s="6">
        <v>38062</v>
      </c>
      <c r="F2262">
        <v>0</v>
      </c>
      <c r="G2262">
        <v>1.44</v>
      </c>
      <c r="H2262">
        <v>0.36</v>
      </c>
      <c r="I2262" s="3" t="s">
        <v>8699</v>
      </c>
    </row>
    <row r="2263" spans="1:9" x14ac:dyDescent="0.35">
      <c r="A2263" s="3" t="s">
        <v>10974</v>
      </c>
      <c r="B2263" s="3" t="s">
        <v>4844</v>
      </c>
      <c r="C2263" s="3" t="s">
        <v>4845</v>
      </c>
      <c r="D2263">
        <v>79</v>
      </c>
      <c r="E2263" s="6">
        <v>45896</v>
      </c>
      <c r="F2263">
        <v>0</v>
      </c>
      <c r="G2263">
        <v>1.76</v>
      </c>
      <c r="H2263">
        <v>1.44</v>
      </c>
      <c r="I2263" s="3" t="s">
        <v>8701</v>
      </c>
    </row>
    <row r="2264" spans="1:9" x14ac:dyDescent="0.35">
      <c r="A2264" s="3" t="s">
        <v>9785</v>
      </c>
      <c r="B2264" s="3" t="s">
        <v>2320</v>
      </c>
      <c r="C2264" s="3" t="s">
        <v>2321</v>
      </c>
      <c r="D2264">
        <v>7943</v>
      </c>
      <c r="E2264" s="6">
        <v>38032</v>
      </c>
      <c r="F2264">
        <v>0</v>
      </c>
      <c r="G2264">
        <v>0.15</v>
      </c>
      <c r="H2264">
        <v>1.35</v>
      </c>
      <c r="I2264" s="3" t="s">
        <v>8699</v>
      </c>
    </row>
    <row r="2265" spans="1:9" x14ac:dyDescent="0.35">
      <c r="A2265" s="3" t="s">
        <v>10976</v>
      </c>
      <c r="B2265" s="3" t="s">
        <v>4848</v>
      </c>
      <c r="C2265" s="3" t="s">
        <v>4849</v>
      </c>
      <c r="D2265">
        <v>23</v>
      </c>
      <c r="E2265" s="6">
        <v>45952</v>
      </c>
      <c r="F2265">
        <v>0</v>
      </c>
      <c r="G2265">
        <v>0.2</v>
      </c>
      <c r="H2265">
        <v>0.8</v>
      </c>
      <c r="I2265" s="3" t="s">
        <v>8756</v>
      </c>
    </row>
    <row r="2266" spans="1:9" x14ac:dyDescent="0.35">
      <c r="A2266" s="3" t="s">
        <v>10977</v>
      </c>
      <c r="B2266" s="3" t="s">
        <v>4850</v>
      </c>
      <c r="C2266" s="3" t="s">
        <v>4851</v>
      </c>
      <c r="D2266">
        <v>21</v>
      </c>
      <c r="E2266" s="6">
        <v>45954</v>
      </c>
      <c r="F2266">
        <v>0</v>
      </c>
      <c r="G2266">
        <v>0.61599999999999999</v>
      </c>
      <c r="H2266">
        <v>0.48400000000000004</v>
      </c>
      <c r="I2266" s="3" t="s">
        <v>8701</v>
      </c>
    </row>
    <row r="2267" spans="1:9" x14ac:dyDescent="0.35">
      <c r="A2267" s="3" t="s">
        <v>10978</v>
      </c>
      <c r="B2267" s="3" t="s">
        <v>4852</v>
      </c>
      <c r="C2267" s="3" t="s">
        <v>4853</v>
      </c>
      <c r="D2267">
        <v>49</v>
      </c>
      <c r="E2267" s="6">
        <v>45926</v>
      </c>
      <c r="F2267">
        <v>200</v>
      </c>
      <c r="G2267">
        <v>40.5</v>
      </c>
      <c r="H2267">
        <v>4.5</v>
      </c>
      <c r="I2267" s="3" t="s">
        <v>8701</v>
      </c>
    </row>
    <row r="2268" spans="1:9" x14ac:dyDescent="0.35">
      <c r="A2268" s="3" t="s">
        <v>10979</v>
      </c>
      <c r="B2268" s="3" t="s">
        <v>4854</v>
      </c>
      <c r="C2268" s="3" t="s">
        <v>4855</v>
      </c>
      <c r="D2268">
        <v>25</v>
      </c>
      <c r="E2268" s="6">
        <v>45950</v>
      </c>
      <c r="F2268">
        <v>100</v>
      </c>
      <c r="G2268">
        <v>14.24</v>
      </c>
      <c r="H2268">
        <v>1.76</v>
      </c>
      <c r="I2268" s="3" t="s">
        <v>8756</v>
      </c>
    </row>
    <row r="2269" spans="1:9" x14ac:dyDescent="0.35">
      <c r="A2269" s="3" t="s">
        <v>10980</v>
      </c>
      <c r="B2269" s="3" t="s">
        <v>4856</v>
      </c>
      <c r="C2269" s="3" t="s">
        <v>4857</v>
      </c>
      <c r="D2269">
        <v>58</v>
      </c>
      <c r="E2269" s="6">
        <v>45917</v>
      </c>
      <c r="F2269">
        <v>0</v>
      </c>
      <c r="G2269">
        <v>10.01</v>
      </c>
      <c r="H2269">
        <v>2.99</v>
      </c>
      <c r="I2269" s="3" t="s">
        <v>8756</v>
      </c>
    </row>
    <row r="2270" spans="1:9" x14ac:dyDescent="0.35">
      <c r="A2270" s="3" t="s">
        <v>10981</v>
      </c>
      <c r="B2270" s="3" t="s">
        <v>4858</v>
      </c>
      <c r="C2270" s="3" t="s">
        <v>4859</v>
      </c>
      <c r="D2270">
        <v>415</v>
      </c>
      <c r="E2270" s="6">
        <v>45560</v>
      </c>
      <c r="F2270">
        <v>0</v>
      </c>
      <c r="G2270">
        <v>6.0000000000000001E-3</v>
      </c>
      <c r="H2270">
        <v>0.10400000000000001</v>
      </c>
      <c r="I2270" s="3" t="s">
        <v>8712</v>
      </c>
    </row>
    <row r="2271" spans="1:9" x14ac:dyDescent="0.35">
      <c r="A2271" s="3" t="s">
        <v>10982</v>
      </c>
      <c r="B2271" s="3" t="s">
        <v>4860</v>
      </c>
      <c r="C2271" s="3" t="s">
        <v>4861</v>
      </c>
      <c r="D2271">
        <v>166</v>
      </c>
      <c r="E2271" s="6">
        <v>45809</v>
      </c>
      <c r="F2271">
        <v>50</v>
      </c>
      <c r="G2271">
        <v>8.370000000000001</v>
      </c>
      <c r="H2271">
        <v>0.63</v>
      </c>
      <c r="I2271" s="3" t="s">
        <v>8705</v>
      </c>
    </row>
    <row r="2272" spans="1:9" x14ac:dyDescent="0.35">
      <c r="A2272" s="3" t="s">
        <v>10983</v>
      </c>
      <c r="B2272" s="3" t="s">
        <v>4863</v>
      </c>
      <c r="C2272" s="3" t="s">
        <v>4864</v>
      </c>
      <c r="D2272">
        <v>25</v>
      </c>
      <c r="E2272" s="6">
        <v>45950</v>
      </c>
      <c r="F2272">
        <v>0</v>
      </c>
      <c r="G2272">
        <v>10.950000000000001</v>
      </c>
      <c r="H2272">
        <v>4.05</v>
      </c>
      <c r="I2272" s="3" t="s">
        <v>8701</v>
      </c>
    </row>
    <row r="2273" spans="1:9" x14ac:dyDescent="0.35">
      <c r="A2273" s="3" t="s">
        <v>10984</v>
      </c>
      <c r="B2273" s="3" t="s">
        <v>4865</v>
      </c>
      <c r="C2273" s="3" t="s">
        <v>4866</v>
      </c>
      <c r="D2273">
        <v>601</v>
      </c>
      <c r="E2273" s="6">
        <v>45374</v>
      </c>
      <c r="F2273">
        <v>150</v>
      </c>
      <c r="G2273">
        <v>1.026</v>
      </c>
      <c r="H2273">
        <v>1.6740000000000002</v>
      </c>
      <c r="I2273" s="3" t="s">
        <v>8701</v>
      </c>
    </row>
    <row r="2274" spans="1:9" x14ac:dyDescent="0.35">
      <c r="A2274" s="3" t="s">
        <v>10985</v>
      </c>
      <c r="B2274" s="3" t="s">
        <v>4867</v>
      </c>
      <c r="C2274" s="3" t="s">
        <v>4868</v>
      </c>
      <c r="D2274">
        <v>318</v>
      </c>
      <c r="E2274" s="6">
        <v>45657</v>
      </c>
      <c r="F2274">
        <v>80</v>
      </c>
      <c r="G2274">
        <v>0.84</v>
      </c>
      <c r="H2274">
        <v>1.26</v>
      </c>
      <c r="I2274" s="3" t="s">
        <v>8756</v>
      </c>
    </row>
    <row r="2275" spans="1:9" x14ac:dyDescent="0.35">
      <c r="A2275" s="3" t="s">
        <v>10986</v>
      </c>
      <c r="B2275" s="3" t="s">
        <v>4869</v>
      </c>
      <c r="C2275" s="3" t="s">
        <v>4870</v>
      </c>
      <c r="D2275">
        <v>17</v>
      </c>
      <c r="E2275" s="6">
        <v>45958</v>
      </c>
      <c r="F2275">
        <v>0</v>
      </c>
      <c r="G2275">
        <v>9.2119999999999997</v>
      </c>
      <c r="H2275">
        <v>0.58800000000000008</v>
      </c>
      <c r="I2275" s="3" t="s">
        <v>8701</v>
      </c>
    </row>
    <row r="2276" spans="1:9" x14ac:dyDescent="0.35">
      <c r="A2276" s="3" t="s">
        <v>10015</v>
      </c>
      <c r="B2276" s="3" t="s">
        <v>2809</v>
      </c>
      <c r="C2276" s="3" t="s">
        <v>2810</v>
      </c>
      <c r="D2276">
        <v>7957</v>
      </c>
      <c r="E2276" s="6">
        <v>38018</v>
      </c>
      <c r="F2276">
        <v>0</v>
      </c>
      <c r="G2276">
        <v>0.70000000000000007</v>
      </c>
      <c r="H2276">
        <v>0.3</v>
      </c>
      <c r="I2276" s="3" t="s">
        <v>8699</v>
      </c>
    </row>
    <row r="2277" spans="1:9" x14ac:dyDescent="0.35">
      <c r="A2277" s="3" t="s">
        <v>10988</v>
      </c>
      <c r="B2277" s="3" t="s">
        <v>4873</v>
      </c>
      <c r="C2277" s="3" t="s">
        <v>4874</v>
      </c>
      <c r="D2277">
        <v>47</v>
      </c>
      <c r="E2277" s="6">
        <v>45928</v>
      </c>
      <c r="F2277">
        <v>0</v>
      </c>
      <c r="G2277">
        <v>128.69999999999999</v>
      </c>
      <c r="H2277">
        <v>3.3000000000000003</v>
      </c>
      <c r="I2277" s="3" t="s">
        <v>8701</v>
      </c>
    </row>
    <row r="2278" spans="1:9" x14ac:dyDescent="0.35">
      <c r="A2278" s="3" t="s">
        <v>10989</v>
      </c>
      <c r="B2278" s="3" t="s">
        <v>4876</v>
      </c>
      <c r="C2278" s="3" t="s">
        <v>4877</v>
      </c>
      <c r="D2278">
        <v>25</v>
      </c>
      <c r="E2278" s="6">
        <v>45950</v>
      </c>
      <c r="F2278">
        <v>0</v>
      </c>
      <c r="G2278">
        <v>0.621</v>
      </c>
      <c r="H2278">
        <v>0.75900000000000001</v>
      </c>
      <c r="I2278" s="3" t="s">
        <v>8701</v>
      </c>
    </row>
    <row r="2279" spans="1:9" x14ac:dyDescent="0.35">
      <c r="A2279" s="3" t="s">
        <v>9183</v>
      </c>
      <c r="B2279" s="3" t="s">
        <v>1051</v>
      </c>
      <c r="C2279" s="3" t="s">
        <v>1052</v>
      </c>
      <c r="D2279">
        <v>8029</v>
      </c>
      <c r="E2279" s="6">
        <v>37946</v>
      </c>
      <c r="F2279">
        <v>0</v>
      </c>
      <c r="G2279">
        <v>57.42</v>
      </c>
      <c r="H2279">
        <v>0.57999999999999996</v>
      </c>
      <c r="I2279" s="3" t="s">
        <v>8699</v>
      </c>
    </row>
    <row r="2280" spans="1:9" x14ac:dyDescent="0.35">
      <c r="A2280" s="3" t="s">
        <v>10744</v>
      </c>
      <c r="B2280" s="3" t="s">
        <v>4361</v>
      </c>
      <c r="C2280" s="3" t="s">
        <v>4362</v>
      </c>
      <c r="D2280">
        <v>8036</v>
      </c>
      <c r="E2280" s="6">
        <v>37939</v>
      </c>
      <c r="F2280">
        <v>0</v>
      </c>
      <c r="G2280">
        <v>0.02</v>
      </c>
      <c r="H2280">
        <v>0.98</v>
      </c>
      <c r="I2280" s="3" t="s">
        <v>8699</v>
      </c>
    </row>
    <row r="2281" spans="1:9" x14ac:dyDescent="0.35">
      <c r="A2281" s="3" t="s">
        <v>9127</v>
      </c>
      <c r="B2281" s="3" t="s">
        <v>935</v>
      </c>
      <c r="C2281" s="3" t="s">
        <v>936</v>
      </c>
      <c r="D2281">
        <v>8049</v>
      </c>
      <c r="E2281" s="6">
        <v>37926</v>
      </c>
      <c r="F2281">
        <v>0</v>
      </c>
      <c r="G2281">
        <v>1.05</v>
      </c>
      <c r="H2281">
        <v>1.05</v>
      </c>
      <c r="I2281" s="3" t="s">
        <v>8699</v>
      </c>
    </row>
    <row r="2282" spans="1:9" x14ac:dyDescent="0.35">
      <c r="A2282" s="3" t="s">
        <v>9909</v>
      </c>
      <c r="B2282" s="3" t="s">
        <v>2586</v>
      </c>
      <c r="C2282" s="3" t="s">
        <v>2587</v>
      </c>
      <c r="D2282">
        <v>8052</v>
      </c>
      <c r="E2282" s="6">
        <v>37923</v>
      </c>
      <c r="F2282">
        <v>0</v>
      </c>
      <c r="G2282">
        <v>1.2E-2</v>
      </c>
      <c r="H2282">
        <v>8.8000000000000009E-2</v>
      </c>
      <c r="I2282" s="3" t="s">
        <v>8699</v>
      </c>
    </row>
    <row r="2283" spans="1:9" x14ac:dyDescent="0.35">
      <c r="A2283" s="3" t="s">
        <v>9923</v>
      </c>
      <c r="B2283" s="3" t="s">
        <v>2616</v>
      </c>
      <c r="C2283" s="3" t="s">
        <v>2617</v>
      </c>
      <c r="D2283">
        <v>8082</v>
      </c>
      <c r="E2283" s="6">
        <v>37893</v>
      </c>
      <c r="F2283">
        <v>0</v>
      </c>
      <c r="G2283">
        <v>6.37</v>
      </c>
      <c r="H2283">
        <v>0.63</v>
      </c>
      <c r="I2283" s="3" t="s">
        <v>8699</v>
      </c>
    </row>
    <row r="2284" spans="1:9" x14ac:dyDescent="0.35">
      <c r="A2284" s="3" t="s">
        <v>10995</v>
      </c>
      <c r="B2284" s="3" t="s">
        <v>4892</v>
      </c>
      <c r="C2284" s="3" t="s">
        <v>4893</v>
      </c>
      <c r="D2284">
        <v>25</v>
      </c>
      <c r="E2284" s="6">
        <v>45950</v>
      </c>
      <c r="F2284">
        <v>0</v>
      </c>
      <c r="G2284">
        <v>0.45400000000000001</v>
      </c>
      <c r="H2284">
        <v>4.0860000000000003</v>
      </c>
      <c r="I2284" s="3" t="s">
        <v>8701</v>
      </c>
    </row>
    <row r="2285" spans="1:9" x14ac:dyDescent="0.35">
      <c r="A2285" s="3" t="s">
        <v>10996</v>
      </c>
      <c r="B2285" s="3" t="s">
        <v>4894</v>
      </c>
      <c r="C2285" s="3" t="s">
        <v>4895</v>
      </c>
      <c r="D2285">
        <v>356</v>
      </c>
      <c r="E2285" s="6">
        <v>45619</v>
      </c>
      <c r="F2285">
        <v>0</v>
      </c>
      <c r="G2285">
        <v>5.0000000000000001E-3</v>
      </c>
      <c r="H2285">
        <v>9.5000000000000001E-2</v>
      </c>
      <c r="I2285" s="3" t="s">
        <v>8712</v>
      </c>
    </row>
    <row r="2286" spans="1:9" x14ac:dyDescent="0.35">
      <c r="A2286" s="3" t="s">
        <v>10997</v>
      </c>
      <c r="B2286" s="3" t="s">
        <v>4896</v>
      </c>
      <c r="C2286" s="3" t="s">
        <v>4897</v>
      </c>
      <c r="D2286">
        <v>25</v>
      </c>
      <c r="E2286" s="6">
        <v>45950</v>
      </c>
      <c r="F2286">
        <v>0</v>
      </c>
      <c r="G2286">
        <v>35.880000000000003</v>
      </c>
      <c r="H2286">
        <v>10.120000000000001</v>
      </c>
      <c r="I2286" s="3" t="s">
        <v>8701</v>
      </c>
    </row>
    <row r="2287" spans="1:9" x14ac:dyDescent="0.35">
      <c r="A2287" s="3" t="s">
        <v>10151</v>
      </c>
      <c r="B2287" s="3" t="s">
        <v>3106</v>
      </c>
      <c r="C2287" s="3" t="s">
        <v>3107</v>
      </c>
      <c r="D2287">
        <v>8082</v>
      </c>
      <c r="E2287" s="6">
        <v>37893</v>
      </c>
      <c r="F2287">
        <v>0</v>
      </c>
      <c r="G2287">
        <v>17.600000000000001</v>
      </c>
      <c r="H2287">
        <v>22.400000000000002</v>
      </c>
      <c r="I2287" s="3" t="s">
        <v>8699</v>
      </c>
    </row>
    <row r="2288" spans="1:9" x14ac:dyDescent="0.35">
      <c r="A2288" s="3" t="s">
        <v>8758</v>
      </c>
      <c r="B2288" s="3" t="s">
        <v>150</v>
      </c>
      <c r="C2288" s="3" t="s">
        <v>151</v>
      </c>
      <c r="D2288">
        <v>8100</v>
      </c>
      <c r="E2288" s="6">
        <v>37875</v>
      </c>
      <c r="F2288">
        <v>0</v>
      </c>
      <c r="G2288">
        <v>1.5</v>
      </c>
      <c r="H2288">
        <v>0.5</v>
      </c>
      <c r="I2288" s="3" t="s">
        <v>8699</v>
      </c>
    </row>
    <row r="2289" spans="1:9" x14ac:dyDescent="0.35">
      <c r="A2289" s="3" t="s">
        <v>11000</v>
      </c>
      <c r="B2289" s="3" t="s">
        <v>4903</v>
      </c>
      <c r="C2289" s="3" t="s">
        <v>4904</v>
      </c>
      <c r="D2289">
        <v>172</v>
      </c>
      <c r="E2289" s="6">
        <v>45803</v>
      </c>
      <c r="F2289">
        <v>100</v>
      </c>
      <c r="G2289">
        <v>0.81</v>
      </c>
      <c r="H2289">
        <v>1.8900000000000001</v>
      </c>
      <c r="I2289" s="3" t="s">
        <v>8705</v>
      </c>
    </row>
    <row r="2290" spans="1:9" x14ac:dyDescent="0.35">
      <c r="A2290" s="3" t="s">
        <v>11001</v>
      </c>
      <c r="B2290" s="3" t="s">
        <v>4905</v>
      </c>
      <c r="C2290" s="3" t="s">
        <v>4906</v>
      </c>
      <c r="D2290">
        <v>3637</v>
      </c>
      <c r="E2290" s="6">
        <v>42338</v>
      </c>
      <c r="F2290">
        <v>0</v>
      </c>
      <c r="G2290">
        <v>2E-3</v>
      </c>
      <c r="H2290">
        <v>0.16800000000000001</v>
      </c>
      <c r="I2290" s="3" t="s">
        <v>8712</v>
      </c>
    </row>
    <row r="2291" spans="1:9" x14ac:dyDescent="0.35">
      <c r="A2291" s="3" t="s">
        <v>11002</v>
      </c>
      <c r="B2291" s="3" t="s">
        <v>4907</v>
      </c>
      <c r="C2291" s="3" t="s">
        <v>4908</v>
      </c>
      <c r="D2291">
        <v>170</v>
      </c>
      <c r="E2291" s="6">
        <v>45805</v>
      </c>
      <c r="F2291">
        <v>10</v>
      </c>
      <c r="G2291">
        <v>3</v>
      </c>
      <c r="H2291">
        <v>2</v>
      </c>
      <c r="I2291" s="3" t="s">
        <v>8701</v>
      </c>
    </row>
    <row r="2292" spans="1:9" x14ac:dyDescent="0.35">
      <c r="A2292" s="3" t="s">
        <v>11003</v>
      </c>
      <c r="B2292" s="3" t="s">
        <v>4913</v>
      </c>
      <c r="C2292" s="3" t="s">
        <v>4914</v>
      </c>
      <c r="D2292">
        <v>3</v>
      </c>
      <c r="E2292" s="6">
        <v>45972</v>
      </c>
      <c r="F2292">
        <v>1500</v>
      </c>
      <c r="G2292">
        <v>1.05</v>
      </c>
      <c r="H2292">
        <v>1.05</v>
      </c>
      <c r="I2292" s="3" t="s">
        <v>8756</v>
      </c>
    </row>
    <row r="2293" spans="1:9" x14ac:dyDescent="0.35">
      <c r="A2293" s="3" t="s">
        <v>9079</v>
      </c>
      <c r="B2293" s="3" t="s">
        <v>839</v>
      </c>
      <c r="C2293" s="3" t="s">
        <v>840</v>
      </c>
      <c r="D2293">
        <v>8100</v>
      </c>
      <c r="E2293" s="6">
        <v>37875</v>
      </c>
      <c r="F2293">
        <v>0</v>
      </c>
      <c r="G2293">
        <v>1.3</v>
      </c>
      <c r="H2293">
        <v>0.70000000000000007</v>
      </c>
      <c r="I2293" s="3" t="s">
        <v>8699</v>
      </c>
    </row>
    <row r="2294" spans="1:9" x14ac:dyDescent="0.35">
      <c r="A2294" s="3" t="s">
        <v>11005</v>
      </c>
      <c r="B2294" s="3" t="s">
        <v>4917</v>
      </c>
      <c r="C2294" s="3" t="s">
        <v>4918</v>
      </c>
      <c r="D2294">
        <v>79</v>
      </c>
      <c r="E2294" s="6">
        <v>45896</v>
      </c>
      <c r="F2294">
        <v>0</v>
      </c>
      <c r="G2294">
        <v>20.7</v>
      </c>
      <c r="H2294">
        <v>2.3000000000000003</v>
      </c>
      <c r="I2294" s="3" t="s">
        <v>8701</v>
      </c>
    </row>
    <row r="2295" spans="1:9" x14ac:dyDescent="0.35">
      <c r="A2295" s="3" t="s">
        <v>11006</v>
      </c>
      <c r="B2295" s="3" t="s">
        <v>4920</v>
      </c>
      <c r="C2295" s="3" t="s">
        <v>4921</v>
      </c>
      <c r="D2295">
        <v>46</v>
      </c>
      <c r="E2295" s="6">
        <v>45929</v>
      </c>
      <c r="F2295">
        <v>100</v>
      </c>
      <c r="G2295">
        <v>18</v>
      </c>
      <c r="H2295">
        <v>2</v>
      </c>
      <c r="I2295" s="3" t="s">
        <v>8701</v>
      </c>
    </row>
    <row r="2296" spans="1:9" x14ac:dyDescent="0.35">
      <c r="A2296" s="3" t="s">
        <v>11007</v>
      </c>
      <c r="B2296" s="3" t="s">
        <v>4922</v>
      </c>
      <c r="C2296" s="3" t="s">
        <v>4923</v>
      </c>
      <c r="D2296">
        <v>955</v>
      </c>
      <c r="E2296" s="6">
        <v>45020</v>
      </c>
      <c r="F2296">
        <v>0</v>
      </c>
      <c r="G2296">
        <v>0</v>
      </c>
      <c r="H2296">
        <v>0</v>
      </c>
      <c r="I2296" s="3" t="s">
        <v>28</v>
      </c>
    </row>
    <row r="2297" spans="1:9" x14ac:dyDescent="0.35">
      <c r="A2297" s="3" t="s">
        <v>9907</v>
      </c>
      <c r="B2297" s="3" t="s">
        <v>2580</v>
      </c>
      <c r="C2297" s="3" t="s">
        <v>2581</v>
      </c>
      <c r="D2297">
        <v>8118</v>
      </c>
      <c r="E2297" s="6">
        <v>37857</v>
      </c>
      <c r="F2297">
        <v>0</v>
      </c>
      <c r="G2297">
        <v>1.7</v>
      </c>
      <c r="H2297">
        <v>0.3</v>
      </c>
      <c r="I2297" s="3" t="s">
        <v>8699</v>
      </c>
    </row>
    <row r="2298" spans="1:9" x14ac:dyDescent="0.35">
      <c r="A2298" s="3" t="s">
        <v>11009</v>
      </c>
      <c r="B2298" s="3" t="s">
        <v>4928</v>
      </c>
      <c r="C2298" s="3" t="s">
        <v>4929</v>
      </c>
      <c r="D2298">
        <v>955</v>
      </c>
      <c r="E2298" s="6">
        <v>45020</v>
      </c>
      <c r="F2298">
        <v>0</v>
      </c>
      <c r="G2298">
        <v>0</v>
      </c>
      <c r="H2298">
        <v>0</v>
      </c>
      <c r="I2298" s="3" t="s">
        <v>28</v>
      </c>
    </row>
    <row r="2299" spans="1:9" x14ac:dyDescent="0.35">
      <c r="A2299" s="3" t="s">
        <v>11010</v>
      </c>
      <c r="B2299" s="3" t="s">
        <v>4930</v>
      </c>
      <c r="C2299" s="3" t="s">
        <v>4931</v>
      </c>
      <c r="D2299">
        <v>87</v>
      </c>
      <c r="E2299" s="6">
        <v>45888</v>
      </c>
      <c r="F2299">
        <v>10</v>
      </c>
      <c r="G2299">
        <v>4.2839999999999998</v>
      </c>
      <c r="H2299">
        <v>2.516</v>
      </c>
      <c r="I2299" s="3" t="s">
        <v>8701</v>
      </c>
    </row>
    <row r="2300" spans="1:9" x14ac:dyDescent="0.35">
      <c r="A2300" s="3" t="s">
        <v>11011</v>
      </c>
      <c r="B2300" s="3" t="s">
        <v>4932</v>
      </c>
      <c r="C2300" s="3" t="s">
        <v>4933</v>
      </c>
      <c r="D2300">
        <v>378</v>
      </c>
      <c r="E2300" s="6">
        <v>45597</v>
      </c>
      <c r="F2300">
        <v>0</v>
      </c>
      <c r="G2300">
        <v>4.0000000000000001E-3</v>
      </c>
      <c r="H2300">
        <v>8.6000000000000007E-2</v>
      </c>
      <c r="I2300" s="3" t="s">
        <v>8712</v>
      </c>
    </row>
    <row r="2301" spans="1:9" x14ac:dyDescent="0.35">
      <c r="A2301" s="3" t="s">
        <v>11012</v>
      </c>
      <c r="B2301" s="3" t="s">
        <v>4934</v>
      </c>
      <c r="C2301" s="3" t="s">
        <v>4935</v>
      </c>
      <c r="D2301">
        <v>955</v>
      </c>
      <c r="E2301" s="6">
        <v>45020</v>
      </c>
      <c r="F2301">
        <v>0</v>
      </c>
      <c r="G2301">
        <v>0</v>
      </c>
      <c r="H2301">
        <v>0</v>
      </c>
      <c r="I2301" s="3" t="s">
        <v>28</v>
      </c>
    </row>
    <row r="2302" spans="1:9" x14ac:dyDescent="0.35">
      <c r="A2302" s="3" t="s">
        <v>9096</v>
      </c>
      <c r="B2302" s="3" t="s">
        <v>874</v>
      </c>
      <c r="C2302" s="3" t="s">
        <v>875</v>
      </c>
      <c r="D2302">
        <v>8142</v>
      </c>
      <c r="E2302" s="6">
        <v>37833</v>
      </c>
      <c r="F2302">
        <v>0</v>
      </c>
      <c r="G2302">
        <v>3.61</v>
      </c>
      <c r="H2302">
        <v>0.19</v>
      </c>
      <c r="I2302" s="3" t="s">
        <v>8699</v>
      </c>
    </row>
    <row r="2303" spans="1:9" x14ac:dyDescent="0.35">
      <c r="A2303" s="3" t="s">
        <v>10231</v>
      </c>
      <c r="B2303" s="3" t="s">
        <v>3270</v>
      </c>
      <c r="C2303" s="3" t="s">
        <v>3271</v>
      </c>
      <c r="D2303">
        <v>8159</v>
      </c>
      <c r="E2303" s="6">
        <v>37816</v>
      </c>
      <c r="F2303">
        <v>0</v>
      </c>
      <c r="G2303">
        <v>3.36</v>
      </c>
      <c r="H2303">
        <v>0.64</v>
      </c>
      <c r="I2303" s="3" t="s">
        <v>8699</v>
      </c>
    </row>
    <row r="2304" spans="1:9" x14ac:dyDescent="0.35">
      <c r="A2304" s="3" t="s">
        <v>11015</v>
      </c>
      <c r="B2304" s="3" t="s">
        <v>4940</v>
      </c>
      <c r="C2304" s="3" t="s">
        <v>4941</v>
      </c>
      <c r="D2304">
        <v>20</v>
      </c>
      <c r="E2304" s="6">
        <v>45955</v>
      </c>
      <c r="F2304">
        <v>0</v>
      </c>
      <c r="G2304">
        <v>84.715000000000003</v>
      </c>
      <c r="H2304">
        <v>8.5000000000000006E-2</v>
      </c>
      <c r="I2304" s="3" t="s">
        <v>8705</v>
      </c>
    </row>
    <row r="2305" spans="1:9" x14ac:dyDescent="0.35">
      <c r="A2305" s="3" t="s">
        <v>11256</v>
      </c>
      <c r="B2305" s="3" t="s">
        <v>5446</v>
      </c>
      <c r="C2305" s="3" t="s">
        <v>5447</v>
      </c>
      <c r="D2305">
        <v>8173</v>
      </c>
      <c r="E2305" s="6">
        <v>37802</v>
      </c>
      <c r="F2305">
        <v>0</v>
      </c>
      <c r="G2305">
        <v>0.74399999999999999</v>
      </c>
      <c r="H2305">
        <v>0.496</v>
      </c>
      <c r="I2305" s="3" t="s">
        <v>8699</v>
      </c>
    </row>
    <row r="2306" spans="1:9" x14ac:dyDescent="0.35">
      <c r="A2306" s="3" t="s">
        <v>11182</v>
      </c>
      <c r="B2306" s="3" t="s">
        <v>5292</v>
      </c>
      <c r="C2306" s="3" t="s">
        <v>5293</v>
      </c>
      <c r="D2306">
        <v>8179</v>
      </c>
      <c r="E2306" s="6">
        <v>37796</v>
      </c>
      <c r="F2306">
        <v>0</v>
      </c>
      <c r="G2306">
        <v>3.6000000000000004E-2</v>
      </c>
      <c r="H2306">
        <v>1.6640000000000001</v>
      </c>
      <c r="I2306" s="3" t="s">
        <v>8699</v>
      </c>
    </row>
    <row r="2307" spans="1:9" x14ac:dyDescent="0.35">
      <c r="A2307" s="3" t="s">
        <v>11143</v>
      </c>
      <c r="B2307" s="3" t="s">
        <v>5207</v>
      </c>
      <c r="C2307" s="3" t="s">
        <v>5208</v>
      </c>
      <c r="D2307">
        <v>8194</v>
      </c>
      <c r="E2307" s="6">
        <v>37781</v>
      </c>
      <c r="F2307">
        <v>0</v>
      </c>
      <c r="G2307">
        <v>0.5</v>
      </c>
      <c r="H2307">
        <v>0.5</v>
      </c>
      <c r="I2307" s="3" t="s">
        <v>8699</v>
      </c>
    </row>
    <row r="2308" spans="1:9" x14ac:dyDescent="0.35">
      <c r="A2308" s="3" t="s">
        <v>11019</v>
      </c>
      <c r="B2308" s="3" t="s">
        <v>4948</v>
      </c>
      <c r="C2308" s="3" t="s">
        <v>4949</v>
      </c>
      <c r="D2308">
        <v>29</v>
      </c>
      <c r="E2308" s="6">
        <v>45946</v>
      </c>
      <c r="F2308">
        <v>0</v>
      </c>
      <c r="G2308">
        <v>5.3100000000000005</v>
      </c>
      <c r="H2308">
        <v>0.59</v>
      </c>
      <c r="I2308" s="3" t="s">
        <v>8756</v>
      </c>
    </row>
    <row r="2309" spans="1:9" x14ac:dyDescent="0.35">
      <c r="A2309" s="3" t="s">
        <v>11020</v>
      </c>
      <c r="B2309" s="3" t="s">
        <v>4950</v>
      </c>
      <c r="C2309" s="3" t="s">
        <v>4951</v>
      </c>
      <c r="D2309">
        <v>3904</v>
      </c>
      <c r="E2309" s="6">
        <v>42071</v>
      </c>
      <c r="F2309">
        <v>0</v>
      </c>
      <c r="G2309">
        <v>0</v>
      </c>
      <c r="H2309">
        <v>0</v>
      </c>
      <c r="I2309" s="3" t="s">
        <v>28</v>
      </c>
    </row>
    <row r="2310" spans="1:9" x14ac:dyDescent="0.35">
      <c r="A2310" s="3" t="s">
        <v>11021</v>
      </c>
      <c r="B2310" s="3" t="s">
        <v>4952</v>
      </c>
      <c r="C2310" s="3" t="s">
        <v>4953</v>
      </c>
      <c r="D2310">
        <v>955</v>
      </c>
      <c r="E2310" s="6">
        <v>45020</v>
      </c>
      <c r="F2310">
        <v>0</v>
      </c>
      <c r="G2310">
        <v>0</v>
      </c>
      <c r="H2310">
        <v>0</v>
      </c>
      <c r="I2310" s="3" t="s">
        <v>28</v>
      </c>
    </row>
    <row r="2311" spans="1:9" x14ac:dyDescent="0.35">
      <c r="A2311" s="3" t="s">
        <v>9344</v>
      </c>
      <c r="B2311" s="3" t="s">
        <v>1397</v>
      </c>
      <c r="C2311" s="3" t="s">
        <v>1398</v>
      </c>
      <c r="D2311">
        <v>8203</v>
      </c>
      <c r="E2311" s="6">
        <v>37772</v>
      </c>
      <c r="F2311">
        <v>0</v>
      </c>
      <c r="G2311">
        <v>0.02</v>
      </c>
      <c r="H2311">
        <v>0.98</v>
      </c>
      <c r="I2311" s="3" t="s">
        <v>8699</v>
      </c>
    </row>
    <row r="2312" spans="1:9" x14ac:dyDescent="0.35">
      <c r="A2312" s="3" t="s">
        <v>11023</v>
      </c>
      <c r="B2312" s="3" t="s">
        <v>4956</v>
      </c>
      <c r="C2312" s="3" t="s">
        <v>4957</v>
      </c>
      <c r="D2312">
        <v>23</v>
      </c>
      <c r="E2312" s="6">
        <v>45952</v>
      </c>
      <c r="F2312">
        <v>0</v>
      </c>
      <c r="G2312">
        <v>1.05</v>
      </c>
      <c r="H2312">
        <v>1.45</v>
      </c>
      <c r="I2312" s="3" t="s">
        <v>8756</v>
      </c>
    </row>
    <row r="2313" spans="1:9" x14ac:dyDescent="0.35">
      <c r="A2313" s="3" t="s">
        <v>11228</v>
      </c>
      <c r="B2313" s="3" t="s">
        <v>5385</v>
      </c>
      <c r="C2313" s="3" t="s">
        <v>5386</v>
      </c>
      <c r="D2313">
        <v>8263</v>
      </c>
      <c r="E2313" s="6">
        <v>37712</v>
      </c>
      <c r="F2313">
        <v>0</v>
      </c>
      <c r="G2313">
        <v>0.65</v>
      </c>
      <c r="H2313">
        <v>0.65</v>
      </c>
      <c r="I2313" s="3" t="s">
        <v>8699</v>
      </c>
    </row>
    <row r="2314" spans="1:9" x14ac:dyDescent="0.35">
      <c r="A2314" s="3" t="s">
        <v>11025</v>
      </c>
      <c r="B2314" s="3" t="s">
        <v>4960</v>
      </c>
      <c r="C2314" s="3" t="s">
        <v>4961</v>
      </c>
      <c r="D2314">
        <v>4888</v>
      </c>
      <c r="E2314" s="6">
        <v>41087</v>
      </c>
      <c r="F2314">
        <v>0</v>
      </c>
      <c r="G2314">
        <v>0</v>
      </c>
      <c r="H2314">
        <v>0</v>
      </c>
      <c r="I2314" s="3" t="s">
        <v>28</v>
      </c>
    </row>
    <row r="2315" spans="1:9" x14ac:dyDescent="0.35">
      <c r="A2315" s="3" t="s">
        <v>8822</v>
      </c>
      <c r="B2315" s="3" t="s">
        <v>295</v>
      </c>
      <c r="C2315" s="3" t="s">
        <v>296</v>
      </c>
      <c r="D2315">
        <v>8414</v>
      </c>
      <c r="E2315" s="6">
        <v>37561</v>
      </c>
      <c r="F2315">
        <v>0</v>
      </c>
      <c r="G2315">
        <v>0.1</v>
      </c>
      <c r="H2315">
        <v>1.9000000000000001</v>
      </c>
      <c r="I2315" s="3" t="s">
        <v>8699</v>
      </c>
    </row>
    <row r="2316" spans="1:9" x14ac:dyDescent="0.35">
      <c r="A2316" s="3" t="s">
        <v>9253</v>
      </c>
      <c r="B2316" s="3" t="s">
        <v>1200</v>
      </c>
      <c r="C2316" s="3" t="s">
        <v>1201</v>
      </c>
      <c r="D2316">
        <v>8450</v>
      </c>
      <c r="E2316" s="6">
        <v>37525</v>
      </c>
      <c r="F2316">
        <v>0</v>
      </c>
      <c r="G2316">
        <v>7.6999999999999999E-2</v>
      </c>
      <c r="H2316">
        <v>0.623</v>
      </c>
      <c r="I2316" s="3" t="s">
        <v>8699</v>
      </c>
    </row>
    <row r="2317" spans="1:9" x14ac:dyDescent="0.35">
      <c r="A2317" s="3" t="s">
        <v>11028</v>
      </c>
      <c r="B2317" s="3" t="s">
        <v>4966</v>
      </c>
      <c r="C2317" s="3" t="s">
        <v>4967</v>
      </c>
      <c r="D2317">
        <v>60</v>
      </c>
      <c r="E2317" s="6">
        <v>45915</v>
      </c>
      <c r="F2317">
        <v>0</v>
      </c>
      <c r="G2317">
        <v>14.76</v>
      </c>
      <c r="H2317">
        <v>3.24</v>
      </c>
      <c r="I2317" s="3" t="s">
        <v>8701</v>
      </c>
    </row>
    <row r="2318" spans="1:9" x14ac:dyDescent="0.35">
      <c r="A2318" s="3" t="s">
        <v>11226</v>
      </c>
      <c r="B2318" s="3" t="s">
        <v>5381</v>
      </c>
      <c r="C2318" s="3" t="s">
        <v>5382</v>
      </c>
      <c r="D2318">
        <v>8478</v>
      </c>
      <c r="E2318" s="6">
        <v>37497</v>
      </c>
      <c r="F2318">
        <v>0</v>
      </c>
      <c r="G2318">
        <v>22.54</v>
      </c>
      <c r="H2318">
        <v>0.46</v>
      </c>
      <c r="I2318" s="3" t="s">
        <v>8699</v>
      </c>
    </row>
    <row r="2319" spans="1:9" x14ac:dyDescent="0.35">
      <c r="A2319" s="3" t="s">
        <v>11030</v>
      </c>
      <c r="B2319" s="3" t="s">
        <v>4971</v>
      </c>
      <c r="C2319" s="3" t="s">
        <v>4972</v>
      </c>
      <c r="D2319">
        <v>156</v>
      </c>
      <c r="E2319" s="6">
        <v>45819</v>
      </c>
      <c r="F2319">
        <v>100</v>
      </c>
      <c r="G2319">
        <v>23.03</v>
      </c>
      <c r="H2319">
        <v>1.47</v>
      </c>
      <c r="I2319" s="3" t="s">
        <v>8756</v>
      </c>
    </row>
    <row r="2320" spans="1:9" x14ac:dyDescent="0.35">
      <c r="A2320" s="3" t="s">
        <v>11031</v>
      </c>
      <c r="B2320" s="3" t="s">
        <v>4973</v>
      </c>
      <c r="C2320" s="3" t="s">
        <v>4974</v>
      </c>
      <c r="D2320">
        <v>90</v>
      </c>
      <c r="E2320" s="6">
        <v>45885</v>
      </c>
      <c r="F2320">
        <v>90</v>
      </c>
      <c r="G2320">
        <v>2.9750000000000001</v>
      </c>
      <c r="H2320">
        <v>1.2750000000000001</v>
      </c>
      <c r="I2320" s="3" t="s">
        <v>8756</v>
      </c>
    </row>
    <row r="2321" spans="1:9" x14ac:dyDescent="0.35">
      <c r="A2321" s="3" t="s">
        <v>11068</v>
      </c>
      <c r="B2321" s="3" t="s">
        <v>5049</v>
      </c>
      <c r="C2321" s="3" t="s">
        <v>5050</v>
      </c>
      <c r="D2321">
        <v>8491</v>
      </c>
      <c r="E2321" s="6">
        <v>37484</v>
      </c>
      <c r="F2321">
        <v>0</v>
      </c>
      <c r="G2321">
        <v>0.5</v>
      </c>
      <c r="H2321">
        <v>0.5</v>
      </c>
      <c r="I2321" s="3" t="s">
        <v>8699</v>
      </c>
    </row>
    <row r="2322" spans="1:9" x14ac:dyDescent="0.35">
      <c r="A2322" s="3" t="s">
        <v>11033</v>
      </c>
      <c r="B2322" s="3" t="s">
        <v>4977</v>
      </c>
      <c r="C2322" s="3" t="s">
        <v>4978</v>
      </c>
      <c r="D2322">
        <v>92</v>
      </c>
      <c r="E2322" s="6">
        <v>45883</v>
      </c>
      <c r="F2322">
        <v>90</v>
      </c>
      <c r="G2322">
        <v>1.8980000000000001</v>
      </c>
      <c r="H2322">
        <v>1.022</v>
      </c>
      <c r="I2322" s="3" t="s">
        <v>8756</v>
      </c>
    </row>
    <row r="2323" spans="1:9" x14ac:dyDescent="0.35">
      <c r="A2323" s="3" t="s">
        <v>10973</v>
      </c>
      <c r="B2323" s="3" t="s">
        <v>4842</v>
      </c>
      <c r="C2323" s="3" t="s">
        <v>4843</v>
      </c>
      <c r="D2323">
        <v>8537</v>
      </c>
      <c r="E2323" s="6">
        <v>37438</v>
      </c>
      <c r="F2323">
        <v>0</v>
      </c>
      <c r="G2323">
        <v>0.54</v>
      </c>
      <c r="H2323">
        <v>0.36</v>
      </c>
      <c r="I2323" s="3" t="s">
        <v>8699</v>
      </c>
    </row>
    <row r="2324" spans="1:9" x14ac:dyDescent="0.35">
      <c r="A2324" s="3" t="s">
        <v>11035</v>
      </c>
      <c r="B2324" s="3" t="s">
        <v>4981</v>
      </c>
      <c r="C2324" s="3" t="s">
        <v>4982</v>
      </c>
      <c r="D2324">
        <v>170</v>
      </c>
      <c r="E2324" s="6">
        <v>45805</v>
      </c>
      <c r="F2324">
        <v>50</v>
      </c>
      <c r="G2324">
        <v>15.3</v>
      </c>
      <c r="H2324">
        <v>1.7</v>
      </c>
      <c r="I2324" s="3" t="s">
        <v>8705</v>
      </c>
    </row>
    <row r="2325" spans="1:9" x14ac:dyDescent="0.35">
      <c r="A2325" s="3" t="s">
        <v>11036</v>
      </c>
      <c r="B2325" s="3" t="s">
        <v>4983</v>
      </c>
      <c r="C2325" s="3" t="s">
        <v>4984</v>
      </c>
      <c r="D2325">
        <v>955</v>
      </c>
      <c r="E2325" s="6">
        <v>45020</v>
      </c>
      <c r="F2325">
        <v>0</v>
      </c>
      <c r="G2325">
        <v>0</v>
      </c>
      <c r="H2325">
        <v>0</v>
      </c>
      <c r="I2325" s="3" t="s">
        <v>28</v>
      </c>
    </row>
    <row r="2326" spans="1:9" x14ac:dyDescent="0.35">
      <c r="A2326" s="3" t="s">
        <v>11037</v>
      </c>
      <c r="B2326" s="3" t="s">
        <v>4986</v>
      </c>
      <c r="C2326" s="3" t="s">
        <v>4987</v>
      </c>
      <c r="D2326">
        <v>100</v>
      </c>
      <c r="E2326" s="6">
        <v>45875</v>
      </c>
      <c r="F2326">
        <v>0</v>
      </c>
      <c r="G2326">
        <v>8.61</v>
      </c>
      <c r="H2326">
        <v>1.8900000000000001</v>
      </c>
      <c r="I2326" s="3" t="s">
        <v>8701</v>
      </c>
    </row>
    <row r="2327" spans="1:9" x14ac:dyDescent="0.35">
      <c r="A2327" s="3" t="s">
        <v>11038</v>
      </c>
      <c r="B2327" s="3" t="s">
        <v>4988</v>
      </c>
      <c r="C2327" s="3" t="s">
        <v>4989</v>
      </c>
      <c r="D2327">
        <v>58</v>
      </c>
      <c r="E2327" s="6">
        <v>45917</v>
      </c>
      <c r="F2327">
        <v>0</v>
      </c>
      <c r="G2327">
        <v>28.48</v>
      </c>
      <c r="H2327">
        <v>3.52</v>
      </c>
      <c r="I2327" s="3" t="s">
        <v>8756</v>
      </c>
    </row>
    <row r="2328" spans="1:9" x14ac:dyDescent="0.35">
      <c r="A2328" s="3" t="s">
        <v>8794</v>
      </c>
      <c r="B2328" s="3" t="s">
        <v>228</v>
      </c>
      <c r="C2328" s="3" t="s">
        <v>229</v>
      </c>
      <c r="D2328">
        <v>8607</v>
      </c>
      <c r="E2328" s="6">
        <v>37368</v>
      </c>
      <c r="F2328">
        <v>0</v>
      </c>
      <c r="G2328">
        <v>1.54</v>
      </c>
      <c r="H2328">
        <v>0.46</v>
      </c>
      <c r="I2328" s="3" t="s">
        <v>8699</v>
      </c>
    </row>
    <row r="2329" spans="1:9" x14ac:dyDescent="0.35">
      <c r="A2329" s="3" t="s">
        <v>9140</v>
      </c>
      <c r="B2329" s="3" t="s">
        <v>963</v>
      </c>
      <c r="C2329" s="3" t="s">
        <v>964</v>
      </c>
      <c r="D2329">
        <v>8628</v>
      </c>
      <c r="E2329" s="6">
        <v>37347</v>
      </c>
      <c r="F2329">
        <v>0</v>
      </c>
      <c r="G2329">
        <v>0.16500000000000001</v>
      </c>
      <c r="H2329">
        <v>0.93500000000000005</v>
      </c>
      <c r="I2329" s="3" t="s">
        <v>8699</v>
      </c>
    </row>
    <row r="2330" spans="1:9" x14ac:dyDescent="0.35">
      <c r="A2330" s="3" t="s">
        <v>11041</v>
      </c>
      <c r="B2330" s="3" t="s">
        <v>4994</v>
      </c>
      <c r="C2330" s="3" t="s">
        <v>4995</v>
      </c>
      <c r="D2330">
        <v>1395</v>
      </c>
      <c r="E2330" s="6">
        <v>44580</v>
      </c>
      <c r="F2330">
        <v>0</v>
      </c>
      <c r="G2330">
        <v>6.72</v>
      </c>
      <c r="H2330">
        <v>0.28000000000000003</v>
      </c>
      <c r="I2330" s="3" t="s">
        <v>8701</v>
      </c>
    </row>
    <row r="2331" spans="1:9" x14ac:dyDescent="0.35">
      <c r="A2331" s="3" t="s">
        <v>11042</v>
      </c>
      <c r="B2331" s="3" t="s">
        <v>4996</v>
      </c>
      <c r="C2331" s="3" t="s">
        <v>4997</v>
      </c>
      <c r="D2331">
        <v>9135</v>
      </c>
      <c r="E2331" s="6">
        <v>36840</v>
      </c>
      <c r="F2331">
        <v>0</v>
      </c>
      <c r="G2331">
        <v>0</v>
      </c>
      <c r="H2331">
        <v>0</v>
      </c>
      <c r="I2331" s="3" t="s">
        <v>28</v>
      </c>
    </row>
    <row r="2332" spans="1:9" x14ac:dyDescent="0.35">
      <c r="A2332" s="3" t="s">
        <v>9203</v>
      </c>
      <c r="B2332" s="3" t="s">
        <v>1098</v>
      </c>
      <c r="C2332" s="3" t="s">
        <v>1099</v>
      </c>
      <c r="D2332">
        <v>8628</v>
      </c>
      <c r="E2332" s="6">
        <v>37347</v>
      </c>
      <c r="F2332">
        <v>0</v>
      </c>
      <c r="G2332">
        <v>0.04</v>
      </c>
      <c r="H2332">
        <v>0.46</v>
      </c>
      <c r="I2332" s="3" t="s">
        <v>8699</v>
      </c>
    </row>
    <row r="2333" spans="1:9" x14ac:dyDescent="0.35">
      <c r="A2333" s="3" t="s">
        <v>9645</v>
      </c>
      <c r="B2333" s="3" t="s">
        <v>2023</v>
      </c>
      <c r="C2333" s="3" t="s">
        <v>2024</v>
      </c>
      <c r="D2333">
        <v>8647</v>
      </c>
      <c r="E2333" s="6">
        <v>37328</v>
      </c>
      <c r="F2333">
        <v>0</v>
      </c>
      <c r="G2333">
        <v>1.2</v>
      </c>
      <c r="H2333">
        <v>1.8</v>
      </c>
      <c r="I2333" s="3" t="s">
        <v>8699</v>
      </c>
    </row>
    <row r="2334" spans="1:9" x14ac:dyDescent="0.35">
      <c r="A2334" s="3" t="s">
        <v>10727</v>
      </c>
      <c r="B2334" s="3" t="s">
        <v>4326</v>
      </c>
      <c r="C2334" s="3" t="s">
        <v>4327</v>
      </c>
      <c r="D2334">
        <v>8689</v>
      </c>
      <c r="E2334" s="6">
        <v>37286</v>
      </c>
      <c r="F2334">
        <v>0</v>
      </c>
      <c r="G2334">
        <v>0.28000000000000003</v>
      </c>
      <c r="H2334">
        <v>2.52</v>
      </c>
      <c r="I2334" s="3" t="s">
        <v>8699</v>
      </c>
    </row>
    <row r="2335" spans="1:9" x14ac:dyDescent="0.35">
      <c r="A2335" s="3" t="s">
        <v>11046</v>
      </c>
      <c r="B2335" s="3" t="s">
        <v>5004</v>
      </c>
      <c r="C2335" s="3" t="s">
        <v>5005</v>
      </c>
      <c r="D2335">
        <v>955</v>
      </c>
      <c r="E2335" s="6">
        <v>45020</v>
      </c>
      <c r="F2335">
        <v>0</v>
      </c>
      <c r="G2335">
        <v>0</v>
      </c>
      <c r="H2335">
        <v>0</v>
      </c>
      <c r="I2335" s="3" t="s">
        <v>28</v>
      </c>
    </row>
    <row r="2336" spans="1:9" x14ac:dyDescent="0.35">
      <c r="A2336" s="3" t="s">
        <v>11047</v>
      </c>
      <c r="B2336" s="3" t="s">
        <v>5006</v>
      </c>
      <c r="C2336" s="3" t="s">
        <v>5007</v>
      </c>
      <c r="D2336">
        <v>130</v>
      </c>
      <c r="E2336" s="6">
        <v>45845</v>
      </c>
      <c r="F2336">
        <v>0</v>
      </c>
      <c r="G2336">
        <v>3.0000000000000001E-3</v>
      </c>
      <c r="H2336">
        <v>6.7000000000000004E-2</v>
      </c>
      <c r="I2336" s="3" t="s">
        <v>8712</v>
      </c>
    </row>
    <row r="2337" spans="1:9" x14ac:dyDescent="0.35">
      <c r="A2337" s="3" t="s">
        <v>11048</v>
      </c>
      <c r="B2337" s="3" t="s">
        <v>5008</v>
      </c>
      <c r="C2337" s="3" t="s">
        <v>5009</v>
      </c>
      <c r="D2337">
        <v>726</v>
      </c>
      <c r="E2337" s="6">
        <v>45249</v>
      </c>
      <c r="F2337">
        <v>0</v>
      </c>
      <c r="G2337">
        <v>0</v>
      </c>
      <c r="H2337">
        <v>0</v>
      </c>
      <c r="I2337" s="3" t="s">
        <v>28</v>
      </c>
    </row>
    <row r="2338" spans="1:9" x14ac:dyDescent="0.35">
      <c r="A2338" s="3" t="s">
        <v>10729</v>
      </c>
      <c r="B2338" s="3" t="s">
        <v>4330</v>
      </c>
      <c r="C2338" s="3" t="s">
        <v>4331</v>
      </c>
      <c r="D2338">
        <v>8716</v>
      </c>
      <c r="E2338" s="6">
        <v>37259</v>
      </c>
      <c r="F2338">
        <v>0</v>
      </c>
      <c r="G2338">
        <v>0.8</v>
      </c>
      <c r="H2338">
        <v>0.8</v>
      </c>
      <c r="I2338" s="3" t="s">
        <v>8699</v>
      </c>
    </row>
    <row r="2339" spans="1:9" x14ac:dyDescent="0.35">
      <c r="A2339" s="3" t="s">
        <v>11050</v>
      </c>
      <c r="B2339" s="3" t="s">
        <v>5012</v>
      </c>
      <c r="C2339" s="3" t="s">
        <v>5013</v>
      </c>
      <c r="D2339">
        <v>726</v>
      </c>
      <c r="E2339" s="6">
        <v>45249</v>
      </c>
      <c r="F2339">
        <v>0</v>
      </c>
      <c r="G2339">
        <v>0</v>
      </c>
      <c r="H2339">
        <v>0</v>
      </c>
      <c r="I2339" s="3" t="s">
        <v>28</v>
      </c>
    </row>
    <row r="2340" spans="1:9" x14ac:dyDescent="0.35">
      <c r="A2340" s="3" t="s">
        <v>11051</v>
      </c>
      <c r="B2340" s="3" t="s">
        <v>5014</v>
      </c>
      <c r="C2340" s="3" t="s">
        <v>5015</v>
      </c>
      <c r="D2340">
        <v>955</v>
      </c>
      <c r="E2340" s="6">
        <v>45020</v>
      </c>
      <c r="F2340">
        <v>0</v>
      </c>
      <c r="G2340">
        <v>0</v>
      </c>
      <c r="H2340">
        <v>0</v>
      </c>
      <c r="I2340" s="3" t="s">
        <v>28</v>
      </c>
    </row>
    <row r="2341" spans="1:9" x14ac:dyDescent="0.35">
      <c r="A2341" s="3" t="s">
        <v>11052</v>
      </c>
      <c r="B2341" s="3" t="s">
        <v>5016</v>
      </c>
      <c r="C2341" s="3" t="s">
        <v>5017</v>
      </c>
      <c r="D2341">
        <v>109</v>
      </c>
      <c r="E2341" s="6">
        <v>45866</v>
      </c>
      <c r="F2341">
        <v>0</v>
      </c>
      <c r="G2341">
        <v>93.100000000000009</v>
      </c>
      <c r="H2341">
        <v>1.9000000000000001</v>
      </c>
      <c r="I2341" s="3" t="s">
        <v>8701</v>
      </c>
    </row>
    <row r="2342" spans="1:9" x14ac:dyDescent="0.35">
      <c r="A2342" s="3" t="s">
        <v>11053</v>
      </c>
      <c r="B2342" s="3" t="s">
        <v>5018</v>
      </c>
      <c r="C2342" s="3" t="s">
        <v>5019</v>
      </c>
      <c r="D2342">
        <v>955</v>
      </c>
      <c r="E2342" s="6">
        <v>45020</v>
      </c>
      <c r="F2342">
        <v>0</v>
      </c>
      <c r="G2342">
        <v>0</v>
      </c>
      <c r="H2342">
        <v>0</v>
      </c>
      <c r="I2342" s="3" t="s">
        <v>28</v>
      </c>
    </row>
    <row r="2343" spans="1:9" x14ac:dyDescent="0.35">
      <c r="A2343" s="3" t="s">
        <v>11054</v>
      </c>
      <c r="B2343" s="3" t="s">
        <v>5020</v>
      </c>
      <c r="C2343" s="3" t="s">
        <v>5021</v>
      </c>
      <c r="D2343">
        <v>32</v>
      </c>
      <c r="E2343" s="6">
        <v>45943</v>
      </c>
      <c r="F2343">
        <v>0</v>
      </c>
      <c r="G2343">
        <v>21.39</v>
      </c>
      <c r="H2343">
        <v>1.61</v>
      </c>
      <c r="I2343" s="3" t="s">
        <v>8701</v>
      </c>
    </row>
    <row r="2344" spans="1:9" x14ac:dyDescent="0.35">
      <c r="A2344" s="3" t="s">
        <v>9280</v>
      </c>
      <c r="B2344" s="3" t="s">
        <v>1256</v>
      </c>
      <c r="C2344" s="3" t="s">
        <v>1257</v>
      </c>
      <c r="D2344">
        <v>8718</v>
      </c>
      <c r="E2344" s="6">
        <v>37257</v>
      </c>
      <c r="F2344">
        <v>0</v>
      </c>
      <c r="G2344">
        <v>0.08</v>
      </c>
      <c r="H2344">
        <v>0.72</v>
      </c>
      <c r="I2344" s="3" t="s">
        <v>8699</v>
      </c>
    </row>
    <row r="2345" spans="1:9" x14ac:dyDescent="0.35">
      <c r="A2345" s="3" t="s">
        <v>9467</v>
      </c>
      <c r="B2345" s="3" t="s">
        <v>1647</v>
      </c>
      <c r="C2345" s="3" t="s">
        <v>1648</v>
      </c>
      <c r="D2345">
        <v>8718</v>
      </c>
      <c r="E2345" s="6">
        <v>37257</v>
      </c>
      <c r="F2345">
        <v>0</v>
      </c>
      <c r="G2345">
        <v>46.53</v>
      </c>
      <c r="H2345">
        <v>0.47000000000000003</v>
      </c>
      <c r="I2345" s="3" t="s">
        <v>8699</v>
      </c>
    </row>
    <row r="2346" spans="1:9" x14ac:dyDescent="0.35">
      <c r="A2346" s="3" t="s">
        <v>9757</v>
      </c>
      <c r="B2346" s="3" t="s">
        <v>2262</v>
      </c>
      <c r="C2346" s="3" t="s">
        <v>2263</v>
      </c>
      <c r="D2346">
        <v>8718</v>
      </c>
      <c r="E2346" s="6">
        <v>37257</v>
      </c>
      <c r="F2346">
        <v>0</v>
      </c>
      <c r="G2346">
        <v>0.91</v>
      </c>
      <c r="H2346">
        <v>2.59</v>
      </c>
      <c r="I2346" s="3" t="s">
        <v>8699</v>
      </c>
    </row>
    <row r="2347" spans="1:9" x14ac:dyDescent="0.35">
      <c r="A2347" s="3" t="s">
        <v>9786</v>
      </c>
      <c r="B2347" s="3" t="s">
        <v>2324</v>
      </c>
      <c r="C2347" s="3" t="s">
        <v>2325</v>
      </c>
      <c r="D2347">
        <v>8718</v>
      </c>
      <c r="E2347" s="6">
        <v>37257</v>
      </c>
      <c r="F2347">
        <v>0</v>
      </c>
      <c r="G2347">
        <v>45.54</v>
      </c>
      <c r="H2347">
        <v>0.46</v>
      </c>
      <c r="I2347" s="3" t="s">
        <v>8699</v>
      </c>
    </row>
    <row r="2348" spans="1:9" x14ac:dyDescent="0.35">
      <c r="A2348" s="3" t="s">
        <v>10282</v>
      </c>
      <c r="B2348" s="3" t="s">
        <v>3383</v>
      </c>
      <c r="C2348" s="3" t="s">
        <v>3384</v>
      </c>
      <c r="D2348">
        <v>8718</v>
      </c>
      <c r="E2348" s="6">
        <v>37257</v>
      </c>
      <c r="F2348">
        <v>0</v>
      </c>
      <c r="G2348">
        <v>0.30399999999999999</v>
      </c>
      <c r="H2348">
        <v>0.64600000000000002</v>
      </c>
      <c r="I2348" s="3" t="s">
        <v>8699</v>
      </c>
    </row>
    <row r="2349" spans="1:9" x14ac:dyDescent="0.35">
      <c r="A2349" s="3" t="s">
        <v>10446</v>
      </c>
      <c r="B2349" s="3" t="s">
        <v>3732</v>
      </c>
      <c r="C2349" s="3" t="s">
        <v>3733</v>
      </c>
      <c r="D2349">
        <v>8718</v>
      </c>
      <c r="E2349" s="6">
        <v>37257</v>
      </c>
      <c r="F2349">
        <v>0</v>
      </c>
      <c r="G2349">
        <v>34.551000000000002</v>
      </c>
      <c r="H2349">
        <v>0.34900000000000003</v>
      </c>
      <c r="I2349" s="3" t="s">
        <v>8699</v>
      </c>
    </row>
    <row r="2350" spans="1:9" x14ac:dyDescent="0.35">
      <c r="A2350" s="3" t="s">
        <v>11061</v>
      </c>
      <c r="B2350" s="3" t="s">
        <v>5035</v>
      </c>
      <c r="C2350" s="3" t="s">
        <v>5036</v>
      </c>
      <c r="D2350">
        <v>17</v>
      </c>
      <c r="E2350" s="6">
        <v>45958</v>
      </c>
      <c r="F2350">
        <v>0</v>
      </c>
      <c r="G2350">
        <v>11.481</v>
      </c>
      <c r="H2350">
        <v>1.419</v>
      </c>
      <c r="I2350" s="3" t="s">
        <v>8705</v>
      </c>
    </row>
    <row r="2351" spans="1:9" x14ac:dyDescent="0.35">
      <c r="A2351" s="3" t="s">
        <v>11062</v>
      </c>
      <c r="B2351" s="3" t="s">
        <v>5037</v>
      </c>
      <c r="C2351" s="3" t="s">
        <v>5038</v>
      </c>
      <c r="D2351">
        <v>22</v>
      </c>
      <c r="E2351" s="6">
        <v>45953</v>
      </c>
      <c r="F2351">
        <v>0</v>
      </c>
      <c r="G2351">
        <v>0.11</v>
      </c>
      <c r="H2351">
        <v>0.8</v>
      </c>
      <c r="I2351" s="3" t="s">
        <v>8705</v>
      </c>
    </row>
    <row r="2352" spans="1:9" x14ac:dyDescent="0.35">
      <c r="A2352" s="3" t="s">
        <v>10462</v>
      </c>
      <c r="B2352" s="3" t="s">
        <v>3768</v>
      </c>
      <c r="C2352" s="3" t="s">
        <v>3769</v>
      </c>
      <c r="D2352">
        <v>8718</v>
      </c>
      <c r="E2352" s="6">
        <v>37257</v>
      </c>
      <c r="F2352">
        <v>0</v>
      </c>
      <c r="G2352">
        <v>0.06</v>
      </c>
      <c r="H2352">
        <v>0.94000000000000006</v>
      </c>
      <c r="I2352" s="3" t="s">
        <v>8699</v>
      </c>
    </row>
    <row r="2353" spans="1:9" x14ac:dyDescent="0.35">
      <c r="A2353" s="3" t="s">
        <v>10923</v>
      </c>
      <c r="B2353" s="3" t="s">
        <v>4733</v>
      </c>
      <c r="C2353" s="3" t="s">
        <v>4734</v>
      </c>
      <c r="D2353">
        <v>8718</v>
      </c>
      <c r="E2353" s="6">
        <v>37257</v>
      </c>
      <c r="F2353">
        <v>0</v>
      </c>
      <c r="G2353">
        <v>0.16800000000000001</v>
      </c>
      <c r="H2353">
        <v>1.032</v>
      </c>
      <c r="I2353" s="3" t="s">
        <v>8699</v>
      </c>
    </row>
    <row r="2354" spans="1:9" x14ac:dyDescent="0.35">
      <c r="A2354" s="3" t="s">
        <v>11065</v>
      </c>
      <c r="B2354" s="3" t="s">
        <v>5043</v>
      </c>
      <c r="C2354" s="3" t="s">
        <v>5044</v>
      </c>
      <c r="D2354">
        <v>6971</v>
      </c>
      <c r="E2354" s="6">
        <v>39004</v>
      </c>
      <c r="F2354">
        <v>0</v>
      </c>
      <c r="G2354">
        <v>0</v>
      </c>
      <c r="H2354">
        <v>0</v>
      </c>
      <c r="I2354" s="3" t="s">
        <v>28</v>
      </c>
    </row>
    <row r="2355" spans="1:9" x14ac:dyDescent="0.35">
      <c r="A2355" s="3" t="s">
        <v>11104</v>
      </c>
      <c r="B2355" s="3" t="s">
        <v>5123</v>
      </c>
      <c r="C2355" s="3" t="s">
        <v>5124</v>
      </c>
      <c r="D2355">
        <v>8718</v>
      </c>
      <c r="E2355" s="6">
        <v>37257</v>
      </c>
      <c r="F2355">
        <v>0</v>
      </c>
      <c r="G2355">
        <v>1.2930000000000001</v>
      </c>
      <c r="H2355">
        <v>1.4570000000000001</v>
      </c>
      <c r="I2355" s="3" t="s">
        <v>8699</v>
      </c>
    </row>
    <row r="2356" spans="1:9" x14ac:dyDescent="0.35">
      <c r="A2356" s="3" t="s">
        <v>11067</v>
      </c>
      <c r="B2356" s="3" t="s">
        <v>5047</v>
      </c>
      <c r="C2356" s="3" t="s">
        <v>5048</v>
      </c>
      <c r="D2356">
        <v>955</v>
      </c>
      <c r="E2356" s="6">
        <v>45020</v>
      </c>
      <c r="F2356">
        <v>0</v>
      </c>
      <c r="G2356">
        <v>0</v>
      </c>
      <c r="H2356">
        <v>0</v>
      </c>
      <c r="I2356" s="3" t="s">
        <v>28</v>
      </c>
    </row>
    <row r="2357" spans="1:9" x14ac:dyDescent="0.35">
      <c r="A2357" s="3" t="s">
        <v>11110</v>
      </c>
      <c r="B2357" s="3" t="s">
        <v>5137</v>
      </c>
      <c r="C2357" s="3" t="s">
        <v>5138</v>
      </c>
      <c r="D2357">
        <v>8718</v>
      </c>
      <c r="E2357" s="6">
        <v>37257</v>
      </c>
      <c r="F2357">
        <v>0</v>
      </c>
      <c r="G2357">
        <v>59.4</v>
      </c>
      <c r="H2357">
        <v>0.6</v>
      </c>
      <c r="I2357" s="3" t="s">
        <v>8699</v>
      </c>
    </row>
    <row r="2358" spans="1:9" x14ac:dyDescent="0.35">
      <c r="A2358" s="3" t="s">
        <v>10303</v>
      </c>
      <c r="B2358" s="3" t="s">
        <v>3428</v>
      </c>
      <c r="C2358" s="3" t="s">
        <v>3429</v>
      </c>
      <c r="D2358">
        <v>8740</v>
      </c>
      <c r="E2358" s="6">
        <v>37235</v>
      </c>
      <c r="F2358">
        <v>0</v>
      </c>
      <c r="G2358">
        <v>0.44900000000000001</v>
      </c>
      <c r="H2358">
        <v>0.21100000000000002</v>
      </c>
      <c r="I2358" s="3" t="s">
        <v>8699</v>
      </c>
    </row>
    <row r="2359" spans="1:9" x14ac:dyDescent="0.35">
      <c r="A2359" s="3" t="s">
        <v>10813</v>
      </c>
      <c r="B2359" s="3" t="s">
        <v>4507</v>
      </c>
      <c r="C2359" s="3" t="s">
        <v>4508</v>
      </c>
      <c r="D2359">
        <v>8749</v>
      </c>
      <c r="E2359" s="6">
        <v>37226</v>
      </c>
      <c r="F2359">
        <v>0</v>
      </c>
      <c r="G2359">
        <v>0.34</v>
      </c>
      <c r="H2359">
        <v>0.06</v>
      </c>
      <c r="I2359" s="3" t="s">
        <v>8699</v>
      </c>
    </row>
    <row r="2360" spans="1:9" x14ac:dyDescent="0.35">
      <c r="A2360" s="3" t="s">
        <v>11239</v>
      </c>
      <c r="B2360" s="3" t="s">
        <v>5407</v>
      </c>
      <c r="C2360" s="3" t="s">
        <v>5408</v>
      </c>
      <c r="D2360">
        <v>8779</v>
      </c>
      <c r="E2360" s="6">
        <v>37196</v>
      </c>
      <c r="F2360">
        <v>0</v>
      </c>
      <c r="G2360">
        <v>0.72</v>
      </c>
      <c r="H2360">
        <v>0.18</v>
      </c>
      <c r="I2360" s="3" t="s">
        <v>8699</v>
      </c>
    </row>
    <row r="2361" spans="1:9" x14ac:dyDescent="0.35">
      <c r="A2361" s="3" t="s">
        <v>9886</v>
      </c>
      <c r="B2361" s="3" t="s">
        <v>2536</v>
      </c>
      <c r="C2361" s="3" t="s">
        <v>2537</v>
      </c>
      <c r="D2361">
        <v>8790</v>
      </c>
      <c r="E2361" s="6">
        <v>37185</v>
      </c>
      <c r="F2361">
        <v>0</v>
      </c>
      <c r="G2361">
        <v>0.35000000000000003</v>
      </c>
      <c r="H2361">
        <v>0.65</v>
      </c>
      <c r="I2361" s="3" t="s">
        <v>8699</v>
      </c>
    </row>
    <row r="2362" spans="1:9" x14ac:dyDescent="0.35">
      <c r="A2362" s="3" t="s">
        <v>11073</v>
      </c>
      <c r="B2362" s="3" t="s">
        <v>5059</v>
      </c>
      <c r="C2362" s="3" t="s">
        <v>5060</v>
      </c>
      <c r="D2362">
        <v>357</v>
      </c>
      <c r="E2362" s="6">
        <v>45618</v>
      </c>
      <c r="F2362">
        <v>0</v>
      </c>
      <c r="G2362">
        <v>6.0000000000000001E-3</v>
      </c>
      <c r="H2362">
        <v>0.10400000000000001</v>
      </c>
      <c r="I2362" s="3" t="s">
        <v>8712</v>
      </c>
    </row>
    <row r="2363" spans="1:9" x14ac:dyDescent="0.35">
      <c r="A2363" s="3" t="s">
        <v>10773</v>
      </c>
      <c r="B2363" s="3" t="s">
        <v>4423</v>
      </c>
      <c r="C2363" s="3" t="s">
        <v>4424</v>
      </c>
      <c r="D2363">
        <v>8822</v>
      </c>
      <c r="E2363" s="6">
        <v>37153</v>
      </c>
      <c r="F2363">
        <v>0</v>
      </c>
      <c r="G2363">
        <v>4.4400000000000004</v>
      </c>
      <c r="H2363">
        <v>1.56</v>
      </c>
      <c r="I2363" s="3" t="s">
        <v>8699</v>
      </c>
    </row>
    <row r="2364" spans="1:9" x14ac:dyDescent="0.35">
      <c r="A2364" s="3" t="s">
        <v>11075</v>
      </c>
      <c r="B2364" s="3" t="s">
        <v>5063</v>
      </c>
      <c r="C2364" s="3" t="s">
        <v>5064</v>
      </c>
      <c r="D2364">
        <v>18</v>
      </c>
      <c r="E2364" s="6">
        <v>45957</v>
      </c>
      <c r="F2364">
        <v>0</v>
      </c>
      <c r="G2364">
        <v>5.0630000000000006</v>
      </c>
      <c r="H2364">
        <v>1.0370000000000001</v>
      </c>
      <c r="I2364" s="3" t="s">
        <v>8756</v>
      </c>
    </row>
    <row r="2365" spans="1:9" x14ac:dyDescent="0.35">
      <c r="A2365" s="3" t="s">
        <v>10438</v>
      </c>
      <c r="B2365" s="3" t="s">
        <v>3715</v>
      </c>
      <c r="C2365" s="3" t="s">
        <v>3716</v>
      </c>
      <c r="D2365">
        <v>8823</v>
      </c>
      <c r="E2365" s="6">
        <v>37152</v>
      </c>
      <c r="F2365">
        <v>0</v>
      </c>
      <c r="G2365">
        <v>0.02</v>
      </c>
      <c r="H2365">
        <v>0.18</v>
      </c>
      <c r="I2365" s="3" t="s">
        <v>8699</v>
      </c>
    </row>
    <row r="2366" spans="1:9" x14ac:dyDescent="0.35">
      <c r="A2366" s="3" t="s">
        <v>11077</v>
      </c>
      <c r="B2366" s="3" t="s">
        <v>5067</v>
      </c>
      <c r="C2366" s="3" t="s">
        <v>5068</v>
      </c>
      <c r="D2366">
        <v>88</v>
      </c>
      <c r="E2366" s="6">
        <v>45887</v>
      </c>
      <c r="F2366">
        <v>40</v>
      </c>
      <c r="G2366">
        <v>5.53</v>
      </c>
      <c r="H2366">
        <v>1.47</v>
      </c>
      <c r="I2366" s="3" t="s">
        <v>8756</v>
      </c>
    </row>
    <row r="2367" spans="1:9" x14ac:dyDescent="0.35">
      <c r="A2367" s="3" t="s">
        <v>11078</v>
      </c>
      <c r="B2367" s="3" t="s">
        <v>5069</v>
      </c>
      <c r="C2367" s="3" t="s">
        <v>5070</v>
      </c>
      <c r="D2367">
        <v>59</v>
      </c>
      <c r="E2367" s="6">
        <v>45916</v>
      </c>
      <c r="F2367">
        <v>0</v>
      </c>
      <c r="G2367">
        <v>2.4500000000000002</v>
      </c>
      <c r="H2367">
        <v>1.05</v>
      </c>
      <c r="I2367" s="3" t="s">
        <v>8756</v>
      </c>
    </row>
    <row r="2368" spans="1:9" x14ac:dyDescent="0.35">
      <c r="A2368" s="3" t="s">
        <v>11079</v>
      </c>
      <c r="B2368" s="3" t="s">
        <v>5071</v>
      </c>
      <c r="C2368" s="3" t="s">
        <v>5072</v>
      </c>
      <c r="D2368">
        <v>152</v>
      </c>
      <c r="E2368" s="6">
        <v>45823</v>
      </c>
      <c r="F2368">
        <v>350</v>
      </c>
      <c r="G2368">
        <v>3.1350000000000002</v>
      </c>
      <c r="H2368">
        <v>0.16500000000000001</v>
      </c>
      <c r="I2368" s="3" t="s">
        <v>8756</v>
      </c>
    </row>
    <row r="2369" spans="1:9" x14ac:dyDescent="0.35">
      <c r="A2369" s="3" t="s">
        <v>9284</v>
      </c>
      <c r="B2369" s="3" t="s">
        <v>1264</v>
      </c>
      <c r="C2369" s="3" t="s">
        <v>1265</v>
      </c>
      <c r="D2369">
        <v>8871</v>
      </c>
      <c r="E2369" s="6">
        <v>37104</v>
      </c>
      <c r="F2369">
        <v>0</v>
      </c>
      <c r="G2369">
        <v>2</v>
      </c>
      <c r="H2369">
        <v>0.5</v>
      </c>
      <c r="I2369" s="3" t="s">
        <v>8699</v>
      </c>
    </row>
    <row r="2370" spans="1:9" x14ac:dyDescent="0.35">
      <c r="A2370" s="3" t="s">
        <v>11081</v>
      </c>
      <c r="B2370" s="3" t="s">
        <v>5075</v>
      </c>
      <c r="C2370" s="3" t="s">
        <v>5076</v>
      </c>
      <c r="D2370">
        <v>5646</v>
      </c>
      <c r="E2370" s="6">
        <v>40329</v>
      </c>
      <c r="F2370">
        <v>0</v>
      </c>
      <c r="G2370">
        <v>2E-3</v>
      </c>
      <c r="H2370">
        <v>7.8E-2</v>
      </c>
      <c r="I2370" s="3" t="s">
        <v>8712</v>
      </c>
    </row>
    <row r="2371" spans="1:9" x14ac:dyDescent="0.35">
      <c r="A2371" s="3" t="s">
        <v>11082</v>
      </c>
      <c r="B2371" s="3" t="s">
        <v>5078</v>
      </c>
      <c r="C2371" s="3" t="s">
        <v>5079</v>
      </c>
      <c r="D2371">
        <v>955</v>
      </c>
      <c r="E2371" s="6">
        <v>45020</v>
      </c>
      <c r="F2371">
        <v>0</v>
      </c>
      <c r="G2371">
        <v>0</v>
      </c>
      <c r="H2371">
        <v>0</v>
      </c>
      <c r="I2371" s="3" t="s">
        <v>28</v>
      </c>
    </row>
    <row r="2372" spans="1:9" x14ac:dyDescent="0.35">
      <c r="A2372" s="3" t="s">
        <v>10736</v>
      </c>
      <c r="B2372" s="3" t="s">
        <v>4344</v>
      </c>
      <c r="C2372" s="3" t="s">
        <v>4345</v>
      </c>
      <c r="D2372">
        <v>8902</v>
      </c>
      <c r="E2372" s="6">
        <v>37073</v>
      </c>
      <c r="F2372">
        <v>0</v>
      </c>
      <c r="G2372">
        <v>0.08</v>
      </c>
      <c r="H2372">
        <v>0.92</v>
      </c>
      <c r="I2372" s="3" t="s">
        <v>8699</v>
      </c>
    </row>
    <row r="2373" spans="1:9" x14ac:dyDescent="0.35">
      <c r="A2373" s="3" t="s">
        <v>8988</v>
      </c>
      <c r="B2373" s="3" t="s">
        <v>644</v>
      </c>
      <c r="C2373" s="3" t="s">
        <v>645</v>
      </c>
      <c r="D2373">
        <v>8921</v>
      </c>
      <c r="E2373" s="6">
        <v>37054</v>
      </c>
      <c r="F2373">
        <v>0</v>
      </c>
      <c r="G2373">
        <v>0</v>
      </c>
      <c r="H2373">
        <v>0</v>
      </c>
      <c r="I2373" s="3" t="s">
        <v>8699</v>
      </c>
    </row>
    <row r="2374" spans="1:9" x14ac:dyDescent="0.35">
      <c r="A2374" s="3" t="s">
        <v>11085</v>
      </c>
      <c r="B2374" s="3" t="s">
        <v>5084</v>
      </c>
      <c r="C2374" s="3" t="s">
        <v>5085</v>
      </c>
      <c r="D2374">
        <v>214</v>
      </c>
      <c r="E2374" s="6">
        <v>45761</v>
      </c>
      <c r="F2374">
        <v>0</v>
      </c>
      <c r="G2374">
        <v>73.5</v>
      </c>
      <c r="H2374">
        <v>1.5</v>
      </c>
      <c r="I2374" s="3" t="s">
        <v>8705</v>
      </c>
    </row>
    <row r="2375" spans="1:9" x14ac:dyDescent="0.35">
      <c r="A2375" s="3" t="s">
        <v>11086</v>
      </c>
      <c r="B2375" s="3" t="s">
        <v>5086</v>
      </c>
      <c r="C2375" s="3" t="s">
        <v>5087</v>
      </c>
      <c r="D2375">
        <v>11</v>
      </c>
      <c r="E2375" s="6">
        <v>45964</v>
      </c>
      <c r="F2375">
        <v>0</v>
      </c>
      <c r="G2375">
        <v>33.32</v>
      </c>
      <c r="H2375">
        <v>0.68</v>
      </c>
      <c r="I2375" s="3" t="s">
        <v>8703</v>
      </c>
    </row>
    <row r="2376" spans="1:9" x14ac:dyDescent="0.35">
      <c r="A2376" s="3" t="s">
        <v>11087</v>
      </c>
      <c r="B2376" s="3" t="s">
        <v>5088</v>
      </c>
      <c r="C2376" s="3" t="s">
        <v>5089</v>
      </c>
      <c r="D2376">
        <v>726</v>
      </c>
      <c r="E2376" s="6">
        <v>45249</v>
      </c>
      <c r="F2376">
        <v>0</v>
      </c>
      <c r="G2376">
        <v>0</v>
      </c>
      <c r="H2376">
        <v>0</v>
      </c>
      <c r="I2376" s="3" t="s">
        <v>28</v>
      </c>
    </row>
    <row r="2377" spans="1:9" x14ac:dyDescent="0.35">
      <c r="A2377" s="3" t="s">
        <v>11088</v>
      </c>
      <c r="B2377" s="3" t="s">
        <v>5090</v>
      </c>
      <c r="C2377" s="3" t="s">
        <v>5091</v>
      </c>
      <c r="D2377">
        <v>955</v>
      </c>
      <c r="E2377" s="6">
        <v>45020</v>
      </c>
      <c r="F2377">
        <v>0</v>
      </c>
      <c r="G2377">
        <v>0</v>
      </c>
      <c r="H2377">
        <v>0</v>
      </c>
      <c r="I2377" s="3" t="s">
        <v>28</v>
      </c>
    </row>
    <row r="2378" spans="1:9" x14ac:dyDescent="0.35">
      <c r="A2378" s="3" t="s">
        <v>11089</v>
      </c>
      <c r="B2378" s="3" t="s">
        <v>5092</v>
      </c>
      <c r="C2378" s="3" t="s">
        <v>5093</v>
      </c>
      <c r="D2378">
        <v>46</v>
      </c>
      <c r="E2378" s="6">
        <v>45929</v>
      </c>
      <c r="F2378">
        <v>0</v>
      </c>
      <c r="G2378">
        <v>4.8000000000000001E-2</v>
      </c>
      <c r="H2378">
        <v>1.1520000000000001</v>
      </c>
      <c r="I2378" s="3" t="s">
        <v>8756</v>
      </c>
    </row>
    <row r="2379" spans="1:9" x14ac:dyDescent="0.35">
      <c r="A2379" s="3" t="s">
        <v>11090</v>
      </c>
      <c r="B2379" s="3" t="s">
        <v>5094</v>
      </c>
      <c r="C2379" s="3" t="s">
        <v>5095</v>
      </c>
      <c r="D2379">
        <v>726</v>
      </c>
      <c r="E2379" s="6">
        <v>45249</v>
      </c>
      <c r="F2379">
        <v>0</v>
      </c>
      <c r="G2379">
        <v>0</v>
      </c>
      <c r="H2379">
        <v>0</v>
      </c>
      <c r="I2379" s="3" t="s">
        <v>28</v>
      </c>
    </row>
    <row r="2380" spans="1:9" x14ac:dyDescent="0.35">
      <c r="A2380" s="3" t="s">
        <v>11091</v>
      </c>
      <c r="B2380" s="3" t="s">
        <v>5096</v>
      </c>
      <c r="C2380" s="3" t="s">
        <v>5097</v>
      </c>
      <c r="D2380">
        <v>457</v>
      </c>
      <c r="E2380" s="6">
        <v>45518</v>
      </c>
      <c r="F2380">
        <v>0</v>
      </c>
      <c r="G2380">
        <v>5.28</v>
      </c>
      <c r="H2380">
        <v>0.72</v>
      </c>
      <c r="I2380" s="3" t="s">
        <v>8756</v>
      </c>
    </row>
    <row r="2381" spans="1:9" x14ac:dyDescent="0.35">
      <c r="A2381" s="3" t="s">
        <v>11092</v>
      </c>
      <c r="B2381" s="3" t="s">
        <v>5098</v>
      </c>
      <c r="C2381" s="3" t="s">
        <v>5099</v>
      </c>
      <c r="D2381">
        <v>955</v>
      </c>
      <c r="E2381" s="6">
        <v>45020</v>
      </c>
      <c r="F2381">
        <v>0</v>
      </c>
      <c r="G2381">
        <v>0</v>
      </c>
      <c r="H2381">
        <v>0</v>
      </c>
      <c r="I2381" s="3" t="s">
        <v>28</v>
      </c>
    </row>
    <row r="2382" spans="1:9" x14ac:dyDescent="0.35">
      <c r="A2382" s="3" t="s">
        <v>11093</v>
      </c>
      <c r="B2382" s="3" t="s">
        <v>5100</v>
      </c>
      <c r="C2382" s="3" t="s">
        <v>5101</v>
      </c>
      <c r="D2382">
        <v>366</v>
      </c>
      <c r="E2382" s="6">
        <v>45609</v>
      </c>
      <c r="F2382">
        <v>0</v>
      </c>
      <c r="G2382">
        <v>7.0000000000000001E-3</v>
      </c>
      <c r="H2382">
        <v>0.12300000000000001</v>
      </c>
      <c r="I2382" s="3" t="s">
        <v>8712</v>
      </c>
    </row>
    <row r="2383" spans="1:9" x14ac:dyDescent="0.35">
      <c r="A2383" s="3" t="s">
        <v>11094</v>
      </c>
      <c r="B2383" s="3" t="s">
        <v>5102</v>
      </c>
      <c r="C2383" s="3" t="s">
        <v>5103</v>
      </c>
      <c r="D2383">
        <v>955</v>
      </c>
      <c r="E2383" s="6">
        <v>45020</v>
      </c>
      <c r="F2383">
        <v>0</v>
      </c>
      <c r="G2383">
        <v>0</v>
      </c>
      <c r="H2383">
        <v>0</v>
      </c>
      <c r="I2383" s="3" t="s">
        <v>28</v>
      </c>
    </row>
    <row r="2384" spans="1:9" x14ac:dyDescent="0.35">
      <c r="A2384" s="3" t="s">
        <v>11095</v>
      </c>
      <c r="B2384" s="3" t="s">
        <v>5104</v>
      </c>
      <c r="C2384" s="3" t="s">
        <v>5105</v>
      </c>
      <c r="D2384">
        <v>955</v>
      </c>
      <c r="E2384" s="6">
        <v>45020</v>
      </c>
      <c r="F2384">
        <v>0</v>
      </c>
      <c r="G2384">
        <v>0</v>
      </c>
      <c r="H2384">
        <v>0</v>
      </c>
      <c r="I2384" s="3" t="s">
        <v>28</v>
      </c>
    </row>
    <row r="2385" spans="1:9" x14ac:dyDescent="0.35">
      <c r="A2385" s="3" t="s">
        <v>10728</v>
      </c>
      <c r="B2385" s="3" t="s">
        <v>4328</v>
      </c>
      <c r="C2385" s="3" t="s">
        <v>4329</v>
      </c>
      <c r="D2385">
        <v>8925</v>
      </c>
      <c r="E2385" s="6">
        <v>37050</v>
      </c>
      <c r="F2385">
        <v>0</v>
      </c>
      <c r="G2385">
        <v>0.49</v>
      </c>
      <c r="H2385">
        <v>0.91</v>
      </c>
      <c r="I2385" s="3" t="s">
        <v>8699</v>
      </c>
    </row>
    <row r="2386" spans="1:9" x14ac:dyDescent="0.35">
      <c r="A2386" s="3" t="s">
        <v>11097</v>
      </c>
      <c r="B2386" s="3" t="s">
        <v>5109</v>
      </c>
      <c r="C2386" s="3" t="s">
        <v>5110</v>
      </c>
      <c r="D2386">
        <v>77</v>
      </c>
      <c r="E2386" s="6">
        <v>45898</v>
      </c>
      <c r="F2386">
        <v>100</v>
      </c>
      <c r="G2386">
        <v>4.6920000000000002</v>
      </c>
      <c r="H2386">
        <v>0.40800000000000003</v>
      </c>
      <c r="I2386" s="3" t="s">
        <v>8701</v>
      </c>
    </row>
    <row r="2387" spans="1:9" x14ac:dyDescent="0.35">
      <c r="A2387" s="3" t="s">
        <v>11098</v>
      </c>
      <c r="B2387" s="3" t="s">
        <v>5111</v>
      </c>
      <c r="C2387" s="3" t="s">
        <v>5112</v>
      </c>
      <c r="D2387">
        <v>1</v>
      </c>
      <c r="E2387" s="6">
        <v>45974</v>
      </c>
      <c r="F2387">
        <v>400</v>
      </c>
      <c r="G2387">
        <v>0.54</v>
      </c>
      <c r="H2387">
        <v>1.26</v>
      </c>
      <c r="I2387" s="3" t="s">
        <v>8756</v>
      </c>
    </row>
    <row r="2388" spans="1:9" x14ac:dyDescent="0.35">
      <c r="A2388" s="3" t="s">
        <v>11099</v>
      </c>
      <c r="B2388" s="3" t="s">
        <v>5113</v>
      </c>
      <c r="C2388" s="3" t="s">
        <v>5114</v>
      </c>
      <c r="D2388">
        <v>49</v>
      </c>
      <c r="E2388" s="6">
        <v>45926</v>
      </c>
      <c r="F2388">
        <v>0</v>
      </c>
      <c r="G2388">
        <v>0.9860000000000001</v>
      </c>
      <c r="H2388">
        <v>0.71400000000000008</v>
      </c>
      <c r="I2388" s="3" t="s">
        <v>8701</v>
      </c>
    </row>
    <row r="2389" spans="1:9" x14ac:dyDescent="0.35">
      <c r="A2389" s="3" t="s">
        <v>11100</v>
      </c>
      <c r="B2389" s="3" t="s">
        <v>5115</v>
      </c>
      <c r="C2389" s="3" t="s">
        <v>5116</v>
      </c>
      <c r="D2389">
        <v>46</v>
      </c>
      <c r="E2389" s="6">
        <v>45929</v>
      </c>
      <c r="F2389">
        <v>0</v>
      </c>
      <c r="G2389">
        <v>25.2</v>
      </c>
      <c r="H2389">
        <v>2.8000000000000003</v>
      </c>
      <c r="I2389" s="3" t="s">
        <v>8701</v>
      </c>
    </row>
    <row r="2390" spans="1:9" x14ac:dyDescent="0.35">
      <c r="A2390" s="3" t="s">
        <v>11101</v>
      </c>
      <c r="B2390" s="3" t="s">
        <v>5117</v>
      </c>
      <c r="C2390" s="3" t="s">
        <v>5118</v>
      </c>
      <c r="D2390">
        <v>46</v>
      </c>
      <c r="E2390" s="6">
        <v>45929</v>
      </c>
      <c r="F2390">
        <v>0</v>
      </c>
      <c r="G2390">
        <v>55.575000000000003</v>
      </c>
      <c r="H2390">
        <v>1.425</v>
      </c>
      <c r="I2390" s="3" t="s">
        <v>8701</v>
      </c>
    </row>
    <row r="2391" spans="1:9" x14ac:dyDescent="0.35">
      <c r="A2391" s="3" t="s">
        <v>11102</v>
      </c>
      <c r="B2391" s="3" t="s">
        <v>5119</v>
      </c>
      <c r="C2391" s="3" t="s">
        <v>5120</v>
      </c>
      <c r="D2391">
        <v>1009</v>
      </c>
      <c r="E2391" s="6">
        <v>44966</v>
      </c>
      <c r="F2391">
        <v>0</v>
      </c>
      <c r="G2391">
        <v>14.25</v>
      </c>
      <c r="H2391">
        <v>0.75</v>
      </c>
      <c r="I2391" s="3" t="s">
        <v>8701</v>
      </c>
    </row>
    <row r="2392" spans="1:9" x14ac:dyDescent="0.35">
      <c r="A2392" s="3" t="s">
        <v>11103</v>
      </c>
      <c r="B2392" s="3" t="s">
        <v>5121</v>
      </c>
      <c r="C2392" s="3" t="s">
        <v>5122</v>
      </c>
      <c r="D2392">
        <v>60</v>
      </c>
      <c r="E2392" s="6">
        <v>45915</v>
      </c>
      <c r="F2392">
        <v>0</v>
      </c>
      <c r="G2392">
        <v>2.31</v>
      </c>
      <c r="H2392">
        <v>1.19</v>
      </c>
      <c r="I2392" s="3" t="s">
        <v>8756</v>
      </c>
    </row>
    <row r="2393" spans="1:9" x14ac:dyDescent="0.35">
      <c r="A2393" s="3" t="s">
        <v>10758</v>
      </c>
      <c r="B2393" s="3" t="s">
        <v>4391</v>
      </c>
      <c r="C2393" s="3" t="s">
        <v>4392</v>
      </c>
      <c r="D2393">
        <v>8925</v>
      </c>
      <c r="E2393" s="6">
        <v>37050</v>
      </c>
      <c r="F2393">
        <v>0</v>
      </c>
      <c r="G2393">
        <v>0.14400000000000002</v>
      </c>
      <c r="H2393">
        <v>0.65600000000000003</v>
      </c>
      <c r="I2393" s="3" t="s">
        <v>8699</v>
      </c>
    </row>
    <row r="2394" spans="1:9" x14ac:dyDescent="0.35">
      <c r="A2394" s="3" t="s">
        <v>8932</v>
      </c>
      <c r="B2394" s="3" t="s">
        <v>523</v>
      </c>
      <c r="C2394" s="3" t="s">
        <v>524</v>
      </c>
      <c r="D2394">
        <v>8991</v>
      </c>
      <c r="E2394" s="6">
        <v>36984</v>
      </c>
      <c r="F2394">
        <v>0</v>
      </c>
      <c r="G2394">
        <v>1.2</v>
      </c>
      <c r="H2394">
        <v>0.8</v>
      </c>
      <c r="I2394" s="3" t="s">
        <v>8699</v>
      </c>
    </row>
    <row r="2395" spans="1:9" x14ac:dyDescent="0.35">
      <c r="A2395" s="3" t="s">
        <v>10703</v>
      </c>
      <c r="B2395" s="3" t="s">
        <v>4277</v>
      </c>
      <c r="C2395" s="3" t="s">
        <v>4278</v>
      </c>
      <c r="D2395">
        <v>9032</v>
      </c>
      <c r="E2395" s="6">
        <v>36943</v>
      </c>
      <c r="F2395">
        <v>0</v>
      </c>
      <c r="G2395">
        <v>0.93600000000000005</v>
      </c>
      <c r="H2395">
        <v>0.36399999999999999</v>
      </c>
      <c r="I2395" s="3" t="s">
        <v>8699</v>
      </c>
    </row>
    <row r="2396" spans="1:9" x14ac:dyDescent="0.35">
      <c r="A2396" s="3" t="s">
        <v>9631</v>
      </c>
      <c r="B2396" s="3" t="s">
        <v>1994</v>
      </c>
      <c r="C2396" s="3" t="s">
        <v>1995</v>
      </c>
      <c r="D2396">
        <v>9068</v>
      </c>
      <c r="E2396" s="6">
        <v>36907</v>
      </c>
      <c r="F2396">
        <v>90</v>
      </c>
      <c r="G2396">
        <v>3.5670000000000002</v>
      </c>
      <c r="H2396">
        <v>0.53300000000000003</v>
      </c>
      <c r="I2396" s="3" t="s">
        <v>8699</v>
      </c>
    </row>
    <row r="2397" spans="1:9" x14ac:dyDescent="0.35">
      <c r="A2397" s="3" t="s">
        <v>10246</v>
      </c>
      <c r="B2397" s="3" t="s">
        <v>3302</v>
      </c>
      <c r="C2397" s="3" t="s">
        <v>3303</v>
      </c>
      <c r="D2397">
        <v>9096</v>
      </c>
      <c r="E2397" s="6">
        <v>36879</v>
      </c>
      <c r="F2397">
        <v>0</v>
      </c>
      <c r="G2397">
        <v>4.68</v>
      </c>
      <c r="H2397">
        <v>1.32</v>
      </c>
      <c r="I2397" s="3" t="s">
        <v>8699</v>
      </c>
    </row>
    <row r="2398" spans="1:9" x14ac:dyDescent="0.35">
      <c r="A2398" s="3" t="s">
        <v>11236</v>
      </c>
      <c r="B2398" s="3" t="s">
        <v>5401</v>
      </c>
      <c r="C2398" s="3" t="s">
        <v>5402</v>
      </c>
      <c r="D2398">
        <v>9105</v>
      </c>
      <c r="E2398" s="6">
        <v>36870</v>
      </c>
      <c r="F2398">
        <v>0</v>
      </c>
      <c r="G2398">
        <v>10.120000000000001</v>
      </c>
      <c r="H2398">
        <v>0.88</v>
      </c>
      <c r="I2398" s="3" t="s">
        <v>8699</v>
      </c>
    </row>
    <row r="2399" spans="1:9" x14ac:dyDescent="0.35">
      <c r="A2399" s="3" t="s">
        <v>11166</v>
      </c>
      <c r="B2399" s="3" t="s">
        <v>5257</v>
      </c>
      <c r="C2399" s="3" t="s">
        <v>5258</v>
      </c>
      <c r="D2399">
        <v>9234</v>
      </c>
      <c r="E2399" s="6">
        <v>36741</v>
      </c>
      <c r="F2399">
        <v>0</v>
      </c>
      <c r="G2399">
        <v>0.2</v>
      </c>
      <c r="H2399">
        <v>0.8</v>
      </c>
      <c r="I2399" s="3" t="s">
        <v>8699</v>
      </c>
    </row>
    <row r="2400" spans="1:9" x14ac:dyDescent="0.35">
      <c r="A2400" s="3" t="s">
        <v>11171</v>
      </c>
      <c r="B2400" s="3" t="s">
        <v>5267</v>
      </c>
      <c r="C2400" s="3" t="s">
        <v>5268</v>
      </c>
      <c r="D2400">
        <v>9313</v>
      </c>
      <c r="E2400" s="6">
        <v>36662</v>
      </c>
      <c r="F2400">
        <v>0</v>
      </c>
      <c r="G2400">
        <v>1.4E-2</v>
      </c>
      <c r="H2400">
        <v>0.68600000000000005</v>
      </c>
      <c r="I2400" s="3" t="s">
        <v>8699</v>
      </c>
    </row>
    <row r="2401" spans="1:9" x14ac:dyDescent="0.35">
      <c r="A2401" s="3" t="s">
        <v>9000</v>
      </c>
      <c r="B2401" s="3" t="s">
        <v>670</v>
      </c>
      <c r="C2401" s="3" t="s">
        <v>671</v>
      </c>
      <c r="D2401">
        <v>9321</v>
      </c>
      <c r="E2401" s="6">
        <v>36654</v>
      </c>
      <c r="F2401">
        <v>0</v>
      </c>
      <c r="G2401">
        <v>0.25</v>
      </c>
      <c r="H2401">
        <v>0.75</v>
      </c>
      <c r="I2401" s="3" t="s">
        <v>8699</v>
      </c>
    </row>
    <row r="2402" spans="1:9" x14ac:dyDescent="0.35">
      <c r="A2402" s="3" t="s">
        <v>9172</v>
      </c>
      <c r="B2402" s="3" t="s">
        <v>1028</v>
      </c>
      <c r="C2402" s="3" t="s">
        <v>1029</v>
      </c>
      <c r="D2402">
        <v>9348</v>
      </c>
      <c r="E2402" s="6">
        <v>36627</v>
      </c>
      <c r="F2402">
        <v>0</v>
      </c>
      <c r="G2402">
        <v>7.0000000000000007E-2</v>
      </c>
      <c r="H2402">
        <v>0.93</v>
      </c>
      <c r="I2402" s="3" t="s">
        <v>8699</v>
      </c>
    </row>
    <row r="2403" spans="1:9" x14ac:dyDescent="0.35">
      <c r="A2403" s="3" t="s">
        <v>11114</v>
      </c>
      <c r="B2403" s="3" t="s">
        <v>5145</v>
      </c>
      <c r="C2403" s="3" t="s">
        <v>5146</v>
      </c>
      <c r="D2403">
        <v>50</v>
      </c>
      <c r="E2403" s="6">
        <v>45925</v>
      </c>
      <c r="F2403">
        <v>0</v>
      </c>
      <c r="G2403">
        <v>24.502000000000002</v>
      </c>
      <c r="H2403">
        <v>0.75800000000000001</v>
      </c>
      <c r="I2403" s="3" t="s">
        <v>8701</v>
      </c>
    </row>
    <row r="2404" spans="1:9" x14ac:dyDescent="0.35">
      <c r="A2404" s="3" t="s">
        <v>8714</v>
      </c>
      <c r="B2404" s="3" t="s">
        <v>43</v>
      </c>
      <c r="C2404" s="3" t="s">
        <v>44</v>
      </c>
      <c r="D2404">
        <v>9381</v>
      </c>
      <c r="E2404" s="6">
        <v>36594</v>
      </c>
      <c r="F2404">
        <v>0</v>
      </c>
      <c r="G2404">
        <v>0.04</v>
      </c>
      <c r="H2404">
        <v>0.96</v>
      </c>
      <c r="I2404" s="3" t="s">
        <v>8699</v>
      </c>
    </row>
    <row r="2405" spans="1:9" x14ac:dyDescent="0.35">
      <c r="A2405" s="3" t="s">
        <v>11116</v>
      </c>
      <c r="B2405" s="3" t="s">
        <v>5149</v>
      </c>
      <c r="C2405" s="3" t="s">
        <v>5150</v>
      </c>
      <c r="D2405">
        <v>23</v>
      </c>
      <c r="E2405" s="6">
        <v>45952</v>
      </c>
      <c r="F2405">
        <v>0</v>
      </c>
      <c r="G2405">
        <v>5.0000000000000001E-3</v>
      </c>
      <c r="H2405">
        <v>0.115</v>
      </c>
      <c r="I2405" s="3" t="s">
        <v>8712</v>
      </c>
    </row>
    <row r="2406" spans="1:9" x14ac:dyDescent="0.35">
      <c r="A2406" s="3" t="s">
        <v>11117</v>
      </c>
      <c r="B2406" s="3" t="s">
        <v>5151</v>
      </c>
      <c r="C2406" s="3" t="s">
        <v>5152</v>
      </c>
      <c r="D2406">
        <v>23</v>
      </c>
      <c r="E2406" s="6">
        <v>45952</v>
      </c>
      <c r="F2406">
        <v>0</v>
      </c>
      <c r="G2406">
        <v>57.82</v>
      </c>
      <c r="H2406">
        <v>1.18</v>
      </c>
      <c r="I2406" s="3" t="s">
        <v>8701</v>
      </c>
    </row>
    <row r="2407" spans="1:9" x14ac:dyDescent="0.35">
      <c r="A2407" s="3" t="s">
        <v>11118</v>
      </c>
      <c r="B2407" s="3" t="s">
        <v>5153</v>
      </c>
      <c r="C2407" s="3" t="s">
        <v>5154</v>
      </c>
      <c r="D2407">
        <v>78</v>
      </c>
      <c r="E2407" s="6">
        <v>45897</v>
      </c>
      <c r="F2407">
        <v>0</v>
      </c>
      <c r="G2407">
        <v>2E-3</v>
      </c>
      <c r="H2407">
        <v>4.8000000000000001E-2</v>
      </c>
      <c r="I2407" s="3" t="s">
        <v>8712</v>
      </c>
    </row>
    <row r="2408" spans="1:9" x14ac:dyDescent="0.35">
      <c r="A2408" s="3" t="s">
        <v>11119</v>
      </c>
      <c r="B2408" s="3" t="s">
        <v>5155</v>
      </c>
      <c r="C2408" s="3" t="s">
        <v>5156</v>
      </c>
      <c r="D2408">
        <v>50</v>
      </c>
      <c r="E2408" s="6">
        <v>45925</v>
      </c>
      <c r="F2408">
        <v>100</v>
      </c>
      <c r="G2408">
        <v>1.9580000000000002</v>
      </c>
      <c r="H2408">
        <v>0.24200000000000002</v>
      </c>
      <c r="I2408" s="3" t="s">
        <v>8701</v>
      </c>
    </row>
    <row r="2409" spans="1:9" x14ac:dyDescent="0.35">
      <c r="A2409" s="3" t="s">
        <v>9193</v>
      </c>
      <c r="B2409" s="3" t="s">
        <v>1073</v>
      </c>
      <c r="C2409" s="3" t="s">
        <v>1074</v>
      </c>
      <c r="D2409">
        <v>9404</v>
      </c>
      <c r="E2409" s="6">
        <v>36571</v>
      </c>
      <c r="F2409">
        <v>0</v>
      </c>
      <c r="G2409">
        <v>0.4</v>
      </c>
      <c r="H2409">
        <v>1.5880000000000001</v>
      </c>
      <c r="I2409" s="3" t="s">
        <v>8699</v>
      </c>
    </row>
    <row r="2410" spans="1:9" x14ac:dyDescent="0.35">
      <c r="A2410" s="3" t="s">
        <v>11121</v>
      </c>
      <c r="B2410" s="3" t="s">
        <v>5159</v>
      </c>
      <c r="C2410" s="3" t="s">
        <v>5160</v>
      </c>
      <c r="D2410">
        <v>30</v>
      </c>
      <c r="E2410" s="6">
        <v>45945</v>
      </c>
      <c r="F2410">
        <v>10</v>
      </c>
      <c r="G2410">
        <v>0.94000000000000006</v>
      </c>
      <c r="H2410">
        <v>1.06</v>
      </c>
      <c r="I2410" s="3" t="s">
        <v>8756</v>
      </c>
    </row>
    <row r="2411" spans="1:9" x14ac:dyDescent="0.35">
      <c r="A2411" s="3" t="s">
        <v>11122</v>
      </c>
      <c r="B2411" s="3" t="s">
        <v>5161</v>
      </c>
      <c r="C2411" s="3" t="s">
        <v>5162</v>
      </c>
      <c r="D2411">
        <v>23</v>
      </c>
      <c r="E2411" s="6">
        <v>45952</v>
      </c>
      <c r="F2411">
        <v>50</v>
      </c>
      <c r="G2411">
        <v>1.2</v>
      </c>
      <c r="H2411">
        <v>0.8</v>
      </c>
      <c r="I2411" s="3" t="s">
        <v>8756</v>
      </c>
    </row>
    <row r="2412" spans="1:9" x14ac:dyDescent="0.35">
      <c r="A2412" s="3" t="s">
        <v>10013</v>
      </c>
      <c r="B2412" s="3" t="s">
        <v>2805</v>
      </c>
      <c r="C2412" s="3" t="s">
        <v>2806</v>
      </c>
      <c r="D2412">
        <v>9404</v>
      </c>
      <c r="E2412" s="6">
        <v>36571</v>
      </c>
      <c r="F2412">
        <v>0</v>
      </c>
      <c r="G2412">
        <v>3.8000000000000003</v>
      </c>
      <c r="H2412">
        <v>1.19</v>
      </c>
      <c r="I2412" s="3" t="s">
        <v>8699</v>
      </c>
    </row>
    <row r="2413" spans="1:9" x14ac:dyDescent="0.35">
      <c r="A2413" s="3" t="s">
        <v>11124</v>
      </c>
      <c r="B2413" s="3" t="s">
        <v>5165</v>
      </c>
      <c r="C2413" s="3" t="s">
        <v>5166</v>
      </c>
      <c r="D2413">
        <v>1135</v>
      </c>
      <c r="E2413" s="6">
        <v>44840</v>
      </c>
      <c r="F2413">
        <v>0</v>
      </c>
      <c r="G2413">
        <v>10.925000000000001</v>
      </c>
      <c r="H2413">
        <v>0.57500000000000007</v>
      </c>
      <c r="I2413" s="3" t="s">
        <v>8756</v>
      </c>
    </row>
    <row r="2414" spans="1:9" x14ac:dyDescent="0.35">
      <c r="A2414" s="3" t="s">
        <v>11125</v>
      </c>
      <c r="B2414" s="3" t="s">
        <v>5167</v>
      </c>
      <c r="C2414" s="3" t="s">
        <v>5168</v>
      </c>
      <c r="D2414">
        <v>50</v>
      </c>
      <c r="E2414" s="6">
        <v>45925</v>
      </c>
      <c r="F2414">
        <v>50</v>
      </c>
      <c r="G2414">
        <v>12.255000000000001</v>
      </c>
      <c r="H2414">
        <v>0.64500000000000002</v>
      </c>
      <c r="I2414" s="3" t="s">
        <v>8701</v>
      </c>
    </row>
    <row r="2415" spans="1:9" x14ac:dyDescent="0.35">
      <c r="A2415" s="3" t="s">
        <v>11126</v>
      </c>
      <c r="B2415" s="3" t="s">
        <v>5169</v>
      </c>
      <c r="C2415" s="3" t="s">
        <v>5170</v>
      </c>
      <c r="D2415">
        <v>264</v>
      </c>
      <c r="E2415" s="6">
        <v>45711</v>
      </c>
      <c r="F2415">
        <v>0</v>
      </c>
      <c r="G2415">
        <v>49.5</v>
      </c>
      <c r="H2415">
        <v>0.5</v>
      </c>
      <c r="I2415" s="3" t="s">
        <v>8701</v>
      </c>
    </row>
    <row r="2416" spans="1:9" x14ac:dyDescent="0.35">
      <c r="A2416" s="3" t="s">
        <v>11127</v>
      </c>
      <c r="B2416" s="3" t="s">
        <v>5171</v>
      </c>
      <c r="C2416" s="3" t="s">
        <v>5172</v>
      </c>
      <c r="D2416">
        <v>23</v>
      </c>
      <c r="E2416" s="6">
        <v>45952</v>
      </c>
      <c r="F2416">
        <v>0</v>
      </c>
      <c r="G2416">
        <v>3</v>
      </c>
      <c r="H2416">
        <v>2</v>
      </c>
      <c r="I2416" s="3" t="s">
        <v>8756</v>
      </c>
    </row>
    <row r="2417" spans="1:9" x14ac:dyDescent="0.35">
      <c r="A2417" s="3" t="s">
        <v>11128</v>
      </c>
      <c r="B2417" s="3" t="s">
        <v>5173</v>
      </c>
      <c r="C2417" s="3" t="s">
        <v>5174</v>
      </c>
      <c r="D2417">
        <v>31</v>
      </c>
      <c r="E2417" s="6">
        <v>45944</v>
      </c>
      <c r="F2417">
        <v>0</v>
      </c>
      <c r="G2417">
        <v>4.32</v>
      </c>
      <c r="H2417">
        <v>1.68</v>
      </c>
      <c r="I2417" s="3" t="s">
        <v>8756</v>
      </c>
    </row>
    <row r="2418" spans="1:9" x14ac:dyDescent="0.35">
      <c r="A2418" s="3" t="s">
        <v>9919</v>
      </c>
      <c r="B2418" s="3" t="s">
        <v>2608</v>
      </c>
      <c r="C2418" s="3" t="s">
        <v>2609</v>
      </c>
      <c r="D2418">
        <v>9454</v>
      </c>
      <c r="E2418" s="6">
        <v>36521</v>
      </c>
      <c r="F2418">
        <v>0</v>
      </c>
      <c r="G2418">
        <v>1.3480000000000001</v>
      </c>
      <c r="H2418">
        <v>0.79200000000000004</v>
      </c>
      <c r="I2418" s="3" t="s">
        <v>8699</v>
      </c>
    </row>
    <row r="2419" spans="1:9" x14ac:dyDescent="0.35">
      <c r="A2419" s="3" t="s">
        <v>11130</v>
      </c>
      <c r="B2419" s="3" t="s">
        <v>5177</v>
      </c>
      <c r="C2419" s="3" t="s">
        <v>5178</v>
      </c>
      <c r="D2419">
        <v>78</v>
      </c>
      <c r="E2419" s="6">
        <v>45897</v>
      </c>
      <c r="F2419">
        <v>200</v>
      </c>
      <c r="G2419">
        <v>4.4020000000000001</v>
      </c>
      <c r="H2419">
        <v>1.798</v>
      </c>
      <c r="I2419" s="3" t="s">
        <v>8701</v>
      </c>
    </row>
    <row r="2420" spans="1:9" x14ac:dyDescent="0.35">
      <c r="A2420" s="3" t="s">
        <v>9238</v>
      </c>
      <c r="B2420" s="3" t="s">
        <v>1170</v>
      </c>
      <c r="C2420" s="3" t="s">
        <v>1171</v>
      </c>
      <c r="D2420">
        <v>9460</v>
      </c>
      <c r="E2420" s="6">
        <v>36515</v>
      </c>
      <c r="F2420">
        <v>0</v>
      </c>
      <c r="G2420">
        <v>0.73</v>
      </c>
      <c r="H2420">
        <v>1.0900000000000001</v>
      </c>
      <c r="I2420" s="3" t="s">
        <v>8699</v>
      </c>
    </row>
    <row r="2421" spans="1:9" x14ac:dyDescent="0.35">
      <c r="A2421" s="3" t="s">
        <v>11132</v>
      </c>
      <c r="B2421" s="3" t="s">
        <v>5181</v>
      </c>
      <c r="C2421" s="3" t="s">
        <v>5182</v>
      </c>
      <c r="D2421">
        <v>119</v>
      </c>
      <c r="E2421" s="6">
        <v>45856</v>
      </c>
      <c r="F2421">
        <v>100</v>
      </c>
      <c r="G2421">
        <v>15.364000000000001</v>
      </c>
      <c r="H2421">
        <v>1.3360000000000001</v>
      </c>
      <c r="I2421" s="3" t="s">
        <v>8729</v>
      </c>
    </row>
    <row r="2422" spans="1:9" x14ac:dyDescent="0.35">
      <c r="A2422" s="3" t="s">
        <v>11133</v>
      </c>
      <c r="B2422" s="3" t="s">
        <v>5183</v>
      </c>
      <c r="C2422" s="3" t="s">
        <v>5184</v>
      </c>
      <c r="D2422">
        <v>44</v>
      </c>
      <c r="E2422" s="6">
        <v>45931</v>
      </c>
      <c r="F2422">
        <v>400</v>
      </c>
      <c r="G2422">
        <v>1.21</v>
      </c>
      <c r="H2422">
        <v>1.54</v>
      </c>
      <c r="I2422" s="3" t="s">
        <v>8756</v>
      </c>
    </row>
    <row r="2423" spans="1:9" x14ac:dyDescent="0.35">
      <c r="A2423" s="3" t="s">
        <v>11134</v>
      </c>
      <c r="B2423" s="3" t="s">
        <v>5185</v>
      </c>
      <c r="C2423" s="3" t="s">
        <v>5186</v>
      </c>
      <c r="D2423">
        <v>48</v>
      </c>
      <c r="E2423" s="6">
        <v>45927</v>
      </c>
      <c r="F2423">
        <v>100</v>
      </c>
      <c r="G2423">
        <v>13.959000000000001</v>
      </c>
      <c r="H2423">
        <v>0.14100000000000001</v>
      </c>
      <c r="I2423" s="3" t="s">
        <v>8712</v>
      </c>
    </row>
    <row r="2424" spans="1:9" x14ac:dyDescent="0.35">
      <c r="A2424" s="3" t="s">
        <v>11135</v>
      </c>
      <c r="B2424" s="3" t="s">
        <v>5187</v>
      </c>
      <c r="C2424" s="3" t="s">
        <v>5188</v>
      </c>
      <c r="D2424">
        <v>30</v>
      </c>
      <c r="E2424" s="6">
        <v>45945</v>
      </c>
      <c r="F2424">
        <v>0</v>
      </c>
      <c r="G2424">
        <v>4.6900000000000004</v>
      </c>
      <c r="H2424">
        <v>2.0100000000000002</v>
      </c>
      <c r="I2424" s="3" t="s">
        <v>8738</v>
      </c>
    </row>
    <row r="2425" spans="1:9" x14ac:dyDescent="0.35">
      <c r="A2425" s="3" t="s">
        <v>11136</v>
      </c>
      <c r="B2425" s="3" t="s">
        <v>5189</v>
      </c>
      <c r="C2425" s="3" t="s">
        <v>5190</v>
      </c>
      <c r="D2425">
        <v>21</v>
      </c>
      <c r="E2425" s="6">
        <v>45954</v>
      </c>
      <c r="F2425">
        <v>10</v>
      </c>
      <c r="G2425">
        <v>0.39</v>
      </c>
      <c r="H2425">
        <v>0.91</v>
      </c>
      <c r="I2425" s="3" t="s">
        <v>8705</v>
      </c>
    </row>
    <row r="2426" spans="1:9" x14ac:dyDescent="0.35">
      <c r="A2426" s="3" t="s">
        <v>11137</v>
      </c>
      <c r="B2426" s="3" t="s">
        <v>5192</v>
      </c>
      <c r="C2426" s="3" t="s">
        <v>5193</v>
      </c>
      <c r="D2426">
        <v>87</v>
      </c>
      <c r="E2426" s="6">
        <v>45888</v>
      </c>
      <c r="F2426">
        <v>0</v>
      </c>
      <c r="G2426">
        <v>148.69800000000001</v>
      </c>
      <c r="H2426">
        <v>1.502</v>
      </c>
      <c r="I2426" s="3" t="s">
        <v>8738</v>
      </c>
    </row>
    <row r="2427" spans="1:9" x14ac:dyDescent="0.35">
      <c r="A2427" s="3" t="s">
        <v>11138</v>
      </c>
      <c r="B2427" s="3" t="s">
        <v>5195</v>
      </c>
      <c r="C2427" s="3" t="s">
        <v>5196</v>
      </c>
      <c r="D2427">
        <v>2461</v>
      </c>
      <c r="E2427" s="6">
        <v>43514</v>
      </c>
      <c r="F2427">
        <v>0</v>
      </c>
      <c r="G2427">
        <v>0</v>
      </c>
      <c r="H2427">
        <v>0</v>
      </c>
      <c r="I2427" s="3" t="s">
        <v>28</v>
      </c>
    </row>
    <row r="2428" spans="1:9" x14ac:dyDescent="0.35">
      <c r="A2428" s="3" t="s">
        <v>11139</v>
      </c>
      <c r="B2428" s="3" t="s">
        <v>5198</v>
      </c>
      <c r="C2428" s="3" t="s">
        <v>5199</v>
      </c>
      <c r="D2428">
        <v>955</v>
      </c>
      <c r="E2428" s="6">
        <v>45020</v>
      </c>
      <c r="F2428">
        <v>0</v>
      </c>
      <c r="G2428">
        <v>0</v>
      </c>
      <c r="H2428">
        <v>0</v>
      </c>
      <c r="I2428" s="3" t="s">
        <v>28</v>
      </c>
    </row>
    <row r="2429" spans="1:9" x14ac:dyDescent="0.35">
      <c r="A2429" s="3" t="s">
        <v>11263</v>
      </c>
      <c r="B2429" s="3" t="s">
        <v>5461</v>
      </c>
      <c r="C2429" s="3" t="s">
        <v>5462</v>
      </c>
      <c r="D2429">
        <v>9497</v>
      </c>
      <c r="E2429" s="6">
        <v>36478</v>
      </c>
      <c r="F2429">
        <v>0</v>
      </c>
      <c r="G2429">
        <v>1.32</v>
      </c>
      <c r="H2429">
        <v>0.68</v>
      </c>
      <c r="I2429" s="3" t="s">
        <v>8699</v>
      </c>
    </row>
    <row r="2430" spans="1:9" x14ac:dyDescent="0.35">
      <c r="A2430" s="3" t="s">
        <v>11141</v>
      </c>
      <c r="B2430" s="3" t="s">
        <v>5202</v>
      </c>
      <c r="C2430" s="3" t="s">
        <v>5203</v>
      </c>
      <c r="D2430">
        <v>198</v>
      </c>
      <c r="E2430" s="6">
        <v>45777</v>
      </c>
      <c r="F2430">
        <v>10</v>
      </c>
      <c r="G2430">
        <v>33.950000000000003</v>
      </c>
      <c r="H2430">
        <v>1.05</v>
      </c>
      <c r="I2430" s="3" t="s">
        <v>8756</v>
      </c>
    </row>
    <row r="2431" spans="1:9" x14ac:dyDescent="0.35">
      <c r="A2431" s="3" t="s">
        <v>11142</v>
      </c>
      <c r="B2431" s="3" t="s">
        <v>5205</v>
      </c>
      <c r="C2431" s="3" t="s">
        <v>5206</v>
      </c>
      <c r="D2431">
        <v>46</v>
      </c>
      <c r="E2431" s="6">
        <v>45929</v>
      </c>
      <c r="F2431">
        <v>0</v>
      </c>
      <c r="G2431">
        <v>7.3960000000000008</v>
      </c>
      <c r="H2431">
        <v>1.204</v>
      </c>
      <c r="I2431" s="3" t="s">
        <v>8701</v>
      </c>
    </row>
    <row r="2432" spans="1:9" x14ac:dyDescent="0.35">
      <c r="A2432" s="3" t="s">
        <v>10720</v>
      </c>
      <c r="B2432" s="3" t="s">
        <v>4311</v>
      </c>
      <c r="C2432" s="3" t="s">
        <v>4312</v>
      </c>
      <c r="D2432">
        <v>9524</v>
      </c>
      <c r="E2432" s="6">
        <v>36451</v>
      </c>
      <c r="F2432">
        <v>0</v>
      </c>
      <c r="G2432">
        <v>0.16</v>
      </c>
      <c r="H2432">
        <v>0.84</v>
      </c>
      <c r="I2432" s="3" t="s">
        <v>8699</v>
      </c>
    </row>
    <row r="2433" spans="1:9" x14ac:dyDescent="0.35">
      <c r="A2433" s="3" t="s">
        <v>11144</v>
      </c>
      <c r="B2433" s="3" t="s">
        <v>5209</v>
      </c>
      <c r="C2433" s="3" t="s">
        <v>5210</v>
      </c>
      <c r="D2433">
        <v>19</v>
      </c>
      <c r="E2433" s="6">
        <v>45956</v>
      </c>
      <c r="F2433">
        <v>0</v>
      </c>
      <c r="G2433">
        <v>1.1480000000000001</v>
      </c>
      <c r="H2433">
        <v>1.6520000000000001</v>
      </c>
      <c r="I2433" s="3" t="s">
        <v>8701</v>
      </c>
    </row>
    <row r="2434" spans="1:9" x14ac:dyDescent="0.35">
      <c r="A2434" s="3" t="s">
        <v>10777</v>
      </c>
      <c r="B2434" s="3" t="s">
        <v>4431</v>
      </c>
      <c r="C2434" s="3" t="s">
        <v>4432</v>
      </c>
      <c r="D2434">
        <v>9542</v>
      </c>
      <c r="E2434" s="6">
        <v>36433</v>
      </c>
      <c r="F2434">
        <v>0</v>
      </c>
      <c r="G2434">
        <v>0.64</v>
      </c>
      <c r="H2434">
        <v>1.36</v>
      </c>
      <c r="I2434" s="3" t="s">
        <v>8699</v>
      </c>
    </row>
    <row r="2435" spans="1:9" x14ac:dyDescent="0.35">
      <c r="A2435" s="3" t="s">
        <v>11146</v>
      </c>
      <c r="B2435" s="3" t="s">
        <v>5213</v>
      </c>
      <c r="C2435" s="3" t="s">
        <v>5214</v>
      </c>
      <c r="D2435">
        <v>955</v>
      </c>
      <c r="E2435" s="6">
        <v>45020</v>
      </c>
      <c r="F2435">
        <v>0</v>
      </c>
      <c r="G2435">
        <v>0</v>
      </c>
      <c r="H2435">
        <v>0</v>
      </c>
      <c r="I2435" s="3" t="s">
        <v>28</v>
      </c>
    </row>
    <row r="2436" spans="1:9" x14ac:dyDescent="0.35">
      <c r="A2436" s="3" t="s">
        <v>11147</v>
      </c>
      <c r="B2436" s="3" t="s">
        <v>5215</v>
      </c>
      <c r="C2436" s="3" t="s">
        <v>5216</v>
      </c>
      <c r="D2436">
        <v>50</v>
      </c>
      <c r="E2436" s="6">
        <v>45925</v>
      </c>
      <c r="F2436">
        <v>100</v>
      </c>
      <c r="G2436">
        <v>12</v>
      </c>
      <c r="H2436">
        <v>3</v>
      </c>
      <c r="I2436" s="3" t="s">
        <v>8703</v>
      </c>
    </row>
    <row r="2437" spans="1:9" x14ac:dyDescent="0.35">
      <c r="A2437" s="3" t="s">
        <v>11096</v>
      </c>
      <c r="B2437" s="3" t="s">
        <v>5106</v>
      </c>
      <c r="C2437" s="3" t="s">
        <v>5107</v>
      </c>
      <c r="D2437">
        <v>9556</v>
      </c>
      <c r="E2437" s="6">
        <v>36419</v>
      </c>
      <c r="F2437">
        <v>0</v>
      </c>
      <c r="G2437">
        <v>1.7000000000000001E-2</v>
      </c>
      <c r="H2437">
        <v>0.90300000000000002</v>
      </c>
      <c r="I2437" s="3" t="s">
        <v>8699</v>
      </c>
    </row>
    <row r="2438" spans="1:9" x14ac:dyDescent="0.35">
      <c r="A2438" s="3" t="s">
        <v>10755</v>
      </c>
      <c r="B2438" s="3" t="s">
        <v>4384</v>
      </c>
      <c r="C2438" s="3" t="s">
        <v>4385</v>
      </c>
      <c r="D2438">
        <v>9559</v>
      </c>
      <c r="E2438" s="6">
        <v>36416</v>
      </c>
      <c r="F2438">
        <v>30.8</v>
      </c>
      <c r="G2438">
        <v>1.8270000000000002</v>
      </c>
      <c r="H2438">
        <v>0.78300000000000003</v>
      </c>
      <c r="I2438" s="3" t="s">
        <v>8699</v>
      </c>
    </row>
    <row r="2439" spans="1:9" x14ac:dyDescent="0.35">
      <c r="A2439" s="3" t="s">
        <v>10097</v>
      </c>
      <c r="B2439" s="3" t="s">
        <v>2992</v>
      </c>
      <c r="C2439" s="3" t="s">
        <v>2993</v>
      </c>
      <c r="D2439">
        <v>9571</v>
      </c>
      <c r="E2439" s="6">
        <v>36404</v>
      </c>
      <c r="F2439">
        <v>32.15</v>
      </c>
      <c r="G2439">
        <v>4.5</v>
      </c>
      <c r="H2439">
        <v>0.5</v>
      </c>
      <c r="I2439" s="3" t="s">
        <v>8699</v>
      </c>
    </row>
    <row r="2440" spans="1:9" x14ac:dyDescent="0.35">
      <c r="A2440" s="3" t="s">
        <v>10497</v>
      </c>
      <c r="B2440" s="3" t="s">
        <v>3843</v>
      </c>
      <c r="C2440" s="3" t="s">
        <v>3844</v>
      </c>
      <c r="D2440">
        <v>9571</v>
      </c>
      <c r="E2440" s="6">
        <v>36404</v>
      </c>
      <c r="F2440">
        <v>70.48</v>
      </c>
      <c r="G2440">
        <v>0.5</v>
      </c>
      <c r="H2440">
        <v>0.5</v>
      </c>
      <c r="I2440" s="3" t="s">
        <v>8699</v>
      </c>
    </row>
    <row r="2441" spans="1:9" x14ac:dyDescent="0.35">
      <c r="A2441" s="3" t="s">
        <v>11152</v>
      </c>
      <c r="B2441" s="3" t="s">
        <v>5225</v>
      </c>
      <c r="C2441" s="3" t="s">
        <v>5226</v>
      </c>
      <c r="D2441">
        <v>5841</v>
      </c>
      <c r="E2441" s="6">
        <v>40134</v>
      </c>
      <c r="F2441">
        <v>0</v>
      </c>
      <c r="G2441">
        <v>0</v>
      </c>
      <c r="H2441">
        <v>0</v>
      </c>
      <c r="I2441" s="3" t="s">
        <v>28</v>
      </c>
    </row>
    <row r="2442" spans="1:9" x14ac:dyDescent="0.35">
      <c r="A2442" s="3" t="s">
        <v>11153</v>
      </c>
      <c r="B2442" s="3" t="s">
        <v>5227</v>
      </c>
      <c r="C2442" s="3" t="s">
        <v>5228</v>
      </c>
      <c r="D2442">
        <v>55</v>
      </c>
      <c r="E2442" s="6">
        <v>45920</v>
      </c>
      <c r="F2442">
        <v>0</v>
      </c>
      <c r="G2442">
        <v>0.10500000000000001</v>
      </c>
      <c r="H2442">
        <v>0.94500000000000006</v>
      </c>
      <c r="I2442" s="3" t="s">
        <v>8701</v>
      </c>
    </row>
    <row r="2443" spans="1:9" x14ac:dyDescent="0.35">
      <c r="A2443" s="3" t="s">
        <v>11165</v>
      </c>
      <c r="B2443" s="3" t="s">
        <v>5255</v>
      </c>
      <c r="C2443" s="3" t="s">
        <v>5256</v>
      </c>
      <c r="D2443">
        <v>9577</v>
      </c>
      <c r="E2443" s="6">
        <v>36398</v>
      </c>
      <c r="F2443">
        <v>47.37</v>
      </c>
      <c r="G2443">
        <v>0.74</v>
      </c>
      <c r="H2443">
        <v>0.45</v>
      </c>
      <c r="I2443" s="3" t="s">
        <v>8699</v>
      </c>
    </row>
    <row r="2444" spans="1:9" x14ac:dyDescent="0.35">
      <c r="A2444" s="3" t="s">
        <v>11150</v>
      </c>
      <c r="B2444" s="3" t="s">
        <v>5221</v>
      </c>
      <c r="C2444" s="3" t="s">
        <v>5222</v>
      </c>
      <c r="D2444">
        <v>9579</v>
      </c>
      <c r="E2444" s="6">
        <v>36396</v>
      </c>
      <c r="F2444">
        <v>10</v>
      </c>
      <c r="G2444">
        <v>2.17</v>
      </c>
      <c r="H2444">
        <v>0.14000000000000001</v>
      </c>
      <c r="I2444" s="3" t="s">
        <v>8699</v>
      </c>
    </row>
    <row r="2445" spans="1:9" x14ac:dyDescent="0.35">
      <c r="A2445" s="3" t="s">
        <v>11156</v>
      </c>
      <c r="B2445" s="3" t="s">
        <v>5233</v>
      </c>
      <c r="C2445" s="3" t="s">
        <v>5234</v>
      </c>
      <c r="D2445">
        <v>8104</v>
      </c>
      <c r="E2445" s="6">
        <v>37871</v>
      </c>
      <c r="F2445">
        <v>0</v>
      </c>
      <c r="G2445">
        <v>0</v>
      </c>
      <c r="H2445">
        <v>0</v>
      </c>
      <c r="I2445" s="3" t="s">
        <v>28</v>
      </c>
    </row>
    <row r="2446" spans="1:9" x14ac:dyDescent="0.35">
      <c r="A2446" s="3" t="s">
        <v>11157</v>
      </c>
      <c r="B2446" s="3" t="s">
        <v>5236</v>
      </c>
      <c r="C2446" s="3" t="s">
        <v>5237</v>
      </c>
      <c r="D2446">
        <v>5139</v>
      </c>
      <c r="E2446" s="6">
        <v>40836</v>
      </c>
      <c r="F2446">
        <v>0</v>
      </c>
      <c r="G2446">
        <v>2.9000000000000001E-2</v>
      </c>
      <c r="H2446">
        <v>1.131</v>
      </c>
      <c r="I2446" s="3" t="s">
        <v>8712</v>
      </c>
    </row>
    <row r="2447" spans="1:9" x14ac:dyDescent="0.35">
      <c r="A2447" s="3" t="s">
        <v>10155</v>
      </c>
      <c r="B2447" s="3" t="s">
        <v>3114</v>
      </c>
      <c r="C2447" s="3" t="s">
        <v>3115</v>
      </c>
      <c r="D2447">
        <v>9591</v>
      </c>
      <c r="E2447" s="6">
        <v>36384</v>
      </c>
      <c r="F2447">
        <v>70</v>
      </c>
      <c r="G2447">
        <v>1.03</v>
      </c>
      <c r="H2447">
        <v>0.68</v>
      </c>
      <c r="I2447" s="3" t="s">
        <v>8699</v>
      </c>
    </row>
    <row r="2448" spans="1:9" x14ac:dyDescent="0.35">
      <c r="A2448" s="3" t="s">
        <v>11159</v>
      </c>
      <c r="B2448" s="3" t="s">
        <v>5241</v>
      </c>
      <c r="C2448" s="3" t="s">
        <v>5242</v>
      </c>
      <c r="D2448">
        <v>2197</v>
      </c>
      <c r="E2448" s="6">
        <v>43778</v>
      </c>
      <c r="F2448">
        <v>0</v>
      </c>
      <c r="G2448">
        <v>0</v>
      </c>
      <c r="H2448">
        <v>0</v>
      </c>
      <c r="I2448" s="3" t="s">
        <v>28</v>
      </c>
    </row>
    <row r="2449" spans="1:9" x14ac:dyDescent="0.35">
      <c r="A2449" s="3" t="s">
        <v>8772</v>
      </c>
      <c r="B2449" s="3" t="s">
        <v>178</v>
      </c>
      <c r="C2449" s="3" t="s">
        <v>179</v>
      </c>
      <c r="D2449">
        <v>9658</v>
      </c>
      <c r="E2449" s="6">
        <v>36317</v>
      </c>
      <c r="F2449">
        <v>17</v>
      </c>
      <c r="G2449">
        <v>1.76</v>
      </c>
      <c r="H2449">
        <v>0.24</v>
      </c>
      <c r="I2449" s="3" t="s">
        <v>8699</v>
      </c>
    </row>
    <row r="2450" spans="1:9" x14ac:dyDescent="0.35">
      <c r="A2450" s="3" t="s">
        <v>11161</v>
      </c>
      <c r="B2450" s="3" t="s">
        <v>5245</v>
      </c>
      <c r="C2450" s="3" t="s">
        <v>5246</v>
      </c>
      <c r="D2450">
        <v>5646</v>
      </c>
      <c r="E2450" s="6">
        <v>40329</v>
      </c>
      <c r="F2450">
        <v>0</v>
      </c>
      <c r="G2450">
        <v>6.0000000000000001E-3</v>
      </c>
      <c r="H2450">
        <v>0.24400000000000002</v>
      </c>
      <c r="I2450" s="3" t="s">
        <v>8712</v>
      </c>
    </row>
    <row r="2451" spans="1:9" x14ac:dyDescent="0.35">
      <c r="A2451" s="3" t="s">
        <v>11162</v>
      </c>
      <c r="B2451" s="3" t="s">
        <v>5247</v>
      </c>
      <c r="C2451" s="3" t="s">
        <v>5248</v>
      </c>
      <c r="D2451">
        <v>955</v>
      </c>
      <c r="E2451" s="6">
        <v>45020</v>
      </c>
      <c r="F2451">
        <v>0</v>
      </c>
      <c r="G2451">
        <v>0</v>
      </c>
      <c r="H2451">
        <v>0</v>
      </c>
      <c r="I2451" s="3" t="s">
        <v>28</v>
      </c>
    </row>
    <row r="2452" spans="1:9" x14ac:dyDescent="0.35">
      <c r="A2452" s="3" t="s">
        <v>11163</v>
      </c>
      <c r="B2452" s="3" t="s">
        <v>5249</v>
      </c>
      <c r="C2452" s="3" t="s">
        <v>5250</v>
      </c>
      <c r="D2452">
        <v>22</v>
      </c>
      <c r="E2452" s="6">
        <v>45953</v>
      </c>
      <c r="F2452">
        <v>0</v>
      </c>
      <c r="G2452">
        <v>14.4</v>
      </c>
      <c r="H2452">
        <v>1.6</v>
      </c>
      <c r="I2452" s="3" t="s">
        <v>8705</v>
      </c>
    </row>
    <row r="2453" spans="1:9" x14ac:dyDescent="0.35">
      <c r="A2453" s="3" t="s">
        <v>11164</v>
      </c>
      <c r="B2453" s="3" t="s">
        <v>5251</v>
      </c>
      <c r="C2453" s="3" t="s">
        <v>5252</v>
      </c>
      <c r="D2453">
        <v>325</v>
      </c>
      <c r="E2453" s="6">
        <v>45650</v>
      </c>
      <c r="F2453">
        <v>0</v>
      </c>
      <c r="G2453">
        <v>1.008</v>
      </c>
      <c r="H2453">
        <v>1.0920000000000001</v>
      </c>
      <c r="I2453" s="3" t="s">
        <v>8701</v>
      </c>
    </row>
    <row r="2454" spans="1:9" x14ac:dyDescent="0.35">
      <c r="A2454" s="3" t="s">
        <v>9136</v>
      </c>
      <c r="B2454" s="3" t="s">
        <v>955</v>
      </c>
      <c r="C2454" s="3" t="s">
        <v>956</v>
      </c>
      <c r="D2454">
        <v>9731</v>
      </c>
      <c r="E2454" s="6">
        <v>36244</v>
      </c>
      <c r="F2454">
        <v>68.739999999999995</v>
      </c>
      <c r="G2454">
        <v>0.05</v>
      </c>
      <c r="H2454">
        <v>0.95000000000000007</v>
      </c>
      <c r="I2454" s="3" t="s">
        <v>8699</v>
      </c>
    </row>
    <row r="2455" spans="1:9" x14ac:dyDescent="0.35">
      <c r="A2455" s="3" t="s">
        <v>8817</v>
      </c>
      <c r="B2455" s="3" t="s">
        <v>284</v>
      </c>
      <c r="C2455" s="3" t="s">
        <v>285</v>
      </c>
      <c r="D2455">
        <v>9758</v>
      </c>
      <c r="E2455" s="6">
        <v>36217</v>
      </c>
      <c r="F2455">
        <v>49.870000000000005</v>
      </c>
      <c r="G2455">
        <v>2.84</v>
      </c>
      <c r="H2455">
        <v>1.1599999999999999</v>
      </c>
      <c r="I2455" s="3" t="s">
        <v>8699</v>
      </c>
    </row>
    <row r="2456" spans="1:9" x14ac:dyDescent="0.35">
      <c r="A2456" s="3" t="s">
        <v>11167</v>
      </c>
      <c r="B2456" s="3" t="s">
        <v>5259</v>
      </c>
      <c r="C2456" s="3" t="s">
        <v>5260</v>
      </c>
      <c r="D2456">
        <v>158</v>
      </c>
      <c r="E2456" s="6">
        <v>45817</v>
      </c>
      <c r="F2456">
        <v>100</v>
      </c>
      <c r="G2456">
        <v>1.52</v>
      </c>
      <c r="H2456">
        <v>2.2800000000000002</v>
      </c>
      <c r="I2456" s="3" t="s">
        <v>8756</v>
      </c>
    </row>
    <row r="2457" spans="1:9" x14ac:dyDescent="0.35">
      <c r="A2457" s="3" t="s">
        <v>11168</v>
      </c>
      <c r="B2457" s="3" t="s">
        <v>5261</v>
      </c>
      <c r="C2457" s="3" t="s">
        <v>5262</v>
      </c>
      <c r="D2457">
        <v>955</v>
      </c>
      <c r="E2457" s="6">
        <v>45020</v>
      </c>
      <c r="F2457">
        <v>0</v>
      </c>
      <c r="G2457">
        <v>0</v>
      </c>
      <c r="H2457">
        <v>0</v>
      </c>
      <c r="I2457" s="3" t="s">
        <v>28</v>
      </c>
    </row>
    <row r="2458" spans="1:9" x14ac:dyDescent="0.35">
      <c r="A2458" s="3" t="s">
        <v>11169</v>
      </c>
      <c r="B2458" s="3" t="s">
        <v>5263</v>
      </c>
      <c r="C2458" s="3" t="s">
        <v>5264</v>
      </c>
      <c r="D2458">
        <v>59</v>
      </c>
      <c r="E2458" s="6">
        <v>45916</v>
      </c>
      <c r="F2458">
        <v>0</v>
      </c>
      <c r="G2458">
        <v>16.2</v>
      </c>
      <c r="H2458">
        <v>1.8</v>
      </c>
      <c r="I2458" s="3" t="s">
        <v>8756</v>
      </c>
    </row>
    <row r="2459" spans="1:9" x14ac:dyDescent="0.35">
      <c r="A2459" s="3" t="s">
        <v>10240</v>
      </c>
      <c r="B2459" s="3" t="s">
        <v>3289</v>
      </c>
      <c r="C2459" s="3" t="s">
        <v>3290</v>
      </c>
      <c r="D2459">
        <v>9801</v>
      </c>
      <c r="E2459" s="6">
        <v>36174</v>
      </c>
      <c r="F2459">
        <v>0</v>
      </c>
      <c r="G2459">
        <v>0.25</v>
      </c>
      <c r="H2459">
        <v>0.74</v>
      </c>
      <c r="I2459" s="3" t="s">
        <v>8699</v>
      </c>
    </row>
    <row r="2460" spans="1:9" x14ac:dyDescent="0.35">
      <c r="A2460" s="3" t="s">
        <v>9501</v>
      </c>
      <c r="B2460" s="3" t="s">
        <v>1714</v>
      </c>
      <c r="C2460" s="3" t="s">
        <v>1715</v>
      </c>
      <c r="D2460">
        <v>9804</v>
      </c>
      <c r="E2460" s="6">
        <v>36171</v>
      </c>
      <c r="F2460">
        <v>0.05</v>
      </c>
      <c r="G2460">
        <v>0.22</v>
      </c>
      <c r="H2460">
        <v>0.77</v>
      </c>
      <c r="I2460" s="3" t="s">
        <v>8699</v>
      </c>
    </row>
    <row r="2461" spans="1:9" x14ac:dyDescent="0.35">
      <c r="A2461" s="3" t="s">
        <v>11172</v>
      </c>
      <c r="B2461" s="3" t="s">
        <v>5270</v>
      </c>
      <c r="C2461" s="3" t="s">
        <v>5271</v>
      </c>
      <c r="D2461">
        <v>153</v>
      </c>
      <c r="E2461" s="6">
        <v>45822</v>
      </c>
      <c r="F2461">
        <v>100</v>
      </c>
      <c r="G2461">
        <v>2.2800000000000002</v>
      </c>
      <c r="H2461">
        <v>0.72</v>
      </c>
      <c r="I2461" s="3" t="s">
        <v>8756</v>
      </c>
    </row>
    <row r="2462" spans="1:9" x14ac:dyDescent="0.35">
      <c r="A2462" s="3" t="s">
        <v>11173</v>
      </c>
      <c r="B2462" s="3" t="s">
        <v>5272</v>
      </c>
      <c r="C2462" s="3" t="s">
        <v>5273</v>
      </c>
      <c r="D2462">
        <v>1</v>
      </c>
      <c r="E2462" s="6">
        <v>45974</v>
      </c>
      <c r="F2462">
        <v>0</v>
      </c>
      <c r="G2462">
        <v>5.766</v>
      </c>
      <c r="H2462">
        <v>0.434</v>
      </c>
      <c r="I2462" s="3" t="s">
        <v>8701</v>
      </c>
    </row>
    <row r="2463" spans="1:9" x14ac:dyDescent="0.35">
      <c r="A2463" s="3" t="s">
        <v>11174</v>
      </c>
      <c r="B2463" s="3" t="s">
        <v>5275</v>
      </c>
      <c r="C2463" s="3" t="s">
        <v>5276</v>
      </c>
      <c r="D2463">
        <v>62</v>
      </c>
      <c r="E2463" s="6">
        <v>45913</v>
      </c>
      <c r="F2463">
        <v>0</v>
      </c>
      <c r="G2463">
        <v>1.74</v>
      </c>
      <c r="H2463">
        <v>1.26</v>
      </c>
      <c r="I2463" s="3" t="s">
        <v>8701</v>
      </c>
    </row>
    <row r="2464" spans="1:9" x14ac:dyDescent="0.35">
      <c r="A2464" s="3" t="s">
        <v>11175</v>
      </c>
      <c r="B2464" s="3" t="s">
        <v>5277</v>
      </c>
      <c r="C2464" s="3" t="s">
        <v>5278</v>
      </c>
      <c r="D2464">
        <v>23</v>
      </c>
      <c r="E2464" s="6">
        <v>45952</v>
      </c>
      <c r="F2464">
        <v>0</v>
      </c>
      <c r="G2464">
        <v>4.0000000000000001E-3</v>
      </c>
      <c r="H2464">
        <v>9.6000000000000002E-2</v>
      </c>
      <c r="I2464" s="3" t="s">
        <v>8712</v>
      </c>
    </row>
    <row r="2465" spans="1:9" x14ac:dyDescent="0.35">
      <c r="A2465" s="3" t="s">
        <v>11176</v>
      </c>
      <c r="B2465" s="3" t="s">
        <v>5279</v>
      </c>
      <c r="C2465" s="3" t="s">
        <v>5280</v>
      </c>
      <c r="D2465">
        <v>100</v>
      </c>
      <c r="E2465" s="6">
        <v>45875</v>
      </c>
      <c r="F2465">
        <v>0</v>
      </c>
      <c r="G2465">
        <v>99.990000000000009</v>
      </c>
      <c r="H2465">
        <v>1.01</v>
      </c>
      <c r="I2465" s="3" t="s">
        <v>8701</v>
      </c>
    </row>
    <row r="2466" spans="1:9" x14ac:dyDescent="0.35">
      <c r="A2466" s="3" t="s">
        <v>11177</v>
      </c>
      <c r="B2466" s="3" t="s">
        <v>5281</v>
      </c>
      <c r="C2466" s="3" t="s">
        <v>5282</v>
      </c>
      <c r="D2466">
        <v>85</v>
      </c>
      <c r="E2466" s="6">
        <v>45890</v>
      </c>
      <c r="F2466">
        <v>0</v>
      </c>
      <c r="G2466">
        <v>1.8</v>
      </c>
      <c r="H2466">
        <v>2.2000000000000002</v>
      </c>
      <c r="I2466" s="3" t="s">
        <v>8701</v>
      </c>
    </row>
    <row r="2467" spans="1:9" x14ac:dyDescent="0.35">
      <c r="A2467" s="3" t="s">
        <v>11178</v>
      </c>
      <c r="B2467" s="3" t="s">
        <v>5283</v>
      </c>
      <c r="C2467" s="3" t="s">
        <v>5284</v>
      </c>
      <c r="D2467">
        <v>23</v>
      </c>
      <c r="E2467" s="6">
        <v>45952</v>
      </c>
      <c r="F2467">
        <v>0</v>
      </c>
      <c r="G2467">
        <v>5.0000000000000001E-3</v>
      </c>
      <c r="H2467">
        <v>0.115</v>
      </c>
      <c r="I2467" s="3" t="s">
        <v>8712</v>
      </c>
    </row>
    <row r="2468" spans="1:9" x14ac:dyDescent="0.35">
      <c r="A2468" s="3" t="s">
        <v>11179</v>
      </c>
      <c r="B2468" s="3" t="s">
        <v>5285</v>
      </c>
      <c r="C2468" s="3" t="s">
        <v>5286</v>
      </c>
      <c r="D2468">
        <v>23</v>
      </c>
      <c r="E2468" s="6">
        <v>45952</v>
      </c>
      <c r="F2468">
        <v>0</v>
      </c>
      <c r="G2468">
        <v>97.02</v>
      </c>
      <c r="H2468">
        <v>1.98</v>
      </c>
      <c r="I2468" s="3" t="s">
        <v>8701</v>
      </c>
    </row>
    <row r="2469" spans="1:9" x14ac:dyDescent="0.35">
      <c r="A2469" s="3" t="s">
        <v>11180</v>
      </c>
      <c r="B2469" s="3" t="s">
        <v>5287</v>
      </c>
      <c r="C2469" s="3" t="s">
        <v>5288</v>
      </c>
      <c r="D2469">
        <v>55</v>
      </c>
      <c r="E2469" s="6">
        <v>45920</v>
      </c>
      <c r="F2469">
        <v>0</v>
      </c>
      <c r="G2469">
        <v>30.88</v>
      </c>
      <c r="H2469">
        <v>1.1200000000000001</v>
      </c>
      <c r="I2469" s="3" t="s">
        <v>8701</v>
      </c>
    </row>
    <row r="2470" spans="1:9" x14ac:dyDescent="0.35">
      <c r="A2470" s="3" t="s">
        <v>11014</v>
      </c>
      <c r="B2470" s="3" t="s">
        <v>4938</v>
      </c>
      <c r="C2470" s="3" t="s">
        <v>4939</v>
      </c>
      <c r="D2470">
        <v>9808</v>
      </c>
      <c r="E2470" s="6">
        <v>36167</v>
      </c>
      <c r="F2470">
        <v>0.02</v>
      </c>
      <c r="G2470">
        <v>0.34</v>
      </c>
      <c r="H2470">
        <v>0.08</v>
      </c>
      <c r="I2470" s="3" t="s">
        <v>8699</v>
      </c>
    </row>
    <row r="2471" spans="1:9" x14ac:dyDescent="0.35">
      <c r="A2471" s="3" t="s">
        <v>10068</v>
      </c>
      <c r="B2471" s="3" t="s">
        <v>2926</v>
      </c>
      <c r="C2471" s="3" t="s">
        <v>2927</v>
      </c>
      <c r="D2471">
        <v>9832</v>
      </c>
      <c r="E2471" s="6">
        <v>36143</v>
      </c>
      <c r="F2471">
        <v>0</v>
      </c>
      <c r="G2471">
        <v>0</v>
      </c>
      <c r="H2471">
        <v>0</v>
      </c>
      <c r="I2471" s="3" t="s">
        <v>8699</v>
      </c>
    </row>
    <row r="2472" spans="1:9" x14ac:dyDescent="0.35">
      <c r="A2472" s="3" t="s">
        <v>9148</v>
      </c>
      <c r="B2472" s="3" t="s">
        <v>978</v>
      </c>
      <c r="C2472" s="3" t="s">
        <v>979</v>
      </c>
      <c r="D2472">
        <v>9901</v>
      </c>
      <c r="E2472" s="6">
        <v>36074</v>
      </c>
      <c r="F2472">
        <v>0</v>
      </c>
      <c r="G2472">
        <v>0</v>
      </c>
      <c r="H2472">
        <v>0</v>
      </c>
      <c r="I2472" s="3" t="s">
        <v>8699</v>
      </c>
    </row>
    <row r="2473" spans="1:9" x14ac:dyDescent="0.35">
      <c r="A2473" s="3" t="s">
        <v>11184</v>
      </c>
      <c r="B2473" s="3" t="s">
        <v>5296</v>
      </c>
      <c r="C2473" s="3" t="s">
        <v>5297</v>
      </c>
      <c r="D2473">
        <v>955</v>
      </c>
      <c r="E2473" s="6">
        <v>45020</v>
      </c>
      <c r="F2473">
        <v>0</v>
      </c>
      <c r="G2473">
        <v>0</v>
      </c>
      <c r="H2473">
        <v>0</v>
      </c>
      <c r="I2473" s="3" t="s">
        <v>28</v>
      </c>
    </row>
    <row r="2474" spans="1:9" x14ac:dyDescent="0.35">
      <c r="A2474" s="3" t="s">
        <v>11185</v>
      </c>
      <c r="B2474" s="3" t="s">
        <v>5298</v>
      </c>
      <c r="C2474" s="3" t="s">
        <v>5299</v>
      </c>
      <c r="D2474">
        <v>24</v>
      </c>
      <c r="E2474" s="6">
        <v>45951</v>
      </c>
      <c r="F2474">
        <v>0</v>
      </c>
      <c r="G2474">
        <v>2.9750000000000001</v>
      </c>
      <c r="H2474">
        <v>0.52500000000000002</v>
      </c>
      <c r="I2474" s="3" t="s">
        <v>8705</v>
      </c>
    </row>
    <row r="2475" spans="1:9" x14ac:dyDescent="0.35">
      <c r="A2475" s="3" t="s">
        <v>11186</v>
      </c>
      <c r="B2475" s="3" t="s">
        <v>5300</v>
      </c>
      <c r="C2475" s="3" t="s">
        <v>5301</v>
      </c>
      <c r="D2475">
        <v>178</v>
      </c>
      <c r="E2475" s="6">
        <v>45797</v>
      </c>
      <c r="F2475">
        <v>0</v>
      </c>
      <c r="G2475">
        <v>17.86</v>
      </c>
      <c r="H2475">
        <v>1.1400000000000001</v>
      </c>
      <c r="I2475" s="3" t="s">
        <v>8705</v>
      </c>
    </row>
    <row r="2476" spans="1:9" x14ac:dyDescent="0.35">
      <c r="A2476" s="3" t="s">
        <v>11187</v>
      </c>
      <c r="B2476" s="3" t="s">
        <v>5302</v>
      </c>
      <c r="C2476" s="3" t="s">
        <v>5303</v>
      </c>
      <c r="D2476">
        <v>24</v>
      </c>
      <c r="E2476" s="6">
        <v>45951</v>
      </c>
      <c r="F2476">
        <v>0</v>
      </c>
      <c r="G2476">
        <v>3.1920000000000002</v>
      </c>
      <c r="H2476">
        <v>0.60799999999999998</v>
      </c>
      <c r="I2476" s="3" t="s">
        <v>8705</v>
      </c>
    </row>
    <row r="2477" spans="1:9" x14ac:dyDescent="0.35">
      <c r="A2477" s="3" t="s">
        <v>11188</v>
      </c>
      <c r="B2477" s="3" t="s">
        <v>5304</v>
      </c>
      <c r="C2477" s="3" t="s">
        <v>5305</v>
      </c>
      <c r="D2477">
        <v>46</v>
      </c>
      <c r="E2477" s="6">
        <v>45929</v>
      </c>
      <c r="F2477">
        <v>0</v>
      </c>
      <c r="G2477">
        <v>0.25</v>
      </c>
      <c r="H2477">
        <v>0.75</v>
      </c>
      <c r="I2477" s="3" t="s">
        <v>8756</v>
      </c>
    </row>
    <row r="2478" spans="1:9" x14ac:dyDescent="0.35">
      <c r="A2478" s="3" t="s">
        <v>11260</v>
      </c>
      <c r="B2478" s="3" t="s">
        <v>5454</v>
      </c>
      <c r="C2478" s="3" t="s">
        <v>5455</v>
      </c>
      <c r="D2478">
        <v>9901</v>
      </c>
      <c r="E2478" s="6">
        <v>36074</v>
      </c>
      <c r="F2478">
        <v>0</v>
      </c>
      <c r="G2478">
        <v>0</v>
      </c>
      <c r="H2478">
        <v>0</v>
      </c>
      <c r="I2478" s="3" t="s">
        <v>8699</v>
      </c>
    </row>
    <row r="2479" spans="1:9" x14ac:dyDescent="0.35">
      <c r="A2479" s="3" t="s">
        <v>8938</v>
      </c>
      <c r="B2479" s="3" t="s">
        <v>535</v>
      </c>
      <c r="C2479" s="3" t="s">
        <v>536</v>
      </c>
      <c r="D2479">
        <v>9908</v>
      </c>
      <c r="E2479" s="6">
        <v>36067</v>
      </c>
      <c r="F2479">
        <v>0</v>
      </c>
      <c r="G2479">
        <v>0</v>
      </c>
      <c r="H2479">
        <v>0</v>
      </c>
      <c r="I2479" s="3" t="s">
        <v>8699</v>
      </c>
    </row>
    <row r="2480" spans="1:9" x14ac:dyDescent="0.35">
      <c r="A2480" s="3" t="s">
        <v>11191</v>
      </c>
      <c r="B2480" s="3" t="s">
        <v>5310</v>
      </c>
      <c r="C2480" s="3" t="s">
        <v>5311</v>
      </c>
      <c r="D2480">
        <v>14</v>
      </c>
      <c r="E2480" s="6">
        <v>45961</v>
      </c>
      <c r="F2480">
        <v>0</v>
      </c>
      <c r="G2480">
        <v>27.532</v>
      </c>
      <c r="H2480">
        <v>0.27800000000000002</v>
      </c>
      <c r="I2480" s="3" t="s">
        <v>8701</v>
      </c>
    </row>
    <row r="2481" spans="1:9" x14ac:dyDescent="0.35">
      <c r="A2481" s="3" t="s">
        <v>11192</v>
      </c>
      <c r="B2481" s="3" t="s">
        <v>5312</v>
      </c>
      <c r="C2481" s="3" t="s">
        <v>5313</v>
      </c>
      <c r="D2481">
        <v>347</v>
      </c>
      <c r="E2481" s="6">
        <v>45628</v>
      </c>
      <c r="F2481">
        <v>0</v>
      </c>
      <c r="G2481">
        <v>67.55</v>
      </c>
      <c r="H2481">
        <v>2.4500000000000002</v>
      </c>
      <c r="I2481" s="3" t="s">
        <v>8701</v>
      </c>
    </row>
    <row r="2482" spans="1:9" x14ac:dyDescent="0.35">
      <c r="A2482" s="3" t="s">
        <v>11193</v>
      </c>
      <c r="B2482" s="3" t="s">
        <v>5314</v>
      </c>
      <c r="C2482" s="3" t="s">
        <v>5315</v>
      </c>
      <c r="D2482">
        <v>24</v>
      </c>
      <c r="E2482" s="6">
        <v>45951</v>
      </c>
      <c r="F2482">
        <v>0</v>
      </c>
      <c r="G2482">
        <v>9.625</v>
      </c>
      <c r="H2482">
        <v>2.875</v>
      </c>
      <c r="I2482" s="3" t="s">
        <v>8701</v>
      </c>
    </row>
    <row r="2483" spans="1:9" x14ac:dyDescent="0.35">
      <c r="A2483" s="3" t="s">
        <v>11080</v>
      </c>
      <c r="B2483" s="3" t="s">
        <v>5073</v>
      </c>
      <c r="C2483" s="3" t="s">
        <v>5074</v>
      </c>
      <c r="D2483">
        <v>9908</v>
      </c>
      <c r="E2483" s="6">
        <v>36067</v>
      </c>
      <c r="F2483">
        <v>0</v>
      </c>
      <c r="G2483">
        <v>0</v>
      </c>
      <c r="H2483">
        <v>0</v>
      </c>
      <c r="I2483" s="3" t="s">
        <v>8699</v>
      </c>
    </row>
    <row r="2484" spans="1:9" x14ac:dyDescent="0.35">
      <c r="A2484" s="3" t="s">
        <v>11195</v>
      </c>
      <c r="B2484" s="3" t="s">
        <v>5318</v>
      </c>
      <c r="C2484" s="3" t="s">
        <v>5319</v>
      </c>
      <c r="D2484">
        <v>955</v>
      </c>
      <c r="E2484" s="6">
        <v>45020</v>
      </c>
      <c r="F2484">
        <v>0</v>
      </c>
      <c r="G2484">
        <v>0</v>
      </c>
      <c r="H2484">
        <v>0</v>
      </c>
      <c r="I2484" s="3" t="s">
        <v>28</v>
      </c>
    </row>
    <row r="2485" spans="1:9" x14ac:dyDescent="0.35">
      <c r="A2485" s="3" t="s">
        <v>11196</v>
      </c>
      <c r="B2485" s="3" t="s">
        <v>5320</v>
      </c>
      <c r="C2485" s="3" t="s">
        <v>5321</v>
      </c>
      <c r="D2485">
        <v>5646</v>
      </c>
      <c r="E2485" s="6">
        <v>40329</v>
      </c>
      <c r="F2485">
        <v>0</v>
      </c>
      <c r="G2485">
        <v>6.0000000000000001E-3</v>
      </c>
      <c r="H2485">
        <v>0.14400000000000002</v>
      </c>
      <c r="I2485" s="3" t="s">
        <v>8712</v>
      </c>
    </row>
    <row r="2486" spans="1:9" x14ac:dyDescent="0.35">
      <c r="A2486" s="3" t="s">
        <v>10056</v>
      </c>
      <c r="B2486" s="3" t="s">
        <v>2897</v>
      </c>
      <c r="C2486" s="3" t="s">
        <v>2898</v>
      </c>
      <c r="D2486">
        <v>9931</v>
      </c>
      <c r="E2486" s="6">
        <v>36044</v>
      </c>
      <c r="F2486">
        <v>0</v>
      </c>
      <c r="G2486">
        <v>0</v>
      </c>
      <c r="H2486">
        <v>0</v>
      </c>
      <c r="I2486" s="3" t="s">
        <v>8699</v>
      </c>
    </row>
    <row r="2487" spans="1:9" x14ac:dyDescent="0.35">
      <c r="A2487" s="3" t="s">
        <v>11198</v>
      </c>
      <c r="B2487" s="3" t="s">
        <v>5324</v>
      </c>
      <c r="C2487" s="3" t="s">
        <v>5325</v>
      </c>
      <c r="D2487">
        <v>260</v>
      </c>
      <c r="E2487" s="6">
        <v>45715</v>
      </c>
      <c r="F2487">
        <v>50</v>
      </c>
      <c r="G2487">
        <v>8.36</v>
      </c>
      <c r="H2487">
        <v>0.44</v>
      </c>
      <c r="I2487" s="3" t="s">
        <v>8705</v>
      </c>
    </row>
    <row r="2488" spans="1:9" x14ac:dyDescent="0.35">
      <c r="A2488" s="3" t="s">
        <v>11199</v>
      </c>
      <c r="B2488" s="3" t="s">
        <v>5326</v>
      </c>
      <c r="C2488" s="3" t="s">
        <v>5327</v>
      </c>
      <c r="D2488">
        <v>726</v>
      </c>
      <c r="E2488" s="6">
        <v>45249</v>
      </c>
      <c r="F2488">
        <v>0</v>
      </c>
      <c r="G2488">
        <v>0</v>
      </c>
      <c r="H2488">
        <v>0</v>
      </c>
      <c r="I2488" s="3" t="s">
        <v>28</v>
      </c>
    </row>
    <row r="2489" spans="1:9" x14ac:dyDescent="0.35">
      <c r="A2489" s="3" t="s">
        <v>8952</v>
      </c>
      <c r="B2489" s="3" t="s">
        <v>567</v>
      </c>
      <c r="C2489" s="3" t="s">
        <v>568</v>
      </c>
      <c r="D2489">
        <v>9969</v>
      </c>
      <c r="E2489" s="6">
        <v>36006</v>
      </c>
      <c r="F2489">
        <v>0</v>
      </c>
      <c r="G2489">
        <v>0</v>
      </c>
      <c r="H2489">
        <v>0</v>
      </c>
      <c r="I2489" s="3" t="s">
        <v>8699</v>
      </c>
    </row>
    <row r="2490" spans="1:9" x14ac:dyDescent="0.35">
      <c r="A2490" s="3" t="s">
        <v>9827</v>
      </c>
      <c r="B2490" s="3" t="s">
        <v>2415</v>
      </c>
      <c r="C2490" s="3" t="s">
        <v>2416</v>
      </c>
      <c r="D2490">
        <v>10004</v>
      </c>
      <c r="E2490" s="6">
        <v>35971</v>
      </c>
      <c r="F2490">
        <v>0</v>
      </c>
      <c r="G2490">
        <v>0</v>
      </c>
      <c r="H2490">
        <v>0</v>
      </c>
      <c r="I2490" s="3" t="s">
        <v>8699</v>
      </c>
    </row>
    <row r="2491" spans="1:9" x14ac:dyDescent="0.35">
      <c r="A2491" s="3" t="s">
        <v>11202</v>
      </c>
      <c r="B2491" s="3" t="s">
        <v>5332</v>
      </c>
      <c r="C2491" s="3" t="s">
        <v>5333</v>
      </c>
      <c r="D2491">
        <v>48</v>
      </c>
      <c r="E2491" s="6">
        <v>45927</v>
      </c>
      <c r="F2491">
        <v>100</v>
      </c>
      <c r="G2491">
        <v>0.222</v>
      </c>
      <c r="H2491">
        <v>1.6280000000000001</v>
      </c>
      <c r="I2491" s="3" t="s">
        <v>8756</v>
      </c>
    </row>
    <row r="2492" spans="1:9" x14ac:dyDescent="0.35">
      <c r="A2492" s="3" t="s">
        <v>11203</v>
      </c>
      <c r="B2492" s="3" t="s">
        <v>5334</v>
      </c>
      <c r="C2492" s="3" t="s">
        <v>5335</v>
      </c>
      <c r="D2492">
        <v>955</v>
      </c>
      <c r="E2492" s="6">
        <v>45020</v>
      </c>
      <c r="F2492">
        <v>0</v>
      </c>
      <c r="G2492">
        <v>0</v>
      </c>
      <c r="H2492">
        <v>0</v>
      </c>
      <c r="I2492" s="3" t="s">
        <v>28</v>
      </c>
    </row>
    <row r="2493" spans="1:9" x14ac:dyDescent="0.35">
      <c r="A2493" s="3" t="s">
        <v>11204</v>
      </c>
      <c r="B2493" s="3" t="s">
        <v>5336</v>
      </c>
      <c r="C2493" s="3" t="s">
        <v>5337</v>
      </c>
      <c r="D2493">
        <v>505</v>
      </c>
      <c r="E2493" s="6">
        <v>45470</v>
      </c>
      <c r="F2493">
        <v>0</v>
      </c>
      <c r="G2493">
        <v>8.0000000000000002E-3</v>
      </c>
      <c r="H2493">
        <v>0.192</v>
      </c>
      <c r="I2493" s="3" t="s">
        <v>8712</v>
      </c>
    </row>
    <row r="2494" spans="1:9" x14ac:dyDescent="0.35">
      <c r="A2494" s="3" t="s">
        <v>11205</v>
      </c>
      <c r="B2494" s="3" t="s">
        <v>5338</v>
      </c>
      <c r="C2494" s="3" t="s">
        <v>5339</v>
      </c>
      <c r="D2494">
        <v>25</v>
      </c>
      <c r="E2494" s="6">
        <v>45950</v>
      </c>
      <c r="F2494">
        <v>0</v>
      </c>
      <c r="G2494">
        <v>56.4</v>
      </c>
      <c r="H2494">
        <v>3.6</v>
      </c>
      <c r="I2494" s="3" t="s">
        <v>8701</v>
      </c>
    </row>
    <row r="2495" spans="1:9" x14ac:dyDescent="0.35">
      <c r="A2495" s="3" t="s">
        <v>11206</v>
      </c>
      <c r="B2495" s="3" t="s">
        <v>5340</v>
      </c>
      <c r="C2495" s="3" t="s">
        <v>5341</v>
      </c>
      <c r="D2495">
        <v>4678</v>
      </c>
      <c r="E2495" s="6">
        <v>41297</v>
      </c>
      <c r="F2495">
        <v>0</v>
      </c>
      <c r="G2495">
        <v>0</v>
      </c>
      <c r="H2495">
        <v>0</v>
      </c>
      <c r="I2495" s="3" t="s">
        <v>28</v>
      </c>
    </row>
    <row r="2496" spans="1:9" x14ac:dyDescent="0.35">
      <c r="A2496" s="3" t="s">
        <v>11034</v>
      </c>
      <c r="B2496" s="3" t="s">
        <v>4979</v>
      </c>
      <c r="C2496" s="3" t="s">
        <v>4980</v>
      </c>
      <c r="D2496">
        <v>10011</v>
      </c>
      <c r="E2496" s="6">
        <v>35964</v>
      </c>
      <c r="F2496">
        <v>0</v>
      </c>
      <c r="G2496">
        <v>0</v>
      </c>
      <c r="H2496">
        <v>0</v>
      </c>
      <c r="I2496" s="3" t="s">
        <v>8699</v>
      </c>
    </row>
    <row r="2497" spans="1:9" x14ac:dyDescent="0.35">
      <c r="A2497" s="3" t="s">
        <v>11208</v>
      </c>
      <c r="B2497" s="3" t="s">
        <v>5344</v>
      </c>
      <c r="C2497" s="3" t="s">
        <v>5345</v>
      </c>
      <c r="D2497">
        <v>23</v>
      </c>
      <c r="E2497" s="6">
        <v>45952</v>
      </c>
      <c r="F2497">
        <v>0</v>
      </c>
      <c r="G2497">
        <v>74.625</v>
      </c>
      <c r="H2497">
        <v>0.375</v>
      </c>
      <c r="I2497" s="3" t="s">
        <v>8701</v>
      </c>
    </row>
    <row r="2498" spans="1:9" x14ac:dyDescent="0.35">
      <c r="A2498" s="3" t="s">
        <v>11209</v>
      </c>
      <c r="B2498" s="3" t="s">
        <v>5346</v>
      </c>
      <c r="C2498" s="3" t="s">
        <v>5347</v>
      </c>
      <c r="D2498">
        <v>5646</v>
      </c>
      <c r="E2498" s="6">
        <v>40329</v>
      </c>
      <c r="F2498">
        <v>0</v>
      </c>
      <c r="G2498">
        <v>1.5000000000000001E-2</v>
      </c>
      <c r="H2498">
        <v>0.38500000000000001</v>
      </c>
      <c r="I2498" s="3" t="s">
        <v>8712</v>
      </c>
    </row>
    <row r="2499" spans="1:9" x14ac:dyDescent="0.35">
      <c r="A2499" s="3" t="s">
        <v>11210</v>
      </c>
      <c r="B2499" s="3" t="s">
        <v>5348</v>
      </c>
      <c r="C2499" s="3" t="s">
        <v>5349</v>
      </c>
      <c r="D2499">
        <v>474</v>
      </c>
      <c r="E2499" s="6">
        <v>45501</v>
      </c>
      <c r="F2499">
        <v>0</v>
      </c>
      <c r="G2499">
        <v>14.4</v>
      </c>
      <c r="H2499">
        <v>1.6</v>
      </c>
      <c r="I2499" s="3" t="s">
        <v>8701</v>
      </c>
    </row>
    <row r="2500" spans="1:9" x14ac:dyDescent="0.35">
      <c r="A2500" s="3" t="s">
        <v>11211</v>
      </c>
      <c r="B2500" s="3" t="s">
        <v>5350</v>
      </c>
      <c r="C2500" s="3" t="s">
        <v>5351</v>
      </c>
      <c r="D2500">
        <v>109</v>
      </c>
      <c r="E2500" s="6">
        <v>45866</v>
      </c>
      <c r="F2500">
        <v>250</v>
      </c>
      <c r="G2500">
        <v>19.98</v>
      </c>
      <c r="H2500">
        <v>2.2200000000000002</v>
      </c>
      <c r="I2500" s="3" t="s">
        <v>8729</v>
      </c>
    </row>
    <row r="2501" spans="1:9" x14ac:dyDescent="0.35">
      <c r="A2501" s="3" t="s">
        <v>11212</v>
      </c>
      <c r="B2501" s="3" t="s">
        <v>5353</v>
      </c>
      <c r="C2501" s="3" t="s">
        <v>5354</v>
      </c>
      <c r="D2501">
        <v>955</v>
      </c>
      <c r="E2501" s="6">
        <v>45020</v>
      </c>
      <c r="F2501">
        <v>0</v>
      </c>
      <c r="G2501">
        <v>0</v>
      </c>
      <c r="H2501">
        <v>0</v>
      </c>
      <c r="I2501" s="3" t="s">
        <v>28</v>
      </c>
    </row>
    <row r="2502" spans="1:9" x14ac:dyDescent="0.35">
      <c r="A2502" s="3" t="s">
        <v>11213</v>
      </c>
      <c r="B2502" s="3" t="s">
        <v>5355</v>
      </c>
      <c r="C2502" s="3" t="s">
        <v>5356</v>
      </c>
      <c r="D2502">
        <v>36</v>
      </c>
      <c r="E2502" s="6">
        <v>45939</v>
      </c>
      <c r="F2502">
        <v>0</v>
      </c>
      <c r="G2502">
        <v>9.0000000000000011E-3</v>
      </c>
      <c r="H2502">
        <v>0.221</v>
      </c>
      <c r="I2502" s="3" t="s">
        <v>8712</v>
      </c>
    </row>
    <row r="2503" spans="1:9" x14ac:dyDescent="0.35">
      <c r="A2503" s="3" t="s">
        <v>11063</v>
      </c>
      <c r="B2503" s="3" t="s">
        <v>5039</v>
      </c>
      <c r="C2503" s="3" t="s">
        <v>5040</v>
      </c>
      <c r="D2503">
        <v>10028</v>
      </c>
      <c r="E2503" s="6">
        <v>35947</v>
      </c>
      <c r="F2503">
        <v>0</v>
      </c>
      <c r="G2503">
        <v>0</v>
      </c>
      <c r="H2503">
        <v>0</v>
      </c>
      <c r="I2503" s="3" t="s">
        <v>8699</v>
      </c>
    </row>
    <row r="2504" spans="1:9" x14ac:dyDescent="0.35">
      <c r="A2504" s="3" t="s">
        <v>11215</v>
      </c>
      <c r="B2504" s="3" t="s">
        <v>5359</v>
      </c>
      <c r="C2504" s="3" t="s">
        <v>5360</v>
      </c>
      <c r="D2504">
        <v>166</v>
      </c>
      <c r="E2504" s="6">
        <v>45809</v>
      </c>
      <c r="F2504">
        <v>50</v>
      </c>
      <c r="G2504">
        <v>13.3</v>
      </c>
      <c r="H2504">
        <v>0.70000000000000007</v>
      </c>
      <c r="I2504" s="3" t="s">
        <v>8705</v>
      </c>
    </row>
    <row r="2505" spans="1:9" x14ac:dyDescent="0.35">
      <c r="A2505" s="3" t="s">
        <v>11216</v>
      </c>
      <c r="B2505" s="3" t="s">
        <v>5361</v>
      </c>
      <c r="C2505" s="3" t="s">
        <v>5362</v>
      </c>
      <c r="D2505">
        <v>2019</v>
      </c>
      <c r="E2505" s="6">
        <v>43956</v>
      </c>
      <c r="F2505">
        <v>0</v>
      </c>
      <c r="G2505">
        <v>2E-3</v>
      </c>
      <c r="H2505">
        <v>2.8000000000000001E-2</v>
      </c>
      <c r="I2505" s="3" t="s">
        <v>8712</v>
      </c>
    </row>
    <row r="2506" spans="1:9" x14ac:dyDescent="0.35">
      <c r="A2506" s="3" t="s">
        <v>11070</v>
      </c>
      <c r="B2506" s="3" t="s">
        <v>5053</v>
      </c>
      <c r="C2506" s="3" t="s">
        <v>5054</v>
      </c>
      <c r="D2506">
        <v>10046</v>
      </c>
      <c r="E2506" s="6">
        <v>35929</v>
      </c>
      <c r="F2506">
        <v>0</v>
      </c>
      <c r="G2506">
        <v>0</v>
      </c>
      <c r="H2506">
        <v>0</v>
      </c>
      <c r="I2506" s="3" t="s">
        <v>8699</v>
      </c>
    </row>
    <row r="2507" spans="1:9" x14ac:dyDescent="0.35">
      <c r="A2507" s="3" t="s">
        <v>11218</v>
      </c>
      <c r="B2507" s="3" t="s">
        <v>5365</v>
      </c>
      <c r="C2507" s="3" t="s">
        <v>5366</v>
      </c>
      <c r="D2507">
        <v>383</v>
      </c>
      <c r="E2507" s="6">
        <v>45592</v>
      </c>
      <c r="F2507">
        <v>0</v>
      </c>
      <c r="G2507">
        <v>7.0000000000000001E-3</v>
      </c>
      <c r="H2507">
        <v>0.113</v>
      </c>
      <c r="I2507" s="3" t="s">
        <v>8712</v>
      </c>
    </row>
    <row r="2508" spans="1:9" x14ac:dyDescent="0.35">
      <c r="A2508" s="3" t="s">
        <v>10669</v>
      </c>
      <c r="B2508" s="3" t="s">
        <v>4199</v>
      </c>
      <c r="C2508" s="3" t="s">
        <v>4200</v>
      </c>
      <c r="D2508">
        <v>10061</v>
      </c>
      <c r="E2508" s="6">
        <v>35914</v>
      </c>
      <c r="F2508">
        <v>0</v>
      </c>
      <c r="G2508">
        <v>0</v>
      </c>
      <c r="H2508">
        <v>0</v>
      </c>
      <c r="I2508" s="3" t="s">
        <v>8699</v>
      </c>
    </row>
    <row r="2509" spans="1:9" x14ac:dyDescent="0.35">
      <c r="A2509" s="3" t="s">
        <v>11220</v>
      </c>
      <c r="B2509" s="3" t="s">
        <v>5369</v>
      </c>
      <c r="C2509" s="3" t="s">
        <v>5370</v>
      </c>
      <c r="D2509">
        <v>33</v>
      </c>
      <c r="E2509" s="6">
        <v>45942</v>
      </c>
      <c r="F2509">
        <v>0</v>
      </c>
      <c r="G2509">
        <v>2.0150000000000001</v>
      </c>
      <c r="H2509">
        <v>1.085</v>
      </c>
      <c r="I2509" s="3" t="s">
        <v>8756</v>
      </c>
    </row>
    <row r="2510" spans="1:9" x14ac:dyDescent="0.35">
      <c r="A2510" s="3" t="s">
        <v>11221</v>
      </c>
      <c r="B2510" s="3" t="s">
        <v>5371</v>
      </c>
      <c r="C2510" s="3" t="s">
        <v>5372</v>
      </c>
      <c r="D2510">
        <v>18</v>
      </c>
      <c r="E2510" s="6">
        <v>45957</v>
      </c>
      <c r="F2510">
        <v>0</v>
      </c>
      <c r="G2510">
        <v>1.0290000000000001</v>
      </c>
      <c r="H2510">
        <v>1.071</v>
      </c>
      <c r="I2510" s="3" t="s">
        <v>8701</v>
      </c>
    </row>
    <row r="2511" spans="1:9" x14ac:dyDescent="0.35">
      <c r="A2511" s="3" t="s">
        <v>9523</v>
      </c>
      <c r="B2511" s="3" t="s">
        <v>1761</v>
      </c>
      <c r="C2511" s="3" t="s">
        <v>1762</v>
      </c>
      <c r="D2511">
        <v>10063</v>
      </c>
      <c r="E2511" s="6">
        <v>35912</v>
      </c>
      <c r="F2511">
        <v>0</v>
      </c>
      <c r="G2511">
        <v>0</v>
      </c>
      <c r="H2511">
        <v>0</v>
      </c>
      <c r="I2511" s="3" t="s">
        <v>8699</v>
      </c>
    </row>
    <row r="2512" spans="1:9" x14ac:dyDescent="0.35">
      <c r="A2512" s="3" t="s">
        <v>9880</v>
      </c>
      <c r="B2512" s="3" t="s">
        <v>2524</v>
      </c>
      <c r="C2512" s="3" t="s">
        <v>2525</v>
      </c>
      <c r="D2512">
        <v>10085</v>
      </c>
      <c r="E2512" s="6">
        <v>35890</v>
      </c>
      <c r="F2512">
        <v>0</v>
      </c>
      <c r="G2512">
        <v>0</v>
      </c>
      <c r="H2512">
        <v>0</v>
      </c>
      <c r="I2512" s="3" t="s">
        <v>8699</v>
      </c>
    </row>
    <row r="2513" spans="1:9" x14ac:dyDescent="0.35">
      <c r="A2513" s="3" t="s">
        <v>11224</v>
      </c>
      <c r="B2513" s="3" t="s">
        <v>5377</v>
      </c>
      <c r="C2513" s="3" t="s">
        <v>5378</v>
      </c>
      <c r="D2513">
        <v>955</v>
      </c>
      <c r="E2513" s="6">
        <v>45020</v>
      </c>
      <c r="F2513">
        <v>0</v>
      </c>
      <c r="G2513">
        <v>0</v>
      </c>
      <c r="H2513">
        <v>0</v>
      </c>
      <c r="I2513" s="3" t="s">
        <v>28</v>
      </c>
    </row>
    <row r="2514" spans="1:9" x14ac:dyDescent="0.35">
      <c r="A2514" s="3" t="s">
        <v>11225</v>
      </c>
      <c r="B2514" s="3" t="s">
        <v>5379</v>
      </c>
      <c r="C2514" s="3" t="s">
        <v>5380</v>
      </c>
      <c r="D2514">
        <v>157</v>
      </c>
      <c r="E2514" s="6">
        <v>45818</v>
      </c>
      <c r="F2514">
        <v>100</v>
      </c>
      <c r="G2514">
        <v>3.3000000000000003</v>
      </c>
      <c r="H2514">
        <v>1.1000000000000001</v>
      </c>
      <c r="I2514" s="3" t="s">
        <v>8756</v>
      </c>
    </row>
    <row r="2515" spans="1:9" x14ac:dyDescent="0.35">
      <c r="A2515" s="3" t="s">
        <v>10666</v>
      </c>
      <c r="B2515" s="3" t="s">
        <v>4193</v>
      </c>
      <c r="C2515" s="3" t="s">
        <v>4194</v>
      </c>
      <c r="D2515">
        <v>10088</v>
      </c>
      <c r="E2515" s="6">
        <v>35887</v>
      </c>
      <c r="F2515">
        <v>0</v>
      </c>
      <c r="G2515">
        <v>0</v>
      </c>
      <c r="H2515">
        <v>0</v>
      </c>
      <c r="I2515" s="3" t="s">
        <v>8699</v>
      </c>
    </row>
    <row r="2516" spans="1:9" x14ac:dyDescent="0.35">
      <c r="A2516" s="3" t="s">
        <v>11227</v>
      </c>
      <c r="B2516" s="3" t="s">
        <v>5383</v>
      </c>
      <c r="C2516" s="3" t="s">
        <v>5384</v>
      </c>
      <c r="D2516">
        <v>6662</v>
      </c>
      <c r="E2516" s="6">
        <v>39313</v>
      </c>
      <c r="F2516">
        <v>0</v>
      </c>
      <c r="G2516">
        <v>0</v>
      </c>
      <c r="H2516">
        <v>0</v>
      </c>
      <c r="I2516" s="3" t="s">
        <v>28</v>
      </c>
    </row>
    <row r="2517" spans="1:9" x14ac:dyDescent="0.35">
      <c r="A2517" s="3" t="s">
        <v>10597</v>
      </c>
      <c r="B2517" s="3" t="s">
        <v>4049</v>
      </c>
      <c r="C2517" s="3" t="s">
        <v>4050</v>
      </c>
      <c r="D2517">
        <v>10091</v>
      </c>
      <c r="E2517" s="6">
        <v>35884</v>
      </c>
      <c r="F2517">
        <v>0</v>
      </c>
      <c r="G2517">
        <v>0</v>
      </c>
      <c r="H2517">
        <v>0</v>
      </c>
      <c r="I2517" s="3" t="s">
        <v>8699</v>
      </c>
    </row>
    <row r="2518" spans="1:9" x14ac:dyDescent="0.35">
      <c r="A2518" s="3" t="s">
        <v>11229</v>
      </c>
      <c r="B2518" s="3" t="s">
        <v>5387</v>
      </c>
      <c r="C2518" s="3" t="s">
        <v>5388</v>
      </c>
      <c r="D2518">
        <v>109</v>
      </c>
      <c r="E2518" s="6">
        <v>45866</v>
      </c>
      <c r="F2518">
        <v>100</v>
      </c>
      <c r="G2518">
        <v>8.798</v>
      </c>
      <c r="H2518">
        <v>1.802</v>
      </c>
      <c r="I2518" s="3" t="s">
        <v>8729</v>
      </c>
    </row>
    <row r="2519" spans="1:9" x14ac:dyDescent="0.35">
      <c r="A2519" s="3" t="s">
        <v>10872</v>
      </c>
      <c r="B2519" s="3" t="s">
        <v>4626</v>
      </c>
      <c r="C2519" s="3" t="s">
        <v>4627</v>
      </c>
      <c r="D2519">
        <v>10109</v>
      </c>
      <c r="E2519" s="6">
        <v>35866</v>
      </c>
      <c r="F2519">
        <v>0</v>
      </c>
      <c r="G2519">
        <v>0</v>
      </c>
      <c r="H2519">
        <v>0</v>
      </c>
      <c r="I2519" s="3" t="s">
        <v>8699</v>
      </c>
    </row>
    <row r="2520" spans="1:9" x14ac:dyDescent="0.35">
      <c r="A2520" s="3" t="s">
        <v>11231</v>
      </c>
      <c r="B2520" s="3" t="s">
        <v>5391</v>
      </c>
      <c r="C2520" s="3" t="s">
        <v>5392</v>
      </c>
      <c r="D2520">
        <v>955</v>
      </c>
      <c r="E2520" s="6">
        <v>45020</v>
      </c>
      <c r="F2520">
        <v>0</v>
      </c>
      <c r="G2520">
        <v>0</v>
      </c>
      <c r="H2520">
        <v>0</v>
      </c>
      <c r="I2520" s="3" t="s">
        <v>28</v>
      </c>
    </row>
    <row r="2521" spans="1:9" x14ac:dyDescent="0.35">
      <c r="A2521" s="3" t="s">
        <v>11232</v>
      </c>
      <c r="B2521" s="3" t="s">
        <v>5393</v>
      </c>
      <c r="C2521" s="3" t="s">
        <v>5394</v>
      </c>
      <c r="D2521">
        <v>88</v>
      </c>
      <c r="E2521" s="6">
        <v>45887</v>
      </c>
      <c r="F2521">
        <v>0</v>
      </c>
      <c r="G2521">
        <v>11.75</v>
      </c>
      <c r="H2521">
        <v>0.75</v>
      </c>
      <c r="I2521" s="3" t="s">
        <v>8701</v>
      </c>
    </row>
    <row r="2522" spans="1:9" x14ac:dyDescent="0.35">
      <c r="A2522" s="3" t="s">
        <v>11233</v>
      </c>
      <c r="B2522" s="3" t="s">
        <v>5395</v>
      </c>
      <c r="C2522" s="3" t="s">
        <v>5396</v>
      </c>
      <c r="D2522">
        <v>3</v>
      </c>
      <c r="E2522" s="6">
        <v>45972</v>
      </c>
      <c r="F2522">
        <v>0</v>
      </c>
      <c r="G2522">
        <v>8.1880000000000006</v>
      </c>
      <c r="H2522">
        <v>0.71200000000000008</v>
      </c>
      <c r="I2522" s="3" t="s">
        <v>8701</v>
      </c>
    </row>
    <row r="2523" spans="1:9" x14ac:dyDescent="0.35">
      <c r="A2523" s="3" t="s">
        <v>11234</v>
      </c>
      <c r="B2523" s="3" t="s">
        <v>5397</v>
      </c>
      <c r="C2523" s="3" t="s">
        <v>5398</v>
      </c>
      <c r="D2523">
        <v>955</v>
      </c>
      <c r="E2523" s="6">
        <v>45020</v>
      </c>
      <c r="F2523">
        <v>0</v>
      </c>
      <c r="G2523">
        <v>0</v>
      </c>
      <c r="H2523">
        <v>0</v>
      </c>
      <c r="I2523" s="3" t="s">
        <v>28</v>
      </c>
    </row>
    <row r="2524" spans="1:9" x14ac:dyDescent="0.35">
      <c r="A2524" s="3" t="s">
        <v>11362</v>
      </c>
      <c r="B2524" s="3" t="s">
        <v>5666</v>
      </c>
      <c r="C2524" s="3" t="s">
        <v>5667</v>
      </c>
      <c r="D2524">
        <v>10109</v>
      </c>
      <c r="E2524" s="6">
        <v>35866</v>
      </c>
      <c r="F2524">
        <v>0</v>
      </c>
      <c r="G2524">
        <v>0</v>
      </c>
      <c r="H2524">
        <v>0</v>
      </c>
      <c r="I2524" s="3" t="s">
        <v>8699</v>
      </c>
    </row>
    <row r="2525" spans="1:9" x14ac:dyDescent="0.35">
      <c r="A2525" s="3" t="s">
        <v>8797</v>
      </c>
      <c r="B2525" s="3" t="s">
        <v>234</v>
      </c>
      <c r="C2525" s="3" t="s">
        <v>235</v>
      </c>
      <c r="D2525">
        <v>10138</v>
      </c>
      <c r="E2525" s="6">
        <v>35837</v>
      </c>
      <c r="F2525">
        <v>0</v>
      </c>
      <c r="G2525">
        <v>0</v>
      </c>
      <c r="H2525">
        <v>0</v>
      </c>
      <c r="I2525" s="3" t="s">
        <v>8699</v>
      </c>
    </row>
    <row r="2526" spans="1:9" x14ac:dyDescent="0.35">
      <c r="A2526" s="3" t="s">
        <v>11237</v>
      </c>
      <c r="B2526" s="3" t="s">
        <v>5403</v>
      </c>
      <c r="C2526" s="3" t="s">
        <v>5404</v>
      </c>
      <c r="D2526">
        <v>23</v>
      </c>
      <c r="E2526" s="6">
        <v>45952</v>
      </c>
      <c r="F2526">
        <v>0</v>
      </c>
      <c r="G2526">
        <v>29.400000000000002</v>
      </c>
      <c r="H2526">
        <v>0.6</v>
      </c>
      <c r="I2526" s="3" t="s">
        <v>8701</v>
      </c>
    </row>
    <row r="2527" spans="1:9" x14ac:dyDescent="0.35">
      <c r="A2527" s="3" t="s">
        <v>9174</v>
      </c>
      <c r="B2527" s="3" t="s">
        <v>1033</v>
      </c>
      <c r="C2527" s="3" t="s">
        <v>1034</v>
      </c>
      <c r="D2527">
        <v>10177</v>
      </c>
      <c r="E2527" s="6">
        <v>35798</v>
      </c>
      <c r="F2527">
        <v>0</v>
      </c>
      <c r="G2527">
        <v>0</v>
      </c>
      <c r="H2527">
        <v>0</v>
      </c>
      <c r="I2527" s="3" t="s">
        <v>8699</v>
      </c>
    </row>
    <row r="2528" spans="1:9" x14ac:dyDescent="0.35">
      <c r="A2528" s="3" t="s">
        <v>10684</v>
      </c>
      <c r="B2528" s="3" t="s">
        <v>4235</v>
      </c>
      <c r="C2528" s="3" t="s">
        <v>4236</v>
      </c>
      <c r="D2528">
        <v>10213</v>
      </c>
      <c r="E2528" s="6">
        <v>35762</v>
      </c>
      <c r="F2528">
        <v>0</v>
      </c>
      <c r="G2528">
        <v>0</v>
      </c>
      <c r="H2528">
        <v>0</v>
      </c>
      <c r="I2528" s="3" t="s">
        <v>8699</v>
      </c>
    </row>
    <row r="2529" spans="1:9" x14ac:dyDescent="0.35">
      <c r="A2529" s="3" t="s">
        <v>8930</v>
      </c>
      <c r="B2529" s="3" t="s">
        <v>519</v>
      </c>
      <c r="C2529" s="3" t="s">
        <v>520</v>
      </c>
      <c r="D2529">
        <v>10218</v>
      </c>
      <c r="E2529" s="6">
        <v>35757</v>
      </c>
      <c r="F2529">
        <v>0</v>
      </c>
      <c r="G2529">
        <v>0</v>
      </c>
      <c r="H2529">
        <v>0</v>
      </c>
      <c r="I2529" s="3" t="s">
        <v>8699</v>
      </c>
    </row>
    <row r="2530" spans="1:9" x14ac:dyDescent="0.35">
      <c r="A2530" s="3" t="s">
        <v>9135</v>
      </c>
      <c r="B2530" s="3" t="s">
        <v>953</v>
      </c>
      <c r="C2530" s="3" t="s">
        <v>954</v>
      </c>
      <c r="D2530">
        <v>10236</v>
      </c>
      <c r="E2530" s="6">
        <v>35739</v>
      </c>
      <c r="F2530">
        <v>0</v>
      </c>
      <c r="G2530">
        <v>0</v>
      </c>
      <c r="H2530">
        <v>0</v>
      </c>
      <c r="I2530" s="3" t="s">
        <v>8699</v>
      </c>
    </row>
    <row r="2531" spans="1:9" x14ac:dyDescent="0.35">
      <c r="A2531" s="3" t="s">
        <v>11029</v>
      </c>
      <c r="B2531" s="3" t="s">
        <v>4968</v>
      </c>
      <c r="C2531" s="3" t="s">
        <v>4969</v>
      </c>
      <c r="D2531">
        <v>10305</v>
      </c>
      <c r="E2531" s="6">
        <v>35670</v>
      </c>
      <c r="F2531">
        <v>0</v>
      </c>
      <c r="G2531">
        <v>0</v>
      </c>
      <c r="H2531">
        <v>0</v>
      </c>
      <c r="I2531" s="3" t="s">
        <v>8699</v>
      </c>
    </row>
    <row r="2532" spans="1:9" x14ac:dyDescent="0.35">
      <c r="A2532" s="3" t="s">
        <v>11243</v>
      </c>
      <c r="B2532" s="3" t="s">
        <v>5419</v>
      </c>
      <c r="C2532" s="3" t="s">
        <v>5420</v>
      </c>
      <c r="D2532">
        <v>955</v>
      </c>
      <c r="E2532" s="6">
        <v>45020</v>
      </c>
      <c r="F2532">
        <v>0</v>
      </c>
      <c r="G2532">
        <v>0</v>
      </c>
      <c r="H2532">
        <v>0</v>
      </c>
      <c r="I2532" s="3" t="s">
        <v>28</v>
      </c>
    </row>
    <row r="2533" spans="1:9" x14ac:dyDescent="0.35">
      <c r="A2533" s="3" t="s">
        <v>10629</v>
      </c>
      <c r="B2533" s="3" t="s">
        <v>4117</v>
      </c>
      <c r="C2533" s="3" t="s">
        <v>4118</v>
      </c>
      <c r="D2533">
        <v>10389</v>
      </c>
      <c r="E2533" s="6">
        <v>35586</v>
      </c>
      <c r="F2533">
        <v>0</v>
      </c>
      <c r="G2533">
        <v>0</v>
      </c>
      <c r="H2533">
        <v>0</v>
      </c>
      <c r="I2533" s="3" t="s">
        <v>8699</v>
      </c>
    </row>
    <row r="2534" spans="1:9" x14ac:dyDescent="0.35">
      <c r="A2534" s="3" t="s">
        <v>11245</v>
      </c>
      <c r="B2534" s="3" t="s">
        <v>5423</v>
      </c>
      <c r="C2534" s="3" t="s">
        <v>5424</v>
      </c>
      <c r="D2534">
        <v>46</v>
      </c>
      <c r="E2534" s="6">
        <v>45929</v>
      </c>
      <c r="F2534">
        <v>140</v>
      </c>
      <c r="G2534">
        <v>44.1</v>
      </c>
      <c r="H2534">
        <v>0.9</v>
      </c>
      <c r="I2534" s="3" t="s">
        <v>8701</v>
      </c>
    </row>
    <row r="2535" spans="1:9" x14ac:dyDescent="0.35">
      <c r="A2535" s="3" t="s">
        <v>8810</v>
      </c>
      <c r="B2535" s="3" t="s">
        <v>268</v>
      </c>
      <c r="C2535" s="3" t="s">
        <v>269</v>
      </c>
      <c r="D2535">
        <v>10441</v>
      </c>
      <c r="E2535" s="6">
        <v>35534</v>
      </c>
      <c r="F2535">
        <v>0</v>
      </c>
      <c r="G2535">
        <v>0</v>
      </c>
      <c r="H2535">
        <v>0</v>
      </c>
      <c r="I2535" s="3" t="s">
        <v>8699</v>
      </c>
    </row>
    <row r="2536" spans="1:9" x14ac:dyDescent="0.35">
      <c r="A2536" s="3" t="s">
        <v>10970</v>
      </c>
      <c r="B2536" s="3" t="s">
        <v>4836</v>
      </c>
      <c r="C2536" s="3" t="s">
        <v>4837</v>
      </c>
      <c r="D2536">
        <v>10448</v>
      </c>
      <c r="E2536" s="6">
        <v>35527</v>
      </c>
      <c r="F2536">
        <v>0</v>
      </c>
      <c r="G2536">
        <v>0</v>
      </c>
      <c r="H2536">
        <v>0</v>
      </c>
      <c r="I2536" s="3" t="s">
        <v>8699</v>
      </c>
    </row>
    <row r="2537" spans="1:9" x14ac:dyDescent="0.35">
      <c r="A2537" s="3" t="s">
        <v>11248</v>
      </c>
      <c r="B2537" s="3" t="s">
        <v>5429</v>
      </c>
      <c r="C2537" s="3" t="s">
        <v>5430</v>
      </c>
      <c r="D2537">
        <v>955</v>
      </c>
      <c r="E2537" s="6">
        <v>45020</v>
      </c>
      <c r="F2537">
        <v>0</v>
      </c>
      <c r="G2537">
        <v>0</v>
      </c>
      <c r="H2537">
        <v>0</v>
      </c>
      <c r="I2537" s="3" t="s">
        <v>28</v>
      </c>
    </row>
    <row r="2538" spans="1:9" x14ac:dyDescent="0.35">
      <c r="A2538" s="3" t="s">
        <v>11249</v>
      </c>
      <c r="B2538" s="3" t="s">
        <v>5431</v>
      </c>
      <c r="C2538" s="3" t="s">
        <v>5432</v>
      </c>
      <c r="D2538">
        <v>28</v>
      </c>
      <c r="E2538" s="6">
        <v>45947</v>
      </c>
      <c r="F2538">
        <v>50</v>
      </c>
      <c r="G2538">
        <v>8.0080000000000009</v>
      </c>
      <c r="H2538">
        <v>0.79200000000000004</v>
      </c>
      <c r="I2538" s="3" t="s">
        <v>8756</v>
      </c>
    </row>
    <row r="2539" spans="1:9" x14ac:dyDescent="0.35">
      <c r="A2539" s="3" t="s">
        <v>11250</v>
      </c>
      <c r="B2539" s="3" t="s">
        <v>5433</v>
      </c>
      <c r="C2539" s="3" t="s">
        <v>5434</v>
      </c>
      <c r="D2539">
        <v>22</v>
      </c>
      <c r="E2539" s="6">
        <v>45953</v>
      </c>
      <c r="F2539">
        <v>0</v>
      </c>
      <c r="G2539">
        <v>1.0530000000000002</v>
      </c>
      <c r="H2539">
        <v>0.24700000000000003</v>
      </c>
      <c r="I2539" s="3" t="s">
        <v>8756</v>
      </c>
    </row>
    <row r="2540" spans="1:9" x14ac:dyDescent="0.35">
      <c r="A2540" s="3" t="s">
        <v>11251</v>
      </c>
      <c r="B2540" s="3" t="s">
        <v>5435</v>
      </c>
      <c r="C2540" s="3" t="s">
        <v>5436</v>
      </c>
      <c r="D2540">
        <v>383</v>
      </c>
      <c r="E2540" s="6">
        <v>45592</v>
      </c>
      <c r="F2540">
        <v>0</v>
      </c>
      <c r="G2540">
        <v>7.0000000000000001E-3</v>
      </c>
      <c r="H2540">
        <v>0.113</v>
      </c>
      <c r="I2540" s="3" t="s">
        <v>8712</v>
      </c>
    </row>
    <row r="2541" spans="1:9" x14ac:dyDescent="0.35">
      <c r="A2541" s="3" t="s">
        <v>11252</v>
      </c>
      <c r="B2541" s="3" t="s">
        <v>5438</v>
      </c>
      <c r="C2541" s="3" t="s">
        <v>5439</v>
      </c>
      <c r="D2541">
        <v>25</v>
      </c>
      <c r="E2541" s="6">
        <v>45950</v>
      </c>
      <c r="F2541">
        <v>100</v>
      </c>
      <c r="G2541">
        <v>3.6140000000000003</v>
      </c>
      <c r="H2541">
        <v>1.3360000000000001</v>
      </c>
      <c r="I2541" s="3" t="s">
        <v>8701</v>
      </c>
    </row>
    <row r="2542" spans="1:9" x14ac:dyDescent="0.35">
      <c r="A2542" s="3" t="s">
        <v>11253</v>
      </c>
      <c r="B2542" s="3" t="s">
        <v>5440</v>
      </c>
      <c r="C2542" s="3" t="s">
        <v>5441</v>
      </c>
      <c r="D2542">
        <v>955</v>
      </c>
      <c r="E2542" s="6">
        <v>45020</v>
      </c>
      <c r="F2542">
        <v>0</v>
      </c>
      <c r="G2542">
        <v>0</v>
      </c>
      <c r="H2542">
        <v>0</v>
      </c>
      <c r="I2542" s="3" t="s">
        <v>28</v>
      </c>
    </row>
    <row r="2543" spans="1:9" x14ac:dyDescent="0.35">
      <c r="A2543" s="3" t="s">
        <v>11214</v>
      </c>
      <c r="B2543" s="3" t="s">
        <v>5357</v>
      </c>
      <c r="C2543" s="3" t="s">
        <v>5358</v>
      </c>
      <c r="D2543">
        <v>10471</v>
      </c>
      <c r="E2543" s="6">
        <v>35504</v>
      </c>
      <c r="F2543">
        <v>0</v>
      </c>
      <c r="G2543">
        <v>0</v>
      </c>
      <c r="H2543">
        <v>0</v>
      </c>
      <c r="I2543" s="3" t="s">
        <v>8699</v>
      </c>
    </row>
    <row r="2544" spans="1:9" x14ac:dyDescent="0.35">
      <c r="A2544" s="3" t="s">
        <v>11255</v>
      </c>
      <c r="B2544" s="3" t="s">
        <v>5444</v>
      </c>
      <c r="C2544" s="3" t="s">
        <v>5445</v>
      </c>
      <c r="D2544">
        <v>109</v>
      </c>
      <c r="E2544" s="6">
        <v>45866</v>
      </c>
      <c r="F2544">
        <v>10</v>
      </c>
      <c r="G2544">
        <v>2.6240000000000001</v>
      </c>
      <c r="H2544">
        <v>0.57600000000000007</v>
      </c>
      <c r="I2544" s="3" t="s">
        <v>8729</v>
      </c>
    </row>
    <row r="2545" spans="1:9" x14ac:dyDescent="0.35">
      <c r="A2545" s="3" t="s">
        <v>11342</v>
      </c>
      <c r="B2545" s="3" t="s">
        <v>5621</v>
      </c>
      <c r="C2545" s="3" t="s">
        <v>5622</v>
      </c>
      <c r="D2545">
        <v>10497</v>
      </c>
      <c r="E2545" s="6">
        <v>35478</v>
      </c>
      <c r="F2545">
        <v>0</v>
      </c>
      <c r="G2545">
        <v>0</v>
      </c>
      <c r="H2545">
        <v>0</v>
      </c>
      <c r="I2545" s="3" t="s">
        <v>8699</v>
      </c>
    </row>
    <row r="2546" spans="1:9" x14ac:dyDescent="0.35">
      <c r="A2546" s="3" t="s">
        <v>11257</v>
      </c>
      <c r="B2546" s="3" t="s">
        <v>5448</v>
      </c>
      <c r="C2546" s="3" t="s">
        <v>5449</v>
      </c>
      <c r="D2546">
        <v>955</v>
      </c>
      <c r="E2546" s="6">
        <v>45020</v>
      </c>
      <c r="F2546">
        <v>0</v>
      </c>
      <c r="G2546">
        <v>0</v>
      </c>
      <c r="H2546">
        <v>0</v>
      </c>
      <c r="I2546" s="3" t="s">
        <v>28</v>
      </c>
    </row>
    <row r="2547" spans="1:9" x14ac:dyDescent="0.35">
      <c r="A2547" s="3" t="s">
        <v>11112</v>
      </c>
      <c r="B2547" s="3" t="s">
        <v>5141</v>
      </c>
      <c r="C2547" s="3" t="s">
        <v>5142</v>
      </c>
      <c r="D2547">
        <v>10507</v>
      </c>
      <c r="E2547" s="6">
        <v>35468</v>
      </c>
      <c r="F2547">
        <v>0</v>
      </c>
      <c r="G2547">
        <v>0</v>
      </c>
      <c r="H2547">
        <v>0</v>
      </c>
      <c r="I2547" s="3" t="s">
        <v>8699</v>
      </c>
    </row>
    <row r="2548" spans="1:9" x14ac:dyDescent="0.35">
      <c r="A2548" s="3" t="s">
        <v>11259</v>
      </c>
      <c r="B2548" s="3" t="s">
        <v>5452</v>
      </c>
      <c r="C2548" s="3" t="s">
        <v>5453</v>
      </c>
      <c r="D2548">
        <v>366</v>
      </c>
      <c r="E2548" s="6">
        <v>45609</v>
      </c>
      <c r="F2548">
        <v>0</v>
      </c>
      <c r="G2548">
        <v>7.0000000000000001E-3</v>
      </c>
      <c r="H2548">
        <v>0.12300000000000001</v>
      </c>
      <c r="I2548" s="3" t="s">
        <v>8712</v>
      </c>
    </row>
    <row r="2549" spans="1:9" x14ac:dyDescent="0.35">
      <c r="A2549" s="3" t="s">
        <v>10596</v>
      </c>
      <c r="B2549" s="3" t="s">
        <v>4047</v>
      </c>
      <c r="C2549" s="3" t="s">
        <v>4048</v>
      </c>
      <c r="D2549">
        <v>10536</v>
      </c>
      <c r="E2549" s="6">
        <v>35439</v>
      </c>
      <c r="F2549">
        <v>0</v>
      </c>
      <c r="G2549">
        <v>0</v>
      </c>
      <c r="H2549">
        <v>0</v>
      </c>
      <c r="I2549" s="3" t="s">
        <v>8699</v>
      </c>
    </row>
    <row r="2550" spans="1:9" x14ac:dyDescent="0.35">
      <c r="A2550" s="3" t="s">
        <v>11261</v>
      </c>
      <c r="B2550" s="3" t="s">
        <v>5457</v>
      </c>
      <c r="C2550" s="3" t="s">
        <v>5458</v>
      </c>
      <c r="D2550">
        <v>108</v>
      </c>
      <c r="E2550" s="6">
        <v>45867</v>
      </c>
      <c r="F2550">
        <v>200</v>
      </c>
      <c r="G2550">
        <v>48.230000000000004</v>
      </c>
      <c r="H2550">
        <v>4.7700000000000005</v>
      </c>
      <c r="I2550" s="3" t="s">
        <v>8729</v>
      </c>
    </row>
    <row r="2551" spans="1:9" x14ac:dyDescent="0.35">
      <c r="A2551" s="3" t="s">
        <v>11262</v>
      </c>
      <c r="B2551" s="3" t="s">
        <v>5459</v>
      </c>
      <c r="C2551" s="3" t="s">
        <v>5460</v>
      </c>
      <c r="D2551">
        <v>955</v>
      </c>
      <c r="E2551" s="6">
        <v>45020</v>
      </c>
      <c r="F2551">
        <v>0</v>
      </c>
      <c r="G2551">
        <v>0</v>
      </c>
      <c r="H2551">
        <v>0</v>
      </c>
      <c r="I2551" s="3" t="s">
        <v>28</v>
      </c>
    </row>
    <row r="2552" spans="1:9" x14ac:dyDescent="0.35">
      <c r="A2552" s="3" t="s">
        <v>10062</v>
      </c>
      <c r="B2552" s="3" t="s">
        <v>2913</v>
      </c>
      <c r="C2552" s="3" t="s">
        <v>2914</v>
      </c>
      <c r="D2552">
        <v>10540</v>
      </c>
      <c r="E2552" s="6">
        <v>35435</v>
      </c>
      <c r="F2552">
        <v>0</v>
      </c>
      <c r="G2552">
        <v>0</v>
      </c>
      <c r="H2552">
        <v>0</v>
      </c>
      <c r="I2552" s="3" t="s">
        <v>8699</v>
      </c>
    </row>
    <row r="2553" spans="1:9" x14ac:dyDescent="0.35">
      <c r="A2553" s="3" t="s">
        <v>11264</v>
      </c>
      <c r="B2553" s="3" t="s">
        <v>5463</v>
      </c>
      <c r="C2553" s="3" t="s">
        <v>5464</v>
      </c>
      <c r="D2553">
        <v>156</v>
      </c>
      <c r="E2553" s="6">
        <v>45819</v>
      </c>
      <c r="F2553">
        <v>100</v>
      </c>
      <c r="G2553">
        <v>1.5</v>
      </c>
      <c r="H2553">
        <v>1.5</v>
      </c>
      <c r="I2553" s="3" t="s">
        <v>8756</v>
      </c>
    </row>
    <row r="2554" spans="1:9" x14ac:dyDescent="0.35">
      <c r="A2554" s="3" t="s">
        <v>9639</v>
      </c>
      <c r="B2554" s="3" t="s">
        <v>2011</v>
      </c>
      <c r="C2554" s="3" t="s">
        <v>2012</v>
      </c>
      <c r="D2554">
        <v>10545</v>
      </c>
      <c r="E2554" s="6">
        <v>35430</v>
      </c>
      <c r="F2554">
        <v>0</v>
      </c>
      <c r="G2554">
        <v>0</v>
      </c>
      <c r="H2554">
        <v>0</v>
      </c>
      <c r="I2554" s="3" t="s">
        <v>8699</v>
      </c>
    </row>
    <row r="2555" spans="1:9" x14ac:dyDescent="0.35">
      <c r="A2555" s="3" t="s">
        <v>10930</v>
      </c>
      <c r="B2555" s="3" t="s">
        <v>4748</v>
      </c>
      <c r="C2555" s="3" t="s">
        <v>4749</v>
      </c>
      <c r="D2555">
        <v>10545</v>
      </c>
      <c r="E2555" s="6">
        <v>35430</v>
      </c>
      <c r="F2555">
        <v>0</v>
      </c>
      <c r="G2555">
        <v>0</v>
      </c>
      <c r="H2555">
        <v>0</v>
      </c>
      <c r="I2555" s="3" t="s">
        <v>8699</v>
      </c>
    </row>
    <row r="2556" spans="1:9" x14ac:dyDescent="0.35">
      <c r="A2556" s="3" t="s">
        <v>10932</v>
      </c>
      <c r="B2556" s="3" t="s">
        <v>4752</v>
      </c>
      <c r="C2556" s="3" t="s">
        <v>4753</v>
      </c>
      <c r="D2556">
        <v>10559</v>
      </c>
      <c r="E2556" s="6">
        <v>35416</v>
      </c>
      <c r="F2556">
        <v>0</v>
      </c>
      <c r="G2556">
        <v>0</v>
      </c>
      <c r="H2556">
        <v>0</v>
      </c>
      <c r="I2556" s="3" t="s">
        <v>8699</v>
      </c>
    </row>
    <row r="2557" spans="1:9" x14ac:dyDescent="0.35">
      <c r="A2557" s="3" t="s">
        <v>11268</v>
      </c>
      <c r="B2557" s="3" t="s">
        <v>5471</v>
      </c>
      <c r="C2557" s="3" t="s">
        <v>5472</v>
      </c>
      <c r="D2557">
        <v>130</v>
      </c>
      <c r="E2557" s="6">
        <v>45845</v>
      </c>
      <c r="F2557">
        <v>0</v>
      </c>
      <c r="G2557">
        <v>1E-3</v>
      </c>
      <c r="H2557">
        <v>2.9000000000000001E-2</v>
      </c>
      <c r="I2557" s="3" t="s">
        <v>8712</v>
      </c>
    </row>
    <row r="2558" spans="1:9" x14ac:dyDescent="0.35">
      <c r="A2558" s="3" t="s">
        <v>11269</v>
      </c>
      <c r="B2558" s="3" t="s">
        <v>5473</v>
      </c>
      <c r="C2558" s="3" t="s">
        <v>5474</v>
      </c>
      <c r="D2558">
        <v>955</v>
      </c>
      <c r="E2558" s="6">
        <v>45020</v>
      </c>
      <c r="F2558">
        <v>0</v>
      </c>
      <c r="G2558">
        <v>0</v>
      </c>
      <c r="H2558">
        <v>0</v>
      </c>
      <c r="I2558" s="3" t="s">
        <v>28</v>
      </c>
    </row>
    <row r="2559" spans="1:9" x14ac:dyDescent="0.35">
      <c r="A2559" s="3" t="s">
        <v>11270</v>
      </c>
      <c r="B2559" s="3" t="s">
        <v>5475</v>
      </c>
      <c r="C2559" s="3" t="s">
        <v>5476</v>
      </c>
      <c r="D2559">
        <v>38</v>
      </c>
      <c r="E2559" s="6">
        <v>45937</v>
      </c>
      <c r="F2559">
        <v>0</v>
      </c>
      <c r="G2559">
        <v>30.1</v>
      </c>
      <c r="H2559">
        <v>4.9000000000000004</v>
      </c>
      <c r="I2559" s="3" t="s">
        <v>8701</v>
      </c>
    </row>
    <row r="2560" spans="1:9" x14ac:dyDescent="0.35">
      <c r="A2560" s="3" t="s">
        <v>11271</v>
      </c>
      <c r="B2560" s="3" t="s">
        <v>5477</v>
      </c>
      <c r="C2560" s="3" t="s">
        <v>5478</v>
      </c>
      <c r="D2560">
        <v>726</v>
      </c>
      <c r="E2560" s="6">
        <v>45249</v>
      </c>
      <c r="F2560">
        <v>0</v>
      </c>
      <c r="G2560">
        <v>0</v>
      </c>
      <c r="H2560">
        <v>0</v>
      </c>
      <c r="I2560" s="3" t="s">
        <v>28</v>
      </c>
    </row>
    <row r="2561" spans="1:9" x14ac:dyDescent="0.35">
      <c r="A2561" s="3" t="s">
        <v>11272</v>
      </c>
      <c r="B2561" s="3" t="s">
        <v>5479</v>
      </c>
      <c r="C2561" s="3" t="s">
        <v>5480</v>
      </c>
      <c r="D2561">
        <v>46</v>
      </c>
      <c r="E2561" s="6">
        <v>45929</v>
      </c>
      <c r="F2561">
        <v>0</v>
      </c>
      <c r="G2561">
        <v>1.4040000000000001</v>
      </c>
      <c r="H2561">
        <v>1.296</v>
      </c>
      <c r="I2561" s="3" t="s">
        <v>8756</v>
      </c>
    </row>
    <row r="2562" spans="1:9" x14ac:dyDescent="0.35">
      <c r="A2562" s="3" t="s">
        <v>9926</v>
      </c>
      <c r="B2562" s="3" t="s">
        <v>2624</v>
      </c>
      <c r="C2562" s="3" t="s">
        <v>2625</v>
      </c>
      <c r="D2562">
        <v>10569</v>
      </c>
      <c r="E2562" s="6">
        <v>35406</v>
      </c>
      <c r="F2562">
        <v>0</v>
      </c>
      <c r="G2562">
        <v>0</v>
      </c>
      <c r="H2562">
        <v>0</v>
      </c>
      <c r="I2562" s="3" t="s">
        <v>8699</v>
      </c>
    </row>
    <row r="2563" spans="1:9" x14ac:dyDescent="0.35">
      <c r="A2563" s="3" t="s">
        <v>11274</v>
      </c>
      <c r="B2563" s="3" t="s">
        <v>5483</v>
      </c>
      <c r="C2563" s="3" t="s">
        <v>5484</v>
      </c>
      <c r="D2563">
        <v>955</v>
      </c>
      <c r="E2563" s="6">
        <v>45020</v>
      </c>
      <c r="F2563">
        <v>0</v>
      </c>
      <c r="G2563">
        <v>0</v>
      </c>
      <c r="H2563">
        <v>0</v>
      </c>
      <c r="I2563" s="3" t="s">
        <v>28</v>
      </c>
    </row>
    <row r="2564" spans="1:9" x14ac:dyDescent="0.35">
      <c r="A2564" s="3" t="s">
        <v>10593</v>
      </c>
      <c r="B2564" s="3" t="s">
        <v>4041</v>
      </c>
      <c r="C2564" s="3" t="s">
        <v>4042</v>
      </c>
      <c r="D2564">
        <v>10599</v>
      </c>
      <c r="E2564" s="6">
        <v>35376</v>
      </c>
      <c r="F2564">
        <v>0</v>
      </c>
      <c r="G2564">
        <v>0</v>
      </c>
      <c r="H2564">
        <v>0</v>
      </c>
      <c r="I2564" s="3" t="s">
        <v>8699</v>
      </c>
    </row>
    <row r="2565" spans="1:9" x14ac:dyDescent="0.35">
      <c r="A2565" s="3" t="s">
        <v>9442</v>
      </c>
      <c r="B2565" s="3" t="s">
        <v>1594</v>
      </c>
      <c r="C2565" s="3" t="s">
        <v>1595</v>
      </c>
      <c r="D2565">
        <v>10606</v>
      </c>
      <c r="E2565" s="6">
        <v>35369</v>
      </c>
      <c r="F2565">
        <v>0</v>
      </c>
      <c r="G2565">
        <v>0</v>
      </c>
      <c r="H2565">
        <v>0</v>
      </c>
      <c r="I2565" s="3" t="s">
        <v>8699</v>
      </c>
    </row>
    <row r="2566" spans="1:9" x14ac:dyDescent="0.35">
      <c r="A2566" s="3" t="s">
        <v>11277</v>
      </c>
      <c r="B2566" s="3" t="s">
        <v>5489</v>
      </c>
      <c r="C2566" s="3" t="s">
        <v>5490</v>
      </c>
      <c r="D2566">
        <v>23</v>
      </c>
      <c r="E2566" s="6">
        <v>45952</v>
      </c>
      <c r="F2566">
        <v>0</v>
      </c>
      <c r="G2566">
        <v>38.700000000000003</v>
      </c>
      <c r="H2566">
        <v>4.3</v>
      </c>
      <c r="I2566" s="3" t="s">
        <v>8701</v>
      </c>
    </row>
    <row r="2567" spans="1:9" x14ac:dyDescent="0.35">
      <c r="A2567" s="3" t="s">
        <v>9607</v>
      </c>
      <c r="B2567" s="3" t="s">
        <v>1941</v>
      </c>
      <c r="C2567" s="3" t="s">
        <v>1942</v>
      </c>
      <c r="D2567">
        <v>10606</v>
      </c>
      <c r="E2567" s="6">
        <v>35369</v>
      </c>
      <c r="F2567">
        <v>0</v>
      </c>
      <c r="G2567">
        <v>0</v>
      </c>
      <c r="H2567">
        <v>0</v>
      </c>
      <c r="I2567" s="3" t="s">
        <v>8699</v>
      </c>
    </row>
    <row r="2568" spans="1:9" x14ac:dyDescent="0.35">
      <c r="A2568" s="3" t="s">
        <v>11279</v>
      </c>
      <c r="B2568" s="3" t="s">
        <v>5493</v>
      </c>
      <c r="C2568" s="3" t="s">
        <v>5494</v>
      </c>
      <c r="D2568">
        <v>465</v>
      </c>
      <c r="E2568" s="6">
        <v>45510</v>
      </c>
      <c r="F2568">
        <v>0</v>
      </c>
      <c r="G2568">
        <v>8.0000000000000002E-3</v>
      </c>
      <c r="H2568">
        <v>0.192</v>
      </c>
      <c r="I2568" s="3" t="s">
        <v>8712</v>
      </c>
    </row>
    <row r="2569" spans="1:9" x14ac:dyDescent="0.35">
      <c r="A2569" s="3" t="s">
        <v>9815</v>
      </c>
      <c r="B2569" s="3" t="s">
        <v>2390</v>
      </c>
      <c r="C2569" s="3" t="s">
        <v>2391</v>
      </c>
      <c r="D2569">
        <v>10606</v>
      </c>
      <c r="E2569" s="6">
        <v>35369</v>
      </c>
      <c r="F2569">
        <v>0</v>
      </c>
      <c r="G2569">
        <v>0</v>
      </c>
      <c r="H2569">
        <v>0</v>
      </c>
      <c r="I2569" s="3" t="s">
        <v>8699</v>
      </c>
    </row>
    <row r="2570" spans="1:9" x14ac:dyDescent="0.35">
      <c r="A2570" s="3" t="s">
        <v>10040</v>
      </c>
      <c r="B2570" s="3" t="s">
        <v>2865</v>
      </c>
      <c r="C2570" s="3" t="s">
        <v>2866</v>
      </c>
      <c r="D2570">
        <v>10606</v>
      </c>
      <c r="E2570" s="6">
        <v>35369</v>
      </c>
      <c r="F2570">
        <v>0</v>
      </c>
      <c r="G2570">
        <v>0</v>
      </c>
      <c r="H2570">
        <v>0</v>
      </c>
      <c r="I2570" s="3" t="s">
        <v>8699</v>
      </c>
    </row>
    <row r="2571" spans="1:9" x14ac:dyDescent="0.35">
      <c r="A2571" s="3" t="s">
        <v>10297</v>
      </c>
      <c r="B2571" s="3" t="s">
        <v>3416</v>
      </c>
      <c r="C2571" s="3" t="s">
        <v>3417</v>
      </c>
      <c r="D2571">
        <v>10606</v>
      </c>
      <c r="E2571" s="6">
        <v>35369</v>
      </c>
      <c r="F2571">
        <v>0</v>
      </c>
      <c r="G2571">
        <v>0</v>
      </c>
      <c r="H2571">
        <v>0</v>
      </c>
      <c r="I2571" s="3" t="s">
        <v>8699</v>
      </c>
    </row>
    <row r="2572" spans="1:9" x14ac:dyDescent="0.35">
      <c r="A2572" s="3" t="s">
        <v>11283</v>
      </c>
      <c r="B2572" s="3" t="s">
        <v>5502</v>
      </c>
      <c r="C2572" s="3" t="s">
        <v>5503</v>
      </c>
      <c r="D2572">
        <v>67</v>
      </c>
      <c r="E2572" s="6">
        <v>45908</v>
      </c>
      <c r="F2572">
        <v>0</v>
      </c>
      <c r="G2572">
        <v>4.96</v>
      </c>
      <c r="H2572">
        <v>1.24</v>
      </c>
      <c r="I2572" s="3" t="s">
        <v>8701</v>
      </c>
    </row>
    <row r="2573" spans="1:9" x14ac:dyDescent="0.35">
      <c r="A2573" s="3" t="s">
        <v>10927</v>
      </c>
      <c r="B2573" s="3" t="s">
        <v>4742</v>
      </c>
      <c r="C2573" s="3" t="s">
        <v>4743</v>
      </c>
      <c r="D2573">
        <v>10606</v>
      </c>
      <c r="E2573" s="6">
        <v>35369</v>
      </c>
      <c r="F2573">
        <v>0</v>
      </c>
      <c r="G2573">
        <v>0</v>
      </c>
      <c r="H2573">
        <v>0</v>
      </c>
      <c r="I2573" s="3" t="s">
        <v>8699</v>
      </c>
    </row>
    <row r="2574" spans="1:9" x14ac:dyDescent="0.35">
      <c r="A2574" s="3" t="s">
        <v>10586</v>
      </c>
      <c r="B2574" s="3" t="s">
        <v>4027</v>
      </c>
      <c r="C2574" s="3" t="s">
        <v>4028</v>
      </c>
      <c r="D2574">
        <v>10639</v>
      </c>
      <c r="E2574" s="6">
        <v>35336</v>
      </c>
      <c r="F2574">
        <v>0</v>
      </c>
      <c r="G2574">
        <v>0</v>
      </c>
      <c r="H2574">
        <v>0</v>
      </c>
      <c r="I2574" s="3" t="s">
        <v>8699</v>
      </c>
    </row>
    <row r="2575" spans="1:9" x14ac:dyDescent="0.35">
      <c r="A2575" s="3" t="s">
        <v>11286</v>
      </c>
      <c r="B2575" s="3" t="s">
        <v>5508</v>
      </c>
      <c r="C2575" s="3" t="s">
        <v>5509</v>
      </c>
      <c r="D2575">
        <v>955</v>
      </c>
      <c r="E2575" s="6">
        <v>45020</v>
      </c>
      <c r="F2575">
        <v>0</v>
      </c>
      <c r="G2575">
        <v>0</v>
      </c>
      <c r="H2575">
        <v>0</v>
      </c>
      <c r="I2575" s="3" t="s">
        <v>28</v>
      </c>
    </row>
    <row r="2576" spans="1:9" x14ac:dyDescent="0.35">
      <c r="A2576" s="3" t="s">
        <v>11287</v>
      </c>
      <c r="B2576" s="3" t="s">
        <v>5510</v>
      </c>
      <c r="C2576" s="3" t="s">
        <v>5511</v>
      </c>
      <c r="D2576">
        <v>32</v>
      </c>
      <c r="E2576" s="6">
        <v>45943</v>
      </c>
      <c r="F2576">
        <v>0</v>
      </c>
      <c r="G2576">
        <v>6.3900000000000006</v>
      </c>
      <c r="H2576">
        <v>0.71</v>
      </c>
      <c r="I2576" s="3" t="s">
        <v>8756</v>
      </c>
    </row>
    <row r="2577" spans="1:9" x14ac:dyDescent="0.35">
      <c r="A2577" s="3" t="s">
        <v>11288</v>
      </c>
      <c r="B2577" s="3" t="s">
        <v>5512</v>
      </c>
      <c r="C2577" s="3" t="s">
        <v>5513</v>
      </c>
      <c r="D2577">
        <v>382</v>
      </c>
      <c r="E2577" s="6">
        <v>45593</v>
      </c>
      <c r="F2577">
        <v>10</v>
      </c>
      <c r="G2577">
        <v>27.55</v>
      </c>
      <c r="H2577">
        <v>1.45</v>
      </c>
      <c r="I2577" s="3" t="s">
        <v>8701</v>
      </c>
    </row>
    <row r="2578" spans="1:9" x14ac:dyDescent="0.35">
      <c r="A2578" s="3" t="s">
        <v>11289</v>
      </c>
      <c r="B2578" s="3" t="s">
        <v>5514</v>
      </c>
      <c r="C2578" s="3" t="s">
        <v>5515</v>
      </c>
      <c r="D2578">
        <v>955</v>
      </c>
      <c r="E2578" s="6">
        <v>45020</v>
      </c>
      <c r="F2578">
        <v>0</v>
      </c>
      <c r="G2578">
        <v>0</v>
      </c>
      <c r="H2578">
        <v>0</v>
      </c>
      <c r="I2578" s="3" t="s">
        <v>28</v>
      </c>
    </row>
    <row r="2579" spans="1:9" x14ac:dyDescent="0.35">
      <c r="A2579" s="3" t="s">
        <v>11290</v>
      </c>
      <c r="B2579" s="3" t="s">
        <v>5517</v>
      </c>
      <c r="C2579" s="3" t="s">
        <v>5518</v>
      </c>
      <c r="D2579">
        <v>241</v>
      </c>
      <c r="E2579" s="6">
        <v>45734</v>
      </c>
      <c r="F2579">
        <v>0</v>
      </c>
      <c r="G2579">
        <v>0.19700000000000001</v>
      </c>
      <c r="H2579">
        <v>1.113</v>
      </c>
      <c r="I2579" s="3" t="s">
        <v>9145</v>
      </c>
    </row>
    <row r="2580" spans="1:9" x14ac:dyDescent="0.35">
      <c r="A2580" s="3" t="s">
        <v>11291</v>
      </c>
      <c r="B2580" s="3" t="s">
        <v>5519</v>
      </c>
      <c r="C2580" s="3" t="s">
        <v>5520</v>
      </c>
      <c r="D2580">
        <v>955</v>
      </c>
      <c r="E2580" s="6">
        <v>45020</v>
      </c>
      <c r="F2580">
        <v>0</v>
      </c>
      <c r="G2580">
        <v>0</v>
      </c>
      <c r="H2580">
        <v>0</v>
      </c>
      <c r="I2580" s="3" t="s">
        <v>28</v>
      </c>
    </row>
    <row r="2581" spans="1:9" x14ac:dyDescent="0.35">
      <c r="A2581" s="3" t="s">
        <v>11292</v>
      </c>
      <c r="B2581" s="3" t="s">
        <v>5521</v>
      </c>
      <c r="C2581" s="3" t="s">
        <v>5522</v>
      </c>
      <c r="D2581">
        <v>955</v>
      </c>
      <c r="E2581" s="6">
        <v>45020</v>
      </c>
      <c r="F2581">
        <v>0</v>
      </c>
      <c r="G2581">
        <v>0</v>
      </c>
      <c r="H2581">
        <v>0</v>
      </c>
      <c r="I2581" s="3" t="s">
        <v>28</v>
      </c>
    </row>
    <row r="2582" spans="1:9" x14ac:dyDescent="0.35">
      <c r="A2582" s="3" t="s">
        <v>11293</v>
      </c>
      <c r="B2582" s="3" t="s">
        <v>5523</v>
      </c>
      <c r="C2582" s="3" t="s">
        <v>5524</v>
      </c>
      <c r="D2582">
        <v>159</v>
      </c>
      <c r="E2582" s="6">
        <v>45816</v>
      </c>
      <c r="F2582">
        <v>100</v>
      </c>
      <c r="G2582">
        <v>3.45</v>
      </c>
      <c r="H2582">
        <v>1.1500000000000001</v>
      </c>
      <c r="I2582" s="3" t="s">
        <v>8756</v>
      </c>
    </row>
    <row r="2583" spans="1:9" x14ac:dyDescent="0.35">
      <c r="A2583" s="3" t="s">
        <v>11294</v>
      </c>
      <c r="B2583" s="3" t="s">
        <v>5525</v>
      </c>
      <c r="C2583" s="3" t="s">
        <v>5526</v>
      </c>
      <c r="D2583">
        <v>28</v>
      </c>
      <c r="E2583" s="6">
        <v>45947</v>
      </c>
      <c r="F2583">
        <v>20</v>
      </c>
      <c r="G2583">
        <v>0.74099999999999999</v>
      </c>
      <c r="H2583">
        <v>1.159</v>
      </c>
      <c r="I2583" s="3" t="s">
        <v>8756</v>
      </c>
    </row>
    <row r="2584" spans="1:9" x14ac:dyDescent="0.35">
      <c r="A2584" s="3" t="s">
        <v>9450</v>
      </c>
      <c r="B2584" s="3" t="s">
        <v>1611</v>
      </c>
      <c r="C2584" s="3" t="s">
        <v>1612</v>
      </c>
      <c r="D2584">
        <v>10651</v>
      </c>
      <c r="E2584" s="6">
        <v>35324</v>
      </c>
      <c r="F2584">
        <v>0</v>
      </c>
      <c r="G2584">
        <v>0</v>
      </c>
      <c r="H2584">
        <v>0</v>
      </c>
      <c r="I2584" s="3" t="s">
        <v>8699</v>
      </c>
    </row>
    <row r="2585" spans="1:9" x14ac:dyDescent="0.35">
      <c r="A2585" s="3" t="s">
        <v>11296</v>
      </c>
      <c r="B2585" s="3" t="s">
        <v>5529</v>
      </c>
      <c r="C2585" s="3" t="s">
        <v>5530</v>
      </c>
      <c r="D2585">
        <v>955</v>
      </c>
      <c r="E2585" s="6">
        <v>45020</v>
      </c>
      <c r="F2585">
        <v>0</v>
      </c>
      <c r="G2585">
        <v>0</v>
      </c>
      <c r="H2585">
        <v>0</v>
      </c>
      <c r="I2585" s="3" t="s">
        <v>28</v>
      </c>
    </row>
    <row r="2586" spans="1:9" x14ac:dyDescent="0.35">
      <c r="A2586" s="3" t="s">
        <v>11297</v>
      </c>
      <c r="B2586" s="3" t="s">
        <v>5531</v>
      </c>
      <c r="C2586" s="3" t="s">
        <v>5532</v>
      </c>
      <c r="D2586">
        <v>47</v>
      </c>
      <c r="E2586" s="6">
        <v>45928</v>
      </c>
      <c r="F2586">
        <v>0</v>
      </c>
      <c r="G2586">
        <v>7.92</v>
      </c>
      <c r="H2586">
        <v>0.88</v>
      </c>
      <c r="I2586" s="3" t="s">
        <v>8701</v>
      </c>
    </row>
    <row r="2587" spans="1:9" x14ac:dyDescent="0.35">
      <c r="A2587" s="3" t="s">
        <v>10811</v>
      </c>
      <c r="B2587" s="3" t="s">
        <v>4501</v>
      </c>
      <c r="C2587" s="3" t="s">
        <v>4502</v>
      </c>
      <c r="D2587">
        <v>10759</v>
      </c>
      <c r="E2587" s="6">
        <v>35216</v>
      </c>
      <c r="F2587">
        <v>0</v>
      </c>
      <c r="G2587">
        <v>0</v>
      </c>
      <c r="H2587">
        <v>0</v>
      </c>
      <c r="I2587" s="3" t="s">
        <v>8699</v>
      </c>
    </row>
    <row r="2588" spans="1:9" x14ac:dyDescent="0.35">
      <c r="A2588" s="3" t="s">
        <v>9278</v>
      </c>
      <c r="B2588" s="3" t="s">
        <v>1252</v>
      </c>
      <c r="C2588" s="3" t="s">
        <v>1253</v>
      </c>
      <c r="D2588">
        <v>10770</v>
      </c>
      <c r="E2588" s="6">
        <v>35205</v>
      </c>
      <c r="F2588">
        <v>0</v>
      </c>
      <c r="G2588">
        <v>0</v>
      </c>
      <c r="H2588">
        <v>0</v>
      </c>
      <c r="I2588" s="3" t="s">
        <v>8699</v>
      </c>
    </row>
    <row r="2589" spans="1:9" x14ac:dyDescent="0.35">
      <c r="A2589" s="3" t="s">
        <v>11300</v>
      </c>
      <c r="B2589" s="3" t="s">
        <v>5537</v>
      </c>
      <c r="C2589" s="3" t="s">
        <v>5538</v>
      </c>
      <c r="D2589">
        <v>160</v>
      </c>
      <c r="E2589" s="6">
        <v>45815</v>
      </c>
      <c r="F2589">
        <v>100</v>
      </c>
      <c r="G2589">
        <v>13.72</v>
      </c>
      <c r="H2589">
        <v>0.28000000000000003</v>
      </c>
      <c r="I2589" s="3" t="s">
        <v>8756</v>
      </c>
    </row>
    <row r="2590" spans="1:9" x14ac:dyDescent="0.35">
      <c r="A2590" s="3" t="s">
        <v>11301</v>
      </c>
      <c r="B2590" s="3" t="s">
        <v>5539</v>
      </c>
      <c r="C2590" s="3" t="s">
        <v>5540</v>
      </c>
      <c r="D2590">
        <v>87</v>
      </c>
      <c r="E2590" s="6">
        <v>45888</v>
      </c>
      <c r="F2590">
        <v>12</v>
      </c>
      <c r="G2590">
        <v>0.81400000000000006</v>
      </c>
      <c r="H2590">
        <v>1.3860000000000001</v>
      </c>
      <c r="I2590" s="3" t="s">
        <v>8756</v>
      </c>
    </row>
    <row r="2591" spans="1:9" x14ac:dyDescent="0.35">
      <c r="A2591" s="3" t="s">
        <v>11302</v>
      </c>
      <c r="B2591" s="3" t="s">
        <v>5541</v>
      </c>
      <c r="C2591" s="3" t="s">
        <v>5542</v>
      </c>
      <c r="D2591">
        <v>46</v>
      </c>
      <c r="E2591" s="6">
        <v>45929</v>
      </c>
      <c r="F2591">
        <v>0</v>
      </c>
      <c r="G2591">
        <v>0.61199999999999999</v>
      </c>
      <c r="H2591">
        <v>0.108</v>
      </c>
      <c r="I2591" s="3" t="s">
        <v>8756</v>
      </c>
    </row>
    <row r="2592" spans="1:9" x14ac:dyDescent="0.35">
      <c r="A2592" s="3" t="s">
        <v>11303</v>
      </c>
      <c r="B2592" s="3" t="s">
        <v>5543</v>
      </c>
      <c r="C2592" s="3" t="s">
        <v>5544</v>
      </c>
      <c r="D2592">
        <v>13</v>
      </c>
      <c r="E2592" s="6">
        <v>45962</v>
      </c>
      <c r="F2592">
        <v>0</v>
      </c>
      <c r="G2592">
        <v>22.8</v>
      </c>
      <c r="H2592">
        <v>1.2</v>
      </c>
      <c r="I2592" s="3" t="s">
        <v>8701</v>
      </c>
    </row>
    <row r="2593" spans="1:9" x14ac:dyDescent="0.35">
      <c r="A2593" s="3" t="s">
        <v>11304</v>
      </c>
      <c r="B2593" s="3" t="s">
        <v>5545</v>
      </c>
      <c r="C2593" s="3" t="s">
        <v>5546</v>
      </c>
      <c r="D2593">
        <v>150</v>
      </c>
      <c r="E2593" s="6">
        <v>45825</v>
      </c>
      <c r="F2593">
        <v>100</v>
      </c>
      <c r="G2593">
        <v>1.3800000000000001</v>
      </c>
      <c r="H2593">
        <v>5.5200000000000005</v>
      </c>
      <c r="I2593" s="3" t="s">
        <v>8756</v>
      </c>
    </row>
    <row r="2594" spans="1:9" x14ac:dyDescent="0.35">
      <c r="A2594" s="3" t="s">
        <v>11305</v>
      </c>
      <c r="B2594" s="3" t="s">
        <v>5547</v>
      </c>
      <c r="C2594" s="3" t="s">
        <v>5548</v>
      </c>
      <c r="D2594">
        <v>59</v>
      </c>
      <c r="E2594" s="6">
        <v>45916</v>
      </c>
      <c r="F2594">
        <v>0</v>
      </c>
      <c r="G2594">
        <v>1.278</v>
      </c>
      <c r="H2594">
        <v>0.52200000000000002</v>
      </c>
      <c r="I2594" s="3" t="s">
        <v>8701</v>
      </c>
    </row>
    <row r="2595" spans="1:9" x14ac:dyDescent="0.35">
      <c r="A2595" s="3" t="s">
        <v>11306</v>
      </c>
      <c r="B2595" s="3" t="s">
        <v>5549</v>
      </c>
      <c r="C2595" s="3" t="s">
        <v>5550</v>
      </c>
      <c r="D2595">
        <v>1</v>
      </c>
      <c r="E2595" s="6">
        <v>45974</v>
      </c>
      <c r="F2595">
        <v>0</v>
      </c>
      <c r="G2595">
        <v>34.58</v>
      </c>
      <c r="H2595">
        <v>3.42</v>
      </c>
      <c r="I2595" s="3" t="s">
        <v>8701</v>
      </c>
    </row>
    <row r="2596" spans="1:9" x14ac:dyDescent="0.35">
      <c r="A2596" s="3" t="s">
        <v>11307</v>
      </c>
      <c r="B2596" s="3" t="s">
        <v>5551</v>
      </c>
      <c r="C2596" s="3" t="s">
        <v>5552</v>
      </c>
      <c r="D2596">
        <v>25</v>
      </c>
      <c r="E2596" s="6">
        <v>45950</v>
      </c>
      <c r="F2596">
        <v>0</v>
      </c>
      <c r="G2596">
        <v>0.8580000000000001</v>
      </c>
      <c r="H2596">
        <v>0.57200000000000006</v>
      </c>
      <c r="I2596" s="3" t="s">
        <v>8701</v>
      </c>
    </row>
    <row r="2597" spans="1:9" x14ac:dyDescent="0.35">
      <c r="A2597" s="3" t="s">
        <v>9366</v>
      </c>
      <c r="B2597" s="3" t="s">
        <v>1441</v>
      </c>
      <c r="C2597" s="3" t="s">
        <v>1442</v>
      </c>
      <c r="D2597">
        <v>10770</v>
      </c>
      <c r="E2597" s="6">
        <v>35205</v>
      </c>
      <c r="F2597">
        <v>0</v>
      </c>
      <c r="G2597">
        <v>0</v>
      </c>
      <c r="H2597">
        <v>0</v>
      </c>
      <c r="I2597" s="3" t="s">
        <v>8699</v>
      </c>
    </row>
    <row r="2598" spans="1:9" x14ac:dyDescent="0.35">
      <c r="A2598" s="3" t="s">
        <v>11309</v>
      </c>
      <c r="B2598" s="3" t="s">
        <v>5555</v>
      </c>
      <c r="C2598" s="3" t="s">
        <v>5556</v>
      </c>
      <c r="D2598">
        <v>18</v>
      </c>
      <c r="E2598" s="6">
        <v>45957</v>
      </c>
      <c r="F2598">
        <v>0</v>
      </c>
      <c r="G2598">
        <v>6.16</v>
      </c>
      <c r="H2598">
        <v>0.84</v>
      </c>
      <c r="I2598" s="3" t="s">
        <v>8705</v>
      </c>
    </row>
    <row r="2599" spans="1:9" x14ac:dyDescent="0.35">
      <c r="A2599" s="3" t="s">
        <v>11310</v>
      </c>
      <c r="B2599" s="3" t="s">
        <v>5557</v>
      </c>
      <c r="C2599" s="3" t="s">
        <v>5558</v>
      </c>
      <c r="D2599">
        <v>46</v>
      </c>
      <c r="E2599" s="6">
        <v>45929</v>
      </c>
      <c r="F2599">
        <v>100</v>
      </c>
      <c r="G2599">
        <v>13.195</v>
      </c>
      <c r="H2599">
        <v>1.3050000000000002</v>
      </c>
      <c r="I2599" s="3" t="s">
        <v>8701</v>
      </c>
    </row>
    <row r="2600" spans="1:9" x14ac:dyDescent="0.35">
      <c r="A2600" s="3" t="s">
        <v>11311</v>
      </c>
      <c r="B2600" s="3" t="s">
        <v>5559</v>
      </c>
      <c r="C2600" s="3" t="s">
        <v>5560</v>
      </c>
      <c r="D2600">
        <v>46</v>
      </c>
      <c r="E2600" s="6">
        <v>45929</v>
      </c>
      <c r="F2600">
        <v>100</v>
      </c>
      <c r="G2600">
        <v>8.82</v>
      </c>
      <c r="H2600">
        <v>0.18</v>
      </c>
      <c r="I2600" s="3" t="s">
        <v>8701</v>
      </c>
    </row>
    <row r="2601" spans="1:9" x14ac:dyDescent="0.35">
      <c r="A2601" s="3" t="s">
        <v>11312</v>
      </c>
      <c r="B2601" s="3" t="s">
        <v>5561</v>
      </c>
      <c r="C2601" s="3" t="s">
        <v>5562</v>
      </c>
      <c r="D2601">
        <v>77</v>
      </c>
      <c r="E2601" s="6">
        <v>45898</v>
      </c>
      <c r="F2601">
        <v>100</v>
      </c>
      <c r="G2601">
        <v>0.313</v>
      </c>
      <c r="H2601">
        <v>0.93700000000000006</v>
      </c>
      <c r="I2601" s="3" t="s">
        <v>8701</v>
      </c>
    </row>
    <row r="2602" spans="1:9" x14ac:dyDescent="0.35">
      <c r="A2602" s="3" t="s">
        <v>9076</v>
      </c>
      <c r="B2602" s="3" t="s">
        <v>833</v>
      </c>
      <c r="C2602" s="3" t="s">
        <v>834</v>
      </c>
      <c r="D2602">
        <v>10771</v>
      </c>
      <c r="E2602" s="6">
        <v>35204</v>
      </c>
      <c r="F2602">
        <v>0</v>
      </c>
      <c r="G2602">
        <v>0</v>
      </c>
      <c r="H2602">
        <v>0</v>
      </c>
      <c r="I2602" s="3" t="s">
        <v>8699</v>
      </c>
    </row>
    <row r="2603" spans="1:9" x14ac:dyDescent="0.35">
      <c r="A2603" s="3" t="s">
        <v>9167</v>
      </c>
      <c r="B2603" s="3" t="s">
        <v>1017</v>
      </c>
      <c r="C2603" s="3" t="s">
        <v>1018</v>
      </c>
      <c r="D2603">
        <v>10784</v>
      </c>
      <c r="E2603" s="6">
        <v>35191</v>
      </c>
      <c r="F2603">
        <v>0</v>
      </c>
      <c r="G2603">
        <v>0</v>
      </c>
      <c r="H2603">
        <v>0</v>
      </c>
      <c r="I2603" s="3" t="s">
        <v>8699</v>
      </c>
    </row>
    <row r="2604" spans="1:9" x14ac:dyDescent="0.35">
      <c r="A2604" s="3" t="s">
        <v>11315</v>
      </c>
      <c r="B2604" s="3" t="s">
        <v>5567</v>
      </c>
      <c r="C2604" s="3" t="s">
        <v>5568</v>
      </c>
      <c r="D2604">
        <v>87</v>
      </c>
      <c r="E2604" s="6">
        <v>45888</v>
      </c>
      <c r="F2604">
        <v>100</v>
      </c>
      <c r="G2604">
        <v>13.684000000000001</v>
      </c>
      <c r="H2604">
        <v>1.8660000000000001</v>
      </c>
      <c r="I2604" s="3" t="s">
        <v>8701</v>
      </c>
    </row>
    <row r="2605" spans="1:9" x14ac:dyDescent="0.35">
      <c r="A2605" s="3" t="s">
        <v>11316</v>
      </c>
      <c r="B2605" s="3" t="s">
        <v>5569</v>
      </c>
      <c r="C2605" s="3" t="s">
        <v>5570</v>
      </c>
      <c r="D2605">
        <v>47</v>
      </c>
      <c r="E2605" s="6">
        <v>45928</v>
      </c>
      <c r="F2605">
        <v>10</v>
      </c>
      <c r="G2605">
        <v>1.1440000000000001</v>
      </c>
      <c r="H2605">
        <v>3.2560000000000002</v>
      </c>
      <c r="I2605" s="3" t="s">
        <v>8701</v>
      </c>
    </row>
    <row r="2606" spans="1:9" x14ac:dyDescent="0.35">
      <c r="A2606" s="3" t="s">
        <v>10570</v>
      </c>
      <c r="B2606" s="3" t="s">
        <v>3994</v>
      </c>
      <c r="C2606" s="3" t="s">
        <v>3995</v>
      </c>
      <c r="D2606">
        <v>10798</v>
      </c>
      <c r="E2606" s="6">
        <v>35177</v>
      </c>
      <c r="F2606">
        <v>0</v>
      </c>
      <c r="G2606">
        <v>0</v>
      </c>
      <c r="H2606">
        <v>0</v>
      </c>
      <c r="I2606" s="3" t="s">
        <v>8699</v>
      </c>
    </row>
    <row r="2607" spans="1:9" x14ac:dyDescent="0.35">
      <c r="A2607" s="3" t="s">
        <v>11318</v>
      </c>
      <c r="B2607" s="3" t="s">
        <v>5573</v>
      </c>
      <c r="C2607" s="3" t="s">
        <v>5574</v>
      </c>
      <c r="D2607">
        <v>48</v>
      </c>
      <c r="E2607" s="6">
        <v>45927</v>
      </c>
      <c r="F2607">
        <v>450</v>
      </c>
      <c r="G2607">
        <v>0.96</v>
      </c>
      <c r="H2607">
        <v>1.04</v>
      </c>
      <c r="I2607" s="3" t="s">
        <v>8756</v>
      </c>
    </row>
    <row r="2608" spans="1:9" x14ac:dyDescent="0.35">
      <c r="A2608" s="3" t="s">
        <v>9676</v>
      </c>
      <c r="B2608" s="3" t="s">
        <v>2093</v>
      </c>
      <c r="C2608" s="3" t="s">
        <v>2094</v>
      </c>
      <c r="D2608">
        <v>10803</v>
      </c>
      <c r="E2608" s="6">
        <v>35172</v>
      </c>
      <c r="F2608">
        <v>0</v>
      </c>
      <c r="G2608">
        <v>0</v>
      </c>
      <c r="H2608">
        <v>0</v>
      </c>
      <c r="I2608" s="3" t="s">
        <v>8699</v>
      </c>
    </row>
    <row r="2609" spans="1:9" x14ac:dyDescent="0.35">
      <c r="A2609" s="3" t="s">
        <v>11320</v>
      </c>
      <c r="B2609" s="3" t="s">
        <v>5577</v>
      </c>
      <c r="C2609" s="3" t="s">
        <v>5578</v>
      </c>
      <c r="D2609">
        <v>22</v>
      </c>
      <c r="E2609" s="6">
        <v>45953</v>
      </c>
      <c r="F2609">
        <v>0</v>
      </c>
      <c r="G2609">
        <v>14.56</v>
      </c>
      <c r="H2609">
        <v>1.44</v>
      </c>
      <c r="I2609" s="3" t="s">
        <v>8756</v>
      </c>
    </row>
    <row r="2610" spans="1:9" x14ac:dyDescent="0.35">
      <c r="A2610" s="3" t="s">
        <v>11321</v>
      </c>
      <c r="B2610" s="3" t="s">
        <v>5579</v>
      </c>
      <c r="C2610" s="3" t="s">
        <v>5580</v>
      </c>
      <c r="D2610">
        <v>239</v>
      </c>
      <c r="E2610" s="6">
        <v>45736</v>
      </c>
      <c r="F2610">
        <v>0</v>
      </c>
      <c r="G2610">
        <v>6.0000000000000001E-3</v>
      </c>
      <c r="H2610">
        <v>0.154</v>
      </c>
      <c r="I2610" s="3" t="s">
        <v>8712</v>
      </c>
    </row>
    <row r="2611" spans="1:9" x14ac:dyDescent="0.35">
      <c r="A2611" s="3" t="s">
        <v>11322</v>
      </c>
      <c r="B2611" s="3" t="s">
        <v>5581</v>
      </c>
      <c r="C2611" s="3" t="s">
        <v>5582</v>
      </c>
      <c r="D2611">
        <v>955</v>
      </c>
      <c r="E2611" s="6">
        <v>45020</v>
      </c>
      <c r="F2611">
        <v>0</v>
      </c>
      <c r="G2611">
        <v>0</v>
      </c>
      <c r="H2611">
        <v>0</v>
      </c>
      <c r="I2611" s="3" t="s">
        <v>28</v>
      </c>
    </row>
    <row r="2612" spans="1:9" x14ac:dyDescent="0.35">
      <c r="A2612" s="3" t="s">
        <v>11323</v>
      </c>
      <c r="B2612" s="3" t="s">
        <v>5583</v>
      </c>
      <c r="C2612" s="3" t="s">
        <v>5584</v>
      </c>
      <c r="D2612">
        <v>142</v>
      </c>
      <c r="E2612" s="6">
        <v>45833</v>
      </c>
      <c r="F2612">
        <v>100</v>
      </c>
      <c r="G2612">
        <v>2.8000000000000003</v>
      </c>
      <c r="H2612">
        <v>0.70000000000000007</v>
      </c>
      <c r="I2612" s="3" t="s">
        <v>8701</v>
      </c>
    </row>
    <row r="2613" spans="1:9" x14ac:dyDescent="0.35">
      <c r="A2613" s="3" t="s">
        <v>11324</v>
      </c>
      <c r="B2613" s="3" t="s">
        <v>5585</v>
      </c>
      <c r="C2613" s="3" t="s">
        <v>5586</v>
      </c>
      <c r="D2613">
        <v>44</v>
      </c>
      <c r="E2613" s="6">
        <v>45931</v>
      </c>
      <c r="F2613">
        <v>8</v>
      </c>
      <c r="G2613">
        <v>5.59</v>
      </c>
      <c r="H2613">
        <v>0.91</v>
      </c>
      <c r="I2613" s="3" t="s">
        <v>8756</v>
      </c>
    </row>
    <row r="2614" spans="1:9" x14ac:dyDescent="0.35">
      <c r="A2614" s="3" t="s">
        <v>11325</v>
      </c>
      <c r="B2614" s="3" t="s">
        <v>5587</v>
      </c>
      <c r="C2614" s="3" t="s">
        <v>5588</v>
      </c>
      <c r="D2614">
        <v>726</v>
      </c>
      <c r="E2614" s="6">
        <v>45249</v>
      </c>
      <c r="F2614">
        <v>0</v>
      </c>
      <c r="G2614">
        <v>0</v>
      </c>
      <c r="H2614">
        <v>0</v>
      </c>
      <c r="I2614" s="3" t="s">
        <v>28</v>
      </c>
    </row>
    <row r="2615" spans="1:9" x14ac:dyDescent="0.35">
      <c r="A2615" s="3" t="s">
        <v>11326</v>
      </c>
      <c r="B2615" s="3" t="s">
        <v>5589</v>
      </c>
      <c r="C2615" s="3" t="s">
        <v>5590</v>
      </c>
      <c r="D2615">
        <v>0</v>
      </c>
      <c r="E2615" s="6">
        <v>45975</v>
      </c>
      <c r="F2615">
        <v>100</v>
      </c>
      <c r="G2615">
        <v>1.69</v>
      </c>
      <c r="H2615">
        <v>0.91</v>
      </c>
      <c r="I2615" s="3" t="s">
        <v>9145</v>
      </c>
    </row>
    <row r="2616" spans="1:9" x14ac:dyDescent="0.35">
      <c r="A2616" s="3" t="s">
        <v>11327</v>
      </c>
      <c r="B2616" s="3" t="s">
        <v>5591</v>
      </c>
      <c r="C2616" s="3" t="s">
        <v>5592</v>
      </c>
      <c r="D2616">
        <v>48</v>
      </c>
      <c r="E2616" s="6">
        <v>45927</v>
      </c>
      <c r="F2616">
        <v>150</v>
      </c>
      <c r="G2616">
        <v>0.46200000000000002</v>
      </c>
      <c r="H2616">
        <v>1.1880000000000002</v>
      </c>
      <c r="I2616" s="3" t="s">
        <v>8756</v>
      </c>
    </row>
    <row r="2617" spans="1:9" x14ac:dyDescent="0.35">
      <c r="A2617" s="3" t="s">
        <v>11328</v>
      </c>
      <c r="B2617" s="3" t="s">
        <v>5593</v>
      </c>
      <c r="C2617" s="3" t="s">
        <v>5594</v>
      </c>
      <c r="D2617">
        <v>955</v>
      </c>
      <c r="E2617" s="6">
        <v>45020</v>
      </c>
      <c r="F2617">
        <v>0</v>
      </c>
      <c r="G2617">
        <v>0</v>
      </c>
      <c r="H2617">
        <v>0</v>
      </c>
      <c r="I2617" s="3" t="s">
        <v>28</v>
      </c>
    </row>
    <row r="2618" spans="1:9" x14ac:dyDescent="0.35">
      <c r="A2618" s="3" t="s">
        <v>11329</v>
      </c>
      <c r="B2618" s="3" t="s">
        <v>5595</v>
      </c>
      <c r="C2618" s="3" t="s">
        <v>5596</v>
      </c>
      <c r="D2618">
        <v>90</v>
      </c>
      <c r="E2618" s="6">
        <v>45885</v>
      </c>
      <c r="F2618">
        <v>0</v>
      </c>
      <c r="G2618">
        <v>1.139</v>
      </c>
      <c r="H2618">
        <v>1.391</v>
      </c>
      <c r="I2618" s="3" t="s">
        <v>8756</v>
      </c>
    </row>
    <row r="2619" spans="1:9" x14ac:dyDescent="0.35">
      <c r="A2619" s="3" t="s">
        <v>11330</v>
      </c>
      <c r="B2619" s="3" t="s">
        <v>5597</v>
      </c>
      <c r="C2619" s="3" t="s">
        <v>5598</v>
      </c>
      <c r="D2619">
        <v>93</v>
      </c>
      <c r="E2619" s="6">
        <v>45882</v>
      </c>
      <c r="F2619">
        <v>0</v>
      </c>
      <c r="G2619">
        <v>2.8000000000000003</v>
      </c>
      <c r="H2619">
        <v>0.70000000000000007</v>
      </c>
      <c r="I2619" s="3" t="s">
        <v>8701</v>
      </c>
    </row>
    <row r="2620" spans="1:9" x14ac:dyDescent="0.35">
      <c r="A2620" s="3" t="s">
        <v>11331</v>
      </c>
      <c r="B2620" s="3" t="s">
        <v>5599</v>
      </c>
      <c r="C2620" s="3" t="s">
        <v>5600</v>
      </c>
      <c r="D2620">
        <v>45</v>
      </c>
      <c r="E2620" s="6">
        <v>45930</v>
      </c>
      <c r="F2620">
        <v>50</v>
      </c>
      <c r="G2620">
        <v>19.8</v>
      </c>
      <c r="H2620">
        <v>0.2</v>
      </c>
      <c r="I2620" s="3" t="s">
        <v>8701</v>
      </c>
    </row>
    <row r="2621" spans="1:9" x14ac:dyDescent="0.35">
      <c r="A2621" s="3" t="s">
        <v>10032</v>
      </c>
      <c r="B2621" s="3" t="s">
        <v>2849</v>
      </c>
      <c r="C2621" s="3" t="s">
        <v>2850</v>
      </c>
      <c r="D2621">
        <v>10803</v>
      </c>
      <c r="E2621" s="6">
        <v>35172</v>
      </c>
      <c r="F2621">
        <v>0</v>
      </c>
      <c r="G2621">
        <v>0</v>
      </c>
      <c r="H2621">
        <v>0</v>
      </c>
      <c r="I2621" s="3" t="s">
        <v>8699</v>
      </c>
    </row>
    <row r="2622" spans="1:9" x14ac:dyDescent="0.35">
      <c r="A2622" s="3" t="s">
        <v>11333</v>
      </c>
      <c r="B2622" s="3" t="s">
        <v>5603</v>
      </c>
      <c r="C2622" s="3" t="s">
        <v>5604</v>
      </c>
      <c r="D2622">
        <v>62</v>
      </c>
      <c r="E2622" s="6">
        <v>45913</v>
      </c>
      <c r="F2622">
        <v>0</v>
      </c>
      <c r="G2622">
        <v>77.22</v>
      </c>
      <c r="H2622">
        <v>0.78</v>
      </c>
      <c r="I2622" s="3" t="s">
        <v>8701</v>
      </c>
    </row>
    <row r="2623" spans="1:9" x14ac:dyDescent="0.35">
      <c r="A2623" s="3" t="s">
        <v>11334</v>
      </c>
      <c r="B2623" s="3" t="s">
        <v>5605</v>
      </c>
      <c r="C2623" s="3" t="s">
        <v>5606</v>
      </c>
      <c r="D2623">
        <v>31</v>
      </c>
      <c r="E2623" s="6">
        <v>45944</v>
      </c>
      <c r="F2623">
        <v>0</v>
      </c>
      <c r="G2623">
        <v>24.479000000000003</v>
      </c>
      <c r="H2623">
        <v>2.4210000000000003</v>
      </c>
      <c r="I2623" s="3" t="s">
        <v>8701</v>
      </c>
    </row>
    <row r="2624" spans="1:9" x14ac:dyDescent="0.35">
      <c r="A2624" s="3" t="s">
        <v>11335</v>
      </c>
      <c r="B2624" s="3" t="s">
        <v>5607</v>
      </c>
      <c r="C2624" s="3" t="s">
        <v>5608</v>
      </c>
      <c r="D2624">
        <v>15</v>
      </c>
      <c r="E2624" s="6">
        <v>45960</v>
      </c>
      <c r="F2624">
        <v>0</v>
      </c>
      <c r="G2624">
        <v>5.13</v>
      </c>
      <c r="H2624">
        <v>0.27</v>
      </c>
      <c r="I2624" s="3" t="s">
        <v>8705</v>
      </c>
    </row>
    <row r="2625" spans="1:9" x14ac:dyDescent="0.35">
      <c r="A2625" s="3" t="s">
        <v>11336</v>
      </c>
      <c r="B2625" s="3" t="s">
        <v>5609</v>
      </c>
      <c r="C2625" s="3" t="s">
        <v>5610</v>
      </c>
      <c r="D2625">
        <v>78</v>
      </c>
      <c r="E2625" s="6">
        <v>45897</v>
      </c>
      <c r="F2625">
        <v>100</v>
      </c>
      <c r="G2625">
        <v>4.6110000000000007</v>
      </c>
      <c r="H2625">
        <v>0.68900000000000006</v>
      </c>
      <c r="I2625" s="3" t="s">
        <v>8701</v>
      </c>
    </row>
    <row r="2626" spans="1:9" x14ac:dyDescent="0.35">
      <c r="A2626" s="3" t="s">
        <v>11337</v>
      </c>
      <c r="B2626" s="3" t="s">
        <v>5611</v>
      </c>
      <c r="C2626" s="3" t="s">
        <v>5612</v>
      </c>
      <c r="D2626">
        <v>74</v>
      </c>
      <c r="E2626" s="6">
        <v>45901</v>
      </c>
      <c r="F2626">
        <v>100</v>
      </c>
      <c r="G2626">
        <v>34.92</v>
      </c>
      <c r="H2626">
        <v>1.08</v>
      </c>
      <c r="I2626" s="3" t="s">
        <v>8701</v>
      </c>
    </row>
    <row r="2627" spans="1:9" x14ac:dyDescent="0.35">
      <c r="A2627" s="3" t="s">
        <v>11338</v>
      </c>
      <c r="B2627" s="3" t="s">
        <v>5613</v>
      </c>
      <c r="C2627" s="3" t="s">
        <v>5614</v>
      </c>
      <c r="D2627">
        <v>955</v>
      </c>
      <c r="E2627" s="6">
        <v>45020</v>
      </c>
      <c r="F2627">
        <v>0</v>
      </c>
      <c r="G2627">
        <v>0</v>
      </c>
      <c r="H2627">
        <v>0</v>
      </c>
      <c r="I2627" s="3" t="s">
        <v>28</v>
      </c>
    </row>
    <row r="2628" spans="1:9" x14ac:dyDescent="0.35">
      <c r="A2628" s="3" t="s">
        <v>10626</v>
      </c>
      <c r="B2628" s="3" t="s">
        <v>4111</v>
      </c>
      <c r="C2628" s="3" t="s">
        <v>4112</v>
      </c>
      <c r="D2628">
        <v>10803</v>
      </c>
      <c r="E2628" s="6">
        <v>35172</v>
      </c>
      <c r="F2628">
        <v>0</v>
      </c>
      <c r="G2628">
        <v>0</v>
      </c>
      <c r="H2628">
        <v>0</v>
      </c>
      <c r="I2628" s="3" t="s">
        <v>8699</v>
      </c>
    </row>
    <row r="2629" spans="1:9" x14ac:dyDescent="0.35">
      <c r="A2629" s="3" t="s">
        <v>11340</v>
      </c>
      <c r="B2629" s="3" t="s">
        <v>5617</v>
      </c>
      <c r="C2629" s="3" t="s">
        <v>5618</v>
      </c>
      <c r="D2629">
        <v>726</v>
      </c>
      <c r="E2629" s="6">
        <v>45249</v>
      </c>
      <c r="F2629">
        <v>0</v>
      </c>
      <c r="G2629">
        <v>0</v>
      </c>
      <c r="H2629">
        <v>0</v>
      </c>
      <c r="I2629" s="3" t="s">
        <v>28</v>
      </c>
    </row>
    <row r="2630" spans="1:9" x14ac:dyDescent="0.35">
      <c r="A2630" s="3" t="s">
        <v>9772</v>
      </c>
      <c r="B2630" s="3" t="s">
        <v>2292</v>
      </c>
      <c r="C2630" s="3" t="s">
        <v>2293</v>
      </c>
      <c r="D2630">
        <v>10806</v>
      </c>
      <c r="E2630" s="6">
        <v>35169</v>
      </c>
      <c r="F2630">
        <v>0</v>
      </c>
      <c r="G2630">
        <v>0</v>
      </c>
      <c r="H2630">
        <v>0</v>
      </c>
      <c r="I2630" s="3" t="s">
        <v>8699</v>
      </c>
    </row>
    <row r="2631" spans="1:9" x14ac:dyDescent="0.35">
      <c r="A2631" s="3" t="s">
        <v>9823</v>
      </c>
      <c r="B2631" s="3" t="s">
        <v>2406</v>
      </c>
      <c r="C2631" s="3" t="s">
        <v>2407</v>
      </c>
      <c r="D2631">
        <v>10811</v>
      </c>
      <c r="E2631" s="6">
        <v>35164</v>
      </c>
      <c r="F2631">
        <v>0</v>
      </c>
      <c r="G2631">
        <v>0</v>
      </c>
      <c r="H2631">
        <v>0</v>
      </c>
      <c r="I2631" s="3" t="s">
        <v>8699</v>
      </c>
    </row>
    <row r="2632" spans="1:9" x14ac:dyDescent="0.35">
      <c r="A2632" s="3" t="s">
        <v>9185</v>
      </c>
      <c r="B2632" s="3" t="s">
        <v>1056</v>
      </c>
      <c r="C2632" s="3" t="s">
        <v>1057</v>
      </c>
      <c r="D2632">
        <v>10812</v>
      </c>
      <c r="E2632" s="6">
        <v>35163</v>
      </c>
      <c r="F2632">
        <v>0</v>
      </c>
      <c r="G2632">
        <v>0</v>
      </c>
      <c r="H2632">
        <v>0</v>
      </c>
      <c r="I2632" s="3" t="s">
        <v>8699</v>
      </c>
    </row>
    <row r="2633" spans="1:9" x14ac:dyDescent="0.35">
      <c r="A2633" s="3" t="s">
        <v>11344</v>
      </c>
      <c r="B2633" s="3" t="s">
        <v>5626</v>
      </c>
      <c r="C2633" s="3" t="s">
        <v>5627</v>
      </c>
      <c r="D2633">
        <v>212</v>
      </c>
      <c r="E2633" s="6">
        <v>45763</v>
      </c>
      <c r="F2633">
        <v>0</v>
      </c>
      <c r="G2633">
        <v>34.158999999999999</v>
      </c>
      <c r="H2633">
        <v>4.1000000000000002E-2</v>
      </c>
      <c r="I2633" s="3" t="s">
        <v>8701</v>
      </c>
    </row>
    <row r="2634" spans="1:9" x14ac:dyDescent="0.35">
      <c r="A2634" s="3" t="s">
        <v>11345</v>
      </c>
      <c r="B2634" s="3" t="s">
        <v>5628</v>
      </c>
      <c r="C2634" s="3" t="s">
        <v>5629</v>
      </c>
      <c r="D2634">
        <v>205</v>
      </c>
      <c r="E2634" s="6">
        <v>45770</v>
      </c>
      <c r="F2634">
        <v>0</v>
      </c>
      <c r="G2634">
        <v>5.0000000000000001E-3</v>
      </c>
      <c r="H2634">
        <v>9.5000000000000001E-2</v>
      </c>
      <c r="I2634" s="3" t="s">
        <v>8712</v>
      </c>
    </row>
    <row r="2635" spans="1:9" x14ac:dyDescent="0.35">
      <c r="A2635" s="3" t="s">
        <v>11346</v>
      </c>
      <c r="B2635" s="3" t="s">
        <v>5632</v>
      </c>
      <c r="C2635" s="3" t="s">
        <v>5633</v>
      </c>
      <c r="D2635">
        <v>9052</v>
      </c>
      <c r="E2635" s="6">
        <v>36923</v>
      </c>
      <c r="F2635">
        <v>0</v>
      </c>
      <c r="G2635">
        <v>0.315</v>
      </c>
      <c r="H2635">
        <v>5.9850000000000003</v>
      </c>
      <c r="I2635" s="3" t="s">
        <v>8701</v>
      </c>
    </row>
    <row r="2636" spans="1:9" x14ac:dyDescent="0.35">
      <c r="A2636" s="3" t="s">
        <v>11347</v>
      </c>
      <c r="B2636" s="3" t="s">
        <v>5634</v>
      </c>
      <c r="C2636" s="3" t="s">
        <v>5635</v>
      </c>
      <c r="D2636">
        <v>45</v>
      </c>
      <c r="E2636" s="6">
        <v>45930</v>
      </c>
      <c r="F2636">
        <v>50</v>
      </c>
      <c r="G2636">
        <v>2.12</v>
      </c>
      <c r="H2636">
        <v>1.8800000000000001</v>
      </c>
      <c r="I2636" s="3" t="s">
        <v>8701</v>
      </c>
    </row>
    <row r="2637" spans="1:9" x14ac:dyDescent="0.35">
      <c r="A2637" s="3" t="s">
        <v>11348</v>
      </c>
      <c r="B2637" s="3" t="s">
        <v>5636</v>
      </c>
      <c r="C2637" s="3" t="s">
        <v>5637</v>
      </c>
      <c r="D2637">
        <v>146</v>
      </c>
      <c r="E2637" s="6">
        <v>45829</v>
      </c>
      <c r="F2637">
        <v>0</v>
      </c>
      <c r="G2637">
        <v>1.1000000000000001</v>
      </c>
      <c r="H2637">
        <v>1.1000000000000001</v>
      </c>
      <c r="I2637" s="3" t="s">
        <v>8756</v>
      </c>
    </row>
    <row r="2638" spans="1:9" x14ac:dyDescent="0.35">
      <c r="A2638" s="3" t="s">
        <v>11349</v>
      </c>
      <c r="B2638" s="3" t="s">
        <v>5639</v>
      </c>
      <c r="C2638" s="3" t="s">
        <v>5640</v>
      </c>
      <c r="D2638">
        <v>955</v>
      </c>
      <c r="E2638" s="6">
        <v>45020</v>
      </c>
      <c r="F2638">
        <v>0</v>
      </c>
      <c r="G2638">
        <v>0</v>
      </c>
      <c r="H2638">
        <v>0</v>
      </c>
      <c r="I2638" s="3" t="s">
        <v>28</v>
      </c>
    </row>
    <row r="2639" spans="1:9" x14ac:dyDescent="0.35">
      <c r="A2639" s="3" t="s">
        <v>11350</v>
      </c>
      <c r="B2639" s="3" t="s">
        <v>5641</v>
      </c>
      <c r="C2639" s="3" t="s">
        <v>5642</v>
      </c>
      <c r="D2639">
        <v>24</v>
      </c>
      <c r="E2639" s="6">
        <v>45951</v>
      </c>
      <c r="F2639">
        <v>0</v>
      </c>
      <c r="G2639">
        <v>110.74000000000001</v>
      </c>
      <c r="H2639">
        <v>2.2600000000000002</v>
      </c>
      <c r="I2639" s="3" t="s">
        <v>8701</v>
      </c>
    </row>
    <row r="2640" spans="1:9" x14ac:dyDescent="0.35">
      <c r="A2640" s="3" t="s">
        <v>11351</v>
      </c>
      <c r="B2640" s="3" t="s">
        <v>5643</v>
      </c>
      <c r="C2640" s="3" t="s">
        <v>5644</v>
      </c>
      <c r="D2640">
        <v>32</v>
      </c>
      <c r="E2640" s="6">
        <v>45943</v>
      </c>
      <c r="F2640">
        <v>10</v>
      </c>
      <c r="G2640">
        <v>12.573</v>
      </c>
      <c r="H2640">
        <v>0.127</v>
      </c>
      <c r="I2640" s="3" t="s">
        <v>8701</v>
      </c>
    </row>
    <row r="2641" spans="1:9" x14ac:dyDescent="0.35">
      <c r="A2641" s="3" t="s">
        <v>11352</v>
      </c>
      <c r="B2641" s="3" t="s">
        <v>5645</v>
      </c>
      <c r="C2641" s="3" t="s">
        <v>5646</v>
      </c>
      <c r="D2641">
        <v>125</v>
      </c>
      <c r="E2641" s="6">
        <v>45850</v>
      </c>
      <c r="F2641">
        <v>0</v>
      </c>
      <c r="G2641">
        <v>1.343</v>
      </c>
      <c r="H2641">
        <v>0.44700000000000001</v>
      </c>
      <c r="I2641" s="3" t="s">
        <v>8729</v>
      </c>
    </row>
    <row r="2642" spans="1:9" x14ac:dyDescent="0.35">
      <c r="A2642" s="3" t="s">
        <v>11353</v>
      </c>
      <c r="B2642" s="3" t="s">
        <v>5647</v>
      </c>
      <c r="C2642" s="3" t="s">
        <v>5648</v>
      </c>
      <c r="D2642">
        <v>88</v>
      </c>
      <c r="E2642" s="6">
        <v>45887</v>
      </c>
      <c r="F2642">
        <v>10</v>
      </c>
      <c r="G2642">
        <v>1.3920000000000001</v>
      </c>
      <c r="H2642">
        <v>1.508</v>
      </c>
      <c r="I2642" s="3" t="s">
        <v>8756</v>
      </c>
    </row>
    <row r="2643" spans="1:9" x14ac:dyDescent="0.35">
      <c r="A2643" s="3" t="s">
        <v>11354</v>
      </c>
      <c r="B2643" s="3" t="s">
        <v>5649</v>
      </c>
      <c r="C2643" s="3" t="s">
        <v>5650</v>
      </c>
      <c r="D2643">
        <v>542</v>
      </c>
      <c r="E2643" s="6">
        <v>45433</v>
      </c>
      <c r="F2643">
        <v>0</v>
      </c>
      <c r="G2643">
        <v>5.76</v>
      </c>
      <c r="H2643">
        <v>0.24</v>
      </c>
      <c r="I2643" s="3" t="s">
        <v>8756</v>
      </c>
    </row>
    <row r="2644" spans="1:9" x14ac:dyDescent="0.35">
      <c r="A2644" s="3" t="s">
        <v>11111</v>
      </c>
      <c r="B2644" s="3" t="s">
        <v>5139</v>
      </c>
      <c r="C2644" s="3" t="s">
        <v>5140</v>
      </c>
      <c r="D2644">
        <v>10830</v>
      </c>
      <c r="E2644" s="6">
        <v>35145</v>
      </c>
      <c r="F2644">
        <v>0</v>
      </c>
      <c r="G2644">
        <v>0</v>
      </c>
      <c r="H2644">
        <v>0</v>
      </c>
      <c r="I2644" s="3" t="s">
        <v>8699</v>
      </c>
    </row>
    <row r="2645" spans="1:9" x14ac:dyDescent="0.35">
      <c r="A2645" s="3" t="s">
        <v>11356</v>
      </c>
      <c r="B2645" s="3" t="s">
        <v>5653</v>
      </c>
      <c r="C2645" s="3" t="s">
        <v>5654</v>
      </c>
      <c r="D2645">
        <v>31</v>
      </c>
      <c r="E2645" s="6">
        <v>45944</v>
      </c>
      <c r="F2645">
        <v>100</v>
      </c>
      <c r="G2645">
        <v>16.740000000000002</v>
      </c>
      <c r="H2645">
        <v>1.26</v>
      </c>
      <c r="I2645" s="3" t="s">
        <v>8701</v>
      </c>
    </row>
    <row r="2646" spans="1:9" x14ac:dyDescent="0.35">
      <c r="A2646" s="3" t="s">
        <v>9267</v>
      </c>
      <c r="B2646" s="3" t="s">
        <v>1229</v>
      </c>
      <c r="C2646" s="3" t="s">
        <v>1230</v>
      </c>
      <c r="D2646">
        <v>10870</v>
      </c>
      <c r="E2646" s="6">
        <v>35105</v>
      </c>
      <c r="F2646">
        <v>0</v>
      </c>
      <c r="G2646">
        <v>0</v>
      </c>
      <c r="H2646">
        <v>0</v>
      </c>
      <c r="I2646" s="3" t="s">
        <v>8699</v>
      </c>
    </row>
    <row r="2647" spans="1:9" x14ac:dyDescent="0.35">
      <c r="A2647" s="3" t="s">
        <v>11358</v>
      </c>
      <c r="B2647" s="3" t="s">
        <v>5657</v>
      </c>
      <c r="C2647" s="3" t="s">
        <v>5658</v>
      </c>
      <c r="D2647">
        <v>25</v>
      </c>
      <c r="E2647" s="6">
        <v>45950</v>
      </c>
      <c r="F2647">
        <v>0</v>
      </c>
      <c r="G2647">
        <v>21.965</v>
      </c>
      <c r="H2647">
        <v>1.0350000000000001</v>
      </c>
      <c r="I2647" s="3" t="s">
        <v>8701</v>
      </c>
    </row>
    <row r="2648" spans="1:9" x14ac:dyDescent="0.35">
      <c r="A2648" s="3" t="s">
        <v>11359</v>
      </c>
      <c r="B2648" s="3" t="s">
        <v>5660</v>
      </c>
      <c r="C2648" s="3" t="s">
        <v>5661</v>
      </c>
      <c r="D2648">
        <v>955</v>
      </c>
      <c r="E2648" s="6">
        <v>45020</v>
      </c>
      <c r="F2648">
        <v>0</v>
      </c>
      <c r="G2648">
        <v>0</v>
      </c>
      <c r="H2648">
        <v>0</v>
      </c>
      <c r="I2648" s="3" t="s">
        <v>28</v>
      </c>
    </row>
    <row r="2649" spans="1:9" x14ac:dyDescent="0.35">
      <c r="A2649" s="3" t="s">
        <v>11360</v>
      </c>
      <c r="B2649" s="3" t="s">
        <v>5662</v>
      </c>
      <c r="C2649" s="3" t="s">
        <v>5663</v>
      </c>
      <c r="D2649">
        <v>90</v>
      </c>
      <c r="E2649" s="6">
        <v>45885</v>
      </c>
      <c r="F2649">
        <v>90</v>
      </c>
      <c r="G2649">
        <v>3.8420000000000001</v>
      </c>
      <c r="H2649">
        <v>2.0680000000000001</v>
      </c>
      <c r="I2649" s="3" t="s">
        <v>8756</v>
      </c>
    </row>
    <row r="2650" spans="1:9" x14ac:dyDescent="0.35">
      <c r="A2650" s="3" t="s">
        <v>11246</v>
      </c>
      <c r="B2650" s="3" t="s">
        <v>5425</v>
      </c>
      <c r="C2650" s="3" t="s">
        <v>5426</v>
      </c>
      <c r="D2650">
        <v>10874</v>
      </c>
      <c r="E2650" s="6">
        <v>35101</v>
      </c>
      <c r="F2650">
        <v>0</v>
      </c>
      <c r="G2650">
        <v>0</v>
      </c>
      <c r="H2650">
        <v>0</v>
      </c>
      <c r="I2650" s="3" t="s">
        <v>8699</v>
      </c>
    </row>
    <row r="2651" spans="1:9" x14ac:dyDescent="0.35">
      <c r="A2651" s="3" t="s">
        <v>10724</v>
      </c>
      <c r="B2651" s="3" t="s">
        <v>4320</v>
      </c>
      <c r="C2651" s="3" t="s">
        <v>4321</v>
      </c>
      <c r="D2651">
        <v>10886</v>
      </c>
      <c r="E2651" s="6">
        <v>35089</v>
      </c>
      <c r="F2651">
        <v>0</v>
      </c>
      <c r="G2651">
        <v>0</v>
      </c>
      <c r="H2651">
        <v>0</v>
      </c>
      <c r="I2651" s="3" t="s">
        <v>8699</v>
      </c>
    </row>
    <row r="2652" spans="1:9" x14ac:dyDescent="0.35">
      <c r="A2652" s="3" t="s">
        <v>11363</v>
      </c>
      <c r="B2652" s="3" t="s">
        <v>5668</v>
      </c>
      <c r="C2652" s="3" t="s">
        <v>5669</v>
      </c>
      <c r="D2652">
        <v>655</v>
      </c>
      <c r="E2652" s="6">
        <v>45320</v>
      </c>
      <c r="F2652">
        <v>100</v>
      </c>
      <c r="G2652">
        <v>7.68</v>
      </c>
      <c r="H2652">
        <v>0.32</v>
      </c>
      <c r="I2652" s="3" t="s">
        <v>8738</v>
      </c>
    </row>
    <row r="2653" spans="1:9" x14ac:dyDescent="0.35">
      <c r="A2653" s="3" t="s">
        <v>11364</v>
      </c>
      <c r="B2653" s="3" t="s">
        <v>5670</v>
      </c>
      <c r="C2653" s="3" t="s">
        <v>5671</v>
      </c>
      <c r="D2653">
        <v>39</v>
      </c>
      <c r="E2653" s="6">
        <v>45936</v>
      </c>
      <c r="F2653">
        <v>10</v>
      </c>
      <c r="G2653">
        <v>1.1480000000000001</v>
      </c>
      <c r="H2653">
        <v>1.722</v>
      </c>
      <c r="I2653" s="3" t="s">
        <v>8756</v>
      </c>
    </row>
    <row r="2654" spans="1:9" x14ac:dyDescent="0.35">
      <c r="A2654" s="3" t="s">
        <v>11365</v>
      </c>
      <c r="B2654" s="3" t="s">
        <v>5672</v>
      </c>
      <c r="C2654" s="3" t="s">
        <v>5673</v>
      </c>
      <c r="D2654">
        <v>381</v>
      </c>
      <c r="E2654" s="6">
        <v>45594</v>
      </c>
      <c r="F2654">
        <v>0</v>
      </c>
      <c r="G2654">
        <v>6.0000000000000001E-3</v>
      </c>
      <c r="H2654">
        <v>0.10500000000000001</v>
      </c>
      <c r="I2654" s="3" t="s">
        <v>8712</v>
      </c>
    </row>
    <row r="2655" spans="1:9" x14ac:dyDescent="0.35">
      <c r="A2655" s="3" t="s">
        <v>10754</v>
      </c>
      <c r="B2655" s="3" t="s">
        <v>4382</v>
      </c>
      <c r="C2655" s="3" t="s">
        <v>4383</v>
      </c>
      <c r="D2655">
        <v>10886</v>
      </c>
      <c r="E2655" s="6">
        <v>35089</v>
      </c>
      <c r="F2655">
        <v>0</v>
      </c>
      <c r="G2655">
        <v>0</v>
      </c>
      <c r="H2655">
        <v>0</v>
      </c>
      <c r="I2655" s="3" t="s">
        <v>8699</v>
      </c>
    </row>
    <row r="2656" spans="1:9" x14ac:dyDescent="0.35">
      <c r="A2656" s="3" t="s">
        <v>11367</v>
      </c>
      <c r="B2656" s="3" t="s">
        <v>5676</v>
      </c>
      <c r="C2656" s="3" t="s">
        <v>5677</v>
      </c>
      <c r="D2656">
        <v>955</v>
      </c>
      <c r="E2656" s="6">
        <v>45020</v>
      </c>
      <c r="F2656">
        <v>0</v>
      </c>
      <c r="G2656">
        <v>0</v>
      </c>
      <c r="H2656">
        <v>0</v>
      </c>
      <c r="I2656" s="3" t="s">
        <v>28</v>
      </c>
    </row>
    <row r="2657" spans="1:9" x14ac:dyDescent="0.35">
      <c r="A2657" s="3" t="s">
        <v>11368</v>
      </c>
      <c r="B2657" s="3" t="s">
        <v>5678</v>
      </c>
      <c r="C2657" s="3" t="s">
        <v>5679</v>
      </c>
      <c r="D2657">
        <v>1</v>
      </c>
      <c r="E2657" s="6">
        <v>45974</v>
      </c>
      <c r="F2657">
        <v>0</v>
      </c>
      <c r="G2657">
        <v>2.3250000000000002</v>
      </c>
      <c r="H2657">
        <v>0.77500000000000002</v>
      </c>
      <c r="I2657" s="3" t="s">
        <v>8701</v>
      </c>
    </row>
    <row r="2658" spans="1:9" x14ac:dyDescent="0.35">
      <c r="A2658" s="3" t="s">
        <v>11369</v>
      </c>
      <c r="B2658" s="3" t="s">
        <v>5680</v>
      </c>
      <c r="C2658" s="3" t="s">
        <v>5681</v>
      </c>
      <c r="D2658">
        <v>60</v>
      </c>
      <c r="E2658" s="6">
        <v>45915</v>
      </c>
      <c r="F2658">
        <v>0</v>
      </c>
      <c r="G2658">
        <v>18</v>
      </c>
      <c r="H2658">
        <v>2</v>
      </c>
      <c r="I2658" s="3" t="s">
        <v>8701</v>
      </c>
    </row>
    <row r="2659" spans="1:9" x14ac:dyDescent="0.35">
      <c r="A2659" s="3" t="s">
        <v>9686</v>
      </c>
      <c r="B2659" s="3" t="s">
        <v>2114</v>
      </c>
      <c r="C2659" s="3" t="s">
        <v>2115</v>
      </c>
      <c r="D2659">
        <v>10897</v>
      </c>
      <c r="E2659" s="6">
        <v>35078</v>
      </c>
      <c r="F2659">
        <v>0</v>
      </c>
      <c r="G2659">
        <v>0</v>
      </c>
      <c r="H2659">
        <v>0</v>
      </c>
      <c r="I2659" s="3" t="s">
        <v>8699</v>
      </c>
    </row>
    <row r="2660" spans="1:9" x14ac:dyDescent="0.35">
      <c r="A2660" s="3" t="s">
        <v>10725</v>
      </c>
      <c r="B2660" s="3" t="s">
        <v>4322</v>
      </c>
      <c r="C2660" s="3" t="s">
        <v>4323</v>
      </c>
      <c r="D2660">
        <v>10937</v>
      </c>
      <c r="E2660" s="6">
        <v>35038</v>
      </c>
      <c r="F2660">
        <v>0</v>
      </c>
      <c r="G2660">
        <v>0</v>
      </c>
      <c r="H2660">
        <v>0</v>
      </c>
      <c r="I2660" s="3" t="s">
        <v>8699</v>
      </c>
    </row>
    <row r="2661" spans="1:9" x14ac:dyDescent="0.35">
      <c r="A2661" s="3" t="s">
        <v>11372</v>
      </c>
      <c r="B2661" s="3" t="s">
        <v>5686</v>
      </c>
      <c r="C2661" s="3" t="s">
        <v>5687</v>
      </c>
      <c r="D2661">
        <v>366</v>
      </c>
      <c r="E2661" s="6">
        <v>45609</v>
      </c>
      <c r="F2661">
        <v>0</v>
      </c>
      <c r="G2661">
        <v>7.0000000000000001E-3</v>
      </c>
      <c r="H2661">
        <v>0.10300000000000001</v>
      </c>
      <c r="I2661" s="3" t="s">
        <v>8712</v>
      </c>
    </row>
    <row r="2662" spans="1:9" x14ac:dyDescent="0.35">
      <c r="A2662" s="3" t="s">
        <v>11373</v>
      </c>
      <c r="B2662" s="3" t="s">
        <v>5688</v>
      </c>
      <c r="C2662" s="3" t="s">
        <v>5689</v>
      </c>
      <c r="D2662">
        <v>90</v>
      </c>
      <c r="E2662" s="6">
        <v>45885</v>
      </c>
      <c r="F2662">
        <v>90</v>
      </c>
      <c r="G2662">
        <v>18.09</v>
      </c>
      <c r="H2662">
        <v>2.0100000000000002</v>
      </c>
      <c r="I2662" s="3" t="s">
        <v>8756</v>
      </c>
    </row>
    <row r="2663" spans="1:9" x14ac:dyDescent="0.35">
      <c r="A2663" s="3" t="s">
        <v>11374</v>
      </c>
      <c r="B2663" s="3" t="s">
        <v>5690</v>
      </c>
      <c r="C2663" s="3" t="s">
        <v>5691</v>
      </c>
      <c r="D2663">
        <v>385</v>
      </c>
      <c r="E2663" s="6">
        <v>45590</v>
      </c>
      <c r="F2663">
        <v>0</v>
      </c>
      <c r="G2663">
        <v>6.0000000000000001E-3</v>
      </c>
      <c r="H2663">
        <v>0.10400000000000001</v>
      </c>
      <c r="I2663" s="3" t="s">
        <v>8712</v>
      </c>
    </row>
    <row r="2664" spans="1:9" x14ac:dyDescent="0.35">
      <c r="A2664" s="3" t="s">
        <v>11043</v>
      </c>
      <c r="B2664" s="3" t="s">
        <v>4998</v>
      </c>
      <c r="C2664" s="3" t="s">
        <v>4999</v>
      </c>
      <c r="D2664">
        <v>11053</v>
      </c>
      <c r="E2664" s="6">
        <v>34922</v>
      </c>
      <c r="F2664">
        <v>0</v>
      </c>
      <c r="G2664">
        <v>0</v>
      </c>
      <c r="H2664">
        <v>0</v>
      </c>
      <c r="I2664" s="3" t="s">
        <v>8699</v>
      </c>
    </row>
    <row r="2665" spans="1:9" x14ac:dyDescent="0.35">
      <c r="A2665" s="3" t="s">
        <v>11376</v>
      </c>
      <c r="B2665" s="3" t="s">
        <v>5694</v>
      </c>
      <c r="C2665" s="3" t="s">
        <v>5695</v>
      </c>
      <c r="D2665">
        <v>58</v>
      </c>
      <c r="E2665" s="6">
        <v>45917</v>
      </c>
      <c r="F2665">
        <v>0</v>
      </c>
      <c r="G2665">
        <v>40.950000000000003</v>
      </c>
      <c r="H2665">
        <v>4.05</v>
      </c>
      <c r="I2665" s="3" t="s">
        <v>8756</v>
      </c>
    </row>
    <row r="2666" spans="1:9" x14ac:dyDescent="0.35">
      <c r="A2666" s="3" t="s">
        <v>11377</v>
      </c>
      <c r="B2666" s="3" t="s">
        <v>5696</v>
      </c>
      <c r="C2666" s="3" t="s">
        <v>5697</v>
      </c>
      <c r="D2666">
        <v>77</v>
      </c>
      <c r="E2666" s="6">
        <v>45898</v>
      </c>
      <c r="F2666">
        <v>0</v>
      </c>
      <c r="G2666">
        <v>2.88</v>
      </c>
      <c r="H2666">
        <v>0.32</v>
      </c>
      <c r="I2666" s="3" t="s">
        <v>8701</v>
      </c>
    </row>
    <row r="2667" spans="1:9" x14ac:dyDescent="0.35">
      <c r="A2667" s="3" t="s">
        <v>9756</v>
      </c>
      <c r="B2667" s="3" t="s">
        <v>2260</v>
      </c>
      <c r="C2667" s="3" t="s">
        <v>2261</v>
      </c>
      <c r="D2667">
        <v>11172</v>
      </c>
      <c r="E2667" s="6">
        <v>34803</v>
      </c>
      <c r="F2667">
        <v>0</v>
      </c>
      <c r="G2667">
        <v>0</v>
      </c>
      <c r="H2667">
        <v>0</v>
      </c>
      <c r="I2667" s="3" t="s">
        <v>8699</v>
      </c>
    </row>
    <row r="2668" spans="1:9" x14ac:dyDescent="0.35">
      <c r="A2668" s="3" t="s">
        <v>11379</v>
      </c>
      <c r="B2668" s="3" t="s">
        <v>5700</v>
      </c>
      <c r="C2668" s="3" t="s">
        <v>5701</v>
      </c>
      <c r="D2668">
        <v>22</v>
      </c>
      <c r="E2668" s="6">
        <v>45953</v>
      </c>
      <c r="F2668">
        <v>500</v>
      </c>
      <c r="G2668">
        <v>4.1399999999999997</v>
      </c>
      <c r="H2668">
        <v>0.36</v>
      </c>
      <c r="I2668" s="3" t="s">
        <v>8705</v>
      </c>
    </row>
  </sheetData>
  <phoneticPr fontId="1" type="noConversion"/>
  <pageMargins left="0.7" right="0.7" top="0.75" bottom="0.75" header="0.3" footer="0.3"/>
  <headerFooter>
    <oddHeader>&amp;R&amp;"Calibri"&amp;10&amp;K000000 Documento: YPF-Público&amp;1#_x000D_</oddHeader>
    <oddFooter>&amp;R_x000D_&amp;1#&amp;"Calibri"&amp;10&amp;K000000 Documento: YPF-Público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794948-D250-499B-9758-61FFB76260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Leer Comentarios</vt:lpstr>
      <vt:lpstr>Tabla General</vt:lpstr>
      <vt:lpstr>E #1</vt:lpstr>
      <vt:lpstr>E #2</vt:lpstr>
      <vt:lpstr>E #3</vt:lpstr>
      <vt:lpstr>Lista</vt:lpstr>
      <vt:lpstr>Lista YPF</vt:lpstr>
      <vt:lpstr>Lista Oportunidades</vt:lpstr>
      <vt:lpstr>Controles</vt:lpstr>
    </vt:vector>
  </TitlesOfParts>
  <Company>YPF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JUAN CARLOS VALENTIN</dc:creator>
  <cp:lastModifiedBy>ALONSO, JUAN CARLOS VALENTIN</cp:lastModifiedBy>
  <dcterms:created xsi:type="dcterms:W3CDTF">2025-11-14T12:49:44Z</dcterms:created>
  <dcterms:modified xsi:type="dcterms:W3CDTF">2025-11-14T13:40:10Z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622c24-5861-4880-bcaa-37216e265fb3_Enabled">
    <vt:lpwstr>true</vt:lpwstr>
  </property>
  <property fmtid="{D5CDD505-2E9C-101B-9397-08002B2CF9AE}" pid="3" name="MSIP_Label_fb622c24-5861-4880-bcaa-37216e265fb3_SetDate">
    <vt:lpwstr>2025-11-14T13:40:09Z</vt:lpwstr>
  </property>
  <property fmtid="{D5CDD505-2E9C-101B-9397-08002B2CF9AE}" pid="4" name="MSIP_Label_fb622c24-5861-4880-bcaa-37216e265fb3_Method">
    <vt:lpwstr>Privileged</vt:lpwstr>
  </property>
  <property fmtid="{D5CDD505-2E9C-101B-9397-08002B2CF9AE}" pid="5" name="MSIP_Label_fb622c24-5861-4880-bcaa-37216e265fb3_Name">
    <vt:lpwstr>YPF - Publica</vt:lpwstr>
  </property>
  <property fmtid="{D5CDD505-2E9C-101B-9397-08002B2CF9AE}" pid="6" name="MSIP_Label_fb622c24-5861-4880-bcaa-37216e265fb3_SiteId">
    <vt:lpwstr>038018c3-616c-4b46-ad9b-aa9007f701b5</vt:lpwstr>
  </property>
  <property fmtid="{D5CDD505-2E9C-101B-9397-08002B2CF9AE}" pid="7" name="MSIP_Label_fb622c24-5861-4880-bcaa-37216e265fb3_ActionId">
    <vt:lpwstr>6b40b978-c4a4-4bd4-8783-3d97b446b8c8</vt:lpwstr>
  </property>
  <property fmtid="{D5CDD505-2E9C-101B-9397-08002B2CF9AE}" pid="8" name="MSIP_Label_fb622c24-5861-4880-bcaa-37216e265fb3_ContentBits">
    <vt:lpwstr>3</vt:lpwstr>
  </property>
  <property fmtid="{D5CDD505-2E9C-101B-9397-08002B2CF9AE}" pid="9" name="MSIP_Label_fb622c24-5861-4880-bcaa-37216e265fb3_Tag">
    <vt:lpwstr>10, 0, 1, 1</vt:lpwstr>
  </property>
</Properties>
</file>