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16123\OneDrive - YPF\Escritorio\CASA SOLARES\"/>
    </mc:Choice>
  </mc:AlternateContent>
  <xr:revisionPtr revIDLastSave="0" documentId="13_ncr:1_{2F8895AC-A0DA-4B8F-85F5-90CB5A92291F}" xr6:coauthVersionLast="47" xr6:coauthVersionMax="47" xr10:uidLastSave="{00000000-0000-0000-0000-000000000000}"/>
  <bookViews>
    <workbookView xWindow="-120" yWindow="-120" windowWidth="20730" windowHeight="11040" xr2:uid="{BCCC38B1-9E36-4A1A-888B-D0511CE332DE}"/>
  </bookViews>
  <sheets>
    <sheet name="Hoja1" sheetId="1" r:id="rId1"/>
    <sheet name="Presupuesto 2 (2)" sheetId="24" r:id="rId2"/>
    <sheet name="Presupuesto 2" sheetId="19" r:id="rId3"/>
    <sheet name="Presupuesto 1" sheetId="18" r:id="rId4"/>
    <sheet name="DEV 18" sheetId="25" r:id="rId5"/>
    <sheet name="DEV 17" sheetId="23" r:id="rId6"/>
    <sheet name="DEV 16" sheetId="22" r:id="rId7"/>
    <sheet name="Hoja2" sheetId="14" r:id="rId8"/>
    <sheet name="DEV 13" sheetId="16" r:id="rId9"/>
    <sheet name="DEV 14" sheetId="17" r:id="rId10"/>
    <sheet name="DEV 15" sheetId="21" r:id="rId11"/>
    <sheet name="Hoja3" sheetId="15" r:id="rId12"/>
    <sheet name="DEVOLUCION 12 " sheetId="13" r:id="rId13"/>
    <sheet name="DEVOLUCION 11" sheetId="12" r:id="rId14"/>
    <sheet name="DEVOLUCION 10" sheetId="11" r:id="rId15"/>
    <sheet name="dev 9" sheetId="10" r:id="rId16"/>
    <sheet name="DEVOLUCION 8 IVA" sheetId="9" r:id="rId17"/>
    <sheet name="DEVOLUCION 7 IVA" sheetId="8" r:id="rId18"/>
    <sheet name="DEVOLUCION 6 IVA" sheetId="7" r:id="rId19"/>
    <sheet name="DEVOLUCION 5 IVA" sheetId="6" r:id="rId20"/>
    <sheet name="DEVOLUCIÓN 4 IVA" sheetId="5" r:id="rId21"/>
    <sheet name="DEVOLUCIÓN 3 IVA" sheetId="4" r:id="rId22"/>
    <sheet name="DEVOLUCION 2" sheetId="3" r:id="rId23"/>
    <sheet name="DEVOLUCION 1 " sheetId="2" r:id="rId24"/>
    <sheet name="Hoja4" sheetId="20" r:id="rId25"/>
  </sheets>
  <definedNames>
    <definedName name="_xlnm._FilterDatabase" localSheetId="8" hidden="1">'DEV 13'!$A$1:$E$1</definedName>
    <definedName name="_xlnm._FilterDatabase" localSheetId="5" hidden="1">'DEV 17'!$A$1:$C$1</definedName>
    <definedName name="_xlnm._FilterDatabase" localSheetId="20" hidden="1">'DEVOLUCIÓN 4 IVA'!$A$1:$C$1</definedName>
    <definedName name="_xlnm._FilterDatabase" localSheetId="19" hidden="1">'DEVOLUCION 5 IVA'!$A$1:$C$1</definedName>
    <definedName name="_xlnm._FilterDatabase" localSheetId="18" hidden="1">'DEVOLUCION 6 IVA'!$A$1:$C$1</definedName>
    <definedName name="_xlnm._FilterDatabase" localSheetId="0" hidden="1">Hoja1!$A$1:$H$596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2" i="1" l="1"/>
  <c r="D601" i="1"/>
  <c r="D600" i="1"/>
  <c r="J59" i="24"/>
  <c r="D599" i="1"/>
  <c r="D598" i="1"/>
  <c r="I59" i="24"/>
  <c r="H59" i="24"/>
  <c r="D597" i="1"/>
  <c r="H57" i="24"/>
  <c r="D596" i="1"/>
  <c r="D595" i="1"/>
  <c r="D594" i="1"/>
  <c r="D593" i="1"/>
  <c r="G57" i="24"/>
  <c r="F57" i="24"/>
  <c r="D592" i="1"/>
  <c r="D591" i="1"/>
  <c r="D590" i="1"/>
  <c r="D589" i="1"/>
  <c r="D588" i="1"/>
  <c r="D587" i="1"/>
  <c r="D586" i="1"/>
  <c r="D585" i="1"/>
  <c r="D584" i="1"/>
  <c r="D582" i="1"/>
  <c r="D583" i="1"/>
  <c r="D581" i="1"/>
  <c r="D580" i="1"/>
  <c r="C25" i="25"/>
  <c r="C24" i="25"/>
  <c r="C22" i="25"/>
  <c r="D579" i="1"/>
  <c r="D578" i="1"/>
  <c r="D577" i="1"/>
  <c r="D576" i="1" l="1"/>
  <c r="C51" i="24"/>
  <c r="D51" i="24" s="1"/>
  <c r="E51" i="24" s="1"/>
  <c r="E55" i="24" s="1"/>
  <c r="F55" i="24" s="1"/>
  <c r="D573" i="1"/>
  <c r="D574" i="1"/>
  <c r="D575" i="1"/>
  <c r="D569" i="1"/>
  <c r="D570" i="1"/>
  <c r="D571" i="1"/>
  <c r="D572" i="1"/>
  <c r="D568" i="1"/>
  <c r="B38" i="24"/>
  <c r="C38" i="24" s="1"/>
  <c r="D38" i="24" s="1"/>
  <c r="E38" i="24" s="1"/>
  <c r="F38" i="24" s="1"/>
  <c r="G38" i="24" s="1"/>
  <c r="D567" i="1"/>
  <c r="D566" i="1"/>
  <c r="D565" i="1"/>
  <c r="D560" i="1"/>
  <c r="D561" i="1"/>
  <c r="D562" i="1"/>
  <c r="D563" i="1"/>
  <c r="D564" i="1"/>
  <c r="D547" i="1"/>
  <c r="D559" i="1"/>
  <c r="D558" i="1"/>
  <c r="D557" i="1"/>
  <c r="D556" i="1"/>
  <c r="D555" i="1"/>
  <c r="D552" i="1"/>
  <c r="D553" i="1"/>
  <c r="D554" i="1"/>
  <c r="D550" i="1"/>
  <c r="D551" i="1"/>
  <c r="D548" i="1"/>
  <c r="D549" i="1"/>
  <c r="C25" i="24"/>
  <c r="B25" i="24"/>
  <c r="K15" i="24"/>
  <c r="K16" i="24"/>
  <c r="K17" i="24"/>
  <c r="K18" i="24"/>
  <c r="K19" i="24"/>
  <c r="AE23" i="19"/>
  <c r="D546" i="1"/>
  <c r="B23" i="19"/>
  <c r="D23" i="19" s="1"/>
  <c r="D545" i="1"/>
  <c r="D544" i="1"/>
  <c r="D543" i="1"/>
  <c r="D541" i="1"/>
  <c r="D542" i="1"/>
  <c r="D540" i="1"/>
  <c r="D539" i="1"/>
  <c r="D538" i="1"/>
  <c r="E49" i="19"/>
  <c r="D537" i="1"/>
  <c r="D536" i="1"/>
  <c r="Y23" i="19"/>
  <c r="W27" i="19"/>
  <c r="U27" i="19"/>
  <c r="D535" i="1"/>
  <c r="D534" i="1"/>
  <c r="D533" i="1"/>
  <c r="D532" i="1"/>
  <c r="D531" i="1"/>
  <c r="D530" i="1"/>
  <c r="D529" i="1"/>
  <c r="D528" i="1"/>
  <c r="D527" i="1"/>
  <c r="D526" i="1"/>
  <c r="D524" i="1"/>
  <c r="D525" i="1"/>
  <c r="D523" i="1"/>
  <c r="D522" i="1"/>
  <c r="C25" i="23"/>
  <c r="D521" i="1"/>
  <c r="D520" i="1"/>
  <c r="D519" i="1"/>
  <c r="D518" i="1"/>
  <c r="D517" i="1"/>
  <c r="D515" i="1"/>
  <c r="D516" i="1"/>
  <c r="D514" i="1"/>
  <c r="D513" i="1"/>
  <c r="D512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89" i="1"/>
  <c r="D490" i="1"/>
  <c r="D491" i="1"/>
  <c r="C19" i="19"/>
  <c r="C4" i="19"/>
  <c r="C5" i="19"/>
  <c r="C6" i="19"/>
  <c r="C7" i="19"/>
  <c r="C8" i="19"/>
  <c r="C9" i="19"/>
  <c r="C10" i="19"/>
  <c r="C3" i="19"/>
  <c r="C23" i="19" s="1"/>
  <c r="P23" i="19" s="1"/>
  <c r="Q23" i="19" s="1"/>
  <c r="R23" i="19" s="1"/>
  <c r="S23" i="19" s="1"/>
  <c r="T23" i="19" s="1"/>
  <c r="U23" i="19" s="1"/>
  <c r="V23" i="19" s="1"/>
  <c r="W23" i="19" s="1"/>
  <c r="X23" i="19" s="1"/>
  <c r="D488" i="1"/>
  <c r="D486" i="1"/>
  <c r="D487" i="1"/>
  <c r="D485" i="1"/>
  <c r="D484" i="1"/>
  <c r="D483" i="1"/>
  <c r="D482" i="1"/>
  <c r="D481" i="1"/>
  <c r="D480" i="1"/>
  <c r="D479" i="1"/>
  <c r="D478" i="1"/>
  <c r="D477" i="1"/>
  <c r="C13" i="22"/>
  <c r="D476" i="1"/>
  <c r="D475" i="1"/>
  <c r="D474" i="1"/>
  <c r="D473" i="1"/>
  <c r="D472" i="1"/>
  <c r="D471" i="1"/>
  <c r="D470" i="1"/>
  <c r="D469" i="1"/>
  <c r="D468" i="1"/>
  <c r="D467" i="1"/>
  <c r="Q5" i="18"/>
  <c r="Q4" i="18"/>
  <c r="F13" i="18"/>
  <c r="S9" i="18"/>
  <c r="D466" i="1"/>
  <c r="D465" i="1"/>
  <c r="D464" i="1"/>
  <c r="D463" i="1"/>
  <c r="D462" i="1"/>
  <c r="E18" i="16"/>
  <c r="C26" i="16"/>
  <c r="D460" i="1"/>
  <c r="D459" i="1"/>
  <c r="D458" i="1"/>
  <c r="D457" i="1"/>
  <c r="D456" i="1"/>
  <c r="D455" i="1"/>
  <c r="D454" i="1"/>
  <c r="E16" i="20"/>
  <c r="E11" i="20"/>
  <c r="E12" i="20"/>
  <c r="E13" i="20"/>
  <c r="E14" i="20"/>
  <c r="E15" i="20"/>
  <c r="E10" i="20"/>
  <c r="E3" i="20"/>
  <c r="E4" i="20"/>
  <c r="E5" i="20"/>
  <c r="E6" i="20"/>
  <c r="E7" i="20"/>
  <c r="E2" i="20"/>
  <c r="D453" i="1"/>
  <c r="C64" i="16"/>
  <c r="F47" i="16"/>
  <c r="Q7" i="18"/>
  <c r="Q3" i="18"/>
  <c r="D452" i="1"/>
  <c r="D451" i="1"/>
  <c r="D450" i="1"/>
  <c r="D449" i="1"/>
  <c r="Q6" i="18"/>
  <c r="B5" i="18"/>
  <c r="B8" i="18" s="1"/>
  <c r="D448" i="1"/>
  <c r="D447" i="1"/>
  <c r="D443" i="1"/>
  <c r="D444" i="1"/>
  <c r="D445" i="1"/>
  <c r="D446" i="1"/>
  <c r="D442" i="1"/>
  <c r="D441" i="1"/>
  <c r="D440" i="1"/>
  <c r="D439" i="1"/>
  <c r="D436" i="1"/>
  <c r="D437" i="1"/>
  <c r="D438" i="1"/>
  <c r="D435" i="1"/>
  <c r="D434" i="1"/>
  <c r="D433" i="1"/>
  <c r="D432" i="1"/>
  <c r="D431" i="1"/>
  <c r="D430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05" i="1"/>
  <c r="D9" i="18"/>
  <c r="C8" i="18"/>
  <c r="C9" i="17"/>
  <c r="C40" i="16"/>
  <c r="C42" i="16" s="1"/>
  <c r="E10" i="15"/>
  <c r="E3" i="15"/>
  <c r="E4" i="15"/>
  <c r="E5" i="15"/>
  <c r="E6" i="15"/>
  <c r="E7" i="15"/>
  <c r="E8" i="15"/>
  <c r="E2" i="15"/>
  <c r="D404" i="1"/>
  <c r="D403" i="1"/>
  <c r="D402" i="1"/>
  <c r="K20" i="24" l="1"/>
  <c r="Z23" i="19"/>
  <c r="AA23" i="19" s="1"/>
  <c r="AB23" i="19" s="1"/>
  <c r="AC23" i="19" s="1"/>
  <c r="E23" i="19"/>
  <c r="F23" i="19" s="1"/>
  <c r="G23" i="19" s="1"/>
  <c r="H23" i="19" s="1"/>
  <c r="Q9" i="18"/>
  <c r="D401" i="1"/>
  <c r="D400" i="1"/>
  <c r="D399" i="1"/>
  <c r="D398" i="1"/>
  <c r="D397" i="1"/>
  <c r="D396" i="1"/>
  <c r="D395" i="1"/>
  <c r="D394" i="1"/>
  <c r="D393" i="1"/>
  <c r="D390" i="1"/>
  <c r="D389" i="1"/>
  <c r="I23" i="19" l="1"/>
  <c r="J23" i="19"/>
  <c r="K23" i="19" s="1"/>
  <c r="L23" i="19" s="1"/>
  <c r="M23" i="19" s="1"/>
  <c r="N23" i="19" s="1" a="1"/>
  <c r="N23" i="19" s="1"/>
  <c r="O23" i="19" s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C6" i="14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C21" i="13"/>
  <c r="D351" i="1"/>
  <c r="D352" i="1"/>
  <c r="D353" i="1"/>
  <c r="D354" i="1"/>
  <c r="D350" i="1"/>
  <c r="D349" i="1"/>
  <c r="D348" i="1"/>
  <c r="D347" i="1"/>
  <c r="D346" i="1"/>
  <c r="D345" i="1"/>
  <c r="D344" i="1"/>
  <c r="D342" i="1"/>
  <c r="D341" i="1"/>
  <c r="D343" i="1"/>
  <c r="D340" i="1"/>
  <c r="D339" i="1"/>
  <c r="D338" i="1"/>
  <c r="D337" i="1"/>
  <c r="D336" i="1"/>
  <c r="D335" i="1"/>
  <c r="D334" i="1"/>
  <c r="D333" i="1"/>
  <c r="D332" i="1"/>
  <c r="D330" i="1"/>
  <c r="D331" i="1"/>
  <c r="D329" i="1"/>
  <c r="D328" i="1"/>
  <c r="C6" i="12"/>
  <c r="D327" i="1"/>
  <c r="D325" i="1"/>
  <c r="D326" i="1"/>
  <c r="D324" i="1"/>
  <c r="D319" i="1"/>
  <c r="D323" i="1"/>
  <c r="D322" i="1"/>
  <c r="D321" i="1"/>
  <c r="D320" i="1"/>
  <c r="D318" i="1"/>
  <c r="D317" i="1"/>
  <c r="D316" i="1"/>
  <c r="D315" i="1"/>
  <c r="D314" i="1"/>
  <c r="C20" i="11"/>
  <c r="D313" i="1"/>
  <c r="D312" i="1"/>
  <c r="D311" i="1"/>
  <c r="D310" i="1"/>
  <c r="D309" i="1"/>
  <c r="D308" i="1"/>
  <c r="D307" i="1"/>
  <c r="D306" i="1"/>
  <c r="D305" i="1"/>
  <c r="D304" i="1"/>
  <c r="D303" i="1"/>
  <c r="D301" i="1"/>
  <c r="D302" i="1"/>
  <c r="D300" i="1"/>
  <c r="D299" i="1" l="1"/>
  <c r="D288" i="1"/>
  <c r="D287" i="1"/>
  <c r="D298" i="1"/>
  <c r="D392" i="1"/>
  <c r="D297" i="1"/>
  <c r="D296" i="1"/>
  <c r="D295" i="1"/>
  <c r="D294" i="1"/>
  <c r="D293" i="1"/>
  <c r="D292" i="1"/>
  <c r="D291" i="1"/>
  <c r="D290" i="1"/>
  <c r="D289" i="1"/>
  <c r="D286" i="1"/>
  <c r="D285" i="1"/>
  <c r="D284" i="1"/>
  <c r="D283" i="1"/>
  <c r="D282" i="1"/>
  <c r="D281" i="1"/>
  <c r="D280" i="1"/>
  <c r="B12" i="10"/>
  <c r="C6" i="10"/>
  <c r="D279" i="1"/>
  <c r="D278" i="1"/>
  <c r="D277" i="1"/>
  <c r="D276" i="1"/>
  <c r="D275" i="1"/>
  <c r="D274" i="1"/>
  <c r="D273" i="1"/>
  <c r="D391" i="1"/>
  <c r="C11" i="9"/>
  <c r="D272" i="1"/>
  <c r="D271" i="1"/>
  <c r="D270" i="1"/>
  <c r="D269" i="1"/>
  <c r="D268" i="1"/>
  <c r="D267" i="1"/>
  <c r="D266" i="1"/>
  <c r="D265" i="1"/>
  <c r="C9" i="9"/>
  <c r="D264" i="1"/>
  <c r="D263" i="1"/>
  <c r="D262" i="1"/>
  <c r="D261" i="1"/>
  <c r="D260" i="1"/>
  <c r="D259" i="1"/>
  <c r="C6" i="9"/>
  <c r="D258" i="1"/>
  <c r="D252" i="1"/>
  <c r="C14" i="8"/>
  <c r="C12" i="8"/>
  <c r="D248" i="1"/>
  <c r="D249" i="1"/>
  <c r="D250" i="1"/>
  <c r="D251" i="1"/>
  <c r="D253" i="1"/>
  <c r="D254" i="1"/>
  <c r="D255" i="1"/>
  <c r="D256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C16" i="7"/>
  <c r="D228" i="1"/>
  <c r="D227" i="1"/>
  <c r="D226" i="1"/>
  <c r="D225" i="1"/>
  <c r="D224" i="1"/>
  <c r="D223" i="1"/>
  <c r="D221" i="1"/>
  <c r="D220" i="1"/>
  <c r="D219" i="1" l="1"/>
  <c r="D218" i="1"/>
  <c r="D216" i="1"/>
  <c r="D217" i="1"/>
  <c r="D215" i="1"/>
  <c r="D214" i="1"/>
  <c r="D213" i="1"/>
  <c r="D211" i="1"/>
  <c r="D212" i="1"/>
  <c r="D205" i="1"/>
  <c r="D210" i="1"/>
  <c r="D209" i="1"/>
  <c r="D208" i="1"/>
  <c r="D207" i="1"/>
  <c r="D206" i="1"/>
  <c r="D204" i="1"/>
  <c r="D203" i="1"/>
  <c r="D198" i="1"/>
  <c r="D199" i="1"/>
  <c r="D200" i="1"/>
  <c r="D202" i="1"/>
  <c r="D197" i="1"/>
  <c r="D196" i="1"/>
  <c r="D195" i="1"/>
  <c r="D194" i="1"/>
  <c r="D193" i="1"/>
  <c r="D192" i="1"/>
  <c r="D191" i="1"/>
  <c r="D189" i="1"/>
  <c r="D190" i="1"/>
  <c r="C40" i="6"/>
  <c r="D188" i="1"/>
  <c r="D187" i="1"/>
  <c r="D185" i="1"/>
  <c r="D186" i="1"/>
  <c r="D184" i="1"/>
  <c r="D180" i="1"/>
  <c r="D181" i="1"/>
  <c r="D182" i="1"/>
  <c r="D183" i="1"/>
  <c r="D179" i="1"/>
  <c r="D178" i="1" l="1"/>
  <c r="D175" i="1"/>
  <c r="D176" i="1"/>
  <c r="D177" i="1"/>
  <c r="C24" i="6"/>
  <c r="D174" i="1"/>
  <c r="D173" i="1"/>
  <c r="D172" i="1"/>
  <c r="D171" i="1"/>
  <c r="C170" i="1" l="1"/>
  <c r="D170" i="1" s="1"/>
  <c r="D169" i="1"/>
  <c r="D168" i="1"/>
  <c r="D167" i="1"/>
  <c r="D166" i="1"/>
  <c r="D165" i="1"/>
  <c r="D164" i="1"/>
  <c r="D163" i="1"/>
  <c r="D162" i="1"/>
  <c r="D155" i="1"/>
  <c r="D156" i="1"/>
  <c r="D157" i="1"/>
  <c r="D158" i="1"/>
  <c r="D159" i="1"/>
  <c r="D160" i="1"/>
  <c r="D161" i="1"/>
  <c r="D154" i="1"/>
  <c r="D153" i="1"/>
  <c r="D152" i="1"/>
  <c r="D151" i="1"/>
  <c r="D150" i="1"/>
  <c r="D149" i="1" l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C21" i="5"/>
  <c r="C17" i="5"/>
  <c r="D134" i="1"/>
  <c r="D133" i="1"/>
  <c r="D132" i="1"/>
  <c r="D230" i="1"/>
  <c r="D229" i="1"/>
  <c r="D131" i="1"/>
  <c r="D130" i="1"/>
  <c r="D129" i="1"/>
  <c r="C15" i="5"/>
  <c r="D222" i="1" l="1"/>
  <c r="D128" i="1"/>
  <c r="C14" i="5"/>
  <c r="C12" i="5"/>
  <c r="D127" i="1"/>
  <c r="D126" i="1"/>
  <c r="D125" i="1"/>
  <c r="D123" i="1"/>
  <c r="D124" i="1"/>
  <c r="D122" i="1"/>
  <c r="D120" i="1"/>
  <c r="D121" i="1"/>
  <c r="C3" i="5"/>
  <c r="C5" i="5"/>
  <c r="C6" i="5"/>
  <c r="C7" i="5"/>
  <c r="C2" i="5"/>
  <c r="C10" i="4"/>
  <c r="C9" i="4"/>
  <c r="C8" i="4"/>
  <c r="C7" i="4"/>
  <c r="C6" i="4"/>
  <c r="D119" i="1"/>
  <c r="D118" i="1"/>
  <c r="D117" i="1"/>
  <c r="D116" i="1"/>
  <c r="D115" i="1"/>
  <c r="D114" i="1"/>
  <c r="D113" i="1"/>
  <c r="D112" i="1"/>
  <c r="D111" i="1"/>
  <c r="D110" i="1"/>
  <c r="C3" i="4"/>
  <c r="C4" i="4"/>
  <c r="C5" i="4"/>
  <c r="C11" i="4"/>
  <c r="C2" i="4"/>
  <c r="D109" i="1"/>
  <c r="D108" i="1"/>
  <c r="D107" i="1"/>
  <c r="D106" i="1"/>
  <c r="D105" i="1"/>
  <c r="D104" i="1"/>
  <c r="D103" i="1"/>
  <c r="D102" i="1"/>
  <c r="D101" i="1"/>
  <c r="D100" i="1"/>
  <c r="D98" i="1"/>
  <c r="D99" i="1"/>
  <c r="D97" i="1"/>
  <c r="D94" i="1"/>
  <c r="D96" i="1"/>
  <c r="D95" i="1"/>
  <c r="D93" i="1"/>
  <c r="D83" i="1"/>
  <c r="D84" i="1"/>
  <c r="D85" i="1"/>
  <c r="D86" i="1"/>
  <c r="D87" i="1"/>
  <c r="D88" i="1"/>
  <c r="D89" i="1"/>
  <c r="D90" i="1"/>
  <c r="D91" i="1"/>
  <c r="D92" i="1"/>
  <c r="D82" i="1"/>
  <c r="D81" i="1"/>
  <c r="D80" i="1"/>
  <c r="D79" i="1"/>
  <c r="D77" i="1"/>
  <c r="D76" i="1"/>
  <c r="D78" i="1"/>
  <c r="D75" i="1"/>
  <c r="D74" i="1"/>
  <c r="D68" i="1"/>
  <c r="D67" i="1"/>
  <c r="D66" i="1"/>
  <c r="D65" i="1"/>
  <c r="D64" i="1"/>
  <c r="D62" i="1"/>
  <c r="D73" i="1"/>
  <c r="D22" i="3"/>
  <c r="D20" i="3"/>
  <c r="G51" i="1"/>
  <c r="D72" i="1"/>
  <c r="D71" i="1"/>
  <c r="D70" i="1"/>
  <c r="G70" i="1"/>
  <c r="D69" i="1"/>
  <c r="G63" i="1"/>
  <c r="D63" i="1"/>
  <c r="D61" i="1"/>
  <c r="D60" i="1"/>
  <c r="D59" i="1"/>
  <c r="D58" i="1"/>
  <c r="G58" i="1"/>
  <c r="D57" i="1"/>
  <c r="G56" i="1"/>
  <c r="D56" i="1"/>
  <c r="D55" i="1"/>
  <c r="D54" i="1"/>
  <c r="D53" i="1"/>
  <c r="G52" i="1"/>
  <c r="D52" i="1"/>
  <c r="D51" i="1"/>
  <c r="D50" i="1"/>
  <c r="G49" i="1"/>
  <c r="G47" i="1"/>
  <c r="D49" i="1"/>
  <c r="D48" i="1"/>
  <c r="D47" i="1"/>
  <c r="D45" i="1"/>
  <c r="D44" i="1"/>
  <c r="D43" i="1"/>
  <c r="D46" i="1"/>
  <c r="D42" i="1"/>
  <c r="D41" i="1"/>
  <c r="D40" i="1"/>
  <c r="G39" i="1"/>
  <c r="D39" i="1"/>
  <c r="D38" i="1"/>
  <c r="D37" i="1"/>
  <c r="D36" i="1"/>
  <c r="G35" i="1"/>
  <c r="D35" i="1"/>
  <c r="D34" i="1"/>
  <c r="G33" i="1"/>
  <c r="D33" i="1"/>
  <c r="G31" i="1"/>
  <c r="D32" i="1"/>
  <c r="D31" i="1"/>
  <c r="D30" i="1"/>
  <c r="G28" i="1"/>
  <c r="D29" i="1"/>
  <c r="D28" i="1"/>
  <c r="G27" i="1"/>
  <c r="D27" i="1"/>
  <c r="D26" i="1"/>
  <c r="G25" i="1"/>
  <c r="D25" i="1"/>
  <c r="G20" i="1"/>
  <c r="G19" i="1"/>
  <c r="G24" i="1"/>
  <c r="D24" i="1"/>
  <c r="D23" i="1"/>
  <c r="D22" i="1"/>
  <c r="D21" i="1"/>
  <c r="D20" i="1"/>
  <c r="D19" i="1"/>
  <c r="D18" i="1"/>
  <c r="G17" i="1"/>
  <c r="G8" i="2"/>
  <c r="G16" i="1"/>
  <c r="D16" i="1"/>
  <c r="G15" i="1"/>
  <c r="D15" i="1"/>
  <c r="G14" i="1"/>
  <c r="D14" i="1"/>
  <c r="G13" i="1"/>
  <c r="D13" i="1"/>
  <c r="D12" i="1"/>
  <c r="D8" i="1"/>
  <c r="D11" i="1"/>
  <c r="G10" i="1"/>
  <c r="G3" i="1"/>
  <c r="D9" i="1"/>
  <c r="D10" i="1"/>
  <c r="D7" i="1"/>
  <c r="D6" i="1"/>
  <c r="D5" i="1"/>
  <c r="D4" i="1"/>
  <c r="D3" i="1"/>
  <c r="C12" i="4" l="1"/>
  <c r="C1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<sst xmlns="http://schemas.openxmlformats.org/spreadsheetml/2006/main" count="1584" uniqueCount="636">
  <si>
    <t xml:space="preserve">CONCEPTO </t>
  </si>
  <si>
    <t>PESOS</t>
  </si>
  <si>
    <t>USD</t>
  </si>
  <si>
    <t>FECHA</t>
  </si>
  <si>
    <t>PERSONA</t>
  </si>
  <si>
    <t>LUCIANO</t>
  </si>
  <si>
    <t>REPRESENTANTE TÉNICO MUNI RADA TILLY</t>
  </si>
  <si>
    <t>COTIZACION DÓLAR</t>
  </si>
  <si>
    <t>COMPRA HIERRO CIMIENTOS</t>
  </si>
  <si>
    <t>LIMPIEZA, NIVELACIÓN TERRENO</t>
  </si>
  <si>
    <t>SOL</t>
  </si>
  <si>
    <t>PAGA DEUDA DE AGUA TERRENO</t>
  </si>
  <si>
    <t>CONEXIONADO DE AGUA</t>
  </si>
  <si>
    <t>COMPRA HORMIGON 13 M3</t>
  </si>
  <si>
    <t>DEV IVA</t>
  </si>
  <si>
    <t>BISAGRAS + PINTURA</t>
  </si>
  <si>
    <t>SOLDADURA DE PORTON</t>
  </si>
  <si>
    <t>CONEXIONADO DE LUZ</t>
  </si>
  <si>
    <t>PILAR TRIFASICO + FLETE</t>
  </si>
  <si>
    <t>OBSERVACIONES</t>
  </si>
  <si>
    <t>MAT ELECTRICOS PILAR- NUEVO SUR</t>
  </si>
  <si>
    <t>VIGUETAS + HIERRO (HIERRO MAD)</t>
  </si>
  <si>
    <t>HIERRO ( HIERRO MAD)</t>
  </si>
  <si>
    <t>CEMENTO + LADRILLO (HIERRO MAD)</t>
  </si>
  <si>
    <t>TOTAL</t>
  </si>
  <si>
    <t>FACTURA POR MAIL</t>
  </si>
  <si>
    <t>FER</t>
  </si>
  <si>
    <t>DEVOLUCION 1 DE IVA</t>
  </si>
  <si>
    <t>PAGO PERMISO CONSTRUCCION MUNIC.</t>
  </si>
  <si>
    <t>MAT ELECTRICOS CABLES Y NH PILAR</t>
  </si>
  <si>
    <t>MATERIALES HORMIGON</t>
  </si>
  <si>
    <t>INSTALACIÓN PILAR</t>
  </si>
  <si>
    <t>PAGO ARQUITECTA ENCADENADO</t>
  </si>
  <si>
    <t>CLAVOS Y ALAMBRE</t>
  </si>
  <si>
    <t>CLAVOS Y DISCOS CORTES</t>
  </si>
  <si>
    <t xml:space="preserve">CLAVOS </t>
  </si>
  <si>
    <t>PAGO ALBAÑIL 1° PARTE</t>
  </si>
  <si>
    <t>PILAR SEGUNDO MATERIALES</t>
  </si>
  <si>
    <t>PILAR SEGUNDA PARTE ELECTRICO</t>
  </si>
  <si>
    <t>PILAR ALBAÑIL 2 PARTE</t>
  </si>
  <si>
    <t>PAGO ALBAÑIL 2° PARTE  200/ 650</t>
  </si>
  <si>
    <t>COMPRA NYLON</t>
  </si>
  <si>
    <t>PAGO  2 ARQUITECTA ENCADENADO</t>
  </si>
  <si>
    <t>ALAMBRE Y CLAVOS</t>
  </si>
  <si>
    <t>PAGO ALBAÑIL 2° PARTE  300/ 650</t>
  </si>
  <si>
    <t>PAGO ROLLO NYLON, HIERROS VARIOS</t>
  </si>
  <si>
    <t>DEVOLUCION A FAVOR DE FERNANDO</t>
  </si>
  <si>
    <t>MATERIALES SANITARIOS PLATEA</t>
  </si>
  <si>
    <t>ADICIONAL MES DE SOL PARA ARQ</t>
  </si>
  <si>
    <t>PAGO ALBAÑIL 400/1000000</t>
  </si>
  <si>
    <t>HIERROS- ALAMBRE- DISCO CORTE</t>
  </si>
  <si>
    <t>COMPRA HORMIGON 15 M3</t>
  </si>
  <si>
    <t>PAGO ALBAÑIL 600/1000000</t>
  </si>
  <si>
    <t>4 CAÑOS DE 63</t>
  </si>
  <si>
    <t>PRESTADOS SOL 180 MIL PARA 8,5 HOMRIGON</t>
  </si>
  <si>
    <t>PAGO DE OBRADOR</t>
  </si>
  <si>
    <t>PAGO DE ALBAÑILES FINAL DE CONTRAPISO</t>
  </si>
  <si>
    <t>PAGO MADERA OBRADOR</t>
  </si>
  <si>
    <t>PAGO HORMIGON 2 M3</t>
  </si>
  <si>
    <t xml:space="preserve">PAGO PINTURA ASFALTICA </t>
  </si>
  <si>
    <t>VENDIO SON USD</t>
  </si>
  <si>
    <t>CLAVOS OBRADOR</t>
  </si>
  <si>
    <t>LADRILLOS, CEMENTO, CHAPA</t>
  </si>
  <si>
    <t>FACTURA ENTREGADA A FERNANDO</t>
  </si>
  <si>
    <t>NO ENTREGADA</t>
  </si>
  <si>
    <t>CLAVOS CHAPA</t>
  </si>
  <si>
    <t>ARENA 7 TON</t>
  </si>
  <si>
    <t>VENTANA ALUMINIO OBRADOR</t>
  </si>
  <si>
    <t>CHAPA OBRADOR</t>
  </si>
  <si>
    <t>PAGO INICIAL ALBAÑIL</t>
  </si>
  <si>
    <t>PAGO BAÑO QUIMICO</t>
  </si>
  <si>
    <t>PAGO TERMINACIÓN DEL OBRADOR</t>
  </si>
  <si>
    <t>NO ENTREGADA - NO EN MI PODER</t>
  </si>
  <si>
    <t>PAGO ARQUITECTA MAMPOSTERIA</t>
  </si>
  <si>
    <t xml:space="preserve">COMPRA CADENA </t>
  </si>
  <si>
    <t>COMPRA DISCOS DE CORTE</t>
  </si>
  <si>
    <t>ALAMBRE PARA ATAR</t>
  </si>
  <si>
    <t>COMPRA CLAVOS, MEMBRANA</t>
  </si>
  <si>
    <t>COMPRA ARENA PIEDRA</t>
  </si>
  <si>
    <t>ALBAÑIL ENTREGA</t>
  </si>
  <si>
    <t>SUB TOTAL</t>
  </si>
  <si>
    <t>DEVOLUCION FERNANDO</t>
  </si>
  <si>
    <t>PAGO COLOCACION MEMBRANA</t>
  </si>
  <si>
    <t>ALBAÑIL PREMIO</t>
  </si>
  <si>
    <t xml:space="preserve">PEON ALBAÑIL </t>
  </si>
  <si>
    <t>PEON ALBAÑIL ADELANTO 115000/320000</t>
  </si>
  <si>
    <t>COMPRA ALAMBRE 6 KG</t>
  </si>
  <si>
    <t xml:space="preserve"> ALBAÑIL ADELANTO 130000/400000</t>
  </si>
  <si>
    <t xml:space="preserve"> ALBAÑIL ADELANTO 160000/400000</t>
  </si>
  <si>
    <t xml:space="preserve"> ALBAÑIL ADELANTO 190000/400000</t>
  </si>
  <si>
    <t>BAÑO QUÍMICO AGOSTO -SEP</t>
  </si>
  <si>
    <t xml:space="preserve"> ALBAÑIL ADELANTO 210000/400000</t>
  </si>
  <si>
    <t>PAGO ALBAÑIL HIJO</t>
  </si>
  <si>
    <t>COMPRA ARENA</t>
  </si>
  <si>
    <t>BAÑOS QUIMICOS</t>
  </si>
  <si>
    <t>ENTREGA ALBAÑIL 30000 /390000</t>
  </si>
  <si>
    <t>PAGO PEON ALBAÑIL</t>
  </si>
  <si>
    <t>ENTREGA ALBAÑIL 20000 /370000</t>
  </si>
  <si>
    <t>ENTREGA ALBAÑIL 20000 /320000</t>
  </si>
  <si>
    <t>COMPRA DISCOS DE CORTE Y ALAMBRE</t>
  </si>
  <si>
    <t xml:space="preserve">ANDAMIO </t>
  </si>
  <si>
    <t>ENTREGA ALBAÑIL 200000/120000</t>
  </si>
  <si>
    <t>MADERAS</t>
  </si>
  <si>
    <t>BAÑO QUIMICO</t>
  </si>
  <si>
    <t>FLETE DE MADERAS</t>
  </si>
  <si>
    <t>ENTREGA ALBAÑIL 200000/100000</t>
  </si>
  <si>
    <t>PAGO PEONES</t>
  </si>
  <si>
    <t>COMPRA LADRILLOS (110 LADRILLOS)</t>
  </si>
  <si>
    <t>ENTREGA ALBAÑIL 50000/50000</t>
  </si>
  <si>
    <t>ENTREGA ALBAÑIL 10000/50000</t>
  </si>
  <si>
    <t>COMPRA MATERIALES BAÑO OBRADOR</t>
  </si>
  <si>
    <t>COMPRA SOLDADORA</t>
  </si>
  <si>
    <t>PAGO ARQUITECTA</t>
  </si>
  <si>
    <t>ENTREGA ALBAÑIL 20000/20000</t>
  </si>
  <si>
    <t>BISAGRAS</t>
  </si>
  <si>
    <t>PAGO ALBANIL FINAL MAMPOSTERÍA</t>
  </si>
  <si>
    <t>FACTURA</t>
  </si>
  <si>
    <t xml:space="preserve">MONTO </t>
  </si>
  <si>
    <t>PAGO MATERIALES LADRILLOS</t>
  </si>
  <si>
    <t>GRIFERÍAS DUCHA</t>
  </si>
  <si>
    <t>MATERIALES BAÑO</t>
  </si>
  <si>
    <t>PAGO PUERTA</t>
  </si>
  <si>
    <t>ENTREGA ALBAÑIL PRESUPUESTO BAÑO (70/200000)</t>
  </si>
  <si>
    <t>PAGO PEÓN</t>
  </si>
  <si>
    <t>CONEXIO CLOACAS 30000/10000</t>
  </si>
  <si>
    <t>MATERIALES CLOACAS</t>
  </si>
  <si>
    <t>A favor</t>
  </si>
  <si>
    <t>TOTAL IVA</t>
  </si>
  <si>
    <t>MANGUERA 9650 /60350 PRESUPUESTO CLOACAS</t>
  </si>
  <si>
    <t>ELECTRODOS</t>
  </si>
  <si>
    <t xml:space="preserve">PAGO TANQUE AGUA </t>
  </si>
  <si>
    <t>PAGO TERMOTANQUE</t>
  </si>
  <si>
    <t>COMPRA VENTANA</t>
  </si>
  <si>
    <t>COMPRA TORNILLOS Y SILOC ESPUMA</t>
  </si>
  <si>
    <t>COMPRA PISO BAÑO OBRADOR</t>
  </si>
  <si>
    <t>CONEXIÓN CLOACAS 40000/ 60350 ( PRESUPUESTO 14000)</t>
  </si>
  <si>
    <t>FLETE, TORNILLOS</t>
  </si>
  <si>
    <t>PAGO ALBAÑIL 45000/ 35350/ PRESUPUETO 16000</t>
  </si>
  <si>
    <t>PEONES</t>
  </si>
  <si>
    <t>ASADO + TORNILLOS</t>
  </si>
  <si>
    <t>LIJAS PINTURA</t>
  </si>
  <si>
    <t>TORNILLOS</t>
  </si>
  <si>
    <t>ALAMBRE</t>
  </si>
  <si>
    <t>DISCOS CORTE</t>
  </si>
  <si>
    <t>ENTREGA CENEFA</t>
  </si>
  <si>
    <t>CUPLAS TERMOTANQUE</t>
  </si>
  <si>
    <t>ENTREGA ALBAÑIL ENCADENADO 30000/370000 ( PRESUPUESTO 400000)</t>
  </si>
  <si>
    <t>ALBAÑIL ENTREGA ENCADENADO 27000/343000 ( PRESUPUESTO 400000)</t>
  </si>
  <si>
    <t>CRUCES SEPARA CERAMICA</t>
  </si>
  <si>
    <t>PEGA CERAMICOS</t>
  </si>
  <si>
    <t>ACCESORIOS AGUA</t>
  </si>
  <si>
    <t>SIDING - TORNILLOS - ALAMBRE</t>
  </si>
  <si>
    <t>TELGOPOR LADRILLO</t>
  </si>
  <si>
    <t>PEGAMENTOS CERAMIENTA</t>
  </si>
  <si>
    <t>MATERIALES PEGAMENTO</t>
  </si>
  <si>
    <t>FLETE DE MATERIALES</t>
  </si>
  <si>
    <t>ALBAÑIL ENTREGA ENCADENADO 30000/313000 ( PRESUPUESTO 400000)</t>
  </si>
  <si>
    <t>MATERIALES KLAUCOL</t>
  </si>
  <si>
    <t>BOMBA PRESURIZADORA</t>
  </si>
  <si>
    <t>EXTRACTOR</t>
  </si>
  <si>
    <t>PUERTA</t>
  </si>
  <si>
    <t>ALBAÑIL ENTREGA ENCADENADO 30000/283000 ( PRESUPUESTO 400000)</t>
  </si>
  <si>
    <t>ALBAÑILES</t>
  </si>
  <si>
    <t>BAÑO QUIMICMO</t>
  </si>
  <si>
    <t>COMPRA ALAMBRE</t>
  </si>
  <si>
    <t>PAGO IVAN OBRADOR</t>
  </si>
  <si>
    <t>ALBAÑIL ENTREGA ENCADENADO 5000/278000 ( PRESUPUESTO 400000)</t>
  </si>
  <si>
    <t>ALBAÑIL ENTREGA ENCADENADO 10000/178000 ( PRESUPUESTO 400000)</t>
  </si>
  <si>
    <t xml:space="preserve">PAGO UNIONES TANQUE </t>
  </si>
  <si>
    <t>PAGO INODORO</t>
  </si>
  <si>
    <t>PAGO PINTURA TRAILER</t>
  </si>
  <si>
    <t>GASTO CONEXIONES TANQUE</t>
  </si>
  <si>
    <t xml:space="preserve">GASTO CABLE / PEGAMENTO PISO </t>
  </si>
  <si>
    <t>PAGO COLOCACION TANQUE AGUA</t>
  </si>
  <si>
    <t>ENTREGA BAÑO 20000 - RESTANTE 68000</t>
  </si>
  <si>
    <t>FLETE PUERTA</t>
  </si>
  <si>
    <t>ENTREGA BAÑO 30000 - RESTANTE 38000</t>
  </si>
  <si>
    <t>LUZ CONEXIÓN BAÑO</t>
  </si>
  <si>
    <t>CONEXIONADO LUZ OBRADOR</t>
  </si>
  <si>
    <t>RESPUESTOS MOCHILA BAÑO</t>
  </si>
  <si>
    <t>GASTO VARIOS</t>
  </si>
  <si>
    <t>PAGO MATERIALES TAPA DE CLOACA</t>
  </si>
  <si>
    <t>ALBAÑIL ENTREGA ENCADENADO 13000/165000 ( PRESUPUESTO 400000)</t>
  </si>
  <si>
    <t>CONEXIONES TANQUE</t>
  </si>
  <si>
    <t>MADERAS GALPONCITO</t>
  </si>
  <si>
    <t>PLACAS OSB PARA GALPON HTAS</t>
  </si>
  <si>
    <t>ALBAÑIL ENTREGA ENCADENADO 30000/135000 ( PRESUPUESTO 400000)</t>
  </si>
  <si>
    <t>GASTO ACCESORIOS TANQUE AGUA- FLOTADOR</t>
  </si>
  <si>
    <t>TEFLON, LED LUZ BAÑO</t>
  </si>
  <si>
    <t>MATERIALES EXTENSOR DE DUCHA</t>
  </si>
  <si>
    <t>CHAPA GALPONCITO</t>
  </si>
  <si>
    <t>ALBAÑIL ENTREGA ENCADENADO 20000/115000 ( PRESUPUESTO 400000)</t>
  </si>
  <si>
    <t>ALBAÑIL ENTREGA ENCADENADO 70000/45000 ( PRESUPUESTO 400000)</t>
  </si>
  <si>
    <t>COMPRA TIRANTES MADERA</t>
  </si>
  <si>
    <t>DESAGUE PVC</t>
  </si>
  <si>
    <t>ALBAÑIL ENTREGA ENCADENADO 20000/25000 ( PRESUPUESTO 400000)</t>
  </si>
  <si>
    <t>PAGO PUERTA GALPÓN</t>
  </si>
  <si>
    <t>PAGO ALAMBRE</t>
  </si>
  <si>
    <t>24/25/2023</t>
  </si>
  <si>
    <t>SALDO ENCADENADO + BAÑO ( RESTANTES 25000 - RESTANTE 38000)</t>
  </si>
  <si>
    <t>ENTREGA 40000 ( RESTANTE LOSA + ESCALERA 1.080.000</t>
  </si>
  <si>
    <t>COMPRA MOCHILA BAÑO</t>
  </si>
  <si>
    <t>ENTREGA 70000 ( RESTANTE LOSA + ESCALERA 1.010.000</t>
  </si>
  <si>
    <t>ENTREGA 100000 ( RESTANTE LOSA + ESCALERA 910.000)</t>
  </si>
  <si>
    <t>ENTREGA ARQUITECTA ( 150 MIL / 450 MIL)</t>
  </si>
  <si>
    <t>ENTREGA 110000 ( RESTANTE LOSA + ESCALERA 800.000)</t>
  </si>
  <si>
    <t>ENTREGA IVAN GALPONCITO</t>
  </si>
  <si>
    <t>DUPLICADO LLAVE</t>
  </si>
  <si>
    <t>ENTREGA 60000 ( RESTANTE LOSA + ESCALERA 740.000)</t>
  </si>
  <si>
    <t>COMPRA CLAVOS</t>
  </si>
  <si>
    <t>PAGO GALPONCITO IVAN</t>
  </si>
  <si>
    <t>ENTREGA 80000 ( RESTANTE LOSA + ESCALERA 660.000)</t>
  </si>
  <si>
    <t>MATERIALES LUZ OBRADORES</t>
  </si>
  <si>
    <t>COMPRA HOMIGON 6,3 M3/D</t>
  </si>
  <si>
    <t>ENTREGA 35000 ( RESTANTE LOSA + ESCALERA 625.000)</t>
  </si>
  <si>
    <t>MADERA TECHO DE OBRADOR</t>
  </si>
  <si>
    <t>MADERA</t>
  </si>
  <si>
    <t>ENTREGA 50000 ( RESTANTE LOSA + ESCALERA 575.000)</t>
  </si>
  <si>
    <t xml:space="preserve">ARENA </t>
  </si>
  <si>
    <t>ENTREGA 78500 ( RESTANTE LOSA + ESCALERA 496.500)</t>
  </si>
  <si>
    <t>NYLON</t>
  </si>
  <si>
    <t>ENTREGA ARQUITECTA ( 150 MIL / 300 MIL)</t>
  </si>
  <si>
    <t>COMPRA CEMENTO- HIERRO- LADRILLOS</t>
  </si>
  <si>
    <t>ENTREGA 50000 ( RESTANTE LOSA + ESCALERA 446.500)</t>
  </si>
  <si>
    <t>CERRADURA OBRADOR</t>
  </si>
  <si>
    <t>CEMENTA CORRALON RADA TILLI</t>
  </si>
  <si>
    <t>ENTREGA TECHO IVAN 30000</t>
  </si>
  <si>
    <t>ENTREGA 50000 ( RESTANTE LOSA + ESCALERA 596.500) SE AGREGARON 200000</t>
  </si>
  <si>
    <t xml:space="preserve">ENTREGA 100000 ( RESTANTE LOSA + ESCALERA 496.500) </t>
  </si>
  <si>
    <t>COMPRA DE MADERA TECHO</t>
  </si>
  <si>
    <t>COMPRA TORNILLOS</t>
  </si>
  <si>
    <t>ENTREGA 50000 ( RESTANTE LOSA + ESCALERA  + VEREDA 70000, 386500) SE AGREGARON 70000</t>
  </si>
  <si>
    <t>COMPRA ASADO LOSA</t>
  </si>
  <si>
    <t>ENTREGA ARQUITECTA ( 150 MIL / 150 MIL)</t>
  </si>
  <si>
    <t xml:space="preserve">ENTREGA 50000 ( RESTANTE LOSA + ESCALERA  + VEREDA 70000, 336500) </t>
  </si>
  <si>
    <t>ENTREGA TECHO IVAN 20000</t>
  </si>
  <si>
    <t xml:space="preserve">ENTREGA 50000 ( RESTANTE LOSA + ESCALERA  + VEREDA 70000 + PARED VENTANA, 386500- SALDA 336500) </t>
  </si>
  <si>
    <t>COMPRA 2,5 DE HOMIRGON</t>
  </si>
  <si>
    <t xml:space="preserve">ENTREGA 30000 ( RESTANTE LOSA + ESCALERA  + VEREDA 70000 + PARED VENTANA, 386500- SALD0 306500) </t>
  </si>
  <si>
    <t>ENTREGA ARQUITECTA</t>
  </si>
  <si>
    <t xml:space="preserve">ENTREGA 60000 ( RESTANTE LOSA + ESCALERA  + VEREDA 70000 + PARED VENTANA, 386500- SALD0 246500) </t>
  </si>
  <si>
    <t>ENTREGA JORGE EXTRA PRESUPUESTO ROMPER LOSA PARA ESCALERA</t>
  </si>
  <si>
    <t>COMPRA CHAPA Y 8 BARRAS DEL 10</t>
  </si>
  <si>
    <t xml:space="preserve">ENTREGA 45000 ( RESTANTE LOSA + ESCALERA  + VEREDA 70000 + PARED VENTANA, 386500- SALD0 201500) </t>
  </si>
  <si>
    <t xml:space="preserve">ENTREGA 30000 ( RESTANTE LOSA + ESCALERA  + VEREDA 70000 + PARED VENTANA, 386500- SALD0 171500) </t>
  </si>
  <si>
    <t xml:space="preserve">COMPRA CLAVOS - ALAMBRE </t>
  </si>
  <si>
    <t>total</t>
  </si>
  <si>
    <t>venta</t>
  </si>
  <si>
    <t xml:space="preserve">total </t>
  </si>
  <si>
    <t>COMPRA 2 PALLET LADIRLLO- 6 MALLAS DE HIERRO- 25 BARRAS 12- 10 BARRAS 6</t>
  </si>
  <si>
    <t>ENTREGA JORGE PRESUPUESTO DE SEGUNDA PARTE ( 3 MILLONS PRESUPUESTO) SALDO 26400000</t>
  </si>
  <si>
    <t>COMPRA DE HORMIGON 5,5 M3</t>
  </si>
  <si>
    <t>COMPRA PIEDRA - ARENA</t>
  </si>
  <si>
    <t>COMPRA 2 PALLETS DE LADIRLLO 12X18X33 Y 1 PALLET 18X18X33</t>
  </si>
  <si>
    <t>ENTREGA JORGE PRESUPUESTO DE SEGUNDA PARTE ( 3 MILLONS PRESUPUESTO) SALDO 24400000</t>
  </si>
  <si>
    <t>CHEQUE BRIDAS</t>
  </si>
  <si>
    <t>ENTREGA JORGE PRESUPUESTO DE SEGUNDA PARTE ( 3 MILLONS PRESUPUESTO) SALDO 22600000</t>
  </si>
  <si>
    <t>COMPRA LADRILLOS 300 DEL 18 Y 488 DEL 12</t>
  </si>
  <si>
    <t>ENTREGA 60000 ( RESTANTE LOSA + ESCALERA  + VEREDA 70000 + PARED VENTANA, 386500- SALD0 111500)</t>
  </si>
  <si>
    <t>COMPRA ASADO POR ESCALERA</t>
  </si>
  <si>
    <t>APORTE SOL</t>
  </si>
  <si>
    <t>COMPRA MATERIALES 25 BARRAS DEL 8 / 10 DEL 6/ 10 DEL 10</t>
  </si>
  <si>
    <t xml:space="preserve">ENTREGA 150 mil JORGE PRESUPUESTO ( 3 MILLONS PRESUPUESTO) SALDO 21100000 - se usaron los 135 de regalo de sol. </t>
  </si>
  <si>
    <t>ENTREGA 100 mil JORGE PRESUPUESTO ( 3 MILLONS PRESUPUESTO) SALDO2010000</t>
  </si>
  <si>
    <t>ENTREGA 60000 ( RESTANTE LOSA + ESCALERA  + VEREDA 70000 + PARED VENTANA, 386500- SALD0 51500)</t>
  </si>
  <si>
    <t>ENTREGA 180 mil JORGE PRESUPUESTO ( 3 MILLONS PRESUPUESTO) SALDO1830000</t>
  </si>
  <si>
    <t>COMPRA 3 PALLETS DE 18X18X33 Y UN PALLETS DE CEMENTO</t>
  </si>
  <si>
    <t>ENTREGA 50000 ( RESTANTE LOSA + ESCALERA  + VEREDA 70000 + PARED VENTANA, 386500- SALD0 1500)</t>
  </si>
  <si>
    <t>ENTREGA 180 mil JORGE PRESUPUESTO ( 3 MILLONS PRESUPUESTO) SALDO1.650.000</t>
  </si>
  <si>
    <t>GASTO (20/10/23)</t>
  </si>
  <si>
    <t>A FAVOR</t>
  </si>
  <si>
    <t>14//11/2023</t>
  </si>
  <si>
    <t>COMPRA LAMBRE 5 KG</t>
  </si>
  <si>
    <t>ENTREGA 180 mil JORGE PRESUPUESTO ( 3 MILLONS PRESUPUESTO) SALDO1.470.000</t>
  </si>
  <si>
    <t>ENTREGA 60 mil JORGE PRESUPUESTO ( 3 MILLONS PRESUPUESTO) SALDO1.410.000</t>
  </si>
  <si>
    <t>DESCARGA CAMIONES</t>
  </si>
  <si>
    <t>ENTREGA 1800 mil JORGE PRESUPUESTO ( 3 MILLONES + 200 MIL AGREGADOS) SALDO 1.430.000</t>
  </si>
  <si>
    <t>BATEA</t>
  </si>
  <si>
    <t>ENTREGA 1800 mil JORGE PRESUPUESTO ( 3 MILLONES + 200 MIL AGREGADOS) SALDO 1.250.000</t>
  </si>
  <si>
    <t>TOTAL 1</t>
  </si>
  <si>
    <t>TOTAL 2</t>
  </si>
  <si>
    <t>TOTAL 3</t>
  </si>
  <si>
    <t>TOTALES</t>
  </si>
  <si>
    <t>COMPRA CLAVOS Y ALAMBRE</t>
  </si>
  <si>
    <t>LIMPIEZA TERRENO</t>
  </si>
  <si>
    <t>ENTREGA 300 mil JORGE PRESUPUESTO ( 3 MILLONES + 200 MIL AGREGADOS) SALDO 950.000</t>
  </si>
  <si>
    <t xml:space="preserve"> ALAMBRE</t>
  </si>
  <si>
    <t>COMPRA HIERROS 8 BARRAS 12 Y 8 BARRAS DE 10</t>
  </si>
  <si>
    <t>ENTREGA 180 mil JORGE PRESUPUESTO ( 3 MILLONES + 200 MIL AGREGADOS + 30 MIL) SALDO 800.000</t>
  </si>
  <si>
    <t xml:space="preserve">COMPRA 3 MALLAS HIERRO DEL 10 3 Y HIERRO DEL 12 3. </t>
  </si>
  <si>
    <t>ENTREGA 180 mil JORGE PRESUPUESTO ( 3 MILLONES + 200 MIL AGREGADOS + 30 MIL) SALDO 620.000</t>
  </si>
  <si>
    <t>ENTREGA 180 mil JORGE PRESUPUESTO ( 3 MILLONES + 200 MIL AGREGADOS + 30 MIL) SALDO 440.000</t>
  </si>
  <si>
    <t>COMPRA VIGUETAS - LADRILLOS TELGORPOR- ALAMBRE 10 K-</t>
  </si>
  <si>
    <t>COMPRA 4 CAÑOS 40X60</t>
  </si>
  <si>
    <t>ENTREGA 180 mil JORGE PRESUPUESTO ( 3 MILLONES + 200 MIL AGREGADOS + 30 MIL) SALDO 260.000</t>
  </si>
  <si>
    <t>COMPRA 3 KG ALAMBRE</t>
  </si>
  <si>
    <t>ENTREGA 200 mil JORGE PRESUPUESTO ( 3 MILLONES + 200 MIL AGREGADOS + 30 MIL) SALDO 60.000</t>
  </si>
  <si>
    <t>ENTREGA 260 mil JORGE PRESUPUESTO ( 3 MILLONES + 200 MIL AGREGADOS + 30 MIL + 200000) SALDO NADA</t>
  </si>
  <si>
    <t>PAO DE PEONES</t>
  </si>
  <si>
    <t>PAGO ALBAÑIL ESTRUCTURA TANQUE 120 / 300</t>
  </si>
  <si>
    <t>COMPRA PALLET DE CEMENTO</t>
  </si>
  <si>
    <t>COMPRA VISAGRA</t>
  </si>
  <si>
    <t>PAGO ALBAÑIL LOSA ( PRESUPUESTO 3 MILLONES) ENTREGA 180 MIL - RESTANTE 2820000</t>
  </si>
  <si>
    <t>COMPRA 6 MALLAS</t>
  </si>
  <si>
    <t>COMPRE 5 KG ALAMBRE</t>
  </si>
  <si>
    <t xml:space="preserve">COMPRA 5 CIGUETA DE 4 MTS + 2 VIGUETAS DE 2,6 MTS. </t>
  </si>
  <si>
    <t>compra nylon</t>
  </si>
  <si>
    <t>COMPRA HIERROS Y LADRILO TELGOPOR</t>
  </si>
  <si>
    <t>PAGO ALBAÑIL LOSA ( PRESUPUESTO 3 MILLONES) ENTREGA 440 MIL - RESTANTE 2380000</t>
  </si>
  <si>
    <t>PAGO ALBAÑIL LOSA ( PRESUPUESTO 3 MILLONES) ENTREGA 100 MIL - RESTANTE 2280000</t>
  </si>
  <si>
    <t>COMPRA DE VISAGRAS</t>
  </si>
  <si>
    <t>PAGO BATEA</t>
  </si>
  <si>
    <t>PAGO ALBAÑIL LOSA ( PRESUPUESTO 3 MILLONES) ENTREGA 260 MIL - RESTANTE 2280000</t>
  </si>
  <si>
    <t>LIMPIEZA PAREDON Y PORTON</t>
  </si>
  <si>
    <t>CAMIONADA DE ARENA</t>
  </si>
  <si>
    <t>COMPRA DE CAÑOS PARA EL TANQUE DE AGUA</t>
  </si>
  <si>
    <t>PAGO TANQUE DE AGUA</t>
  </si>
  <si>
    <t>ARREGLO LUZ</t>
  </si>
  <si>
    <t>PAGO ALBAÑIL LOSA ( PRESUPUESTO 3 MILLONES) ENTREGA 525 MIL - RESTANTE 1495000</t>
  </si>
  <si>
    <t>PAGO ALBAÑIL LOSA ( PRESUPUESTO 3 MILLONES) ENTREGA 495 MIL - RESTANTE 1 millon</t>
  </si>
  <si>
    <t>PAGO ASADO ALABAÑIL</t>
  </si>
  <si>
    <t>PAGO ALBAÑIL LOSA ( PRESUPUESTO 3 MILLONES) ENTREGA 500 MIL - RESTANTE 500.000</t>
  </si>
  <si>
    <t>PAGO ALBAÑIL VENTANA Y BAÑO</t>
  </si>
  <si>
    <t>PAGO ALBAÑIL 700 MIL RESTANTE "CERO" SE AGREGARON 200 MIL POR LOSA ADICIONAL</t>
  </si>
  <si>
    <t>COMPRA CEMENTO Y CAL</t>
  </si>
  <si>
    <t>1° ENTREGA : PAGO ALBAÑIL REVOQUE PAREDES INTERIOR ( 9 MIL M2)</t>
  </si>
  <si>
    <t>2° ENTREGA: PAGO ALBAÑIL REVOQUE PAREDES INTERIOR ( 9 MIL M2)</t>
  </si>
  <si>
    <t>3° ENTREGA: PAGO ALBAÑIL REVOQUE PAREDES INTERIOR ( 9 MIL M2)</t>
  </si>
  <si>
    <t>BATEA PARA LIMPIEZA</t>
  </si>
  <si>
    <t xml:space="preserve">4° ENTREGA: PAGO ALBAÑIL REVOQUE PAREDES INTERIOR </t>
  </si>
  <si>
    <t xml:space="preserve">5° ENTREGA: PAGO ALBAÑIL REVOQUE PAREDES INTERIOR </t>
  </si>
  <si>
    <t xml:space="preserve">6° ENTREGA: PAGO ALBAÑIL REVOQUE PAREDES INTERIOR </t>
  </si>
  <si>
    <t>COMPRA DISCOS CORTES, CERRADURA</t>
  </si>
  <si>
    <t xml:space="preserve">7° ENTREGA: PAGO ALBAÑIL REVOQUE PAREDES INTERIOR </t>
  </si>
  <si>
    <t xml:space="preserve">8° ENTREGA: PAGO ALBAÑIL REVOQUE PAREDES INTERIOR </t>
  </si>
  <si>
    <t xml:space="preserve">9° ENTREGA: PAGO ALBAÑIL REVOQUE PAREDES INTERIOR </t>
  </si>
  <si>
    <t>ARENA</t>
  </si>
  <si>
    <t>8 BOLSAS CEMENTO</t>
  </si>
  <si>
    <t>PALLET CEMENTO</t>
  </si>
  <si>
    <t>11° ENTREGA ALBAÑIL REVOQUE</t>
  </si>
  <si>
    <t>12° ENTREGA ALBAÑIL REVOQUE ( saldo 222.320)</t>
  </si>
  <si>
    <t>PAGO MATERIALES DESAGUES TECHO</t>
  </si>
  <si>
    <t>13° ENTREGA ALBAÑIL REVOQUE ( saldo 22.320)</t>
  </si>
  <si>
    <t>13° ENTREGA ALBAÑIL REVOQUE ( saldo 122.320)</t>
  </si>
  <si>
    <t>1° ENTREGA DESAGUE TECHOS PRESUPUESTO 4 MILL ( SALDO: 3730000)</t>
  </si>
  <si>
    <t>2° ENTREGA DESAGUE TECHO (3.430.000)</t>
  </si>
  <si>
    <t>3° ENTREGA DESAGUE TECHO (3.060.000)</t>
  </si>
  <si>
    <t>4° ENTREGA DESAGUE TECHO (2.660.000)</t>
  </si>
  <si>
    <t>descarga cemento</t>
  </si>
  <si>
    <t>5° ENTREGA DESAGUE TECHO (2.060.000)</t>
  </si>
  <si>
    <t>6° ENTREGA DESAGUE TECHA -SALDO 1660000</t>
  </si>
  <si>
    <t xml:space="preserve">CEMENTO </t>
  </si>
  <si>
    <t>7° ENTREGA DESAGUE TECHA -SALDO 1660000</t>
  </si>
  <si>
    <t>COMPREA CAÑOS DESAGUE</t>
  </si>
  <si>
    <t>8° ENTREGA DESAGUE TECHA -SALDO  712000</t>
  </si>
  <si>
    <t xml:space="preserve">9° entrega: salfo total techo + tanques 1.750.000 </t>
  </si>
  <si>
    <t xml:space="preserve">10° entrega: salfo total techo + tanques 1.350.000 </t>
  </si>
  <si>
    <t>comprea arena</t>
  </si>
  <si>
    <t xml:space="preserve">11° entrega: salfo total techo + tanques 950.000 </t>
  </si>
  <si>
    <t xml:space="preserve">Limpieza de terreno. </t>
  </si>
  <si>
    <t xml:space="preserve">12° entrega: salfo total techo + tanques 600.000 </t>
  </si>
  <si>
    <t>Compra cañería LOSA RADIANTE</t>
  </si>
  <si>
    <t xml:space="preserve">13° entrega: salfo total techo + tanques 300.000 </t>
  </si>
  <si>
    <t>Alquiler batea</t>
  </si>
  <si>
    <t>14° entrega: salfo total techo + tanques 200.000  ( entregamos 300 de revoque)</t>
  </si>
  <si>
    <t>15° entrega:  tanques 80.000  ( entregamos 120 )</t>
  </si>
  <si>
    <t>Compra 15 bolsas cla  + clavos</t>
  </si>
  <si>
    <t xml:space="preserve">Compra ARENA </t>
  </si>
  <si>
    <t>16° entrega:  REVOQUE.. Saldo 80 mil pesos tanque + 60 mil pesos revoque 20m2 + 150 mil pesos revoque 50m2 + 60 mil limpieza terreno.</t>
  </si>
  <si>
    <t>17° entrega: REVOQUE</t>
  </si>
  <si>
    <t>18° entrega: REVOQUE- saldo 330 mil</t>
  </si>
  <si>
    <t>19° entrega: REVOQUE - nuevo presupuesto 5 mts de viga ( 150 mil pesos) entrega 400 mil- saldo actual 80 mil</t>
  </si>
  <si>
    <t>Compra materiales electricos</t>
  </si>
  <si>
    <t>20° entrega: REVOQUE - nuevo presupuesto entrega 741000 mil- saldo 80 mil - entrega 400000 -saldo total 421 mil</t>
  </si>
  <si>
    <t xml:space="preserve">entrega final jorge, se termino </t>
  </si>
  <si>
    <t>PRESUPUESTO ELECTRICISTA 5 MILLONES - ENTREGA 300 MIL - SALDO 4.7 MILLONES</t>
  </si>
  <si>
    <t>PRESUPUESTO ALBAÑIL LOSA RADIANTE 4.9 MILLONES - ENTREGA 400 MIL - SALDO 4.5 MILLONES</t>
  </si>
  <si>
    <t>PRESUPUESTO ELECTRICISTA 5 MILLONES - ENTREGA6300 MIL - SALDO 4.1 MILLONES</t>
  </si>
  <si>
    <t>COMPRA CAÑO Y CODOS</t>
  </si>
  <si>
    <t>Compra materiales para losa radiante</t>
  </si>
  <si>
    <t>COMPRA ARENA Y GRANSA</t>
  </si>
  <si>
    <t>COMPRA MATERIALES CLOACAS</t>
  </si>
  <si>
    <t>PAGO DISEÑADORA INTERIORES</t>
  </si>
  <si>
    <t>PAGO ARENA Y GRANSA</t>
  </si>
  <si>
    <t>PAGO CODOS</t>
  </si>
  <si>
    <t>PRESUPUESTO ALBAÑIL LOSA RADIANTE 4.9 MILLONES - ENTREGA 900 MIL - SALDO 3.6 MILLONES</t>
  </si>
  <si>
    <t>29/12//2024</t>
  </si>
  <si>
    <t>PAGO ARQUITECTA 1/2</t>
  </si>
  <si>
    <t>PRESUPUESTO ALBAÑIL LOSA RADIANTE 4.9 MILLONES - ENTREGA 1.150 MILLONES - SALDO 2.45 MILLONES</t>
  </si>
  <si>
    <t>MATERIALE CLOACAS</t>
  </si>
  <si>
    <t>PAGO DE MATERIALES LOSA RADIANTE</t>
  </si>
  <si>
    <t>PAGO ROLLOS AISLANTE 4 UNIDADES</t>
  </si>
  <si>
    <t>PAGO CONECTORES</t>
  </si>
  <si>
    <t>PRESUPUESTO ELECTRICISTA 5 MILLONES - ENTREGA400 MIL - SALDO 3.7 MILLONES</t>
  </si>
  <si>
    <t>PAGO ABERTURAS</t>
  </si>
  <si>
    <t xml:space="preserve">COMPRA MATERIALES ELECTRICOS </t>
  </si>
  <si>
    <t>GRIFERIA COCINA</t>
  </si>
  <si>
    <t>COMPRA MATERIALES DURLOCK</t>
  </si>
  <si>
    <t>COMPRA MATERIALES AGUA</t>
  </si>
  <si>
    <t>CREDITO - S</t>
  </si>
  <si>
    <t>CREDITO-L</t>
  </si>
  <si>
    <t>COMPRA MATERIALES GAS</t>
  </si>
  <si>
    <t>PAGO PLANO GASISTA 450 MIL PESOS ( PRESUPUESTO TOTAL  1.9 MILLONES) SALFO 1.45 MILLONES</t>
  </si>
  <si>
    <t>GRIFERIA</t>
  </si>
  <si>
    <t xml:space="preserve">PAGO SOL </t>
  </si>
  <si>
    <t>PAGO PUERTAS E INODOROS</t>
  </si>
  <si>
    <t>HIERROMAD</t>
  </si>
  <si>
    <t>CHENQUE</t>
  </si>
  <si>
    <t>PAGO MAT AIRE ACONDICIONADO</t>
  </si>
  <si>
    <t>PAGO PISOS DE PB</t>
  </si>
  <si>
    <t>CONCEPTO</t>
  </si>
  <si>
    <t>%</t>
  </si>
  <si>
    <t>GASTO NOV</t>
  </si>
  <si>
    <t>GASTO DIC</t>
  </si>
  <si>
    <t>AGUA</t>
  </si>
  <si>
    <t>AGUA TERRENO</t>
  </si>
  <si>
    <t>LUZ</t>
  </si>
  <si>
    <t>LUZ TERRENO</t>
  </si>
  <si>
    <t>INTERNET</t>
  </si>
  <si>
    <t>ALQUILER</t>
  </si>
  <si>
    <t>GAS</t>
  </si>
  <si>
    <t>CAÑOS GAS</t>
  </si>
  <si>
    <t>CAJA DE GAS, MEDIDOR, PILAR</t>
  </si>
  <si>
    <t>CREDITO-S</t>
  </si>
  <si>
    <t>PRESUPUESTO ALBAÑIL LOSA RADIANTE 4.9 MILLONES - ENTREGA 1.150 MILLONES - SALDO 1.95 MILLONES</t>
  </si>
  <si>
    <t>PRESUPUESTO ALBAÑIL LOSA RADIANTE 4.9 MILLONES - ENTREGA 1.150 MILLONES - SALDO 1.45 MILLONES</t>
  </si>
  <si>
    <t>CANILLAS BAÑO NUESTRO</t>
  </si>
  <si>
    <t>MOTESSI PISOS ARRIBA</t>
  </si>
  <si>
    <t>ESCRIBANO</t>
  </si>
  <si>
    <t>PRESUPUESTO ALBAÑIL LOSA RADIANTE 4.9 MILLONES - ENTREGA 200 mil - SALDO 1.25 MILLONES</t>
  </si>
  <si>
    <t>COMPRA MATERIALES BAJADA TANQUE</t>
  </si>
  <si>
    <t>PAGO ESCRIBANO 2 PARTE</t>
  </si>
  <si>
    <t>DUCHA BAÑO</t>
  </si>
  <si>
    <t>PAGO ALBAÑIL</t>
  </si>
  <si>
    <t>LOSA RADIANTE</t>
  </si>
  <si>
    <t>INS AGUA</t>
  </si>
  <si>
    <t>ARMADO CLOACAS</t>
  </si>
  <si>
    <t>PRESUPUESTOS</t>
  </si>
  <si>
    <t>COSTO</t>
  </si>
  <si>
    <t>SALDO</t>
  </si>
  <si>
    <t>ENTREGADO</t>
  </si>
  <si>
    <t>ENTREGADO 07-02</t>
  </si>
  <si>
    <t>COMPRA TARUGOS</t>
  </si>
  <si>
    <t xml:space="preserve">PAGO ALBAÑIL </t>
  </si>
  <si>
    <t>ENTREGADO 10-02</t>
  </si>
  <si>
    <t>SOLERAS DURLOCK</t>
  </si>
  <si>
    <t>ENTREGADO 15-02</t>
  </si>
  <si>
    <t>COMPRA CAÑOS AGUA</t>
  </si>
  <si>
    <t>COMPRA AGUA ACCESORIOS</t>
  </si>
  <si>
    <t>PAGO BATEA LIMPIEZA</t>
  </si>
  <si>
    <t>ENTREGADO 19-02</t>
  </si>
  <si>
    <t>PAGO TARUGOS</t>
  </si>
  <si>
    <t>ENTREGADO 20-02</t>
  </si>
  <si>
    <t>ENTREGADO 22-02</t>
  </si>
  <si>
    <t>TECHO</t>
  </si>
  <si>
    <t>ENTREGADO 01-03</t>
  </si>
  <si>
    <t>COMPRA TARGUOS</t>
  </si>
  <si>
    <t>COMPRE CEMENTO</t>
  </si>
  <si>
    <t>FLEXIBLE CANILLAS</t>
  </si>
  <si>
    <t>TARUGOS</t>
  </si>
  <si>
    <t>ENTREGADO 07-03</t>
  </si>
  <si>
    <t>CAÑO CORRUGADOS</t>
  </si>
  <si>
    <t>DURLOK ( + 900 mil)</t>
  </si>
  <si>
    <t>COLOCACION ABERTURAS</t>
  </si>
  <si>
    <t>PISOS ALTA Y BAJA</t>
  </si>
  <si>
    <t>REPLANTEO ESCALERA</t>
  </si>
  <si>
    <t>VEREDA PERIMETRAL</t>
  </si>
  <si>
    <t>BANQUINAS COCINA</t>
  </si>
  <si>
    <t>REVESTIMIENTO COCINA</t>
  </si>
  <si>
    <t xml:space="preserve">REVE BAÑO SUITE. COLOCACIO ART </t>
  </si>
  <si>
    <t>REV BAÑO CHICO</t>
  </si>
  <si>
    <t>REV BAÑO ABAJO</t>
  </si>
  <si>
    <t>CARPETA EN PATIO PRIMER PISO</t>
  </si>
  <si>
    <t>REVOCAR MEDIANERA</t>
  </si>
  <si>
    <t>ENTREGADO 15-03</t>
  </si>
  <si>
    <t>PAGO A PLASTISUR</t>
  </si>
  <si>
    <t>FLETE FAVIO</t>
  </si>
  <si>
    <t>PAGO 300 MIL ALBAÑIL</t>
  </si>
  <si>
    <t>COMPRA CERAMICOS</t>
  </si>
  <si>
    <t>GASTO</t>
  </si>
  <si>
    <t>MES</t>
  </si>
  <si>
    <t>VALOR</t>
  </si>
  <si>
    <t xml:space="preserve">AGUA </t>
  </si>
  <si>
    <t>AGUA OBRA</t>
  </si>
  <si>
    <t>LUZ OBRA</t>
  </si>
  <si>
    <t>MARZO</t>
  </si>
  <si>
    <t>ABRIL</t>
  </si>
  <si>
    <t>AGUAOBRA</t>
  </si>
  <si>
    <t>COMPRA CAÑO CORRUGADO</t>
  </si>
  <si>
    <t>PAGO ARENA</t>
  </si>
  <si>
    <t>ENTREGA 04/04</t>
  </si>
  <si>
    <t>PAGO TORNILLOS</t>
  </si>
  <si>
    <t>PAGO ELECTRICISTA</t>
  </si>
  <si>
    <t>ENTREGA 11/04</t>
  </si>
  <si>
    <t>COMPRA DE COCINA</t>
  </si>
  <si>
    <t>ENTREGA 18/04</t>
  </si>
  <si>
    <t>MONTO</t>
  </si>
  <si>
    <t>PAGADO</t>
  </si>
  <si>
    <t>FOTO</t>
  </si>
  <si>
    <t>OBS</t>
  </si>
  <si>
    <t>VER</t>
  </si>
  <si>
    <t>DESCONTAR NOTA CRED</t>
  </si>
  <si>
    <t>FALTA FACTURAS LUCIANO</t>
  </si>
  <si>
    <t>PAGO MATERIALES</t>
  </si>
  <si>
    <t>ENTREGA 25/04</t>
  </si>
  <si>
    <t>ENTREGA 03/05</t>
  </si>
  <si>
    <t>COMPRA DE DURLOCK - LADRILLOS VIDRIO</t>
  </si>
  <si>
    <t>PAGO ARQUITECTA 3/3</t>
  </si>
  <si>
    <t>COMPRA CAL</t>
  </si>
  <si>
    <t>PAGO YESO 1.5 MILLONES ( PRESUPUESTO 6 MILLONES) - SALDO 4.5 MILLONES</t>
  </si>
  <si>
    <t>COMPRA SEPARADORES DE CERAMICA</t>
  </si>
  <si>
    <t>COLOCACION LADRILLOS</t>
  </si>
  <si>
    <t>RECUADROS Y FINO EN BALCON</t>
  </si>
  <si>
    <t>IMPERMIABILIZACION BALCON</t>
  </si>
  <si>
    <t>RELIZAR DINTEL PLANTA</t>
  </si>
  <si>
    <t>AMURADO SINTENA Y CARPETA CAIDA</t>
  </si>
  <si>
    <t>PINTAR 80 M2</t>
  </si>
  <si>
    <t>LIMPIEZA PATIO Y VECINO</t>
  </si>
  <si>
    <t>RECUADRO BALCON</t>
  </si>
  <si>
    <t>COMPRA CERAMICA BALCONES</t>
  </si>
  <si>
    <t>COMPRA DE PINTURA</t>
  </si>
  <si>
    <t>COMPRA PINTURA TECHO</t>
  </si>
  <si>
    <t>presupuesto NUEVO</t>
  </si>
  <si>
    <t>PAGO YESERO 1 MILLON ( TOTAL 2.5 MILLONES)</t>
  </si>
  <si>
    <t xml:space="preserve">DISCO DE CORTE, CEMENTO, SEPARADORES </t>
  </si>
  <si>
    <t>COMPRA DISCO</t>
  </si>
  <si>
    <t>COMPRA PEGAMENTO PORCELANATO</t>
  </si>
  <si>
    <t>COMPRA PORCELANATO</t>
  </si>
  <si>
    <t>PAGO TRANSPORTE CERAMICAS</t>
  </si>
  <si>
    <t>COMPRA DE CABLES</t>
  </si>
  <si>
    <t>PAGO HIDROGRUA</t>
  </si>
  <si>
    <t>PAGO DE SEPARADORES PORCELANATO</t>
  </si>
  <si>
    <t>INSTALACION DE ABERTIRUAS</t>
  </si>
  <si>
    <t>COMPRA DE PEGAMENTO PORCELANATO</t>
  </si>
  <si>
    <t>MANIJA</t>
  </si>
  <si>
    <t>TROPICAL BAÑO</t>
  </si>
  <si>
    <t>18/7/2025 - MATERIALES A FAVOR 1.870</t>
  </si>
  <si>
    <t>COMPRA VESTIDO Y PLACARD FELI</t>
  </si>
  <si>
    <t>SEÑA MUEBLES BAÑO</t>
  </si>
  <si>
    <t>PAGO ALBAÑIL LAVADERO</t>
  </si>
  <si>
    <t>PAGO PEGAMENTO PISO</t>
  </si>
  <si>
    <t>COMPRA LIJAS</t>
  </si>
  <si>
    <t>PAGO YESOSERO 1.5 MILLONES ( SALDO 2 MILLONES)</t>
  </si>
  <si>
    <t>ESPATULAS + PINTOR</t>
  </si>
  <si>
    <t>PAGO PINTOR</t>
  </si>
  <si>
    <t>COMPRA YESO</t>
  </si>
  <si>
    <t>COMPRA CONECTORES BAÑO</t>
  </si>
  <si>
    <t>COMPRA ACCESORIOS BAÑO</t>
  </si>
  <si>
    <t>PAGO ELECTRICISTA ( saldo 500 mil)</t>
  </si>
  <si>
    <t>COMPRA ACERO BAÑO</t>
  </si>
  <si>
    <t xml:space="preserve">PAGO YESISTA </t>
  </si>
  <si>
    <t>COMPRA ARENA FINA</t>
  </si>
  <si>
    <t>COMPRA PEGAMENTO INODORO</t>
  </si>
  <si>
    <t>COMPRA ACCESORIOS PINTURA</t>
  </si>
  <si>
    <t>PAGO BAÑOS CARPINTERO</t>
  </si>
  <si>
    <t>COMPRA MICROCEMENTO</t>
  </si>
  <si>
    <t>COMPRA PICAPORTES Y REJILLAS</t>
  </si>
  <si>
    <t>MATERIALES ELECTRICOS</t>
  </si>
  <si>
    <t xml:space="preserve">PINTURA </t>
  </si>
  <si>
    <t>COMPRA ENDUIDO- TACURU</t>
  </si>
  <si>
    <t>MURO DE CONTECION VEREDA</t>
  </si>
  <si>
    <t>COMPRA BOTONES</t>
  </si>
  <si>
    <t>RESTANTE</t>
  </si>
  <si>
    <t xml:space="preserve">RESTANTE </t>
  </si>
  <si>
    <t>MATERIALES A MI FAVOR</t>
  </si>
  <si>
    <t>PRESUPUESTOS NUEVOS</t>
  </si>
  <si>
    <t>RESTANDO REESTIMIENTO COCINA</t>
  </si>
  <si>
    <t>MURO VEREDA PERIMETRAL</t>
  </si>
  <si>
    <t>RAMPA</t>
  </si>
  <si>
    <t>CLOACAS LEVANTAR</t>
  </si>
  <si>
    <t>SCALERAS</t>
  </si>
  <si>
    <t>COLOCACIONE PICAPORTES + REJILLAS</t>
  </si>
  <si>
    <t>CONTRAMARCOS ( CANTIDAD 8)</t>
  </si>
  <si>
    <t>COLOCACION VIDET INODOROS ( 3)</t>
  </si>
  <si>
    <t>COLOCACION TOALLERES ( 3)</t>
  </si>
  <si>
    <t>ENTREGA 05/09</t>
  </si>
  <si>
    <t>PRESUPUESTO ANTERIOR</t>
  </si>
  <si>
    <t>COMPRA TORNILLOS Y COLESTIVOS</t>
  </si>
  <si>
    <t>PAGO MAQUINA</t>
  </si>
  <si>
    <t>PORTA ROLLOS</t>
  </si>
  <si>
    <t>PERCHA</t>
  </si>
  <si>
    <t>BOTONES CADENA</t>
  </si>
  <si>
    <t>BACHAS</t>
  </si>
  <si>
    <t>COMPRA REGLA / ALAMBRE</t>
  </si>
  <si>
    <t>PIEDRA</t>
  </si>
  <si>
    <t>COMPRA VARIAS, CONECTOR GAS</t>
  </si>
  <si>
    <t>ENTREGA 19/09</t>
  </si>
  <si>
    <t>Entrega 23/09</t>
  </si>
  <si>
    <t>PAGA PINTOR</t>
  </si>
  <si>
    <t>Entrega 26/09</t>
  </si>
  <si>
    <t>COMPRA ACCESORIO CALDERA</t>
  </si>
  <si>
    <t>PINTOR</t>
  </si>
  <si>
    <t>PINTURA Y LIJAS</t>
  </si>
  <si>
    <t>PRESUPUESTO NUEVO</t>
  </si>
  <si>
    <t>1 ANAFE</t>
  </si>
  <si>
    <t>GRIFERIA Y DESAGUE (4 UNI)</t>
  </si>
  <si>
    <t>GRIFERIA Y DESAGUE COCINA</t>
  </si>
  <si>
    <t>ACOMODAR MUEBLE COCINA</t>
  </si>
  <si>
    <t>UMBRALES</t>
  </si>
  <si>
    <t>3 PULSADORES</t>
  </si>
  <si>
    <t>2 GRIFERIAS DUCHAS</t>
  </si>
  <si>
    <t>PINTURA</t>
  </si>
  <si>
    <t>ASADO</t>
  </si>
  <si>
    <t>Entrega 04/10</t>
  </si>
  <si>
    <t xml:space="preserve">Entrega 04/10 </t>
  </si>
  <si>
    <t>COMPRA ACCESORIOS BAÑOS TOALLEROS</t>
  </si>
  <si>
    <t>COMPRA PINCILES Y LIJAS</t>
  </si>
  <si>
    <t>COMPRA DESAGUES + FLETE</t>
  </si>
  <si>
    <t>COMPRE PINTURA</t>
  </si>
  <si>
    <t>Debo</t>
  </si>
  <si>
    <t>Entrega 10/10 ( 1.15 MILLONES)</t>
  </si>
  <si>
    <t>Entrega 13/10 ( 200 mil)</t>
  </si>
  <si>
    <t>COMPRA MASILLA</t>
  </si>
  <si>
    <t>COMPRA CONEXIÓN EXTRACTOR</t>
  </si>
  <si>
    <t>COMPRA ACCESOIRIOS</t>
  </si>
  <si>
    <t>COMPRA SPOTS</t>
  </si>
  <si>
    <t>COMPRA</t>
  </si>
  <si>
    <t>Entrega 18/10</t>
  </si>
  <si>
    <t xml:space="preserve">SALDO ESCALERA </t>
  </si>
  <si>
    <t>SALDO CONTRAMARCOS</t>
  </si>
  <si>
    <t>Entrega 18/10(1500000)</t>
  </si>
  <si>
    <t>SUBTOTAL</t>
  </si>
  <si>
    <t>GASTOS VARIOS - HERRAMIENTAS - POXIMIS, TORNILLOS</t>
  </si>
  <si>
    <t>Entrega 24/06 2120000</t>
  </si>
  <si>
    <t>TOTAL - SALDO PRESUPUESTOS</t>
  </si>
  <si>
    <t>TAREAS VARIAS PRESUESTO</t>
  </si>
  <si>
    <t>COMPRE LED</t>
  </si>
  <si>
    <t>PAGO CEMENTO + VALVULA REGULACION</t>
  </si>
  <si>
    <t>ENTREGA  3 MILONES (1410000)</t>
  </si>
  <si>
    <t>´PRESUPUESTO NUEVO</t>
  </si>
  <si>
    <t>PAGOO 09/10 (700 MIL)</t>
  </si>
  <si>
    <t>GASTOS VARIOS</t>
  </si>
  <si>
    <t>ENTRGA 800 MIL</t>
  </si>
  <si>
    <t>PAGO RESTO CALDERA</t>
  </si>
  <si>
    <t>COMPRA ZOCALOS</t>
  </si>
  <si>
    <t xml:space="preserve">COMPRA DE SILICOSNAS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</si>
</sst>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3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30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" fontId="0" fillId="0" borderId="1" xfId="0" applyNumberFormat="1" applyBorder="1"/>
    <xf numFmtId="0" fontId="2" fillId="0" borderId="1" xfId="0" applyFont="1" applyBorder="1"/>
    <xf numFmtId="0" fontId="0" fillId="2" borderId="1" xfId="0" applyFill="1" applyBorder="1"/>
    <xf numFmtId="0" fontId="0" fillId="0" borderId="2" xfId="0" applyBorder="1"/>
    <xf numFmtId="14" fontId="0" fillId="3" borderId="1" xfId="0" applyNumberFormat="1" applyFill="1" applyBorder="1"/>
    <xf numFmtId="0" fontId="0" fillId="3" borderId="1" xfId="0" applyFill="1" applyBorder="1"/>
    <xf numFmtId="14" fontId="0" fillId="3" borderId="2" xfId="0" applyNumberFormat="1" applyFill="1" applyBorder="1"/>
    <xf numFmtId="0" fontId="0" fillId="3" borderId="2" xfId="0" applyFill="1" applyBorder="1"/>
    <xf numFmtId="0" fontId="3" fillId="3" borderId="1" xfId="0" applyFont="1" applyFill="1" applyBorder="1"/>
    <xf numFmtId="0" fontId="1" fillId="3" borderId="1" xfId="0" applyFont="1" applyFill="1" applyBorder="1"/>
    <xf numFmtId="14" fontId="0" fillId="0" borderId="2" xfId="0" applyNumberForma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6" fillId="3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3" xfId="0" applyBorder="1"/>
    <xf numFmtId="0" fontId="10" fillId="0" borderId="0" xfId="0" applyFont="1"/>
    <xf numFmtId="0" fontId="11" fillId="0" borderId="0" xfId="0" applyFont="1"/>
    <xf numFmtId="0" fontId="0" fillId="4" borderId="1" xfId="0" applyFill="1" applyBorder="1"/>
    <xf numFmtId="0" fontId="0" fillId="0" borderId="4" xfId="0" applyBorder="1"/>
    <xf numFmtId="14" fontId="0" fillId="0" borderId="0" xfId="0" applyNumberFormat="1"/>
    <xf numFmtId="0" fontId="2" fillId="0" borderId="0" xfId="0" applyFont="1"/>
    <xf numFmtId="0" fontId="12" fillId="0" borderId="0" xfId="0" applyFont="1"/>
    <xf numFmtId="0" fontId="13" fillId="0" borderId="0" xfId="0" applyFont="1"/>
    <xf numFmtId="0" fontId="12" fillId="0" borderId="1" xfId="0" applyFont="1" applyBorder="1"/>
    <xf numFmtId="0" fontId="14" fillId="0" borderId="0" xfId="0" applyFont="1"/>
    <xf numFmtId="0" fontId="15" fillId="0" borderId="1" xfId="0" applyFont="1" applyBorder="1"/>
    <xf numFmtId="0" fontId="0" fillId="3" borderId="1" xfId="0" applyFill="1" applyBorder="1" applyAlignment="1">
      <alignment vertical="center"/>
    </xf>
    <xf numFmtId="0" fontId="16" fillId="0" borderId="1" xfId="0" applyFont="1" applyBorder="1"/>
    <xf numFmtId="0" fontId="15" fillId="0" borderId="0" xfId="0" applyFont="1"/>
    <xf numFmtId="3" fontId="0" fillId="0" borderId="1" xfId="0" applyNumberFormat="1" applyBorder="1"/>
    <xf numFmtId="0" fontId="17" fillId="0" borderId="1" xfId="0" applyFont="1" applyBorder="1"/>
    <xf numFmtId="0" fontId="0" fillId="5" borderId="1" xfId="0" applyFill="1" applyBorder="1"/>
    <xf numFmtId="3" fontId="0" fillId="5" borderId="1" xfId="0" applyNumberFormat="1" applyFill="1" applyBorder="1"/>
    <xf numFmtId="0" fontId="18" fillId="0" borderId="1" xfId="0" applyFont="1" applyBorder="1"/>
    <xf numFmtId="0" fontId="0" fillId="3" borderId="3" xfId="0" applyFill="1" applyBorder="1"/>
    <xf numFmtId="0" fontId="17" fillId="0" borderId="2" xfId="0" applyFont="1" applyBorder="1"/>
    <xf numFmtId="0" fontId="0" fillId="3" borderId="0" xfId="0" applyFill="1"/>
    <xf numFmtId="0" fontId="0" fillId="5" borderId="0" xfId="0" applyFill="1"/>
    <xf numFmtId="0" fontId="0" fillId="6" borderId="1" xfId="0" applyFill="1" applyBorder="1"/>
    <xf numFmtId="0" fontId="19" fillId="0" borderId="1" xfId="0" applyFont="1" applyBorder="1"/>
    <xf numFmtId="0" fontId="0" fillId="5" borderId="3" xfId="0" applyFill="1" applyBorder="1"/>
    <xf numFmtId="14" fontId="0" fillId="3" borderId="0" xfId="0" applyNumberFormat="1" applyFill="1"/>
    <xf numFmtId="0" fontId="18" fillId="0" borderId="4" xfId="0" applyFont="1" applyBorder="1"/>
    <xf numFmtId="0" fontId="0" fillId="0" borderId="5" xfId="0" applyBorder="1"/>
    <xf numFmtId="0" fontId="18" fillId="0" borderId="5" xfId="0" applyFont="1" applyBorder="1"/>
    <xf numFmtId="0" fontId="14" fillId="0" borderId="1" xfId="0" applyFont="1" applyBorder="1"/>
    <xf numFmtId="0" fontId="20" fillId="0" borderId="1" xfId="0" applyFont="1" applyBorder="1"/>
    <xf numFmtId="0" fontId="21" fillId="0" borderId="5" xfId="0" applyFont="1" applyBorder="1"/>
    <xf numFmtId="0" fontId="22" fillId="0" borderId="1" xfId="0" applyFont="1" applyBorder="1"/>
    <xf numFmtId="0" fontId="2" fillId="0" borderId="5" xfId="0" applyFont="1" applyBorder="1"/>
    <xf numFmtId="0" fontId="0" fillId="6" borderId="0" xfId="0" applyFill="1"/>
    <xf numFmtId="0" fontId="0" fillId="6" borderId="4" xfId="0" applyFill="1" applyBorder="1"/>
    <xf numFmtId="0" fontId="18" fillId="6" borderId="4" xfId="0" applyFont="1" applyFill="1" applyBorder="1"/>
    <xf numFmtId="16" fontId="1" fillId="0" borderId="1" xfId="0" applyNumberFormat="1" applyFont="1" applyBorder="1"/>
    <xf numFmtId="14" fontId="1" fillId="0" borderId="0" xfId="0" applyNumberFormat="1" applyFont="1"/>
    <xf numFmtId="14" fontId="1" fillId="0" borderId="1" xfId="0" applyNumberFormat="1" applyFont="1" applyBorder="1"/>
    <xf numFmtId="14" fontId="1" fillId="0" borderId="5" xfId="0" applyNumberFormat="1" applyFont="1" applyBorder="1"/>
    <xf numFmtId="0" fontId="2" fillId="3" borderId="1" xfId="0" applyFont="1" applyFill="1" applyBorder="1"/>
    <xf numFmtId="0" fontId="23" fillId="0" borderId="1" xfId="0" applyFont="1" applyBorder="1"/>
    <xf numFmtId="14" fontId="1" fillId="0" borderId="4" xfId="0" applyNumberFormat="1" applyFont="1" applyBorder="1"/>
    <xf numFmtId="0" fontId="2" fillId="3" borderId="2" xfId="0" applyFont="1" applyFill="1" applyBorder="1"/>
    <xf numFmtId="0" fontId="0" fillId="0" borderId="6" xfId="0" applyBorder="1"/>
    <xf numFmtId="0" fontId="14" fillId="0" borderId="7" xfId="0" applyFont="1" applyBorder="1"/>
    <xf numFmtId="0" fontId="2" fillId="0" borderId="11" xfId="0" applyFont="1" applyBorder="1"/>
    <xf numFmtId="0" fontId="2" fillId="0" borderId="12" xfId="0" applyFont="1" applyBorder="1"/>
    <xf numFmtId="0" fontId="23" fillId="0" borderId="11" xfId="0" applyFont="1" applyBorder="1"/>
    <xf numFmtId="0" fontId="14" fillId="0" borderId="11" xfId="0" applyFont="1" applyBorder="1"/>
    <xf numFmtId="0" fontId="24" fillId="0" borderId="11" xfId="0" applyFont="1" applyBorder="1"/>
    <xf numFmtId="0" fontId="14" fillId="0" borderId="9" xfId="0" applyFont="1" applyBorder="1"/>
    <xf numFmtId="0" fontId="23" fillId="0" borderId="9" xfId="0" applyFont="1" applyBorder="1"/>
    <xf numFmtId="0" fontId="24" fillId="0" borderId="9" xfId="0" applyFont="1" applyBorder="1"/>
    <xf numFmtId="0" fontId="24" fillId="0" borderId="1" xfId="0" applyFont="1" applyBorder="1"/>
    <xf numFmtId="0" fontId="15" fillId="0" borderId="1" xfId="0" applyFont="1" applyBorder="1" applyAlignment="1">
      <alignment wrapText="1"/>
    </xf>
    <xf numFmtId="0" fontId="25" fillId="0" borderId="1" xfId="0" applyFont="1" applyBorder="1"/>
    <xf numFmtId="0" fontId="15" fillId="3" borderId="1" xfId="0" applyFont="1" applyFill="1" applyBorder="1"/>
    <xf numFmtId="0" fontId="28" fillId="0" borderId="1" xfId="0" applyFont="1" applyBorder="1"/>
    <xf numFmtId="0" fontId="26" fillId="3" borderId="1" xfId="0" applyFont="1" applyFill="1" applyBorder="1"/>
    <xf numFmtId="0" fontId="15" fillId="3" borderId="1" xfId="0" applyFont="1" applyFill="1" applyBorder="1" applyAlignment="1">
      <alignment wrapText="1"/>
    </xf>
    <xf numFmtId="0" fontId="27" fillId="0" borderId="1" xfId="0" applyFont="1" applyBorder="1"/>
    <xf numFmtId="0" fontId="27" fillId="3" borderId="1" xfId="0" applyFont="1" applyFill="1" applyBorder="1"/>
    <xf numFmtId="0" fontId="23" fillId="3" borderId="1" xfId="0" applyFont="1" applyFill="1" applyBorder="1"/>
    <xf numFmtId="0" fontId="23" fillId="0" borderId="13" xfId="0" applyFont="1" applyBorder="1"/>
    <xf numFmtId="0" fontId="23" fillId="0" borderId="14" xfId="0" applyFont="1" applyBorder="1"/>
    <xf numFmtId="0" fontId="0" fillId="0" borderId="14" xfId="0" applyBorder="1"/>
    <xf numFmtId="0" fontId="23" fillId="0" borderId="17" xfId="0" applyFont="1" applyBorder="1"/>
    <xf numFmtId="0" fontId="23" fillId="0" borderId="18" xfId="0" applyFont="1" applyBorder="1"/>
    <xf numFmtId="0" fontId="0" fillId="0" borderId="18" xfId="0" applyBorder="1"/>
    <xf numFmtId="0" fontId="1" fillId="0" borderId="5" xfId="0" applyFont="1" applyBorder="1"/>
    <xf numFmtId="0" fontId="23" fillId="0" borderId="5" xfId="0" applyFont="1" applyBorder="1"/>
    <xf numFmtId="0" fontId="23" fillId="0" borderId="20" xfId="0" applyFont="1" applyBorder="1"/>
    <xf numFmtId="0" fontId="23" fillId="0" borderId="21" xfId="0" applyFont="1" applyBorder="1"/>
    <xf numFmtId="0" fontId="15" fillId="3" borderId="3" xfId="0" applyFont="1" applyFill="1" applyBorder="1"/>
    <xf numFmtId="0" fontId="0" fillId="0" borderId="22" xfId="0" applyBorder="1"/>
    <xf numFmtId="0" fontId="23" fillId="0" borderId="23" xfId="0" applyFont="1" applyBorder="1"/>
    <xf numFmtId="0" fontId="14" fillId="0" borderId="13" xfId="0" applyFont="1" applyBorder="1"/>
    <xf numFmtId="0" fontId="14" fillId="0" borderId="14" xfId="0" applyFont="1" applyBorder="1"/>
    <xf numFmtId="0" fontId="14" fillId="0" borderId="16" xfId="0" applyFont="1" applyBorder="1"/>
    <xf numFmtId="0" fontId="23" fillId="0" borderId="24" xfId="0" applyFont="1" applyBorder="1"/>
    <xf numFmtId="0" fontId="23" fillId="0" borderId="25" xfId="0" applyFont="1" applyBorder="1"/>
    <xf numFmtId="0" fontId="14" fillId="0" borderId="26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5" fillId="0" borderId="0" xfId="0" applyFont="1"/>
    <xf numFmtId="0" fontId="14" fillId="0" borderId="29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8" fillId="0" borderId="15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0DBA-058C-4195-A8E9-CCA0578CA1AF}">
  <dimension ref="A1:H602"/>
  <sheetViews>
    <sheetView tabSelected="1" topLeftCell="A588" workbookViewId="0">
      <selection activeCell="B596" sqref="B596"/>
    </sheetView>
  </sheetViews>
  <sheetFormatPr baseColWidth="10" defaultRowHeight="15" x14ac:dyDescent="0.25"/>
  <cols>
    <col min="2" max="2" width="106.85546875" customWidth="1"/>
    <col min="6" max="6" width="20.85546875" bestFit="1" customWidth="1"/>
    <col min="8" max="8" width="55.7109375" customWidth="1"/>
  </cols>
  <sheetData>
    <row r="1" spans="1:8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7</v>
      </c>
      <c r="G1" s="1" t="s">
        <v>14</v>
      </c>
      <c r="H1" s="1" t="s">
        <v>19</v>
      </c>
    </row>
    <row r="2" spans="1:8" x14ac:dyDescent="0.25">
      <c r="A2" s="2">
        <v>44628</v>
      </c>
      <c r="B2" s="3" t="s">
        <v>6</v>
      </c>
      <c r="C2" s="3">
        <v>12500</v>
      </c>
      <c r="D2" s="3">
        <v>62.5</v>
      </c>
      <c r="E2" s="3" t="s">
        <v>5</v>
      </c>
      <c r="F2" s="3">
        <v>200</v>
      </c>
      <c r="G2" s="3"/>
      <c r="H2" s="3"/>
    </row>
    <row r="3" spans="1:8" x14ac:dyDescent="0.25">
      <c r="A3" s="2">
        <v>44629</v>
      </c>
      <c r="B3" s="3" t="s">
        <v>8</v>
      </c>
      <c r="C3" s="3">
        <v>240376</v>
      </c>
      <c r="D3" s="3">
        <f t="shared" ref="D3:D16" si="0">C3/F3</f>
        <v>1201.8800000000001</v>
      </c>
      <c r="E3" s="3" t="s">
        <v>5</v>
      </c>
      <c r="F3" s="3">
        <v>200</v>
      </c>
      <c r="G3" s="3">
        <f>0.21*C3</f>
        <v>50478.96</v>
      </c>
      <c r="H3" s="3"/>
    </row>
    <row r="4" spans="1:8" x14ac:dyDescent="0.25">
      <c r="A4" s="4">
        <v>44631</v>
      </c>
      <c r="B4" s="3" t="s">
        <v>9</v>
      </c>
      <c r="C4" s="3">
        <v>240000</v>
      </c>
      <c r="D4" s="3">
        <f t="shared" si="0"/>
        <v>1200</v>
      </c>
      <c r="E4" s="3" t="s">
        <v>5</v>
      </c>
      <c r="F4" s="3">
        <v>200</v>
      </c>
      <c r="G4" s="3"/>
      <c r="H4" s="3"/>
    </row>
    <row r="5" spans="1:8" x14ac:dyDescent="0.25">
      <c r="A5" s="4">
        <v>44631</v>
      </c>
      <c r="B5" s="3" t="s">
        <v>9</v>
      </c>
      <c r="C5" s="3">
        <v>20000</v>
      </c>
      <c r="D5" s="3">
        <f t="shared" si="0"/>
        <v>100</v>
      </c>
      <c r="E5" s="3" t="s">
        <v>10</v>
      </c>
      <c r="F5" s="3">
        <v>200</v>
      </c>
      <c r="G5" s="3"/>
      <c r="H5" s="3"/>
    </row>
    <row r="6" spans="1:8" x14ac:dyDescent="0.25">
      <c r="A6" s="2">
        <v>44637</v>
      </c>
      <c r="B6" s="3" t="s">
        <v>11</v>
      </c>
      <c r="C6" s="3">
        <v>84771</v>
      </c>
      <c r="D6" s="3">
        <f t="shared" si="0"/>
        <v>423.85500000000002</v>
      </c>
      <c r="E6" s="3" t="s">
        <v>10</v>
      </c>
      <c r="F6" s="3">
        <v>200</v>
      </c>
      <c r="G6" s="3"/>
      <c r="H6" s="3"/>
    </row>
    <row r="7" spans="1:8" x14ac:dyDescent="0.25">
      <c r="A7" s="2">
        <v>44637</v>
      </c>
      <c r="B7" s="3" t="s">
        <v>12</v>
      </c>
      <c r="C7" s="3">
        <v>39866</v>
      </c>
      <c r="D7" s="3">
        <f t="shared" si="0"/>
        <v>199.33</v>
      </c>
      <c r="E7" s="3" t="s">
        <v>5</v>
      </c>
      <c r="F7" s="3">
        <v>200</v>
      </c>
      <c r="G7" s="3"/>
      <c r="H7" s="3"/>
    </row>
    <row r="8" spans="1:8" x14ac:dyDescent="0.25">
      <c r="A8" s="2">
        <v>44637</v>
      </c>
      <c r="B8" s="3" t="s">
        <v>17</v>
      </c>
      <c r="C8" s="3">
        <v>91413.08</v>
      </c>
      <c r="D8" s="3">
        <f t="shared" si="0"/>
        <v>457.06540000000001</v>
      </c>
      <c r="E8" s="3" t="s">
        <v>5</v>
      </c>
      <c r="F8" s="3">
        <v>200</v>
      </c>
      <c r="G8" s="3"/>
      <c r="H8" s="3"/>
    </row>
    <row r="9" spans="1:8" x14ac:dyDescent="0.25">
      <c r="A9" s="2">
        <v>44641</v>
      </c>
      <c r="B9" s="3" t="s">
        <v>13</v>
      </c>
      <c r="C9" s="3">
        <v>198000</v>
      </c>
      <c r="D9" s="3">
        <f t="shared" si="0"/>
        <v>985.07462686567169</v>
      </c>
      <c r="E9" s="3" t="s">
        <v>5</v>
      </c>
      <c r="F9" s="3">
        <v>201</v>
      </c>
      <c r="G9" s="3"/>
      <c r="H9" s="3"/>
    </row>
    <row r="10" spans="1:8" x14ac:dyDescent="0.25">
      <c r="A10" s="2">
        <v>44641</v>
      </c>
      <c r="B10" s="3" t="s">
        <v>15</v>
      </c>
      <c r="C10" s="3">
        <v>4410</v>
      </c>
      <c r="D10" s="3">
        <f t="shared" si="0"/>
        <v>21.940298507462686</v>
      </c>
      <c r="E10" s="3" t="s">
        <v>5</v>
      </c>
      <c r="F10" s="3">
        <v>201</v>
      </c>
      <c r="G10" s="3">
        <f>0.21*C10</f>
        <v>926.09999999999991</v>
      </c>
      <c r="H10" s="3"/>
    </row>
    <row r="11" spans="1:8" x14ac:dyDescent="0.25">
      <c r="A11" s="2">
        <v>44643</v>
      </c>
      <c r="B11" s="3" t="s">
        <v>16</v>
      </c>
      <c r="C11" s="3">
        <v>1900</v>
      </c>
      <c r="D11" s="3">
        <f t="shared" si="0"/>
        <v>9.4527363184079594</v>
      </c>
      <c r="E11" s="3" t="s">
        <v>5</v>
      </c>
      <c r="F11" s="3">
        <v>201</v>
      </c>
      <c r="G11" s="3"/>
      <c r="H11" s="3"/>
    </row>
    <row r="12" spans="1:8" x14ac:dyDescent="0.25">
      <c r="A12" s="2">
        <v>44651</v>
      </c>
      <c r="B12" s="3" t="s">
        <v>18</v>
      </c>
      <c r="C12" s="3">
        <v>25000</v>
      </c>
      <c r="D12" s="3">
        <f t="shared" si="0"/>
        <v>125</v>
      </c>
      <c r="E12" s="3" t="s">
        <v>5</v>
      </c>
      <c r="F12" s="3">
        <v>200</v>
      </c>
      <c r="G12" s="3"/>
      <c r="H12" s="3"/>
    </row>
    <row r="13" spans="1:8" x14ac:dyDescent="0.25">
      <c r="A13" s="2">
        <v>44651</v>
      </c>
      <c r="B13" s="3" t="s">
        <v>20</v>
      </c>
      <c r="C13" s="3">
        <v>20649.400000000001</v>
      </c>
      <c r="D13" s="3">
        <f t="shared" si="0"/>
        <v>103.24700000000001</v>
      </c>
      <c r="E13" s="3" t="s">
        <v>5</v>
      </c>
      <c r="F13" s="3">
        <v>200</v>
      </c>
      <c r="G13" s="3">
        <f>0.21*C13</f>
        <v>4336.3739999999998</v>
      </c>
      <c r="H13" s="3"/>
    </row>
    <row r="14" spans="1:8" x14ac:dyDescent="0.25">
      <c r="A14" s="2">
        <v>44651</v>
      </c>
      <c r="B14" s="3" t="s">
        <v>21</v>
      </c>
      <c r="C14" s="3">
        <v>485140</v>
      </c>
      <c r="D14" s="3">
        <f t="shared" si="0"/>
        <v>2425.6999999999998</v>
      </c>
      <c r="E14" s="3" t="s">
        <v>5</v>
      </c>
      <c r="F14" s="3">
        <v>200</v>
      </c>
      <c r="G14" s="3">
        <f>0.21*C14</f>
        <v>101879.4</v>
      </c>
      <c r="H14" s="3"/>
    </row>
    <row r="15" spans="1:8" x14ac:dyDescent="0.25">
      <c r="A15" s="2">
        <v>44651</v>
      </c>
      <c r="B15" s="3" t="s">
        <v>22</v>
      </c>
      <c r="C15" s="3">
        <v>64655.7</v>
      </c>
      <c r="D15" s="3">
        <f t="shared" si="0"/>
        <v>323.27850000000001</v>
      </c>
      <c r="E15" s="3" t="s">
        <v>5</v>
      </c>
      <c r="F15" s="3">
        <v>200</v>
      </c>
      <c r="G15" s="3">
        <f>0.21*C15</f>
        <v>13577.696999999998</v>
      </c>
      <c r="H15" s="3"/>
    </row>
    <row r="16" spans="1:8" x14ac:dyDescent="0.25">
      <c r="A16" s="2">
        <v>44651</v>
      </c>
      <c r="B16" s="3" t="s">
        <v>23</v>
      </c>
      <c r="C16" s="3">
        <v>243375</v>
      </c>
      <c r="D16" s="3">
        <f t="shared" si="0"/>
        <v>1216.875</v>
      </c>
      <c r="E16" s="3" t="s">
        <v>5</v>
      </c>
      <c r="F16" s="3">
        <v>200</v>
      </c>
      <c r="G16" s="3">
        <f>0.21*C16</f>
        <v>51108.75</v>
      </c>
      <c r="H16" s="3" t="s">
        <v>25</v>
      </c>
    </row>
    <row r="17" spans="1:8" x14ac:dyDescent="0.25">
      <c r="A17" s="2">
        <v>44655</v>
      </c>
      <c r="B17" s="3" t="s">
        <v>51</v>
      </c>
      <c r="C17" s="3">
        <v>0</v>
      </c>
      <c r="D17" s="3"/>
      <c r="E17" s="3" t="s">
        <v>26</v>
      </c>
      <c r="F17" s="3"/>
      <c r="G17" s="3">
        <f>0.21*C17</f>
        <v>0</v>
      </c>
      <c r="H17" s="6" t="s">
        <v>27</v>
      </c>
    </row>
    <row r="18" spans="1:8" x14ac:dyDescent="0.25">
      <c r="A18" s="8">
        <v>44656</v>
      </c>
      <c r="B18" s="9" t="s">
        <v>28</v>
      </c>
      <c r="C18" s="9">
        <v>3000</v>
      </c>
      <c r="D18" s="9">
        <f t="shared" ref="D18:D49" si="1">C18/F18</f>
        <v>15</v>
      </c>
      <c r="E18" s="9" t="s">
        <v>5</v>
      </c>
      <c r="F18" s="9">
        <v>200</v>
      </c>
      <c r="G18" s="9"/>
      <c r="H18" s="9"/>
    </row>
    <row r="19" spans="1:8" x14ac:dyDescent="0.25">
      <c r="A19" s="8">
        <v>44664</v>
      </c>
      <c r="B19" s="9" t="s">
        <v>29</v>
      </c>
      <c r="C19" s="9">
        <v>14600</v>
      </c>
      <c r="D19" s="9">
        <f t="shared" si="1"/>
        <v>73.737373737373744</v>
      </c>
      <c r="E19" s="9" t="s">
        <v>5</v>
      </c>
      <c r="F19" s="9">
        <v>198</v>
      </c>
      <c r="G19" s="9">
        <f>0.21*C19</f>
        <v>3066</v>
      </c>
      <c r="H19" s="9" t="s">
        <v>63</v>
      </c>
    </row>
    <row r="20" spans="1:8" x14ac:dyDescent="0.25">
      <c r="A20" s="8">
        <v>44664</v>
      </c>
      <c r="B20" s="9" t="s">
        <v>30</v>
      </c>
      <c r="C20" s="9">
        <v>3300</v>
      </c>
      <c r="D20" s="9">
        <f t="shared" si="1"/>
        <v>16.666666666666668</v>
      </c>
      <c r="E20" s="9" t="s">
        <v>5</v>
      </c>
      <c r="F20" s="9">
        <v>198</v>
      </c>
      <c r="G20" s="9">
        <f>0.21*C20</f>
        <v>693</v>
      </c>
      <c r="H20" s="9" t="s">
        <v>63</v>
      </c>
    </row>
    <row r="21" spans="1:8" x14ac:dyDescent="0.25">
      <c r="A21" s="8">
        <v>44664</v>
      </c>
      <c r="B21" s="9" t="s">
        <v>31</v>
      </c>
      <c r="C21" s="9">
        <v>15500</v>
      </c>
      <c r="D21" s="9">
        <f t="shared" si="1"/>
        <v>78.282828282828277</v>
      </c>
      <c r="E21" s="9" t="s">
        <v>5</v>
      </c>
      <c r="F21" s="9">
        <v>198</v>
      </c>
      <c r="G21" s="9"/>
      <c r="H21" s="9"/>
    </row>
    <row r="22" spans="1:8" x14ac:dyDescent="0.25">
      <c r="A22" s="8">
        <v>44669</v>
      </c>
      <c r="B22" s="9" t="s">
        <v>32</v>
      </c>
      <c r="C22" s="9">
        <v>30000</v>
      </c>
      <c r="D22" s="9">
        <f t="shared" si="1"/>
        <v>151.5151515151515</v>
      </c>
      <c r="E22" s="9" t="s">
        <v>5</v>
      </c>
      <c r="F22" s="9">
        <v>198</v>
      </c>
      <c r="G22" s="9"/>
      <c r="H22" s="9"/>
    </row>
    <row r="23" spans="1:8" x14ac:dyDescent="0.25">
      <c r="A23" s="8">
        <v>44684</v>
      </c>
      <c r="B23" s="9" t="s">
        <v>33</v>
      </c>
      <c r="C23" s="9">
        <v>1800</v>
      </c>
      <c r="D23" s="9">
        <f t="shared" si="1"/>
        <v>9</v>
      </c>
      <c r="E23" s="9" t="s">
        <v>5</v>
      </c>
      <c r="F23" s="9">
        <v>200</v>
      </c>
      <c r="G23" s="9"/>
      <c r="H23" s="9"/>
    </row>
    <row r="24" spans="1:8" x14ac:dyDescent="0.25">
      <c r="A24" s="8">
        <v>44685</v>
      </c>
      <c r="B24" s="9" t="s">
        <v>34</v>
      </c>
      <c r="C24" s="9">
        <v>4170</v>
      </c>
      <c r="D24" s="9">
        <f t="shared" si="1"/>
        <v>20.85</v>
      </c>
      <c r="E24" s="9" t="s">
        <v>5</v>
      </c>
      <c r="F24" s="9">
        <v>200</v>
      </c>
      <c r="G24" s="9">
        <f>0.21*C24</f>
        <v>875.69999999999993</v>
      </c>
      <c r="H24" s="9" t="s">
        <v>63</v>
      </c>
    </row>
    <row r="25" spans="1:8" x14ac:dyDescent="0.25">
      <c r="A25" s="8">
        <v>44685</v>
      </c>
      <c r="B25" s="9" t="s">
        <v>35</v>
      </c>
      <c r="C25" s="9">
        <v>4100</v>
      </c>
      <c r="D25" s="9">
        <f t="shared" si="1"/>
        <v>20.5</v>
      </c>
      <c r="E25" s="9" t="s">
        <v>5</v>
      </c>
      <c r="F25" s="9">
        <v>200</v>
      </c>
      <c r="G25" s="9">
        <f>0.21*C25</f>
        <v>861</v>
      </c>
      <c r="H25" s="9" t="s">
        <v>63</v>
      </c>
    </row>
    <row r="26" spans="1:8" x14ac:dyDescent="0.25">
      <c r="A26" s="8">
        <v>44685</v>
      </c>
      <c r="B26" s="9" t="s">
        <v>36</v>
      </c>
      <c r="C26" s="9">
        <v>100000</v>
      </c>
      <c r="D26" s="9">
        <f t="shared" si="1"/>
        <v>500</v>
      </c>
      <c r="E26" s="9" t="s">
        <v>10</v>
      </c>
      <c r="F26" s="9">
        <v>200</v>
      </c>
      <c r="G26" s="9"/>
      <c r="H26" s="9"/>
    </row>
    <row r="27" spans="1:8" x14ac:dyDescent="0.25">
      <c r="A27" s="10">
        <v>44686</v>
      </c>
      <c r="B27" s="11" t="s">
        <v>37</v>
      </c>
      <c r="C27" s="11">
        <v>15530</v>
      </c>
      <c r="D27" s="11">
        <f t="shared" si="1"/>
        <v>77.650000000000006</v>
      </c>
      <c r="E27" s="11" t="s">
        <v>5</v>
      </c>
      <c r="F27" s="11">
        <v>200</v>
      </c>
      <c r="G27" s="11">
        <f>0.21*C27</f>
        <v>3261.2999999999997</v>
      </c>
      <c r="H27" s="9" t="s">
        <v>63</v>
      </c>
    </row>
    <row r="28" spans="1:8" s="3" customFormat="1" x14ac:dyDescent="0.25">
      <c r="A28" s="8">
        <v>44688</v>
      </c>
      <c r="B28" s="9" t="s">
        <v>38</v>
      </c>
      <c r="C28" s="9">
        <v>12515</v>
      </c>
      <c r="D28" s="9">
        <f t="shared" si="1"/>
        <v>62.575000000000003</v>
      </c>
      <c r="E28" s="9" t="s">
        <v>5</v>
      </c>
      <c r="F28" s="9">
        <v>200</v>
      </c>
      <c r="G28" s="11">
        <f>0.21*C28</f>
        <v>2628.15</v>
      </c>
      <c r="H28" s="9" t="s">
        <v>63</v>
      </c>
    </row>
    <row r="29" spans="1:8" x14ac:dyDescent="0.25">
      <c r="A29" s="8">
        <v>44688</v>
      </c>
      <c r="B29" s="9" t="s">
        <v>39</v>
      </c>
      <c r="C29" s="9">
        <v>20000</v>
      </c>
      <c r="D29" s="9">
        <f t="shared" si="1"/>
        <v>100</v>
      </c>
      <c r="E29" s="9" t="s">
        <v>5</v>
      </c>
      <c r="F29" s="9">
        <v>200</v>
      </c>
      <c r="G29" s="9"/>
      <c r="H29" s="9"/>
    </row>
    <row r="30" spans="1:8" x14ac:dyDescent="0.25">
      <c r="A30" s="8">
        <v>44695</v>
      </c>
      <c r="B30" s="9" t="s">
        <v>40</v>
      </c>
      <c r="C30" s="9">
        <v>100000</v>
      </c>
      <c r="D30" s="9">
        <f t="shared" si="1"/>
        <v>500</v>
      </c>
      <c r="E30" s="9" t="s">
        <v>5</v>
      </c>
      <c r="F30" s="9">
        <v>200</v>
      </c>
      <c r="G30" s="9"/>
      <c r="H30" s="9"/>
    </row>
    <row r="31" spans="1:8" x14ac:dyDescent="0.25">
      <c r="A31" s="8">
        <v>44697</v>
      </c>
      <c r="B31" s="9" t="s">
        <v>41</v>
      </c>
      <c r="C31" s="9">
        <v>19500</v>
      </c>
      <c r="D31" s="9">
        <f t="shared" si="1"/>
        <v>97.5</v>
      </c>
      <c r="E31" s="9" t="s">
        <v>5</v>
      </c>
      <c r="F31" s="9">
        <v>200</v>
      </c>
      <c r="G31" s="11">
        <f>0.21*C31</f>
        <v>4095</v>
      </c>
      <c r="H31" s="9" t="s">
        <v>63</v>
      </c>
    </row>
    <row r="32" spans="1:8" x14ac:dyDescent="0.25">
      <c r="A32" s="8">
        <v>44697</v>
      </c>
      <c r="B32" s="9" t="s">
        <v>42</v>
      </c>
      <c r="C32" s="9">
        <v>30000</v>
      </c>
      <c r="D32" s="9">
        <f t="shared" si="1"/>
        <v>150</v>
      </c>
      <c r="E32" s="9" t="s">
        <v>5</v>
      </c>
      <c r="F32" s="9">
        <v>200</v>
      </c>
      <c r="G32" s="9"/>
      <c r="H32" s="9"/>
    </row>
    <row r="33" spans="1:8" x14ac:dyDescent="0.25">
      <c r="A33" s="8">
        <v>44698</v>
      </c>
      <c r="B33" s="9" t="s">
        <v>43</v>
      </c>
      <c r="C33" s="9">
        <v>27000</v>
      </c>
      <c r="D33" s="9">
        <f t="shared" si="1"/>
        <v>135</v>
      </c>
      <c r="E33" s="9" t="s">
        <v>10</v>
      </c>
      <c r="F33" s="9">
        <v>200</v>
      </c>
      <c r="G33" s="9">
        <f>0.21*C33</f>
        <v>5670</v>
      </c>
      <c r="H33" s="9" t="s">
        <v>63</v>
      </c>
    </row>
    <row r="34" spans="1:8" x14ac:dyDescent="0.25">
      <c r="A34" s="8">
        <v>44701</v>
      </c>
      <c r="B34" s="9" t="s">
        <v>44</v>
      </c>
      <c r="C34" s="9">
        <v>100000</v>
      </c>
      <c r="D34" s="9">
        <f t="shared" si="1"/>
        <v>500</v>
      </c>
      <c r="E34" s="9" t="s">
        <v>5</v>
      </c>
      <c r="F34" s="9">
        <v>200</v>
      </c>
      <c r="G34" s="9"/>
      <c r="H34" s="9"/>
    </row>
    <row r="35" spans="1:8" x14ac:dyDescent="0.25">
      <c r="A35" s="8">
        <v>44709</v>
      </c>
      <c r="B35" s="9" t="s">
        <v>45</v>
      </c>
      <c r="C35" s="9">
        <v>33900</v>
      </c>
      <c r="D35" s="9">
        <f t="shared" si="1"/>
        <v>169.5</v>
      </c>
      <c r="E35" s="9" t="s">
        <v>5</v>
      </c>
      <c r="F35" s="9">
        <v>200</v>
      </c>
      <c r="G35" s="9">
        <f>0.21*C35</f>
        <v>7119</v>
      </c>
      <c r="H35" s="9" t="s">
        <v>63</v>
      </c>
    </row>
    <row r="36" spans="1:8" x14ac:dyDescent="0.25">
      <c r="A36" s="8">
        <v>44710</v>
      </c>
      <c r="B36" s="9" t="s">
        <v>47</v>
      </c>
      <c r="C36" s="12">
        <v>69848</v>
      </c>
      <c r="D36" s="9">
        <f t="shared" si="1"/>
        <v>349.24</v>
      </c>
      <c r="E36" s="9" t="s">
        <v>26</v>
      </c>
      <c r="F36" s="9">
        <v>200</v>
      </c>
      <c r="G36" s="9"/>
      <c r="H36" s="9" t="s">
        <v>46</v>
      </c>
    </row>
    <row r="37" spans="1:8" x14ac:dyDescent="0.25">
      <c r="A37" s="8">
        <v>44711</v>
      </c>
      <c r="B37" s="9" t="s">
        <v>48</v>
      </c>
      <c r="C37" s="9">
        <v>3000</v>
      </c>
      <c r="D37" s="9">
        <f t="shared" si="1"/>
        <v>15</v>
      </c>
      <c r="E37" s="9" t="s">
        <v>10</v>
      </c>
      <c r="F37" s="9">
        <v>200</v>
      </c>
      <c r="G37" s="9"/>
      <c r="H37" s="9"/>
    </row>
    <row r="38" spans="1:8" x14ac:dyDescent="0.25">
      <c r="A38" s="8">
        <v>44711</v>
      </c>
      <c r="B38" s="9" t="s">
        <v>49</v>
      </c>
      <c r="C38" s="9">
        <v>100000</v>
      </c>
      <c r="D38" s="9">
        <f t="shared" si="1"/>
        <v>500</v>
      </c>
      <c r="E38" s="9" t="s">
        <v>5</v>
      </c>
      <c r="F38" s="9">
        <v>200</v>
      </c>
      <c r="G38" s="9"/>
      <c r="H38" s="9"/>
    </row>
    <row r="39" spans="1:8" x14ac:dyDescent="0.25">
      <c r="A39" s="8">
        <v>44711</v>
      </c>
      <c r="B39" s="9" t="s">
        <v>50</v>
      </c>
      <c r="C39" s="9">
        <v>22600</v>
      </c>
      <c r="D39" s="9">
        <f t="shared" si="1"/>
        <v>113</v>
      </c>
      <c r="E39" s="9" t="s">
        <v>5</v>
      </c>
      <c r="F39" s="9">
        <v>200</v>
      </c>
      <c r="G39" s="9">
        <f>0.21*C39</f>
        <v>4746</v>
      </c>
      <c r="H39" s="9" t="s">
        <v>64</v>
      </c>
    </row>
    <row r="40" spans="1:8" x14ac:dyDescent="0.25">
      <c r="A40" s="8">
        <v>44715</v>
      </c>
      <c r="B40" s="9" t="s">
        <v>52</v>
      </c>
      <c r="C40" s="9">
        <v>200000</v>
      </c>
      <c r="D40" s="9">
        <f t="shared" si="1"/>
        <v>1000</v>
      </c>
      <c r="E40" s="9" t="s">
        <v>5</v>
      </c>
      <c r="F40" s="9">
        <v>200</v>
      </c>
      <c r="G40" s="9"/>
      <c r="H40" s="9"/>
    </row>
    <row r="41" spans="1:8" x14ac:dyDescent="0.25">
      <c r="A41" s="8">
        <v>44715</v>
      </c>
      <c r="B41" s="9" t="s">
        <v>53</v>
      </c>
      <c r="C41" s="9">
        <v>6800</v>
      </c>
      <c r="D41" s="9">
        <f t="shared" si="1"/>
        <v>34</v>
      </c>
      <c r="E41" s="9" t="s">
        <v>5</v>
      </c>
      <c r="F41" s="9">
        <v>200</v>
      </c>
      <c r="G41" s="9"/>
      <c r="H41" s="9"/>
    </row>
    <row r="42" spans="1:8" x14ac:dyDescent="0.25">
      <c r="A42" s="8">
        <v>44718</v>
      </c>
      <c r="B42" s="9" t="s">
        <v>54</v>
      </c>
      <c r="C42" s="9">
        <v>166600</v>
      </c>
      <c r="D42" s="9">
        <f t="shared" si="1"/>
        <v>833</v>
      </c>
      <c r="E42" s="9" t="s">
        <v>5</v>
      </c>
      <c r="F42" s="9">
        <v>200</v>
      </c>
      <c r="G42" s="9"/>
      <c r="H42" s="9"/>
    </row>
    <row r="43" spans="1:8" x14ac:dyDescent="0.25">
      <c r="A43" s="8">
        <v>44718</v>
      </c>
      <c r="B43" s="9" t="s">
        <v>55</v>
      </c>
      <c r="C43" s="9">
        <v>3000</v>
      </c>
      <c r="D43" s="9">
        <f t="shared" si="1"/>
        <v>14.285714285714286</v>
      </c>
      <c r="E43" s="9" t="s">
        <v>5</v>
      </c>
      <c r="F43" s="9">
        <v>210</v>
      </c>
      <c r="G43" s="9"/>
      <c r="H43" s="9"/>
    </row>
    <row r="44" spans="1:8" x14ac:dyDescent="0.25">
      <c r="A44" s="8">
        <v>44718</v>
      </c>
      <c r="B44" s="9" t="s">
        <v>56</v>
      </c>
      <c r="C44" s="9">
        <v>60000</v>
      </c>
      <c r="D44" s="13">
        <f t="shared" si="1"/>
        <v>300</v>
      </c>
      <c r="E44" s="9" t="s">
        <v>10</v>
      </c>
      <c r="F44" s="9">
        <v>200</v>
      </c>
      <c r="G44" s="9"/>
      <c r="H44" s="9"/>
    </row>
    <row r="45" spans="1:8" x14ac:dyDescent="0.25">
      <c r="A45" s="8">
        <v>44718</v>
      </c>
      <c r="B45" s="9" t="s">
        <v>56</v>
      </c>
      <c r="C45" s="9">
        <v>340000</v>
      </c>
      <c r="D45" s="9">
        <f t="shared" si="1"/>
        <v>1700</v>
      </c>
      <c r="E45" s="9" t="s">
        <v>5</v>
      </c>
      <c r="F45" s="9">
        <v>200</v>
      </c>
      <c r="G45" s="9"/>
      <c r="H45" s="9"/>
    </row>
    <row r="46" spans="1:8" x14ac:dyDescent="0.25">
      <c r="A46" s="8">
        <v>44720</v>
      </c>
      <c r="B46" s="9" t="s">
        <v>55</v>
      </c>
      <c r="C46" s="9">
        <v>150000</v>
      </c>
      <c r="D46" s="13">
        <f t="shared" si="1"/>
        <v>714.28571428571433</v>
      </c>
      <c r="E46" s="9" t="s">
        <v>10</v>
      </c>
      <c r="F46" s="9">
        <v>210</v>
      </c>
      <c r="G46" s="9"/>
      <c r="H46" s="9"/>
    </row>
    <row r="47" spans="1:8" x14ac:dyDescent="0.25">
      <c r="A47" s="8">
        <v>44726</v>
      </c>
      <c r="B47" s="9" t="s">
        <v>57</v>
      </c>
      <c r="C47" s="9">
        <v>30474</v>
      </c>
      <c r="D47" s="13">
        <f t="shared" si="1"/>
        <v>145.11428571428573</v>
      </c>
      <c r="E47" s="9" t="s">
        <v>5</v>
      </c>
      <c r="F47" s="9">
        <v>210</v>
      </c>
      <c r="G47" s="9">
        <f>0.21*C47</f>
        <v>6399.54</v>
      </c>
      <c r="H47" s="9" t="s">
        <v>64</v>
      </c>
    </row>
    <row r="48" spans="1:8" x14ac:dyDescent="0.25">
      <c r="A48" s="8">
        <v>44726</v>
      </c>
      <c r="B48" s="9" t="s">
        <v>58</v>
      </c>
      <c r="C48" s="9">
        <v>34600</v>
      </c>
      <c r="D48" s="9">
        <f t="shared" si="1"/>
        <v>173</v>
      </c>
      <c r="E48" s="9" t="s">
        <v>5</v>
      </c>
      <c r="F48" s="9">
        <v>200</v>
      </c>
      <c r="G48" s="9"/>
      <c r="H48" s="9"/>
    </row>
    <row r="49" spans="1:8" x14ac:dyDescent="0.25">
      <c r="A49" s="8">
        <v>44726</v>
      </c>
      <c r="B49" s="9" t="s">
        <v>59</v>
      </c>
      <c r="C49" s="9">
        <v>1765</v>
      </c>
      <c r="D49" s="9">
        <f t="shared" si="1"/>
        <v>8.8249999999999993</v>
      </c>
      <c r="E49" s="9" t="s">
        <v>5</v>
      </c>
      <c r="F49" s="9">
        <v>200</v>
      </c>
      <c r="G49" s="9">
        <f>0.21*C49</f>
        <v>370.65</v>
      </c>
      <c r="H49" s="9" t="s">
        <v>64</v>
      </c>
    </row>
    <row r="50" spans="1:8" x14ac:dyDescent="0.25">
      <c r="A50" s="8">
        <v>44729</v>
      </c>
      <c r="B50" s="9" t="s">
        <v>60</v>
      </c>
      <c r="C50" s="9">
        <v>330000</v>
      </c>
      <c r="D50" s="13">
        <f t="shared" ref="D50:D81" si="2">C50/F50</f>
        <v>1500</v>
      </c>
      <c r="E50" s="9" t="s">
        <v>10</v>
      </c>
      <c r="F50" s="9">
        <v>220</v>
      </c>
      <c r="G50" s="9"/>
      <c r="H50" s="9"/>
    </row>
    <row r="51" spans="1:8" x14ac:dyDescent="0.25">
      <c r="A51" s="8">
        <v>44729</v>
      </c>
      <c r="B51" s="9" t="s">
        <v>61</v>
      </c>
      <c r="C51" s="9">
        <v>4100</v>
      </c>
      <c r="D51" s="9">
        <f t="shared" si="2"/>
        <v>20.5</v>
      </c>
      <c r="E51" s="9" t="s">
        <v>5</v>
      </c>
      <c r="F51" s="9">
        <v>200</v>
      </c>
      <c r="G51" s="9">
        <f>0.21*C51</f>
        <v>861</v>
      </c>
      <c r="H51" s="9" t="s">
        <v>64</v>
      </c>
    </row>
    <row r="52" spans="1:8" x14ac:dyDescent="0.25">
      <c r="A52" s="8">
        <v>44730</v>
      </c>
      <c r="B52" s="9" t="s">
        <v>62</v>
      </c>
      <c r="C52" s="9">
        <v>288766</v>
      </c>
      <c r="D52" s="9">
        <f t="shared" si="2"/>
        <v>1312.5727272727272</v>
      </c>
      <c r="E52" s="9" t="s">
        <v>10</v>
      </c>
      <c r="F52" s="9">
        <v>220</v>
      </c>
      <c r="G52" s="9">
        <f>0.21*C52</f>
        <v>60640.86</v>
      </c>
      <c r="H52" s="9" t="s">
        <v>64</v>
      </c>
    </row>
    <row r="53" spans="1:8" x14ac:dyDescent="0.25">
      <c r="A53" s="8">
        <v>44739</v>
      </c>
      <c r="B53" s="9" t="s">
        <v>65</v>
      </c>
      <c r="C53" s="9">
        <v>1500</v>
      </c>
      <c r="D53" s="9">
        <f t="shared" si="2"/>
        <v>6.8181818181818183</v>
      </c>
      <c r="E53" s="9" t="s">
        <v>10</v>
      </c>
      <c r="F53" s="9">
        <v>220</v>
      </c>
      <c r="G53" s="9"/>
      <c r="H53" s="9"/>
    </row>
    <row r="54" spans="1:8" x14ac:dyDescent="0.25">
      <c r="A54" s="8">
        <v>44739</v>
      </c>
      <c r="B54" s="9" t="s">
        <v>66</v>
      </c>
      <c r="C54" s="9">
        <v>18000</v>
      </c>
      <c r="D54" s="9">
        <f t="shared" si="2"/>
        <v>81.818181818181813</v>
      </c>
      <c r="E54" s="9" t="s">
        <v>10</v>
      </c>
      <c r="F54" s="9">
        <v>220</v>
      </c>
      <c r="G54" s="9"/>
      <c r="H54" s="9"/>
    </row>
    <row r="55" spans="1:8" x14ac:dyDescent="0.25">
      <c r="A55" s="8">
        <v>44740</v>
      </c>
      <c r="B55" s="9" t="s">
        <v>67</v>
      </c>
      <c r="C55" s="9">
        <v>8000</v>
      </c>
      <c r="D55" s="9">
        <f t="shared" si="2"/>
        <v>36.363636363636367</v>
      </c>
      <c r="E55" s="9" t="s">
        <v>5</v>
      </c>
      <c r="F55" s="9">
        <v>220</v>
      </c>
      <c r="G55" s="9"/>
      <c r="H55" s="9"/>
    </row>
    <row r="56" spans="1:8" x14ac:dyDescent="0.25">
      <c r="A56" s="8">
        <v>44742</v>
      </c>
      <c r="B56" s="9" t="s">
        <v>68</v>
      </c>
      <c r="C56" s="9">
        <v>5930</v>
      </c>
      <c r="D56" s="9">
        <f t="shared" si="2"/>
        <v>26.954545454545453</v>
      </c>
      <c r="E56" s="9" t="s">
        <v>5</v>
      </c>
      <c r="F56" s="9">
        <v>220</v>
      </c>
      <c r="G56" s="9">
        <f>0.21*C56</f>
        <v>1245.3</v>
      </c>
      <c r="H56" s="9" t="s">
        <v>64</v>
      </c>
    </row>
    <row r="57" spans="1:8" x14ac:dyDescent="0.25">
      <c r="A57" s="8">
        <v>44742</v>
      </c>
      <c r="B57" s="9" t="s">
        <v>69</v>
      </c>
      <c r="C57" s="9">
        <v>100000</v>
      </c>
      <c r="D57" s="9">
        <f t="shared" si="2"/>
        <v>454.54545454545456</v>
      </c>
      <c r="E57" s="9" t="s">
        <v>5</v>
      </c>
      <c r="F57" s="9">
        <v>220</v>
      </c>
      <c r="G57" s="9"/>
      <c r="H57" s="9"/>
    </row>
    <row r="58" spans="1:8" x14ac:dyDescent="0.25">
      <c r="A58" s="8">
        <v>44743</v>
      </c>
      <c r="B58" s="9" t="s">
        <v>70</v>
      </c>
      <c r="C58" s="9">
        <v>19118</v>
      </c>
      <c r="D58" s="9">
        <f t="shared" si="2"/>
        <v>86.9</v>
      </c>
      <c r="E58" s="9" t="s">
        <v>5</v>
      </c>
      <c r="F58" s="9">
        <v>220</v>
      </c>
      <c r="G58" s="9">
        <f>0.21*C58</f>
        <v>4014.7799999999997</v>
      </c>
      <c r="H58" s="9" t="s">
        <v>64</v>
      </c>
    </row>
    <row r="59" spans="1:8" x14ac:dyDescent="0.25">
      <c r="A59" s="8">
        <v>44746</v>
      </c>
      <c r="B59" s="9" t="s">
        <v>71</v>
      </c>
      <c r="C59" s="9">
        <v>18000</v>
      </c>
      <c r="D59" s="9">
        <f t="shared" si="2"/>
        <v>81.818181818181813</v>
      </c>
      <c r="E59" s="9" t="s">
        <v>5</v>
      </c>
      <c r="F59" s="9">
        <v>220</v>
      </c>
      <c r="G59" s="9"/>
      <c r="H59" s="9"/>
    </row>
    <row r="60" spans="1:8" x14ac:dyDescent="0.25">
      <c r="A60" s="8">
        <v>44746</v>
      </c>
      <c r="B60" s="9" t="s">
        <v>73</v>
      </c>
      <c r="C60" s="9">
        <v>45000</v>
      </c>
      <c r="D60" s="9">
        <f t="shared" si="2"/>
        <v>204.54545454545453</v>
      </c>
      <c r="E60" s="9" t="s">
        <v>5</v>
      </c>
      <c r="F60" s="9">
        <v>220</v>
      </c>
      <c r="G60" s="9"/>
      <c r="H60" s="9"/>
    </row>
    <row r="61" spans="1:8" x14ac:dyDescent="0.25">
      <c r="A61" s="8">
        <v>44747</v>
      </c>
      <c r="B61" s="9" t="s">
        <v>74</v>
      </c>
      <c r="C61" s="9">
        <v>1000</v>
      </c>
      <c r="D61" s="9">
        <f t="shared" si="2"/>
        <v>4.5454545454545459</v>
      </c>
      <c r="E61" s="9" t="s">
        <v>5</v>
      </c>
      <c r="F61" s="9">
        <v>220</v>
      </c>
      <c r="G61" s="9"/>
      <c r="H61" s="9"/>
    </row>
    <row r="62" spans="1:8" x14ac:dyDescent="0.25">
      <c r="A62" s="2">
        <v>44747</v>
      </c>
      <c r="B62" s="3" t="s">
        <v>83</v>
      </c>
      <c r="C62" s="3">
        <v>5000</v>
      </c>
      <c r="D62" s="3">
        <f t="shared" si="2"/>
        <v>20</v>
      </c>
      <c r="E62" s="3" t="s">
        <v>5</v>
      </c>
      <c r="F62" s="3">
        <v>250</v>
      </c>
      <c r="G62" s="3"/>
      <c r="H62" s="3"/>
    </row>
    <row r="63" spans="1:8" x14ac:dyDescent="0.25">
      <c r="A63" s="8">
        <v>44748</v>
      </c>
      <c r="B63" s="9" t="s">
        <v>75</v>
      </c>
      <c r="C63" s="9">
        <v>3730</v>
      </c>
      <c r="D63" s="9">
        <f t="shared" si="2"/>
        <v>15.541666666666666</v>
      </c>
      <c r="E63" s="9" t="s">
        <v>5</v>
      </c>
      <c r="F63" s="9">
        <v>240</v>
      </c>
      <c r="G63" s="9">
        <f>0.21*C63</f>
        <v>783.3</v>
      </c>
      <c r="H63" s="9" t="s">
        <v>64</v>
      </c>
    </row>
    <row r="64" spans="1:8" x14ac:dyDescent="0.25">
      <c r="A64" s="2">
        <v>44748</v>
      </c>
      <c r="B64" s="3" t="s">
        <v>84</v>
      </c>
      <c r="C64" s="3">
        <v>2000</v>
      </c>
      <c r="D64" s="3">
        <f t="shared" si="2"/>
        <v>8</v>
      </c>
      <c r="E64" s="3" t="s">
        <v>5</v>
      </c>
      <c r="F64" s="3">
        <v>250</v>
      </c>
      <c r="G64" s="3"/>
      <c r="H64" s="3"/>
    </row>
    <row r="65" spans="1:8" x14ac:dyDescent="0.25">
      <c r="A65" s="2">
        <v>44748</v>
      </c>
      <c r="B65" s="3" t="s">
        <v>85</v>
      </c>
      <c r="C65" s="3">
        <v>15000</v>
      </c>
      <c r="D65" s="3">
        <f t="shared" si="2"/>
        <v>60</v>
      </c>
      <c r="E65" s="3" t="s">
        <v>5</v>
      </c>
      <c r="F65" s="3">
        <v>250</v>
      </c>
      <c r="G65" s="3"/>
      <c r="H65" s="3"/>
    </row>
    <row r="66" spans="1:8" x14ac:dyDescent="0.25">
      <c r="A66" s="27">
        <v>44748</v>
      </c>
      <c r="B66" s="22" t="s">
        <v>86</v>
      </c>
      <c r="C66" s="22">
        <v>3900</v>
      </c>
      <c r="D66" s="7">
        <f t="shared" si="2"/>
        <v>15.6</v>
      </c>
      <c r="E66" s="7" t="s">
        <v>5</v>
      </c>
      <c r="F66" s="7">
        <v>250</v>
      </c>
      <c r="G66" s="7"/>
      <c r="H66" s="7"/>
    </row>
    <row r="67" spans="1:8" x14ac:dyDescent="0.25">
      <c r="A67" s="2">
        <v>44754</v>
      </c>
      <c r="B67" s="3" t="s">
        <v>87</v>
      </c>
      <c r="C67" s="3">
        <v>15000</v>
      </c>
      <c r="D67" s="3">
        <f t="shared" si="2"/>
        <v>60</v>
      </c>
      <c r="E67" s="3" t="s">
        <v>5</v>
      </c>
      <c r="F67" s="3">
        <v>250</v>
      </c>
      <c r="G67" s="3"/>
      <c r="H67" s="3"/>
    </row>
    <row r="68" spans="1:8" x14ac:dyDescent="0.25">
      <c r="A68" s="2">
        <v>44755</v>
      </c>
      <c r="B68" s="3" t="s">
        <v>88</v>
      </c>
      <c r="C68" s="3">
        <v>45000</v>
      </c>
      <c r="D68" s="3">
        <f t="shared" si="2"/>
        <v>180</v>
      </c>
      <c r="E68" s="3" t="s">
        <v>5</v>
      </c>
      <c r="F68" s="3">
        <v>250</v>
      </c>
      <c r="G68" s="3"/>
      <c r="H68" s="3"/>
    </row>
    <row r="69" spans="1:8" x14ac:dyDescent="0.25">
      <c r="A69" s="8">
        <v>44763</v>
      </c>
      <c r="B69" s="9" t="s">
        <v>76</v>
      </c>
      <c r="C69" s="9">
        <v>2700</v>
      </c>
      <c r="D69" s="9">
        <f t="shared" si="2"/>
        <v>9</v>
      </c>
      <c r="E69" s="9" t="s">
        <v>5</v>
      </c>
      <c r="F69" s="9">
        <v>300</v>
      </c>
      <c r="G69" s="9"/>
      <c r="H69" s="9"/>
    </row>
    <row r="70" spans="1:8" x14ac:dyDescent="0.25">
      <c r="A70" s="8">
        <v>44764</v>
      </c>
      <c r="B70" s="9" t="s">
        <v>77</v>
      </c>
      <c r="C70" s="9">
        <v>6000</v>
      </c>
      <c r="D70" s="9">
        <f t="shared" si="2"/>
        <v>20</v>
      </c>
      <c r="E70" s="9" t="s">
        <v>5</v>
      </c>
      <c r="F70" s="9">
        <v>300</v>
      </c>
      <c r="G70" s="9">
        <f>0.21*C70</f>
        <v>1260</v>
      </c>
      <c r="H70" s="9" t="s">
        <v>72</v>
      </c>
    </row>
    <row r="71" spans="1:8" x14ac:dyDescent="0.25">
      <c r="A71" s="8">
        <v>44770</v>
      </c>
      <c r="B71" s="9" t="s">
        <v>78</v>
      </c>
      <c r="C71" s="9">
        <v>18000</v>
      </c>
      <c r="D71" s="9">
        <f t="shared" si="2"/>
        <v>64.285714285714292</v>
      </c>
      <c r="E71" s="9" t="s">
        <v>5</v>
      </c>
      <c r="F71" s="9">
        <v>280</v>
      </c>
      <c r="G71" s="9"/>
      <c r="H71" s="9"/>
    </row>
    <row r="72" spans="1:8" x14ac:dyDescent="0.25">
      <c r="A72" s="8">
        <v>44772</v>
      </c>
      <c r="B72" s="9" t="s">
        <v>79</v>
      </c>
      <c r="C72" s="9">
        <v>4000</v>
      </c>
      <c r="D72" s="9">
        <f t="shared" si="2"/>
        <v>14.285714285714286</v>
      </c>
      <c r="E72" s="9" t="s">
        <v>5</v>
      </c>
      <c r="F72" s="9">
        <v>280</v>
      </c>
      <c r="G72" s="9"/>
      <c r="H72" s="9"/>
    </row>
    <row r="73" spans="1:8" x14ac:dyDescent="0.25">
      <c r="A73" s="2">
        <v>44775</v>
      </c>
      <c r="B73" s="3" t="s">
        <v>82</v>
      </c>
      <c r="C73" s="3">
        <v>8500</v>
      </c>
      <c r="D73" s="3">
        <f t="shared" si="2"/>
        <v>34</v>
      </c>
      <c r="E73" s="3" t="s">
        <v>5</v>
      </c>
      <c r="F73" s="3">
        <v>250</v>
      </c>
      <c r="G73" s="3"/>
      <c r="H73" s="3"/>
    </row>
    <row r="74" spans="1:8" x14ac:dyDescent="0.25">
      <c r="A74" s="2">
        <v>44807</v>
      </c>
      <c r="B74" s="3" t="s">
        <v>89</v>
      </c>
      <c r="C74" s="3">
        <v>30000</v>
      </c>
      <c r="D74" s="3">
        <f t="shared" si="2"/>
        <v>115.38461538461539</v>
      </c>
      <c r="E74" s="3" t="s">
        <v>5</v>
      </c>
      <c r="F74" s="3">
        <v>260</v>
      </c>
      <c r="G74" s="3"/>
      <c r="H74" s="3"/>
    </row>
    <row r="75" spans="1:8" x14ac:dyDescent="0.25">
      <c r="A75" s="2">
        <v>44811</v>
      </c>
      <c r="B75" s="3" t="s">
        <v>90</v>
      </c>
      <c r="C75" s="3">
        <v>33396</v>
      </c>
      <c r="D75" s="3">
        <f t="shared" si="2"/>
        <v>128.44615384615383</v>
      </c>
      <c r="E75" s="3" t="s">
        <v>5</v>
      </c>
      <c r="F75" s="3">
        <v>260</v>
      </c>
      <c r="G75" s="3"/>
      <c r="H75" s="3"/>
    </row>
    <row r="76" spans="1:8" x14ac:dyDescent="0.25">
      <c r="A76" s="2">
        <v>44822</v>
      </c>
      <c r="B76" s="3" t="s">
        <v>92</v>
      </c>
      <c r="C76" s="3">
        <v>4000</v>
      </c>
      <c r="D76" s="3">
        <f t="shared" si="2"/>
        <v>14.285714285714286</v>
      </c>
      <c r="E76" s="3" t="s">
        <v>5</v>
      </c>
      <c r="F76" s="3">
        <v>280</v>
      </c>
      <c r="G76" s="3"/>
      <c r="H76" s="3"/>
    </row>
    <row r="77" spans="1:8" x14ac:dyDescent="0.25">
      <c r="A77" s="2">
        <v>44822</v>
      </c>
      <c r="B77" s="3" t="s">
        <v>93</v>
      </c>
      <c r="C77" s="3">
        <v>26000</v>
      </c>
      <c r="D77" s="3">
        <f t="shared" si="2"/>
        <v>92.857142857142861</v>
      </c>
      <c r="E77" s="3" t="s">
        <v>5</v>
      </c>
      <c r="F77" s="3">
        <v>280</v>
      </c>
      <c r="G77" s="3"/>
      <c r="H77" s="3"/>
    </row>
    <row r="78" spans="1:8" x14ac:dyDescent="0.25">
      <c r="A78" s="2">
        <v>44825</v>
      </c>
      <c r="B78" s="3" t="s">
        <v>91</v>
      </c>
      <c r="C78" s="3">
        <v>20000</v>
      </c>
      <c r="D78" s="3">
        <f t="shared" si="2"/>
        <v>71.428571428571431</v>
      </c>
      <c r="E78" s="3" t="s">
        <v>5</v>
      </c>
      <c r="F78" s="3">
        <v>280</v>
      </c>
      <c r="G78" s="3"/>
      <c r="H78" s="3"/>
    </row>
    <row r="79" spans="1:8" x14ac:dyDescent="0.25">
      <c r="A79" s="2">
        <v>44881</v>
      </c>
      <c r="B79" s="3" t="s">
        <v>94</v>
      </c>
      <c r="C79" s="3">
        <v>52080</v>
      </c>
      <c r="D79" s="3">
        <f t="shared" si="2"/>
        <v>173.6</v>
      </c>
      <c r="E79" s="3" t="s">
        <v>5</v>
      </c>
      <c r="F79" s="3">
        <v>300</v>
      </c>
      <c r="G79" s="3"/>
      <c r="H79" s="3"/>
    </row>
    <row r="80" spans="1:8" x14ac:dyDescent="0.25">
      <c r="A80" s="2">
        <v>44881</v>
      </c>
      <c r="B80" s="3" t="s">
        <v>95</v>
      </c>
      <c r="C80" s="3">
        <v>30000</v>
      </c>
      <c r="D80" s="3">
        <f t="shared" si="2"/>
        <v>100</v>
      </c>
      <c r="E80" s="3" t="s">
        <v>5</v>
      </c>
      <c r="F80" s="3">
        <v>300</v>
      </c>
      <c r="G80" s="3"/>
      <c r="H80" s="3"/>
    </row>
    <row r="81" spans="1:8" x14ac:dyDescent="0.25">
      <c r="A81" s="2">
        <v>44895</v>
      </c>
      <c r="B81" s="3" t="s">
        <v>96</v>
      </c>
      <c r="C81" s="3">
        <v>4000</v>
      </c>
      <c r="D81" s="3">
        <f t="shared" si="2"/>
        <v>12.903225806451612</v>
      </c>
      <c r="E81" s="3" t="s">
        <v>5</v>
      </c>
      <c r="F81" s="3">
        <v>310</v>
      </c>
      <c r="G81" s="3"/>
      <c r="H81" s="3"/>
    </row>
    <row r="82" spans="1:8" x14ac:dyDescent="0.25">
      <c r="A82" s="2">
        <v>44897</v>
      </c>
      <c r="B82" s="3" t="s">
        <v>96</v>
      </c>
      <c r="C82" s="3">
        <v>10000</v>
      </c>
      <c r="D82" s="3">
        <f t="shared" ref="D82:D101" si="3">C82/F82</f>
        <v>33.003300330033007</v>
      </c>
      <c r="E82" s="3" t="s">
        <v>5</v>
      </c>
      <c r="F82" s="3">
        <v>303</v>
      </c>
      <c r="G82" s="3"/>
      <c r="H82" s="3"/>
    </row>
    <row r="83" spans="1:8" x14ac:dyDescent="0.25">
      <c r="A83" s="2">
        <v>44897</v>
      </c>
      <c r="B83" s="3" t="s">
        <v>97</v>
      </c>
      <c r="C83" s="3">
        <v>20000</v>
      </c>
      <c r="D83" s="3">
        <f t="shared" si="3"/>
        <v>66.006600660066013</v>
      </c>
      <c r="E83" s="3" t="s">
        <v>5</v>
      </c>
      <c r="F83" s="3">
        <v>303</v>
      </c>
      <c r="G83" s="3"/>
      <c r="H83" s="3"/>
    </row>
    <row r="84" spans="1:8" x14ac:dyDescent="0.25">
      <c r="A84" s="2">
        <v>44905</v>
      </c>
      <c r="B84" s="3" t="s">
        <v>98</v>
      </c>
      <c r="C84" s="3">
        <v>20000</v>
      </c>
      <c r="D84" s="3">
        <f t="shared" si="3"/>
        <v>66.006600660066013</v>
      </c>
      <c r="E84" s="3" t="s">
        <v>5</v>
      </c>
      <c r="F84" s="3">
        <v>303</v>
      </c>
      <c r="G84" s="3"/>
      <c r="H84" s="3"/>
    </row>
    <row r="85" spans="1:8" x14ac:dyDescent="0.25">
      <c r="A85" s="2">
        <v>44905</v>
      </c>
      <c r="B85" s="3" t="s">
        <v>96</v>
      </c>
      <c r="C85" s="3">
        <v>7000</v>
      </c>
      <c r="D85" s="3">
        <f t="shared" si="3"/>
        <v>23.102310231023104</v>
      </c>
      <c r="E85" s="3" t="s">
        <v>5</v>
      </c>
      <c r="F85" s="3">
        <v>303</v>
      </c>
      <c r="G85" s="3"/>
      <c r="H85" s="3"/>
    </row>
    <row r="86" spans="1:8" x14ac:dyDescent="0.25">
      <c r="A86" s="2">
        <v>44909</v>
      </c>
      <c r="B86" s="3" t="s">
        <v>99</v>
      </c>
      <c r="C86" s="3">
        <v>55500</v>
      </c>
      <c r="D86" s="3">
        <f t="shared" si="3"/>
        <v>179.03225806451613</v>
      </c>
      <c r="E86" s="3" t="s">
        <v>5</v>
      </c>
      <c r="F86" s="3">
        <v>310</v>
      </c>
      <c r="G86" s="3"/>
      <c r="H86" s="3"/>
    </row>
    <row r="87" spans="1:8" x14ac:dyDescent="0.25">
      <c r="A87" s="2">
        <v>44916</v>
      </c>
      <c r="B87" s="3" t="s">
        <v>100</v>
      </c>
      <c r="C87" s="3">
        <v>51726</v>
      </c>
      <c r="D87" s="3">
        <f t="shared" si="3"/>
        <v>166.85806451612902</v>
      </c>
      <c r="E87" s="3" t="s">
        <v>5</v>
      </c>
      <c r="F87" s="3">
        <v>310</v>
      </c>
      <c r="G87" s="3"/>
      <c r="H87" s="3"/>
    </row>
    <row r="88" spans="1:8" x14ac:dyDescent="0.25">
      <c r="A88" s="2">
        <v>44916</v>
      </c>
      <c r="B88" s="3" t="s">
        <v>35</v>
      </c>
      <c r="C88" s="3">
        <v>4300</v>
      </c>
      <c r="D88" s="3">
        <f t="shared" si="3"/>
        <v>13.870967741935484</v>
      </c>
      <c r="E88" s="3" t="s">
        <v>5</v>
      </c>
      <c r="F88" s="3">
        <v>310</v>
      </c>
      <c r="G88" s="3"/>
      <c r="H88" s="3"/>
    </row>
    <row r="89" spans="1:8" x14ac:dyDescent="0.25">
      <c r="A89" s="2">
        <v>44916</v>
      </c>
      <c r="B89" s="3" t="s">
        <v>101</v>
      </c>
      <c r="C89" s="3">
        <v>200000</v>
      </c>
      <c r="D89" s="3">
        <f t="shared" si="3"/>
        <v>645.16129032258061</v>
      </c>
      <c r="E89" s="3" t="s">
        <v>5</v>
      </c>
      <c r="F89" s="3">
        <v>310</v>
      </c>
      <c r="G89" s="3"/>
      <c r="H89" s="3"/>
    </row>
    <row r="90" spans="1:8" x14ac:dyDescent="0.25">
      <c r="A90" s="2">
        <v>44916</v>
      </c>
      <c r="B90" s="3" t="s">
        <v>102</v>
      </c>
      <c r="C90" s="3">
        <v>117000</v>
      </c>
      <c r="D90" s="3">
        <f t="shared" si="3"/>
        <v>377.41935483870969</v>
      </c>
      <c r="E90" s="3" t="s">
        <v>5</v>
      </c>
      <c r="F90" s="3">
        <v>310</v>
      </c>
      <c r="G90" s="3"/>
      <c r="H90" s="3"/>
    </row>
    <row r="91" spans="1:8" x14ac:dyDescent="0.25">
      <c r="A91" s="2">
        <v>44916</v>
      </c>
      <c r="B91" s="3" t="s">
        <v>102</v>
      </c>
      <c r="C91" s="3">
        <v>9180</v>
      </c>
      <c r="D91" s="3">
        <f t="shared" si="3"/>
        <v>29.612903225806452</v>
      </c>
      <c r="E91" s="3" t="s">
        <v>5</v>
      </c>
      <c r="F91" s="3">
        <v>310</v>
      </c>
      <c r="G91" s="3"/>
      <c r="H91" s="3"/>
    </row>
    <row r="92" spans="1:8" x14ac:dyDescent="0.25">
      <c r="A92" s="2">
        <v>44916</v>
      </c>
      <c r="B92" s="3" t="s">
        <v>103</v>
      </c>
      <c r="C92" s="3">
        <v>26015</v>
      </c>
      <c r="D92" s="3">
        <f t="shared" si="3"/>
        <v>83.91935483870968</v>
      </c>
      <c r="E92" s="3" t="s">
        <v>5</v>
      </c>
      <c r="F92" s="3">
        <v>310</v>
      </c>
      <c r="G92" s="3"/>
      <c r="H92" s="3"/>
    </row>
    <row r="93" spans="1:8" x14ac:dyDescent="0.25">
      <c r="A93" s="2">
        <v>44916</v>
      </c>
      <c r="B93" s="3" t="s">
        <v>104</v>
      </c>
      <c r="C93" s="3">
        <v>11000</v>
      </c>
      <c r="D93" s="3">
        <f t="shared" si="3"/>
        <v>35.483870967741936</v>
      </c>
      <c r="E93" s="3" t="s">
        <v>5</v>
      </c>
      <c r="F93" s="3">
        <v>310</v>
      </c>
      <c r="G93" s="3"/>
      <c r="H93" s="3"/>
    </row>
    <row r="94" spans="1:8" x14ac:dyDescent="0.25">
      <c r="A94" s="2">
        <v>44924</v>
      </c>
      <c r="B94" s="3" t="s">
        <v>107</v>
      </c>
      <c r="C94" s="3">
        <v>24500</v>
      </c>
      <c r="D94" s="3">
        <f t="shared" si="3"/>
        <v>79.032258064516128</v>
      </c>
      <c r="E94" s="3" t="s">
        <v>5</v>
      </c>
      <c r="F94" s="3">
        <v>310</v>
      </c>
      <c r="G94" s="3"/>
      <c r="H94" s="3"/>
    </row>
    <row r="95" spans="1:8" x14ac:dyDescent="0.25">
      <c r="A95" s="2">
        <v>44925</v>
      </c>
      <c r="B95" s="3" t="s">
        <v>105</v>
      </c>
      <c r="C95" s="3">
        <v>20000</v>
      </c>
      <c r="D95" s="3">
        <f t="shared" si="3"/>
        <v>57.142857142857146</v>
      </c>
      <c r="E95" s="3" t="s">
        <v>5</v>
      </c>
      <c r="F95" s="3">
        <v>350</v>
      </c>
      <c r="G95" s="3"/>
      <c r="H95" s="3"/>
    </row>
    <row r="96" spans="1:8" x14ac:dyDescent="0.25">
      <c r="A96" s="2">
        <v>44925</v>
      </c>
      <c r="B96" s="3" t="s">
        <v>106</v>
      </c>
      <c r="C96" s="3">
        <v>33500</v>
      </c>
      <c r="D96" s="3">
        <f t="shared" si="3"/>
        <v>95.714285714285708</v>
      </c>
      <c r="E96" s="3" t="s">
        <v>5</v>
      </c>
      <c r="F96" s="3">
        <v>350</v>
      </c>
      <c r="G96" s="3"/>
      <c r="H96" s="3"/>
    </row>
    <row r="97" spans="1:8" x14ac:dyDescent="0.25">
      <c r="A97" s="2">
        <v>44930</v>
      </c>
      <c r="B97" s="3" t="s">
        <v>106</v>
      </c>
      <c r="C97" s="3">
        <v>14000</v>
      </c>
      <c r="D97" s="3">
        <f t="shared" si="3"/>
        <v>40</v>
      </c>
      <c r="E97" s="3" t="s">
        <v>5</v>
      </c>
      <c r="F97" s="3">
        <v>350</v>
      </c>
      <c r="G97" s="3"/>
      <c r="H97" s="3"/>
    </row>
    <row r="98" spans="1:8" x14ac:dyDescent="0.25">
      <c r="A98" s="2">
        <v>44931</v>
      </c>
      <c r="B98" s="3" t="s">
        <v>106</v>
      </c>
      <c r="C98" s="3">
        <v>7000</v>
      </c>
      <c r="D98" s="3">
        <f t="shared" si="3"/>
        <v>20</v>
      </c>
      <c r="E98" s="3" t="s">
        <v>5</v>
      </c>
      <c r="F98" s="3">
        <v>350</v>
      </c>
      <c r="G98" s="3"/>
      <c r="H98" s="3"/>
    </row>
    <row r="99" spans="1:8" x14ac:dyDescent="0.25">
      <c r="A99" s="2">
        <v>44932</v>
      </c>
      <c r="B99" s="3" t="s">
        <v>70</v>
      </c>
      <c r="C99" s="3">
        <v>26015</v>
      </c>
      <c r="D99" s="3">
        <f t="shared" si="3"/>
        <v>74.328571428571422</v>
      </c>
      <c r="E99" s="3" t="s">
        <v>5</v>
      </c>
      <c r="F99" s="3">
        <v>350</v>
      </c>
      <c r="G99" s="3"/>
      <c r="H99" s="3"/>
    </row>
    <row r="100" spans="1:8" x14ac:dyDescent="0.25">
      <c r="A100" s="2">
        <v>44944</v>
      </c>
      <c r="B100" s="3" t="s">
        <v>108</v>
      </c>
      <c r="C100" s="3">
        <v>50000</v>
      </c>
      <c r="D100" s="3">
        <f t="shared" si="3"/>
        <v>138.88888888888889</v>
      </c>
      <c r="E100" s="3" t="s">
        <v>5</v>
      </c>
      <c r="F100" s="3">
        <v>360</v>
      </c>
      <c r="G100" s="3"/>
      <c r="H100" s="3"/>
    </row>
    <row r="101" spans="1:8" x14ac:dyDescent="0.25">
      <c r="A101" s="2">
        <v>44947</v>
      </c>
      <c r="B101" s="3" t="s">
        <v>109</v>
      </c>
      <c r="C101" s="3">
        <v>10000</v>
      </c>
      <c r="D101" s="3">
        <f t="shared" si="3"/>
        <v>27.777777777777779</v>
      </c>
      <c r="E101" s="3" t="s">
        <v>5</v>
      </c>
      <c r="F101" s="3">
        <v>360</v>
      </c>
      <c r="G101" s="3"/>
      <c r="H101" s="3"/>
    </row>
    <row r="102" spans="1:8" x14ac:dyDescent="0.25">
      <c r="A102" s="2">
        <v>44947</v>
      </c>
      <c r="B102" s="3" t="s">
        <v>110</v>
      </c>
      <c r="C102" s="3">
        <v>16800</v>
      </c>
      <c r="D102" s="3">
        <f t="shared" ref="D102:D133" si="4" xml:space="preserve"> C102/F102</f>
        <v>46.666666666666664</v>
      </c>
      <c r="E102" s="3" t="s">
        <v>5</v>
      </c>
      <c r="F102" s="3">
        <v>360</v>
      </c>
      <c r="G102" s="3"/>
      <c r="H102" s="3" t="s">
        <v>14</v>
      </c>
    </row>
    <row r="103" spans="1:8" x14ac:dyDescent="0.25">
      <c r="A103" s="2">
        <v>44948</v>
      </c>
      <c r="B103" s="3" t="s">
        <v>111</v>
      </c>
      <c r="C103" s="3">
        <v>38000</v>
      </c>
      <c r="D103" s="3">
        <f t="shared" si="4"/>
        <v>105.55555555555556</v>
      </c>
      <c r="E103" s="3" t="s">
        <v>5</v>
      </c>
      <c r="F103" s="3">
        <v>360</v>
      </c>
      <c r="G103" s="3"/>
      <c r="H103" s="3" t="s">
        <v>14</v>
      </c>
    </row>
    <row r="104" spans="1:8" x14ac:dyDescent="0.25">
      <c r="A104" s="2">
        <v>44952</v>
      </c>
      <c r="B104" s="3" t="s">
        <v>112</v>
      </c>
      <c r="C104" s="3">
        <v>75000</v>
      </c>
      <c r="D104" s="3">
        <f t="shared" si="4"/>
        <v>208.33333333333334</v>
      </c>
      <c r="E104" s="3" t="s">
        <v>10</v>
      </c>
      <c r="F104" s="3">
        <v>360</v>
      </c>
      <c r="G104" s="3"/>
      <c r="H104" s="3"/>
    </row>
    <row r="105" spans="1:8" x14ac:dyDescent="0.25">
      <c r="A105" s="2">
        <v>44952</v>
      </c>
      <c r="B105" s="3" t="s">
        <v>113</v>
      </c>
      <c r="C105" s="3">
        <v>20000</v>
      </c>
      <c r="D105" s="3">
        <f t="shared" si="4"/>
        <v>55.555555555555557</v>
      </c>
      <c r="E105" s="3" t="s">
        <v>5</v>
      </c>
      <c r="F105" s="3">
        <v>360</v>
      </c>
      <c r="G105" s="3"/>
      <c r="H105" s="3"/>
    </row>
    <row r="106" spans="1:8" x14ac:dyDescent="0.25">
      <c r="A106" s="2">
        <v>44953</v>
      </c>
      <c r="B106" s="3" t="s">
        <v>106</v>
      </c>
      <c r="C106" s="3">
        <v>10500</v>
      </c>
      <c r="D106" s="3">
        <f t="shared" si="4"/>
        <v>29.166666666666668</v>
      </c>
      <c r="E106" s="3" t="s">
        <v>5</v>
      </c>
      <c r="F106" s="3">
        <v>360</v>
      </c>
      <c r="G106" s="3"/>
      <c r="H106" s="3"/>
    </row>
    <row r="107" spans="1:8" x14ac:dyDescent="0.25">
      <c r="A107" s="2">
        <v>44956</v>
      </c>
      <c r="B107" s="3" t="s">
        <v>114</v>
      </c>
      <c r="C107" s="3">
        <v>3326</v>
      </c>
      <c r="D107" s="3">
        <f t="shared" si="4"/>
        <v>8.7526315789473692</v>
      </c>
      <c r="E107" s="3" t="s">
        <v>5</v>
      </c>
      <c r="F107" s="3">
        <v>380</v>
      </c>
      <c r="G107" s="3"/>
      <c r="H107" s="3"/>
    </row>
    <row r="108" spans="1:8" x14ac:dyDescent="0.25">
      <c r="A108" s="2">
        <v>44958</v>
      </c>
      <c r="B108" s="3" t="s">
        <v>96</v>
      </c>
      <c r="C108" s="3">
        <v>10500</v>
      </c>
      <c r="D108" s="3">
        <f t="shared" si="4"/>
        <v>28.378378378378379</v>
      </c>
      <c r="E108" s="3" t="s">
        <v>5</v>
      </c>
      <c r="F108" s="3">
        <v>370</v>
      </c>
      <c r="G108" s="3"/>
      <c r="H108" s="3"/>
    </row>
    <row r="109" spans="1:8" x14ac:dyDescent="0.25">
      <c r="A109" s="2">
        <v>44958</v>
      </c>
      <c r="B109" s="3" t="s">
        <v>115</v>
      </c>
      <c r="C109" s="3">
        <v>20000</v>
      </c>
      <c r="D109" s="3">
        <f t="shared" si="4"/>
        <v>54.054054054054056</v>
      </c>
      <c r="E109" s="3" t="s">
        <v>5</v>
      </c>
      <c r="F109" s="3">
        <v>370</v>
      </c>
      <c r="G109" s="3"/>
      <c r="H109" s="3"/>
    </row>
    <row r="110" spans="1:8" x14ac:dyDescent="0.25">
      <c r="A110" s="2">
        <v>44965</v>
      </c>
      <c r="B110" s="3" t="s">
        <v>118</v>
      </c>
      <c r="C110" s="3">
        <v>64728</v>
      </c>
      <c r="D110" s="3">
        <f t="shared" si="4"/>
        <v>174.94054054054055</v>
      </c>
      <c r="E110" s="3" t="s">
        <v>5</v>
      </c>
      <c r="F110" s="3">
        <v>370</v>
      </c>
      <c r="G110" s="3"/>
      <c r="H110" s="3"/>
    </row>
    <row r="111" spans="1:8" x14ac:dyDescent="0.25">
      <c r="A111" s="2">
        <v>44965</v>
      </c>
      <c r="B111" s="3" t="s">
        <v>119</v>
      </c>
      <c r="C111" s="3">
        <v>13673</v>
      </c>
      <c r="D111" s="3">
        <f t="shared" si="4"/>
        <v>36.954054054054055</v>
      </c>
      <c r="E111" s="3" t="s">
        <v>5</v>
      </c>
      <c r="F111" s="3">
        <v>370</v>
      </c>
      <c r="G111" s="3"/>
      <c r="H111" s="3"/>
    </row>
    <row r="112" spans="1:8" x14ac:dyDescent="0.25">
      <c r="A112" s="2">
        <v>44966</v>
      </c>
      <c r="B112" s="3" t="s">
        <v>120</v>
      </c>
      <c r="C112" s="3">
        <v>31000</v>
      </c>
      <c r="D112" s="3">
        <f t="shared" si="4"/>
        <v>83.78378378378379</v>
      </c>
      <c r="E112" s="3" t="s">
        <v>5</v>
      </c>
      <c r="F112" s="3">
        <v>370</v>
      </c>
      <c r="G112" s="3"/>
      <c r="H112" s="3"/>
    </row>
    <row r="113" spans="1:8" x14ac:dyDescent="0.25">
      <c r="A113" s="2">
        <v>44967</v>
      </c>
      <c r="B113" s="3" t="s">
        <v>121</v>
      </c>
      <c r="C113" s="3">
        <v>89000</v>
      </c>
      <c r="D113" s="3">
        <f t="shared" si="4"/>
        <v>240.54054054054055</v>
      </c>
      <c r="E113" s="3" t="s">
        <v>5</v>
      </c>
      <c r="F113" s="3">
        <v>370</v>
      </c>
      <c r="G113" s="3"/>
      <c r="H113" s="3"/>
    </row>
    <row r="114" spans="1:8" x14ac:dyDescent="0.25">
      <c r="A114" s="2">
        <v>44967</v>
      </c>
      <c r="B114" s="3" t="s">
        <v>122</v>
      </c>
      <c r="C114" s="3">
        <v>70000</v>
      </c>
      <c r="D114" s="3">
        <f t="shared" si="4"/>
        <v>189.18918918918919</v>
      </c>
      <c r="E114" s="3" t="s">
        <v>5</v>
      </c>
      <c r="F114" s="3">
        <v>370</v>
      </c>
      <c r="G114" s="3"/>
      <c r="H114" s="3"/>
    </row>
    <row r="115" spans="1:8" x14ac:dyDescent="0.25">
      <c r="A115" s="2">
        <v>44967</v>
      </c>
      <c r="B115" s="3" t="s">
        <v>123</v>
      </c>
      <c r="C115" s="3">
        <v>10500</v>
      </c>
      <c r="D115" s="3">
        <f t="shared" si="4"/>
        <v>28.378378378378379</v>
      </c>
      <c r="E115" s="3" t="s">
        <v>5</v>
      </c>
      <c r="F115" s="3">
        <v>370</v>
      </c>
      <c r="G115" s="3"/>
      <c r="H115" s="3"/>
    </row>
    <row r="116" spans="1:8" x14ac:dyDescent="0.25">
      <c r="A116" s="2">
        <v>44968</v>
      </c>
      <c r="B116" s="3" t="s">
        <v>120</v>
      </c>
      <c r="C116" s="3">
        <v>17962</v>
      </c>
      <c r="D116" s="3">
        <f t="shared" si="4"/>
        <v>48.545945945945945</v>
      </c>
      <c r="E116" s="3" t="s">
        <v>5</v>
      </c>
      <c r="F116" s="3">
        <v>370</v>
      </c>
      <c r="G116" s="3"/>
      <c r="H116" s="3"/>
    </row>
    <row r="117" spans="1:8" x14ac:dyDescent="0.25">
      <c r="A117" s="2">
        <v>44974</v>
      </c>
      <c r="B117" s="3" t="s">
        <v>124</v>
      </c>
      <c r="C117" s="3">
        <v>30000</v>
      </c>
      <c r="D117" s="3">
        <f t="shared" si="4"/>
        <v>81.081081081081081</v>
      </c>
      <c r="E117" s="3" t="s">
        <v>5</v>
      </c>
      <c r="F117" s="3">
        <v>370</v>
      </c>
      <c r="G117" s="3"/>
      <c r="H117" s="3"/>
    </row>
    <row r="118" spans="1:8" x14ac:dyDescent="0.25">
      <c r="A118" s="2">
        <v>44974</v>
      </c>
      <c r="B118" s="3" t="s">
        <v>125</v>
      </c>
      <c r="C118" s="3">
        <v>140000</v>
      </c>
      <c r="D118" s="3">
        <f t="shared" si="4"/>
        <v>378.37837837837839</v>
      </c>
      <c r="E118" s="3" t="s">
        <v>5</v>
      </c>
      <c r="F118" s="3">
        <v>370</v>
      </c>
      <c r="G118" s="3"/>
      <c r="H118" s="3"/>
    </row>
    <row r="119" spans="1:8" x14ac:dyDescent="0.25">
      <c r="A119" s="2">
        <v>44974</v>
      </c>
      <c r="B119" s="3" t="s">
        <v>123</v>
      </c>
      <c r="C119" s="3">
        <v>10500</v>
      </c>
      <c r="D119" s="3">
        <f t="shared" si="4"/>
        <v>28.378378378378379</v>
      </c>
      <c r="E119" s="3" t="s">
        <v>5</v>
      </c>
      <c r="F119" s="3">
        <v>370</v>
      </c>
      <c r="G119" s="3"/>
      <c r="H119" s="3"/>
    </row>
    <row r="120" spans="1:8" x14ac:dyDescent="0.25">
      <c r="A120" s="2">
        <v>44974</v>
      </c>
      <c r="B120" s="3" t="s">
        <v>129</v>
      </c>
      <c r="C120" s="3">
        <v>5150</v>
      </c>
      <c r="D120" s="3">
        <f t="shared" si="4"/>
        <v>13.918918918918919</v>
      </c>
      <c r="E120" s="3" t="s">
        <v>5</v>
      </c>
      <c r="F120" s="3">
        <v>370</v>
      </c>
      <c r="G120" s="3"/>
      <c r="H120" s="3"/>
    </row>
    <row r="121" spans="1:8" x14ac:dyDescent="0.25">
      <c r="A121" s="2">
        <v>44975</v>
      </c>
      <c r="B121" s="3" t="s">
        <v>128</v>
      </c>
      <c r="C121" s="3">
        <v>9650</v>
      </c>
      <c r="D121" s="3">
        <f t="shared" si="4"/>
        <v>26.081081081081081</v>
      </c>
      <c r="E121" s="3" t="s">
        <v>5</v>
      </c>
      <c r="F121" s="3">
        <v>370</v>
      </c>
      <c r="G121" s="3"/>
      <c r="H121" s="3"/>
    </row>
    <row r="122" spans="1:8" x14ac:dyDescent="0.25">
      <c r="A122" s="2">
        <v>44981</v>
      </c>
      <c r="B122" s="3" t="s">
        <v>106</v>
      </c>
      <c r="C122" s="3">
        <v>14000</v>
      </c>
      <c r="D122" s="3">
        <f t="shared" si="4"/>
        <v>37.837837837837839</v>
      </c>
      <c r="E122" s="3" t="s">
        <v>5</v>
      </c>
      <c r="F122" s="3">
        <v>370</v>
      </c>
      <c r="G122" s="3"/>
      <c r="H122" s="3"/>
    </row>
    <row r="123" spans="1:8" x14ac:dyDescent="0.25">
      <c r="A123" s="2">
        <v>44981</v>
      </c>
      <c r="B123" s="3" t="s">
        <v>130</v>
      </c>
      <c r="C123" s="3">
        <v>29000</v>
      </c>
      <c r="D123" s="3">
        <f t="shared" si="4"/>
        <v>78.378378378378372</v>
      </c>
      <c r="E123" s="3" t="s">
        <v>5</v>
      </c>
      <c r="F123" s="3">
        <v>370</v>
      </c>
      <c r="G123" s="3"/>
      <c r="H123" s="3"/>
    </row>
    <row r="124" spans="1:8" x14ac:dyDescent="0.25">
      <c r="A124" s="2">
        <v>44981</v>
      </c>
      <c r="B124" s="3" t="s">
        <v>131</v>
      </c>
      <c r="C124" s="3">
        <v>62600</v>
      </c>
      <c r="D124" s="3">
        <f t="shared" si="4"/>
        <v>169.18918918918919</v>
      </c>
      <c r="E124" s="3" t="s">
        <v>5</v>
      </c>
      <c r="F124" s="3">
        <v>370</v>
      </c>
      <c r="G124" s="3"/>
      <c r="H124" s="3"/>
    </row>
    <row r="125" spans="1:8" x14ac:dyDescent="0.25">
      <c r="A125" s="2">
        <v>44981</v>
      </c>
      <c r="B125" s="3" t="s">
        <v>132</v>
      </c>
      <c r="C125" s="3">
        <v>14940</v>
      </c>
      <c r="D125" s="3">
        <f t="shared" si="4"/>
        <v>40.378378378378379</v>
      </c>
      <c r="E125" s="3" t="s">
        <v>5</v>
      </c>
      <c r="F125" s="3">
        <v>370</v>
      </c>
      <c r="G125" s="3"/>
      <c r="H125" s="3"/>
    </row>
    <row r="126" spans="1:8" x14ac:dyDescent="0.25">
      <c r="A126" s="2">
        <v>44985</v>
      </c>
      <c r="B126" s="3" t="s">
        <v>133</v>
      </c>
      <c r="C126" s="3">
        <v>5500</v>
      </c>
      <c r="D126" s="3">
        <f t="shared" si="4"/>
        <v>14.864864864864865</v>
      </c>
      <c r="E126" s="3" t="s">
        <v>5</v>
      </c>
      <c r="F126" s="3">
        <v>370</v>
      </c>
      <c r="G126" s="3"/>
      <c r="H126" s="3"/>
    </row>
    <row r="127" spans="1:8" x14ac:dyDescent="0.25">
      <c r="A127" s="2">
        <v>44985</v>
      </c>
      <c r="B127" s="3" t="s">
        <v>134</v>
      </c>
      <c r="C127" s="3">
        <v>45276</v>
      </c>
      <c r="D127" s="3">
        <f t="shared" si="4"/>
        <v>122.36756756756756</v>
      </c>
      <c r="E127" s="3" t="s">
        <v>5</v>
      </c>
      <c r="F127" s="3">
        <v>370</v>
      </c>
      <c r="G127" s="3"/>
      <c r="H127" s="3"/>
    </row>
    <row r="128" spans="1:8" x14ac:dyDescent="0.25">
      <c r="A128" s="2">
        <v>44989</v>
      </c>
      <c r="B128" s="3" t="s">
        <v>135</v>
      </c>
      <c r="C128" s="3">
        <v>40000</v>
      </c>
      <c r="D128" s="3">
        <f t="shared" si="4"/>
        <v>108.10810810810811</v>
      </c>
      <c r="E128" s="3" t="s">
        <v>5</v>
      </c>
      <c r="F128" s="3">
        <v>370</v>
      </c>
      <c r="G128" s="3"/>
      <c r="H128" s="3"/>
    </row>
    <row r="129" spans="1:8" x14ac:dyDescent="0.25">
      <c r="A129" s="2">
        <v>44996</v>
      </c>
      <c r="B129" s="3" t="s">
        <v>137</v>
      </c>
      <c r="C129" s="3">
        <v>45000</v>
      </c>
      <c r="D129" s="3">
        <f t="shared" si="4"/>
        <v>121.62162162162163</v>
      </c>
      <c r="E129" s="3" t="s">
        <v>5</v>
      </c>
      <c r="F129" s="3">
        <v>370</v>
      </c>
      <c r="G129" s="3"/>
      <c r="H129" s="3"/>
    </row>
    <row r="130" spans="1:8" x14ac:dyDescent="0.25">
      <c r="A130" s="2">
        <v>44996</v>
      </c>
      <c r="B130" s="3" t="s">
        <v>138</v>
      </c>
      <c r="C130" s="3">
        <v>25000</v>
      </c>
      <c r="D130" s="3">
        <f t="shared" si="4"/>
        <v>67.567567567567565</v>
      </c>
      <c r="E130" s="3" t="s">
        <v>5</v>
      </c>
      <c r="F130" s="3">
        <v>370</v>
      </c>
      <c r="G130" s="3"/>
      <c r="H130" s="3"/>
    </row>
    <row r="131" spans="1:8" x14ac:dyDescent="0.25">
      <c r="A131" s="2">
        <v>44996</v>
      </c>
      <c r="B131" s="3" t="s">
        <v>139</v>
      </c>
      <c r="C131" s="3">
        <v>11500</v>
      </c>
      <c r="D131" s="3">
        <f t="shared" si="4"/>
        <v>31.081081081081081</v>
      </c>
      <c r="E131" s="3" t="s">
        <v>5</v>
      </c>
      <c r="F131" s="3">
        <v>370</v>
      </c>
      <c r="G131" s="3"/>
      <c r="H131" s="3"/>
    </row>
    <row r="132" spans="1:8" x14ac:dyDescent="0.25">
      <c r="A132" s="2">
        <v>45002</v>
      </c>
      <c r="B132" s="3" t="s">
        <v>142</v>
      </c>
      <c r="C132" s="3">
        <v>7000</v>
      </c>
      <c r="D132" s="3">
        <f t="shared" si="4"/>
        <v>18.918918918918919</v>
      </c>
      <c r="E132" s="3" t="s">
        <v>5</v>
      </c>
      <c r="F132" s="3">
        <v>370</v>
      </c>
      <c r="G132" s="3"/>
      <c r="H132" s="3"/>
    </row>
    <row r="133" spans="1:8" x14ac:dyDescent="0.25">
      <c r="A133" s="2">
        <v>45002</v>
      </c>
      <c r="B133" s="3" t="s">
        <v>143</v>
      </c>
      <c r="C133" s="3">
        <v>1362</v>
      </c>
      <c r="D133" s="3">
        <f t="shared" si="4"/>
        <v>3.6810810810810812</v>
      </c>
      <c r="E133" s="3" t="s">
        <v>5</v>
      </c>
      <c r="F133" s="3">
        <v>370</v>
      </c>
      <c r="G133" s="3"/>
      <c r="H133" s="3"/>
    </row>
    <row r="134" spans="1:8" x14ac:dyDescent="0.25">
      <c r="A134" s="2">
        <v>45002</v>
      </c>
      <c r="B134" s="3" t="s">
        <v>144</v>
      </c>
      <c r="C134" s="3">
        <v>39000</v>
      </c>
      <c r="D134" s="3">
        <f t="shared" ref="D134:D165" si="5" xml:space="preserve"> C134/F134</f>
        <v>105.4054054054054</v>
      </c>
      <c r="E134" s="3" t="s">
        <v>5</v>
      </c>
      <c r="F134" s="3">
        <v>370</v>
      </c>
      <c r="G134" s="3"/>
      <c r="H134" s="3"/>
    </row>
    <row r="135" spans="1:8" x14ac:dyDescent="0.25">
      <c r="A135" s="2">
        <v>45007</v>
      </c>
      <c r="B135" s="3" t="s">
        <v>145</v>
      </c>
      <c r="C135" s="3">
        <v>3000</v>
      </c>
      <c r="D135" s="3">
        <f t="shared" si="5"/>
        <v>8.1081081081081088</v>
      </c>
      <c r="E135" s="3" t="s">
        <v>5</v>
      </c>
      <c r="F135" s="3">
        <v>370</v>
      </c>
      <c r="G135" s="3"/>
      <c r="H135" s="3"/>
    </row>
    <row r="136" spans="1:8" x14ac:dyDescent="0.25">
      <c r="A136" s="2">
        <v>45007</v>
      </c>
      <c r="B136" s="3" t="s">
        <v>146</v>
      </c>
      <c r="C136" s="3">
        <v>30000</v>
      </c>
      <c r="D136" s="3">
        <f t="shared" si="5"/>
        <v>81.081081081081081</v>
      </c>
      <c r="E136" s="3" t="s">
        <v>5</v>
      </c>
      <c r="F136" s="3">
        <v>370</v>
      </c>
      <c r="G136" s="3"/>
      <c r="H136" s="3"/>
    </row>
    <row r="137" spans="1:8" x14ac:dyDescent="0.25">
      <c r="A137" s="2">
        <v>45009</v>
      </c>
      <c r="B137" s="3" t="s">
        <v>147</v>
      </c>
      <c r="C137" s="3">
        <v>27000</v>
      </c>
      <c r="D137" s="3">
        <f t="shared" si="5"/>
        <v>72.972972972972968</v>
      </c>
      <c r="E137" s="3" t="s">
        <v>5</v>
      </c>
      <c r="F137" s="3">
        <v>370</v>
      </c>
      <c r="G137" s="3"/>
      <c r="H137" s="3"/>
    </row>
    <row r="138" spans="1:8" x14ac:dyDescent="0.25">
      <c r="A138" s="2">
        <v>45009</v>
      </c>
      <c r="B138" s="3" t="s">
        <v>138</v>
      </c>
      <c r="C138" s="3">
        <v>34500</v>
      </c>
      <c r="D138" s="3">
        <f t="shared" si="5"/>
        <v>93.243243243243242</v>
      </c>
      <c r="E138" s="3" t="s">
        <v>5</v>
      </c>
      <c r="F138" s="3">
        <v>370</v>
      </c>
      <c r="G138" s="3"/>
      <c r="H138" s="3"/>
    </row>
    <row r="139" spans="1:8" x14ac:dyDescent="0.25">
      <c r="A139" s="2">
        <v>45009</v>
      </c>
      <c r="B139" s="3" t="s">
        <v>148</v>
      </c>
      <c r="C139" s="3">
        <v>840</v>
      </c>
      <c r="D139" s="3">
        <f t="shared" si="5"/>
        <v>2.2702702702702702</v>
      </c>
      <c r="E139" s="3" t="s">
        <v>5</v>
      </c>
      <c r="F139" s="3">
        <v>370</v>
      </c>
      <c r="G139" s="3"/>
      <c r="H139" s="3"/>
    </row>
    <row r="140" spans="1:8" x14ac:dyDescent="0.25">
      <c r="A140" s="2">
        <v>45009</v>
      </c>
      <c r="B140" s="3" t="s">
        <v>149</v>
      </c>
      <c r="C140" s="3">
        <v>26904</v>
      </c>
      <c r="D140" s="3">
        <f t="shared" si="5"/>
        <v>72.713513513513519</v>
      </c>
      <c r="E140" s="3" t="s">
        <v>5</v>
      </c>
      <c r="F140" s="3">
        <v>370</v>
      </c>
      <c r="G140" s="3"/>
      <c r="H140" s="3"/>
    </row>
    <row r="141" spans="1:8" x14ac:dyDescent="0.25">
      <c r="A141" s="2">
        <v>45009</v>
      </c>
      <c r="B141" s="3" t="s">
        <v>149</v>
      </c>
      <c r="C141" s="3">
        <v>7769</v>
      </c>
      <c r="D141" s="3">
        <f t="shared" si="5"/>
        <v>20.997297297297298</v>
      </c>
      <c r="E141" s="3" t="s">
        <v>5</v>
      </c>
      <c r="F141" s="3">
        <v>370</v>
      </c>
      <c r="G141" s="3"/>
      <c r="H141" s="3"/>
    </row>
    <row r="142" spans="1:8" x14ac:dyDescent="0.25">
      <c r="A142" s="2">
        <v>45009</v>
      </c>
      <c r="B142" s="3" t="s">
        <v>150</v>
      </c>
      <c r="C142" s="3">
        <v>6868</v>
      </c>
      <c r="D142" s="3">
        <f t="shared" si="5"/>
        <v>18.562162162162164</v>
      </c>
      <c r="E142" s="3" t="s">
        <v>5</v>
      </c>
      <c r="F142" s="3">
        <v>370</v>
      </c>
      <c r="G142" s="3"/>
      <c r="H142" s="3"/>
    </row>
    <row r="143" spans="1:8" x14ac:dyDescent="0.25">
      <c r="A143" s="2">
        <v>45009</v>
      </c>
      <c r="B143" s="3" t="s">
        <v>141</v>
      </c>
      <c r="C143" s="3">
        <v>1885</v>
      </c>
      <c r="D143" s="3">
        <f t="shared" si="5"/>
        <v>5.0945945945945947</v>
      </c>
      <c r="E143" s="3" t="s">
        <v>5</v>
      </c>
      <c r="F143" s="3">
        <v>370</v>
      </c>
      <c r="G143" s="3"/>
      <c r="H143" s="3"/>
    </row>
    <row r="144" spans="1:8" x14ac:dyDescent="0.25">
      <c r="A144" s="2">
        <v>45010</v>
      </c>
      <c r="B144" s="3" t="s">
        <v>151</v>
      </c>
      <c r="C144" s="3">
        <v>31554</v>
      </c>
      <c r="D144" s="3">
        <f t="shared" si="5"/>
        <v>85.281081081081084</v>
      </c>
      <c r="E144" s="3" t="s">
        <v>5</v>
      </c>
      <c r="F144" s="3">
        <v>370</v>
      </c>
      <c r="G144" s="3"/>
      <c r="H144" s="3"/>
    </row>
    <row r="145" spans="1:8" x14ac:dyDescent="0.25">
      <c r="A145" s="2">
        <v>45012</v>
      </c>
      <c r="B145" s="3" t="s">
        <v>152</v>
      </c>
      <c r="C145" s="3">
        <v>219526</v>
      </c>
      <c r="D145" s="3">
        <f t="shared" si="5"/>
        <v>593.3135135135135</v>
      </c>
      <c r="E145" s="3" t="s">
        <v>5</v>
      </c>
      <c r="F145" s="3">
        <v>370</v>
      </c>
      <c r="G145" s="3"/>
      <c r="H145" s="3"/>
    </row>
    <row r="146" spans="1:8" x14ac:dyDescent="0.25">
      <c r="A146" s="2">
        <v>45012</v>
      </c>
      <c r="B146" s="3" t="s">
        <v>66</v>
      </c>
      <c r="C146" s="3">
        <v>35000</v>
      </c>
      <c r="D146" s="3">
        <f t="shared" si="5"/>
        <v>94.594594594594597</v>
      </c>
      <c r="E146" s="3" t="s">
        <v>5</v>
      </c>
      <c r="F146" s="3">
        <v>370</v>
      </c>
      <c r="G146" s="3"/>
      <c r="H146" s="3"/>
    </row>
    <row r="147" spans="1:8" x14ac:dyDescent="0.25">
      <c r="A147" s="2">
        <v>45014</v>
      </c>
      <c r="B147" s="3" t="s">
        <v>153</v>
      </c>
      <c r="C147" s="3">
        <v>24000</v>
      </c>
      <c r="D147" s="3">
        <f t="shared" si="5"/>
        <v>64.86486486486487</v>
      </c>
      <c r="E147" s="3" t="s">
        <v>5</v>
      </c>
      <c r="F147" s="3">
        <v>370</v>
      </c>
      <c r="G147" s="3"/>
      <c r="H147" s="3"/>
    </row>
    <row r="148" spans="1:8" x14ac:dyDescent="0.25">
      <c r="A148" s="2">
        <v>45017</v>
      </c>
      <c r="B148" s="3" t="s">
        <v>154</v>
      </c>
      <c r="C148" s="3">
        <v>17850</v>
      </c>
      <c r="D148" s="3">
        <f t="shared" si="5"/>
        <v>48.243243243243242</v>
      </c>
      <c r="E148" s="3" t="s">
        <v>5</v>
      </c>
      <c r="F148" s="3">
        <v>370</v>
      </c>
      <c r="G148" s="3"/>
      <c r="H148" s="3"/>
    </row>
    <row r="149" spans="1:8" x14ac:dyDescent="0.25">
      <c r="A149" s="2">
        <v>45017</v>
      </c>
      <c r="B149" s="3" t="s">
        <v>153</v>
      </c>
      <c r="C149" s="3">
        <v>25000</v>
      </c>
      <c r="D149" s="3">
        <f t="shared" si="5"/>
        <v>67.567567567567565</v>
      </c>
      <c r="E149" s="3" t="s">
        <v>5</v>
      </c>
      <c r="F149" s="3">
        <v>370</v>
      </c>
      <c r="G149" s="3"/>
      <c r="H149" s="3"/>
    </row>
    <row r="150" spans="1:8" x14ac:dyDescent="0.25">
      <c r="A150" s="2">
        <v>45017</v>
      </c>
      <c r="B150" s="3" t="s">
        <v>155</v>
      </c>
      <c r="C150" s="3">
        <v>6000</v>
      </c>
      <c r="D150" s="3">
        <f t="shared" si="5"/>
        <v>16.216216216216218</v>
      </c>
      <c r="E150" s="3" t="s">
        <v>5</v>
      </c>
      <c r="F150" s="3">
        <v>370</v>
      </c>
      <c r="G150" s="3"/>
      <c r="H150" s="3"/>
    </row>
    <row r="151" spans="1:8" x14ac:dyDescent="0.25">
      <c r="A151" s="2">
        <v>45017</v>
      </c>
      <c r="B151" s="3" t="s">
        <v>106</v>
      </c>
      <c r="C151" s="3">
        <v>40250</v>
      </c>
      <c r="D151" s="3">
        <f t="shared" si="5"/>
        <v>108.78378378378379</v>
      </c>
      <c r="E151" s="3" t="s">
        <v>5</v>
      </c>
      <c r="F151" s="3">
        <v>370</v>
      </c>
      <c r="G151" s="3"/>
      <c r="H151" s="3"/>
    </row>
    <row r="152" spans="1:8" x14ac:dyDescent="0.25">
      <c r="A152" s="2">
        <v>45017</v>
      </c>
      <c r="B152" s="3" t="s">
        <v>156</v>
      </c>
      <c r="C152" s="3">
        <v>30000</v>
      </c>
      <c r="D152" s="3">
        <f t="shared" si="5"/>
        <v>81.081081081081081</v>
      </c>
      <c r="E152" s="3" t="s">
        <v>5</v>
      </c>
      <c r="F152" s="3">
        <v>370</v>
      </c>
      <c r="G152" s="3"/>
    </row>
    <row r="153" spans="1:8" x14ac:dyDescent="0.25">
      <c r="A153" s="2">
        <v>45020</v>
      </c>
      <c r="B153" s="3" t="s">
        <v>157</v>
      </c>
      <c r="C153" s="3">
        <v>28000</v>
      </c>
      <c r="D153" s="3">
        <f t="shared" si="5"/>
        <v>75.675675675675677</v>
      </c>
      <c r="E153" s="3" t="s">
        <v>5</v>
      </c>
      <c r="F153" s="3">
        <v>370</v>
      </c>
      <c r="G153" s="3"/>
    </row>
    <row r="154" spans="1:8" x14ac:dyDescent="0.25">
      <c r="A154" s="2">
        <v>45021</v>
      </c>
      <c r="B154" s="3" t="s">
        <v>102</v>
      </c>
      <c r="C154" s="3">
        <v>129000</v>
      </c>
      <c r="D154" s="3">
        <f t="shared" si="5"/>
        <v>348.64864864864865</v>
      </c>
      <c r="E154" s="3" t="s">
        <v>5</v>
      </c>
      <c r="F154" s="3">
        <v>370</v>
      </c>
      <c r="G154" s="3"/>
    </row>
    <row r="155" spans="1:8" x14ac:dyDescent="0.25">
      <c r="A155" s="2">
        <v>45026</v>
      </c>
      <c r="B155" s="3" t="s">
        <v>158</v>
      </c>
      <c r="C155" s="3">
        <v>15000</v>
      </c>
      <c r="D155" s="3">
        <f t="shared" si="5"/>
        <v>40.54054054054054</v>
      </c>
      <c r="E155" s="3" t="s">
        <v>5</v>
      </c>
      <c r="F155" s="3">
        <v>370</v>
      </c>
      <c r="G155" s="3"/>
    </row>
    <row r="156" spans="1:8" x14ac:dyDescent="0.25">
      <c r="A156" s="2">
        <v>45026</v>
      </c>
      <c r="B156" s="3" t="s">
        <v>160</v>
      </c>
      <c r="C156" s="3">
        <v>19000</v>
      </c>
      <c r="D156" s="3">
        <f t="shared" si="5"/>
        <v>51.351351351351354</v>
      </c>
      <c r="E156" s="3" t="s">
        <v>5</v>
      </c>
      <c r="F156" s="3">
        <v>370</v>
      </c>
      <c r="G156" s="3"/>
    </row>
    <row r="157" spans="1:8" x14ac:dyDescent="0.25">
      <c r="A157" s="2">
        <v>45026</v>
      </c>
      <c r="B157" s="3" t="s">
        <v>159</v>
      </c>
      <c r="C157" s="3">
        <v>35000</v>
      </c>
      <c r="D157" s="3">
        <f t="shared" si="5"/>
        <v>94.594594594594597</v>
      </c>
      <c r="E157" s="3" t="s">
        <v>5</v>
      </c>
      <c r="F157" s="3">
        <v>370</v>
      </c>
      <c r="G157" s="3"/>
    </row>
    <row r="158" spans="1:8" x14ac:dyDescent="0.25">
      <c r="A158" s="2">
        <v>45026</v>
      </c>
      <c r="B158" s="3" t="s">
        <v>161</v>
      </c>
      <c r="C158" s="3">
        <v>30000</v>
      </c>
      <c r="D158" s="3">
        <f t="shared" si="5"/>
        <v>81.081081081081081</v>
      </c>
      <c r="E158" s="3" t="s">
        <v>5</v>
      </c>
      <c r="F158" s="3">
        <v>370</v>
      </c>
      <c r="G158" s="3"/>
    </row>
    <row r="159" spans="1:8" x14ac:dyDescent="0.25">
      <c r="A159" s="2">
        <v>45026</v>
      </c>
      <c r="B159" s="3" t="s">
        <v>162</v>
      </c>
      <c r="C159" s="3">
        <v>7000</v>
      </c>
      <c r="D159" s="3">
        <f t="shared" si="5"/>
        <v>18.918918918918919</v>
      </c>
      <c r="E159" s="3" t="s">
        <v>5</v>
      </c>
      <c r="F159" s="3">
        <v>370</v>
      </c>
      <c r="G159" s="3"/>
    </row>
    <row r="160" spans="1:8" x14ac:dyDescent="0.25">
      <c r="A160" s="2">
        <v>45027</v>
      </c>
      <c r="B160" s="3" t="s">
        <v>166</v>
      </c>
      <c r="C160" s="3">
        <v>5000</v>
      </c>
      <c r="D160" s="3">
        <f t="shared" si="5"/>
        <v>13.513513513513514</v>
      </c>
      <c r="E160" s="3" t="s">
        <v>5</v>
      </c>
      <c r="F160" s="3">
        <v>370</v>
      </c>
      <c r="G160" s="3"/>
    </row>
    <row r="161" spans="1:7" x14ac:dyDescent="0.25">
      <c r="A161" s="2">
        <v>45027</v>
      </c>
      <c r="B161" s="3" t="s">
        <v>163</v>
      </c>
      <c r="C161" s="3">
        <v>32549</v>
      </c>
      <c r="D161" s="3">
        <f t="shared" si="5"/>
        <v>87.970270270270277</v>
      </c>
      <c r="E161" s="3" t="s">
        <v>5</v>
      </c>
      <c r="F161" s="3">
        <v>370</v>
      </c>
      <c r="G161" s="3"/>
    </row>
    <row r="162" spans="1:7" x14ac:dyDescent="0.25">
      <c r="A162" s="2">
        <v>45028</v>
      </c>
      <c r="B162" s="3" t="s">
        <v>164</v>
      </c>
      <c r="C162" s="3">
        <v>6000</v>
      </c>
      <c r="D162" s="3">
        <f t="shared" si="5"/>
        <v>15.384615384615385</v>
      </c>
      <c r="E162" s="3" t="s">
        <v>5</v>
      </c>
      <c r="F162" s="3">
        <v>390</v>
      </c>
      <c r="G162" s="3"/>
    </row>
    <row r="163" spans="1:7" x14ac:dyDescent="0.25">
      <c r="A163" s="2">
        <v>45028</v>
      </c>
      <c r="B163" s="3" t="s">
        <v>165</v>
      </c>
      <c r="C163" s="3">
        <v>40000</v>
      </c>
      <c r="D163" s="3">
        <f t="shared" si="5"/>
        <v>102.56410256410257</v>
      </c>
      <c r="E163" s="3" t="s">
        <v>5</v>
      </c>
      <c r="F163" s="3">
        <v>390</v>
      </c>
      <c r="G163" s="3"/>
    </row>
    <row r="164" spans="1:7" x14ac:dyDescent="0.25">
      <c r="A164" s="2">
        <v>45030</v>
      </c>
      <c r="B164" s="3" t="s">
        <v>167</v>
      </c>
      <c r="C164" s="3">
        <v>100000</v>
      </c>
      <c r="D164" s="3">
        <f t="shared" si="5"/>
        <v>256.41025641025641</v>
      </c>
      <c r="E164" s="3" t="s">
        <v>5</v>
      </c>
      <c r="F164" s="3">
        <v>390</v>
      </c>
      <c r="G164" s="3"/>
    </row>
    <row r="165" spans="1:7" x14ac:dyDescent="0.25">
      <c r="A165" s="2">
        <v>45030</v>
      </c>
      <c r="B165" s="3" t="s">
        <v>106</v>
      </c>
      <c r="C165" s="3">
        <v>21000</v>
      </c>
      <c r="D165" s="3">
        <f t="shared" si="5"/>
        <v>53.846153846153847</v>
      </c>
      <c r="E165" s="3" t="s">
        <v>5</v>
      </c>
      <c r="F165" s="3">
        <v>390</v>
      </c>
      <c r="G165" s="3"/>
    </row>
    <row r="166" spans="1:7" x14ac:dyDescent="0.25">
      <c r="A166" s="2">
        <v>45031</v>
      </c>
      <c r="B166" s="3" t="s">
        <v>168</v>
      </c>
      <c r="C166" s="3">
        <v>5800</v>
      </c>
      <c r="D166" s="3">
        <f t="shared" ref="D166:D197" si="6" xml:space="preserve"> C166/F166</f>
        <v>14.871794871794872</v>
      </c>
      <c r="E166" s="3" t="s">
        <v>5</v>
      </c>
      <c r="F166" s="3">
        <v>390</v>
      </c>
      <c r="G166" s="3"/>
    </row>
    <row r="167" spans="1:7" x14ac:dyDescent="0.25">
      <c r="A167" s="2">
        <v>45031</v>
      </c>
      <c r="B167" s="3" t="s">
        <v>169</v>
      </c>
      <c r="C167" s="3">
        <v>10000</v>
      </c>
      <c r="D167" s="3">
        <f t="shared" si="6"/>
        <v>25.641025641025642</v>
      </c>
      <c r="E167" s="3" t="s">
        <v>5</v>
      </c>
      <c r="F167" s="3">
        <v>390</v>
      </c>
      <c r="G167" s="3"/>
    </row>
    <row r="168" spans="1:7" x14ac:dyDescent="0.25">
      <c r="A168" s="2">
        <v>45031</v>
      </c>
      <c r="B168" s="3" t="s">
        <v>170</v>
      </c>
      <c r="C168" s="3">
        <v>8500</v>
      </c>
      <c r="D168" s="3">
        <f t="shared" si="6"/>
        <v>21.25</v>
      </c>
      <c r="E168" s="3" t="s">
        <v>5</v>
      </c>
      <c r="F168" s="3">
        <v>400</v>
      </c>
      <c r="G168" s="3"/>
    </row>
    <row r="169" spans="1:7" x14ac:dyDescent="0.25">
      <c r="A169" s="2">
        <v>45036</v>
      </c>
      <c r="B169" s="3" t="s">
        <v>171</v>
      </c>
      <c r="C169" s="3">
        <v>4500</v>
      </c>
      <c r="D169" s="3">
        <f t="shared" si="6"/>
        <v>11.25</v>
      </c>
      <c r="E169" s="3" t="s">
        <v>5</v>
      </c>
      <c r="F169" s="3">
        <v>400</v>
      </c>
      <c r="G169" s="3"/>
    </row>
    <row r="170" spans="1:7" x14ac:dyDescent="0.25">
      <c r="A170" s="2">
        <v>45037</v>
      </c>
      <c r="B170" s="3" t="s">
        <v>172</v>
      </c>
      <c r="C170" s="3">
        <f xml:space="preserve"> SUM(5450, 26183,4000)</f>
        <v>35633</v>
      </c>
      <c r="D170" s="3">
        <f t="shared" si="6"/>
        <v>84.840476190476195</v>
      </c>
      <c r="E170" s="3" t="s">
        <v>5</v>
      </c>
      <c r="F170" s="3">
        <v>420</v>
      </c>
      <c r="G170" s="3"/>
    </row>
    <row r="171" spans="1:7" x14ac:dyDescent="0.25">
      <c r="A171" s="2">
        <v>45038</v>
      </c>
      <c r="B171" s="3" t="s">
        <v>173</v>
      </c>
      <c r="C171" s="3">
        <v>30000</v>
      </c>
      <c r="D171" s="3">
        <f t="shared" si="6"/>
        <v>71.428571428571431</v>
      </c>
      <c r="E171" s="3" t="s">
        <v>5</v>
      </c>
      <c r="F171" s="3">
        <v>420</v>
      </c>
      <c r="G171" s="3"/>
    </row>
    <row r="172" spans="1:7" x14ac:dyDescent="0.25">
      <c r="A172" s="2">
        <v>45038</v>
      </c>
      <c r="B172" s="3" t="s">
        <v>174</v>
      </c>
      <c r="C172" s="3">
        <v>20000</v>
      </c>
      <c r="D172" s="3">
        <f t="shared" si="6"/>
        <v>47.61904761904762</v>
      </c>
      <c r="E172" s="3" t="s">
        <v>5</v>
      </c>
      <c r="F172" s="3">
        <v>420</v>
      </c>
      <c r="G172" s="3"/>
    </row>
    <row r="173" spans="1:7" x14ac:dyDescent="0.25">
      <c r="A173" s="2">
        <v>45040</v>
      </c>
      <c r="B173" s="3" t="s">
        <v>134</v>
      </c>
      <c r="C173" s="3">
        <v>63221</v>
      </c>
      <c r="D173" s="3">
        <f t="shared" si="6"/>
        <v>140.49111111111111</v>
      </c>
      <c r="E173" s="3" t="s">
        <v>5</v>
      </c>
      <c r="F173" s="3">
        <v>450</v>
      </c>
      <c r="G173" s="3"/>
    </row>
    <row r="174" spans="1:7" x14ac:dyDescent="0.25">
      <c r="A174" s="2">
        <v>45040</v>
      </c>
      <c r="B174" s="3" t="s">
        <v>175</v>
      </c>
      <c r="C174" s="3">
        <v>5450</v>
      </c>
      <c r="D174" s="3">
        <f t="shared" si="6"/>
        <v>12.111111111111111</v>
      </c>
      <c r="E174" s="3" t="s">
        <v>5</v>
      </c>
      <c r="F174" s="3">
        <v>450</v>
      </c>
      <c r="G174" s="3"/>
    </row>
    <row r="175" spans="1:7" x14ac:dyDescent="0.25">
      <c r="A175" s="2">
        <v>45044</v>
      </c>
      <c r="B175" s="3" t="s">
        <v>176</v>
      </c>
      <c r="C175" s="3">
        <v>30000</v>
      </c>
      <c r="D175" s="3">
        <f t="shared" si="6"/>
        <v>66.666666666666671</v>
      </c>
      <c r="E175" s="3" t="s">
        <v>5</v>
      </c>
      <c r="F175" s="3">
        <v>450</v>
      </c>
      <c r="G175" s="3"/>
    </row>
    <row r="176" spans="1:7" x14ac:dyDescent="0.25">
      <c r="A176" s="2">
        <v>45045</v>
      </c>
      <c r="B176" s="3" t="s">
        <v>177</v>
      </c>
      <c r="C176" s="3">
        <v>20960</v>
      </c>
      <c r="D176" s="3">
        <f t="shared" si="6"/>
        <v>46.577777777777776</v>
      </c>
      <c r="E176" s="3" t="s">
        <v>5</v>
      </c>
      <c r="F176" s="3">
        <v>450</v>
      </c>
      <c r="G176" s="3"/>
    </row>
    <row r="177" spans="1:7" x14ac:dyDescent="0.25">
      <c r="A177" s="2">
        <v>45045</v>
      </c>
      <c r="B177" s="3" t="s">
        <v>178</v>
      </c>
      <c r="C177" s="3">
        <v>20000</v>
      </c>
      <c r="D177" s="3">
        <f t="shared" si="6"/>
        <v>44.444444444444443</v>
      </c>
      <c r="E177" s="3" t="s">
        <v>5</v>
      </c>
      <c r="F177" s="3">
        <v>450</v>
      </c>
      <c r="G177" s="3"/>
    </row>
    <row r="178" spans="1:7" x14ac:dyDescent="0.25">
      <c r="A178" s="2">
        <v>45045</v>
      </c>
      <c r="B178" s="3" t="s">
        <v>179</v>
      </c>
      <c r="C178" s="3">
        <v>13675</v>
      </c>
      <c r="D178" s="3">
        <f t="shared" si="6"/>
        <v>30.388888888888889</v>
      </c>
      <c r="E178" s="3" t="s">
        <v>5</v>
      </c>
      <c r="F178" s="3">
        <v>450</v>
      </c>
      <c r="G178" s="3"/>
    </row>
    <row r="179" spans="1:7" x14ac:dyDescent="0.25">
      <c r="A179" s="2">
        <v>45048</v>
      </c>
      <c r="B179" s="3" t="s">
        <v>180</v>
      </c>
      <c r="C179" s="3">
        <v>25000</v>
      </c>
      <c r="D179" s="3">
        <f t="shared" si="6"/>
        <v>52.631578947368418</v>
      </c>
      <c r="E179" s="3" t="s">
        <v>5</v>
      </c>
      <c r="F179" s="3">
        <v>475</v>
      </c>
      <c r="G179" s="3"/>
    </row>
    <row r="180" spans="1:7" x14ac:dyDescent="0.25">
      <c r="A180" s="2">
        <v>45049</v>
      </c>
      <c r="B180" s="3" t="s">
        <v>106</v>
      </c>
      <c r="C180" s="3">
        <v>7000</v>
      </c>
      <c r="D180" s="3">
        <f t="shared" si="6"/>
        <v>14.736842105263158</v>
      </c>
      <c r="E180" s="3" t="s">
        <v>5</v>
      </c>
      <c r="F180" s="3">
        <v>475</v>
      </c>
      <c r="G180" s="3"/>
    </row>
    <row r="181" spans="1:7" x14ac:dyDescent="0.25">
      <c r="A181" s="2">
        <v>45049</v>
      </c>
      <c r="B181" s="3" t="s">
        <v>181</v>
      </c>
      <c r="C181" s="3">
        <v>4000</v>
      </c>
      <c r="D181" s="3">
        <f t="shared" si="6"/>
        <v>8.4210526315789469</v>
      </c>
      <c r="E181" s="3" t="s">
        <v>5</v>
      </c>
      <c r="F181" s="3">
        <v>475</v>
      </c>
      <c r="G181" s="3"/>
    </row>
    <row r="182" spans="1:7" x14ac:dyDescent="0.25">
      <c r="A182" s="2">
        <v>45050</v>
      </c>
      <c r="B182" s="3" t="s">
        <v>182</v>
      </c>
      <c r="C182" s="3">
        <v>13000</v>
      </c>
      <c r="D182" s="3">
        <f t="shared" si="6"/>
        <v>27.368421052631579</v>
      </c>
      <c r="E182" s="3" t="s">
        <v>5</v>
      </c>
      <c r="F182" s="3">
        <v>475</v>
      </c>
      <c r="G182" s="3"/>
    </row>
    <row r="183" spans="1:7" x14ac:dyDescent="0.25">
      <c r="A183" s="2">
        <v>45051</v>
      </c>
      <c r="B183" s="3" t="s">
        <v>183</v>
      </c>
      <c r="C183" s="3">
        <v>13500</v>
      </c>
      <c r="D183" s="3">
        <f t="shared" si="6"/>
        <v>28.421052631578949</v>
      </c>
      <c r="E183" s="3" t="s">
        <v>5</v>
      </c>
      <c r="F183" s="3">
        <v>475</v>
      </c>
      <c r="G183" s="3"/>
    </row>
    <row r="184" spans="1:7" x14ac:dyDescent="0.25">
      <c r="A184" s="2">
        <v>45052</v>
      </c>
      <c r="B184" s="3" t="s">
        <v>184</v>
      </c>
      <c r="C184" s="3">
        <v>6650</v>
      </c>
      <c r="D184" s="3">
        <f t="shared" si="6"/>
        <v>14</v>
      </c>
      <c r="E184" s="3" t="s">
        <v>5</v>
      </c>
      <c r="F184" s="3">
        <v>475</v>
      </c>
      <c r="G184" s="3"/>
    </row>
    <row r="185" spans="1:7" x14ac:dyDescent="0.25">
      <c r="A185" s="2">
        <v>45054</v>
      </c>
      <c r="B185" s="3" t="s">
        <v>185</v>
      </c>
      <c r="C185" s="3">
        <v>11804</v>
      </c>
      <c r="D185" s="3">
        <f t="shared" si="6"/>
        <v>24.850526315789473</v>
      </c>
      <c r="E185" s="3" t="s">
        <v>5</v>
      </c>
      <c r="F185" s="3">
        <v>475</v>
      </c>
      <c r="G185" s="3"/>
    </row>
    <row r="186" spans="1:7" x14ac:dyDescent="0.25">
      <c r="A186" s="2">
        <v>45054</v>
      </c>
      <c r="B186" s="3" t="s">
        <v>186</v>
      </c>
      <c r="C186" s="3">
        <v>3000</v>
      </c>
      <c r="D186" s="3">
        <f t="shared" si="6"/>
        <v>6.3157894736842106</v>
      </c>
      <c r="E186" s="3" t="s">
        <v>5</v>
      </c>
      <c r="F186" s="3">
        <v>475</v>
      </c>
      <c r="G186" s="3"/>
    </row>
    <row r="187" spans="1:7" x14ac:dyDescent="0.25">
      <c r="A187" s="2">
        <v>45055</v>
      </c>
      <c r="B187" s="3" t="s">
        <v>187</v>
      </c>
      <c r="C187" s="3">
        <v>15000</v>
      </c>
      <c r="D187" s="3">
        <f t="shared" si="6"/>
        <v>31.578947368421051</v>
      </c>
      <c r="E187" s="3" t="s">
        <v>5</v>
      </c>
      <c r="F187" s="3">
        <v>475</v>
      </c>
      <c r="G187" s="3"/>
    </row>
    <row r="188" spans="1:7" x14ac:dyDescent="0.25">
      <c r="A188" s="2">
        <v>45055</v>
      </c>
      <c r="B188" s="3" t="s">
        <v>188</v>
      </c>
      <c r="C188" s="3">
        <v>6110</v>
      </c>
      <c r="D188" s="3">
        <f t="shared" si="6"/>
        <v>12.863157894736842</v>
      </c>
      <c r="E188" s="3" t="s">
        <v>5</v>
      </c>
      <c r="F188" s="3">
        <v>475</v>
      </c>
      <c r="G188" s="3"/>
    </row>
    <row r="189" spans="1:7" x14ac:dyDescent="0.25">
      <c r="A189" s="2">
        <v>45056</v>
      </c>
      <c r="B189" s="3" t="s">
        <v>189</v>
      </c>
      <c r="C189" s="3">
        <v>8500</v>
      </c>
      <c r="D189" s="3">
        <f t="shared" si="6"/>
        <v>17.894736842105264</v>
      </c>
      <c r="E189" s="3" t="s">
        <v>5</v>
      </c>
      <c r="F189" s="3">
        <v>475</v>
      </c>
      <c r="G189" s="3"/>
    </row>
    <row r="190" spans="1:7" x14ac:dyDescent="0.25">
      <c r="A190" s="2">
        <v>45056</v>
      </c>
      <c r="B190" s="3" t="s">
        <v>190</v>
      </c>
      <c r="C190" s="3">
        <v>10500</v>
      </c>
      <c r="D190" s="3">
        <f t="shared" si="6"/>
        <v>22.105263157894736</v>
      </c>
      <c r="E190" s="3" t="s">
        <v>5</v>
      </c>
      <c r="F190" s="3">
        <v>475</v>
      </c>
      <c r="G190" s="3"/>
    </row>
    <row r="191" spans="1:7" x14ac:dyDescent="0.25">
      <c r="A191" s="2">
        <v>45061</v>
      </c>
      <c r="B191" s="3" t="s">
        <v>191</v>
      </c>
      <c r="C191" s="3">
        <v>20000</v>
      </c>
      <c r="D191" s="3">
        <f t="shared" si="6"/>
        <v>42.10526315789474</v>
      </c>
      <c r="E191" s="3" t="s">
        <v>5</v>
      </c>
      <c r="F191" s="3">
        <v>475</v>
      </c>
      <c r="G191" s="3"/>
    </row>
    <row r="192" spans="1:7" x14ac:dyDescent="0.25">
      <c r="A192" s="2">
        <v>45064</v>
      </c>
      <c r="B192" s="3" t="s">
        <v>192</v>
      </c>
      <c r="C192" s="3">
        <v>70000</v>
      </c>
      <c r="D192" s="3">
        <f t="shared" si="6"/>
        <v>147.36842105263159</v>
      </c>
      <c r="E192" s="3" t="s">
        <v>5</v>
      </c>
      <c r="F192" s="3">
        <v>475</v>
      </c>
      <c r="G192" s="3"/>
    </row>
    <row r="193" spans="1:7" x14ac:dyDescent="0.25">
      <c r="A193" s="2">
        <v>45066</v>
      </c>
      <c r="B193" s="3" t="s">
        <v>193</v>
      </c>
      <c r="C193" s="3">
        <v>135000</v>
      </c>
      <c r="D193" s="3">
        <f t="shared" si="6"/>
        <v>284.21052631578948</v>
      </c>
      <c r="E193" s="3" t="s">
        <v>5</v>
      </c>
      <c r="F193" s="3">
        <v>475</v>
      </c>
      <c r="G193" s="3"/>
    </row>
    <row r="194" spans="1:7" x14ac:dyDescent="0.25">
      <c r="A194" s="2">
        <v>45067</v>
      </c>
      <c r="B194" s="3" t="s">
        <v>194</v>
      </c>
      <c r="C194" s="3">
        <v>13376</v>
      </c>
      <c r="D194" s="3">
        <f t="shared" si="6"/>
        <v>28.16</v>
      </c>
      <c r="E194" s="3" t="s">
        <v>5</v>
      </c>
      <c r="F194" s="3">
        <v>475</v>
      </c>
      <c r="G194" s="3"/>
    </row>
    <row r="195" spans="1:7" x14ac:dyDescent="0.25">
      <c r="A195" s="2">
        <v>45068</v>
      </c>
      <c r="B195" s="3" t="s">
        <v>195</v>
      </c>
      <c r="C195" s="3">
        <v>20000</v>
      </c>
      <c r="D195" s="3">
        <f t="shared" si="6"/>
        <v>42.10526315789474</v>
      </c>
      <c r="E195" s="3" t="s">
        <v>5</v>
      </c>
      <c r="F195" s="3">
        <v>475</v>
      </c>
      <c r="G195" s="3"/>
    </row>
    <row r="196" spans="1:7" x14ac:dyDescent="0.25">
      <c r="A196" s="2">
        <v>45068</v>
      </c>
      <c r="B196" s="3" t="s">
        <v>196</v>
      </c>
      <c r="C196" s="3">
        <v>40000</v>
      </c>
      <c r="D196" s="3">
        <f t="shared" si="6"/>
        <v>84.21052631578948</v>
      </c>
      <c r="E196" s="3" t="s">
        <v>5</v>
      </c>
      <c r="F196" s="3">
        <v>475</v>
      </c>
      <c r="G196" s="3"/>
    </row>
    <row r="197" spans="1:7" x14ac:dyDescent="0.25">
      <c r="A197" s="2">
        <v>45070</v>
      </c>
      <c r="B197" s="3" t="s">
        <v>197</v>
      </c>
      <c r="C197" s="3">
        <v>12000</v>
      </c>
      <c r="D197" s="3">
        <f t="shared" si="6"/>
        <v>25.263157894736842</v>
      </c>
      <c r="E197" s="3" t="s">
        <v>5</v>
      </c>
      <c r="F197" s="3">
        <v>475</v>
      </c>
      <c r="G197" s="3"/>
    </row>
    <row r="198" spans="1:7" x14ac:dyDescent="0.25">
      <c r="A198" s="2">
        <v>45071</v>
      </c>
      <c r="B198" s="3" t="s">
        <v>200</v>
      </c>
      <c r="C198" s="3">
        <v>40000</v>
      </c>
      <c r="D198" s="3">
        <f t="shared" ref="D198:D200" si="7" xml:space="preserve"> C198/F198</f>
        <v>84.21052631578948</v>
      </c>
      <c r="E198" s="3" t="s">
        <v>5</v>
      </c>
      <c r="F198" s="3">
        <v>475</v>
      </c>
      <c r="G198" s="3"/>
    </row>
    <row r="199" spans="1:7" x14ac:dyDescent="0.25">
      <c r="A199" s="2">
        <v>45071</v>
      </c>
      <c r="B199" s="3" t="s">
        <v>201</v>
      </c>
      <c r="C199" s="3">
        <v>4600</v>
      </c>
      <c r="D199" s="3">
        <f t="shared" si="7"/>
        <v>9.6842105263157894</v>
      </c>
      <c r="E199" s="3" t="s">
        <v>5</v>
      </c>
      <c r="F199" s="3">
        <v>475</v>
      </c>
      <c r="G199" s="3"/>
    </row>
    <row r="200" spans="1:7" x14ac:dyDescent="0.25">
      <c r="A200" s="2">
        <v>45071</v>
      </c>
      <c r="B200" s="3" t="s">
        <v>202</v>
      </c>
      <c r="C200" s="3">
        <v>70000</v>
      </c>
      <c r="D200" s="3">
        <f t="shared" si="7"/>
        <v>147.36842105263159</v>
      </c>
      <c r="E200" s="3" t="s">
        <v>5</v>
      </c>
      <c r="F200" s="3">
        <v>475</v>
      </c>
      <c r="G200" s="3"/>
    </row>
    <row r="201" spans="1:7" x14ac:dyDescent="0.25">
      <c r="A201" s="3" t="s">
        <v>198</v>
      </c>
      <c r="B201" s="3" t="s">
        <v>199</v>
      </c>
      <c r="C201" s="3"/>
      <c r="D201" s="3"/>
      <c r="E201" s="3"/>
      <c r="F201" s="3"/>
      <c r="G201" s="3"/>
    </row>
    <row r="202" spans="1:7" x14ac:dyDescent="0.25">
      <c r="A202" s="2">
        <v>45079</v>
      </c>
      <c r="B202" s="25" t="s">
        <v>203</v>
      </c>
      <c r="C202" s="3">
        <v>100000</v>
      </c>
      <c r="D202" s="3">
        <f t="shared" ref="D202:D233" si="8" xml:space="preserve"> C202/F202</f>
        <v>210.52631578947367</v>
      </c>
      <c r="E202" s="3" t="s">
        <v>5</v>
      </c>
      <c r="F202" s="3">
        <v>475</v>
      </c>
      <c r="G202" s="3"/>
    </row>
    <row r="203" spans="1:7" x14ac:dyDescent="0.25">
      <c r="A203" s="2">
        <v>45079</v>
      </c>
      <c r="B203" s="25" t="s">
        <v>204</v>
      </c>
      <c r="C203" s="3">
        <v>150000</v>
      </c>
      <c r="D203" s="3">
        <f t="shared" si="8"/>
        <v>315.78947368421052</v>
      </c>
      <c r="E203" s="3" t="s">
        <v>10</v>
      </c>
      <c r="F203" s="3">
        <v>475</v>
      </c>
      <c r="G203" s="3"/>
    </row>
    <row r="204" spans="1:7" x14ac:dyDescent="0.25">
      <c r="A204" s="2">
        <v>45080</v>
      </c>
      <c r="B204" s="3" t="s">
        <v>205</v>
      </c>
      <c r="C204" s="3">
        <v>110000</v>
      </c>
      <c r="D204" s="3">
        <f t="shared" si="8"/>
        <v>231.57894736842104</v>
      </c>
      <c r="E204" s="3" t="s">
        <v>5</v>
      </c>
      <c r="F204" s="3">
        <v>475</v>
      </c>
      <c r="G204" s="3"/>
    </row>
    <row r="205" spans="1:7" x14ac:dyDescent="0.25">
      <c r="A205" s="2">
        <v>45080</v>
      </c>
      <c r="B205" s="3" t="s">
        <v>213</v>
      </c>
      <c r="C205" s="3">
        <v>250000</v>
      </c>
      <c r="D205" s="3">
        <f t="shared" si="8"/>
        <v>526.31578947368416</v>
      </c>
      <c r="E205" s="3" t="s">
        <v>5</v>
      </c>
      <c r="F205" s="3">
        <v>475</v>
      </c>
      <c r="G205" s="3"/>
    </row>
    <row r="206" spans="1:7" x14ac:dyDescent="0.25">
      <c r="A206" s="2">
        <v>45081</v>
      </c>
      <c r="B206" s="3" t="s">
        <v>206</v>
      </c>
      <c r="C206" s="3">
        <v>30000</v>
      </c>
      <c r="D206" s="3">
        <f t="shared" si="8"/>
        <v>63.157894736842103</v>
      </c>
      <c r="E206" s="3" t="s">
        <v>5</v>
      </c>
      <c r="F206" s="3">
        <v>475</v>
      </c>
      <c r="G206" s="3"/>
    </row>
    <row r="207" spans="1:7" x14ac:dyDescent="0.25">
      <c r="A207" s="2">
        <v>45082</v>
      </c>
      <c r="B207" s="3" t="s">
        <v>207</v>
      </c>
      <c r="C207" s="3">
        <v>7000</v>
      </c>
      <c r="D207" s="3">
        <f t="shared" si="8"/>
        <v>14.736842105263158</v>
      </c>
      <c r="E207" s="3" t="s">
        <v>5</v>
      </c>
      <c r="F207" s="3">
        <v>475</v>
      </c>
      <c r="G207" s="3"/>
    </row>
    <row r="208" spans="1:7" x14ac:dyDescent="0.25">
      <c r="A208" s="2">
        <v>45086</v>
      </c>
      <c r="B208" s="3" t="s">
        <v>208</v>
      </c>
      <c r="C208" s="3">
        <v>60000</v>
      </c>
      <c r="D208" s="3">
        <f t="shared" si="8"/>
        <v>126.31578947368421</v>
      </c>
      <c r="E208" s="3" t="s">
        <v>5</v>
      </c>
      <c r="F208" s="3">
        <v>475</v>
      </c>
      <c r="G208" s="3"/>
    </row>
    <row r="209" spans="1:7" x14ac:dyDescent="0.25">
      <c r="A209" s="2">
        <v>45086</v>
      </c>
      <c r="B209" s="3" t="s">
        <v>209</v>
      </c>
      <c r="C209" s="3">
        <v>2000</v>
      </c>
      <c r="D209" s="3">
        <f t="shared" si="8"/>
        <v>4.2105263157894735</v>
      </c>
      <c r="E209" s="3" t="s">
        <v>5</v>
      </c>
      <c r="F209" s="3">
        <v>475</v>
      </c>
      <c r="G209" s="3"/>
    </row>
    <row r="210" spans="1:7" x14ac:dyDescent="0.25">
      <c r="A210" s="2">
        <v>45089</v>
      </c>
      <c r="B210" s="3" t="s">
        <v>210</v>
      </c>
      <c r="C210" s="3">
        <v>41000</v>
      </c>
      <c r="D210" s="3">
        <f t="shared" si="8"/>
        <v>86.315789473684205</v>
      </c>
      <c r="E210" s="3" t="s">
        <v>5</v>
      </c>
      <c r="F210" s="3">
        <v>475</v>
      </c>
      <c r="G210" s="3"/>
    </row>
    <row r="211" spans="1:7" x14ac:dyDescent="0.25">
      <c r="A211" s="2">
        <v>45093</v>
      </c>
      <c r="B211" s="3" t="s">
        <v>211</v>
      </c>
      <c r="C211" s="3">
        <v>80000</v>
      </c>
      <c r="D211" s="3">
        <f t="shared" si="8"/>
        <v>163.26530612244898</v>
      </c>
      <c r="E211" s="3" t="s">
        <v>5</v>
      </c>
      <c r="F211" s="3">
        <v>490</v>
      </c>
      <c r="G211" s="3"/>
    </row>
    <row r="212" spans="1:7" x14ac:dyDescent="0.25">
      <c r="A212" s="2">
        <v>45094</v>
      </c>
      <c r="B212" s="3" t="s">
        <v>212</v>
      </c>
      <c r="C212" s="3">
        <v>27350</v>
      </c>
      <c r="D212" s="3">
        <f t="shared" si="8"/>
        <v>55.816326530612244</v>
      </c>
      <c r="E212" s="3" t="s">
        <v>5</v>
      </c>
      <c r="F212" s="3">
        <v>490</v>
      </c>
      <c r="G212" s="3"/>
    </row>
    <row r="213" spans="1:7" x14ac:dyDescent="0.25">
      <c r="A213" s="2">
        <v>45100</v>
      </c>
      <c r="B213" s="3" t="s">
        <v>214</v>
      </c>
      <c r="C213" s="3">
        <v>35000</v>
      </c>
      <c r="D213" s="3">
        <f t="shared" si="8"/>
        <v>71.428571428571431</v>
      </c>
      <c r="E213" s="3" t="s">
        <v>5</v>
      </c>
      <c r="F213" s="3">
        <v>490</v>
      </c>
      <c r="G213" s="3"/>
    </row>
    <row r="214" spans="1:7" x14ac:dyDescent="0.25">
      <c r="A214" s="2">
        <v>45106</v>
      </c>
      <c r="B214" s="3" t="s">
        <v>215</v>
      </c>
      <c r="C214" s="3">
        <v>31620</v>
      </c>
      <c r="D214" s="3">
        <f t="shared" si="8"/>
        <v>64.530612244897952</v>
      </c>
      <c r="E214" s="3" t="s">
        <v>5</v>
      </c>
      <c r="F214" s="3">
        <v>490</v>
      </c>
      <c r="G214" s="3"/>
    </row>
    <row r="215" spans="1:7" x14ac:dyDescent="0.25">
      <c r="A215" s="2">
        <v>45107</v>
      </c>
      <c r="B215" s="3" t="s">
        <v>142</v>
      </c>
      <c r="C215" s="3">
        <v>7000</v>
      </c>
      <c r="D215" s="3">
        <f t="shared" si="8"/>
        <v>14.285714285714286</v>
      </c>
      <c r="E215" s="3" t="s">
        <v>5</v>
      </c>
      <c r="F215" s="3">
        <v>490</v>
      </c>
      <c r="G215" s="3"/>
    </row>
    <row r="216" spans="1:7" x14ac:dyDescent="0.25">
      <c r="A216" s="2">
        <v>45108</v>
      </c>
      <c r="B216" s="3" t="s">
        <v>216</v>
      </c>
      <c r="C216" s="3">
        <v>6500</v>
      </c>
      <c r="D216" s="3">
        <f t="shared" si="8"/>
        <v>13.26530612244898</v>
      </c>
      <c r="E216" s="3" t="s">
        <v>5</v>
      </c>
      <c r="F216" s="3">
        <v>490</v>
      </c>
      <c r="G216" s="3"/>
    </row>
    <row r="217" spans="1:7" x14ac:dyDescent="0.25">
      <c r="A217" s="2">
        <v>45108</v>
      </c>
      <c r="B217" s="3" t="s">
        <v>217</v>
      </c>
      <c r="C217" s="3">
        <v>50000</v>
      </c>
      <c r="D217" s="3">
        <f t="shared" si="8"/>
        <v>102.04081632653062</v>
      </c>
      <c r="E217" s="3" t="s">
        <v>5</v>
      </c>
      <c r="F217" s="3">
        <v>490</v>
      </c>
      <c r="G217" s="3"/>
    </row>
    <row r="218" spans="1:7" x14ac:dyDescent="0.25">
      <c r="A218" s="2">
        <v>45110</v>
      </c>
      <c r="B218" s="3" t="s">
        <v>218</v>
      </c>
      <c r="C218" s="3">
        <v>42000</v>
      </c>
      <c r="D218" s="3">
        <f t="shared" si="8"/>
        <v>85.714285714285708</v>
      </c>
      <c r="E218" s="3" t="s">
        <v>5</v>
      </c>
      <c r="F218" s="3">
        <v>490</v>
      </c>
      <c r="G218" s="3"/>
    </row>
    <row r="219" spans="1:7" x14ac:dyDescent="0.25">
      <c r="A219" s="2">
        <v>45110</v>
      </c>
      <c r="B219" s="3" t="s">
        <v>219</v>
      </c>
      <c r="C219" s="3">
        <v>78500</v>
      </c>
      <c r="D219" s="3">
        <f t="shared" si="8"/>
        <v>160.20408163265307</v>
      </c>
      <c r="E219" s="3" t="s">
        <v>5</v>
      </c>
      <c r="F219" s="3">
        <v>490</v>
      </c>
      <c r="G219" s="3"/>
    </row>
    <row r="220" spans="1:7" x14ac:dyDescent="0.25">
      <c r="A220" s="2">
        <v>45110</v>
      </c>
      <c r="B220" s="3" t="s">
        <v>220</v>
      </c>
      <c r="C220" s="3">
        <v>4740</v>
      </c>
      <c r="D220" s="3">
        <f t="shared" si="8"/>
        <v>9.6734693877551017</v>
      </c>
      <c r="E220" s="3" t="s">
        <v>5</v>
      </c>
      <c r="F220" s="3">
        <v>490</v>
      </c>
      <c r="G220" s="3"/>
    </row>
    <row r="221" spans="1:7" x14ac:dyDescent="0.25">
      <c r="A221" s="2">
        <v>45111</v>
      </c>
      <c r="B221" s="25" t="s">
        <v>221</v>
      </c>
      <c r="C221" s="3">
        <v>150000</v>
      </c>
      <c r="D221" s="3">
        <f t="shared" si="8"/>
        <v>306.12244897959181</v>
      </c>
      <c r="E221" s="3" t="s">
        <v>10</v>
      </c>
      <c r="F221" s="3">
        <v>490</v>
      </c>
      <c r="G221" s="3"/>
    </row>
    <row r="222" spans="1:7" x14ac:dyDescent="0.25">
      <c r="A222" s="2">
        <v>45114</v>
      </c>
      <c r="B222" s="3" t="s">
        <v>136</v>
      </c>
      <c r="C222" s="3">
        <v>7010</v>
      </c>
      <c r="D222" s="3">
        <f t="shared" si="8"/>
        <v>18.945945945945947</v>
      </c>
      <c r="E222" s="3" t="s">
        <v>5</v>
      </c>
      <c r="F222" s="3">
        <v>370</v>
      </c>
      <c r="G222" s="3"/>
    </row>
    <row r="223" spans="1:7" x14ac:dyDescent="0.25">
      <c r="A223" s="2">
        <v>45114</v>
      </c>
      <c r="B223" s="3" t="s">
        <v>222</v>
      </c>
      <c r="C223" s="3">
        <v>365099</v>
      </c>
      <c r="D223" s="3">
        <f t="shared" si="8"/>
        <v>745.1</v>
      </c>
      <c r="E223" s="3" t="s">
        <v>5</v>
      </c>
      <c r="F223" s="3">
        <v>490</v>
      </c>
      <c r="G223" s="3"/>
    </row>
    <row r="224" spans="1:7" x14ac:dyDescent="0.25">
      <c r="A224" s="2">
        <v>45115</v>
      </c>
      <c r="B224" s="3" t="s">
        <v>223</v>
      </c>
      <c r="C224" s="3">
        <v>50000</v>
      </c>
      <c r="D224" s="3">
        <f t="shared" si="8"/>
        <v>102.04081632653062</v>
      </c>
      <c r="E224" s="3" t="s">
        <v>5</v>
      </c>
      <c r="F224" s="3">
        <v>490</v>
      </c>
      <c r="G224" s="3"/>
    </row>
    <row r="225" spans="1:7" x14ac:dyDescent="0.25">
      <c r="A225" s="2">
        <v>45119</v>
      </c>
      <c r="B225" s="3" t="s">
        <v>224</v>
      </c>
      <c r="C225" s="3">
        <v>8000</v>
      </c>
      <c r="D225" s="3">
        <f t="shared" si="8"/>
        <v>16</v>
      </c>
      <c r="E225" s="3" t="s">
        <v>5</v>
      </c>
      <c r="F225" s="3">
        <v>500</v>
      </c>
      <c r="G225" s="3"/>
    </row>
    <row r="226" spans="1:7" x14ac:dyDescent="0.25">
      <c r="A226" s="2">
        <v>45120</v>
      </c>
      <c r="B226" s="3" t="s">
        <v>225</v>
      </c>
      <c r="C226" s="3">
        <v>21000</v>
      </c>
      <c r="D226" s="3">
        <f t="shared" si="8"/>
        <v>42</v>
      </c>
      <c r="E226" s="3" t="s">
        <v>5</v>
      </c>
      <c r="F226" s="3">
        <v>500</v>
      </c>
      <c r="G226" s="3"/>
    </row>
    <row r="227" spans="1:7" x14ac:dyDescent="0.25">
      <c r="A227" s="2">
        <v>45121</v>
      </c>
      <c r="B227" s="3" t="s">
        <v>226</v>
      </c>
      <c r="C227" s="3">
        <v>30000</v>
      </c>
      <c r="D227" s="3">
        <f t="shared" si="8"/>
        <v>60</v>
      </c>
      <c r="E227" s="3" t="s">
        <v>5</v>
      </c>
      <c r="F227" s="3">
        <v>500</v>
      </c>
      <c r="G227" s="3"/>
    </row>
    <row r="228" spans="1:7" x14ac:dyDescent="0.25">
      <c r="A228" s="2">
        <v>45122</v>
      </c>
      <c r="B228" s="3" t="s">
        <v>227</v>
      </c>
      <c r="C228" s="3">
        <v>50000</v>
      </c>
      <c r="D228" s="3">
        <f t="shared" si="8"/>
        <v>100</v>
      </c>
      <c r="E228" s="3" t="s">
        <v>5</v>
      </c>
      <c r="F228" s="3">
        <v>500</v>
      </c>
      <c r="G228" s="3"/>
    </row>
    <row r="229" spans="1:7" x14ac:dyDescent="0.25">
      <c r="A229" s="2">
        <v>45124</v>
      </c>
      <c r="B229" s="3" t="s">
        <v>140</v>
      </c>
      <c r="C229" s="3">
        <v>17560</v>
      </c>
      <c r="D229" s="3">
        <f t="shared" si="8"/>
        <v>47.45945945945946</v>
      </c>
      <c r="E229" s="3" t="s">
        <v>5</v>
      </c>
      <c r="F229" s="3">
        <v>370</v>
      </c>
      <c r="G229" s="3"/>
    </row>
    <row r="230" spans="1:7" x14ac:dyDescent="0.25">
      <c r="A230" s="2">
        <v>45124</v>
      </c>
      <c r="B230" s="3" t="s">
        <v>141</v>
      </c>
      <c r="C230" s="3">
        <v>1080</v>
      </c>
      <c r="D230" s="3">
        <f t="shared" si="8"/>
        <v>2.9189189189189189</v>
      </c>
      <c r="E230" s="3" t="s">
        <v>5</v>
      </c>
      <c r="F230" s="3">
        <v>370</v>
      </c>
      <c r="G230" s="3"/>
    </row>
    <row r="231" spans="1:7" x14ac:dyDescent="0.25">
      <c r="A231" s="2">
        <v>45126</v>
      </c>
      <c r="B231" s="3" t="s">
        <v>228</v>
      </c>
      <c r="C231" s="3">
        <v>100000</v>
      </c>
      <c r="D231" s="3">
        <f t="shared" si="8"/>
        <v>194.17475728155341</v>
      </c>
      <c r="E231" s="3" t="s">
        <v>5</v>
      </c>
      <c r="F231" s="3">
        <v>515</v>
      </c>
      <c r="G231" s="3"/>
    </row>
    <row r="232" spans="1:7" x14ac:dyDescent="0.25">
      <c r="A232" s="2">
        <v>45126</v>
      </c>
      <c r="B232" s="3" t="s">
        <v>229</v>
      </c>
      <c r="C232" s="3">
        <v>11000</v>
      </c>
      <c r="D232" s="3">
        <f t="shared" si="8"/>
        <v>21.359223300970875</v>
      </c>
      <c r="E232" s="3" t="s">
        <v>5</v>
      </c>
      <c r="F232" s="3">
        <v>515</v>
      </c>
      <c r="G232" s="3"/>
    </row>
    <row r="233" spans="1:7" x14ac:dyDescent="0.25">
      <c r="A233" s="2">
        <v>45128</v>
      </c>
      <c r="B233" s="3" t="s">
        <v>230</v>
      </c>
      <c r="C233" s="3">
        <v>15000</v>
      </c>
      <c r="D233" s="3">
        <f t="shared" si="8"/>
        <v>29.126213592233011</v>
      </c>
      <c r="E233" s="3" t="s">
        <v>5</v>
      </c>
      <c r="F233" s="3">
        <v>515</v>
      </c>
      <c r="G233" s="3"/>
    </row>
    <row r="234" spans="1:7" x14ac:dyDescent="0.25">
      <c r="A234" s="2">
        <v>45142</v>
      </c>
      <c r="B234" s="3" t="s">
        <v>231</v>
      </c>
      <c r="C234" s="3">
        <v>180000</v>
      </c>
      <c r="D234" s="3">
        <f t="shared" ref="D234:D256" si="9" xml:space="preserve"> C234/F234</f>
        <v>321.42857142857144</v>
      </c>
      <c r="E234" s="3" t="s">
        <v>5</v>
      </c>
      <c r="F234" s="3">
        <v>560</v>
      </c>
      <c r="G234" s="3"/>
    </row>
    <row r="235" spans="1:7" x14ac:dyDescent="0.25">
      <c r="A235" s="2">
        <v>45142</v>
      </c>
      <c r="B235" s="3" t="s">
        <v>232</v>
      </c>
      <c r="C235" s="3">
        <v>14000</v>
      </c>
      <c r="D235" s="3">
        <f t="shared" si="9"/>
        <v>25</v>
      </c>
      <c r="E235" s="3" t="s">
        <v>5</v>
      </c>
      <c r="F235" s="3">
        <v>560</v>
      </c>
      <c r="G235" s="3"/>
    </row>
    <row r="236" spans="1:7" x14ac:dyDescent="0.25">
      <c r="A236" s="2">
        <v>45144</v>
      </c>
      <c r="B236" s="25" t="s">
        <v>233</v>
      </c>
      <c r="C236" s="3">
        <v>150000</v>
      </c>
      <c r="D236" s="3">
        <f t="shared" si="9"/>
        <v>267.85714285714283</v>
      </c>
      <c r="E236" s="3" t="s">
        <v>10</v>
      </c>
      <c r="F236" s="3">
        <v>560</v>
      </c>
      <c r="G236" s="3"/>
    </row>
    <row r="237" spans="1:7" x14ac:dyDescent="0.25">
      <c r="A237" s="2">
        <v>45148</v>
      </c>
      <c r="B237" s="3" t="s">
        <v>234</v>
      </c>
      <c r="C237" s="3">
        <v>50000</v>
      </c>
      <c r="D237" s="3">
        <f t="shared" si="9"/>
        <v>83.333333333333329</v>
      </c>
      <c r="E237" s="3" t="s">
        <v>5</v>
      </c>
      <c r="F237" s="3">
        <v>600</v>
      </c>
      <c r="G237" s="3"/>
    </row>
    <row r="238" spans="1:7" x14ac:dyDescent="0.25">
      <c r="A238" s="2">
        <v>45153</v>
      </c>
      <c r="B238" s="3" t="s">
        <v>235</v>
      </c>
      <c r="C238" s="3">
        <v>20000</v>
      </c>
      <c r="D238" s="3">
        <f t="shared" si="9"/>
        <v>26.666666666666668</v>
      </c>
      <c r="E238" s="3" t="s">
        <v>5</v>
      </c>
      <c r="F238" s="3">
        <v>750</v>
      </c>
      <c r="G238" s="3"/>
    </row>
    <row r="239" spans="1:7" x14ac:dyDescent="0.25">
      <c r="A239" s="2">
        <v>45159</v>
      </c>
      <c r="B239" s="3" t="s">
        <v>236</v>
      </c>
      <c r="C239" s="3">
        <v>50000</v>
      </c>
      <c r="D239" s="3">
        <f t="shared" si="9"/>
        <v>69.930069930069934</v>
      </c>
      <c r="E239" s="3" t="s">
        <v>5</v>
      </c>
      <c r="F239" s="3">
        <v>715</v>
      </c>
      <c r="G239" s="3"/>
    </row>
    <row r="240" spans="1:7" x14ac:dyDescent="0.25">
      <c r="A240" s="2">
        <v>45164</v>
      </c>
      <c r="B240" s="3" t="s">
        <v>237</v>
      </c>
      <c r="C240" s="3">
        <v>183000</v>
      </c>
      <c r="D240" s="3">
        <f t="shared" si="9"/>
        <v>255.94405594405595</v>
      </c>
      <c r="E240" s="3" t="s">
        <v>5</v>
      </c>
      <c r="F240" s="3">
        <v>715</v>
      </c>
      <c r="G240" s="3"/>
    </row>
    <row r="241" spans="1:7" x14ac:dyDescent="0.25">
      <c r="A241" s="2">
        <v>45164</v>
      </c>
      <c r="B241" s="3" t="s">
        <v>238</v>
      </c>
      <c r="C241" s="3">
        <v>30000</v>
      </c>
      <c r="D241" s="3">
        <f t="shared" si="9"/>
        <v>41.95804195804196</v>
      </c>
      <c r="E241" s="3" t="s">
        <v>5</v>
      </c>
      <c r="F241" s="3">
        <v>715</v>
      </c>
      <c r="G241" s="3"/>
    </row>
    <row r="242" spans="1:7" x14ac:dyDescent="0.25">
      <c r="A242" s="2">
        <v>45164</v>
      </c>
      <c r="B242" s="3" t="s">
        <v>226</v>
      </c>
      <c r="C242" s="3">
        <v>30000</v>
      </c>
      <c r="D242" s="3">
        <f t="shared" si="9"/>
        <v>41.95804195804196</v>
      </c>
      <c r="E242" s="3" t="s">
        <v>5</v>
      </c>
      <c r="F242" s="3">
        <v>715</v>
      </c>
      <c r="G242" s="3"/>
    </row>
    <row r="243" spans="1:7" x14ac:dyDescent="0.25">
      <c r="A243" s="2">
        <v>45171</v>
      </c>
      <c r="B243" s="25" t="s">
        <v>239</v>
      </c>
      <c r="C243" s="3">
        <v>150000</v>
      </c>
      <c r="D243" s="3">
        <f t="shared" si="9"/>
        <v>205.47945205479451</v>
      </c>
      <c r="E243" s="3" t="s">
        <v>10</v>
      </c>
      <c r="F243" s="3">
        <v>730</v>
      </c>
      <c r="G243" s="3"/>
    </row>
    <row r="244" spans="1:7" x14ac:dyDescent="0.25">
      <c r="A244" s="2">
        <v>45171</v>
      </c>
      <c r="B244" s="3" t="s">
        <v>240</v>
      </c>
      <c r="C244" s="3">
        <v>60000</v>
      </c>
      <c r="D244" s="3">
        <f t="shared" si="9"/>
        <v>82.191780821917803</v>
      </c>
      <c r="E244" s="3" t="s">
        <v>5</v>
      </c>
      <c r="F244" s="3">
        <v>730</v>
      </c>
      <c r="G244" s="3"/>
    </row>
    <row r="245" spans="1:7" x14ac:dyDescent="0.25">
      <c r="A245" s="2">
        <v>45171</v>
      </c>
      <c r="B245" s="3" t="s">
        <v>241</v>
      </c>
      <c r="C245" s="3">
        <v>10000</v>
      </c>
      <c r="D245" s="3">
        <f t="shared" si="9"/>
        <v>13.698630136986301</v>
      </c>
      <c r="E245" s="3" t="s">
        <v>5</v>
      </c>
      <c r="F245" s="3">
        <v>730</v>
      </c>
      <c r="G245" s="3"/>
    </row>
    <row r="246" spans="1:7" x14ac:dyDescent="0.25">
      <c r="A246" s="2">
        <v>45173</v>
      </c>
      <c r="B246" s="3" t="s">
        <v>235</v>
      </c>
      <c r="C246" s="3">
        <v>20000</v>
      </c>
      <c r="D246" s="3">
        <f t="shared" si="9"/>
        <v>25.974025974025974</v>
      </c>
      <c r="E246" s="3" t="s">
        <v>5</v>
      </c>
      <c r="F246" s="3">
        <v>770</v>
      </c>
      <c r="G246" s="3"/>
    </row>
    <row r="247" spans="1:7" x14ac:dyDescent="0.25">
      <c r="A247" s="2">
        <v>45173</v>
      </c>
      <c r="B247" s="3" t="s">
        <v>242</v>
      </c>
      <c r="C247" s="3">
        <v>81531</v>
      </c>
      <c r="D247" s="3">
        <f t="shared" si="9"/>
        <v>105.88441558441558</v>
      </c>
      <c r="E247" s="3" t="s">
        <v>5</v>
      </c>
      <c r="F247" s="3">
        <v>770</v>
      </c>
      <c r="G247" s="3"/>
    </row>
    <row r="248" spans="1:7" x14ac:dyDescent="0.25">
      <c r="A248" s="2">
        <v>45178</v>
      </c>
      <c r="B248" s="3" t="s">
        <v>243</v>
      </c>
      <c r="C248" s="3">
        <v>45000</v>
      </c>
      <c r="D248" s="3">
        <f t="shared" si="9"/>
        <v>58.441558441558442</v>
      </c>
      <c r="E248" s="3" t="s">
        <v>5</v>
      </c>
      <c r="F248" s="3">
        <v>770</v>
      </c>
      <c r="G248" s="3"/>
    </row>
    <row r="249" spans="1:7" x14ac:dyDescent="0.25">
      <c r="A249" s="2">
        <v>45178</v>
      </c>
      <c r="B249" s="3" t="s">
        <v>241</v>
      </c>
      <c r="C249" s="3">
        <v>5000</v>
      </c>
      <c r="D249" s="3">
        <f t="shared" si="9"/>
        <v>6.4935064935064934</v>
      </c>
      <c r="E249" s="3" t="s">
        <v>5</v>
      </c>
      <c r="F249" s="3">
        <v>770</v>
      </c>
      <c r="G249" s="3"/>
    </row>
    <row r="250" spans="1:7" x14ac:dyDescent="0.25">
      <c r="A250" s="2">
        <v>45184</v>
      </c>
      <c r="B250" s="3" t="s">
        <v>244</v>
      </c>
      <c r="C250" s="3">
        <v>30000</v>
      </c>
      <c r="D250" s="3">
        <f t="shared" si="9"/>
        <v>38.961038961038959</v>
      </c>
      <c r="E250" s="3" t="s">
        <v>5</v>
      </c>
      <c r="F250" s="3">
        <v>770</v>
      </c>
      <c r="G250" s="3"/>
    </row>
    <row r="251" spans="1:7" x14ac:dyDescent="0.25">
      <c r="A251" s="2">
        <v>45187</v>
      </c>
      <c r="B251" s="3" t="s">
        <v>245</v>
      </c>
      <c r="C251" s="3">
        <v>8600</v>
      </c>
      <c r="D251" s="3">
        <f t="shared" si="9"/>
        <v>11.168831168831169</v>
      </c>
      <c r="E251" s="3" t="s">
        <v>5</v>
      </c>
      <c r="F251" s="3">
        <v>770</v>
      </c>
      <c r="G251" s="3"/>
    </row>
    <row r="252" spans="1:7" x14ac:dyDescent="0.25">
      <c r="A252" s="2">
        <v>45198</v>
      </c>
      <c r="B252" s="3" t="s">
        <v>249</v>
      </c>
      <c r="C252" s="3">
        <v>442136</v>
      </c>
      <c r="D252" s="3">
        <f t="shared" si="9"/>
        <v>552.66999999999996</v>
      </c>
      <c r="E252" s="3" t="s">
        <v>5</v>
      </c>
      <c r="F252" s="3">
        <v>800</v>
      </c>
      <c r="G252" s="3"/>
    </row>
    <row r="253" spans="1:7" x14ac:dyDescent="0.25">
      <c r="A253" s="2">
        <v>45198</v>
      </c>
      <c r="B253" s="3" t="s">
        <v>250</v>
      </c>
      <c r="C253" s="3">
        <v>360000</v>
      </c>
      <c r="D253" s="3">
        <f t="shared" si="9"/>
        <v>450</v>
      </c>
      <c r="E253" s="3" t="s">
        <v>5</v>
      </c>
      <c r="F253" s="3">
        <v>800</v>
      </c>
      <c r="G253" s="3"/>
    </row>
    <row r="254" spans="1:7" x14ac:dyDescent="0.25">
      <c r="A254" s="2">
        <v>45201</v>
      </c>
      <c r="B254" s="3" t="s">
        <v>251</v>
      </c>
      <c r="C254" s="3">
        <v>400000</v>
      </c>
      <c r="D254" s="3">
        <f t="shared" si="9"/>
        <v>500</v>
      </c>
      <c r="E254" s="3" t="s">
        <v>5</v>
      </c>
      <c r="F254" s="3">
        <v>800</v>
      </c>
      <c r="G254" s="3"/>
    </row>
    <row r="255" spans="1:7" x14ac:dyDescent="0.25">
      <c r="A255" s="2">
        <v>45203</v>
      </c>
      <c r="B255" s="3" t="s">
        <v>252</v>
      </c>
      <c r="C255" s="3">
        <v>113000</v>
      </c>
      <c r="D255" s="3">
        <f t="shared" si="9"/>
        <v>141.25</v>
      </c>
      <c r="E255" s="3" t="s">
        <v>5</v>
      </c>
      <c r="F255" s="3">
        <v>800</v>
      </c>
      <c r="G255" s="3"/>
    </row>
    <row r="256" spans="1:7" x14ac:dyDescent="0.25">
      <c r="A256" s="2">
        <v>45203</v>
      </c>
      <c r="B256" s="3" t="s">
        <v>253</v>
      </c>
      <c r="C256" s="3">
        <v>96459.33</v>
      </c>
      <c r="D256" s="3">
        <f t="shared" si="9"/>
        <v>120.5741625</v>
      </c>
      <c r="E256" s="3" t="s">
        <v>5</v>
      </c>
      <c r="F256" s="3">
        <v>800</v>
      </c>
      <c r="G256" s="3"/>
    </row>
    <row r="257" spans="1:7" x14ac:dyDescent="0.25">
      <c r="A257" s="27"/>
      <c r="B257" s="22"/>
      <c r="C257" s="22"/>
      <c r="E257" s="7"/>
    </row>
    <row r="258" spans="1:7" x14ac:dyDescent="0.25">
      <c r="A258" s="2">
        <v>45205</v>
      </c>
      <c r="B258" s="3" t="s">
        <v>254</v>
      </c>
      <c r="C258" s="3">
        <v>200000</v>
      </c>
      <c r="D258" s="3">
        <f t="shared" ref="D258:D289" si="10" xml:space="preserve"> C258/F258</f>
        <v>250</v>
      </c>
      <c r="E258" s="3" t="s">
        <v>5</v>
      </c>
      <c r="F258" s="3">
        <v>800</v>
      </c>
      <c r="G258" s="3"/>
    </row>
    <row r="259" spans="1:7" x14ac:dyDescent="0.25">
      <c r="A259" s="2">
        <v>45212</v>
      </c>
      <c r="B259" s="3" t="s">
        <v>256</v>
      </c>
      <c r="C259" s="3">
        <v>180000</v>
      </c>
      <c r="D259" s="3">
        <f t="shared" si="10"/>
        <v>180</v>
      </c>
      <c r="E259" s="3" t="s">
        <v>5</v>
      </c>
      <c r="F259" s="3">
        <v>1000</v>
      </c>
      <c r="G259" s="3"/>
    </row>
    <row r="260" spans="1:7" x14ac:dyDescent="0.25">
      <c r="A260" s="2">
        <v>45212</v>
      </c>
      <c r="B260" s="3" t="s">
        <v>257</v>
      </c>
      <c r="C260" s="3">
        <v>218217</v>
      </c>
      <c r="D260" s="3">
        <f t="shared" si="10"/>
        <v>218.21700000000001</v>
      </c>
      <c r="E260" s="3" t="s">
        <v>5</v>
      </c>
      <c r="F260" s="3">
        <v>1000</v>
      </c>
      <c r="G260" s="3"/>
    </row>
    <row r="261" spans="1:7" x14ac:dyDescent="0.25">
      <c r="A261" s="2">
        <v>45216</v>
      </c>
      <c r="B261" s="3" t="s">
        <v>258</v>
      </c>
      <c r="C261" s="3">
        <v>60000</v>
      </c>
      <c r="D261" s="3">
        <f t="shared" si="10"/>
        <v>61.224489795918366</v>
      </c>
      <c r="E261" s="3" t="s">
        <v>5</v>
      </c>
      <c r="F261" s="3">
        <v>980</v>
      </c>
      <c r="G261" s="3"/>
    </row>
    <row r="262" spans="1:7" x14ac:dyDescent="0.25">
      <c r="A262" s="2">
        <v>45216</v>
      </c>
      <c r="B262" s="3" t="s">
        <v>259</v>
      </c>
      <c r="C262" s="3">
        <v>10500</v>
      </c>
      <c r="D262" s="3">
        <f t="shared" si="10"/>
        <v>10.714285714285714</v>
      </c>
      <c r="E262" s="3" t="s">
        <v>5</v>
      </c>
      <c r="F262" s="3">
        <v>980</v>
      </c>
      <c r="G262" s="3"/>
    </row>
    <row r="263" spans="1:7" x14ac:dyDescent="0.25">
      <c r="A263" s="2">
        <v>45218</v>
      </c>
      <c r="B263" s="3" t="s">
        <v>260</v>
      </c>
      <c r="C263" s="3">
        <v>135000</v>
      </c>
      <c r="D263" s="3">
        <f t="shared" si="10"/>
        <v>150</v>
      </c>
      <c r="E263" s="3" t="s">
        <v>10</v>
      </c>
      <c r="F263" s="3">
        <v>900</v>
      </c>
      <c r="G263" s="3"/>
    </row>
    <row r="264" spans="1:7" x14ac:dyDescent="0.25">
      <c r="A264" s="2">
        <v>45218</v>
      </c>
      <c r="B264" s="3" t="s">
        <v>261</v>
      </c>
      <c r="C264" s="3">
        <v>259000</v>
      </c>
      <c r="D264" s="3">
        <f t="shared" si="10"/>
        <v>287.77777777777777</v>
      </c>
      <c r="E264" s="3" t="s">
        <v>5</v>
      </c>
      <c r="F264" s="3">
        <v>900</v>
      </c>
      <c r="G264" s="3"/>
    </row>
    <row r="265" spans="1:7" x14ac:dyDescent="0.25">
      <c r="A265" s="2">
        <v>45219</v>
      </c>
      <c r="B265" s="3" t="s">
        <v>262</v>
      </c>
      <c r="C265" s="3">
        <v>15000</v>
      </c>
      <c r="D265" s="3">
        <f t="shared" si="10"/>
        <v>16.666666666666668</v>
      </c>
      <c r="E265" s="3" t="s">
        <v>5</v>
      </c>
      <c r="F265" s="3">
        <v>900</v>
      </c>
      <c r="G265" s="3"/>
    </row>
    <row r="266" spans="1:7" x14ac:dyDescent="0.25">
      <c r="A266" s="2">
        <v>45226</v>
      </c>
      <c r="B266" s="3" t="s">
        <v>93</v>
      </c>
      <c r="C266" s="3">
        <v>70000</v>
      </c>
      <c r="D266" s="3">
        <f t="shared" si="10"/>
        <v>71.428571428571431</v>
      </c>
      <c r="E266" s="3" t="s">
        <v>5</v>
      </c>
      <c r="F266" s="3">
        <v>980</v>
      </c>
      <c r="G266" s="3"/>
    </row>
    <row r="267" spans="1:7" x14ac:dyDescent="0.25">
      <c r="A267" s="2">
        <v>45226</v>
      </c>
      <c r="B267" s="3" t="s">
        <v>263</v>
      </c>
      <c r="C267" s="3">
        <v>100000</v>
      </c>
      <c r="D267" s="3">
        <f t="shared" si="10"/>
        <v>102.04081632653062</v>
      </c>
      <c r="E267" s="3" t="s">
        <v>5</v>
      </c>
      <c r="F267" s="3">
        <v>980</v>
      </c>
      <c r="G267" s="3"/>
    </row>
    <row r="268" spans="1:7" x14ac:dyDescent="0.25">
      <c r="A268" s="2">
        <v>45231</v>
      </c>
      <c r="B268" s="3" t="s">
        <v>264</v>
      </c>
      <c r="C268" s="3">
        <v>60000</v>
      </c>
      <c r="D268" s="3">
        <f t="shared" si="10"/>
        <v>61.224489795918366</v>
      </c>
      <c r="E268" s="3" t="s">
        <v>5</v>
      </c>
      <c r="F268" s="3">
        <v>980</v>
      </c>
      <c r="G268" s="3"/>
    </row>
    <row r="269" spans="1:7" x14ac:dyDescent="0.25">
      <c r="A269" s="2">
        <v>45233</v>
      </c>
      <c r="B269" s="3" t="s">
        <v>265</v>
      </c>
      <c r="C269" s="3">
        <v>180000</v>
      </c>
      <c r="D269" s="3">
        <f t="shared" si="10"/>
        <v>183.67346938775509</v>
      </c>
      <c r="E269" s="3" t="s">
        <v>5</v>
      </c>
      <c r="F269" s="3">
        <v>980</v>
      </c>
      <c r="G269" s="3"/>
    </row>
    <row r="270" spans="1:7" x14ac:dyDescent="0.25">
      <c r="A270" s="2">
        <v>45238</v>
      </c>
      <c r="B270" s="3" t="s">
        <v>266</v>
      </c>
      <c r="C270" s="3">
        <v>337600</v>
      </c>
      <c r="D270" s="3">
        <f t="shared" si="10"/>
        <v>344.48979591836735</v>
      </c>
      <c r="E270" s="3" t="s">
        <v>5</v>
      </c>
      <c r="F270" s="3">
        <v>980</v>
      </c>
      <c r="G270" s="3"/>
    </row>
    <row r="271" spans="1:7" x14ac:dyDescent="0.25">
      <c r="A271" s="2">
        <v>45239</v>
      </c>
      <c r="B271" s="3" t="s">
        <v>267</v>
      </c>
      <c r="C271" s="3">
        <v>50000</v>
      </c>
      <c r="D271" s="3">
        <f t="shared" si="10"/>
        <v>51.020408163265309</v>
      </c>
      <c r="E271" s="3" t="s">
        <v>5</v>
      </c>
      <c r="F271" s="3">
        <v>980</v>
      </c>
      <c r="G271" s="3"/>
    </row>
    <row r="272" spans="1:7" x14ac:dyDescent="0.25">
      <c r="A272" s="2">
        <v>45240</v>
      </c>
      <c r="B272" s="3" t="s">
        <v>268</v>
      </c>
      <c r="C272" s="3">
        <v>180000</v>
      </c>
      <c r="D272" s="3">
        <f t="shared" si="10"/>
        <v>189.47368421052633</v>
      </c>
      <c r="E272" s="3" t="s">
        <v>5</v>
      </c>
      <c r="F272" s="3">
        <v>950</v>
      </c>
      <c r="G272" s="3"/>
    </row>
    <row r="273" spans="1:7" x14ac:dyDescent="0.25">
      <c r="A273" s="2">
        <v>45247</v>
      </c>
      <c r="B273" s="3" t="s">
        <v>273</v>
      </c>
      <c r="C273" s="3">
        <v>180000</v>
      </c>
      <c r="D273" s="3">
        <f t="shared" si="10"/>
        <v>189.47368421052633</v>
      </c>
      <c r="E273" s="3" t="s">
        <v>5</v>
      </c>
      <c r="F273" s="3">
        <v>950</v>
      </c>
      <c r="G273" s="3"/>
    </row>
    <row r="274" spans="1:7" x14ac:dyDescent="0.25">
      <c r="A274" s="2">
        <v>45254</v>
      </c>
      <c r="B274" s="3" t="s">
        <v>274</v>
      </c>
      <c r="C274" s="3">
        <v>60000</v>
      </c>
      <c r="D274" s="3">
        <f t="shared" si="10"/>
        <v>56.338028169014088</v>
      </c>
      <c r="E274" s="3" t="s">
        <v>5</v>
      </c>
      <c r="F274" s="3">
        <v>1065</v>
      </c>
      <c r="G274" s="3"/>
    </row>
    <row r="275" spans="1:7" x14ac:dyDescent="0.25">
      <c r="A275" s="2">
        <v>45254</v>
      </c>
      <c r="B275" s="3" t="s">
        <v>275</v>
      </c>
      <c r="C275" s="3">
        <v>90000</v>
      </c>
      <c r="D275" s="3">
        <f t="shared" si="10"/>
        <v>84.507042253521121</v>
      </c>
      <c r="E275" s="3" t="s">
        <v>5</v>
      </c>
      <c r="F275" s="3">
        <v>1065</v>
      </c>
      <c r="G275" s="3"/>
    </row>
    <row r="276" spans="1:7" x14ac:dyDescent="0.25">
      <c r="A276" s="2">
        <v>45259</v>
      </c>
      <c r="B276" s="3" t="s">
        <v>93</v>
      </c>
      <c r="C276" s="3">
        <v>92000</v>
      </c>
      <c r="D276" s="3">
        <f t="shared" si="10"/>
        <v>97.354497354497354</v>
      </c>
      <c r="E276" s="3" t="s">
        <v>5</v>
      </c>
      <c r="F276" s="3">
        <v>945</v>
      </c>
      <c r="G276" s="3"/>
    </row>
    <row r="277" spans="1:7" x14ac:dyDescent="0.25">
      <c r="A277" s="2">
        <v>45261</v>
      </c>
      <c r="B277" s="3" t="s">
        <v>276</v>
      </c>
      <c r="C277" s="3">
        <v>180000</v>
      </c>
      <c r="D277" s="3">
        <f t="shared" si="10"/>
        <v>190.47619047619048</v>
      </c>
      <c r="E277" s="3" t="s">
        <v>5</v>
      </c>
      <c r="F277" s="3">
        <v>945</v>
      </c>
      <c r="G277" s="3"/>
    </row>
    <row r="278" spans="1:7" x14ac:dyDescent="0.25">
      <c r="A278" s="2">
        <v>45268</v>
      </c>
      <c r="B278" s="3" t="s">
        <v>277</v>
      </c>
      <c r="C278" s="3">
        <v>18000</v>
      </c>
      <c r="D278" s="3">
        <f t="shared" si="10"/>
        <v>18.367346938775512</v>
      </c>
      <c r="E278" s="3" t="s">
        <v>5</v>
      </c>
      <c r="F278" s="3">
        <v>980</v>
      </c>
      <c r="G278" s="3"/>
    </row>
    <row r="279" spans="1:7" x14ac:dyDescent="0.25">
      <c r="A279" s="2">
        <v>45268</v>
      </c>
      <c r="B279" s="3" t="s">
        <v>278</v>
      </c>
      <c r="C279" s="3">
        <v>180000</v>
      </c>
      <c r="D279" s="3">
        <f t="shared" si="10"/>
        <v>183.67346938775509</v>
      </c>
      <c r="E279" s="3" t="s">
        <v>5</v>
      </c>
      <c r="F279" s="3">
        <v>980</v>
      </c>
      <c r="G279" s="3"/>
    </row>
    <row r="280" spans="1:7" x14ac:dyDescent="0.25">
      <c r="A280" s="2">
        <v>45272</v>
      </c>
      <c r="B280" s="3" t="s">
        <v>283</v>
      </c>
      <c r="C280" s="3">
        <v>30000</v>
      </c>
      <c r="D280" s="3">
        <f t="shared" si="10"/>
        <v>30.612244897959183</v>
      </c>
      <c r="E280" s="3" t="s">
        <v>5</v>
      </c>
      <c r="F280" s="3">
        <v>980</v>
      </c>
      <c r="G280" s="3"/>
    </row>
    <row r="281" spans="1:7" x14ac:dyDescent="0.25">
      <c r="A281" s="2">
        <v>45274</v>
      </c>
      <c r="B281" s="3" t="s">
        <v>284</v>
      </c>
      <c r="C281" s="3">
        <v>60000</v>
      </c>
      <c r="D281" s="3">
        <f t="shared" si="10"/>
        <v>57.142857142857146</v>
      </c>
      <c r="E281" s="3" t="s">
        <v>5</v>
      </c>
      <c r="F281" s="3">
        <v>1050</v>
      </c>
      <c r="G281" s="3"/>
    </row>
    <row r="282" spans="1:7" x14ac:dyDescent="0.25">
      <c r="A282" s="2">
        <v>45280</v>
      </c>
      <c r="B282" s="3" t="s">
        <v>283</v>
      </c>
      <c r="C282" s="3">
        <v>13000</v>
      </c>
      <c r="D282" s="3">
        <f t="shared" si="10"/>
        <v>12.380952380952381</v>
      </c>
      <c r="E282" s="3" t="s">
        <v>5</v>
      </c>
      <c r="F282" s="3">
        <v>1050</v>
      </c>
      <c r="G282" s="3"/>
    </row>
    <row r="283" spans="1:7" x14ac:dyDescent="0.25">
      <c r="A283" s="2">
        <v>45282</v>
      </c>
      <c r="B283" s="3" t="s">
        <v>285</v>
      </c>
      <c r="C283" s="3">
        <v>300000</v>
      </c>
      <c r="D283" s="3">
        <f t="shared" si="10"/>
        <v>344.82758620689657</v>
      </c>
      <c r="E283" s="3" t="s">
        <v>5</v>
      </c>
      <c r="F283" s="3">
        <v>870</v>
      </c>
      <c r="G283" s="3"/>
    </row>
    <row r="284" spans="1:7" x14ac:dyDescent="0.25">
      <c r="A284" s="2">
        <v>45287</v>
      </c>
      <c r="B284" s="3" t="s">
        <v>286</v>
      </c>
      <c r="C284" s="3">
        <v>15000</v>
      </c>
      <c r="D284" s="3">
        <f t="shared" si="10"/>
        <v>15.789473684210526</v>
      </c>
      <c r="E284" s="3" t="s">
        <v>5</v>
      </c>
      <c r="F284" s="3">
        <v>950</v>
      </c>
      <c r="G284" s="3"/>
    </row>
    <row r="285" spans="1:7" x14ac:dyDescent="0.25">
      <c r="A285" s="2">
        <v>45287</v>
      </c>
      <c r="B285" s="3" t="s">
        <v>287</v>
      </c>
      <c r="C285" s="3">
        <v>272090</v>
      </c>
      <c r="D285" s="3">
        <f t="shared" si="10"/>
        <v>286.41052631578947</v>
      </c>
      <c r="E285" s="3" t="s">
        <v>5</v>
      </c>
      <c r="F285" s="3">
        <v>950</v>
      </c>
      <c r="G285" s="3"/>
    </row>
    <row r="286" spans="1:7" x14ac:dyDescent="0.25">
      <c r="A286" s="2">
        <v>45289</v>
      </c>
      <c r="B286" s="3" t="s">
        <v>288</v>
      </c>
      <c r="C286" s="3">
        <v>180000</v>
      </c>
      <c r="D286" s="3">
        <f t="shared" si="10"/>
        <v>189.47368421052633</v>
      </c>
      <c r="E286" s="3" t="s">
        <v>5</v>
      </c>
      <c r="F286" s="3">
        <v>950</v>
      </c>
      <c r="G286" s="3"/>
    </row>
    <row r="287" spans="1:7" x14ac:dyDescent="0.25">
      <c r="A287" s="2">
        <v>45293</v>
      </c>
      <c r="B287" s="3" t="s">
        <v>299</v>
      </c>
      <c r="C287" s="3">
        <v>120000</v>
      </c>
      <c r="D287" s="3">
        <f t="shared" si="10"/>
        <v>102.12765957446808</v>
      </c>
      <c r="E287" s="3" t="s">
        <v>5</v>
      </c>
      <c r="F287" s="3">
        <v>1175</v>
      </c>
      <c r="G287" s="3"/>
    </row>
    <row r="288" spans="1:7" x14ac:dyDescent="0.25">
      <c r="A288" s="2">
        <v>45293</v>
      </c>
      <c r="B288" s="3" t="s">
        <v>112</v>
      </c>
      <c r="C288" s="3">
        <v>300000</v>
      </c>
      <c r="D288" s="3">
        <f t="shared" si="10"/>
        <v>255.31914893617022</v>
      </c>
      <c r="E288" s="3" t="s">
        <v>10</v>
      </c>
      <c r="F288" s="3">
        <v>1175</v>
      </c>
      <c r="G288" s="3"/>
    </row>
    <row r="289" spans="1:7" x14ac:dyDescent="0.25">
      <c r="A289" s="2">
        <v>45294</v>
      </c>
      <c r="B289" s="3" t="s">
        <v>289</v>
      </c>
      <c r="C289" s="3">
        <v>247329</v>
      </c>
      <c r="D289" s="3">
        <f t="shared" si="10"/>
        <v>235.55142857142857</v>
      </c>
      <c r="E289" s="3" t="s">
        <v>5</v>
      </c>
      <c r="F289" s="3">
        <v>1050</v>
      </c>
      <c r="G289" s="3"/>
    </row>
    <row r="290" spans="1:7" x14ac:dyDescent="0.25">
      <c r="A290" s="2">
        <v>45296</v>
      </c>
      <c r="B290" s="3" t="s">
        <v>290</v>
      </c>
      <c r="C290" s="3">
        <v>180000</v>
      </c>
      <c r="D290" s="3">
        <f t="shared" ref="D290:D321" si="11" xml:space="preserve"> C290/F290</f>
        <v>176.47058823529412</v>
      </c>
      <c r="E290" s="3" t="s">
        <v>5</v>
      </c>
      <c r="F290" s="3">
        <v>1020</v>
      </c>
      <c r="G290" s="3"/>
    </row>
    <row r="291" spans="1:7" x14ac:dyDescent="0.25">
      <c r="A291" s="2">
        <v>45296</v>
      </c>
      <c r="B291" s="3" t="s">
        <v>93</v>
      </c>
      <c r="C291" s="3">
        <v>100000</v>
      </c>
      <c r="D291" s="3">
        <f t="shared" si="11"/>
        <v>98.039215686274517</v>
      </c>
      <c r="E291" s="3" t="s">
        <v>5</v>
      </c>
      <c r="F291" s="3">
        <v>1020</v>
      </c>
      <c r="G291" s="3"/>
    </row>
    <row r="292" spans="1:7" x14ac:dyDescent="0.25">
      <c r="A292" s="2">
        <v>45303</v>
      </c>
      <c r="B292" s="3" t="s">
        <v>291</v>
      </c>
      <c r="C292" s="3">
        <v>180000</v>
      </c>
      <c r="D292" s="3">
        <f t="shared" si="11"/>
        <v>176.47058823529412</v>
      </c>
      <c r="E292" s="3" t="s">
        <v>5</v>
      </c>
      <c r="F292" s="3">
        <v>1020</v>
      </c>
      <c r="G292" s="3"/>
    </row>
    <row r="293" spans="1:7" x14ac:dyDescent="0.25">
      <c r="A293" s="2">
        <v>45307</v>
      </c>
      <c r="B293" s="3" t="s">
        <v>292</v>
      </c>
      <c r="C293" s="3">
        <v>1118065</v>
      </c>
      <c r="D293" s="3">
        <f t="shared" si="11"/>
        <v>998.27232142857144</v>
      </c>
      <c r="E293" s="3" t="s">
        <v>5</v>
      </c>
      <c r="F293" s="3">
        <v>1120</v>
      </c>
      <c r="G293" s="3"/>
    </row>
    <row r="294" spans="1:7" x14ac:dyDescent="0.25">
      <c r="A294" s="2">
        <v>45309</v>
      </c>
      <c r="B294" s="3" t="s">
        <v>293</v>
      </c>
      <c r="C294" s="3">
        <v>173534</v>
      </c>
      <c r="D294" s="3">
        <f t="shared" si="11"/>
        <v>147.68851063829788</v>
      </c>
      <c r="E294" s="3" t="s">
        <v>5</v>
      </c>
      <c r="F294" s="3">
        <v>1175</v>
      </c>
      <c r="G294" s="3"/>
    </row>
    <row r="295" spans="1:7" x14ac:dyDescent="0.25">
      <c r="A295" s="2">
        <v>45311</v>
      </c>
      <c r="B295" s="3" t="s">
        <v>294</v>
      </c>
      <c r="C295" s="3">
        <v>180000</v>
      </c>
      <c r="D295" s="3">
        <f t="shared" si="11"/>
        <v>153.19148936170214</v>
      </c>
      <c r="E295" s="3" t="s">
        <v>5</v>
      </c>
      <c r="F295" s="3">
        <v>1175</v>
      </c>
      <c r="G295" s="3"/>
    </row>
    <row r="296" spans="1:7" x14ac:dyDescent="0.25">
      <c r="A296" s="2">
        <v>45311</v>
      </c>
      <c r="B296" s="3" t="s">
        <v>295</v>
      </c>
      <c r="C296" s="3">
        <v>7000</v>
      </c>
      <c r="D296" s="3">
        <f t="shared" si="11"/>
        <v>5.957446808510638</v>
      </c>
      <c r="E296" s="3" t="s">
        <v>5</v>
      </c>
      <c r="F296" s="3">
        <v>1175</v>
      </c>
      <c r="G296" s="3"/>
    </row>
    <row r="297" spans="1:7" x14ac:dyDescent="0.25">
      <c r="A297" s="14">
        <v>45317</v>
      </c>
      <c r="B297" s="7" t="s">
        <v>296</v>
      </c>
      <c r="C297" s="7">
        <v>200000</v>
      </c>
      <c r="D297" s="7">
        <f t="shared" si="11"/>
        <v>170.21276595744681</v>
      </c>
      <c r="E297" s="7" t="s">
        <v>5</v>
      </c>
      <c r="F297" s="22">
        <v>1175</v>
      </c>
      <c r="G297" s="7"/>
    </row>
    <row r="298" spans="1:7" x14ac:dyDescent="0.25">
      <c r="A298" s="2">
        <v>45321</v>
      </c>
      <c r="B298" s="3" t="s">
        <v>298</v>
      </c>
      <c r="C298" s="3">
        <v>24000</v>
      </c>
      <c r="D298" s="3">
        <f t="shared" si="11"/>
        <v>21.333333333333332</v>
      </c>
      <c r="E298" s="3" t="s">
        <v>5</v>
      </c>
      <c r="F298" s="3">
        <v>1125</v>
      </c>
      <c r="G298" s="3"/>
    </row>
    <row r="299" spans="1:7" x14ac:dyDescent="0.25">
      <c r="A299" s="2">
        <v>45330</v>
      </c>
      <c r="B299" s="3" t="s">
        <v>300</v>
      </c>
      <c r="C299" s="3">
        <v>452690</v>
      </c>
      <c r="D299" s="3">
        <f t="shared" si="11"/>
        <v>385.26808510638296</v>
      </c>
      <c r="E299" s="3" t="s">
        <v>5</v>
      </c>
      <c r="F299" s="3">
        <v>1175</v>
      </c>
      <c r="G299" s="3"/>
    </row>
    <row r="300" spans="1:7" x14ac:dyDescent="0.25">
      <c r="A300" s="2">
        <v>45331</v>
      </c>
      <c r="B300" s="3" t="s">
        <v>301</v>
      </c>
      <c r="C300" s="3">
        <v>13000</v>
      </c>
      <c r="D300" s="3">
        <f t="shared" si="11"/>
        <v>11.063829787234043</v>
      </c>
      <c r="E300" s="3" t="s">
        <v>5</v>
      </c>
      <c r="F300" s="3">
        <v>1175</v>
      </c>
      <c r="G300" s="3"/>
    </row>
    <row r="301" spans="1:7" x14ac:dyDescent="0.25">
      <c r="A301" s="2">
        <v>45331</v>
      </c>
      <c r="B301" s="3" t="s">
        <v>302</v>
      </c>
      <c r="C301" s="3">
        <v>180000</v>
      </c>
      <c r="D301" s="3">
        <f t="shared" si="11"/>
        <v>166.66666666666666</v>
      </c>
      <c r="E301" s="3" t="s">
        <v>5</v>
      </c>
      <c r="F301" s="3">
        <v>1080</v>
      </c>
      <c r="G301" s="3"/>
    </row>
    <row r="302" spans="1:7" x14ac:dyDescent="0.25">
      <c r="A302" s="2">
        <v>45331</v>
      </c>
      <c r="B302" s="3" t="s">
        <v>303</v>
      </c>
      <c r="C302" s="3">
        <v>289798</v>
      </c>
      <c r="D302" s="3">
        <f t="shared" si="11"/>
        <v>268.33148148148149</v>
      </c>
      <c r="E302" s="3" t="s">
        <v>5</v>
      </c>
      <c r="F302" s="3">
        <v>1080</v>
      </c>
      <c r="G302" s="3"/>
    </row>
    <row r="303" spans="1:7" x14ac:dyDescent="0.25">
      <c r="A303" s="2">
        <v>45336</v>
      </c>
      <c r="B303" s="3" t="s">
        <v>304</v>
      </c>
      <c r="C303" s="3">
        <v>30000</v>
      </c>
      <c r="D303" s="3">
        <f t="shared" si="11"/>
        <v>27.777777777777779</v>
      </c>
      <c r="E303" s="3" t="s">
        <v>5</v>
      </c>
      <c r="F303" s="22">
        <v>1080</v>
      </c>
      <c r="G303" s="3"/>
    </row>
    <row r="304" spans="1:7" x14ac:dyDescent="0.25">
      <c r="A304" s="2">
        <v>45336</v>
      </c>
      <c r="B304" s="3" t="s">
        <v>305</v>
      </c>
      <c r="C304" s="3">
        <v>145061</v>
      </c>
      <c r="D304" s="3">
        <f t="shared" si="11"/>
        <v>134.31574074074075</v>
      </c>
      <c r="E304" s="3" t="s">
        <v>5</v>
      </c>
      <c r="F304" s="22">
        <v>1080</v>
      </c>
      <c r="G304" s="3"/>
    </row>
    <row r="305" spans="1:7" x14ac:dyDescent="0.25">
      <c r="A305" s="2">
        <v>45338</v>
      </c>
      <c r="B305" s="3" t="s">
        <v>284</v>
      </c>
      <c r="C305" s="3">
        <v>60000</v>
      </c>
      <c r="D305" s="3">
        <f t="shared" si="11"/>
        <v>55.555555555555557</v>
      </c>
      <c r="E305" s="3" t="s">
        <v>5</v>
      </c>
      <c r="F305" s="22">
        <v>1080</v>
      </c>
      <c r="G305" s="3"/>
    </row>
    <row r="306" spans="1:7" x14ac:dyDescent="0.25">
      <c r="A306" s="14">
        <v>45339</v>
      </c>
      <c r="B306" s="7" t="s">
        <v>306</v>
      </c>
      <c r="C306" s="7">
        <v>16000</v>
      </c>
      <c r="D306" s="7">
        <f t="shared" si="11"/>
        <v>14.814814814814815</v>
      </c>
      <c r="E306" s="7" t="s">
        <v>5</v>
      </c>
      <c r="F306" s="22">
        <v>1080</v>
      </c>
      <c r="G306" s="7"/>
    </row>
    <row r="307" spans="1:7" x14ac:dyDescent="0.25">
      <c r="A307" s="2">
        <v>45339</v>
      </c>
      <c r="B307" s="3" t="s">
        <v>308</v>
      </c>
      <c r="C307" s="3">
        <v>444000</v>
      </c>
      <c r="D307" s="3">
        <f t="shared" si="11"/>
        <v>411.11111111111109</v>
      </c>
      <c r="E307" s="3" t="s">
        <v>5</v>
      </c>
      <c r="F307" s="3">
        <v>1080</v>
      </c>
      <c r="G307" s="3"/>
    </row>
    <row r="308" spans="1:7" x14ac:dyDescent="0.25">
      <c r="A308" s="2">
        <v>45341</v>
      </c>
      <c r="B308" s="3" t="s">
        <v>307</v>
      </c>
      <c r="C308" s="3">
        <v>549141</v>
      </c>
      <c r="D308" s="3">
        <f t="shared" si="11"/>
        <v>508.4638888888889</v>
      </c>
      <c r="E308" s="3" t="s">
        <v>5</v>
      </c>
      <c r="F308" s="3">
        <v>1080</v>
      </c>
      <c r="G308" s="3"/>
    </row>
    <row r="309" spans="1:7" x14ac:dyDescent="0.25">
      <c r="A309" s="2">
        <v>45341</v>
      </c>
      <c r="B309" s="3" t="s">
        <v>309</v>
      </c>
      <c r="C309" s="3">
        <v>100000</v>
      </c>
      <c r="D309" s="3">
        <f t="shared" si="11"/>
        <v>92.592592592592595</v>
      </c>
      <c r="E309" s="3" t="s">
        <v>5</v>
      </c>
      <c r="F309" s="3">
        <v>1080</v>
      </c>
      <c r="G309" s="3"/>
    </row>
    <row r="310" spans="1:7" x14ac:dyDescent="0.25">
      <c r="A310" s="2">
        <v>45343</v>
      </c>
      <c r="B310" s="3" t="s">
        <v>310</v>
      </c>
      <c r="C310" s="3">
        <v>15000</v>
      </c>
      <c r="D310" s="3">
        <f t="shared" si="11"/>
        <v>13.888888888888889</v>
      </c>
      <c r="E310" s="3" t="s">
        <v>5</v>
      </c>
      <c r="F310" s="3">
        <v>1080</v>
      </c>
      <c r="G310" s="3"/>
    </row>
    <row r="311" spans="1:7" x14ac:dyDescent="0.25">
      <c r="A311" s="2">
        <v>45343</v>
      </c>
      <c r="B311" s="3" t="s">
        <v>311</v>
      </c>
      <c r="C311" s="3">
        <v>28000</v>
      </c>
      <c r="D311" s="3">
        <f t="shared" si="11"/>
        <v>25.925925925925927</v>
      </c>
      <c r="E311" s="3" t="s">
        <v>5</v>
      </c>
      <c r="F311" s="3">
        <v>1080</v>
      </c>
      <c r="G311" s="3"/>
    </row>
    <row r="312" spans="1:7" x14ac:dyDescent="0.25">
      <c r="A312" s="2">
        <v>45346</v>
      </c>
      <c r="B312" s="3" t="s">
        <v>312</v>
      </c>
      <c r="C312" s="3">
        <v>260000</v>
      </c>
      <c r="D312" s="3">
        <f t="shared" si="11"/>
        <v>240.74074074074073</v>
      </c>
      <c r="E312" s="3" t="s">
        <v>5</v>
      </c>
      <c r="F312" s="3">
        <v>1080</v>
      </c>
      <c r="G312" s="3"/>
    </row>
    <row r="313" spans="1:7" x14ac:dyDescent="0.25">
      <c r="A313" s="2">
        <v>45346</v>
      </c>
      <c r="B313" s="3" t="s">
        <v>313</v>
      </c>
      <c r="C313" s="3">
        <v>42000</v>
      </c>
      <c r="D313" s="3">
        <f t="shared" si="11"/>
        <v>38.888888888888886</v>
      </c>
      <c r="E313" s="3" t="s">
        <v>5</v>
      </c>
      <c r="F313" s="3">
        <v>1080</v>
      </c>
      <c r="G313" s="3"/>
    </row>
    <row r="314" spans="1:7" x14ac:dyDescent="0.25">
      <c r="A314" s="2">
        <v>45348</v>
      </c>
      <c r="B314" s="3" t="s">
        <v>314</v>
      </c>
      <c r="C314" s="3">
        <v>148000</v>
      </c>
      <c r="D314" s="3">
        <f t="shared" si="11"/>
        <v>137.03703703703704</v>
      </c>
      <c r="E314" s="3" t="s">
        <v>5</v>
      </c>
      <c r="F314" s="3">
        <v>1080</v>
      </c>
      <c r="G314" s="3"/>
    </row>
    <row r="315" spans="1:7" x14ac:dyDescent="0.25">
      <c r="A315" s="2">
        <v>45350</v>
      </c>
      <c r="B315" s="3" t="s">
        <v>315</v>
      </c>
      <c r="C315" s="3">
        <v>50000</v>
      </c>
      <c r="D315" s="3">
        <f t="shared" si="11"/>
        <v>46.296296296296298</v>
      </c>
      <c r="E315" s="3" t="s">
        <v>5</v>
      </c>
      <c r="F315" s="3">
        <v>1080</v>
      </c>
      <c r="G315" s="3"/>
    </row>
    <row r="316" spans="1:7" x14ac:dyDescent="0.25">
      <c r="A316" s="2">
        <v>45352</v>
      </c>
      <c r="B316" s="3" t="s">
        <v>318</v>
      </c>
      <c r="C316" s="3">
        <v>5250000</v>
      </c>
      <c r="D316" s="3">
        <f t="shared" si="11"/>
        <v>5198.0198019801983</v>
      </c>
      <c r="E316" s="3" t="s">
        <v>5</v>
      </c>
      <c r="F316" s="3">
        <v>1010</v>
      </c>
      <c r="G316" s="3"/>
    </row>
    <row r="317" spans="1:7" x14ac:dyDescent="0.25">
      <c r="A317" s="2">
        <v>45352</v>
      </c>
      <c r="B317" s="3" t="s">
        <v>316</v>
      </c>
      <c r="C317" s="3">
        <v>230000</v>
      </c>
      <c r="D317" s="3">
        <f t="shared" si="11"/>
        <v>227.72277227722773</v>
      </c>
      <c r="E317" s="3" t="s">
        <v>5</v>
      </c>
      <c r="F317" s="3">
        <v>1010</v>
      </c>
      <c r="G317" s="3"/>
    </row>
    <row r="318" spans="1:7" x14ac:dyDescent="0.25">
      <c r="A318" s="2">
        <v>45352</v>
      </c>
      <c r="B318" s="3" t="s">
        <v>317</v>
      </c>
      <c r="C318" s="3">
        <v>6500</v>
      </c>
      <c r="D318" s="3">
        <f t="shared" si="11"/>
        <v>6.435643564356436</v>
      </c>
      <c r="E318" s="3" t="s">
        <v>5</v>
      </c>
      <c r="F318" s="3">
        <v>1010</v>
      </c>
      <c r="G318" s="3"/>
    </row>
    <row r="319" spans="1:7" x14ac:dyDescent="0.25">
      <c r="A319" s="2">
        <v>45352</v>
      </c>
      <c r="B319" s="3" t="s">
        <v>112</v>
      </c>
      <c r="C319" s="3">
        <v>300000</v>
      </c>
      <c r="D319" s="3">
        <f t="shared" si="11"/>
        <v>297.02970297029702</v>
      </c>
      <c r="E319" s="3" t="s">
        <v>10</v>
      </c>
      <c r="F319" s="3">
        <v>1010</v>
      </c>
      <c r="G319" s="3"/>
    </row>
    <row r="320" spans="1:7" x14ac:dyDescent="0.25">
      <c r="A320" s="2">
        <v>45362</v>
      </c>
      <c r="B320" s="3" t="s">
        <v>319</v>
      </c>
      <c r="C320" s="3">
        <v>495000</v>
      </c>
      <c r="D320" s="3">
        <f t="shared" si="11"/>
        <v>490.0990099009901</v>
      </c>
      <c r="E320" s="3" t="s">
        <v>5</v>
      </c>
      <c r="F320" s="3">
        <v>1010</v>
      </c>
      <c r="G320" s="3"/>
    </row>
    <row r="321" spans="1:7" x14ac:dyDescent="0.25">
      <c r="A321" s="2">
        <v>45362</v>
      </c>
      <c r="B321" s="3" t="s">
        <v>320</v>
      </c>
      <c r="C321" s="3">
        <v>34000</v>
      </c>
      <c r="D321" s="3">
        <f t="shared" si="11"/>
        <v>33.663366336633665</v>
      </c>
      <c r="E321" s="3" t="s">
        <v>5</v>
      </c>
      <c r="F321" s="3">
        <v>1010</v>
      </c>
      <c r="G321" s="3"/>
    </row>
    <row r="322" spans="1:7" x14ac:dyDescent="0.25">
      <c r="A322" s="2">
        <v>45366</v>
      </c>
      <c r="B322" s="3" t="s">
        <v>321</v>
      </c>
      <c r="C322" s="3">
        <v>500000</v>
      </c>
      <c r="D322" s="3">
        <f t="shared" ref="D322:D353" si="12" xml:space="preserve"> C322/F322</f>
        <v>495.04950495049508</v>
      </c>
      <c r="E322" s="3" t="s">
        <v>5</v>
      </c>
      <c r="F322" s="3">
        <v>1010</v>
      </c>
      <c r="G322" s="3"/>
    </row>
    <row r="323" spans="1:7" x14ac:dyDescent="0.25">
      <c r="A323" s="2">
        <v>45366</v>
      </c>
      <c r="B323" s="3" t="s">
        <v>322</v>
      </c>
      <c r="C323" s="3">
        <v>300000</v>
      </c>
      <c r="D323" s="3">
        <f t="shared" si="12"/>
        <v>297.02970297029702</v>
      </c>
      <c r="E323" s="3" t="s">
        <v>5</v>
      </c>
      <c r="F323" s="3">
        <v>1010</v>
      </c>
      <c r="G323" s="3"/>
    </row>
    <row r="324" spans="1:7" x14ac:dyDescent="0.25">
      <c r="A324" s="2">
        <v>45370</v>
      </c>
      <c r="B324" s="3" t="s">
        <v>314</v>
      </c>
      <c r="C324" s="3">
        <v>148000</v>
      </c>
      <c r="D324" s="3">
        <f t="shared" si="12"/>
        <v>146.53465346534654</v>
      </c>
      <c r="E324" s="3" t="s">
        <v>5</v>
      </c>
      <c r="F324" s="3">
        <v>1010</v>
      </c>
      <c r="G324" s="3"/>
    </row>
    <row r="325" spans="1:7" x14ac:dyDescent="0.25">
      <c r="A325" s="2">
        <v>45371</v>
      </c>
      <c r="B325" s="3" t="s">
        <v>324</v>
      </c>
      <c r="C325" s="3">
        <v>874720</v>
      </c>
      <c r="D325" s="3">
        <f t="shared" si="12"/>
        <v>866.05940594059405</v>
      </c>
      <c r="E325" s="3" t="s">
        <v>5</v>
      </c>
      <c r="F325" s="3">
        <v>1010</v>
      </c>
      <c r="G325" s="3"/>
    </row>
    <row r="326" spans="1:7" x14ac:dyDescent="0.25">
      <c r="A326" s="2">
        <v>45375</v>
      </c>
      <c r="B326" s="3" t="s">
        <v>323</v>
      </c>
      <c r="C326" s="3">
        <v>700000</v>
      </c>
      <c r="D326" s="3">
        <f t="shared" si="12"/>
        <v>693.06930693069307</v>
      </c>
      <c r="E326" s="3" t="s">
        <v>5</v>
      </c>
      <c r="F326" s="3">
        <v>1010</v>
      </c>
      <c r="G326" s="3"/>
    </row>
    <row r="327" spans="1:7" x14ac:dyDescent="0.25">
      <c r="A327" s="2">
        <v>45378</v>
      </c>
      <c r="B327" s="3" t="s">
        <v>93</v>
      </c>
      <c r="C327" s="3">
        <v>148000</v>
      </c>
      <c r="D327" s="3">
        <f t="shared" si="12"/>
        <v>146.53465346534654</v>
      </c>
      <c r="E327" s="3" t="s">
        <v>5</v>
      </c>
      <c r="F327" s="3">
        <v>1010</v>
      </c>
      <c r="G327" s="3"/>
    </row>
    <row r="328" spans="1:7" x14ac:dyDescent="0.25">
      <c r="A328" s="2">
        <v>45378</v>
      </c>
      <c r="B328" s="3" t="s">
        <v>325</v>
      </c>
      <c r="C328" s="3">
        <v>200000</v>
      </c>
      <c r="D328" s="3">
        <f t="shared" si="12"/>
        <v>198.01980198019803</v>
      </c>
      <c r="E328" s="3" t="s">
        <v>5</v>
      </c>
      <c r="F328" s="3">
        <v>1010</v>
      </c>
      <c r="G328" s="3"/>
    </row>
    <row r="329" spans="1:7" x14ac:dyDescent="0.25">
      <c r="A329" s="2">
        <v>45378</v>
      </c>
      <c r="B329" s="3" t="s">
        <v>326</v>
      </c>
      <c r="C329" s="3">
        <v>700000</v>
      </c>
      <c r="D329" s="3">
        <f t="shared" si="12"/>
        <v>693.06930693069307</v>
      </c>
      <c r="E329" s="3" t="s">
        <v>5</v>
      </c>
      <c r="F329" s="3">
        <v>1010</v>
      </c>
      <c r="G329" s="3"/>
    </row>
    <row r="330" spans="1:7" x14ac:dyDescent="0.25">
      <c r="A330" s="2">
        <v>45387</v>
      </c>
      <c r="B330" s="3" t="s">
        <v>327</v>
      </c>
      <c r="C330" s="3">
        <v>700000</v>
      </c>
      <c r="D330" s="3">
        <f t="shared" si="12"/>
        <v>714.28571428571433</v>
      </c>
      <c r="E330" s="3" t="s">
        <v>5</v>
      </c>
      <c r="F330" s="3">
        <v>980</v>
      </c>
      <c r="G330" s="3"/>
    </row>
    <row r="331" spans="1:7" x14ac:dyDescent="0.25">
      <c r="A331" s="2">
        <v>45391</v>
      </c>
      <c r="B331" s="3" t="s">
        <v>328</v>
      </c>
      <c r="C331" s="3">
        <v>30000</v>
      </c>
      <c r="D331" s="3">
        <f t="shared" si="12"/>
        <v>30.612244897959183</v>
      </c>
      <c r="E331" s="3" t="s">
        <v>5</v>
      </c>
      <c r="F331" s="3">
        <v>980</v>
      </c>
      <c r="G331" s="3"/>
    </row>
    <row r="332" spans="1:7" x14ac:dyDescent="0.25">
      <c r="A332" s="2">
        <v>45394</v>
      </c>
      <c r="B332" s="3" t="s">
        <v>314</v>
      </c>
      <c r="C332" s="3">
        <v>160000</v>
      </c>
      <c r="D332" s="3">
        <f t="shared" si="12"/>
        <v>163.26530612244898</v>
      </c>
      <c r="E332" s="3" t="s">
        <v>5</v>
      </c>
      <c r="F332" s="3">
        <v>980</v>
      </c>
      <c r="G332" s="3"/>
    </row>
    <row r="333" spans="1:7" x14ac:dyDescent="0.25">
      <c r="A333" s="2">
        <v>45394</v>
      </c>
      <c r="B333" s="3" t="s">
        <v>329</v>
      </c>
      <c r="C333" s="3">
        <v>700000</v>
      </c>
      <c r="D333" s="3">
        <f t="shared" si="12"/>
        <v>714.28571428571433</v>
      </c>
      <c r="E333" s="3" t="s">
        <v>5</v>
      </c>
      <c r="F333" s="3">
        <v>980</v>
      </c>
      <c r="G333" s="3"/>
    </row>
    <row r="334" spans="1:7" x14ac:dyDescent="0.25">
      <c r="A334" s="2">
        <v>45404</v>
      </c>
      <c r="B334" s="3" t="s">
        <v>330</v>
      </c>
      <c r="C334" s="3">
        <v>700000</v>
      </c>
      <c r="D334" s="3">
        <f t="shared" si="12"/>
        <v>714.28571428571433</v>
      </c>
      <c r="E334" s="3" t="s">
        <v>5</v>
      </c>
      <c r="F334" s="3">
        <v>980</v>
      </c>
      <c r="G334" s="3"/>
    </row>
    <row r="335" spans="1:7" x14ac:dyDescent="0.25">
      <c r="A335" s="2">
        <v>45408</v>
      </c>
      <c r="B335" s="3" t="s">
        <v>331</v>
      </c>
      <c r="C335" s="3">
        <v>700000</v>
      </c>
      <c r="D335" s="3">
        <f t="shared" si="12"/>
        <v>714.28571428571433</v>
      </c>
      <c r="E335" s="3" t="s">
        <v>5</v>
      </c>
      <c r="F335" s="3">
        <v>980</v>
      </c>
      <c r="G335" s="3"/>
    </row>
    <row r="336" spans="1:7" x14ac:dyDescent="0.25">
      <c r="A336" s="2">
        <v>45411</v>
      </c>
      <c r="B336" s="3" t="s">
        <v>300</v>
      </c>
      <c r="C336" s="3">
        <v>462300</v>
      </c>
      <c r="D336" s="3">
        <f t="shared" si="12"/>
        <v>440.28571428571428</v>
      </c>
      <c r="E336" s="3" t="s">
        <v>5</v>
      </c>
      <c r="F336" s="3">
        <v>1050</v>
      </c>
      <c r="G336" s="3"/>
    </row>
    <row r="337" spans="1:7" x14ac:dyDescent="0.25">
      <c r="A337" s="2">
        <v>45411</v>
      </c>
      <c r="B337" s="3" t="s">
        <v>332</v>
      </c>
      <c r="C337" s="3">
        <v>37000</v>
      </c>
      <c r="D337" s="3">
        <f t="shared" si="12"/>
        <v>35.238095238095241</v>
      </c>
      <c r="E337" s="3" t="s">
        <v>5</v>
      </c>
      <c r="F337" s="3">
        <v>1050</v>
      </c>
      <c r="G337" s="3"/>
    </row>
    <row r="338" spans="1:7" x14ac:dyDescent="0.25">
      <c r="A338" s="2">
        <v>45414</v>
      </c>
      <c r="B338" s="3" t="s">
        <v>277</v>
      </c>
      <c r="C338" s="3">
        <v>30000</v>
      </c>
      <c r="D338" s="3">
        <f t="shared" si="12"/>
        <v>28.571428571428573</v>
      </c>
      <c r="E338" s="3" t="s">
        <v>5</v>
      </c>
      <c r="F338" s="3">
        <v>1050</v>
      </c>
      <c r="G338" s="3"/>
    </row>
    <row r="339" spans="1:7" x14ac:dyDescent="0.25">
      <c r="A339" s="2">
        <v>45414</v>
      </c>
      <c r="B339" s="3" t="s">
        <v>333</v>
      </c>
      <c r="C339" s="3">
        <v>700000</v>
      </c>
      <c r="D339" s="3">
        <f t="shared" si="12"/>
        <v>666.66666666666663</v>
      </c>
      <c r="E339" s="3" t="s">
        <v>5</v>
      </c>
      <c r="F339" s="3">
        <v>1050</v>
      </c>
      <c r="G339" s="3"/>
    </row>
    <row r="340" spans="1:7" x14ac:dyDescent="0.25">
      <c r="A340" s="2">
        <v>45429</v>
      </c>
      <c r="B340" s="3" t="s">
        <v>334</v>
      </c>
      <c r="C340" s="3">
        <v>700000</v>
      </c>
      <c r="D340" s="3">
        <f t="shared" si="12"/>
        <v>666.66666666666663</v>
      </c>
      <c r="E340" s="3" t="s">
        <v>5</v>
      </c>
      <c r="F340" s="3">
        <v>1050</v>
      </c>
      <c r="G340" s="3"/>
    </row>
    <row r="341" spans="1:7" x14ac:dyDescent="0.25">
      <c r="A341" s="2">
        <v>45441</v>
      </c>
      <c r="B341" s="3" t="s">
        <v>336</v>
      </c>
      <c r="C341" s="3">
        <v>160000</v>
      </c>
      <c r="D341" s="3">
        <f t="shared" si="12"/>
        <v>135.59322033898306</v>
      </c>
      <c r="E341" s="3" t="s">
        <v>5</v>
      </c>
      <c r="F341" s="3">
        <v>1180</v>
      </c>
      <c r="G341" s="3"/>
    </row>
    <row r="342" spans="1:7" x14ac:dyDescent="0.25">
      <c r="A342" s="2">
        <v>45441</v>
      </c>
      <c r="B342" s="3" t="s">
        <v>337</v>
      </c>
      <c r="C342" s="3">
        <v>90000</v>
      </c>
      <c r="D342" s="3">
        <f t="shared" si="12"/>
        <v>76.271186440677965</v>
      </c>
      <c r="E342" s="3" t="s">
        <v>5</v>
      </c>
      <c r="F342" s="3">
        <v>1180</v>
      </c>
      <c r="G342" s="3"/>
    </row>
    <row r="343" spans="1:7" x14ac:dyDescent="0.25">
      <c r="A343" s="2">
        <v>45443</v>
      </c>
      <c r="B343" s="3" t="s">
        <v>335</v>
      </c>
      <c r="C343" s="3">
        <v>700000</v>
      </c>
      <c r="D343" s="3">
        <f t="shared" si="12"/>
        <v>593.22033898305085</v>
      </c>
      <c r="E343" s="3" t="s">
        <v>5</v>
      </c>
      <c r="F343" s="3">
        <v>1180</v>
      </c>
      <c r="G343" s="3"/>
    </row>
    <row r="344" spans="1:7" x14ac:dyDescent="0.25">
      <c r="A344" s="2">
        <v>45448</v>
      </c>
      <c r="B344" s="3" t="s">
        <v>338</v>
      </c>
      <c r="C344" s="3">
        <v>462317</v>
      </c>
      <c r="D344" s="3">
        <f t="shared" si="12"/>
        <v>375.86747967479675</v>
      </c>
      <c r="E344" s="3" t="s">
        <v>5</v>
      </c>
      <c r="F344" s="3">
        <v>1230</v>
      </c>
      <c r="G344" s="3"/>
    </row>
    <row r="345" spans="1:7" x14ac:dyDescent="0.25">
      <c r="A345" s="2">
        <v>45475</v>
      </c>
      <c r="B345" s="3" t="s">
        <v>339</v>
      </c>
      <c r="C345" s="3">
        <v>600000</v>
      </c>
      <c r="D345" s="3">
        <f t="shared" si="12"/>
        <v>428.57142857142856</v>
      </c>
      <c r="E345" s="3" t="s">
        <v>5</v>
      </c>
      <c r="F345" s="3">
        <v>1400</v>
      </c>
      <c r="G345" s="3"/>
    </row>
    <row r="346" spans="1:7" x14ac:dyDescent="0.25">
      <c r="A346" s="2">
        <v>45485</v>
      </c>
      <c r="B346" s="3" t="s">
        <v>340</v>
      </c>
      <c r="C346" s="3">
        <v>200000</v>
      </c>
      <c r="D346" s="3">
        <f t="shared" si="12"/>
        <v>137.93103448275863</v>
      </c>
      <c r="E346" s="3" t="s">
        <v>5</v>
      </c>
      <c r="F346" s="3">
        <v>1450</v>
      </c>
      <c r="G346" s="3"/>
    </row>
    <row r="347" spans="1:7" x14ac:dyDescent="0.25">
      <c r="A347" s="2">
        <v>45485</v>
      </c>
      <c r="B347" s="3" t="s">
        <v>112</v>
      </c>
      <c r="C347" s="3">
        <v>700000</v>
      </c>
      <c r="D347" s="3">
        <f t="shared" si="12"/>
        <v>482.75862068965517</v>
      </c>
      <c r="E347" s="3" t="s">
        <v>10</v>
      </c>
      <c r="F347" s="3">
        <v>1450</v>
      </c>
      <c r="G347" s="3"/>
    </row>
    <row r="348" spans="1:7" x14ac:dyDescent="0.25">
      <c r="A348" s="2">
        <v>45488</v>
      </c>
      <c r="B348" s="3" t="s">
        <v>341</v>
      </c>
      <c r="C348" s="3">
        <v>243006</v>
      </c>
      <c r="D348" s="3">
        <f t="shared" si="12"/>
        <v>167.59034482758619</v>
      </c>
      <c r="E348" s="3" t="s">
        <v>5</v>
      </c>
      <c r="F348" s="3">
        <v>1450</v>
      </c>
      <c r="G348" s="3"/>
    </row>
    <row r="349" spans="1:7" x14ac:dyDescent="0.25">
      <c r="A349" s="2">
        <v>45490</v>
      </c>
      <c r="B349" s="3" t="s">
        <v>343</v>
      </c>
      <c r="C349" s="3">
        <v>100000</v>
      </c>
      <c r="D349" s="3">
        <f t="shared" si="12"/>
        <v>68.965517241379317</v>
      </c>
      <c r="E349" s="3" t="s">
        <v>5</v>
      </c>
      <c r="F349" s="3">
        <v>1450</v>
      </c>
      <c r="G349" s="3"/>
    </row>
    <row r="350" spans="1:7" x14ac:dyDescent="0.25">
      <c r="A350" s="2">
        <v>45492</v>
      </c>
      <c r="B350" s="3" t="s">
        <v>342</v>
      </c>
      <c r="C350" s="3">
        <v>100000</v>
      </c>
      <c r="D350" s="3">
        <f t="shared" si="12"/>
        <v>68.965517241379317</v>
      </c>
      <c r="E350" s="3" t="s">
        <v>5</v>
      </c>
      <c r="F350" s="3">
        <v>1450</v>
      </c>
      <c r="G350" s="3"/>
    </row>
    <row r="351" spans="1:7" x14ac:dyDescent="0.25">
      <c r="A351" s="2">
        <v>45492</v>
      </c>
      <c r="B351" s="3" t="s">
        <v>344</v>
      </c>
      <c r="C351" s="3">
        <v>270000</v>
      </c>
      <c r="D351" s="3">
        <f t="shared" si="12"/>
        <v>186.20689655172413</v>
      </c>
      <c r="E351" s="3" t="s">
        <v>5</v>
      </c>
      <c r="F351" s="3">
        <v>1450</v>
      </c>
      <c r="G351" s="3"/>
    </row>
    <row r="352" spans="1:7" x14ac:dyDescent="0.25">
      <c r="A352" s="2">
        <v>45499</v>
      </c>
      <c r="B352" s="3" t="s">
        <v>345</v>
      </c>
      <c r="C352" s="3">
        <v>300000</v>
      </c>
      <c r="D352" s="3">
        <f t="shared" si="12"/>
        <v>206.89655172413794</v>
      </c>
      <c r="E352" s="3" t="s">
        <v>5</v>
      </c>
      <c r="F352" s="3">
        <v>1450</v>
      </c>
      <c r="G352" s="3"/>
    </row>
    <row r="353" spans="1:7" x14ac:dyDescent="0.25">
      <c r="A353" s="2">
        <v>45506</v>
      </c>
      <c r="B353" s="3" t="s">
        <v>346</v>
      </c>
      <c r="C353" s="3">
        <v>470000</v>
      </c>
      <c r="D353" s="3">
        <f t="shared" si="12"/>
        <v>335.71428571428572</v>
      </c>
      <c r="E353" s="3" t="s">
        <v>5</v>
      </c>
      <c r="F353" s="3">
        <v>1400</v>
      </c>
      <c r="G353" s="3"/>
    </row>
    <row r="354" spans="1:7" x14ac:dyDescent="0.25">
      <c r="A354" s="2">
        <v>45512</v>
      </c>
      <c r="B354" s="3" t="s">
        <v>112</v>
      </c>
      <c r="C354" s="3">
        <v>700000</v>
      </c>
      <c r="D354" s="3">
        <f t="shared" ref="D354:D385" si="13" xml:space="preserve"> C354/F354</f>
        <v>500</v>
      </c>
      <c r="E354" s="3" t="s">
        <v>10</v>
      </c>
      <c r="F354" s="3">
        <v>1400</v>
      </c>
      <c r="G354" s="3"/>
    </row>
    <row r="355" spans="1:7" x14ac:dyDescent="0.25">
      <c r="A355" s="2">
        <v>45513</v>
      </c>
      <c r="B355" s="3" t="s">
        <v>347</v>
      </c>
      <c r="C355" s="3">
        <v>400000</v>
      </c>
      <c r="D355" s="3">
        <f t="shared" si="13"/>
        <v>285.71428571428572</v>
      </c>
      <c r="E355" s="3" t="s">
        <v>5</v>
      </c>
      <c r="F355" s="3">
        <v>1400</v>
      </c>
      <c r="G355" s="3"/>
    </row>
    <row r="356" spans="1:7" x14ac:dyDescent="0.25">
      <c r="A356" s="2">
        <v>45513</v>
      </c>
      <c r="B356" s="3" t="s">
        <v>348</v>
      </c>
      <c r="C356" s="3">
        <v>40000</v>
      </c>
      <c r="D356" s="3">
        <f t="shared" si="13"/>
        <v>28.571428571428573</v>
      </c>
      <c r="E356" s="3" t="s">
        <v>5</v>
      </c>
      <c r="F356" s="3">
        <v>1400</v>
      </c>
      <c r="G356" s="3"/>
    </row>
    <row r="357" spans="1:7" x14ac:dyDescent="0.25">
      <c r="A357" s="2">
        <v>45520</v>
      </c>
      <c r="B357" s="3" t="s">
        <v>349</v>
      </c>
      <c r="C357" s="3">
        <v>60000</v>
      </c>
      <c r="D357" s="3">
        <f t="shared" si="13"/>
        <v>42.857142857142854</v>
      </c>
      <c r="E357" s="3" t="s">
        <v>5</v>
      </c>
      <c r="F357" s="3">
        <v>1400</v>
      </c>
      <c r="G357" s="3"/>
    </row>
    <row r="358" spans="1:7" x14ac:dyDescent="0.25">
      <c r="A358" s="2">
        <v>45520</v>
      </c>
      <c r="B358" s="3" t="s">
        <v>93</v>
      </c>
      <c r="C358" s="3">
        <v>190000</v>
      </c>
      <c r="D358" s="3">
        <f t="shared" si="13"/>
        <v>135.71428571428572</v>
      </c>
      <c r="E358" s="3" t="s">
        <v>5</v>
      </c>
      <c r="F358" s="3">
        <v>1400</v>
      </c>
      <c r="G358" s="3"/>
    </row>
    <row r="359" spans="1:7" x14ac:dyDescent="0.25">
      <c r="A359" s="2">
        <v>45527</v>
      </c>
      <c r="B359" s="3" t="s">
        <v>350</v>
      </c>
      <c r="C359" s="3">
        <v>400000</v>
      </c>
      <c r="D359" s="3">
        <f t="shared" si="13"/>
        <v>285.71428571428572</v>
      </c>
      <c r="E359" s="3" t="s">
        <v>5</v>
      </c>
      <c r="F359" s="3">
        <v>1400</v>
      </c>
      <c r="G359" s="3"/>
    </row>
    <row r="360" spans="1:7" x14ac:dyDescent="0.25">
      <c r="A360" s="2">
        <v>45527</v>
      </c>
      <c r="B360" s="3" t="s">
        <v>351</v>
      </c>
      <c r="C360" s="3">
        <v>482763</v>
      </c>
      <c r="D360" s="3">
        <f t="shared" si="13"/>
        <v>344.83071428571429</v>
      </c>
      <c r="E360" s="3" t="s">
        <v>5</v>
      </c>
      <c r="F360" s="3">
        <v>1400</v>
      </c>
      <c r="G360" s="3"/>
    </row>
    <row r="361" spans="1:7" x14ac:dyDescent="0.25">
      <c r="A361" s="2">
        <v>45535</v>
      </c>
      <c r="B361" s="3" t="s">
        <v>352</v>
      </c>
      <c r="C361" s="3">
        <v>500000</v>
      </c>
      <c r="D361" s="3">
        <f t="shared" si="13"/>
        <v>357.14285714285717</v>
      </c>
      <c r="E361" s="3" t="s">
        <v>5</v>
      </c>
      <c r="F361" s="3">
        <v>1400</v>
      </c>
      <c r="G361" s="3"/>
    </row>
    <row r="362" spans="1:7" x14ac:dyDescent="0.25">
      <c r="A362" s="2">
        <v>45540</v>
      </c>
      <c r="B362" s="3" t="s">
        <v>353</v>
      </c>
      <c r="C362" s="3">
        <v>100000</v>
      </c>
      <c r="D362" s="3">
        <f t="shared" si="13"/>
        <v>71.428571428571431</v>
      </c>
      <c r="E362" s="3" t="s">
        <v>5</v>
      </c>
      <c r="F362" s="3">
        <v>1400</v>
      </c>
      <c r="G362" s="3"/>
    </row>
    <row r="363" spans="1:7" x14ac:dyDescent="0.25">
      <c r="A363" s="2">
        <v>45540</v>
      </c>
      <c r="B363" s="3" t="s">
        <v>354</v>
      </c>
      <c r="C363" s="3">
        <v>448000</v>
      </c>
      <c r="D363" s="3">
        <f t="shared" si="13"/>
        <v>320</v>
      </c>
      <c r="E363" s="3" t="s">
        <v>5</v>
      </c>
      <c r="F363" s="3">
        <v>1400</v>
      </c>
      <c r="G363" s="3"/>
    </row>
    <row r="364" spans="1:7" x14ac:dyDescent="0.25">
      <c r="A364" s="2">
        <v>45563</v>
      </c>
      <c r="B364" s="3" t="s">
        <v>355</v>
      </c>
      <c r="C364" s="3">
        <v>712000</v>
      </c>
      <c r="D364" s="3">
        <f t="shared" si="13"/>
        <v>593.33333333333337</v>
      </c>
      <c r="E364" s="3" t="s">
        <v>5</v>
      </c>
      <c r="F364" s="3">
        <v>1200</v>
      </c>
      <c r="G364" s="3"/>
    </row>
    <row r="365" spans="1:7" x14ac:dyDescent="0.25">
      <c r="A365" s="2">
        <v>45570</v>
      </c>
      <c r="B365" s="3" t="s">
        <v>356</v>
      </c>
      <c r="C365" s="3">
        <v>400000</v>
      </c>
      <c r="D365" s="3">
        <f t="shared" si="13"/>
        <v>347.82608695652175</v>
      </c>
      <c r="E365" s="3" t="s">
        <v>5</v>
      </c>
      <c r="F365" s="3">
        <v>1150</v>
      </c>
      <c r="G365" s="3"/>
    </row>
    <row r="366" spans="1:7" x14ac:dyDescent="0.25">
      <c r="A366" s="2">
        <v>45570</v>
      </c>
      <c r="B366" s="3" t="s">
        <v>357</v>
      </c>
      <c r="C366" s="3">
        <v>200000</v>
      </c>
      <c r="D366" s="3">
        <f t="shared" si="13"/>
        <v>173.91304347826087</v>
      </c>
      <c r="E366" s="3" t="s">
        <v>5</v>
      </c>
      <c r="F366" s="3">
        <v>1150</v>
      </c>
      <c r="G366" s="3"/>
    </row>
    <row r="367" spans="1:7" x14ac:dyDescent="0.25">
      <c r="A367" s="2">
        <v>45576</v>
      </c>
      <c r="B367" s="3" t="s">
        <v>358</v>
      </c>
      <c r="C367" s="3">
        <v>400000</v>
      </c>
      <c r="D367" s="3">
        <f t="shared" si="13"/>
        <v>347.82608695652175</v>
      </c>
      <c r="E367" s="3" t="s">
        <v>5</v>
      </c>
      <c r="F367" s="3">
        <v>1150</v>
      </c>
      <c r="G367" s="3"/>
    </row>
    <row r="368" spans="1:7" x14ac:dyDescent="0.25">
      <c r="A368" s="2">
        <v>45580</v>
      </c>
      <c r="B368" s="3" t="s">
        <v>359</v>
      </c>
      <c r="C368" s="3">
        <v>80000</v>
      </c>
      <c r="D368" s="3">
        <f t="shared" si="13"/>
        <v>69.565217391304344</v>
      </c>
      <c r="E368" s="3" t="s">
        <v>5</v>
      </c>
      <c r="F368" s="3">
        <v>1150</v>
      </c>
      <c r="G368" s="3"/>
    </row>
    <row r="369" spans="1:7" x14ac:dyDescent="0.25">
      <c r="A369" s="2">
        <v>45583</v>
      </c>
      <c r="B369" s="3" t="s">
        <v>360</v>
      </c>
      <c r="C369" s="3">
        <v>35000</v>
      </c>
      <c r="D369" s="3">
        <f t="shared" si="13"/>
        <v>30.434782608695652</v>
      </c>
      <c r="E369" s="3" t="s">
        <v>5</v>
      </c>
      <c r="F369" s="3">
        <v>1150</v>
      </c>
      <c r="G369" s="3"/>
    </row>
    <row r="370" spans="1:7" x14ac:dyDescent="0.25">
      <c r="A370" s="2">
        <v>45584</v>
      </c>
      <c r="B370" s="3" t="s">
        <v>361</v>
      </c>
      <c r="C370" s="3">
        <v>9363659</v>
      </c>
      <c r="D370" s="3">
        <f t="shared" si="13"/>
        <v>8142.3121739130438</v>
      </c>
      <c r="E370" s="3" t="s">
        <v>5</v>
      </c>
      <c r="F370" s="3">
        <v>1150</v>
      </c>
      <c r="G370" s="3"/>
    </row>
    <row r="371" spans="1:7" x14ac:dyDescent="0.25">
      <c r="A371" s="2">
        <v>45590</v>
      </c>
      <c r="B371" s="3" t="s">
        <v>362</v>
      </c>
      <c r="C371" s="3">
        <v>300000</v>
      </c>
      <c r="D371" s="3">
        <f t="shared" si="13"/>
        <v>260.86956521739131</v>
      </c>
      <c r="E371" s="3" t="s">
        <v>5</v>
      </c>
      <c r="F371" s="3">
        <v>1150</v>
      </c>
      <c r="G371" s="3"/>
    </row>
    <row r="372" spans="1:7" x14ac:dyDescent="0.25">
      <c r="A372" s="2">
        <v>45590</v>
      </c>
      <c r="B372" s="3" t="s">
        <v>363</v>
      </c>
      <c r="C372" s="3">
        <v>90000</v>
      </c>
      <c r="D372" s="3">
        <f t="shared" si="13"/>
        <v>78.260869565217391</v>
      </c>
      <c r="E372" s="3" t="s">
        <v>5</v>
      </c>
      <c r="F372" s="3">
        <v>1150</v>
      </c>
      <c r="G372" s="3"/>
    </row>
    <row r="373" spans="1:7" x14ac:dyDescent="0.25">
      <c r="A373" s="2">
        <v>45597</v>
      </c>
      <c r="B373" s="3" t="s">
        <v>364</v>
      </c>
      <c r="C373" s="3">
        <v>400000</v>
      </c>
      <c r="D373" s="3">
        <f t="shared" si="13"/>
        <v>347.82608695652175</v>
      </c>
      <c r="E373" s="3" t="s">
        <v>5</v>
      </c>
      <c r="F373" s="3">
        <v>1150</v>
      </c>
      <c r="G373" s="3"/>
    </row>
    <row r="374" spans="1:7" x14ac:dyDescent="0.25">
      <c r="A374" s="2">
        <v>45603</v>
      </c>
      <c r="B374" s="3" t="s">
        <v>365</v>
      </c>
      <c r="C374" s="3">
        <v>120000</v>
      </c>
      <c r="D374" s="3">
        <f t="shared" si="13"/>
        <v>104.34782608695652</v>
      </c>
      <c r="E374" s="3" t="s">
        <v>5</v>
      </c>
      <c r="F374" s="3">
        <v>1150</v>
      </c>
      <c r="G374" s="3"/>
    </row>
    <row r="375" spans="1:7" x14ac:dyDescent="0.25">
      <c r="A375" s="2">
        <v>45607</v>
      </c>
      <c r="B375" s="3" t="s">
        <v>366</v>
      </c>
      <c r="C375" s="3">
        <v>152428</v>
      </c>
      <c r="D375" s="3">
        <f t="shared" si="13"/>
        <v>132.54608695652175</v>
      </c>
      <c r="E375" s="3" t="s">
        <v>5</v>
      </c>
      <c r="F375" s="3">
        <v>1150</v>
      </c>
      <c r="G375" s="3"/>
    </row>
    <row r="376" spans="1:7" x14ac:dyDescent="0.25">
      <c r="A376" s="2">
        <v>45610</v>
      </c>
      <c r="B376" s="3" t="s">
        <v>367</v>
      </c>
      <c r="C376" s="3">
        <v>200000</v>
      </c>
      <c r="D376" s="3">
        <f t="shared" si="13"/>
        <v>178.57142857142858</v>
      </c>
      <c r="E376" s="3" t="s">
        <v>5</v>
      </c>
      <c r="F376" s="3">
        <v>1120</v>
      </c>
      <c r="G376" s="3"/>
    </row>
    <row r="377" spans="1:7" x14ac:dyDescent="0.25">
      <c r="A377" s="2">
        <v>45610</v>
      </c>
      <c r="B377" s="3" t="s">
        <v>368</v>
      </c>
      <c r="C377" s="3">
        <v>750000</v>
      </c>
      <c r="D377" s="3">
        <f t="shared" si="13"/>
        <v>669.64285714285711</v>
      </c>
      <c r="E377" s="3" t="s">
        <v>5</v>
      </c>
      <c r="F377" s="3">
        <v>1120</v>
      </c>
      <c r="G377" s="3"/>
    </row>
    <row r="378" spans="1:7" x14ac:dyDescent="0.25">
      <c r="A378" s="2">
        <v>45618</v>
      </c>
      <c r="B378" s="3" t="s">
        <v>369</v>
      </c>
      <c r="C378" s="3">
        <v>600000</v>
      </c>
      <c r="D378" s="3">
        <f t="shared" si="13"/>
        <v>535.71428571428567</v>
      </c>
      <c r="E378" s="3" t="s">
        <v>5</v>
      </c>
      <c r="F378" s="3">
        <v>1120</v>
      </c>
      <c r="G378" s="3"/>
    </row>
    <row r="379" spans="1:7" x14ac:dyDescent="0.25">
      <c r="A379" s="2">
        <v>45625</v>
      </c>
      <c r="B379" s="3" t="s">
        <v>370</v>
      </c>
      <c r="C379" s="3">
        <v>500000</v>
      </c>
      <c r="D379" s="3">
        <f t="shared" si="13"/>
        <v>446.42857142857144</v>
      </c>
      <c r="E379" s="3" t="s">
        <v>5</v>
      </c>
      <c r="F379" s="3">
        <v>1120</v>
      </c>
      <c r="G379" s="3"/>
    </row>
    <row r="380" spans="1:7" x14ac:dyDescent="0.25">
      <c r="A380" s="2">
        <v>45632</v>
      </c>
      <c r="B380" s="3" t="s">
        <v>371</v>
      </c>
      <c r="C380" s="3">
        <v>400000</v>
      </c>
      <c r="D380" s="3">
        <f t="shared" si="13"/>
        <v>377.35849056603774</v>
      </c>
      <c r="E380" s="3" t="s">
        <v>5</v>
      </c>
      <c r="F380" s="3">
        <v>1060</v>
      </c>
      <c r="G380" s="3"/>
    </row>
    <row r="381" spans="1:7" x14ac:dyDescent="0.25">
      <c r="A381" s="2">
        <v>45636</v>
      </c>
      <c r="B381" s="3" t="s">
        <v>372</v>
      </c>
      <c r="C381" s="3">
        <v>1256000</v>
      </c>
      <c r="D381" s="3">
        <f t="shared" si="13"/>
        <v>1184.9056603773586</v>
      </c>
      <c r="E381" s="3" t="s">
        <v>5</v>
      </c>
      <c r="F381" s="3">
        <v>1060</v>
      </c>
      <c r="G381" s="3"/>
    </row>
    <row r="382" spans="1:7" x14ac:dyDescent="0.25">
      <c r="A382" s="2">
        <v>45637</v>
      </c>
      <c r="B382" s="3" t="s">
        <v>373</v>
      </c>
      <c r="C382" s="3">
        <v>400000</v>
      </c>
      <c r="D382" s="3">
        <f t="shared" si="13"/>
        <v>377.35849056603774</v>
      </c>
      <c r="E382" s="3" t="s">
        <v>5</v>
      </c>
      <c r="F382" s="3">
        <v>1060</v>
      </c>
      <c r="G382" s="3"/>
    </row>
    <row r="383" spans="1:7" x14ac:dyDescent="0.25">
      <c r="A383" s="2">
        <v>45643</v>
      </c>
      <c r="B383" s="3" t="s">
        <v>374</v>
      </c>
      <c r="C383" s="3">
        <v>200000</v>
      </c>
      <c r="D383" s="3">
        <f t="shared" si="13"/>
        <v>181.81818181818181</v>
      </c>
      <c r="E383" s="3" t="s">
        <v>5</v>
      </c>
      <c r="F383" s="3">
        <v>1100</v>
      </c>
      <c r="G383" s="3"/>
    </row>
    <row r="384" spans="1:7" x14ac:dyDescent="0.25">
      <c r="A384" s="2">
        <v>45646</v>
      </c>
      <c r="B384" s="3" t="s">
        <v>375</v>
      </c>
      <c r="C384" s="3">
        <v>300000</v>
      </c>
      <c r="D384" s="3">
        <f t="shared" si="13"/>
        <v>272.72727272727275</v>
      </c>
      <c r="E384" s="3" t="s">
        <v>5</v>
      </c>
      <c r="F384" s="3">
        <v>1100</v>
      </c>
      <c r="G384" s="3"/>
    </row>
    <row r="385" spans="1:7" x14ac:dyDescent="0.25">
      <c r="A385" s="2">
        <v>45649</v>
      </c>
      <c r="B385" s="3" t="s">
        <v>376</v>
      </c>
      <c r="C385" s="3">
        <v>400000</v>
      </c>
      <c r="D385" s="3">
        <f t="shared" si="13"/>
        <v>363.63636363636363</v>
      </c>
      <c r="E385" s="3" t="s">
        <v>5</v>
      </c>
      <c r="F385" s="3">
        <v>1100</v>
      </c>
      <c r="G385" s="3"/>
    </row>
    <row r="386" spans="1:7" x14ac:dyDescent="0.25">
      <c r="A386" s="2">
        <v>45652</v>
      </c>
      <c r="B386" s="3" t="s">
        <v>377</v>
      </c>
      <c r="C386" s="3">
        <v>600000</v>
      </c>
      <c r="D386" s="3">
        <f t="shared" ref="D386:D440" si="14" xml:space="preserve"> C386/F386</f>
        <v>521.73913043478262</v>
      </c>
      <c r="E386" s="3" t="s">
        <v>5</v>
      </c>
      <c r="F386" s="3">
        <v>1150</v>
      </c>
      <c r="G386" s="3"/>
    </row>
    <row r="387" spans="1:7" x14ac:dyDescent="0.25">
      <c r="A387" s="2">
        <v>45652</v>
      </c>
      <c r="B387" s="3" t="s">
        <v>378</v>
      </c>
      <c r="C387" s="3">
        <v>20000</v>
      </c>
      <c r="D387" s="3">
        <f t="shared" si="14"/>
        <v>17.391304347826086</v>
      </c>
      <c r="E387" s="3" t="s">
        <v>5</v>
      </c>
      <c r="F387" s="3">
        <v>1150</v>
      </c>
      <c r="G387" s="3"/>
    </row>
    <row r="388" spans="1:7" x14ac:dyDescent="0.25">
      <c r="A388" s="2">
        <v>45652</v>
      </c>
      <c r="B388" s="3" t="s">
        <v>379</v>
      </c>
      <c r="C388" s="3">
        <v>180000</v>
      </c>
      <c r="D388" s="3">
        <f t="shared" si="14"/>
        <v>156.52173913043478</v>
      </c>
      <c r="E388" s="3" t="s">
        <v>5</v>
      </c>
      <c r="F388" s="3">
        <v>1150</v>
      </c>
      <c r="G388" s="3"/>
    </row>
    <row r="389" spans="1:7" x14ac:dyDescent="0.25">
      <c r="A389" s="2">
        <v>45655</v>
      </c>
      <c r="B389" s="3" t="s">
        <v>380</v>
      </c>
      <c r="C389" s="3">
        <v>420000</v>
      </c>
      <c r="D389" s="3">
        <f t="shared" si="14"/>
        <v>365.21739130434781</v>
      </c>
      <c r="E389" s="3" t="s">
        <v>5</v>
      </c>
      <c r="F389" s="3">
        <v>1150</v>
      </c>
      <c r="G389" s="3"/>
    </row>
    <row r="390" spans="1:7" x14ac:dyDescent="0.25">
      <c r="A390" s="2">
        <v>45659</v>
      </c>
      <c r="B390" s="3" t="s">
        <v>381</v>
      </c>
      <c r="C390" s="3">
        <v>327000</v>
      </c>
      <c r="D390" s="3">
        <f t="shared" si="14"/>
        <v>279.4871794871795</v>
      </c>
      <c r="E390" s="3" t="s">
        <v>5</v>
      </c>
      <c r="F390" s="3">
        <v>1170</v>
      </c>
      <c r="G390" s="3"/>
    </row>
    <row r="391" spans="1:7" x14ac:dyDescent="0.25">
      <c r="A391" s="3" t="s">
        <v>271</v>
      </c>
      <c r="B391" s="3" t="s">
        <v>272</v>
      </c>
      <c r="C391" s="3">
        <v>13500</v>
      </c>
      <c r="D391" s="3">
        <f t="shared" si="14"/>
        <v>14.210526315789474</v>
      </c>
      <c r="E391" s="3" t="s">
        <v>5</v>
      </c>
      <c r="F391" s="3">
        <v>950</v>
      </c>
      <c r="G391" s="3"/>
    </row>
    <row r="392" spans="1:7" x14ac:dyDescent="0.25">
      <c r="A392" s="3" t="s">
        <v>386</v>
      </c>
      <c r="B392" s="3" t="s">
        <v>297</v>
      </c>
      <c r="C392" s="3">
        <v>260000</v>
      </c>
      <c r="D392" s="3">
        <f t="shared" si="14"/>
        <v>231.11111111111111</v>
      </c>
      <c r="E392" s="3" t="s">
        <v>5</v>
      </c>
      <c r="F392" s="3">
        <v>1125</v>
      </c>
      <c r="G392" s="3"/>
    </row>
    <row r="393" spans="1:7" x14ac:dyDescent="0.25">
      <c r="A393" s="2">
        <v>45653</v>
      </c>
      <c r="B393" s="3" t="s">
        <v>382</v>
      </c>
      <c r="C393" s="3">
        <v>600000</v>
      </c>
      <c r="D393" s="3">
        <f t="shared" si="14"/>
        <v>545.4545454545455</v>
      </c>
      <c r="E393" s="3" t="s">
        <v>10</v>
      </c>
      <c r="F393" s="3">
        <v>1100</v>
      </c>
      <c r="G393" s="3"/>
    </row>
    <row r="394" spans="1:7" x14ac:dyDescent="0.25">
      <c r="A394" s="2">
        <v>45660</v>
      </c>
      <c r="B394" s="3" t="s">
        <v>383</v>
      </c>
      <c r="C394" s="3">
        <v>420000</v>
      </c>
      <c r="D394" s="3">
        <f t="shared" si="14"/>
        <v>358.97435897435895</v>
      </c>
      <c r="E394" s="3" t="s">
        <v>5</v>
      </c>
      <c r="F394" s="3">
        <v>1170</v>
      </c>
      <c r="G394" s="3"/>
    </row>
    <row r="395" spans="1:7" x14ac:dyDescent="0.25">
      <c r="A395" s="2">
        <v>45663</v>
      </c>
      <c r="B395" s="3" t="s">
        <v>385</v>
      </c>
      <c r="C395" s="3">
        <v>510000</v>
      </c>
      <c r="D395" s="3">
        <f t="shared" si="14"/>
        <v>425</v>
      </c>
      <c r="E395" s="3" t="s">
        <v>10</v>
      </c>
      <c r="F395" s="3">
        <v>1200</v>
      </c>
      <c r="G395" s="3"/>
    </row>
    <row r="396" spans="1:7" x14ac:dyDescent="0.25">
      <c r="A396" s="2">
        <v>45663</v>
      </c>
      <c r="B396" s="3" t="s">
        <v>385</v>
      </c>
      <c r="C396" s="3">
        <v>390000</v>
      </c>
      <c r="D396" s="3">
        <f t="shared" si="14"/>
        <v>336.20689655172413</v>
      </c>
      <c r="E396" s="3" t="s">
        <v>5</v>
      </c>
      <c r="F396" s="3">
        <v>1160</v>
      </c>
      <c r="G396" s="3"/>
    </row>
    <row r="397" spans="1:7" x14ac:dyDescent="0.25">
      <c r="A397" s="2">
        <v>45663</v>
      </c>
      <c r="B397" s="3" t="s">
        <v>384</v>
      </c>
      <c r="C397" s="3">
        <v>14500</v>
      </c>
      <c r="D397" s="3">
        <f t="shared" si="14"/>
        <v>12.5</v>
      </c>
      <c r="E397" s="3" t="s">
        <v>5</v>
      </c>
      <c r="F397" s="3">
        <v>1160</v>
      </c>
      <c r="G397" s="3"/>
    </row>
    <row r="398" spans="1:7" x14ac:dyDescent="0.25">
      <c r="A398" s="2">
        <v>45667</v>
      </c>
      <c r="B398" s="3" t="s">
        <v>387</v>
      </c>
      <c r="C398" s="3">
        <v>700000</v>
      </c>
      <c r="D398" s="3">
        <f t="shared" si="14"/>
        <v>603.44827586206895</v>
      </c>
      <c r="E398" s="3" t="s">
        <v>10</v>
      </c>
      <c r="F398" s="3">
        <v>1160</v>
      </c>
      <c r="G398" s="3"/>
    </row>
    <row r="399" spans="1:7" x14ac:dyDescent="0.25">
      <c r="A399" s="2">
        <v>45667</v>
      </c>
      <c r="B399" s="3" t="s">
        <v>388</v>
      </c>
      <c r="C399" s="3">
        <v>1150000</v>
      </c>
      <c r="D399" s="3">
        <f t="shared" si="14"/>
        <v>991.37931034482756</v>
      </c>
      <c r="E399" s="3" t="s">
        <v>5</v>
      </c>
      <c r="F399" s="3">
        <v>1160</v>
      </c>
      <c r="G399" s="3"/>
    </row>
    <row r="400" spans="1:7" x14ac:dyDescent="0.25">
      <c r="A400" s="2">
        <v>45671</v>
      </c>
      <c r="B400" s="3" t="s">
        <v>389</v>
      </c>
      <c r="C400" s="3">
        <v>45000</v>
      </c>
      <c r="D400" s="3">
        <f t="shared" si="14"/>
        <v>38.793103448275865</v>
      </c>
      <c r="E400" s="3" t="s">
        <v>5</v>
      </c>
      <c r="F400" s="3">
        <v>1160</v>
      </c>
      <c r="G400" s="3"/>
    </row>
    <row r="401" spans="1:7" x14ac:dyDescent="0.25">
      <c r="A401" s="2">
        <v>45672</v>
      </c>
      <c r="B401" s="3" t="s">
        <v>390</v>
      </c>
      <c r="C401" s="3">
        <v>202176</v>
      </c>
      <c r="D401" s="3">
        <f t="shared" si="14"/>
        <v>174.2896551724138</v>
      </c>
      <c r="E401" s="3" t="s">
        <v>5</v>
      </c>
      <c r="F401" s="3">
        <v>1160</v>
      </c>
      <c r="G401" s="3"/>
    </row>
    <row r="402" spans="1:7" x14ac:dyDescent="0.25">
      <c r="A402" s="2">
        <v>45675</v>
      </c>
      <c r="B402" s="3" t="s">
        <v>391</v>
      </c>
      <c r="C402" s="3">
        <v>129600</v>
      </c>
      <c r="D402" s="3">
        <f t="shared" si="14"/>
        <v>111.72413793103448</v>
      </c>
      <c r="E402" s="3" t="s">
        <v>5</v>
      </c>
      <c r="F402" s="3">
        <v>1160</v>
      </c>
      <c r="G402" s="3"/>
    </row>
    <row r="403" spans="1:7" x14ac:dyDescent="0.25">
      <c r="A403" s="2">
        <v>45675</v>
      </c>
      <c r="B403" s="3" t="s">
        <v>392</v>
      </c>
      <c r="C403" s="3">
        <v>134748</v>
      </c>
      <c r="D403" s="3">
        <f t="shared" si="14"/>
        <v>116.16206896551724</v>
      </c>
      <c r="E403" s="3" t="s">
        <v>5</v>
      </c>
      <c r="F403" s="3">
        <v>1160</v>
      </c>
      <c r="G403" s="3"/>
    </row>
    <row r="404" spans="1:7" x14ac:dyDescent="0.25">
      <c r="A404" s="2">
        <v>45675</v>
      </c>
      <c r="B404" s="3" t="s">
        <v>393</v>
      </c>
      <c r="C404" s="3">
        <v>400000</v>
      </c>
      <c r="D404" s="3">
        <f t="shared" si="14"/>
        <v>344.82758620689657</v>
      </c>
      <c r="E404" s="3" t="s">
        <v>5</v>
      </c>
      <c r="F404" s="3">
        <v>1160</v>
      </c>
      <c r="G404" s="3"/>
    </row>
    <row r="405" spans="1:7" x14ac:dyDescent="0.25">
      <c r="A405" s="8">
        <v>45678</v>
      </c>
      <c r="B405" s="9" t="s">
        <v>394</v>
      </c>
      <c r="C405" s="9">
        <v>21879757.699999999</v>
      </c>
      <c r="D405" s="9">
        <f t="shared" si="14"/>
        <v>18861.860086206896</v>
      </c>
      <c r="E405" s="9" t="s">
        <v>423</v>
      </c>
      <c r="F405" s="9">
        <v>1160</v>
      </c>
      <c r="G405" s="9"/>
    </row>
    <row r="406" spans="1:7" x14ac:dyDescent="0.25">
      <c r="A406" s="8">
        <v>45679</v>
      </c>
      <c r="B406" s="9" t="s">
        <v>395</v>
      </c>
      <c r="C406" s="9">
        <v>596008</v>
      </c>
      <c r="D406" s="9">
        <f t="shared" si="14"/>
        <v>513.79999999999995</v>
      </c>
      <c r="E406" s="9" t="s">
        <v>400</v>
      </c>
      <c r="F406" s="9">
        <v>1160</v>
      </c>
      <c r="G406" s="9"/>
    </row>
    <row r="407" spans="1:7" x14ac:dyDescent="0.25">
      <c r="A407" s="8">
        <v>45679</v>
      </c>
      <c r="B407" s="9" t="s">
        <v>396</v>
      </c>
      <c r="C407" s="9">
        <v>381750</v>
      </c>
      <c r="D407" s="9">
        <f t="shared" si="14"/>
        <v>329.09482758620692</v>
      </c>
      <c r="E407" s="9" t="s">
        <v>399</v>
      </c>
      <c r="F407" s="9">
        <v>1160</v>
      </c>
      <c r="G407" s="9"/>
    </row>
    <row r="408" spans="1:7" x14ac:dyDescent="0.25">
      <c r="A408" s="8">
        <v>45679</v>
      </c>
      <c r="B408" s="9" t="s">
        <v>397</v>
      </c>
      <c r="C408" s="9">
        <v>2873992.33</v>
      </c>
      <c r="D408" s="9">
        <f t="shared" si="14"/>
        <v>2477.5795948275863</v>
      </c>
      <c r="E408" s="9" t="s">
        <v>400</v>
      </c>
      <c r="F408" s="9">
        <v>1160</v>
      </c>
      <c r="G408" s="9"/>
    </row>
    <row r="409" spans="1:7" x14ac:dyDescent="0.25">
      <c r="A409" s="8">
        <v>45679</v>
      </c>
      <c r="B409" s="9" t="s">
        <v>398</v>
      </c>
      <c r="C409" s="34">
        <v>2580402.1800000002</v>
      </c>
      <c r="D409" s="9">
        <f t="shared" si="14"/>
        <v>2224.4846379310347</v>
      </c>
      <c r="E409" s="9" t="s">
        <v>400</v>
      </c>
      <c r="F409" s="9">
        <v>1160</v>
      </c>
      <c r="G409" s="9"/>
    </row>
    <row r="410" spans="1:7" x14ac:dyDescent="0.25">
      <c r="A410" s="8">
        <v>45679</v>
      </c>
      <c r="B410" s="9" t="s">
        <v>401</v>
      </c>
      <c r="C410" s="9">
        <v>646481.54</v>
      </c>
      <c r="D410" s="9">
        <f t="shared" si="14"/>
        <v>557.31167241379319</v>
      </c>
      <c r="E410" s="9" t="s">
        <v>400</v>
      </c>
      <c r="F410" s="9">
        <v>1160</v>
      </c>
      <c r="G410" s="9"/>
    </row>
    <row r="411" spans="1:7" x14ac:dyDescent="0.25">
      <c r="A411" s="8">
        <v>45679</v>
      </c>
      <c r="B411" s="9" t="s">
        <v>402</v>
      </c>
      <c r="C411" s="9">
        <v>450000</v>
      </c>
      <c r="D411" s="9">
        <f t="shared" si="14"/>
        <v>387.93103448275861</v>
      </c>
      <c r="E411" s="9" t="s">
        <v>400</v>
      </c>
      <c r="F411" s="9">
        <v>1160</v>
      </c>
      <c r="G411" s="9"/>
    </row>
    <row r="412" spans="1:7" x14ac:dyDescent="0.25">
      <c r="A412" s="8">
        <v>45679</v>
      </c>
      <c r="B412" s="9" t="s">
        <v>403</v>
      </c>
      <c r="C412" s="9">
        <v>524127.14</v>
      </c>
      <c r="D412" s="9">
        <f t="shared" si="14"/>
        <v>451.83374137931037</v>
      </c>
      <c r="E412" s="9" t="s">
        <v>399</v>
      </c>
      <c r="F412" s="9">
        <v>1160</v>
      </c>
      <c r="G412" s="9" t="s">
        <v>116</v>
      </c>
    </row>
    <row r="413" spans="1:7" x14ac:dyDescent="0.25">
      <c r="A413" s="8">
        <v>45679</v>
      </c>
      <c r="B413" s="9" t="s">
        <v>404</v>
      </c>
      <c r="C413" s="9">
        <v>600000</v>
      </c>
      <c r="D413" s="9">
        <f t="shared" si="14"/>
        <v>517.24137931034488</v>
      </c>
      <c r="E413" s="9" t="s">
        <v>399</v>
      </c>
      <c r="F413" s="9">
        <v>1160</v>
      </c>
      <c r="G413" s="9"/>
    </row>
    <row r="414" spans="1:7" x14ac:dyDescent="0.25">
      <c r="A414" s="8">
        <v>45680</v>
      </c>
      <c r="B414" s="9" t="s">
        <v>405</v>
      </c>
      <c r="C414" s="9">
        <v>7678991.5199999996</v>
      </c>
      <c r="D414" s="9">
        <f t="shared" si="14"/>
        <v>6619.8202758620682</v>
      </c>
      <c r="E414" s="9" t="s">
        <v>399</v>
      </c>
      <c r="F414" s="9">
        <v>1160</v>
      </c>
      <c r="G414" s="9"/>
    </row>
    <row r="415" spans="1:7" x14ac:dyDescent="0.25">
      <c r="A415" s="8">
        <v>45681</v>
      </c>
      <c r="B415" s="9" t="s">
        <v>408</v>
      </c>
      <c r="C415" s="9">
        <v>283000</v>
      </c>
      <c r="D415" s="9">
        <f t="shared" si="14"/>
        <v>243.9655172413793</v>
      </c>
      <c r="E415" s="9" t="s">
        <v>400</v>
      </c>
      <c r="F415" s="9">
        <v>1160</v>
      </c>
      <c r="G415" s="9"/>
    </row>
    <row r="416" spans="1:7" x14ac:dyDescent="0.25">
      <c r="A416" s="8">
        <v>45681</v>
      </c>
      <c r="B416" s="9" t="s">
        <v>409</v>
      </c>
      <c r="C416" s="9">
        <v>3262608</v>
      </c>
      <c r="D416" s="9">
        <f t="shared" si="14"/>
        <v>2812.593103448276</v>
      </c>
      <c r="E416" s="9" t="s">
        <v>400</v>
      </c>
      <c r="F416" s="9">
        <v>1160</v>
      </c>
      <c r="G416" s="9"/>
    </row>
    <row r="417" spans="1:7" x14ac:dyDescent="0.25">
      <c r="A417" s="8">
        <v>45684</v>
      </c>
      <c r="B417" s="9" t="s">
        <v>336</v>
      </c>
      <c r="C417" s="9">
        <v>220000</v>
      </c>
      <c r="D417" s="9">
        <f t="shared" si="14"/>
        <v>189.65517241379311</v>
      </c>
      <c r="E417" s="9" t="s">
        <v>400</v>
      </c>
      <c r="F417" s="9">
        <v>1160</v>
      </c>
      <c r="G417" s="9"/>
    </row>
    <row r="418" spans="1:7" x14ac:dyDescent="0.25">
      <c r="A418" s="8">
        <v>45685</v>
      </c>
      <c r="B418" s="9" t="s">
        <v>421</v>
      </c>
      <c r="C418" s="9">
        <v>52000</v>
      </c>
      <c r="D418" s="9">
        <f t="shared" si="14"/>
        <v>44.827586206896555</v>
      </c>
      <c r="E418" s="9" t="s">
        <v>400</v>
      </c>
      <c r="F418" s="9">
        <v>1160</v>
      </c>
      <c r="G418" s="9" t="s">
        <v>116</v>
      </c>
    </row>
    <row r="419" spans="1:7" x14ac:dyDescent="0.25">
      <c r="A419" s="8">
        <v>45686</v>
      </c>
      <c r="B419" s="9" t="s">
        <v>422</v>
      </c>
      <c r="C419" s="9">
        <v>234000</v>
      </c>
      <c r="D419" s="9">
        <f t="shared" si="14"/>
        <v>201.72413793103448</v>
      </c>
      <c r="E419" s="9" t="s">
        <v>400</v>
      </c>
      <c r="F419" s="9">
        <v>1160</v>
      </c>
      <c r="G419" s="9" t="s">
        <v>116</v>
      </c>
    </row>
    <row r="420" spans="1:7" x14ac:dyDescent="0.25">
      <c r="A420" s="8">
        <v>45689</v>
      </c>
      <c r="B420" s="9" t="s">
        <v>425</v>
      </c>
      <c r="C420" s="9">
        <v>500000</v>
      </c>
      <c r="D420" s="9">
        <f t="shared" si="14"/>
        <v>431.0344827586207</v>
      </c>
      <c r="E420" s="9" t="s">
        <v>400</v>
      </c>
      <c r="F420" s="9">
        <v>1160</v>
      </c>
      <c r="G420" s="9"/>
    </row>
    <row r="421" spans="1:7" x14ac:dyDescent="0.25">
      <c r="A421" s="8">
        <v>45680</v>
      </c>
      <c r="B421" s="9" t="s">
        <v>424</v>
      </c>
      <c r="C421" s="9">
        <v>500000</v>
      </c>
      <c r="D421" s="9">
        <f t="shared" si="14"/>
        <v>431.0344827586207</v>
      </c>
      <c r="E421" s="9" t="s">
        <v>400</v>
      </c>
      <c r="F421" s="9">
        <v>1160</v>
      </c>
      <c r="G421" s="9"/>
    </row>
    <row r="422" spans="1:7" x14ac:dyDescent="0.25">
      <c r="A422" s="8">
        <v>45689</v>
      </c>
      <c r="B422" s="9" t="s">
        <v>426</v>
      </c>
      <c r="C422" s="9">
        <v>312260</v>
      </c>
      <c r="D422" s="9">
        <f t="shared" si="14"/>
        <v>269.18965517241378</v>
      </c>
      <c r="E422" s="9" t="s">
        <v>423</v>
      </c>
      <c r="F422" s="9">
        <v>1160</v>
      </c>
      <c r="G422" s="9"/>
    </row>
    <row r="423" spans="1:7" x14ac:dyDescent="0.25">
      <c r="A423" s="8">
        <v>45689</v>
      </c>
      <c r="B423" s="9" t="s">
        <v>427</v>
      </c>
      <c r="C423" s="9">
        <v>2534369</v>
      </c>
      <c r="D423" s="9">
        <f t="shared" si="14"/>
        <v>2184.8008620689657</v>
      </c>
      <c r="E423" s="9" t="s">
        <v>423</v>
      </c>
      <c r="F423" s="9">
        <v>1160</v>
      </c>
      <c r="G423" s="9"/>
    </row>
    <row r="424" spans="1:7" x14ac:dyDescent="0.25">
      <c r="A424" s="8">
        <v>45689</v>
      </c>
      <c r="B424" s="9" t="s">
        <v>428</v>
      </c>
      <c r="C424" s="9">
        <v>1579224</v>
      </c>
      <c r="D424" s="9">
        <f t="shared" si="14"/>
        <v>1361.4</v>
      </c>
      <c r="E424" s="9" t="s">
        <v>423</v>
      </c>
      <c r="F424" s="9">
        <v>1160</v>
      </c>
      <c r="G424" s="9"/>
    </row>
    <row r="425" spans="1:7" x14ac:dyDescent="0.25">
      <c r="A425" s="8">
        <v>45691</v>
      </c>
      <c r="B425" s="9" t="s">
        <v>429</v>
      </c>
      <c r="C425" s="9">
        <v>200000</v>
      </c>
      <c r="D425" s="9">
        <f t="shared" si="14"/>
        <v>172.41379310344828</v>
      </c>
      <c r="E425" s="9" t="s">
        <v>400</v>
      </c>
      <c r="F425" s="9">
        <v>1160</v>
      </c>
      <c r="G425" s="9"/>
    </row>
    <row r="426" spans="1:7" x14ac:dyDescent="0.25">
      <c r="A426" s="8">
        <v>45695</v>
      </c>
      <c r="B426" s="9" t="s">
        <v>430</v>
      </c>
      <c r="C426" s="9">
        <v>1387753</v>
      </c>
      <c r="D426" s="9">
        <f t="shared" si="14"/>
        <v>1196.3387931034483</v>
      </c>
      <c r="E426" s="9" t="s">
        <v>400</v>
      </c>
      <c r="F426" s="9">
        <v>1160</v>
      </c>
      <c r="G426" s="9"/>
    </row>
    <row r="427" spans="1:7" x14ac:dyDescent="0.25">
      <c r="A427" s="8">
        <v>45695</v>
      </c>
      <c r="B427" s="9" t="s">
        <v>431</v>
      </c>
      <c r="C427" s="9">
        <v>1350000</v>
      </c>
      <c r="D427" s="9">
        <f t="shared" si="14"/>
        <v>1163.7931034482758</v>
      </c>
      <c r="E427" s="9" t="s">
        <v>423</v>
      </c>
      <c r="F427" s="9">
        <v>1160</v>
      </c>
      <c r="G427" s="9"/>
    </row>
    <row r="428" spans="1:7" x14ac:dyDescent="0.25">
      <c r="A428" s="8">
        <v>45695</v>
      </c>
      <c r="B428" s="9" t="s">
        <v>432</v>
      </c>
      <c r="C428" s="9">
        <v>513906</v>
      </c>
      <c r="D428" s="9">
        <f t="shared" si="14"/>
        <v>443.02241379310345</v>
      </c>
      <c r="E428" s="9" t="s">
        <v>423</v>
      </c>
      <c r="F428" s="9">
        <v>1160</v>
      </c>
      <c r="G428" s="9"/>
    </row>
    <row r="429" spans="1:7" x14ac:dyDescent="0.25">
      <c r="A429" s="8">
        <v>45695</v>
      </c>
      <c r="B429" s="9" t="s">
        <v>433</v>
      </c>
      <c r="C429" s="9">
        <v>4000000</v>
      </c>
      <c r="D429" s="9">
        <f t="shared" si="14"/>
        <v>3448.2758620689656</v>
      </c>
      <c r="E429" s="9" t="s">
        <v>400</v>
      </c>
      <c r="F429" s="9">
        <v>1160</v>
      </c>
      <c r="G429" s="9"/>
    </row>
    <row r="430" spans="1:7" x14ac:dyDescent="0.25">
      <c r="A430" s="8">
        <v>45698</v>
      </c>
      <c r="B430" s="9" t="s">
        <v>442</v>
      </c>
      <c r="C430" s="9">
        <v>26000</v>
      </c>
      <c r="D430" s="9">
        <f t="shared" si="14"/>
        <v>22.413793103448278</v>
      </c>
      <c r="E430" s="9" t="s">
        <v>400</v>
      </c>
      <c r="F430" s="9">
        <v>1160</v>
      </c>
      <c r="G430" s="9"/>
    </row>
    <row r="431" spans="1:7" x14ac:dyDescent="0.25">
      <c r="A431" s="8">
        <v>45698</v>
      </c>
      <c r="B431" s="9" t="s">
        <v>443</v>
      </c>
      <c r="C431" s="9">
        <v>1000000</v>
      </c>
      <c r="D431" s="9">
        <f t="shared" si="14"/>
        <v>862.06896551724139</v>
      </c>
      <c r="E431" s="9" t="s">
        <v>400</v>
      </c>
      <c r="F431" s="9">
        <v>1160</v>
      </c>
      <c r="G431" s="9"/>
    </row>
    <row r="432" spans="1:7" x14ac:dyDescent="0.25">
      <c r="A432" s="8">
        <v>45700</v>
      </c>
      <c r="B432" s="9" t="s">
        <v>445</v>
      </c>
      <c r="C432" s="9">
        <v>276983</v>
      </c>
      <c r="D432" s="9">
        <f t="shared" si="14"/>
        <v>238.77844827586208</v>
      </c>
      <c r="E432" s="9" t="s">
        <v>400</v>
      </c>
      <c r="F432" s="9">
        <v>1160</v>
      </c>
      <c r="G432" s="9"/>
    </row>
    <row r="433" spans="1:7" x14ac:dyDescent="0.25">
      <c r="A433" s="8">
        <v>45702</v>
      </c>
      <c r="B433" s="9" t="s">
        <v>442</v>
      </c>
      <c r="C433" s="9">
        <v>31000</v>
      </c>
      <c r="D433" s="9">
        <f t="shared" si="14"/>
        <v>26.724137931034484</v>
      </c>
      <c r="E433" s="9" t="s">
        <v>400</v>
      </c>
      <c r="F433" s="9">
        <v>1160</v>
      </c>
      <c r="G433" s="9"/>
    </row>
    <row r="434" spans="1:7" x14ac:dyDescent="0.25">
      <c r="A434" s="8">
        <v>45702</v>
      </c>
      <c r="B434" s="9" t="s">
        <v>443</v>
      </c>
      <c r="C434" s="9">
        <v>200000</v>
      </c>
      <c r="D434" s="9">
        <f t="shared" si="14"/>
        <v>172.41379310344828</v>
      </c>
      <c r="E434" s="9" t="s">
        <v>400</v>
      </c>
      <c r="F434" s="9">
        <v>1160</v>
      </c>
      <c r="G434" s="9"/>
    </row>
    <row r="435" spans="1:7" x14ac:dyDescent="0.25">
      <c r="A435" s="8">
        <v>45702</v>
      </c>
      <c r="B435" s="9" t="s">
        <v>447</v>
      </c>
      <c r="C435" s="9">
        <v>191710</v>
      </c>
      <c r="D435" s="9">
        <f t="shared" si="14"/>
        <v>165.26724137931035</v>
      </c>
      <c r="E435" s="9" t="s">
        <v>400</v>
      </c>
      <c r="F435" s="9">
        <v>1160</v>
      </c>
      <c r="G435" s="9"/>
    </row>
    <row r="436" spans="1:7" x14ac:dyDescent="0.25">
      <c r="A436" s="8">
        <v>45707</v>
      </c>
      <c r="B436" s="42" t="s">
        <v>448</v>
      </c>
      <c r="C436" s="42">
        <v>81500</v>
      </c>
      <c r="D436" s="9">
        <f t="shared" si="14"/>
        <v>70.258620689655174</v>
      </c>
      <c r="E436" s="9" t="s">
        <v>400</v>
      </c>
      <c r="F436" s="9">
        <v>1160</v>
      </c>
    </row>
    <row r="437" spans="1:7" x14ac:dyDescent="0.25">
      <c r="A437" s="10">
        <v>45707</v>
      </c>
      <c r="B437" s="11" t="s">
        <v>443</v>
      </c>
      <c r="C437" s="42">
        <v>100000</v>
      </c>
      <c r="D437" s="11">
        <f t="shared" si="14"/>
        <v>86.206896551724142</v>
      </c>
      <c r="E437" s="11" t="s">
        <v>400</v>
      </c>
      <c r="F437" s="11">
        <v>1160</v>
      </c>
    </row>
    <row r="438" spans="1:7" x14ac:dyDescent="0.25">
      <c r="A438" s="8">
        <v>45707</v>
      </c>
      <c r="B438" s="9" t="s">
        <v>449</v>
      </c>
      <c r="C438" s="9">
        <v>53000</v>
      </c>
      <c r="D438" s="9">
        <f t="shared" si="14"/>
        <v>45.689655172413794</v>
      </c>
      <c r="E438" s="9" t="s">
        <v>400</v>
      </c>
      <c r="F438" s="9">
        <v>1160</v>
      </c>
      <c r="G438" s="3"/>
    </row>
    <row r="439" spans="1:7" x14ac:dyDescent="0.25">
      <c r="A439" s="8">
        <v>45708</v>
      </c>
      <c r="B439" s="9" t="s">
        <v>451</v>
      </c>
      <c r="C439" s="9">
        <v>22000</v>
      </c>
      <c r="D439" s="9">
        <f t="shared" si="14"/>
        <v>18.96551724137931</v>
      </c>
      <c r="E439" s="9" t="s">
        <v>400</v>
      </c>
      <c r="F439" s="9">
        <v>1160</v>
      </c>
      <c r="G439" s="3"/>
    </row>
    <row r="440" spans="1:7" x14ac:dyDescent="0.25">
      <c r="A440" s="8">
        <v>45708</v>
      </c>
      <c r="B440" s="9" t="s">
        <v>433</v>
      </c>
      <c r="C440" s="9">
        <v>50000</v>
      </c>
      <c r="D440" s="9">
        <f t="shared" si="14"/>
        <v>43.103448275862071</v>
      </c>
      <c r="E440" s="9" t="s">
        <v>400</v>
      </c>
      <c r="F440" s="9">
        <v>1160</v>
      </c>
      <c r="G440" s="3"/>
    </row>
    <row r="441" spans="1:7" x14ac:dyDescent="0.25">
      <c r="A441" s="8">
        <v>45708</v>
      </c>
      <c r="B441" s="9" t="s">
        <v>433</v>
      </c>
      <c r="C441" s="9">
        <v>500000</v>
      </c>
      <c r="D441" s="9">
        <f t="shared" ref="D441:D469" si="15" xml:space="preserve"> C441/F441</f>
        <v>431.0344827586207</v>
      </c>
      <c r="E441" s="9" t="s">
        <v>400</v>
      </c>
      <c r="F441" s="9">
        <v>1160</v>
      </c>
      <c r="G441" s="3"/>
    </row>
    <row r="442" spans="1:7" x14ac:dyDescent="0.25">
      <c r="A442" s="8">
        <v>45717</v>
      </c>
      <c r="B442" s="11" t="s">
        <v>433</v>
      </c>
      <c r="C442" s="42">
        <v>3400000</v>
      </c>
      <c r="D442" s="9">
        <f t="shared" si="15"/>
        <v>2833.3333333333335</v>
      </c>
      <c r="E442" s="11" t="s">
        <v>423</v>
      </c>
      <c r="F442" s="9">
        <v>1200</v>
      </c>
    </row>
    <row r="443" spans="1:7" x14ac:dyDescent="0.25">
      <c r="A443" s="8">
        <v>45717</v>
      </c>
      <c r="B443" s="9" t="s">
        <v>456</v>
      </c>
      <c r="C443" s="9">
        <v>11100</v>
      </c>
      <c r="D443" s="9">
        <f t="shared" si="15"/>
        <v>9.25</v>
      </c>
      <c r="E443" s="11" t="s">
        <v>400</v>
      </c>
      <c r="F443" s="9">
        <v>1200</v>
      </c>
    </row>
    <row r="444" spans="1:7" x14ac:dyDescent="0.25">
      <c r="A444" s="8">
        <v>45717</v>
      </c>
      <c r="B444" s="9" t="s">
        <v>457</v>
      </c>
      <c r="C444" s="9">
        <v>26000</v>
      </c>
      <c r="D444" s="9">
        <f t="shared" si="15"/>
        <v>21.666666666666668</v>
      </c>
      <c r="E444" s="11" t="s">
        <v>400</v>
      </c>
      <c r="F444" s="9">
        <v>1200</v>
      </c>
    </row>
    <row r="445" spans="1:7" x14ac:dyDescent="0.25">
      <c r="A445" s="8">
        <v>45717</v>
      </c>
      <c r="B445" s="9" t="s">
        <v>458</v>
      </c>
      <c r="C445" s="9">
        <v>34200</v>
      </c>
      <c r="D445" s="9">
        <f t="shared" si="15"/>
        <v>28.5</v>
      </c>
      <c r="E445" s="11" t="s">
        <v>400</v>
      </c>
      <c r="F445" s="9">
        <v>1200</v>
      </c>
    </row>
    <row r="446" spans="1:7" x14ac:dyDescent="0.25">
      <c r="A446" s="8">
        <v>45717</v>
      </c>
      <c r="B446" s="9" t="s">
        <v>459</v>
      </c>
      <c r="C446" s="9">
        <v>72000</v>
      </c>
      <c r="D446" s="9">
        <f t="shared" si="15"/>
        <v>60</v>
      </c>
      <c r="E446" s="11" t="s">
        <v>400</v>
      </c>
      <c r="F446" s="9">
        <v>1200</v>
      </c>
    </row>
    <row r="447" spans="1:7" x14ac:dyDescent="0.25">
      <c r="A447" s="8">
        <v>45723</v>
      </c>
      <c r="B447" s="9" t="s">
        <v>433</v>
      </c>
      <c r="C447" s="9">
        <v>500000</v>
      </c>
      <c r="D447" s="9">
        <f t="shared" si="15"/>
        <v>403.22580645161293</v>
      </c>
      <c r="E447" s="11" t="s">
        <v>400</v>
      </c>
      <c r="F447" s="9">
        <v>1240</v>
      </c>
    </row>
    <row r="448" spans="1:7" x14ac:dyDescent="0.25">
      <c r="A448" s="8">
        <v>45724</v>
      </c>
      <c r="B448" s="9" t="s">
        <v>461</v>
      </c>
      <c r="C448" s="9">
        <v>85319</v>
      </c>
      <c r="D448" s="9">
        <f t="shared" si="15"/>
        <v>68.805645161290329</v>
      </c>
      <c r="E448" s="11" t="s">
        <v>400</v>
      </c>
      <c r="F448" s="9">
        <v>1240</v>
      </c>
    </row>
    <row r="449" spans="1:6" x14ac:dyDescent="0.25">
      <c r="A449" s="8">
        <v>45733</v>
      </c>
      <c r="B449" s="9" t="s">
        <v>475</v>
      </c>
      <c r="C449" s="9">
        <v>200000</v>
      </c>
      <c r="D449" s="9">
        <f t="shared" si="15"/>
        <v>161.29032258064515</v>
      </c>
      <c r="E449" s="9" t="s">
        <v>400</v>
      </c>
      <c r="F449" s="9">
        <v>1240</v>
      </c>
    </row>
    <row r="450" spans="1:6" x14ac:dyDescent="0.25">
      <c r="A450" s="8">
        <v>45735</v>
      </c>
      <c r="B450" s="9" t="s">
        <v>476</v>
      </c>
      <c r="C450" s="9">
        <v>50000</v>
      </c>
      <c r="D450" s="9">
        <f t="shared" si="15"/>
        <v>40.322580645161288</v>
      </c>
      <c r="E450" s="9" t="s">
        <v>400</v>
      </c>
      <c r="F450" s="9">
        <v>1240</v>
      </c>
    </row>
    <row r="451" spans="1:6" x14ac:dyDescent="0.25">
      <c r="A451" s="8">
        <v>45737</v>
      </c>
      <c r="B451" s="9" t="s">
        <v>477</v>
      </c>
      <c r="C451" s="9">
        <v>300000</v>
      </c>
      <c r="D451" s="9">
        <f t="shared" si="15"/>
        <v>241.93548387096774</v>
      </c>
      <c r="E451" s="9" t="s">
        <v>400</v>
      </c>
      <c r="F451" s="9">
        <v>1240</v>
      </c>
    </row>
    <row r="452" spans="1:6" x14ac:dyDescent="0.25">
      <c r="A452" s="8">
        <v>45743</v>
      </c>
      <c r="B452" s="9" t="s">
        <v>478</v>
      </c>
      <c r="C452" s="9">
        <v>1906921</v>
      </c>
      <c r="D452" s="9">
        <f t="shared" si="15"/>
        <v>1466.8623076923077</v>
      </c>
      <c r="E452" s="9" t="s">
        <v>400</v>
      </c>
      <c r="F452" s="9">
        <v>1300</v>
      </c>
    </row>
    <row r="453" spans="1:6" x14ac:dyDescent="0.25">
      <c r="A453" s="8">
        <v>45744</v>
      </c>
      <c r="B453" s="9" t="s">
        <v>433</v>
      </c>
      <c r="C453" s="9">
        <v>2500000</v>
      </c>
      <c r="D453" s="9">
        <f t="shared" si="15"/>
        <v>1923.0769230769231</v>
      </c>
      <c r="E453" s="9" t="s">
        <v>400</v>
      </c>
      <c r="F453" s="9">
        <v>1300</v>
      </c>
    </row>
    <row r="454" spans="1:6" x14ac:dyDescent="0.25">
      <c r="A454" s="8">
        <v>45747</v>
      </c>
      <c r="B454" s="9" t="s">
        <v>488</v>
      </c>
      <c r="C454" s="9">
        <v>37000</v>
      </c>
      <c r="D454" s="9">
        <f t="shared" si="15"/>
        <v>28.46153846153846</v>
      </c>
      <c r="E454" s="9" t="s">
        <v>400</v>
      </c>
      <c r="F454" s="9">
        <v>1300</v>
      </c>
    </row>
    <row r="455" spans="1:6" x14ac:dyDescent="0.25">
      <c r="A455" s="8">
        <v>45842</v>
      </c>
      <c r="B455" s="9" t="s">
        <v>433</v>
      </c>
      <c r="C455" s="9">
        <v>500000</v>
      </c>
      <c r="D455" s="9">
        <f t="shared" si="15"/>
        <v>384.61538461538464</v>
      </c>
      <c r="E455" s="9" t="s">
        <v>400</v>
      </c>
      <c r="F455" s="9">
        <v>1300</v>
      </c>
    </row>
    <row r="456" spans="1:6" x14ac:dyDescent="0.25">
      <c r="A456" s="8">
        <v>45842</v>
      </c>
      <c r="B456" s="9" t="s">
        <v>489</v>
      </c>
      <c r="C456" s="9">
        <v>95000</v>
      </c>
      <c r="D456" s="9">
        <f t="shared" si="15"/>
        <v>73.07692307692308</v>
      </c>
      <c r="E456" s="9" t="s">
        <v>400</v>
      </c>
      <c r="F456" s="9">
        <v>1300</v>
      </c>
    </row>
    <row r="457" spans="1:6" x14ac:dyDescent="0.25">
      <c r="A457" s="8">
        <v>45756</v>
      </c>
      <c r="B457" s="9" t="s">
        <v>491</v>
      </c>
      <c r="C457" s="9">
        <v>25000</v>
      </c>
      <c r="D457" s="9">
        <f t="shared" si="15"/>
        <v>18.867924528301888</v>
      </c>
      <c r="E457" s="9" t="s">
        <v>400</v>
      </c>
      <c r="F457" s="9">
        <v>1325</v>
      </c>
    </row>
    <row r="458" spans="1:6" x14ac:dyDescent="0.25">
      <c r="A458" s="8">
        <v>45759</v>
      </c>
      <c r="B458" s="9" t="s">
        <v>387</v>
      </c>
      <c r="C458" s="9">
        <v>700000</v>
      </c>
      <c r="D458" s="9">
        <f t="shared" si="15"/>
        <v>528.30188679245282</v>
      </c>
      <c r="E458" s="9" t="s">
        <v>10</v>
      </c>
      <c r="F458" s="9">
        <v>1325</v>
      </c>
    </row>
    <row r="459" spans="1:6" x14ac:dyDescent="0.25">
      <c r="A459" s="8">
        <v>45759</v>
      </c>
      <c r="B459" s="9" t="s">
        <v>492</v>
      </c>
      <c r="C459" s="9">
        <v>1000000</v>
      </c>
      <c r="D459" s="9">
        <f t="shared" si="15"/>
        <v>754.71698113207549</v>
      </c>
      <c r="E459" s="9" t="s">
        <v>400</v>
      </c>
      <c r="F459" s="9">
        <v>1325</v>
      </c>
    </row>
    <row r="460" spans="1:6" x14ac:dyDescent="0.25">
      <c r="A460" s="8">
        <v>45759</v>
      </c>
      <c r="B460" s="9" t="s">
        <v>433</v>
      </c>
      <c r="C460" s="9">
        <v>1000000</v>
      </c>
      <c r="D460" s="9">
        <f t="shared" si="15"/>
        <v>754.71698113207549</v>
      </c>
      <c r="E460" s="9" t="s">
        <v>400</v>
      </c>
      <c r="F460" s="9">
        <v>1325</v>
      </c>
    </row>
    <row r="461" spans="1:6" x14ac:dyDescent="0.25">
      <c r="A461" s="8">
        <v>45759</v>
      </c>
      <c r="B461" s="9" t="s">
        <v>494</v>
      </c>
      <c r="C461" s="9"/>
      <c r="D461" s="9">
        <v>1180</v>
      </c>
      <c r="E461" s="9" t="s">
        <v>10</v>
      </c>
      <c r="F461" s="9">
        <v>1325</v>
      </c>
    </row>
    <row r="462" spans="1:6" x14ac:dyDescent="0.25">
      <c r="A462" s="8">
        <v>45759</v>
      </c>
      <c r="B462" s="9" t="s">
        <v>494</v>
      </c>
      <c r="C462" s="9">
        <v>5000000</v>
      </c>
      <c r="D462" s="9">
        <f t="shared" si="15"/>
        <v>4201.680672268908</v>
      </c>
      <c r="E462" s="9" t="s">
        <v>10</v>
      </c>
      <c r="F462" s="9">
        <v>1190</v>
      </c>
    </row>
    <row r="463" spans="1:6" x14ac:dyDescent="0.25">
      <c r="A463" s="8">
        <v>45765</v>
      </c>
      <c r="B463" s="9" t="s">
        <v>433</v>
      </c>
      <c r="C463" s="9">
        <v>1000000</v>
      </c>
      <c r="D463" s="9">
        <f t="shared" si="15"/>
        <v>840.33613445378148</v>
      </c>
      <c r="E463" s="9" t="s">
        <v>400</v>
      </c>
      <c r="F463" s="9">
        <v>1190</v>
      </c>
    </row>
    <row r="464" spans="1:6" x14ac:dyDescent="0.25">
      <c r="A464" s="8">
        <v>45769</v>
      </c>
      <c r="B464" s="9" t="s">
        <v>433</v>
      </c>
      <c r="C464" s="9">
        <v>100000</v>
      </c>
      <c r="D464" s="9">
        <f t="shared" si="15"/>
        <v>88.495575221238937</v>
      </c>
      <c r="E464" s="9" t="s">
        <v>400</v>
      </c>
      <c r="F464" s="9">
        <v>1130</v>
      </c>
    </row>
    <row r="465" spans="1:6" x14ac:dyDescent="0.25">
      <c r="A465" s="8">
        <v>45772</v>
      </c>
      <c r="B465" s="9" t="s">
        <v>503</v>
      </c>
      <c r="C465" s="9">
        <v>143723</v>
      </c>
      <c r="D465" s="9">
        <f t="shared" si="15"/>
        <v>128.32410714285714</v>
      </c>
      <c r="E465" s="9" t="s">
        <v>400</v>
      </c>
      <c r="F465" s="9">
        <v>1120</v>
      </c>
    </row>
    <row r="466" spans="1:6" x14ac:dyDescent="0.25">
      <c r="A466" s="8">
        <v>45772</v>
      </c>
      <c r="B466" s="9" t="s">
        <v>433</v>
      </c>
      <c r="C466" s="9">
        <v>3000000</v>
      </c>
      <c r="D466" s="9">
        <f t="shared" si="15"/>
        <v>2678.5714285714284</v>
      </c>
      <c r="E466" s="9" t="s">
        <v>400</v>
      </c>
      <c r="F466" s="9">
        <v>1120</v>
      </c>
    </row>
    <row r="467" spans="1:6" x14ac:dyDescent="0.25">
      <c r="A467" s="8">
        <v>45776</v>
      </c>
      <c r="B467" s="9" t="s">
        <v>489</v>
      </c>
      <c r="C467" s="9">
        <v>240000</v>
      </c>
      <c r="D467" s="9">
        <f t="shared" si="15"/>
        <v>206.89655172413794</v>
      </c>
      <c r="E467" s="9" t="s">
        <v>400</v>
      </c>
      <c r="F467" s="9">
        <v>1160</v>
      </c>
    </row>
    <row r="468" spans="1:6" x14ac:dyDescent="0.25">
      <c r="A468" s="8">
        <v>45780</v>
      </c>
      <c r="B468" s="9" t="s">
        <v>433</v>
      </c>
      <c r="C468" s="9">
        <v>900000</v>
      </c>
      <c r="D468" s="9">
        <f t="shared" si="15"/>
        <v>775.86206896551721</v>
      </c>
      <c r="E468" s="9" t="s">
        <v>400</v>
      </c>
      <c r="F468" s="9">
        <v>1160</v>
      </c>
    </row>
    <row r="469" spans="1:6" x14ac:dyDescent="0.25">
      <c r="A469" s="8">
        <v>45782</v>
      </c>
      <c r="B469" s="9" t="s">
        <v>506</v>
      </c>
      <c r="C469" s="9">
        <v>144816</v>
      </c>
      <c r="D469" s="9">
        <f t="shared" si="15"/>
        <v>123.77435897435898</v>
      </c>
      <c r="E469" s="9" t="s">
        <v>400</v>
      </c>
      <c r="F469" s="9">
        <v>1170</v>
      </c>
    </row>
    <row r="470" spans="1:6" x14ac:dyDescent="0.25">
      <c r="A470" s="8">
        <v>45782</v>
      </c>
      <c r="B470" s="9" t="s">
        <v>507</v>
      </c>
      <c r="C470" s="9">
        <v>700000</v>
      </c>
      <c r="D470" s="9">
        <f t="shared" ref="D470:D471" si="16" xml:space="preserve"> C470/F470</f>
        <v>598.29059829059827</v>
      </c>
      <c r="E470" s="9" t="s">
        <v>10</v>
      </c>
      <c r="F470" s="9">
        <v>1170</v>
      </c>
    </row>
    <row r="471" spans="1:6" x14ac:dyDescent="0.25">
      <c r="A471" s="8">
        <v>45784</v>
      </c>
      <c r="B471" s="9" t="s">
        <v>508</v>
      </c>
      <c r="C471" s="9">
        <v>92013</v>
      </c>
      <c r="D471" s="9">
        <f t="shared" si="16"/>
        <v>76.677499999999995</v>
      </c>
      <c r="E471" s="9" t="s">
        <v>400</v>
      </c>
      <c r="F471" s="9">
        <v>1200</v>
      </c>
    </row>
    <row r="472" spans="1:6" x14ac:dyDescent="0.25">
      <c r="A472" s="8">
        <v>45784</v>
      </c>
      <c r="B472" s="9" t="s">
        <v>433</v>
      </c>
      <c r="C472" s="9">
        <v>50000</v>
      </c>
      <c r="D472" s="9">
        <f t="shared" ref="D472:D474" si="17" xml:space="preserve"> C472/F472</f>
        <v>41.666666666666664</v>
      </c>
      <c r="E472" s="9" t="s">
        <v>400</v>
      </c>
      <c r="F472" s="9">
        <v>1200</v>
      </c>
    </row>
    <row r="473" spans="1:6" x14ac:dyDescent="0.25">
      <c r="A473" s="8">
        <v>45784</v>
      </c>
      <c r="B473" s="9" t="s">
        <v>363</v>
      </c>
      <c r="C473" s="9">
        <v>60000</v>
      </c>
      <c r="D473" s="9">
        <f t="shared" si="17"/>
        <v>50</v>
      </c>
      <c r="E473" s="9" t="s">
        <v>400</v>
      </c>
      <c r="F473" s="9">
        <v>1200</v>
      </c>
    </row>
    <row r="474" spans="1:6" x14ac:dyDescent="0.25">
      <c r="A474" s="49">
        <v>45787</v>
      </c>
      <c r="B474" s="9" t="s">
        <v>433</v>
      </c>
      <c r="C474" s="42">
        <v>800000</v>
      </c>
      <c r="D474" s="42">
        <f t="shared" si="17"/>
        <v>701.75438596491233</v>
      </c>
      <c r="E474" s="9" t="s">
        <v>400</v>
      </c>
      <c r="F474" s="42">
        <v>1140</v>
      </c>
    </row>
    <row r="475" spans="1:6" x14ac:dyDescent="0.25">
      <c r="A475" s="8">
        <v>45787</v>
      </c>
      <c r="B475" s="9" t="s">
        <v>363</v>
      </c>
      <c r="C475" s="9">
        <v>60000</v>
      </c>
      <c r="D475" s="9">
        <f t="shared" ref="D475:D480" si="18" xml:space="preserve"> C475/F475</f>
        <v>52.631578947368418</v>
      </c>
      <c r="E475" s="9" t="s">
        <v>400</v>
      </c>
      <c r="F475" s="9">
        <v>1140</v>
      </c>
    </row>
    <row r="476" spans="1:6" x14ac:dyDescent="0.25">
      <c r="A476" s="8">
        <v>45787</v>
      </c>
      <c r="B476" s="9" t="s">
        <v>320</v>
      </c>
      <c r="C476" s="9">
        <v>70000</v>
      </c>
      <c r="D476" s="9">
        <f t="shared" si="18"/>
        <v>61.403508771929822</v>
      </c>
      <c r="E476" s="9" t="s">
        <v>400</v>
      </c>
      <c r="F476" s="9">
        <v>1140</v>
      </c>
    </row>
    <row r="477" spans="1:6" x14ac:dyDescent="0.25">
      <c r="A477" s="8">
        <v>45790</v>
      </c>
      <c r="B477" s="9" t="s">
        <v>433</v>
      </c>
      <c r="C477" s="9">
        <v>650000</v>
      </c>
      <c r="D477" s="9">
        <f t="shared" si="18"/>
        <v>555.55555555555554</v>
      </c>
      <c r="E477" s="9" t="s">
        <v>400</v>
      </c>
      <c r="F477" s="9">
        <v>1170</v>
      </c>
    </row>
    <row r="478" spans="1:6" x14ac:dyDescent="0.25">
      <c r="A478" s="49">
        <v>45794</v>
      </c>
      <c r="B478" s="11" t="s">
        <v>433</v>
      </c>
      <c r="C478" s="42">
        <v>500000</v>
      </c>
      <c r="D478" s="11">
        <f t="shared" si="18"/>
        <v>427.35042735042737</v>
      </c>
      <c r="E478" s="11" t="s">
        <v>400</v>
      </c>
      <c r="F478" s="11">
        <v>1170</v>
      </c>
    </row>
    <row r="479" spans="1:6" x14ac:dyDescent="0.25">
      <c r="A479" s="8">
        <v>45794</v>
      </c>
      <c r="B479" s="9" t="s">
        <v>509</v>
      </c>
      <c r="C479" s="9">
        <v>1500000</v>
      </c>
      <c r="D479" s="9">
        <f t="shared" si="18"/>
        <v>1282.051282051282</v>
      </c>
      <c r="E479" s="9" t="s">
        <v>400</v>
      </c>
      <c r="F479" s="9">
        <v>1170</v>
      </c>
    </row>
    <row r="480" spans="1:6" x14ac:dyDescent="0.25">
      <c r="A480" s="8">
        <v>45797</v>
      </c>
      <c r="B480" s="9" t="s">
        <v>510</v>
      </c>
      <c r="C480" s="9">
        <v>75000</v>
      </c>
      <c r="D480" s="9">
        <f t="shared" si="18"/>
        <v>65.78947368421052</v>
      </c>
      <c r="E480" s="9" t="s">
        <v>400</v>
      </c>
      <c r="F480" s="9">
        <v>1140</v>
      </c>
    </row>
    <row r="481" spans="1:6" x14ac:dyDescent="0.25">
      <c r="A481" s="8">
        <v>45797</v>
      </c>
      <c r="B481" s="9" t="s">
        <v>363</v>
      </c>
      <c r="C481" s="9">
        <v>60000</v>
      </c>
      <c r="D481" s="9">
        <f t="shared" ref="D481" si="19" xml:space="preserve"> C481/F481</f>
        <v>52.631578947368418</v>
      </c>
      <c r="E481" s="9" t="s">
        <v>400</v>
      </c>
      <c r="F481" s="9">
        <v>1140</v>
      </c>
    </row>
    <row r="482" spans="1:6" x14ac:dyDescent="0.25">
      <c r="A482" s="8">
        <v>45797</v>
      </c>
      <c r="B482" s="11" t="s">
        <v>433</v>
      </c>
      <c r="C482" s="9">
        <v>200000</v>
      </c>
      <c r="D482" s="9">
        <f t="shared" ref="D482:D494" si="20" xml:space="preserve"> C482/F482</f>
        <v>175.43859649122808</v>
      </c>
      <c r="E482" s="9" t="s">
        <v>400</v>
      </c>
      <c r="F482" s="9">
        <v>1140</v>
      </c>
    </row>
    <row r="483" spans="1:6" x14ac:dyDescent="0.25">
      <c r="A483" s="8">
        <v>45800</v>
      </c>
      <c r="B483" s="9" t="s">
        <v>433</v>
      </c>
      <c r="C483" s="9">
        <v>800000</v>
      </c>
      <c r="D483" s="9">
        <f t="shared" si="20"/>
        <v>701.75438596491233</v>
      </c>
      <c r="E483" s="9" t="s">
        <v>400</v>
      </c>
      <c r="F483" s="9">
        <v>1140</v>
      </c>
    </row>
    <row r="484" spans="1:6" x14ac:dyDescent="0.25">
      <c r="A484" s="8">
        <v>45804</v>
      </c>
      <c r="B484" s="9" t="s">
        <v>519</v>
      </c>
      <c r="C484" s="9">
        <v>145120</v>
      </c>
      <c r="D484" s="9">
        <f t="shared" si="20"/>
        <v>127.29824561403508</v>
      </c>
      <c r="E484" s="9" t="s">
        <v>400</v>
      </c>
      <c r="F484" s="9">
        <v>1140</v>
      </c>
    </row>
    <row r="485" spans="1:6" x14ac:dyDescent="0.25">
      <c r="A485" s="8">
        <v>45804</v>
      </c>
      <c r="B485" s="9" t="s">
        <v>520</v>
      </c>
      <c r="C485" s="9">
        <v>254000</v>
      </c>
      <c r="D485" s="9">
        <f t="shared" si="20"/>
        <v>222.80701754385964</v>
      </c>
      <c r="E485" s="9" t="s">
        <v>400</v>
      </c>
      <c r="F485" s="9">
        <v>1140</v>
      </c>
    </row>
    <row r="486" spans="1:6" x14ac:dyDescent="0.25">
      <c r="A486" s="8">
        <v>45807</v>
      </c>
      <c r="B486" s="9" t="s">
        <v>521</v>
      </c>
      <c r="C486" s="9">
        <v>90000</v>
      </c>
      <c r="D486" s="9">
        <f t="shared" si="20"/>
        <v>78.94736842105263</v>
      </c>
      <c r="E486" s="9" t="s">
        <v>400</v>
      </c>
      <c r="F486" s="9">
        <v>1140</v>
      </c>
    </row>
    <row r="487" spans="1:6" x14ac:dyDescent="0.25">
      <c r="A487" s="8">
        <v>45807</v>
      </c>
      <c r="B487" s="9" t="s">
        <v>433</v>
      </c>
      <c r="C487" s="9">
        <v>2200000</v>
      </c>
      <c r="D487" s="9">
        <f t="shared" si="20"/>
        <v>1929.8245614035088</v>
      </c>
      <c r="E487" s="9" t="s">
        <v>400</v>
      </c>
      <c r="F487" s="9">
        <v>1140</v>
      </c>
    </row>
    <row r="488" spans="1:6" x14ac:dyDescent="0.25">
      <c r="A488" s="8">
        <v>45813</v>
      </c>
      <c r="B488" s="9" t="s">
        <v>510</v>
      </c>
      <c r="C488" s="9">
        <v>70000</v>
      </c>
      <c r="D488" s="9">
        <f t="shared" si="20"/>
        <v>58.823529411764703</v>
      </c>
      <c r="E488" s="9" t="s">
        <v>400</v>
      </c>
      <c r="F488" s="9">
        <v>1190</v>
      </c>
    </row>
    <row r="489" spans="1:6" x14ac:dyDescent="0.25">
      <c r="A489" s="8">
        <v>45813</v>
      </c>
      <c r="B489" s="9" t="s">
        <v>433</v>
      </c>
      <c r="C489" s="9">
        <v>150000</v>
      </c>
      <c r="D489" s="9">
        <f t="shared" si="20"/>
        <v>126.05042016806723</v>
      </c>
      <c r="E489" s="9" t="s">
        <v>400</v>
      </c>
      <c r="F489" s="9">
        <v>1190</v>
      </c>
    </row>
    <row r="490" spans="1:6" x14ac:dyDescent="0.25">
      <c r="A490" s="8">
        <v>45818</v>
      </c>
      <c r="B490" s="9" t="s">
        <v>510</v>
      </c>
      <c r="C490" s="9">
        <v>60000</v>
      </c>
      <c r="D490" s="9">
        <f t="shared" si="20"/>
        <v>50.420168067226889</v>
      </c>
      <c r="E490" s="9" t="s">
        <v>400</v>
      </c>
      <c r="F490" s="9">
        <v>1190</v>
      </c>
    </row>
    <row r="491" spans="1:6" x14ac:dyDescent="0.25">
      <c r="A491" s="8">
        <v>45822</v>
      </c>
      <c r="B491" s="9" t="s">
        <v>433</v>
      </c>
      <c r="C491" s="9">
        <v>500000</v>
      </c>
      <c r="D491" s="9">
        <f t="shared" si="20"/>
        <v>420.16806722689074</v>
      </c>
      <c r="E491" s="9" t="s">
        <v>400</v>
      </c>
      <c r="F491" s="9">
        <v>1190</v>
      </c>
    </row>
    <row r="492" spans="1:6" x14ac:dyDescent="0.25">
      <c r="A492" s="8">
        <v>45822</v>
      </c>
      <c r="B492" s="9" t="s">
        <v>523</v>
      </c>
      <c r="C492" s="9">
        <v>1500000</v>
      </c>
      <c r="D492" s="9">
        <f t="shared" si="20"/>
        <v>1260.5042016806722</v>
      </c>
      <c r="E492" s="9" t="s">
        <v>400</v>
      </c>
      <c r="F492" s="9">
        <v>1190</v>
      </c>
    </row>
    <row r="493" spans="1:6" x14ac:dyDescent="0.25">
      <c r="A493" s="8">
        <v>45822</v>
      </c>
      <c r="B493" s="42" t="s">
        <v>524</v>
      </c>
      <c r="C493" s="42">
        <v>150000</v>
      </c>
      <c r="D493" s="42">
        <f t="shared" si="20"/>
        <v>128.2051282051282</v>
      </c>
      <c r="E493" s="9" t="s">
        <v>400</v>
      </c>
      <c r="F493" s="42">
        <v>1170</v>
      </c>
    </row>
    <row r="494" spans="1:6" x14ac:dyDescent="0.25">
      <c r="A494" s="8">
        <v>45824</v>
      </c>
      <c r="B494" s="9" t="s">
        <v>433</v>
      </c>
      <c r="C494" s="42">
        <v>350000</v>
      </c>
      <c r="D494" s="42">
        <f t="shared" si="20"/>
        <v>299.14529914529913</v>
      </c>
      <c r="E494" s="9" t="s">
        <v>400</v>
      </c>
      <c r="F494" s="42">
        <v>1170</v>
      </c>
    </row>
    <row r="495" spans="1:6" x14ac:dyDescent="0.25">
      <c r="A495" s="8">
        <v>45833</v>
      </c>
      <c r="B495" s="9" t="s">
        <v>525</v>
      </c>
      <c r="C495" s="42">
        <v>35000</v>
      </c>
      <c r="D495" s="42">
        <f t="shared" ref="D495" si="21" xml:space="preserve"> C495/F495</f>
        <v>29.914529914529915</v>
      </c>
      <c r="E495" s="9" t="s">
        <v>400</v>
      </c>
      <c r="F495" s="42">
        <v>1170</v>
      </c>
    </row>
    <row r="496" spans="1:6" x14ac:dyDescent="0.25">
      <c r="A496" s="8">
        <v>45833</v>
      </c>
      <c r="B496" s="9" t="s">
        <v>526</v>
      </c>
      <c r="C496" s="42">
        <v>200000</v>
      </c>
      <c r="D496" s="42">
        <f t="shared" ref="D496" si="22" xml:space="preserve"> C496/F496</f>
        <v>170.94017094017093</v>
      </c>
      <c r="E496" s="9" t="s">
        <v>400</v>
      </c>
      <c r="F496" s="42">
        <v>1170</v>
      </c>
    </row>
    <row r="497" spans="1:6" x14ac:dyDescent="0.25">
      <c r="A497" s="10">
        <v>45833</v>
      </c>
      <c r="B497" s="11" t="s">
        <v>527</v>
      </c>
      <c r="C497" s="42">
        <v>325296</v>
      </c>
      <c r="D497" s="42">
        <f t="shared" ref="D497:D503" si="23" xml:space="preserve"> C497/F497</f>
        <v>278.03076923076924</v>
      </c>
      <c r="E497" s="11" t="s">
        <v>400</v>
      </c>
      <c r="F497" s="42">
        <v>1170</v>
      </c>
    </row>
    <row r="498" spans="1:6" x14ac:dyDescent="0.25">
      <c r="A498" s="8">
        <v>45835</v>
      </c>
      <c r="B498" s="9" t="s">
        <v>433</v>
      </c>
      <c r="C498" s="9">
        <v>350000</v>
      </c>
      <c r="D498" s="9">
        <f t="shared" si="23"/>
        <v>294.11764705882354</v>
      </c>
      <c r="E498" s="9" t="s">
        <v>400</v>
      </c>
      <c r="F498" s="9">
        <v>1190</v>
      </c>
    </row>
    <row r="499" spans="1:6" x14ac:dyDescent="0.25">
      <c r="A499" s="8">
        <v>45839</v>
      </c>
      <c r="B499" s="9" t="s">
        <v>528</v>
      </c>
      <c r="C499" s="9">
        <v>97000</v>
      </c>
      <c r="D499" s="9">
        <f t="shared" si="23"/>
        <v>81.512605042016801</v>
      </c>
      <c r="E499" s="9" t="s">
        <v>400</v>
      </c>
      <c r="F499" s="9">
        <v>1190</v>
      </c>
    </row>
    <row r="500" spans="1:6" x14ac:dyDescent="0.25">
      <c r="A500" s="8">
        <v>45839</v>
      </c>
      <c r="B500" s="9" t="s">
        <v>529</v>
      </c>
      <c r="C500" s="9">
        <v>140000</v>
      </c>
      <c r="D500" s="9">
        <f t="shared" si="23"/>
        <v>117.64705882352941</v>
      </c>
      <c r="E500" s="9" t="s">
        <v>400</v>
      </c>
      <c r="F500" s="9">
        <v>1190</v>
      </c>
    </row>
    <row r="501" spans="1:6" x14ac:dyDescent="0.25">
      <c r="A501" s="8">
        <v>45842</v>
      </c>
      <c r="B501" s="9" t="s">
        <v>530</v>
      </c>
      <c r="C501" s="9">
        <v>180000</v>
      </c>
      <c r="D501" s="9">
        <f t="shared" si="23"/>
        <v>151.26050420168067</v>
      </c>
      <c r="E501" s="9" t="s">
        <v>400</v>
      </c>
      <c r="F501" s="9">
        <v>1190</v>
      </c>
    </row>
    <row r="502" spans="1:6" x14ac:dyDescent="0.25">
      <c r="A502" s="8">
        <v>45842</v>
      </c>
      <c r="B502" s="9" t="s">
        <v>531</v>
      </c>
      <c r="C502" s="9">
        <v>60000</v>
      </c>
      <c r="D502" s="9">
        <f t="shared" si="23"/>
        <v>50.420168067226889</v>
      </c>
      <c r="E502" s="9" t="s">
        <v>400</v>
      </c>
      <c r="F502" s="9">
        <v>1190</v>
      </c>
    </row>
    <row r="503" spans="1:6" x14ac:dyDescent="0.25">
      <c r="A503" s="10">
        <v>45845</v>
      </c>
      <c r="B503" s="42" t="s">
        <v>532</v>
      </c>
      <c r="C503" s="42">
        <v>3281000</v>
      </c>
      <c r="D503" s="11">
        <f t="shared" si="23"/>
        <v>2757.1428571428573</v>
      </c>
      <c r="E503" s="11" t="s">
        <v>400</v>
      </c>
      <c r="F503" s="11">
        <v>1190</v>
      </c>
    </row>
    <row r="504" spans="1:6" x14ac:dyDescent="0.25">
      <c r="A504" s="8">
        <v>45847</v>
      </c>
      <c r="B504" s="9" t="s">
        <v>533</v>
      </c>
      <c r="C504" s="9">
        <v>350000</v>
      </c>
      <c r="D504" s="9">
        <f t="shared" ref="D504:D510" si="24" xml:space="preserve"> C504/F504</f>
        <v>284.55284552845529</v>
      </c>
      <c r="E504" s="9" t="s">
        <v>400</v>
      </c>
      <c r="F504" s="9">
        <v>1230</v>
      </c>
    </row>
    <row r="505" spans="1:6" x14ac:dyDescent="0.25">
      <c r="A505" s="8">
        <v>45848</v>
      </c>
      <c r="B505" s="9" t="s">
        <v>433</v>
      </c>
      <c r="C505" s="9">
        <v>500000</v>
      </c>
      <c r="D505" s="9">
        <f t="shared" si="24"/>
        <v>406.5040650406504</v>
      </c>
      <c r="E505" s="9" t="s">
        <v>400</v>
      </c>
      <c r="F505" s="9">
        <v>1230</v>
      </c>
    </row>
    <row r="506" spans="1:6" x14ac:dyDescent="0.25">
      <c r="A506" s="8">
        <v>45848</v>
      </c>
      <c r="B506" s="9" t="s">
        <v>533</v>
      </c>
      <c r="C506" s="9">
        <v>267000</v>
      </c>
      <c r="D506" s="9">
        <f t="shared" si="24"/>
        <v>213.6</v>
      </c>
      <c r="E506" s="9" t="s">
        <v>400</v>
      </c>
      <c r="F506" s="9">
        <v>1250</v>
      </c>
    </row>
    <row r="507" spans="1:6" x14ac:dyDescent="0.25">
      <c r="A507" s="8">
        <v>45848</v>
      </c>
      <c r="B507" s="9" t="s">
        <v>535</v>
      </c>
      <c r="C507" s="9">
        <v>32731</v>
      </c>
      <c r="D507" s="9">
        <f t="shared" si="24"/>
        <v>27.505042016806723</v>
      </c>
      <c r="E507" s="9" t="s">
        <v>10</v>
      </c>
      <c r="F507" s="9">
        <v>1190</v>
      </c>
    </row>
    <row r="508" spans="1:6" x14ac:dyDescent="0.25">
      <c r="A508" s="8">
        <v>45848</v>
      </c>
      <c r="B508" s="9" t="s">
        <v>534</v>
      </c>
      <c r="C508" s="9">
        <v>29330</v>
      </c>
      <c r="D508" s="9">
        <f t="shared" si="24"/>
        <v>24.647058823529413</v>
      </c>
      <c r="E508" s="9" t="s">
        <v>10</v>
      </c>
      <c r="F508" s="9">
        <v>1190</v>
      </c>
    </row>
    <row r="509" spans="1:6" x14ac:dyDescent="0.25">
      <c r="A509" s="8">
        <v>45849</v>
      </c>
      <c r="B509" s="9" t="s">
        <v>433</v>
      </c>
      <c r="C509" s="9">
        <v>200000</v>
      </c>
      <c r="D509" s="9">
        <f t="shared" si="24"/>
        <v>160</v>
      </c>
      <c r="E509" s="9" t="s">
        <v>400</v>
      </c>
      <c r="F509" s="9">
        <v>1250</v>
      </c>
    </row>
    <row r="510" spans="1:6" x14ac:dyDescent="0.25">
      <c r="A510" s="8">
        <v>45857</v>
      </c>
      <c r="B510" s="9" t="s">
        <v>433</v>
      </c>
      <c r="C510" s="9">
        <v>1600000</v>
      </c>
      <c r="D510" s="9">
        <f t="shared" si="24"/>
        <v>1280</v>
      </c>
      <c r="E510" s="9" t="s">
        <v>400</v>
      </c>
      <c r="F510" s="9">
        <v>1250</v>
      </c>
    </row>
    <row r="511" spans="1:6" x14ac:dyDescent="0.25">
      <c r="A511" s="8">
        <v>45857</v>
      </c>
      <c r="B511" s="9" t="s">
        <v>537</v>
      </c>
      <c r="C511" s="9"/>
      <c r="D511" s="9">
        <v>7600</v>
      </c>
      <c r="E511" s="9" t="s">
        <v>10</v>
      </c>
      <c r="F511" s="9">
        <v>1250</v>
      </c>
    </row>
    <row r="512" spans="1:6" x14ac:dyDescent="0.25">
      <c r="A512" s="8">
        <v>45857</v>
      </c>
      <c r="B512" s="9" t="s">
        <v>538</v>
      </c>
      <c r="C512" s="9">
        <v>1295000</v>
      </c>
      <c r="D512" s="9">
        <f>C512/F512</f>
        <v>1036</v>
      </c>
      <c r="E512" s="9" t="s">
        <v>10</v>
      </c>
      <c r="F512" s="9">
        <v>1250</v>
      </c>
    </row>
    <row r="513" spans="1:6" x14ac:dyDescent="0.25">
      <c r="A513" s="8">
        <v>45862</v>
      </c>
      <c r="B513" s="9" t="s">
        <v>433</v>
      </c>
      <c r="C513" s="9">
        <v>400000</v>
      </c>
      <c r="D513" s="9">
        <f>C513/F513</f>
        <v>307.69230769230768</v>
      </c>
      <c r="E513" s="9" t="s">
        <v>400</v>
      </c>
      <c r="F513" s="9">
        <v>1300</v>
      </c>
    </row>
    <row r="514" spans="1:6" x14ac:dyDescent="0.25">
      <c r="A514" s="8">
        <v>45862</v>
      </c>
      <c r="B514" s="9" t="s">
        <v>525</v>
      </c>
      <c r="C514" s="9">
        <v>45000</v>
      </c>
      <c r="D514" s="9">
        <f>C514/F514</f>
        <v>34.615384615384613</v>
      </c>
      <c r="E514" s="9" t="s">
        <v>400</v>
      </c>
      <c r="F514" s="9">
        <v>1300</v>
      </c>
    </row>
    <row r="515" spans="1:6" x14ac:dyDescent="0.25">
      <c r="A515" s="8">
        <v>45868</v>
      </c>
      <c r="B515" s="9" t="s">
        <v>539</v>
      </c>
      <c r="C515" s="9">
        <v>80000</v>
      </c>
      <c r="D515" s="9">
        <f t="shared" ref="D515:D555" si="25">C515/F515</f>
        <v>60.606060606060609</v>
      </c>
      <c r="E515" s="9" t="s">
        <v>400</v>
      </c>
      <c r="F515" s="9">
        <v>1320</v>
      </c>
    </row>
    <row r="516" spans="1:6" x14ac:dyDescent="0.25">
      <c r="A516" s="8">
        <v>45868</v>
      </c>
      <c r="B516" s="9" t="s">
        <v>492</v>
      </c>
      <c r="C516" s="9">
        <v>1000000</v>
      </c>
      <c r="D516" s="9">
        <f t="shared" si="25"/>
        <v>757.57575757575762</v>
      </c>
      <c r="E516" s="9" t="s">
        <v>400</v>
      </c>
      <c r="F516" s="9">
        <v>1320</v>
      </c>
    </row>
    <row r="517" spans="1:6" x14ac:dyDescent="0.25">
      <c r="A517" s="8">
        <v>45868</v>
      </c>
      <c r="B517" s="9" t="s">
        <v>540</v>
      </c>
      <c r="C517" s="9">
        <v>136000</v>
      </c>
      <c r="D517" s="9">
        <f t="shared" si="25"/>
        <v>103.03030303030303</v>
      </c>
      <c r="E517" s="9" t="s">
        <v>400</v>
      </c>
      <c r="F517" s="9">
        <v>1320</v>
      </c>
    </row>
    <row r="518" spans="1:6" x14ac:dyDescent="0.25">
      <c r="A518" s="8">
        <v>45869</v>
      </c>
      <c r="B518" s="9" t="s">
        <v>541</v>
      </c>
      <c r="C518" s="9">
        <v>85000</v>
      </c>
      <c r="D518" s="9">
        <f t="shared" si="25"/>
        <v>62.962962962962962</v>
      </c>
      <c r="E518" s="9" t="s">
        <v>400</v>
      </c>
      <c r="F518" s="9">
        <v>1350</v>
      </c>
    </row>
    <row r="519" spans="1:6" x14ac:dyDescent="0.25">
      <c r="A519" s="8">
        <v>45869</v>
      </c>
      <c r="B519" s="9" t="s">
        <v>542</v>
      </c>
      <c r="C519" s="9">
        <v>1500000</v>
      </c>
      <c r="D519" s="9">
        <f t="shared" si="25"/>
        <v>1111.1111111111111</v>
      </c>
      <c r="E519" s="9" t="s">
        <v>400</v>
      </c>
      <c r="F519" s="9">
        <v>1350</v>
      </c>
    </row>
    <row r="520" spans="1:6" x14ac:dyDescent="0.25">
      <c r="A520" s="8">
        <v>45871</v>
      </c>
      <c r="B520" s="9" t="s">
        <v>433</v>
      </c>
      <c r="C520" s="9">
        <v>1700000</v>
      </c>
      <c r="D520" s="9">
        <f t="shared" si="25"/>
        <v>1283.0188679245282</v>
      </c>
      <c r="E520" s="9" t="s">
        <v>400</v>
      </c>
      <c r="F520" s="9">
        <v>1325</v>
      </c>
    </row>
    <row r="521" spans="1:6" x14ac:dyDescent="0.25">
      <c r="A521" s="8">
        <v>45871</v>
      </c>
      <c r="B521" s="9" t="s">
        <v>543</v>
      </c>
      <c r="C521" s="9">
        <v>450000</v>
      </c>
      <c r="D521" s="9">
        <f t="shared" si="25"/>
        <v>339.62264150943395</v>
      </c>
      <c r="E521" s="9" t="s">
        <v>400</v>
      </c>
      <c r="F521" s="9">
        <v>1325</v>
      </c>
    </row>
    <row r="522" spans="1:6" x14ac:dyDescent="0.25">
      <c r="A522" s="8">
        <v>45873</v>
      </c>
      <c r="B522" s="9" t="s">
        <v>544</v>
      </c>
      <c r="C522" s="9">
        <v>65000</v>
      </c>
      <c r="D522" s="9">
        <f t="shared" si="25"/>
        <v>49.056603773584904</v>
      </c>
      <c r="E522" s="9" t="s">
        <v>400</v>
      </c>
      <c r="F522" s="9">
        <v>1325</v>
      </c>
    </row>
    <row r="523" spans="1:6" x14ac:dyDescent="0.25">
      <c r="A523" s="8">
        <v>45876</v>
      </c>
      <c r="B523" s="9" t="s">
        <v>545</v>
      </c>
      <c r="C523" s="9">
        <v>60000</v>
      </c>
      <c r="D523" s="9">
        <f t="shared" si="25"/>
        <v>45.283018867924525</v>
      </c>
      <c r="E523" s="9" t="s">
        <v>400</v>
      </c>
      <c r="F523" s="9">
        <v>1325</v>
      </c>
    </row>
    <row r="524" spans="1:6" x14ac:dyDescent="0.25">
      <c r="A524" s="8">
        <v>45876</v>
      </c>
      <c r="B524" s="9" t="s">
        <v>546</v>
      </c>
      <c r="C524" s="9">
        <v>60000</v>
      </c>
      <c r="D524" s="9">
        <f t="shared" si="25"/>
        <v>45.283018867924525</v>
      </c>
      <c r="E524" s="9" t="s">
        <v>400</v>
      </c>
      <c r="F524" s="9">
        <v>1325</v>
      </c>
    </row>
    <row r="525" spans="1:6" x14ac:dyDescent="0.25">
      <c r="A525" s="8">
        <v>45877</v>
      </c>
      <c r="B525" s="9" t="s">
        <v>433</v>
      </c>
      <c r="C525" s="9">
        <v>600000</v>
      </c>
      <c r="D525" s="9">
        <f t="shared" si="25"/>
        <v>452.83018867924528</v>
      </c>
      <c r="E525" s="9" t="s">
        <v>400</v>
      </c>
      <c r="F525" s="9">
        <v>1325</v>
      </c>
    </row>
    <row r="526" spans="1:6" x14ac:dyDescent="0.25">
      <c r="A526" s="8">
        <v>45883</v>
      </c>
      <c r="B526" s="9" t="s">
        <v>547</v>
      </c>
      <c r="C526" s="9">
        <v>493000</v>
      </c>
      <c r="D526" s="9">
        <f t="shared" si="25"/>
        <v>372.07547169811323</v>
      </c>
      <c r="E526" s="9" t="s">
        <v>10</v>
      </c>
      <c r="F526" s="9">
        <v>1325</v>
      </c>
    </row>
    <row r="527" spans="1:6" x14ac:dyDescent="0.25">
      <c r="A527" s="8">
        <v>45883</v>
      </c>
      <c r="B527" s="9" t="s">
        <v>93</v>
      </c>
      <c r="C527" s="9">
        <v>260000</v>
      </c>
      <c r="D527" s="9">
        <f t="shared" si="25"/>
        <v>196.22641509433961</v>
      </c>
      <c r="E527" s="9" t="s">
        <v>10</v>
      </c>
      <c r="F527" s="9">
        <v>1325</v>
      </c>
    </row>
    <row r="528" spans="1:6" x14ac:dyDescent="0.25">
      <c r="A528" s="8">
        <v>45884</v>
      </c>
      <c r="B528" s="9" t="s">
        <v>548</v>
      </c>
      <c r="C528" s="9">
        <v>1500000</v>
      </c>
      <c r="D528" s="9">
        <f t="shared" si="25"/>
        <v>1153.8461538461538</v>
      </c>
      <c r="E528" s="9" t="s">
        <v>10</v>
      </c>
      <c r="F528" s="9">
        <v>1300</v>
      </c>
    </row>
    <row r="529" spans="1:6" x14ac:dyDescent="0.25">
      <c r="A529" s="8">
        <v>45885</v>
      </c>
      <c r="B529" s="9" t="s">
        <v>521</v>
      </c>
      <c r="C529" s="9">
        <v>334000</v>
      </c>
      <c r="D529" s="9">
        <f t="shared" si="25"/>
        <v>256.92307692307691</v>
      </c>
      <c r="E529" s="9" t="s">
        <v>5</v>
      </c>
      <c r="F529" s="9">
        <v>1300</v>
      </c>
    </row>
    <row r="530" spans="1:6" x14ac:dyDescent="0.25">
      <c r="A530" s="8">
        <v>45885</v>
      </c>
      <c r="B530" s="9" t="s">
        <v>549</v>
      </c>
      <c r="C530" s="9">
        <v>19000</v>
      </c>
      <c r="D530" s="9">
        <f t="shared" si="25"/>
        <v>14.615384615384615</v>
      </c>
      <c r="E530" s="9" t="s">
        <v>10</v>
      </c>
      <c r="F530" s="9">
        <v>1300</v>
      </c>
    </row>
    <row r="531" spans="1:6" x14ac:dyDescent="0.25">
      <c r="A531" s="8">
        <v>45885</v>
      </c>
      <c r="B531" s="9" t="s">
        <v>433</v>
      </c>
      <c r="C531" s="9">
        <v>400000</v>
      </c>
      <c r="D531" s="9">
        <f t="shared" si="25"/>
        <v>307.69230769230768</v>
      </c>
      <c r="E531" s="9" t="s">
        <v>10</v>
      </c>
      <c r="F531" s="9">
        <v>1300</v>
      </c>
    </row>
    <row r="532" spans="1:6" x14ac:dyDescent="0.25">
      <c r="A532" s="8">
        <v>45885</v>
      </c>
      <c r="B532" s="9" t="s">
        <v>550</v>
      </c>
      <c r="C532" s="9">
        <v>2400000</v>
      </c>
      <c r="D532" s="9">
        <f t="shared" si="25"/>
        <v>1846.1538461538462</v>
      </c>
      <c r="E532" s="9" t="s">
        <v>10</v>
      </c>
      <c r="F532" s="9">
        <v>1300</v>
      </c>
    </row>
    <row r="533" spans="1:6" x14ac:dyDescent="0.25">
      <c r="A533" s="8">
        <v>45888</v>
      </c>
      <c r="B533" s="9" t="s">
        <v>551</v>
      </c>
      <c r="C533" s="9">
        <v>24000</v>
      </c>
      <c r="D533" s="9">
        <f t="shared" si="25"/>
        <v>18.46153846153846</v>
      </c>
      <c r="E533" s="9" t="s">
        <v>5</v>
      </c>
      <c r="F533" s="9">
        <v>1300</v>
      </c>
    </row>
    <row r="534" spans="1:6" x14ac:dyDescent="0.25">
      <c r="A534" s="8">
        <v>45888</v>
      </c>
      <c r="B534" s="9" t="s">
        <v>552</v>
      </c>
      <c r="C534" s="9">
        <v>48000</v>
      </c>
      <c r="D534" s="9">
        <f t="shared" si="25"/>
        <v>36.92307692307692</v>
      </c>
      <c r="E534" s="9" t="s">
        <v>5</v>
      </c>
      <c r="F534" s="9">
        <v>1300</v>
      </c>
    </row>
    <row r="535" spans="1:6" x14ac:dyDescent="0.25">
      <c r="A535" s="8">
        <v>45890</v>
      </c>
      <c r="B535" s="9" t="s">
        <v>433</v>
      </c>
      <c r="C535" s="9">
        <v>400000</v>
      </c>
      <c r="D535" s="9">
        <f t="shared" si="25"/>
        <v>307.69230769230768</v>
      </c>
      <c r="E535" s="9" t="s">
        <v>10</v>
      </c>
      <c r="F535" s="9">
        <v>1300</v>
      </c>
    </row>
    <row r="536" spans="1:6" x14ac:dyDescent="0.25">
      <c r="A536" s="8">
        <v>45892</v>
      </c>
      <c r="B536" s="9" t="s">
        <v>433</v>
      </c>
      <c r="C536" s="9">
        <v>425000</v>
      </c>
      <c r="D536" s="9">
        <f t="shared" si="25"/>
        <v>326.92307692307691</v>
      </c>
      <c r="E536" s="9" t="s">
        <v>5</v>
      </c>
      <c r="F536" s="9">
        <v>1300</v>
      </c>
    </row>
    <row r="537" spans="1:6" x14ac:dyDescent="0.25">
      <c r="A537" s="8">
        <v>45892</v>
      </c>
      <c r="B537" s="9" t="s">
        <v>553</v>
      </c>
      <c r="C537" s="9">
        <v>250000</v>
      </c>
      <c r="D537" s="9">
        <f t="shared" si="25"/>
        <v>192.30769230769232</v>
      </c>
      <c r="E537" s="9" t="s">
        <v>5</v>
      </c>
      <c r="F537" s="9">
        <v>1300</v>
      </c>
    </row>
    <row r="538" spans="1:6" x14ac:dyDescent="0.25">
      <c r="A538" s="8">
        <v>45896</v>
      </c>
      <c r="B538" s="9" t="s">
        <v>433</v>
      </c>
      <c r="C538" s="9">
        <v>300000</v>
      </c>
      <c r="D538" s="9">
        <f t="shared" si="25"/>
        <v>230.76923076923077</v>
      </c>
      <c r="E538" s="9" t="s">
        <v>10</v>
      </c>
      <c r="F538" s="9">
        <v>1300</v>
      </c>
    </row>
    <row r="539" spans="1:6" x14ac:dyDescent="0.25">
      <c r="A539" s="8">
        <v>45896</v>
      </c>
      <c r="B539" s="9" t="s">
        <v>554</v>
      </c>
      <c r="C539" s="9">
        <v>1048043</v>
      </c>
      <c r="D539" s="9">
        <f t="shared" si="25"/>
        <v>806.18692307692311</v>
      </c>
      <c r="E539" s="9" t="s">
        <v>10</v>
      </c>
      <c r="F539" s="9">
        <v>1300</v>
      </c>
    </row>
    <row r="540" spans="1:6" x14ac:dyDescent="0.25">
      <c r="A540" s="8">
        <v>45898</v>
      </c>
      <c r="B540" s="9" t="s">
        <v>555</v>
      </c>
      <c r="C540" s="9">
        <v>101000</v>
      </c>
      <c r="D540" s="9">
        <f t="shared" si="25"/>
        <v>77.692307692307693</v>
      </c>
      <c r="E540" s="9" t="s">
        <v>10</v>
      </c>
      <c r="F540" s="9">
        <v>1300</v>
      </c>
    </row>
    <row r="541" spans="1:6" x14ac:dyDescent="0.25">
      <c r="A541" s="8">
        <v>45898</v>
      </c>
      <c r="B541" s="9" t="s">
        <v>433</v>
      </c>
      <c r="C541" s="9">
        <v>350000</v>
      </c>
      <c r="D541" s="9">
        <f t="shared" si="25"/>
        <v>269.23076923076923</v>
      </c>
      <c r="E541" s="9" t="s">
        <v>5</v>
      </c>
      <c r="F541" s="9">
        <v>1300</v>
      </c>
    </row>
    <row r="542" spans="1:6" x14ac:dyDescent="0.25">
      <c r="A542" s="8">
        <v>45898</v>
      </c>
      <c r="B542" s="9" t="s">
        <v>556</v>
      </c>
      <c r="C542" s="9">
        <v>185000</v>
      </c>
      <c r="D542" s="9">
        <f t="shared" si="25"/>
        <v>142.30769230769232</v>
      </c>
      <c r="E542" s="9" t="s">
        <v>5</v>
      </c>
      <c r="F542" s="9">
        <v>1300</v>
      </c>
    </row>
    <row r="543" spans="1:6" x14ac:dyDescent="0.25">
      <c r="A543" s="8">
        <v>45899</v>
      </c>
      <c r="B543" s="9" t="s">
        <v>557</v>
      </c>
      <c r="C543" s="9">
        <v>1570000</v>
      </c>
      <c r="D543" s="9">
        <f t="shared" si="25"/>
        <v>1207.6923076923076</v>
      </c>
      <c r="E543" s="9" t="s">
        <v>10</v>
      </c>
      <c r="F543" s="9">
        <v>1300</v>
      </c>
    </row>
    <row r="544" spans="1:6" x14ac:dyDescent="0.25">
      <c r="A544" s="8">
        <v>45899</v>
      </c>
      <c r="B544" s="9" t="s">
        <v>558</v>
      </c>
      <c r="C544" s="9">
        <v>159000</v>
      </c>
      <c r="D544" s="9">
        <f t="shared" si="25"/>
        <v>122.30769230769231</v>
      </c>
      <c r="E544" s="9" t="s">
        <v>5</v>
      </c>
      <c r="F544" s="9">
        <v>1300</v>
      </c>
    </row>
    <row r="545" spans="1:6" x14ac:dyDescent="0.25">
      <c r="A545" s="8">
        <v>45903</v>
      </c>
      <c r="B545" s="9" t="s">
        <v>559</v>
      </c>
      <c r="C545" s="9">
        <v>100000</v>
      </c>
      <c r="D545" s="9">
        <f t="shared" si="25"/>
        <v>76.92307692307692</v>
      </c>
      <c r="E545" s="9" t="s">
        <v>5</v>
      </c>
      <c r="F545" s="9">
        <v>1300</v>
      </c>
    </row>
    <row r="546" spans="1:6" x14ac:dyDescent="0.25">
      <c r="A546" s="8">
        <v>45903</v>
      </c>
      <c r="B546" s="9" t="s">
        <v>561</v>
      </c>
      <c r="C546" s="9">
        <v>270000</v>
      </c>
      <c r="D546" s="9">
        <f t="shared" si="25"/>
        <v>207.69230769230768</v>
      </c>
      <c r="E546" s="9" t="s">
        <v>5</v>
      </c>
      <c r="F546" s="9">
        <v>1300</v>
      </c>
    </row>
    <row r="547" spans="1:6" x14ac:dyDescent="0.25">
      <c r="A547" s="8">
        <v>45912</v>
      </c>
      <c r="B547" s="9" t="s">
        <v>433</v>
      </c>
      <c r="C547" s="9">
        <v>1300000</v>
      </c>
      <c r="D547" s="9">
        <f t="shared" ref="D547" si="26">C547/F547</f>
        <v>1000</v>
      </c>
      <c r="E547" s="9" t="s">
        <v>10</v>
      </c>
      <c r="F547" s="9">
        <v>1300</v>
      </c>
    </row>
    <row r="548" spans="1:6" x14ac:dyDescent="0.25">
      <c r="A548" s="8">
        <v>45910</v>
      </c>
      <c r="B548" s="9" t="s">
        <v>577</v>
      </c>
      <c r="C548" s="9">
        <v>30000</v>
      </c>
      <c r="D548" s="9">
        <f t="shared" si="25"/>
        <v>23.076923076923077</v>
      </c>
      <c r="E548" s="9" t="s">
        <v>5</v>
      </c>
      <c r="F548" s="9">
        <v>1300</v>
      </c>
    </row>
    <row r="549" spans="1:6" x14ac:dyDescent="0.25">
      <c r="A549" s="8">
        <v>45910</v>
      </c>
      <c r="B549" s="9" t="s">
        <v>544</v>
      </c>
      <c r="C549" s="9">
        <v>50000</v>
      </c>
      <c r="D549" s="9">
        <f t="shared" si="25"/>
        <v>38.46153846153846</v>
      </c>
      <c r="E549" s="9" t="s">
        <v>5</v>
      </c>
      <c r="F549" s="9">
        <v>1300</v>
      </c>
    </row>
    <row r="550" spans="1:6" x14ac:dyDescent="0.25">
      <c r="A550" s="8">
        <v>45912</v>
      </c>
      <c r="B550" s="9" t="s">
        <v>578</v>
      </c>
      <c r="C550" s="9">
        <v>670000</v>
      </c>
      <c r="D550" s="9">
        <f t="shared" si="25"/>
        <v>515.38461538461536</v>
      </c>
      <c r="E550" s="9" t="s">
        <v>10</v>
      </c>
      <c r="F550" s="9">
        <v>1300</v>
      </c>
    </row>
    <row r="551" spans="1:6" x14ac:dyDescent="0.25">
      <c r="A551" s="8">
        <v>45912</v>
      </c>
      <c r="B551" s="9" t="s">
        <v>433</v>
      </c>
      <c r="C551" s="9">
        <v>450000</v>
      </c>
      <c r="D551" s="9">
        <f t="shared" si="25"/>
        <v>346.15384615384613</v>
      </c>
      <c r="E551" s="9" t="s">
        <v>10</v>
      </c>
      <c r="F551" s="9">
        <v>1300</v>
      </c>
    </row>
    <row r="552" spans="1:6" x14ac:dyDescent="0.25">
      <c r="A552" s="8">
        <v>45912</v>
      </c>
      <c r="B552" s="9" t="s">
        <v>579</v>
      </c>
      <c r="C552" s="9">
        <v>46136</v>
      </c>
      <c r="D552" s="9">
        <f t="shared" si="25"/>
        <v>35.489230769230772</v>
      </c>
      <c r="E552" s="9" t="s">
        <v>10</v>
      </c>
      <c r="F552" s="9">
        <v>1300</v>
      </c>
    </row>
    <row r="553" spans="1:6" x14ac:dyDescent="0.25">
      <c r="A553" s="8">
        <v>45912</v>
      </c>
      <c r="B553" s="9" t="s">
        <v>580</v>
      </c>
      <c r="C553" s="9">
        <v>45355</v>
      </c>
      <c r="D553" s="9">
        <f t="shared" si="25"/>
        <v>34.888461538461542</v>
      </c>
      <c r="E553" s="9" t="s">
        <v>10</v>
      </c>
      <c r="F553" s="9">
        <v>1300</v>
      </c>
    </row>
    <row r="554" spans="1:6" x14ac:dyDescent="0.25">
      <c r="A554" s="8">
        <v>45912</v>
      </c>
      <c r="B554" s="9" t="s">
        <v>403</v>
      </c>
      <c r="C554" s="9">
        <v>354000</v>
      </c>
      <c r="D554" s="9">
        <f t="shared" si="25"/>
        <v>272.30769230769232</v>
      </c>
      <c r="E554" s="9" t="s">
        <v>10</v>
      </c>
      <c r="F554" s="9">
        <v>1300</v>
      </c>
    </row>
    <row r="555" spans="1:6" x14ac:dyDescent="0.25">
      <c r="A555" s="8">
        <v>45912</v>
      </c>
      <c r="B555" s="9" t="s">
        <v>581</v>
      </c>
      <c r="C555" s="9">
        <v>270500</v>
      </c>
      <c r="D555" s="9">
        <f t="shared" si="25"/>
        <v>208.07692307692307</v>
      </c>
      <c r="E555" s="9" t="s">
        <v>10</v>
      </c>
      <c r="F555" s="9">
        <v>1300</v>
      </c>
    </row>
    <row r="556" spans="1:6" x14ac:dyDescent="0.25">
      <c r="A556" s="8">
        <v>45912</v>
      </c>
      <c r="B556" s="9" t="s">
        <v>582</v>
      </c>
      <c r="C556" s="9">
        <v>240000</v>
      </c>
      <c r="D556" s="9">
        <f t="shared" ref="D556:D577" si="27">C556/F556</f>
        <v>184.61538461538461</v>
      </c>
      <c r="E556" s="9" t="s">
        <v>10</v>
      </c>
      <c r="F556" s="9">
        <v>1300</v>
      </c>
    </row>
    <row r="557" spans="1:6" x14ac:dyDescent="0.25">
      <c r="A557" s="8">
        <v>45916</v>
      </c>
      <c r="B557" s="9" t="s">
        <v>218</v>
      </c>
      <c r="C557" s="9">
        <v>270000</v>
      </c>
      <c r="D557" s="9">
        <f t="shared" si="27"/>
        <v>207.69230769230768</v>
      </c>
      <c r="E557" s="9" t="s">
        <v>10</v>
      </c>
      <c r="F557" s="9">
        <v>1300</v>
      </c>
    </row>
    <row r="558" spans="1:6" x14ac:dyDescent="0.25">
      <c r="A558" s="8">
        <v>45916</v>
      </c>
      <c r="B558" s="9" t="s">
        <v>583</v>
      </c>
      <c r="C558" s="9">
        <v>90000</v>
      </c>
      <c r="D558" s="9">
        <f t="shared" si="27"/>
        <v>69.230769230769226</v>
      </c>
      <c r="E558" s="9" t="s">
        <v>5</v>
      </c>
      <c r="F558" s="9">
        <v>1300</v>
      </c>
    </row>
    <row r="559" spans="1:6" x14ac:dyDescent="0.25">
      <c r="A559" s="8">
        <v>45916</v>
      </c>
      <c r="B559" s="9" t="s">
        <v>584</v>
      </c>
      <c r="C559" s="9">
        <v>7394849</v>
      </c>
      <c r="D559" s="9">
        <f t="shared" si="27"/>
        <v>5064.9650684931503</v>
      </c>
      <c r="E559" s="9" t="s">
        <v>10</v>
      </c>
      <c r="F559" s="9">
        <v>1460</v>
      </c>
    </row>
    <row r="560" spans="1:6" x14ac:dyDescent="0.25">
      <c r="A560" s="8">
        <v>45919</v>
      </c>
      <c r="B560" s="9" t="s">
        <v>433</v>
      </c>
      <c r="C560" s="9">
        <v>500000</v>
      </c>
      <c r="D560" s="9">
        <f t="shared" si="27"/>
        <v>384.61538461538464</v>
      </c>
      <c r="E560" s="9" t="s">
        <v>10</v>
      </c>
      <c r="F560" s="9">
        <v>1300</v>
      </c>
    </row>
    <row r="561" spans="1:6" x14ac:dyDescent="0.25">
      <c r="A561" s="8">
        <v>45919</v>
      </c>
      <c r="B561" s="9" t="s">
        <v>585</v>
      </c>
      <c r="C561" s="9">
        <v>150000</v>
      </c>
      <c r="D561" s="9">
        <f t="shared" si="27"/>
        <v>115.38461538461539</v>
      </c>
      <c r="E561" s="9" t="s">
        <v>5</v>
      </c>
      <c r="F561" s="9">
        <v>1300</v>
      </c>
    </row>
    <row r="562" spans="1:6" x14ac:dyDescent="0.25">
      <c r="A562" s="8">
        <v>45919</v>
      </c>
      <c r="B562" s="9" t="s">
        <v>489</v>
      </c>
      <c r="C562" s="9">
        <v>270000</v>
      </c>
      <c r="D562" s="9">
        <f t="shared" si="27"/>
        <v>207.69230769230768</v>
      </c>
      <c r="E562" s="9" t="s">
        <v>10</v>
      </c>
      <c r="F562" s="9">
        <v>1300</v>
      </c>
    </row>
    <row r="563" spans="1:6" x14ac:dyDescent="0.25">
      <c r="A563" s="8">
        <v>45919</v>
      </c>
      <c r="B563" s="9" t="s">
        <v>544</v>
      </c>
      <c r="C563" s="9">
        <v>80000</v>
      </c>
      <c r="D563" s="9">
        <f t="shared" si="27"/>
        <v>61.53846153846154</v>
      </c>
      <c r="E563" s="9" t="s">
        <v>10</v>
      </c>
      <c r="F563" s="9">
        <v>1300</v>
      </c>
    </row>
    <row r="564" spans="1:6" x14ac:dyDescent="0.25">
      <c r="A564" s="8">
        <v>45919</v>
      </c>
      <c r="B564" s="9" t="s">
        <v>544</v>
      </c>
      <c r="C564" s="9">
        <v>120000</v>
      </c>
      <c r="D564" s="9">
        <f t="shared" si="27"/>
        <v>92.307692307692307</v>
      </c>
      <c r="E564" s="9" t="s">
        <v>5</v>
      </c>
      <c r="F564" s="9">
        <v>1300</v>
      </c>
    </row>
    <row r="565" spans="1:6" x14ac:dyDescent="0.25">
      <c r="A565" s="8">
        <v>45923</v>
      </c>
      <c r="B565" s="9" t="s">
        <v>433</v>
      </c>
      <c r="C565" s="9">
        <v>100000</v>
      </c>
      <c r="D565" s="9">
        <f t="shared" si="27"/>
        <v>76.92307692307692</v>
      </c>
      <c r="E565" s="9" t="s">
        <v>5</v>
      </c>
      <c r="F565" s="9">
        <v>1300</v>
      </c>
    </row>
    <row r="566" spans="1:6" x14ac:dyDescent="0.25">
      <c r="A566" s="8">
        <v>45926</v>
      </c>
      <c r="B566" s="9" t="s">
        <v>588</v>
      </c>
      <c r="C566" s="9">
        <v>170000</v>
      </c>
      <c r="D566" s="9">
        <f t="shared" si="27"/>
        <v>120.14134275618375</v>
      </c>
      <c r="E566" s="9" t="s">
        <v>5</v>
      </c>
      <c r="F566" s="9">
        <v>1415</v>
      </c>
    </row>
    <row r="567" spans="1:6" x14ac:dyDescent="0.25">
      <c r="A567" s="8">
        <v>45926</v>
      </c>
      <c r="B567" s="9" t="s">
        <v>433</v>
      </c>
      <c r="C567" s="9">
        <v>1000000</v>
      </c>
      <c r="D567" s="9">
        <f t="shared" si="27"/>
        <v>769.23076923076928</v>
      </c>
      <c r="E567" s="9" t="s">
        <v>10</v>
      </c>
      <c r="F567" s="9">
        <v>1300</v>
      </c>
    </row>
    <row r="568" spans="1:6" x14ac:dyDescent="0.25">
      <c r="A568" s="8">
        <v>45931</v>
      </c>
      <c r="B568" s="9" t="s">
        <v>93</v>
      </c>
      <c r="C568" s="9">
        <v>280000</v>
      </c>
      <c r="D568" s="9">
        <f t="shared" si="27"/>
        <v>200</v>
      </c>
      <c r="E568" s="9" t="s">
        <v>5</v>
      </c>
      <c r="F568" s="9">
        <v>1400</v>
      </c>
    </row>
    <row r="569" spans="1:6" x14ac:dyDescent="0.25">
      <c r="A569" s="8">
        <v>45931</v>
      </c>
      <c r="B569" s="9" t="s">
        <v>590</v>
      </c>
      <c r="C569" s="9">
        <v>60000</v>
      </c>
      <c r="D569" s="9">
        <f t="shared" si="27"/>
        <v>42.857142857142854</v>
      </c>
      <c r="E569" s="9" t="s">
        <v>5</v>
      </c>
      <c r="F569" s="9">
        <v>1400</v>
      </c>
    </row>
    <row r="570" spans="1:6" x14ac:dyDescent="0.25">
      <c r="A570" s="8">
        <v>45932</v>
      </c>
      <c r="B570" s="9" t="s">
        <v>590</v>
      </c>
      <c r="C570" s="9">
        <v>130000</v>
      </c>
      <c r="D570" s="9">
        <f t="shared" si="27"/>
        <v>92.857142857142861</v>
      </c>
      <c r="E570" s="9" t="s">
        <v>5</v>
      </c>
      <c r="F570" s="9">
        <v>1400</v>
      </c>
    </row>
    <row r="571" spans="1:6" x14ac:dyDescent="0.25">
      <c r="A571" s="8">
        <v>45932</v>
      </c>
      <c r="B571" s="9" t="s">
        <v>591</v>
      </c>
      <c r="C571" s="9">
        <v>150000</v>
      </c>
      <c r="D571" s="9">
        <f t="shared" si="27"/>
        <v>107.14285714285714</v>
      </c>
      <c r="E571" s="9" t="s">
        <v>5</v>
      </c>
      <c r="F571" s="9">
        <v>1400</v>
      </c>
    </row>
    <row r="572" spans="1:6" x14ac:dyDescent="0.25">
      <c r="A572" s="8">
        <v>45932</v>
      </c>
      <c r="B572" s="9" t="s">
        <v>592</v>
      </c>
      <c r="C572" s="9">
        <v>416000</v>
      </c>
      <c r="D572" s="9">
        <f t="shared" si="27"/>
        <v>297.14285714285717</v>
      </c>
      <c r="E572" s="9" t="s">
        <v>5</v>
      </c>
      <c r="F572" s="9">
        <v>1400</v>
      </c>
    </row>
    <row r="573" spans="1:6" x14ac:dyDescent="0.25">
      <c r="A573" s="8">
        <v>45934</v>
      </c>
      <c r="B573" s="9" t="s">
        <v>403</v>
      </c>
      <c r="C573" s="9">
        <v>153000</v>
      </c>
      <c r="D573" s="9">
        <f t="shared" si="27"/>
        <v>109.28571428571429</v>
      </c>
      <c r="E573" s="9" t="s">
        <v>10</v>
      </c>
      <c r="F573" s="9">
        <v>1400</v>
      </c>
    </row>
    <row r="574" spans="1:6" x14ac:dyDescent="0.25">
      <c r="A574" s="8">
        <v>45934</v>
      </c>
      <c r="B574" s="9" t="s">
        <v>602</v>
      </c>
      <c r="C574" s="9">
        <v>51000</v>
      </c>
      <c r="D574" s="9">
        <f t="shared" si="27"/>
        <v>36.428571428571431</v>
      </c>
      <c r="E574" s="9" t="s">
        <v>5</v>
      </c>
      <c r="F574" s="9">
        <v>1400</v>
      </c>
    </row>
    <row r="575" spans="1:6" x14ac:dyDescent="0.25">
      <c r="A575" s="8">
        <v>45934</v>
      </c>
      <c r="B575" s="9" t="s">
        <v>433</v>
      </c>
      <c r="C575" s="9">
        <v>2350000</v>
      </c>
      <c r="D575" s="9">
        <f t="shared" si="27"/>
        <v>1678.5714285714287</v>
      </c>
      <c r="E575" s="9" t="s">
        <v>10</v>
      </c>
      <c r="F575" s="9">
        <v>1400</v>
      </c>
    </row>
    <row r="576" spans="1:6" x14ac:dyDescent="0.25">
      <c r="A576" s="8">
        <v>45936</v>
      </c>
      <c r="B576" s="9" t="s">
        <v>605</v>
      </c>
      <c r="C576" s="9">
        <v>173000</v>
      </c>
      <c r="D576" s="9">
        <f t="shared" si="27"/>
        <v>123.57142857142857</v>
      </c>
      <c r="E576" s="9" t="s">
        <v>10</v>
      </c>
      <c r="F576" s="9">
        <v>1400</v>
      </c>
    </row>
    <row r="577" spans="1:6" x14ac:dyDescent="0.25">
      <c r="A577" s="8">
        <v>45936</v>
      </c>
      <c r="B577" s="9" t="s">
        <v>606</v>
      </c>
      <c r="C577" s="9">
        <v>20000</v>
      </c>
      <c r="D577" s="9">
        <f t="shared" si="27"/>
        <v>14.285714285714286</v>
      </c>
      <c r="E577" s="9" t="s">
        <v>5</v>
      </c>
      <c r="F577" s="9">
        <v>1400</v>
      </c>
    </row>
    <row r="578" spans="1:6" x14ac:dyDescent="0.25">
      <c r="A578" s="8">
        <v>45938</v>
      </c>
      <c r="B578" s="9" t="s">
        <v>607</v>
      </c>
      <c r="C578" s="9">
        <v>100000</v>
      </c>
      <c r="D578" s="9">
        <f t="shared" ref="D578:D592" si="28">C578/F578</f>
        <v>71.428571428571431</v>
      </c>
      <c r="E578" s="9" t="s">
        <v>5</v>
      </c>
      <c r="F578" s="9">
        <v>1400</v>
      </c>
    </row>
    <row r="579" spans="1:6" x14ac:dyDescent="0.25">
      <c r="A579" s="10">
        <v>45938</v>
      </c>
      <c r="B579" s="11" t="s">
        <v>608</v>
      </c>
      <c r="C579" s="42">
        <v>295000</v>
      </c>
      <c r="D579" s="11">
        <f t="shared" si="28"/>
        <v>210.71428571428572</v>
      </c>
      <c r="E579" s="11" t="s">
        <v>5</v>
      </c>
      <c r="F579" s="11">
        <v>1400</v>
      </c>
    </row>
    <row r="580" spans="1:6" x14ac:dyDescent="0.25">
      <c r="A580" s="8">
        <v>45942</v>
      </c>
      <c r="B580" s="9" t="s">
        <v>433</v>
      </c>
      <c r="C580" s="9">
        <v>1150000</v>
      </c>
      <c r="D580" s="9">
        <f t="shared" si="28"/>
        <v>821.42857142857144</v>
      </c>
      <c r="E580" s="9" t="s">
        <v>5</v>
      </c>
      <c r="F580" s="9">
        <v>1400</v>
      </c>
    </row>
    <row r="581" spans="1:6" x14ac:dyDescent="0.25">
      <c r="A581" s="8">
        <v>45942</v>
      </c>
      <c r="B581" s="9" t="s">
        <v>433</v>
      </c>
      <c r="C581" s="9">
        <v>200000</v>
      </c>
      <c r="D581" s="9">
        <f t="shared" si="28"/>
        <v>145.45454545454547</v>
      </c>
      <c r="E581" s="9" t="s">
        <v>5</v>
      </c>
      <c r="F581" s="9">
        <v>1375</v>
      </c>
    </row>
    <row r="582" spans="1:6" x14ac:dyDescent="0.25">
      <c r="A582" s="8">
        <v>45942</v>
      </c>
      <c r="B582" s="9" t="s">
        <v>601</v>
      </c>
      <c r="C582" s="9">
        <v>175000</v>
      </c>
      <c r="D582" s="9">
        <f t="shared" si="28"/>
        <v>127.27272727272727</v>
      </c>
      <c r="E582" s="9" t="s">
        <v>5</v>
      </c>
      <c r="F582" s="9">
        <v>1375</v>
      </c>
    </row>
    <row r="583" spans="1:6" x14ac:dyDescent="0.25">
      <c r="A583" s="8">
        <v>45944</v>
      </c>
      <c r="B583" s="9" t="s">
        <v>612</v>
      </c>
      <c r="C583" s="9">
        <v>67000</v>
      </c>
      <c r="D583" s="9">
        <f t="shared" si="28"/>
        <v>48.727272727272727</v>
      </c>
      <c r="E583" s="9" t="s">
        <v>5</v>
      </c>
      <c r="F583" s="9">
        <v>1375</v>
      </c>
    </row>
    <row r="584" spans="1:6" x14ac:dyDescent="0.25">
      <c r="A584" s="8">
        <v>45944</v>
      </c>
      <c r="B584" s="9" t="s">
        <v>613</v>
      </c>
      <c r="C584" s="9">
        <v>60000</v>
      </c>
      <c r="D584" s="9">
        <f t="shared" si="28"/>
        <v>43.636363636363633</v>
      </c>
      <c r="E584" s="9" t="s">
        <v>5</v>
      </c>
      <c r="F584" s="9">
        <v>1375</v>
      </c>
    </row>
    <row r="585" spans="1:6" x14ac:dyDescent="0.25">
      <c r="A585" s="8">
        <v>45940</v>
      </c>
      <c r="B585" s="9" t="s">
        <v>614</v>
      </c>
      <c r="C585" s="9">
        <v>103973</v>
      </c>
      <c r="D585" s="9">
        <f t="shared" si="28"/>
        <v>75.616727272727275</v>
      </c>
      <c r="E585" s="9" t="s">
        <v>10</v>
      </c>
      <c r="F585" s="9">
        <v>1375</v>
      </c>
    </row>
    <row r="586" spans="1:6" x14ac:dyDescent="0.25">
      <c r="A586" s="8">
        <v>45944</v>
      </c>
      <c r="B586" s="9" t="s">
        <v>615</v>
      </c>
      <c r="C586" s="9">
        <v>121000</v>
      </c>
      <c r="D586" s="9">
        <f t="shared" si="28"/>
        <v>88</v>
      </c>
      <c r="E586" s="9" t="s">
        <v>10</v>
      </c>
      <c r="F586" s="9">
        <v>1375</v>
      </c>
    </row>
    <row r="587" spans="1:6" x14ac:dyDescent="0.25">
      <c r="A587" s="8">
        <v>45947</v>
      </c>
      <c r="B587" s="9" t="s">
        <v>616</v>
      </c>
      <c r="C587" s="9">
        <v>33475</v>
      </c>
      <c r="D587" s="9">
        <f t="shared" si="28"/>
        <v>23.910714285714285</v>
      </c>
      <c r="E587" s="9" t="s">
        <v>10</v>
      </c>
      <c r="F587" s="9">
        <v>1400</v>
      </c>
    </row>
    <row r="588" spans="1:6" x14ac:dyDescent="0.25">
      <c r="A588" s="8">
        <v>45947</v>
      </c>
      <c r="B588" s="9" t="s">
        <v>433</v>
      </c>
      <c r="C588" s="9">
        <v>420000</v>
      </c>
      <c r="D588" s="9">
        <f t="shared" si="28"/>
        <v>300</v>
      </c>
      <c r="E588" s="9" t="s">
        <v>5</v>
      </c>
      <c r="F588" s="9">
        <v>1400</v>
      </c>
    </row>
    <row r="589" spans="1:6" x14ac:dyDescent="0.25">
      <c r="A589" s="8">
        <v>45947</v>
      </c>
      <c r="B589" s="9" t="s">
        <v>433</v>
      </c>
      <c r="C589" s="9">
        <v>1080000</v>
      </c>
      <c r="D589" s="9">
        <f t="shared" si="28"/>
        <v>771.42857142857144</v>
      </c>
      <c r="E589" s="9" t="s">
        <v>10</v>
      </c>
      <c r="F589" s="9">
        <v>1400</v>
      </c>
    </row>
    <row r="590" spans="1:6" x14ac:dyDescent="0.25">
      <c r="A590" s="49">
        <v>45954</v>
      </c>
      <c r="B590" s="42" t="s">
        <v>622</v>
      </c>
      <c r="C590" s="42">
        <v>300000</v>
      </c>
      <c r="D590" s="42">
        <f t="shared" si="28"/>
        <v>200</v>
      </c>
      <c r="E590" s="42" t="s">
        <v>5</v>
      </c>
      <c r="F590" s="42">
        <v>1500</v>
      </c>
    </row>
    <row r="591" spans="1:6" x14ac:dyDescent="0.25">
      <c r="A591" s="8">
        <v>45954</v>
      </c>
      <c r="B591" s="9" t="s">
        <v>433</v>
      </c>
      <c r="C591" s="9">
        <v>1300000</v>
      </c>
      <c r="D591" s="9">
        <f t="shared" si="28"/>
        <v>866.66666666666663</v>
      </c>
      <c r="E591" s="9" t="s">
        <v>10</v>
      </c>
      <c r="F591" s="9">
        <v>1500</v>
      </c>
    </row>
    <row r="592" spans="1:6" x14ac:dyDescent="0.25">
      <c r="A592" s="8">
        <v>45954</v>
      </c>
      <c r="B592" s="9" t="s">
        <v>433</v>
      </c>
      <c r="C592" s="9">
        <v>1100000</v>
      </c>
      <c r="D592" s="9">
        <f t="shared" si="28"/>
        <v>733.33333333333337</v>
      </c>
      <c r="E592" s="9" t="s">
        <v>10</v>
      </c>
      <c r="F592" s="9">
        <v>1500</v>
      </c>
    </row>
    <row r="593" spans="1:6" x14ac:dyDescent="0.25">
      <c r="A593" s="8">
        <v>45960</v>
      </c>
      <c r="B593" s="9" t="s">
        <v>492</v>
      </c>
      <c r="C593" s="9">
        <v>500000</v>
      </c>
      <c r="D593" s="9">
        <f t="shared" ref="D593:D602" si="29">C593/F593</f>
        <v>333.33333333333331</v>
      </c>
      <c r="E593" s="42" t="s">
        <v>5</v>
      </c>
      <c r="F593" s="9">
        <v>1500</v>
      </c>
    </row>
    <row r="594" spans="1:6" x14ac:dyDescent="0.25">
      <c r="A594" s="8">
        <v>45960</v>
      </c>
      <c r="B594" s="9" t="s">
        <v>626</v>
      </c>
      <c r="C594" s="9">
        <v>70000</v>
      </c>
      <c r="D594" s="9">
        <f t="shared" si="29"/>
        <v>46.666666666666664</v>
      </c>
      <c r="E594" s="9" t="s">
        <v>10</v>
      </c>
      <c r="F594" s="9">
        <v>1500</v>
      </c>
    </row>
    <row r="595" spans="1:6" x14ac:dyDescent="0.25">
      <c r="A595" s="8">
        <v>45960</v>
      </c>
      <c r="B595" s="9" t="s">
        <v>627</v>
      </c>
      <c r="C595" s="9">
        <v>150000</v>
      </c>
      <c r="D595" s="9">
        <f t="shared" si="29"/>
        <v>100</v>
      </c>
      <c r="E595" s="9" t="s">
        <v>5</v>
      </c>
      <c r="F595" s="9">
        <v>1500</v>
      </c>
    </row>
    <row r="596" spans="1:6" x14ac:dyDescent="0.25">
      <c r="A596" s="8">
        <v>45961</v>
      </c>
      <c r="B596" s="9" t="s">
        <v>433</v>
      </c>
      <c r="C596" s="9">
        <v>1800000</v>
      </c>
      <c r="D596" s="9">
        <f t="shared" si="29"/>
        <v>1241.3793103448277</v>
      </c>
      <c r="E596" s="9" t="s">
        <v>5</v>
      </c>
      <c r="F596" s="9">
        <v>1450</v>
      </c>
    </row>
    <row r="597" spans="1:6" x14ac:dyDescent="0.25">
      <c r="A597" s="8">
        <v>45939</v>
      </c>
      <c r="B597" s="9" t="s">
        <v>433</v>
      </c>
      <c r="C597" s="9">
        <v>700000</v>
      </c>
      <c r="D597" s="9">
        <f t="shared" si="29"/>
        <v>482.75862068965517</v>
      </c>
      <c r="E597" s="9" t="s">
        <v>5</v>
      </c>
      <c r="F597" s="9">
        <v>1450</v>
      </c>
    </row>
    <row r="598" spans="1:6" x14ac:dyDescent="0.25">
      <c r="A598" s="8">
        <v>45944</v>
      </c>
      <c r="B598" s="9" t="s">
        <v>631</v>
      </c>
      <c r="C598" s="9">
        <v>100000</v>
      </c>
      <c r="D598" s="9">
        <f t="shared" si="29"/>
        <v>68.965517241379317</v>
      </c>
      <c r="E598" s="9" t="s">
        <v>5</v>
      </c>
      <c r="F598" s="9">
        <v>1450</v>
      </c>
    </row>
    <row r="599" spans="1:6" x14ac:dyDescent="0.25">
      <c r="A599" s="8">
        <v>45944</v>
      </c>
      <c r="B599" s="9" t="s">
        <v>433</v>
      </c>
      <c r="C599" s="9">
        <v>800000</v>
      </c>
      <c r="D599" s="9">
        <f t="shared" si="29"/>
        <v>551.72413793103453</v>
      </c>
      <c r="E599" s="9" t="s">
        <v>5</v>
      </c>
      <c r="F599" s="9">
        <v>1450</v>
      </c>
    </row>
    <row r="600" spans="1:6" x14ac:dyDescent="0.25">
      <c r="A600" s="8">
        <v>45944</v>
      </c>
      <c r="B600" s="9" t="s">
        <v>633</v>
      </c>
      <c r="C600" s="9">
        <v>270000</v>
      </c>
      <c r="D600" s="9">
        <f t="shared" si="29"/>
        <v>186.20689655172413</v>
      </c>
      <c r="E600" s="9" t="s">
        <v>5</v>
      </c>
      <c r="F600" s="9">
        <v>1450</v>
      </c>
    </row>
    <row r="601" spans="1:6" x14ac:dyDescent="0.25">
      <c r="A601" s="8">
        <v>45944</v>
      </c>
      <c r="B601" s="9" t="s">
        <v>634</v>
      </c>
      <c r="C601" s="9">
        <v>700000</v>
      </c>
      <c r="D601" s="9">
        <f t="shared" si="29"/>
        <v>482.75862068965517</v>
      </c>
      <c r="E601" s="9" t="s">
        <v>10</v>
      </c>
      <c r="F601" s="9">
        <v>1450</v>
      </c>
    </row>
    <row r="602" spans="1:6" x14ac:dyDescent="0.25">
      <c r="A602" s="8">
        <v>45975</v>
      </c>
      <c r="B602" s="9" t="s">
        <v>635</v>
      </c>
      <c r="C602" s="9">
        <v>54000</v>
      </c>
      <c r="D602" s="9">
        <f t="shared" si="29"/>
        <v>37.241379310344826</v>
      </c>
      <c r="E602" s="9" t="s">
        <v>5</v>
      </c>
      <c r="F602" s="9">
        <v>1450</v>
      </c>
    </row>
  </sheetData>
  <autoFilter ref="A1:H596" xr:uid="{26280DBA-058C-4195-A8E9-CCA0578CA1AF}">
    <sortState xmlns:xlrd2="http://schemas.microsoft.com/office/spreadsheetml/2017/richdata2" ref="A2:H392">
      <sortCondition ref="A1:A392"/>
    </sortState>
  </autoFilter>
  <pageMargins left="0.7" right="0.7" top="0.75" bottom="0.75" header="0.3" footer="0.3"/>
  <pageSetup orientation="portrait" r:id="rId1"/>
  <headerFooter>
    <oddHeader>&amp;R&amp;"Calibri"&amp;10&amp;K000000Documento: YPF-Público&amp;1#</oddHeader>
    <oddFooter>&amp;R&amp;1#&amp;"Calibri"&amp;10&amp;K000000Documento: YPF-Público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92D1-4C45-4E93-AA50-44A33C6A8B3E}">
  <dimension ref="A1:K59"/>
  <sheetViews>
    <sheetView topLeftCell="C48" zoomScale="70" zoomScaleNormal="70" workbookViewId="0">
      <selection activeCell="H58" sqref="H58"/>
    </sheetView>
  </sheetViews>
  <sheetFormatPr baseColWidth="10" defaultRowHeight="15" x14ac:dyDescent="0.25"/>
  <cols>
    <col min="1" max="1" width="52.7109375" customWidth="1"/>
    <col min="2" max="2" width="19.7109375" bestFit="1" customWidth="1"/>
    <col min="3" max="3" width="42.28515625" customWidth="1"/>
    <col min="4" max="4" width="45.42578125" customWidth="1"/>
    <col min="5" max="5" width="28.140625" customWidth="1"/>
    <col min="6" max="6" width="26.85546875" customWidth="1"/>
    <col min="7" max="7" width="28.28515625" bestFit="1" customWidth="1"/>
    <col min="8" max="8" width="38.5703125" bestFit="1" customWidth="1"/>
    <col min="9" max="10" width="16" bestFit="1" customWidth="1"/>
    <col min="11" max="11" width="42.42578125" customWidth="1"/>
  </cols>
  <sheetData>
    <row r="1" spans="1:11" x14ac:dyDescent="0.25">
      <c r="F1" s="3"/>
    </row>
    <row r="2" spans="1:11" x14ac:dyDescent="0.25">
      <c r="F2" s="3"/>
    </row>
    <row r="3" spans="1:11" x14ac:dyDescent="0.25">
      <c r="F3" s="3"/>
    </row>
    <row r="4" spans="1:11" x14ac:dyDescent="0.25">
      <c r="F4" s="3"/>
    </row>
    <row r="5" spans="1:11" x14ac:dyDescent="0.25">
      <c r="F5" s="3"/>
    </row>
    <row r="6" spans="1:11" x14ac:dyDescent="0.25">
      <c r="F6" s="7"/>
    </row>
    <row r="10" spans="1:11" ht="15.75" thickBot="1" x14ac:dyDescent="0.3"/>
    <row r="11" spans="1:11" ht="27" thickBot="1" x14ac:dyDescent="0.45">
      <c r="A11" s="71" t="s">
        <v>563</v>
      </c>
      <c r="B11" s="72">
        <v>3135600</v>
      </c>
    </row>
    <row r="14" spans="1:11" x14ac:dyDescent="0.25">
      <c r="A14" s="1" t="s">
        <v>437</v>
      </c>
      <c r="B14" s="1"/>
      <c r="C14" s="1" t="s">
        <v>522</v>
      </c>
      <c r="D14" s="63">
        <v>45814</v>
      </c>
      <c r="E14" s="63">
        <v>45835</v>
      </c>
      <c r="F14" s="67">
        <v>45877</v>
      </c>
      <c r="G14" s="63">
        <v>45888</v>
      </c>
      <c r="H14" s="63">
        <v>45890</v>
      </c>
      <c r="I14" s="63">
        <v>45895</v>
      </c>
      <c r="J14" s="63">
        <v>45898</v>
      </c>
      <c r="K14" s="1" t="s">
        <v>562</v>
      </c>
    </row>
    <row r="15" spans="1:11" s="44" customFormat="1" ht="26.25" x14ac:dyDescent="0.4">
      <c r="A15" s="9" t="s">
        <v>465</v>
      </c>
      <c r="B15" s="9">
        <v>396000</v>
      </c>
      <c r="C15" s="9">
        <v>435600.00000000006</v>
      </c>
      <c r="D15" s="9"/>
      <c r="E15" s="9"/>
      <c r="F15" s="9"/>
      <c r="G15" s="9"/>
      <c r="H15" s="9"/>
      <c r="I15" s="9"/>
      <c r="J15" s="9">
        <v>350000</v>
      </c>
      <c r="K15" s="65">
        <f>C15-J15</f>
        <v>85600.000000000058</v>
      </c>
    </row>
    <row r="16" spans="1:11" s="44" customFormat="1" ht="26.25" x14ac:dyDescent="0.4">
      <c r="A16" s="9" t="s">
        <v>466</v>
      </c>
      <c r="B16" s="9">
        <v>1200000</v>
      </c>
      <c r="C16" s="9">
        <v>1320000</v>
      </c>
      <c r="D16" s="9"/>
      <c r="E16" s="9"/>
      <c r="F16" s="9"/>
      <c r="G16" s="9">
        <v>400000</v>
      </c>
      <c r="H16" s="9"/>
      <c r="I16" s="9"/>
      <c r="J16" s="9"/>
      <c r="K16" s="65">
        <f>C16-G16</f>
        <v>920000</v>
      </c>
    </row>
    <row r="17" spans="1:11" s="44" customFormat="1" ht="26.25" x14ac:dyDescent="0.4">
      <c r="A17" s="9" t="s">
        <v>468</v>
      </c>
      <c r="B17" s="9">
        <v>400000</v>
      </c>
      <c r="C17" s="9">
        <v>440000.00000000006</v>
      </c>
      <c r="D17" s="9">
        <v>150000</v>
      </c>
      <c r="E17" s="9"/>
      <c r="F17" s="9"/>
      <c r="G17" s="9"/>
      <c r="H17" s="9"/>
      <c r="I17" s="9"/>
      <c r="J17" s="9"/>
      <c r="K17" s="65">
        <f>C17-D17</f>
        <v>290000.00000000006</v>
      </c>
    </row>
    <row r="18" spans="1:11" s="44" customFormat="1" ht="26.25" x14ac:dyDescent="0.4">
      <c r="A18" s="9" t="s">
        <v>470</v>
      </c>
      <c r="B18" s="9">
        <v>1500000</v>
      </c>
      <c r="C18" s="9">
        <v>1650000.0000000002</v>
      </c>
      <c r="D18" s="9"/>
      <c r="E18" s="9">
        <v>350000</v>
      </c>
      <c r="F18" s="9">
        <v>375000</v>
      </c>
      <c r="G18" s="9"/>
      <c r="H18" s="9">
        <v>85000</v>
      </c>
      <c r="I18" s="9">
        <v>300000</v>
      </c>
      <c r="J18" s="9"/>
      <c r="K18" s="65">
        <f>C18- SUM(E18:I18)</f>
        <v>540000.00000000023</v>
      </c>
    </row>
    <row r="19" spans="1:11" s="44" customFormat="1" ht="27" thickBot="1" x14ac:dyDescent="0.45">
      <c r="A19" s="11" t="s">
        <v>471</v>
      </c>
      <c r="B19" s="11">
        <v>700000</v>
      </c>
      <c r="C19" s="11">
        <v>770000.00000000012</v>
      </c>
      <c r="D19" s="11"/>
      <c r="E19" s="11"/>
      <c r="F19" s="11"/>
      <c r="G19" s="11"/>
      <c r="H19" s="11"/>
      <c r="I19" s="11"/>
      <c r="J19" s="11"/>
      <c r="K19" s="68">
        <f>C19</f>
        <v>770000.00000000012</v>
      </c>
    </row>
    <row r="20" spans="1:11" ht="29.25" thickBot="1" x14ac:dyDescent="0.5">
      <c r="A20" s="69" t="s">
        <v>24</v>
      </c>
      <c r="B20" s="113"/>
      <c r="C20" s="114"/>
      <c r="D20" s="114"/>
      <c r="E20" s="114"/>
      <c r="F20" s="114"/>
      <c r="G20" s="114"/>
      <c r="H20" s="114"/>
      <c r="I20" s="114"/>
      <c r="J20" s="115"/>
      <c r="K20" s="70">
        <f>SUM(K15:K19)</f>
        <v>2605600.0000000005</v>
      </c>
    </row>
    <row r="22" spans="1:11" ht="15.75" thickBot="1" x14ac:dyDescent="0.3">
      <c r="C22" s="1" t="s">
        <v>566</v>
      </c>
    </row>
    <row r="23" spans="1:11" ht="29.25" thickBot="1" x14ac:dyDescent="0.5">
      <c r="A23" s="74" t="s">
        <v>563</v>
      </c>
      <c r="B23" s="76">
        <v>3135600</v>
      </c>
      <c r="C23" s="66">
        <v>2695600</v>
      </c>
    </row>
    <row r="24" spans="1:11" ht="29.25" thickBot="1" x14ac:dyDescent="0.5">
      <c r="A24" s="73" t="s">
        <v>564</v>
      </c>
      <c r="B24" s="77">
        <v>1800000</v>
      </c>
      <c r="C24" s="77">
        <v>1800000</v>
      </c>
    </row>
    <row r="25" spans="1:11" ht="29.25" thickBot="1" x14ac:dyDescent="0.5">
      <c r="A25" s="75" t="s">
        <v>24</v>
      </c>
      <c r="B25" s="78">
        <f>B23-B24</f>
        <v>1335600</v>
      </c>
      <c r="C25" s="79">
        <f>C23-C24</f>
        <v>895600</v>
      </c>
    </row>
    <row r="27" spans="1:11" ht="26.25" x14ac:dyDescent="0.4">
      <c r="A27" s="5" t="s">
        <v>565</v>
      </c>
      <c r="B27" s="33"/>
      <c r="C27" s="1" t="s">
        <v>575</v>
      </c>
      <c r="D27" s="1" t="s">
        <v>586</v>
      </c>
      <c r="E27" s="1" t="s">
        <v>587</v>
      </c>
      <c r="F27" s="1" t="s">
        <v>589</v>
      </c>
      <c r="G27" s="1" t="s">
        <v>603</v>
      </c>
      <c r="H27" s="1" t="s">
        <v>617</v>
      </c>
    </row>
    <row r="28" spans="1:11" ht="26.25" x14ac:dyDescent="0.4">
      <c r="A28" s="5"/>
      <c r="B28" s="33"/>
      <c r="C28" s="1">
        <v>1300000</v>
      </c>
      <c r="D28" s="1">
        <v>500000</v>
      </c>
      <c r="E28" s="3">
        <v>100000</v>
      </c>
      <c r="F28" s="3">
        <v>1000000</v>
      </c>
      <c r="G28" s="3">
        <v>2100000</v>
      </c>
      <c r="H28" s="3"/>
    </row>
    <row r="29" spans="1:11" ht="26.25" x14ac:dyDescent="0.4">
      <c r="A29" s="65" t="s">
        <v>576</v>
      </c>
      <c r="B29" s="84">
        <v>895600</v>
      </c>
      <c r="C29" s="84">
        <v>380000</v>
      </c>
      <c r="D29" s="87">
        <v>500000</v>
      </c>
      <c r="E29" s="82"/>
      <c r="F29" s="9"/>
      <c r="G29" s="82"/>
      <c r="H29" s="3"/>
    </row>
    <row r="30" spans="1:11" ht="26.25" x14ac:dyDescent="0.4">
      <c r="A30" s="82" t="s">
        <v>567</v>
      </c>
      <c r="B30" s="82">
        <v>250000</v>
      </c>
      <c r="C30" s="82">
        <v>250000</v>
      </c>
      <c r="D30" s="9"/>
      <c r="E30" s="82"/>
      <c r="F30" s="9"/>
      <c r="G30" s="82"/>
      <c r="H30" s="3"/>
    </row>
    <row r="31" spans="1:11" ht="26.25" x14ac:dyDescent="0.4">
      <c r="A31" s="82" t="s">
        <v>568</v>
      </c>
      <c r="B31" s="82">
        <v>1700000</v>
      </c>
      <c r="C31" s="82"/>
      <c r="D31" s="9"/>
      <c r="E31" s="82">
        <v>100000</v>
      </c>
      <c r="F31" s="82">
        <v>1000000</v>
      </c>
      <c r="G31" s="82">
        <v>600000</v>
      </c>
      <c r="H31" s="3"/>
    </row>
    <row r="32" spans="1:11" ht="26.25" x14ac:dyDescent="0.4">
      <c r="A32" s="82" t="s">
        <v>569</v>
      </c>
      <c r="B32" s="82">
        <v>400000</v>
      </c>
      <c r="C32" s="82"/>
      <c r="D32" s="9"/>
      <c r="E32" s="82"/>
      <c r="F32" s="9"/>
      <c r="G32" s="82">
        <v>400000</v>
      </c>
      <c r="H32" s="3"/>
    </row>
    <row r="33" spans="1:10" ht="26.25" x14ac:dyDescent="0.4">
      <c r="A33" s="33" t="s">
        <v>570</v>
      </c>
      <c r="B33" s="33">
        <v>2100000</v>
      </c>
      <c r="C33" s="33"/>
      <c r="D33" s="3"/>
      <c r="E33" s="33"/>
      <c r="F33" s="3"/>
      <c r="G33" s="33">
        <v>560000</v>
      </c>
      <c r="H33" s="3"/>
    </row>
    <row r="34" spans="1:10" ht="52.5" x14ac:dyDescent="0.4">
      <c r="A34" s="85" t="s">
        <v>571</v>
      </c>
      <c r="B34" s="82">
        <v>185000</v>
      </c>
      <c r="C34" s="82">
        <v>100000</v>
      </c>
      <c r="D34" s="9"/>
      <c r="E34" s="82"/>
      <c r="F34" s="9"/>
      <c r="G34" s="82"/>
      <c r="H34" s="3"/>
    </row>
    <row r="35" spans="1:10" ht="52.5" x14ac:dyDescent="0.4">
      <c r="A35" s="80" t="s">
        <v>572</v>
      </c>
      <c r="B35" s="33">
        <v>200000</v>
      </c>
      <c r="C35" s="33"/>
      <c r="D35" s="3"/>
      <c r="E35" s="33"/>
      <c r="F35" s="3"/>
      <c r="G35" s="33">
        <v>100000</v>
      </c>
      <c r="H35" s="3"/>
    </row>
    <row r="36" spans="1:10" ht="52.5" x14ac:dyDescent="0.4">
      <c r="A36" s="85" t="s">
        <v>573</v>
      </c>
      <c r="B36" s="82">
        <v>180000</v>
      </c>
      <c r="C36" s="82">
        <v>120000</v>
      </c>
      <c r="D36" s="9"/>
      <c r="E36" s="82"/>
      <c r="F36" s="9"/>
      <c r="G36" s="82">
        <v>80000</v>
      </c>
      <c r="H36" s="3"/>
    </row>
    <row r="37" spans="1:10" ht="26.25" x14ac:dyDescent="0.4">
      <c r="A37" s="82" t="s">
        <v>574</v>
      </c>
      <c r="B37" s="82">
        <v>45000</v>
      </c>
      <c r="C37" s="82">
        <v>450000</v>
      </c>
      <c r="D37" s="3"/>
      <c r="E37" s="33"/>
      <c r="F37" s="3"/>
      <c r="G37" s="33"/>
      <c r="H37" s="3"/>
    </row>
    <row r="38" spans="1:10" ht="31.5" x14ac:dyDescent="0.5">
      <c r="A38" s="3"/>
      <c r="B38" s="81">
        <f>SUM(B29:B37)</f>
        <v>5955600</v>
      </c>
      <c r="C38" s="5">
        <f>B38-SUM(C29:C30,C34,C36)</f>
        <v>5105600</v>
      </c>
      <c r="D38" s="5">
        <f>C38-D29</f>
        <v>4605600</v>
      </c>
      <c r="E38" s="5">
        <f>D38-E31</f>
        <v>4505600</v>
      </c>
      <c r="F38" s="53">
        <f>E38-F28</f>
        <v>3505600</v>
      </c>
      <c r="G38" s="86">
        <f>F38-G28</f>
        <v>1405600</v>
      </c>
      <c r="H38" s="3"/>
    </row>
    <row r="41" spans="1:10" ht="26.25" x14ac:dyDescent="0.4">
      <c r="A41" s="5" t="s">
        <v>593</v>
      </c>
      <c r="B41" s="3"/>
      <c r="C41" s="1" t="s">
        <v>604</v>
      </c>
      <c r="D41" s="1" t="s">
        <v>610</v>
      </c>
      <c r="E41" s="1" t="s">
        <v>611</v>
      </c>
      <c r="F41" s="95" t="s">
        <v>620</v>
      </c>
      <c r="G41" s="1" t="s">
        <v>623</v>
      </c>
      <c r="H41" s="95" t="s">
        <v>628</v>
      </c>
      <c r="I41" s="1" t="s">
        <v>630</v>
      </c>
      <c r="J41" s="1" t="s">
        <v>632</v>
      </c>
    </row>
    <row r="42" spans="1:10" ht="28.5" x14ac:dyDescent="0.45">
      <c r="A42" s="82" t="s">
        <v>594</v>
      </c>
      <c r="B42" s="82">
        <v>60000</v>
      </c>
      <c r="C42" s="82">
        <v>60000</v>
      </c>
      <c r="D42" s="66"/>
      <c r="E42" s="3"/>
      <c r="F42" s="96"/>
      <c r="G42" s="3"/>
      <c r="H42" s="51"/>
      <c r="I42" s="3"/>
      <c r="J42" s="3"/>
    </row>
    <row r="43" spans="1:10" ht="28.5" x14ac:dyDescent="0.45">
      <c r="A43" s="82" t="s">
        <v>595</v>
      </c>
      <c r="B43" s="82">
        <v>240000</v>
      </c>
      <c r="C43" s="82"/>
      <c r="D43" s="88">
        <v>240000</v>
      </c>
      <c r="E43" s="3"/>
      <c r="F43" s="96"/>
      <c r="G43" s="3"/>
      <c r="H43" s="51"/>
      <c r="I43" s="3"/>
      <c r="J43" s="3"/>
    </row>
    <row r="44" spans="1:10" ht="28.5" x14ac:dyDescent="0.45">
      <c r="A44" s="82" t="s">
        <v>596</v>
      </c>
      <c r="B44" s="82">
        <v>60000</v>
      </c>
      <c r="C44" s="82"/>
      <c r="D44" s="88">
        <v>60000</v>
      </c>
      <c r="E44" s="3"/>
      <c r="F44" s="96"/>
      <c r="G44" s="3"/>
      <c r="H44" s="51"/>
      <c r="I44" s="3"/>
      <c r="J44" s="3"/>
    </row>
    <row r="45" spans="1:10" ht="28.5" x14ac:dyDescent="0.45">
      <c r="A45" s="82" t="s">
        <v>597</v>
      </c>
      <c r="B45" s="82">
        <v>60000</v>
      </c>
      <c r="C45" s="82">
        <v>60000</v>
      </c>
      <c r="D45" s="66"/>
      <c r="E45" s="3"/>
      <c r="F45" s="96"/>
      <c r="G45" s="3"/>
      <c r="H45" s="51"/>
      <c r="I45" s="3"/>
      <c r="J45" s="3"/>
    </row>
    <row r="46" spans="1:10" ht="28.5" x14ac:dyDescent="0.45">
      <c r="A46" s="82" t="s">
        <v>598</v>
      </c>
      <c r="B46" s="82">
        <v>140000</v>
      </c>
      <c r="C46" s="82">
        <v>140000</v>
      </c>
      <c r="D46" s="66"/>
      <c r="E46" s="3"/>
      <c r="F46" s="96"/>
      <c r="G46" s="3"/>
      <c r="H46" s="51"/>
      <c r="I46" s="3"/>
      <c r="J46" s="3"/>
    </row>
    <row r="47" spans="1:10" ht="28.5" x14ac:dyDescent="0.45">
      <c r="A47" s="82" t="s">
        <v>599</v>
      </c>
      <c r="B47" s="82">
        <v>40000</v>
      </c>
      <c r="C47" s="82">
        <v>40000</v>
      </c>
      <c r="D47" s="66"/>
      <c r="E47" s="3"/>
      <c r="F47" s="96"/>
      <c r="G47" s="3"/>
      <c r="H47" s="51"/>
      <c r="I47" s="3"/>
      <c r="J47" s="3"/>
    </row>
    <row r="48" spans="1:10" ht="28.5" x14ac:dyDescent="0.45">
      <c r="A48" s="82" t="s">
        <v>600</v>
      </c>
      <c r="B48" s="82">
        <v>60000</v>
      </c>
      <c r="C48" s="82">
        <v>60000</v>
      </c>
      <c r="D48" s="66"/>
      <c r="E48" s="3"/>
      <c r="F48" s="96"/>
      <c r="G48" s="3"/>
      <c r="H48" s="51"/>
      <c r="I48" s="3"/>
      <c r="J48" s="3"/>
    </row>
    <row r="49" spans="1:10" ht="28.5" x14ac:dyDescent="0.45">
      <c r="A49" s="33" t="s">
        <v>601</v>
      </c>
      <c r="B49" s="33">
        <v>3000000</v>
      </c>
      <c r="C49" s="33"/>
      <c r="D49" s="66">
        <v>815000</v>
      </c>
      <c r="E49" s="66">
        <v>200000</v>
      </c>
      <c r="F49" s="96">
        <v>1500000</v>
      </c>
      <c r="G49" s="3"/>
      <c r="H49" s="51"/>
      <c r="I49" s="3"/>
      <c r="J49" s="3"/>
    </row>
    <row r="50" spans="1:10" ht="26.25" x14ac:dyDescent="0.4">
      <c r="A50" s="99"/>
      <c r="G50" s="3"/>
      <c r="H50" s="51"/>
      <c r="I50" s="3"/>
      <c r="J50" s="3"/>
    </row>
    <row r="51" spans="1:10" ht="29.25" thickBot="1" x14ac:dyDescent="0.5">
      <c r="A51" s="1" t="s">
        <v>621</v>
      </c>
      <c r="B51" s="83">
        <v>3660000</v>
      </c>
      <c r="C51" s="86">
        <f>B51-SUM(C42:C49)</f>
        <v>3300000</v>
      </c>
      <c r="D51" s="83">
        <f>C51-1150000</f>
        <v>2150000</v>
      </c>
      <c r="E51" s="83">
        <f>D51-E49</f>
        <v>1950000</v>
      </c>
      <c r="F51" s="96"/>
      <c r="G51" s="3"/>
      <c r="H51" s="51"/>
      <c r="I51" s="3"/>
      <c r="J51" s="3"/>
    </row>
    <row r="52" spans="1:10" ht="28.5" x14ac:dyDescent="0.45">
      <c r="A52" s="89" t="s">
        <v>618</v>
      </c>
      <c r="B52" s="90"/>
      <c r="C52" s="91"/>
      <c r="D52" s="91"/>
      <c r="E52" s="116">
        <v>1405600</v>
      </c>
      <c r="F52" s="97"/>
      <c r="G52" s="3"/>
      <c r="H52" s="51"/>
      <c r="I52" s="3"/>
      <c r="J52" s="3"/>
    </row>
    <row r="53" spans="1:10" ht="29.25" thickBot="1" x14ac:dyDescent="0.5">
      <c r="A53" s="92" t="s">
        <v>619</v>
      </c>
      <c r="B53" s="93"/>
      <c r="C53" s="94"/>
      <c r="D53" s="94"/>
      <c r="E53" s="117"/>
      <c r="F53" s="98"/>
      <c r="G53" s="3"/>
      <c r="H53" s="51"/>
      <c r="I53" s="3"/>
      <c r="J53" s="3"/>
    </row>
    <row r="54" spans="1:10" ht="29.25" thickBot="1" x14ac:dyDescent="0.5">
      <c r="A54" s="22"/>
      <c r="B54" s="22"/>
      <c r="C54" s="22"/>
      <c r="D54" s="22"/>
      <c r="E54" s="22"/>
      <c r="F54" s="101"/>
      <c r="G54" s="3"/>
      <c r="H54" s="51"/>
      <c r="I54" s="3"/>
      <c r="J54" s="3"/>
    </row>
    <row r="55" spans="1:10" ht="28.5" x14ac:dyDescent="0.45">
      <c r="A55" s="102" t="s">
        <v>624</v>
      </c>
      <c r="B55" s="103"/>
      <c r="C55" s="91"/>
      <c r="D55" s="91"/>
      <c r="E55" s="90">
        <f>SUM(E51:E53)</f>
        <v>3355600</v>
      </c>
      <c r="F55" s="104">
        <f>E55-F49</f>
        <v>1855600</v>
      </c>
      <c r="G55" s="100"/>
      <c r="H55" s="51"/>
      <c r="I55" s="3"/>
      <c r="J55" s="3"/>
    </row>
    <row r="56" spans="1:10" ht="28.5" x14ac:dyDescent="0.45">
      <c r="A56" s="105" t="s">
        <v>625</v>
      </c>
      <c r="B56" s="3"/>
      <c r="C56" s="3"/>
      <c r="D56" s="3"/>
      <c r="E56" s="3"/>
      <c r="F56" s="106">
        <v>2600000</v>
      </c>
      <c r="G56" s="100">
        <v>2400000</v>
      </c>
      <c r="H56" s="51"/>
      <c r="I56" s="3"/>
      <c r="J56" s="3"/>
    </row>
    <row r="57" spans="1:10" ht="28.5" x14ac:dyDescent="0.45">
      <c r="A57" s="107" t="s">
        <v>24</v>
      </c>
      <c r="B57" s="108"/>
      <c r="C57" s="108"/>
      <c r="D57" s="108"/>
      <c r="E57" s="108"/>
      <c r="F57" s="109">
        <f>SUM(F55:F56)</f>
        <v>4455600</v>
      </c>
      <c r="G57" s="110">
        <f>F57-G56</f>
        <v>2055600</v>
      </c>
      <c r="H57" s="112">
        <f>G57-1410000</f>
        <v>645600</v>
      </c>
      <c r="I57" s="3"/>
      <c r="J57" s="3"/>
    </row>
    <row r="58" spans="1:10" ht="28.5" x14ac:dyDescent="0.45">
      <c r="A58" s="66" t="s">
        <v>629</v>
      </c>
      <c r="B58" s="66"/>
      <c r="C58" s="66"/>
      <c r="D58" s="66"/>
      <c r="E58" s="66"/>
      <c r="F58" s="66"/>
      <c r="G58" s="66"/>
      <c r="H58" s="96">
        <v>900000</v>
      </c>
      <c r="I58" s="3"/>
      <c r="J58" s="3"/>
    </row>
    <row r="59" spans="1:10" ht="28.5" x14ac:dyDescent="0.45">
      <c r="H59" s="111">
        <f>SUM(H57:H58)</f>
        <v>1545600</v>
      </c>
      <c r="I59" s="5">
        <f>H59-700000</f>
        <v>845600</v>
      </c>
      <c r="J59" s="79">
        <f>I59-800000</f>
        <v>45600</v>
      </c>
    </row>
  </sheetData>
  <mergeCells count="2">
    <mergeCell ref="B20:J20"/>
    <mergeCell ref="E52:E5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06A3-BB3A-4055-AF14-4CEB40FA684D}">
  <dimension ref="A1:AE49"/>
  <sheetViews>
    <sheetView topLeftCell="A10" zoomScale="70" zoomScaleNormal="70" workbookViewId="0">
      <selection activeCell="C23" sqref="C23"/>
    </sheetView>
  </sheetViews>
  <sheetFormatPr baseColWidth="10" defaultRowHeight="15" x14ac:dyDescent="0.25"/>
  <cols>
    <col min="1" max="1" width="45.7109375" customWidth="1"/>
    <col min="2" max="2" width="19.7109375" bestFit="1" customWidth="1"/>
    <col min="3" max="3" width="21" bestFit="1" customWidth="1"/>
    <col min="4" max="4" width="20.140625" bestFit="1" customWidth="1"/>
    <col min="5" max="5" width="19.140625" bestFit="1" customWidth="1"/>
    <col min="6" max="6" width="19.5703125" bestFit="1" customWidth="1"/>
    <col min="7" max="8" width="20.140625" bestFit="1" customWidth="1"/>
    <col min="9" max="11" width="16.5703125" bestFit="1" customWidth="1"/>
    <col min="12" max="13" width="16.42578125" bestFit="1" customWidth="1"/>
    <col min="14" max="14" width="16.5703125" bestFit="1" customWidth="1"/>
    <col min="15" max="15" width="19.7109375" bestFit="1" customWidth="1"/>
    <col min="16" max="16" width="13.140625" bestFit="1" customWidth="1"/>
    <col min="17" max="17" width="16.42578125" bestFit="1" customWidth="1"/>
    <col min="18" max="18" width="15" bestFit="1" customWidth="1"/>
    <col min="19" max="19" width="19.7109375" bestFit="1" customWidth="1"/>
    <col min="20" max="20" width="23.140625" customWidth="1"/>
    <col min="21" max="21" width="29" customWidth="1"/>
    <col min="22" max="22" width="17.42578125" bestFit="1" customWidth="1"/>
    <col min="23" max="23" width="16" bestFit="1" customWidth="1"/>
    <col min="24" max="24" width="19" customWidth="1"/>
    <col min="25" max="25" width="16" bestFit="1" customWidth="1"/>
    <col min="26" max="26" width="18" customWidth="1"/>
    <col min="27" max="27" width="16" style="3" bestFit="1" customWidth="1"/>
    <col min="28" max="28" width="17.85546875" customWidth="1"/>
    <col min="29" max="31" width="16" bestFit="1" customWidth="1"/>
  </cols>
  <sheetData>
    <row r="1" spans="1:31" x14ac:dyDescent="0.25">
      <c r="A1" s="38" t="s">
        <v>437</v>
      </c>
      <c r="B1" s="3"/>
      <c r="C1" s="9" t="s">
        <v>522</v>
      </c>
      <c r="D1" s="1" t="s">
        <v>490</v>
      </c>
      <c r="E1" s="1" t="s">
        <v>493</v>
      </c>
      <c r="F1" s="1" t="s">
        <v>495</v>
      </c>
      <c r="G1" s="1" t="s">
        <v>504</v>
      </c>
      <c r="H1" s="1" t="s">
        <v>505</v>
      </c>
      <c r="I1" s="61">
        <v>45784</v>
      </c>
      <c r="J1" s="61">
        <v>45787</v>
      </c>
      <c r="K1" s="61">
        <v>45790</v>
      </c>
      <c r="L1" s="61">
        <v>45794</v>
      </c>
      <c r="M1" s="61">
        <v>45799</v>
      </c>
      <c r="N1" s="62">
        <v>45800</v>
      </c>
      <c r="O1" s="63">
        <v>45807</v>
      </c>
      <c r="P1" s="63">
        <v>45814</v>
      </c>
      <c r="Q1" s="63">
        <v>45822</v>
      </c>
      <c r="R1" s="62">
        <v>45828</v>
      </c>
      <c r="S1" s="63">
        <v>45835</v>
      </c>
      <c r="T1" s="63">
        <v>45843</v>
      </c>
      <c r="U1" s="63">
        <v>45848</v>
      </c>
      <c r="V1" s="63">
        <v>45849</v>
      </c>
      <c r="W1" s="63">
        <v>45856</v>
      </c>
      <c r="X1" s="63" t="s">
        <v>536</v>
      </c>
      <c r="Y1" s="63">
        <v>45862</v>
      </c>
      <c r="Z1" s="64">
        <v>45871</v>
      </c>
      <c r="AA1" s="63">
        <v>45877</v>
      </c>
      <c r="AB1" s="63">
        <v>45888</v>
      </c>
      <c r="AC1" s="63">
        <v>45890</v>
      </c>
      <c r="AD1" s="63">
        <v>45895</v>
      </c>
      <c r="AE1" s="63">
        <v>45898</v>
      </c>
    </row>
    <row r="2" spans="1:31" x14ac:dyDescent="0.25">
      <c r="A2" s="9" t="s">
        <v>463</v>
      </c>
      <c r="B2" s="3">
        <v>900000</v>
      </c>
      <c r="C2" s="46"/>
      <c r="D2" s="3">
        <v>500000</v>
      </c>
      <c r="E2" s="3"/>
      <c r="F2" s="3"/>
      <c r="G2" s="1"/>
      <c r="H2" s="3"/>
      <c r="I2" s="3">
        <v>50000</v>
      </c>
      <c r="J2" s="3"/>
      <c r="K2" s="3">
        <v>350000</v>
      </c>
      <c r="L2" s="3"/>
      <c r="M2" s="3"/>
      <c r="N2" s="51"/>
      <c r="O2" s="3"/>
      <c r="P2" s="3"/>
      <c r="Q2" s="3"/>
      <c r="R2" s="51"/>
      <c r="S2" s="3"/>
      <c r="T2" s="3"/>
      <c r="U2" s="3"/>
      <c r="V2" s="3"/>
      <c r="W2" s="3"/>
      <c r="X2" s="3"/>
      <c r="Y2" s="3"/>
      <c r="Z2" s="51"/>
      <c r="AB2" s="3"/>
      <c r="AC2" s="3"/>
      <c r="AD2" s="3"/>
      <c r="AE2" s="3"/>
    </row>
    <row r="3" spans="1:31" x14ac:dyDescent="0.25">
      <c r="A3" s="9" t="s">
        <v>464</v>
      </c>
      <c r="B3" s="3">
        <v>4250000</v>
      </c>
      <c r="C3" s="46">
        <f>B3*1.1</f>
        <v>4675000</v>
      </c>
      <c r="D3" s="3"/>
      <c r="E3" s="3"/>
      <c r="F3" s="3"/>
      <c r="G3" s="1"/>
      <c r="H3" s="3"/>
      <c r="I3" s="3"/>
      <c r="J3" s="3"/>
      <c r="K3" s="3"/>
      <c r="L3" s="3"/>
      <c r="M3" s="3"/>
      <c r="N3" s="51"/>
      <c r="O3" s="3"/>
      <c r="P3" s="3"/>
      <c r="Q3" s="3"/>
      <c r="R3" s="51">
        <v>350000</v>
      </c>
      <c r="S3" s="3"/>
      <c r="T3" s="3">
        <v>1600000</v>
      </c>
      <c r="U3" s="3">
        <v>500000</v>
      </c>
      <c r="V3" s="3">
        <v>200000</v>
      </c>
      <c r="W3" s="3">
        <v>100000</v>
      </c>
      <c r="X3" s="3"/>
      <c r="Y3" s="3"/>
      <c r="Z3" s="51">
        <v>1700000</v>
      </c>
      <c r="AA3" s="3">
        <v>225000</v>
      </c>
      <c r="AB3" s="3"/>
      <c r="AC3" s="3"/>
      <c r="AD3" s="3"/>
      <c r="AE3" s="3"/>
    </row>
    <row r="4" spans="1:31" x14ac:dyDescent="0.25">
      <c r="A4" s="3" t="s">
        <v>465</v>
      </c>
      <c r="B4" s="3">
        <v>396000</v>
      </c>
      <c r="C4" s="46">
        <f t="shared" ref="C4:C10" si="0">B4*1.1</f>
        <v>435600.00000000006</v>
      </c>
      <c r="D4" s="3"/>
      <c r="E4" s="3"/>
      <c r="F4" s="3"/>
      <c r="G4" s="1"/>
      <c r="H4" s="3"/>
      <c r="I4" s="3"/>
      <c r="J4" s="3"/>
      <c r="K4" s="3"/>
      <c r="L4" s="3"/>
      <c r="M4" s="3"/>
      <c r="N4" s="51"/>
      <c r="O4" s="3"/>
      <c r="P4" s="3"/>
      <c r="Q4" s="3"/>
      <c r="R4" s="51"/>
      <c r="S4" s="3"/>
      <c r="T4" s="3"/>
      <c r="U4" s="3"/>
      <c r="V4" s="3"/>
      <c r="W4" s="3"/>
      <c r="X4" s="3"/>
      <c r="Y4" s="3"/>
      <c r="Z4" s="51"/>
      <c r="AB4" s="3"/>
      <c r="AC4" s="3"/>
      <c r="AD4" s="3"/>
      <c r="AE4" s="3">
        <v>350000</v>
      </c>
    </row>
    <row r="5" spans="1:31" x14ac:dyDescent="0.25">
      <c r="A5" s="3" t="s">
        <v>466</v>
      </c>
      <c r="B5" s="3">
        <v>1200000</v>
      </c>
      <c r="C5" s="46">
        <f t="shared" si="0"/>
        <v>1320000</v>
      </c>
      <c r="D5" s="3"/>
      <c r="E5" s="3"/>
      <c r="F5" s="3"/>
      <c r="G5" s="1"/>
      <c r="H5" s="3"/>
      <c r="I5" s="3"/>
      <c r="J5" s="3"/>
      <c r="K5" s="3"/>
      <c r="L5" s="3"/>
      <c r="M5" s="3"/>
      <c r="N5" s="51"/>
      <c r="O5" s="3"/>
      <c r="P5" s="3"/>
      <c r="Q5" s="3"/>
      <c r="R5" s="51"/>
      <c r="S5" s="3"/>
      <c r="T5" s="3"/>
      <c r="U5" s="3"/>
      <c r="V5" s="3"/>
      <c r="W5" s="3"/>
      <c r="X5" s="3"/>
      <c r="Y5" s="3"/>
      <c r="Z5" s="51"/>
      <c r="AB5" s="3">
        <v>400000</v>
      </c>
      <c r="AC5" s="3"/>
      <c r="AD5" s="3"/>
      <c r="AE5" s="3"/>
    </row>
    <row r="6" spans="1:31" x14ac:dyDescent="0.25">
      <c r="A6" s="9" t="s">
        <v>467</v>
      </c>
      <c r="B6" s="3">
        <v>250000</v>
      </c>
      <c r="C6" s="46">
        <f t="shared" si="0"/>
        <v>275000</v>
      </c>
      <c r="D6" s="3"/>
      <c r="E6" s="3"/>
      <c r="F6" s="3"/>
      <c r="G6" s="1"/>
      <c r="H6" s="3"/>
      <c r="I6" s="3"/>
      <c r="J6" s="3"/>
      <c r="K6" s="3"/>
      <c r="L6" s="3"/>
      <c r="M6" s="3"/>
      <c r="N6" s="51"/>
      <c r="O6" s="3"/>
      <c r="P6" s="3"/>
      <c r="Q6" s="3"/>
      <c r="R6" s="51"/>
      <c r="S6" s="3"/>
      <c r="T6" s="3"/>
      <c r="U6" s="3"/>
      <c r="V6" s="3"/>
      <c r="W6" s="3"/>
      <c r="X6" s="3"/>
      <c r="Y6" s="3">
        <v>275000</v>
      </c>
      <c r="Z6" s="51"/>
      <c r="AB6" s="3"/>
      <c r="AC6" s="3"/>
      <c r="AD6" s="3"/>
      <c r="AE6" s="3"/>
    </row>
    <row r="7" spans="1:31" x14ac:dyDescent="0.25">
      <c r="A7" s="3" t="s">
        <v>468</v>
      </c>
      <c r="B7" s="3">
        <v>400000</v>
      </c>
      <c r="C7" s="46">
        <f t="shared" si="0"/>
        <v>440000.00000000006</v>
      </c>
      <c r="D7" s="3"/>
      <c r="E7" s="3"/>
      <c r="F7" s="3"/>
      <c r="G7" s="1"/>
      <c r="H7" s="3"/>
      <c r="I7" s="3"/>
      <c r="J7" s="3"/>
      <c r="K7" s="3"/>
      <c r="L7" s="3"/>
      <c r="M7" s="3"/>
      <c r="N7" s="51"/>
      <c r="O7" s="3"/>
      <c r="P7" s="3">
        <v>150000</v>
      </c>
      <c r="Q7" s="3"/>
      <c r="R7" s="51"/>
      <c r="S7" s="3"/>
      <c r="T7" s="3"/>
      <c r="U7" s="3"/>
      <c r="V7" s="3"/>
      <c r="W7" s="3"/>
      <c r="X7" s="3"/>
      <c r="Y7" s="3"/>
      <c r="Z7" s="51"/>
      <c r="AB7" s="3"/>
      <c r="AC7" s="3"/>
      <c r="AD7" s="3"/>
      <c r="AE7" s="3"/>
    </row>
    <row r="8" spans="1:31" x14ac:dyDescent="0.25">
      <c r="A8" s="13" t="s">
        <v>469</v>
      </c>
      <c r="B8" s="3">
        <v>2100000</v>
      </c>
      <c r="C8" s="46">
        <f t="shared" si="0"/>
        <v>2310000</v>
      </c>
      <c r="D8" s="3"/>
      <c r="E8" s="3"/>
      <c r="F8" s="3"/>
      <c r="G8" s="1"/>
      <c r="H8" s="3"/>
      <c r="I8" s="3"/>
      <c r="J8" s="3"/>
      <c r="K8" s="3"/>
      <c r="L8" s="3"/>
      <c r="M8" s="3"/>
      <c r="N8" s="51"/>
      <c r="O8" s="3"/>
      <c r="P8" s="3"/>
      <c r="Q8" s="3">
        <v>370000</v>
      </c>
      <c r="R8" s="51"/>
      <c r="S8" s="3"/>
      <c r="T8" s="3"/>
      <c r="U8" s="3"/>
      <c r="V8" s="3"/>
      <c r="W8" s="3"/>
      <c r="X8" s="3">
        <v>1500000</v>
      </c>
      <c r="Y8" s="3">
        <v>125000</v>
      </c>
      <c r="Z8" s="51"/>
      <c r="AB8" s="3"/>
      <c r="AC8" s="3">
        <v>315000</v>
      </c>
      <c r="AD8" s="3"/>
      <c r="AE8" s="3"/>
    </row>
    <row r="9" spans="1:31" x14ac:dyDescent="0.25">
      <c r="A9" s="3" t="s">
        <v>470</v>
      </c>
      <c r="B9" s="3">
        <v>1500000</v>
      </c>
      <c r="C9" s="46">
        <f t="shared" si="0"/>
        <v>1650000.0000000002</v>
      </c>
      <c r="D9" s="3"/>
      <c r="E9" s="3"/>
      <c r="F9" s="3"/>
      <c r="G9" s="1"/>
      <c r="H9" s="3"/>
      <c r="I9" s="3"/>
      <c r="J9" s="3"/>
      <c r="K9" s="3"/>
      <c r="L9" s="3"/>
      <c r="M9" s="3"/>
      <c r="N9" s="51"/>
      <c r="O9" s="3"/>
      <c r="P9" s="3"/>
      <c r="Q9" s="3"/>
      <c r="R9" s="51"/>
      <c r="S9" s="3">
        <v>350000</v>
      </c>
      <c r="T9" s="3"/>
      <c r="U9" s="3"/>
      <c r="V9" s="3"/>
      <c r="W9" s="3"/>
      <c r="X9" s="3"/>
      <c r="Y9" s="3"/>
      <c r="Z9" s="51"/>
      <c r="AA9" s="3">
        <v>375000</v>
      </c>
      <c r="AB9" s="3"/>
      <c r="AC9" s="3">
        <v>85000</v>
      </c>
      <c r="AD9" s="3">
        <v>300000</v>
      </c>
      <c r="AE9" s="3"/>
    </row>
    <row r="10" spans="1:31" x14ac:dyDescent="0.25">
      <c r="A10" s="3" t="s">
        <v>471</v>
      </c>
      <c r="B10" s="3">
        <v>700000</v>
      </c>
      <c r="C10" s="46">
        <f t="shared" si="0"/>
        <v>770000.00000000012</v>
      </c>
      <c r="D10" s="3"/>
      <c r="E10" s="3"/>
      <c r="F10" s="3"/>
      <c r="G10" s="1"/>
      <c r="H10" s="3"/>
      <c r="I10" s="3"/>
      <c r="J10" s="3"/>
      <c r="K10" s="3"/>
      <c r="L10" s="3"/>
      <c r="M10" s="3"/>
      <c r="N10" s="51"/>
      <c r="O10" s="3"/>
      <c r="P10" s="3"/>
      <c r="Q10" s="3"/>
      <c r="R10" s="51"/>
      <c r="S10" s="3"/>
      <c r="T10" s="3"/>
      <c r="U10" s="3"/>
      <c r="V10" s="3"/>
      <c r="W10" s="3"/>
      <c r="X10" s="3"/>
      <c r="Y10" s="3"/>
      <c r="Z10" s="51"/>
      <c r="AB10" s="3"/>
      <c r="AC10" s="3"/>
      <c r="AD10" s="3"/>
      <c r="AE10" s="3"/>
    </row>
    <row r="11" spans="1:31" x14ac:dyDescent="0.25">
      <c r="A11" s="9" t="s">
        <v>472</v>
      </c>
      <c r="B11" s="3">
        <v>260000</v>
      </c>
      <c r="C11" s="46"/>
      <c r="D11" s="3"/>
      <c r="E11" s="3"/>
      <c r="F11" s="3"/>
      <c r="G11" s="1"/>
      <c r="H11" s="3">
        <v>260000</v>
      </c>
      <c r="I11" s="3"/>
      <c r="J11" s="3"/>
      <c r="K11" s="3"/>
      <c r="L11" s="3"/>
      <c r="M11" s="3"/>
      <c r="N11" s="51"/>
      <c r="O11" s="3"/>
      <c r="P11" s="3"/>
      <c r="Q11" s="3"/>
      <c r="R11" s="51"/>
      <c r="S11" s="3"/>
      <c r="T11" s="3"/>
      <c r="U11" s="3"/>
      <c r="V11" s="3"/>
      <c r="W11" s="3"/>
      <c r="X11" s="3"/>
      <c r="Y11" s="3"/>
      <c r="Z11" s="51"/>
      <c r="AB11" s="3"/>
      <c r="AC11" s="3"/>
      <c r="AD11" s="3"/>
      <c r="AE11" s="3"/>
    </row>
    <row r="12" spans="1:31" x14ac:dyDescent="0.25">
      <c r="A12" s="9" t="s">
        <v>473</v>
      </c>
      <c r="B12" s="3">
        <v>1170000</v>
      </c>
      <c r="C12" s="46"/>
      <c r="D12" s="3"/>
      <c r="E12" s="3"/>
      <c r="F12" s="3"/>
      <c r="G12" s="1"/>
      <c r="H12" s="3"/>
      <c r="I12" s="3"/>
      <c r="J12" s="3"/>
      <c r="K12" s="3">
        <v>300000</v>
      </c>
      <c r="L12" s="3">
        <v>500000</v>
      </c>
      <c r="M12" s="3">
        <v>200000</v>
      </c>
      <c r="N12" s="51"/>
      <c r="O12" s="3">
        <v>170000</v>
      </c>
      <c r="P12" s="3"/>
      <c r="Q12" s="3"/>
      <c r="R12" s="51"/>
      <c r="S12" s="3"/>
      <c r="T12" s="3"/>
      <c r="U12" s="3"/>
      <c r="V12" s="3"/>
      <c r="W12" s="3"/>
      <c r="X12" s="3"/>
      <c r="Y12" s="3"/>
      <c r="Z12" s="51"/>
      <c r="AB12" s="3"/>
      <c r="AC12" s="3"/>
      <c r="AD12" s="3"/>
      <c r="AE12" s="3"/>
    </row>
    <row r="13" spans="1:31" x14ac:dyDescent="0.25">
      <c r="A13" s="42" t="s">
        <v>463</v>
      </c>
      <c r="B13">
        <v>4750000</v>
      </c>
      <c r="C13" s="58"/>
      <c r="D13" s="3"/>
      <c r="E13" s="3">
        <v>1000000</v>
      </c>
      <c r="F13" s="3">
        <v>1000000</v>
      </c>
      <c r="G13" s="1">
        <v>1315000</v>
      </c>
      <c r="H13" s="3">
        <v>640000</v>
      </c>
      <c r="I13" s="3"/>
      <c r="J13" s="3">
        <v>795000</v>
      </c>
      <c r="K13" s="3"/>
      <c r="L13" s="3"/>
      <c r="M13" s="3"/>
      <c r="N13" s="51"/>
      <c r="O13" s="3"/>
      <c r="P13" s="3"/>
      <c r="Q13" s="3"/>
      <c r="R13" s="51"/>
      <c r="S13" s="3"/>
      <c r="T13" s="3"/>
      <c r="U13" s="3"/>
      <c r="V13" s="3"/>
      <c r="W13" s="3"/>
      <c r="X13" s="3"/>
      <c r="Y13" s="3"/>
      <c r="Z13" s="51"/>
      <c r="AB13" s="3"/>
      <c r="AC13" s="3"/>
      <c r="AD13" s="3"/>
      <c r="AE13" s="3"/>
    </row>
    <row r="14" spans="1:31" x14ac:dyDescent="0.25">
      <c r="A14" s="9" t="s">
        <v>511</v>
      </c>
      <c r="B14" s="3">
        <v>200000</v>
      </c>
      <c r="C14" s="59"/>
      <c r="D14" s="26"/>
      <c r="E14" s="26"/>
      <c r="F14" s="3"/>
      <c r="G14" s="1"/>
      <c r="H14" s="3"/>
      <c r="I14" s="3"/>
      <c r="J14" s="3"/>
      <c r="K14" s="3"/>
      <c r="L14" s="3"/>
      <c r="M14" s="3"/>
      <c r="N14" s="51">
        <v>200000</v>
      </c>
      <c r="O14" s="3"/>
      <c r="P14" s="3"/>
      <c r="Q14" s="3"/>
      <c r="R14" s="51"/>
      <c r="S14" s="3"/>
      <c r="T14" s="3"/>
      <c r="U14" s="3"/>
      <c r="V14" s="3"/>
      <c r="W14" s="3"/>
      <c r="X14" s="3"/>
      <c r="Y14" s="3"/>
      <c r="Z14" s="51"/>
      <c r="AB14" s="3"/>
      <c r="AC14" s="3"/>
      <c r="AD14" s="3"/>
      <c r="AE14" s="3"/>
    </row>
    <row r="15" spans="1:31" x14ac:dyDescent="0.25">
      <c r="A15" s="9" t="s">
        <v>512</v>
      </c>
      <c r="B15" s="3">
        <v>600000</v>
      </c>
      <c r="C15" s="59"/>
      <c r="D15" s="26"/>
      <c r="E15" s="26"/>
      <c r="F15" s="3"/>
      <c r="G15" s="1"/>
      <c r="H15" s="3"/>
      <c r="I15" s="3"/>
      <c r="J15" s="3"/>
      <c r="K15" s="3"/>
      <c r="L15" s="3"/>
      <c r="M15" s="3"/>
      <c r="N15" s="51">
        <v>600000</v>
      </c>
      <c r="O15" s="3"/>
      <c r="P15" s="3"/>
      <c r="Q15" s="3"/>
      <c r="R15" s="51"/>
      <c r="S15" s="3"/>
      <c r="T15" s="3"/>
      <c r="U15" s="3"/>
      <c r="V15" s="3"/>
      <c r="W15" s="3"/>
      <c r="X15" s="3"/>
      <c r="Y15" s="3"/>
      <c r="Z15" s="51"/>
      <c r="AB15" s="3"/>
      <c r="AC15" s="3"/>
      <c r="AD15" s="3"/>
      <c r="AE15" s="3"/>
    </row>
    <row r="16" spans="1:31" x14ac:dyDescent="0.25">
      <c r="A16" s="9" t="s">
        <v>513</v>
      </c>
      <c r="B16" s="3">
        <v>450000</v>
      </c>
      <c r="C16" s="59"/>
      <c r="D16" s="26"/>
      <c r="E16" s="26"/>
      <c r="F16" s="3"/>
      <c r="G16" s="1"/>
      <c r="H16" s="3"/>
      <c r="I16" s="3"/>
      <c r="J16" s="3"/>
      <c r="K16" s="3"/>
      <c r="L16" s="3"/>
      <c r="M16" s="3"/>
      <c r="N16" s="51"/>
      <c r="O16" s="3">
        <v>450000</v>
      </c>
      <c r="P16" s="3"/>
      <c r="Q16" s="3"/>
      <c r="R16" s="51"/>
      <c r="S16" s="3"/>
      <c r="T16" s="3"/>
      <c r="U16" s="3"/>
      <c r="V16" s="3"/>
      <c r="W16" s="3"/>
      <c r="X16" s="3"/>
      <c r="Y16" s="3"/>
      <c r="Z16" s="51"/>
      <c r="AB16" s="3"/>
      <c r="AC16" s="3"/>
      <c r="AD16" s="3"/>
      <c r="AE16" s="3"/>
    </row>
    <row r="17" spans="1:31" x14ac:dyDescent="0.25">
      <c r="A17" s="9" t="s">
        <v>514</v>
      </c>
      <c r="B17" s="3">
        <v>150000</v>
      </c>
      <c r="C17" s="59"/>
      <c r="D17" s="26"/>
      <c r="E17" s="26"/>
      <c r="F17" s="3"/>
      <c r="G17" s="1"/>
      <c r="H17" s="3"/>
      <c r="I17" s="3"/>
      <c r="J17" s="3"/>
      <c r="K17" s="3"/>
      <c r="L17" s="3"/>
      <c r="M17" s="3"/>
      <c r="N17" s="51"/>
      <c r="O17" s="3">
        <v>150000</v>
      </c>
      <c r="P17" s="3"/>
      <c r="Q17" s="3"/>
      <c r="R17" s="51"/>
      <c r="S17" s="3"/>
      <c r="T17" s="3"/>
      <c r="U17" s="3"/>
      <c r="V17" s="3"/>
      <c r="W17" s="3"/>
      <c r="X17" s="3"/>
      <c r="Y17" s="3"/>
      <c r="Z17" s="51"/>
      <c r="AB17" s="3"/>
      <c r="AC17" s="3"/>
      <c r="AD17" s="3"/>
      <c r="AE17" s="3"/>
    </row>
    <row r="18" spans="1:31" x14ac:dyDescent="0.25">
      <c r="A18" s="9" t="s">
        <v>515</v>
      </c>
      <c r="B18" s="3">
        <v>200000</v>
      </c>
      <c r="C18" s="59"/>
      <c r="D18" s="26"/>
      <c r="E18" s="26"/>
      <c r="F18" s="3"/>
      <c r="G18" s="1"/>
      <c r="H18" s="3"/>
      <c r="I18" s="3"/>
      <c r="J18" s="3"/>
      <c r="K18" s="3"/>
      <c r="L18" s="3"/>
      <c r="M18" s="3"/>
      <c r="N18" s="51"/>
      <c r="O18" s="3">
        <v>200000</v>
      </c>
      <c r="P18" s="3"/>
      <c r="Q18" s="3"/>
      <c r="R18" s="51"/>
      <c r="S18" s="3"/>
      <c r="T18" s="3"/>
      <c r="U18" s="3"/>
      <c r="V18" s="3"/>
      <c r="W18" s="3"/>
      <c r="X18" s="3"/>
      <c r="Y18" s="3"/>
      <c r="Z18" s="51"/>
      <c r="AB18" s="3"/>
      <c r="AC18" s="3"/>
      <c r="AD18" s="3"/>
      <c r="AE18" s="3"/>
    </row>
    <row r="19" spans="1:31" x14ac:dyDescent="0.25">
      <c r="A19" s="9" t="s">
        <v>516</v>
      </c>
      <c r="B19" s="3">
        <v>600000</v>
      </c>
      <c r="C19" s="46">
        <f>B19*1.1</f>
        <v>660000</v>
      </c>
      <c r="D19" s="26"/>
      <c r="E19" s="26"/>
      <c r="F19" s="3"/>
      <c r="G19" s="1"/>
      <c r="H19" s="3"/>
      <c r="I19" s="3"/>
      <c r="J19" s="3"/>
      <c r="K19" s="3"/>
      <c r="L19" s="3"/>
      <c r="M19" s="3"/>
      <c r="N19" s="51"/>
      <c r="O19" s="3">
        <v>530000</v>
      </c>
      <c r="P19" s="3"/>
      <c r="Q19" s="3">
        <v>130000</v>
      </c>
      <c r="R19" s="51"/>
      <c r="S19" s="3"/>
      <c r="T19" s="3"/>
      <c r="U19" s="3"/>
      <c r="V19" s="3"/>
      <c r="W19" s="3"/>
      <c r="X19" s="3"/>
      <c r="Y19" s="3"/>
      <c r="Z19" s="51"/>
      <c r="AB19" s="3"/>
      <c r="AC19" s="3"/>
      <c r="AD19" s="3"/>
      <c r="AE19" s="3"/>
    </row>
    <row r="20" spans="1:31" x14ac:dyDescent="0.25">
      <c r="A20" s="9" t="s">
        <v>517</v>
      </c>
      <c r="B20" s="3">
        <v>300000</v>
      </c>
      <c r="C20" s="59"/>
      <c r="D20" s="26"/>
      <c r="E20" s="26"/>
      <c r="F20" s="3"/>
      <c r="G20" s="1"/>
      <c r="H20" s="3"/>
      <c r="I20" s="3"/>
      <c r="J20" s="3"/>
      <c r="K20" s="3"/>
      <c r="L20" s="3"/>
      <c r="M20" s="3"/>
      <c r="N20" s="51"/>
      <c r="O20" s="3">
        <v>300000</v>
      </c>
      <c r="P20" s="3"/>
      <c r="Q20" s="3"/>
      <c r="R20" s="51"/>
      <c r="S20" s="3"/>
      <c r="T20" s="3"/>
      <c r="U20" s="3"/>
      <c r="V20" s="3"/>
      <c r="W20" s="3"/>
      <c r="X20" s="3"/>
      <c r="Y20" s="3"/>
      <c r="Z20" s="51"/>
      <c r="AB20" s="3"/>
      <c r="AC20" s="3"/>
      <c r="AD20" s="3"/>
      <c r="AE20" s="3"/>
    </row>
    <row r="21" spans="1:31" x14ac:dyDescent="0.25">
      <c r="A21" s="9" t="s">
        <v>518</v>
      </c>
      <c r="B21" s="3">
        <v>400000</v>
      </c>
      <c r="C21" s="59"/>
      <c r="D21" s="26"/>
      <c r="E21" s="26"/>
      <c r="F21" s="3"/>
      <c r="G21" s="1"/>
      <c r="H21" s="3"/>
      <c r="I21" s="3"/>
      <c r="J21" s="3"/>
      <c r="K21" s="3"/>
      <c r="L21" s="3"/>
      <c r="M21" s="3"/>
      <c r="N21" s="51"/>
      <c r="O21" s="3">
        <v>400000</v>
      </c>
      <c r="P21" s="3"/>
      <c r="Q21" s="3"/>
      <c r="R21" s="51"/>
      <c r="S21" s="3"/>
      <c r="T21" s="3"/>
      <c r="U21" s="3"/>
      <c r="V21" s="3"/>
      <c r="W21" s="3"/>
      <c r="X21" s="3"/>
      <c r="Y21" s="3"/>
      <c r="Z21" s="51"/>
      <c r="AB21" s="3"/>
      <c r="AC21" s="3"/>
      <c r="AD21" s="3"/>
      <c r="AE21" s="3"/>
    </row>
    <row r="22" spans="1:31" x14ac:dyDescent="0.25">
      <c r="A22" s="3" t="s">
        <v>560</v>
      </c>
      <c r="B22" s="3"/>
      <c r="C22" s="3">
        <v>250000</v>
      </c>
      <c r="D22" s="26"/>
      <c r="E22" s="26"/>
      <c r="F22" s="3"/>
      <c r="G22" s="1"/>
      <c r="H22" s="3"/>
      <c r="I22" s="3"/>
      <c r="J22" s="3"/>
      <c r="K22" s="3"/>
      <c r="L22" s="3"/>
      <c r="M22" s="3"/>
      <c r="N22" s="51"/>
      <c r="O22" s="3"/>
      <c r="P22" s="3"/>
      <c r="Q22" s="3"/>
      <c r="R22" s="51"/>
      <c r="S22" s="3"/>
      <c r="T22" s="3"/>
      <c r="U22" s="3"/>
      <c r="V22" s="3"/>
      <c r="W22" s="3"/>
      <c r="X22" s="3"/>
      <c r="Y22" s="3"/>
      <c r="Z22" s="51"/>
      <c r="AB22" s="3"/>
      <c r="AC22" s="3"/>
      <c r="AD22" s="3"/>
      <c r="AE22" s="3"/>
    </row>
    <row r="23" spans="1:31" ht="31.5" x14ac:dyDescent="0.5">
      <c r="A23" s="1" t="s">
        <v>24</v>
      </c>
      <c r="B23" s="41">
        <f>SUM(B2:B22)</f>
        <v>20776000</v>
      </c>
      <c r="C23" s="60">
        <f>SUM(C3:C21)</f>
        <v>12535600</v>
      </c>
      <c r="D23" s="50">
        <f>B23-D2</f>
        <v>20276000</v>
      </c>
      <c r="E23" s="50">
        <f>B23-(E13+D2)</f>
        <v>19276000</v>
      </c>
      <c r="F23" s="41">
        <f>E23-F13</f>
        <v>18276000</v>
      </c>
      <c r="G23" s="41">
        <f>F23-G13</f>
        <v>16961000</v>
      </c>
      <c r="H23" s="41">
        <f>G23-H11-H13</f>
        <v>16061000</v>
      </c>
      <c r="I23" s="41">
        <f>H23-I2</f>
        <v>16011000</v>
      </c>
      <c r="J23" s="41">
        <f>H23-J13</f>
        <v>15266000</v>
      </c>
      <c r="K23" s="41">
        <f>J23-(K2+K12)</f>
        <v>14616000</v>
      </c>
      <c r="L23" s="41">
        <f>K23-L12</f>
        <v>14116000</v>
      </c>
      <c r="M23" s="41">
        <f>L23-M12</f>
        <v>13916000</v>
      </c>
      <c r="N23" s="52" cm="1">
        <f t="array" ref="N23:N24">M23-(N14:N15)</f>
        <v>13716000</v>
      </c>
      <c r="O23" s="53">
        <f>N23-SUM(O12:O21)</f>
        <v>11516000</v>
      </c>
      <c r="P23" s="1">
        <f>C23-P7</f>
        <v>12385600</v>
      </c>
      <c r="Q23" s="54">
        <f>P23-Q8-Q19</f>
        <v>11885600</v>
      </c>
      <c r="R23" s="55">
        <f>Q23-R3</f>
        <v>11535600</v>
      </c>
      <c r="S23" s="53">
        <f>R23-S9</f>
        <v>11185600</v>
      </c>
      <c r="T23" s="56">
        <f>S23-T3</f>
        <v>9585600</v>
      </c>
      <c r="U23" s="53">
        <f>T23-U3</f>
        <v>9085600</v>
      </c>
      <c r="V23" s="53">
        <f>U23-V3</f>
        <v>8885600</v>
      </c>
      <c r="W23" s="5">
        <f>V23-W3</f>
        <v>8785600</v>
      </c>
      <c r="X23" s="5">
        <f>W23-X8</f>
        <v>7285600</v>
      </c>
      <c r="Y23" s="5">
        <f>X23-SUM(Y6:Y8)</f>
        <v>6885600</v>
      </c>
      <c r="Z23" s="57">
        <f>Y23-Z3</f>
        <v>5185600</v>
      </c>
      <c r="AA23" s="5">
        <f>Z23- SUM(AA3,AA9)</f>
        <v>4585600</v>
      </c>
      <c r="AB23" s="5">
        <f>AA23-AB5</f>
        <v>4185600</v>
      </c>
      <c r="AC23" s="5">
        <f>AB23-SUM(AC8:AC9)</f>
        <v>3785600</v>
      </c>
      <c r="AD23" s="5">
        <v>3485600</v>
      </c>
      <c r="AE23" s="5">
        <f>AD23-AE4</f>
        <v>3135600</v>
      </c>
    </row>
    <row r="24" spans="1:31" x14ac:dyDescent="0.25">
      <c r="N24">
        <v>13316000</v>
      </c>
    </row>
    <row r="25" spans="1:31" x14ac:dyDescent="0.25">
      <c r="U25">
        <v>2310000</v>
      </c>
      <c r="W25">
        <v>1650000.0000000002</v>
      </c>
    </row>
    <row r="26" spans="1:31" x14ac:dyDescent="0.25">
      <c r="U26">
        <v>1995000</v>
      </c>
      <c r="W26">
        <v>725000</v>
      </c>
    </row>
    <row r="27" spans="1:31" x14ac:dyDescent="0.25">
      <c r="A27" t="s">
        <v>437</v>
      </c>
      <c r="B27" s="3"/>
      <c r="C27" s="3" t="s">
        <v>522</v>
      </c>
      <c r="D27" s="63">
        <v>45890</v>
      </c>
      <c r="E27" s="2">
        <v>45895</v>
      </c>
      <c r="U27">
        <f>U25-U26</f>
        <v>315000</v>
      </c>
      <c r="W27">
        <f>W25-W26</f>
        <v>925000.00000000023</v>
      </c>
    </row>
    <row r="28" spans="1:31" x14ac:dyDescent="0.25">
      <c r="A28" t="s">
        <v>463</v>
      </c>
      <c r="B28" s="3">
        <v>900000</v>
      </c>
      <c r="C28" s="3"/>
      <c r="D28" s="3"/>
      <c r="E28" s="3"/>
    </row>
    <row r="29" spans="1:31" x14ac:dyDescent="0.25">
      <c r="A29" t="s">
        <v>464</v>
      </c>
      <c r="B29" s="3">
        <v>4250000</v>
      </c>
      <c r="C29" s="3">
        <v>4675000</v>
      </c>
      <c r="D29" s="3"/>
      <c r="E29" s="3"/>
    </row>
    <row r="30" spans="1:31" x14ac:dyDescent="0.25">
      <c r="A30" t="s">
        <v>465</v>
      </c>
      <c r="B30" s="3">
        <v>396000</v>
      </c>
      <c r="C30" s="3">
        <v>435600.00000000006</v>
      </c>
      <c r="D30" s="3"/>
      <c r="E30" s="3"/>
    </row>
    <row r="31" spans="1:31" x14ac:dyDescent="0.25">
      <c r="A31" t="s">
        <v>466</v>
      </c>
      <c r="B31" s="3">
        <v>1200000</v>
      </c>
      <c r="C31" s="3">
        <v>1320000</v>
      </c>
      <c r="D31" s="3"/>
      <c r="E31" s="3"/>
    </row>
    <row r="32" spans="1:31" x14ac:dyDescent="0.25">
      <c r="A32" t="s">
        <v>467</v>
      </c>
      <c r="B32" s="3">
        <v>250000</v>
      </c>
      <c r="C32" s="3">
        <v>275000</v>
      </c>
      <c r="D32" s="3"/>
      <c r="E32" s="3"/>
    </row>
    <row r="33" spans="1:5" x14ac:dyDescent="0.25">
      <c r="A33" t="s">
        <v>468</v>
      </c>
      <c r="B33" s="3">
        <v>400000</v>
      </c>
      <c r="C33" s="3">
        <v>440000.00000000006</v>
      </c>
      <c r="D33" s="3"/>
      <c r="E33" s="3"/>
    </row>
    <row r="34" spans="1:5" x14ac:dyDescent="0.25">
      <c r="A34" t="s">
        <v>469</v>
      </c>
      <c r="B34" s="3">
        <v>2100000</v>
      </c>
      <c r="C34" s="3">
        <v>2310000</v>
      </c>
      <c r="D34" s="3">
        <v>315000</v>
      </c>
      <c r="E34" s="3"/>
    </row>
    <row r="35" spans="1:5" x14ac:dyDescent="0.25">
      <c r="A35" t="s">
        <v>470</v>
      </c>
      <c r="B35" s="3">
        <v>1500000</v>
      </c>
      <c r="C35" s="3">
        <v>1650000.0000000002</v>
      </c>
      <c r="D35" s="3">
        <v>85000</v>
      </c>
      <c r="E35" s="3">
        <v>300000</v>
      </c>
    </row>
    <row r="36" spans="1:5" x14ac:dyDescent="0.25">
      <c r="A36" t="s">
        <v>471</v>
      </c>
      <c r="B36" s="3">
        <v>700000</v>
      </c>
      <c r="C36" s="3">
        <v>770000.00000000012</v>
      </c>
      <c r="D36" s="3"/>
      <c r="E36" s="3"/>
    </row>
    <row r="37" spans="1:5" x14ac:dyDescent="0.25">
      <c r="A37" t="s">
        <v>472</v>
      </c>
      <c r="B37" s="3">
        <v>260000</v>
      </c>
      <c r="C37" s="3"/>
      <c r="D37" s="3"/>
      <c r="E37" s="3"/>
    </row>
    <row r="38" spans="1:5" x14ac:dyDescent="0.25">
      <c r="A38" t="s">
        <v>473</v>
      </c>
      <c r="B38" s="3">
        <v>1170000</v>
      </c>
      <c r="C38" s="3"/>
      <c r="D38" s="3"/>
      <c r="E38" s="3"/>
    </row>
    <row r="39" spans="1:5" x14ac:dyDescent="0.25">
      <c r="A39" t="s">
        <v>463</v>
      </c>
      <c r="B39" s="3">
        <v>4750000</v>
      </c>
      <c r="C39" s="3"/>
      <c r="D39" s="3"/>
      <c r="E39" s="3"/>
    </row>
    <row r="40" spans="1:5" x14ac:dyDescent="0.25">
      <c r="A40" t="s">
        <v>511</v>
      </c>
      <c r="B40" s="3">
        <v>200000</v>
      </c>
      <c r="C40" s="3"/>
      <c r="D40" s="3"/>
      <c r="E40" s="3"/>
    </row>
    <row r="41" spans="1:5" x14ac:dyDescent="0.25">
      <c r="A41" t="s">
        <v>512</v>
      </c>
      <c r="B41" s="3">
        <v>600000</v>
      </c>
      <c r="C41" s="3"/>
      <c r="D41" s="3"/>
      <c r="E41" s="3"/>
    </row>
    <row r="42" spans="1:5" x14ac:dyDescent="0.25">
      <c r="A42" t="s">
        <v>513</v>
      </c>
      <c r="B42" s="3">
        <v>450000</v>
      </c>
      <c r="C42" s="3"/>
      <c r="D42" s="3"/>
      <c r="E42" s="3"/>
    </row>
    <row r="43" spans="1:5" x14ac:dyDescent="0.25">
      <c r="A43" t="s">
        <v>514</v>
      </c>
      <c r="B43" s="3">
        <v>150000</v>
      </c>
      <c r="C43" s="3"/>
      <c r="D43" s="3"/>
      <c r="E43" s="3"/>
    </row>
    <row r="44" spans="1:5" x14ac:dyDescent="0.25">
      <c r="A44" t="s">
        <v>515</v>
      </c>
      <c r="B44" s="3">
        <v>200000</v>
      </c>
      <c r="C44" s="3"/>
      <c r="D44" s="3"/>
      <c r="E44" s="3"/>
    </row>
    <row r="45" spans="1:5" x14ac:dyDescent="0.25">
      <c r="A45" t="s">
        <v>516</v>
      </c>
      <c r="B45" s="3">
        <v>600000</v>
      </c>
      <c r="C45" s="3">
        <v>660000</v>
      </c>
      <c r="D45" s="3"/>
      <c r="E45" s="3"/>
    </row>
    <row r="46" spans="1:5" x14ac:dyDescent="0.25">
      <c r="A46" t="s">
        <v>517</v>
      </c>
      <c r="B46" s="3">
        <v>300000</v>
      </c>
      <c r="C46" s="3"/>
      <c r="D46" s="3"/>
      <c r="E46" s="3"/>
    </row>
    <row r="47" spans="1:5" x14ac:dyDescent="0.25">
      <c r="A47" t="s">
        <v>518</v>
      </c>
      <c r="B47" s="3">
        <v>400000</v>
      </c>
      <c r="C47" s="3"/>
      <c r="D47" s="3"/>
      <c r="E47" s="3"/>
    </row>
    <row r="48" spans="1:5" x14ac:dyDescent="0.25">
      <c r="B48" s="3"/>
      <c r="C48" s="3"/>
      <c r="D48" s="3"/>
      <c r="E48" s="3"/>
    </row>
    <row r="49" spans="1:5" ht="28.5" x14ac:dyDescent="0.45">
      <c r="A49" t="s">
        <v>24</v>
      </c>
      <c r="B49" s="53">
        <v>20776000</v>
      </c>
      <c r="C49" s="53">
        <v>12535600</v>
      </c>
      <c r="D49" s="53">
        <v>3785600</v>
      </c>
      <c r="E49" s="5">
        <f>D49-E35</f>
        <v>3485600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DF20-965F-43F0-982A-981D11AC635D}">
  <dimension ref="A1:S13"/>
  <sheetViews>
    <sheetView topLeftCell="H1" workbookViewId="0">
      <selection activeCell="S4" sqref="S4"/>
    </sheetView>
  </sheetViews>
  <sheetFormatPr baseColWidth="10" defaultRowHeight="15" x14ac:dyDescent="0.25"/>
  <cols>
    <col min="1" max="1" width="27.140625" bestFit="1" customWidth="1"/>
    <col min="3" max="3" width="11.85546875" bestFit="1" customWidth="1"/>
    <col min="4" max="5" width="17.85546875" bestFit="1" customWidth="1"/>
    <col min="7" max="7" width="17.85546875" bestFit="1" customWidth="1"/>
    <col min="9" max="9" width="17.85546875" bestFit="1" customWidth="1"/>
    <col min="10" max="10" width="10.28515625" customWidth="1"/>
    <col min="11" max="11" width="17.85546875" bestFit="1" customWidth="1"/>
    <col min="16" max="16" width="18.28515625" bestFit="1" customWidth="1"/>
    <col min="17" max="17" width="13.28515625" bestFit="1" customWidth="1"/>
    <col min="18" max="18" width="15.5703125" bestFit="1" customWidth="1"/>
    <col min="19" max="19" width="13.28515625" bestFit="1" customWidth="1"/>
  </cols>
  <sheetData>
    <row r="1" spans="1:19" x14ac:dyDescent="0.25">
      <c r="A1" s="38" t="s">
        <v>437</v>
      </c>
      <c r="B1" s="38" t="s">
        <v>438</v>
      </c>
      <c r="C1" s="38" t="s">
        <v>440</v>
      </c>
      <c r="D1" s="38" t="s">
        <v>441</v>
      </c>
      <c r="E1" s="38" t="s">
        <v>444</v>
      </c>
      <c r="F1" s="38" t="s">
        <v>446</v>
      </c>
      <c r="G1" s="43" t="s">
        <v>450</v>
      </c>
      <c r="H1" s="43" t="s">
        <v>452</v>
      </c>
      <c r="I1" s="38" t="s">
        <v>453</v>
      </c>
      <c r="J1" s="38" t="s">
        <v>455</v>
      </c>
      <c r="K1" s="38" t="s">
        <v>460</v>
      </c>
      <c r="L1" s="38" t="s">
        <v>474</v>
      </c>
      <c r="M1" s="4">
        <v>45737</v>
      </c>
      <c r="N1" s="4">
        <v>45744</v>
      </c>
      <c r="P1" s="38" t="s">
        <v>437</v>
      </c>
      <c r="Q1" s="38" t="s">
        <v>439</v>
      </c>
      <c r="R1" s="4">
        <v>45769</v>
      </c>
      <c r="S1" s="4">
        <v>45772</v>
      </c>
    </row>
    <row r="2" spans="1:19" x14ac:dyDescent="0.25">
      <c r="A2" s="39" t="s">
        <v>434</v>
      </c>
      <c r="B2" s="40">
        <v>4900000</v>
      </c>
      <c r="C2" s="39">
        <v>3650000</v>
      </c>
      <c r="D2" s="39">
        <v>1250000</v>
      </c>
      <c r="E2" s="39"/>
      <c r="F2" s="39"/>
      <c r="G2" s="39"/>
      <c r="H2" s="39"/>
      <c r="I2" s="39"/>
      <c r="J2" s="39"/>
      <c r="K2" s="3"/>
      <c r="L2" s="3"/>
      <c r="M2" s="3"/>
      <c r="N2" s="3"/>
      <c r="P2" s="39" t="s">
        <v>434</v>
      </c>
      <c r="Q2" s="39">
        <v>0</v>
      </c>
      <c r="R2" s="37"/>
      <c r="S2" s="3"/>
    </row>
    <row r="3" spans="1:19" x14ac:dyDescent="0.25">
      <c r="A3" s="3" t="s">
        <v>435</v>
      </c>
      <c r="B3" s="3">
        <v>3200000</v>
      </c>
      <c r="C3" s="3"/>
      <c r="D3" s="3"/>
      <c r="E3" s="3">
        <v>1000000</v>
      </c>
      <c r="F3" s="3">
        <v>200000</v>
      </c>
      <c r="G3" s="3">
        <v>100000</v>
      </c>
      <c r="H3" s="3">
        <v>0</v>
      </c>
      <c r="I3" s="3">
        <v>500000</v>
      </c>
      <c r="J3" s="3"/>
      <c r="K3" s="3"/>
      <c r="L3" s="3"/>
      <c r="M3" s="3"/>
      <c r="N3" s="3">
        <v>1400000</v>
      </c>
      <c r="P3" s="39" t="s">
        <v>435</v>
      </c>
      <c r="Q3" s="39">
        <f>B3-(E3+F3+G3+H3+I3+N3)</f>
        <v>0</v>
      </c>
      <c r="R3" s="3"/>
      <c r="S3" s="3"/>
    </row>
    <row r="4" spans="1:19" x14ac:dyDescent="0.25">
      <c r="A4" s="3" t="s">
        <v>436</v>
      </c>
      <c r="B4" s="3">
        <v>2700000</v>
      </c>
      <c r="C4" s="3"/>
      <c r="D4" s="3">
        <v>1300000</v>
      </c>
      <c r="E4" s="3"/>
      <c r="F4" s="3"/>
      <c r="G4" s="3"/>
      <c r="H4" s="3"/>
      <c r="I4" s="3"/>
      <c r="J4" s="3">
        <v>1000000</v>
      </c>
      <c r="K4" s="3"/>
      <c r="L4" s="3"/>
      <c r="M4" s="3"/>
      <c r="N4" s="3">
        <v>150000</v>
      </c>
      <c r="P4" s="39" t="s">
        <v>436</v>
      </c>
      <c r="Q4" s="39">
        <f>B4-D4-J4-N4-S4</f>
        <v>0</v>
      </c>
      <c r="R4" s="3"/>
      <c r="S4" s="3">
        <v>250000</v>
      </c>
    </row>
    <row r="5" spans="1:19" x14ac:dyDescent="0.25">
      <c r="A5" s="3" t="s">
        <v>462</v>
      </c>
      <c r="B5" s="3">
        <f>2535000 + 900000</f>
        <v>3435000</v>
      </c>
      <c r="C5" s="3"/>
      <c r="D5" s="3"/>
      <c r="E5" s="3"/>
      <c r="F5" s="3"/>
      <c r="G5" s="3"/>
      <c r="H5" s="3"/>
      <c r="I5" s="3"/>
      <c r="J5" s="3">
        <v>1400000</v>
      </c>
      <c r="K5" s="3">
        <v>500000</v>
      </c>
      <c r="L5" s="3"/>
      <c r="M5" s="3"/>
      <c r="N5" s="3"/>
      <c r="P5" s="39" t="s">
        <v>462</v>
      </c>
      <c r="Q5" s="39">
        <f>B5-D5-J5-K5-R5-S5</f>
        <v>0</v>
      </c>
      <c r="R5" s="3">
        <v>100000</v>
      </c>
      <c r="S5" s="3">
        <v>1435000</v>
      </c>
    </row>
    <row r="6" spans="1:19" x14ac:dyDescent="0.25">
      <c r="A6" s="39" t="s">
        <v>420</v>
      </c>
      <c r="B6" s="39">
        <v>1900000</v>
      </c>
      <c r="C6" s="39">
        <v>450000</v>
      </c>
      <c r="D6" s="39">
        <v>1450000</v>
      </c>
      <c r="E6" s="39"/>
      <c r="F6" s="39"/>
      <c r="G6" s="39"/>
      <c r="H6" s="39"/>
      <c r="I6" s="39"/>
      <c r="J6" s="39"/>
      <c r="K6" s="3"/>
      <c r="L6" s="3"/>
      <c r="M6" s="3"/>
      <c r="N6" s="3"/>
      <c r="P6" s="39" t="s">
        <v>420</v>
      </c>
      <c r="Q6" s="39">
        <f>B6-D6-C6</f>
        <v>0</v>
      </c>
      <c r="R6" s="3"/>
      <c r="S6" s="3"/>
    </row>
    <row r="7" spans="1:19" x14ac:dyDescent="0.25">
      <c r="A7" s="22" t="s">
        <v>454</v>
      </c>
      <c r="B7" s="3">
        <v>2550000</v>
      </c>
      <c r="C7" s="3"/>
      <c r="D7" s="3"/>
      <c r="E7" s="3"/>
      <c r="F7" s="3"/>
      <c r="G7" s="3"/>
      <c r="H7" s="3"/>
      <c r="I7" s="3"/>
      <c r="J7" s="3">
        <v>1000000</v>
      </c>
      <c r="K7" s="3"/>
      <c r="L7" s="3">
        <v>300000</v>
      </c>
      <c r="M7" s="3">
        <v>300000</v>
      </c>
      <c r="N7" s="3">
        <v>950000</v>
      </c>
      <c r="P7" s="48" t="s">
        <v>454</v>
      </c>
      <c r="Q7" s="39">
        <f>B7-J7-L7-M7-N7</f>
        <v>0</v>
      </c>
      <c r="R7" s="3"/>
      <c r="S7" s="3"/>
    </row>
    <row r="8" spans="1:19" x14ac:dyDescent="0.25">
      <c r="A8" s="1" t="s">
        <v>24</v>
      </c>
      <c r="B8" s="37">
        <f>SUM(B2:B7)</f>
        <v>18685000</v>
      </c>
      <c r="C8" s="37">
        <f>SUM(C2:C6)</f>
        <v>4100000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P8" s="1" t="s">
        <v>24</v>
      </c>
      <c r="Q8" s="3"/>
      <c r="R8" s="3"/>
      <c r="S8" s="3"/>
    </row>
    <row r="9" spans="1:19" ht="26.25" x14ac:dyDescent="0.4">
      <c r="D9" s="3">
        <f>SUM(D2:D8)</f>
        <v>4000000</v>
      </c>
      <c r="E9" s="3"/>
      <c r="F9" s="3"/>
      <c r="G9" s="3"/>
      <c r="H9" s="3"/>
      <c r="I9" s="3"/>
      <c r="J9" s="3"/>
      <c r="K9" s="3"/>
      <c r="L9" s="3"/>
      <c r="M9" s="3"/>
      <c r="N9" s="3"/>
      <c r="Q9" s="41">
        <f>SUM(Q2:Q8)</f>
        <v>0</v>
      </c>
      <c r="R9" s="5"/>
      <c r="S9" s="41">
        <f>SUM(S4:S5)</f>
        <v>1685000</v>
      </c>
    </row>
    <row r="13" spans="1:19" x14ac:dyDescent="0.25">
      <c r="F13">
        <f>B5-J5-K5</f>
        <v>1535000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F520-FF06-4100-8094-42CE72F4379C}">
  <dimension ref="A1:D25"/>
  <sheetViews>
    <sheetView topLeftCell="A7" workbookViewId="0">
      <selection activeCell="C25" sqref="C25:D25"/>
    </sheetView>
  </sheetViews>
  <sheetFormatPr baseColWidth="10" defaultRowHeight="15" x14ac:dyDescent="0.25"/>
  <cols>
    <col min="1" max="1" width="18" bestFit="1" customWidth="1"/>
    <col min="2" max="2" width="16.85546875" bestFit="1" customWidth="1"/>
    <col min="3" max="3" width="18.85546875" bestFit="1" customWidth="1"/>
  </cols>
  <sheetData>
    <row r="1" spans="1:3" ht="26.25" x14ac:dyDescent="0.4">
      <c r="A1" s="16" t="s">
        <v>116</v>
      </c>
      <c r="B1" s="16" t="s">
        <v>117</v>
      </c>
      <c r="C1" s="16" t="s">
        <v>14</v>
      </c>
    </row>
    <row r="2" spans="1:3" x14ac:dyDescent="0.25">
      <c r="A2" s="3">
        <v>5057</v>
      </c>
      <c r="B2" s="3">
        <v>1477956</v>
      </c>
      <c r="C2" s="3">
        <v>209434</v>
      </c>
    </row>
    <row r="3" spans="1:3" x14ac:dyDescent="0.25">
      <c r="A3" s="3">
        <v>2566</v>
      </c>
      <c r="B3" s="3">
        <v>3600000</v>
      </c>
      <c r="C3" s="3">
        <v>624793</v>
      </c>
    </row>
    <row r="4" spans="1:3" x14ac:dyDescent="0.25">
      <c r="A4" s="3">
        <v>2572</v>
      </c>
      <c r="B4" s="3">
        <v>3794848</v>
      </c>
      <c r="C4" s="3">
        <v>658610</v>
      </c>
    </row>
    <row r="5" spans="1:3" x14ac:dyDescent="0.25">
      <c r="A5" s="3">
        <v>1159</v>
      </c>
      <c r="B5" s="3">
        <v>97657</v>
      </c>
      <c r="C5" s="3">
        <v>9114</v>
      </c>
    </row>
    <row r="6" spans="1:3" x14ac:dyDescent="0.25">
      <c r="A6" s="3">
        <v>7220</v>
      </c>
      <c r="B6" s="3">
        <v>159822</v>
      </c>
      <c r="C6" s="3">
        <v>27309</v>
      </c>
    </row>
    <row r="7" spans="1:3" x14ac:dyDescent="0.25">
      <c r="A7" s="3">
        <v>9690</v>
      </c>
      <c r="B7" s="3">
        <v>9644</v>
      </c>
      <c r="C7" s="3">
        <v>1673</v>
      </c>
    </row>
    <row r="8" spans="1:3" x14ac:dyDescent="0.25">
      <c r="A8" s="3">
        <v>1296</v>
      </c>
      <c r="B8" s="3">
        <v>49369</v>
      </c>
      <c r="C8" s="3">
        <v>8568</v>
      </c>
    </row>
    <row r="9" spans="1:3" x14ac:dyDescent="0.25">
      <c r="A9" s="3">
        <v>6297</v>
      </c>
      <c r="B9" s="3">
        <v>19700</v>
      </c>
      <c r="C9" s="3">
        <v>3419</v>
      </c>
    </row>
    <row r="10" spans="1:3" x14ac:dyDescent="0.25">
      <c r="A10" s="3">
        <v>2534</v>
      </c>
      <c r="B10" s="3">
        <v>80057</v>
      </c>
      <c r="C10" s="3">
        <v>13695</v>
      </c>
    </row>
    <row r="11" spans="1:3" x14ac:dyDescent="0.25">
      <c r="A11" s="3">
        <v>6031</v>
      </c>
      <c r="B11" s="3">
        <v>14750</v>
      </c>
      <c r="C11" s="3">
        <v>2559</v>
      </c>
    </row>
    <row r="12" spans="1:3" x14ac:dyDescent="0.25">
      <c r="A12" s="3">
        <v>5628</v>
      </c>
      <c r="B12" s="3">
        <v>12251</v>
      </c>
      <c r="C12" s="3">
        <v>2126</v>
      </c>
    </row>
    <row r="13" spans="1:3" x14ac:dyDescent="0.25">
      <c r="A13" s="3">
        <v>5627</v>
      </c>
      <c r="B13" s="3">
        <v>8195</v>
      </c>
      <c r="C13" s="3">
        <v>1422</v>
      </c>
    </row>
    <row r="14" spans="1:3" x14ac:dyDescent="0.25">
      <c r="A14" s="3">
        <v>5758</v>
      </c>
      <c r="B14" s="3">
        <v>90602</v>
      </c>
      <c r="C14" s="3">
        <v>15520</v>
      </c>
    </row>
    <row r="15" spans="1:3" x14ac:dyDescent="0.25">
      <c r="A15" s="3">
        <v>4370</v>
      </c>
      <c r="B15" s="3">
        <v>11322</v>
      </c>
      <c r="C15" s="3">
        <v>1956</v>
      </c>
    </row>
    <row r="16" spans="1:3" x14ac:dyDescent="0.25">
      <c r="A16" s="3">
        <v>3704</v>
      </c>
      <c r="B16" s="3">
        <v>350702</v>
      </c>
      <c r="C16" s="3">
        <v>59876</v>
      </c>
    </row>
    <row r="17" spans="1:4" x14ac:dyDescent="0.25">
      <c r="A17" s="3">
        <v>7998</v>
      </c>
      <c r="B17" s="3">
        <v>18794</v>
      </c>
      <c r="C17" s="3">
        <v>3232</v>
      </c>
    </row>
    <row r="18" spans="1:4" x14ac:dyDescent="0.25">
      <c r="A18" s="3">
        <v>5581</v>
      </c>
      <c r="B18" s="3">
        <v>332595</v>
      </c>
      <c r="C18" s="3">
        <v>56807</v>
      </c>
    </row>
    <row r="19" spans="1:4" x14ac:dyDescent="0.25">
      <c r="A19" s="3">
        <v>2419</v>
      </c>
      <c r="B19" s="3">
        <v>13818</v>
      </c>
      <c r="C19" s="3">
        <v>2901</v>
      </c>
    </row>
    <row r="20" spans="1:4" x14ac:dyDescent="0.25">
      <c r="A20" s="3">
        <v>4924</v>
      </c>
      <c r="B20" s="3">
        <v>446298</v>
      </c>
      <c r="C20" s="3">
        <v>77456</v>
      </c>
    </row>
    <row r="21" spans="1:4" x14ac:dyDescent="0.25">
      <c r="A21" s="3">
        <v>5010</v>
      </c>
      <c r="B21" s="3">
        <v>200708</v>
      </c>
      <c r="C21" s="3">
        <v>34846</v>
      </c>
    </row>
    <row r="22" spans="1:4" ht="28.5" x14ac:dyDescent="0.45">
      <c r="A22" s="3"/>
      <c r="B22" s="3"/>
      <c r="C22" s="53">
        <f>SUM(C2:C21)</f>
        <v>1815316</v>
      </c>
    </row>
    <row r="23" spans="1:4" x14ac:dyDescent="0.25">
      <c r="C23" s="22">
        <v>4119000</v>
      </c>
    </row>
    <row r="24" spans="1:4" ht="26.25" x14ac:dyDescent="0.4">
      <c r="C24" s="28">
        <f>C23-C22</f>
        <v>2303684</v>
      </c>
    </row>
    <row r="25" spans="1:4" x14ac:dyDescent="0.25">
      <c r="C25" s="45">
        <f>C24-1880000</f>
        <v>423684</v>
      </c>
      <c r="D25" s="45" t="s">
        <v>609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D343-CC30-4E5A-A74A-2FEFCA55E0A7}">
  <dimension ref="A1:C25"/>
  <sheetViews>
    <sheetView workbookViewId="0">
      <selection sqref="A1:C1"/>
    </sheetView>
  </sheetViews>
  <sheetFormatPr baseColWidth="10" defaultRowHeight="15" x14ac:dyDescent="0.25"/>
  <cols>
    <col min="1" max="1" width="18" bestFit="1" customWidth="1"/>
    <col min="2" max="2" width="16.85546875" bestFit="1" customWidth="1"/>
    <col min="3" max="3" width="16" bestFit="1" customWidth="1"/>
  </cols>
  <sheetData>
    <row r="1" spans="1:3" ht="26.25" x14ac:dyDescent="0.4">
      <c r="A1" s="16" t="s">
        <v>116</v>
      </c>
      <c r="B1" s="16" t="s">
        <v>117</v>
      </c>
      <c r="C1" s="16" t="s">
        <v>14</v>
      </c>
    </row>
    <row r="2" spans="1:3" x14ac:dyDescent="0.25">
      <c r="A2" s="3">
        <v>3761</v>
      </c>
      <c r="B2" s="3">
        <v>145120</v>
      </c>
      <c r="C2" s="3">
        <v>24799</v>
      </c>
    </row>
    <row r="3" spans="1:3" x14ac:dyDescent="0.25">
      <c r="A3" s="3">
        <v>575</v>
      </c>
      <c r="B3" s="3">
        <v>702961</v>
      </c>
      <c r="C3" s="3">
        <v>120272</v>
      </c>
    </row>
    <row r="4" spans="1:3" x14ac:dyDescent="0.25">
      <c r="A4" s="3">
        <v>572</v>
      </c>
      <c r="B4" s="3">
        <v>32731</v>
      </c>
      <c r="C4" s="3">
        <v>5611</v>
      </c>
    </row>
    <row r="5" spans="1:3" x14ac:dyDescent="0.25">
      <c r="A5" s="3">
        <v>4459</v>
      </c>
      <c r="B5" s="3">
        <v>36797</v>
      </c>
      <c r="C5" s="3">
        <v>6386</v>
      </c>
    </row>
    <row r="6" spans="1:3" x14ac:dyDescent="0.25">
      <c r="A6" s="3">
        <v>408</v>
      </c>
      <c r="B6" s="3">
        <v>1660607</v>
      </c>
      <c r="C6" s="3">
        <v>288204</v>
      </c>
    </row>
    <row r="7" spans="1:3" x14ac:dyDescent="0.25">
      <c r="A7" s="3">
        <v>3342</v>
      </c>
      <c r="B7" s="3">
        <v>471693</v>
      </c>
      <c r="C7" s="3">
        <v>81864</v>
      </c>
    </row>
    <row r="8" spans="1:3" x14ac:dyDescent="0.25">
      <c r="A8" s="3">
        <v>9367</v>
      </c>
      <c r="B8" s="3">
        <v>43443</v>
      </c>
      <c r="C8" s="3">
        <v>7593</v>
      </c>
    </row>
    <row r="9" spans="1:3" x14ac:dyDescent="0.25">
      <c r="A9" s="3">
        <v>4334</v>
      </c>
      <c r="B9" s="3">
        <v>473481</v>
      </c>
      <c r="C9" s="3">
        <v>82174</v>
      </c>
    </row>
    <row r="10" spans="1:3" x14ac:dyDescent="0.25">
      <c r="A10" s="3">
        <v>4507</v>
      </c>
      <c r="B10" s="3">
        <v>349422</v>
      </c>
      <c r="C10" s="3">
        <v>60643</v>
      </c>
    </row>
    <row r="11" spans="1:3" x14ac:dyDescent="0.25">
      <c r="A11" s="3">
        <v>348</v>
      </c>
      <c r="B11" s="3">
        <v>3281963</v>
      </c>
      <c r="C11" s="3">
        <v>569596</v>
      </c>
    </row>
    <row r="12" spans="1:3" x14ac:dyDescent="0.25">
      <c r="A12" s="3">
        <v>4684</v>
      </c>
      <c r="B12" s="3">
        <v>260296</v>
      </c>
      <c r="C12" s="3">
        <v>45175</v>
      </c>
    </row>
    <row r="13" spans="1:3" x14ac:dyDescent="0.25">
      <c r="A13" s="3">
        <v>4382</v>
      </c>
      <c r="B13" s="3">
        <v>17783</v>
      </c>
      <c r="C13" s="3">
        <v>3059</v>
      </c>
    </row>
    <row r="14" spans="1:3" x14ac:dyDescent="0.25">
      <c r="A14" s="3">
        <v>4176</v>
      </c>
      <c r="B14" s="3">
        <v>23301</v>
      </c>
      <c r="C14" s="3">
        <v>4044</v>
      </c>
    </row>
    <row r="15" spans="1:3" x14ac:dyDescent="0.25">
      <c r="A15" s="3">
        <v>516</v>
      </c>
      <c r="B15" s="3">
        <v>30589</v>
      </c>
      <c r="C15" s="3">
        <v>5308</v>
      </c>
    </row>
    <row r="16" spans="1:3" x14ac:dyDescent="0.25">
      <c r="A16" s="3">
        <v>673</v>
      </c>
      <c r="B16" s="3">
        <v>94070</v>
      </c>
      <c r="C16" s="3">
        <v>16326</v>
      </c>
    </row>
    <row r="17" spans="1:3" x14ac:dyDescent="0.25">
      <c r="A17" s="3">
        <v>8246</v>
      </c>
      <c r="B17" s="3">
        <v>30131</v>
      </c>
      <c r="C17" s="3">
        <v>5144</v>
      </c>
    </row>
    <row r="18" spans="1:3" x14ac:dyDescent="0.25">
      <c r="A18" s="3">
        <v>8558</v>
      </c>
      <c r="B18" s="3">
        <v>59006</v>
      </c>
      <c r="C18" s="3">
        <v>10074</v>
      </c>
    </row>
    <row r="19" spans="1:3" x14ac:dyDescent="0.25">
      <c r="A19" s="3">
        <v>359</v>
      </c>
      <c r="B19" s="3">
        <v>13844</v>
      </c>
      <c r="C19" s="3">
        <v>2402</v>
      </c>
    </row>
    <row r="20" spans="1:3" x14ac:dyDescent="0.25">
      <c r="A20" s="3">
        <v>357</v>
      </c>
      <c r="B20" s="3">
        <v>4500000</v>
      </c>
      <c r="C20" s="3">
        <v>780991</v>
      </c>
    </row>
    <row r="21" spans="1:3" x14ac:dyDescent="0.25">
      <c r="A21" s="3">
        <v>4835</v>
      </c>
      <c r="B21" s="3">
        <v>135720</v>
      </c>
      <c r="C21" s="3">
        <v>23195</v>
      </c>
    </row>
    <row r="22" spans="1:3" x14ac:dyDescent="0.25">
      <c r="A22" s="3">
        <v>1746</v>
      </c>
      <c r="B22" s="3">
        <v>14005</v>
      </c>
      <c r="C22" s="3">
        <v>2391</v>
      </c>
    </row>
    <row r="23" spans="1:3" x14ac:dyDescent="0.25">
      <c r="A23" s="3">
        <v>392</v>
      </c>
      <c r="B23" s="3">
        <v>86279</v>
      </c>
      <c r="C23" s="3">
        <v>14974</v>
      </c>
    </row>
    <row r="24" spans="1:3" x14ac:dyDescent="0.25">
      <c r="A24" s="22">
        <v>659</v>
      </c>
      <c r="B24" s="22">
        <v>91910</v>
      </c>
      <c r="C24" s="22">
        <v>15715</v>
      </c>
    </row>
    <row r="25" spans="1:3" ht="19.5" x14ac:dyDescent="0.3">
      <c r="A25" s="3"/>
      <c r="B25" s="3"/>
      <c r="C25" s="19">
        <f>SUM(C2:C24)</f>
        <v>2175940</v>
      </c>
    </row>
  </sheetData>
  <autoFilter ref="A1:C1" xr:uid="{3A59D343-CC30-4E5A-A74A-2FEFCA55E0A7}"/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8534-37EB-4351-BBF7-3B2C27846172}">
  <dimension ref="A1:C13"/>
  <sheetViews>
    <sheetView workbookViewId="0">
      <selection sqref="A1:C1"/>
    </sheetView>
  </sheetViews>
  <sheetFormatPr baseColWidth="10" defaultRowHeight="15" x14ac:dyDescent="0.25"/>
  <cols>
    <col min="1" max="1" width="18" bestFit="1" customWidth="1"/>
    <col min="2" max="2" width="16.85546875" bestFit="1" customWidth="1"/>
    <col min="3" max="3" width="16" bestFit="1" customWidth="1"/>
  </cols>
  <sheetData>
    <row r="1" spans="1:3" ht="26.25" x14ac:dyDescent="0.4">
      <c r="A1" s="16" t="s">
        <v>116</v>
      </c>
      <c r="B1" s="16" t="s">
        <v>117</v>
      </c>
      <c r="C1" s="16" t="s">
        <v>14</v>
      </c>
    </row>
    <row r="2" spans="1:3" x14ac:dyDescent="0.25">
      <c r="A2" s="3">
        <v>3814</v>
      </c>
      <c r="B2" s="46">
        <v>3262608</v>
      </c>
      <c r="C2" s="3">
        <v>557053</v>
      </c>
    </row>
    <row r="3" spans="1:3" x14ac:dyDescent="0.25">
      <c r="A3" s="3"/>
      <c r="B3" s="3"/>
      <c r="C3" s="3"/>
    </row>
    <row r="4" spans="1:3" x14ac:dyDescent="0.25">
      <c r="A4" s="3">
        <v>495</v>
      </c>
      <c r="B4" s="46">
        <v>8643</v>
      </c>
      <c r="C4" s="3">
        <v>1500</v>
      </c>
    </row>
    <row r="5" spans="1:3" x14ac:dyDescent="0.25">
      <c r="A5" s="3">
        <v>3039</v>
      </c>
      <c r="B5" s="46">
        <v>15950</v>
      </c>
      <c r="C5" s="3">
        <v>2768</v>
      </c>
    </row>
    <row r="6" spans="1:3" x14ac:dyDescent="0.25">
      <c r="A6" s="3">
        <v>9014</v>
      </c>
      <c r="B6" s="46">
        <v>44176</v>
      </c>
      <c r="C6" s="3">
        <v>7542</v>
      </c>
    </row>
    <row r="7" spans="1:3" x14ac:dyDescent="0.25">
      <c r="A7" s="3">
        <v>7350</v>
      </c>
      <c r="B7" s="46">
        <v>1906921</v>
      </c>
      <c r="C7" s="3">
        <v>327667</v>
      </c>
    </row>
    <row r="8" spans="1:3" x14ac:dyDescent="0.25">
      <c r="A8" s="3"/>
      <c r="B8" s="3"/>
      <c r="C8" s="3"/>
    </row>
    <row r="9" spans="1:3" x14ac:dyDescent="0.25">
      <c r="A9" s="3"/>
      <c r="B9" s="46">
        <v>276983</v>
      </c>
      <c r="C9" s="3">
        <v>47289</v>
      </c>
    </row>
    <row r="10" spans="1:3" x14ac:dyDescent="0.25">
      <c r="A10" s="3">
        <v>4570</v>
      </c>
      <c r="B10" s="46">
        <v>37000</v>
      </c>
      <c r="C10" s="3">
        <v>6421</v>
      </c>
    </row>
    <row r="11" spans="1:3" x14ac:dyDescent="0.25">
      <c r="A11" s="3"/>
      <c r="B11" s="46">
        <v>3930407</v>
      </c>
      <c r="C11" s="3">
        <v>682136</v>
      </c>
    </row>
    <row r="13" spans="1:3" ht="21" x14ac:dyDescent="0.35">
      <c r="A13" s="3"/>
      <c r="B13" s="3"/>
      <c r="C13" s="35">
        <f>SUM(C2:C12)</f>
        <v>1632376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C3EB-9CB4-464C-BC9C-CBE10F99CB3E}">
  <dimension ref="A1:C6"/>
  <sheetViews>
    <sheetView workbookViewId="0">
      <selection sqref="A1:C1"/>
    </sheetView>
  </sheetViews>
  <sheetFormatPr baseColWidth="10" defaultRowHeight="15" x14ac:dyDescent="0.25"/>
  <cols>
    <col min="1" max="1" width="29.85546875" customWidth="1"/>
    <col min="2" max="2" width="15.5703125" bestFit="1" customWidth="1"/>
    <col min="3" max="3" width="15.7109375" bestFit="1" customWidth="1"/>
  </cols>
  <sheetData>
    <row r="1" spans="1:3" ht="26.25" x14ac:dyDescent="0.4">
      <c r="A1" s="16" t="s">
        <v>116</v>
      </c>
      <c r="B1" s="16" t="s">
        <v>117</v>
      </c>
      <c r="C1" s="16" t="s">
        <v>14</v>
      </c>
    </row>
    <row r="2" spans="1:3" ht="26.25" x14ac:dyDescent="0.4">
      <c r="A2" s="33">
        <v>523</v>
      </c>
      <c r="B2" s="33">
        <v>9363659</v>
      </c>
      <c r="C2" s="33">
        <v>1599704</v>
      </c>
    </row>
    <row r="3" spans="1:3" ht="26.25" x14ac:dyDescent="0.4">
      <c r="A3" s="33">
        <v>351</v>
      </c>
      <c r="B3" s="33">
        <v>874000</v>
      </c>
      <c r="C3" s="33">
        <v>151685</v>
      </c>
    </row>
    <row r="4" spans="1:3" ht="26.25" x14ac:dyDescent="0.4">
      <c r="A4" s="33">
        <v>127</v>
      </c>
      <c r="B4" s="33">
        <v>4882763</v>
      </c>
      <c r="C4" s="33">
        <v>82423</v>
      </c>
    </row>
    <row r="5" spans="1:3" ht="26.25" x14ac:dyDescent="0.4">
      <c r="A5" s="33">
        <v>286</v>
      </c>
      <c r="B5" s="33">
        <v>879463</v>
      </c>
      <c r="C5" s="33">
        <v>71501</v>
      </c>
    </row>
    <row r="6" spans="1:3" ht="26.25" x14ac:dyDescent="0.4">
      <c r="A6" s="33" t="s">
        <v>246</v>
      </c>
      <c r="B6" s="33"/>
      <c r="C6" s="5">
        <f>SUM(C2:C5)</f>
        <v>1905313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31C0-814C-477A-9C82-C45174CA87AD}">
  <dimension ref="A1:J64"/>
  <sheetViews>
    <sheetView topLeftCell="A11" workbookViewId="0">
      <selection activeCell="A15" sqref="A15:C26"/>
    </sheetView>
  </sheetViews>
  <sheetFormatPr baseColWidth="10" defaultRowHeight="15" x14ac:dyDescent="0.25"/>
  <cols>
    <col min="1" max="1" width="13.140625" bestFit="1" customWidth="1"/>
    <col min="2" max="2" width="12.28515625" bestFit="1" customWidth="1"/>
    <col min="3" max="3" width="15.5703125" bestFit="1" customWidth="1"/>
    <col min="10" max="10" width="24.7109375" bestFit="1" customWidth="1"/>
  </cols>
  <sheetData>
    <row r="1" spans="1:10" ht="19.5" x14ac:dyDescent="0.3">
      <c r="A1" s="20" t="s">
        <v>116</v>
      </c>
      <c r="B1" s="20" t="s">
        <v>117</v>
      </c>
      <c r="C1" s="20" t="s">
        <v>14</v>
      </c>
    </row>
    <row r="13" spans="1:10" x14ac:dyDescent="0.25">
      <c r="H13" s="1" t="s">
        <v>496</v>
      </c>
      <c r="I13" s="1" t="s">
        <v>3</v>
      </c>
      <c r="J13" s="1" t="s">
        <v>499</v>
      </c>
    </row>
    <row r="14" spans="1:10" x14ac:dyDescent="0.25">
      <c r="A14" s="3"/>
      <c r="B14" s="3"/>
      <c r="C14" s="39"/>
      <c r="E14" s="3"/>
      <c r="H14" s="3">
        <v>74525.95</v>
      </c>
      <c r="I14" s="3" t="s">
        <v>500</v>
      </c>
      <c r="J14" s="3" t="s">
        <v>501</v>
      </c>
    </row>
    <row r="15" spans="1:10" x14ac:dyDescent="0.25">
      <c r="A15" s="3">
        <v>3814</v>
      </c>
      <c r="B15" s="46">
        <v>3262608</v>
      </c>
      <c r="C15" s="3">
        <v>557053</v>
      </c>
      <c r="H15" s="3">
        <v>10052</v>
      </c>
      <c r="I15" s="3" t="s">
        <v>500</v>
      </c>
      <c r="J15" s="3" t="s">
        <v>501</v>
      </c>
    </row>
    <row r="16" spans="1:10" x14ac:dyDescent="0.25">
      <c r="A16" s="3"/>
      <c r="B16" s="3"/>
      <c r="C16" s="3"/>
      <c r="E16" s="44">
        <v>2534369</v>
      </c>
      <c r="H16" s="3">
        <v>1355614.74</v>
      </c>
      <c r="I16" s="3" t="s">
        <v>14</v>
      </c>
      <c r="J16" s="3"/>
    </row>
    <row r="17" spans="1:10" x14ac:dyDescent="0.25">
      <c r="A17" s="3">
        <v>495</v>
      </c>
      <c r="B17" s="46">
        <v>8643</v>
      </c>
      <c r="C17" s="3">
        <v>1500</v>
      </c>
      <c r="H17" s="3">
        <v>8897</v>
      </c>
      <c r="I17" s="3" t="s">
        <v>14</v>
      </c>
      <c r="J17" s="3"/>
    </row>
    <row r="18" spans="1:10" x14ac:dyDescent="0.25">
      <c r="A18" s="3">
        <v>3039</v>
      </c>
      <c r="B18" s="46">
        <v>15950</v>
      </c>
      <c r="C18" s="3">
        <v>2768</v>
      </c>
      <c r="E18" t="e">
        <f>SUM(C16+C17,C18,#REF!+C21)</f>
        <v>#REF!</v>
      </c>
      <c r="H18" s="3">
        <v>276593</v>
      </c>
      <c r="I18" s="2" t="s">
        <v>497</v>
      </c>
      <c r="J18" s="3" t="s">
        <v>498</v>
      </c>
    </row>
    <row r="19" spans="1:10" x14ac:dyDescent="0.25">
      <c r="A19" s="3">
        <v>9014</v>
      </c>
      <c r="B19" s="46">
        <v>44176</v>
      </c>
      <c r="C19" s="3">
        <v>7542</v>
      </c>
      <c r="H19" s="3">
        <v>67372</v>
      </c>
      <c r="I19" s="3" t="s">
        <v>14</v>
      </c>
      <c r="J19" s="3"/>
    </row>
    <row r="20" spans="1:10" x14ac:dyDescent="0.25">
      <c r="A20" s="3">
        <v>7350</v>
      </c>
      <c r="B20" s="46">
        <v>1906921</v>
      </c>
      <c r="C20" s="3">
        <v>327667</v>
      </c>
      <c r="H20" s="9">
        <v>145988</v>
      </c>
      <c r="I20" s="9" t="s">
        <v>14</v>
      </c>
      <c r="J20" s="9" t="s">
        <v>502</v>
      </c>
    </row>
    <row r="21" spans="1:10" x14ac:dyDescent="0.25">
      <c r="A21" s="3"/>
      <c r="B21" s="3"/>
      <c r="C21" s="3"/>
      <c r="H21" s="9">
        <v>129902</v>
      </c>
      <c r="I21" s="9" t="s">
        <v>14</v>
      </c>
      <c r="J21" s="9" t="s">
        <v>502</v>
      </c>
    </row>
    <row r="22" spans="1:10" x14ac:dyDescent="0.25">
      <c r="A22" s="3"/>
      <c r="B22" s="46">
        <v>276983</v>
      </c>
      <c r="C22" s="3">
        <v>47289</v>
      </c>
      <c r="H22" s="9">
        <v>46000</v>
      </c>
      <c r="I22" s="9" t="s">
        <v>14</v>
      </c>
      <c r="J22" s="9" t="s">
        <v>502</v>
      </c>
    </row>
    <row r="23" spans="1:10" x14ac:dyDescent="0.25">
      <c r="A23" s="3">
        <v>4570</v>
      </c>
      <c r="B23" s="46">
        <v>37000</v>
      </c>
      <c r="C23" s="3">
        <v>6421</v>
      </c>
    </row>
    <row r="24" spans="1:10" x14ac:dyDescent="0.25">
      <c r="A24" s="3"/>
      <c r="B24" s="46">
        <v>3930407</v>
      </c>
      <c r="C24" s="3">
        <v>682136</v>
      </c>
    </row>
    <row r="26" spans="1:10" ht="21" x14ac:dyDescent="0.35">
      <c r="A26" s="3"/>
      <c r="B26" s="3"/>
      <c r="C26" s="35">
        <f>SUM(C15:C25)</f>
        <v>1632376</v>
      </c>
    </row>
    <row r="29" spans="1:10" x14ac:dyDescent="0.25">
      <c r="A29" s="3" t="s">
        <v>407</v>
      </c>
      <c r="B29" s="3">
        <v>21879757</v>
      </c>
      <c r="C29" s="3">
        <v>3797313</v>
      </c>
    </row>
    <row r="32" spans="1:10" ht="19.5" x14ac:dyDescent="0.3">
      <c r="A32" s="20" t="s">
        <v>116</v>
      </c>
      <c r="B32" s="20" t="s">
        <v>117</v>
      </c>
      <c r="C32" s="20" t="s">
        <v>14</v>
      </c>
    </row>
    <row r="33" spans="1:6" x14ac:dyDescent="0.25">
      <c r="A33" s="3">
        <v>8014</v>
      </c>
      <c r="B33" s="3">
        <v>42269</v>
      </c>
      <c r="C33" s="9">
        <v>7216</v>
      </c>
    </row>
    <row r="34" spans="1:6" x14ac:dyDescent="0.25">
      <c r="A34" s="3">
        <v>1487</v>
      </c>
      <c r="B34" s="3">
        <v>2580402</v>
      </c>
      <c r="C34" s="9">
        <v>440556</v>
      </c>
    </row>
    <row r="35" spans="1:6" x14ac:dyDescent="0.25">
      <c r="A35" s="3">
        <v>1486</v>
      </c>
      <c r="B35" s="3">
        <v>2873992</v>
      </c>
      <c r="C35" s="9">
        <v>490681</v>
      </c>
    </row>
    <row r="36" spans="1:6" x14ac:dyDescent="0.25">
      <c r="A36" s="3">
        <v>8190</v>
      </c>
      <c r="B36" s="3">
        <v>646481</v>
      </c>
      <c r="C36" s="9">
        <v>110374</v>
      </c>
    </row>
    <row r="37" spans="1:6" x14ac:dyDescent="0.25">
      <c r="A37" s="3">
        <v>6677</v>
      </c>
      <c r="B37" s="3">
        <v>396725</v>
      </c>
      <c r="C37" s="9">
        <v>68853</v>
      </c>
    </row>
    <row r="38" spans="1:6" x14ac:dyDescent="0.25">
      <c r="A38" s="3">
        <v>470</v>
      </c>
      <c r="B38" s="3">
        <v>596008</v>
      </c>
      <c r="C38" s="9">
        <v>103439</v>
      </c>
    </row>
    <row r="39" spans="1:6" x14ac:dyDescent="0.25">
      <c r="A39" s="3">
        <v>3807</v>
      </c>
      <c r="B39" s="3">
        <v>7678991</v>
      </c>
      <c r="C39" s="9">
        <v>1311070</v>
      </c>
    </row>
    <row r="40" spans="1:6" ht="26.25" x14ac:dyDescent="0.4">
      <c r="C40" s="36">
        <f>SUM(C33:C39)</f>
        <v>2532189</v>
      </c>
    </row>
    <row r="41" spans="1:6" x14ac:dyDescent="0.25">
      <c r="C41" s="44">
        <v>1355000</v>
      </c>
    </row>
    <row r="42" spans="1:6" x14ac:dyDescent="0.25">
      <c r="C42">
        <f>SUM(C40-C41)</f>
        <v>1177189</v>
      </c>
    </row>
    <row r="44" spans="1:6" ht="19.5" x14ac:dyDescent="0.3">
      <c r="A44" s="20" t="s">
        <v>116</v>
      </c>
      <c r="B44" s="20" t="s">
        <v>117</v>
      </c>
      <c r="C44" s="20" t="s">
        <v>14</v>
      </c>
      <c r="F44">
        <v>276593</v>
      </c>
    </row>
    <row r="45" spans="1:6" x14ac:dyDescent="0.25">
      <c r="F45">
        <v>8897</v>
      </c>
    </row>
    <row r="46" spans="1:6" x14ac:dyDescent="0.25">
      <c r="F46">
        <v>175800</v>
      </c>
    </row>
    <row r="47" spans="1:6" x14ac:dyDescent="0.25">
      <c r="F47" s="45">
        <f>SUM(F44:F46)</f>
        <v>461290</v>
      </c>
    </row>
    <row r="51" spans="1:3" ht="19.5" x14ac:dyDescent="0.3">
      <c r="A51" s="20" t="s">
        <v>116</v>
      </c>
      <c r="B51" s="20" t="s">
        <v>117</v>
      </c>
      <c r="C51" s="20" t="s">
        <v>14</v>
      </c>
    </row>
    <row r="52" spans="1:3" x14ac:dyDescent="0.25">
      <c r="A52" s="3">
        <v>7722</v>
      </c>
      <c r="B52" s="3">
        <v>84135</v>
      </c>
      <c r="C52" s="46">
        <v>14364</v>
      </c>
    </row>
    <row r="53" spans="1:3" x14ac:dyDescent="0.25">
      <c r="A53" s="3">
        <v>7848</v>
      </c>
      <c r="B53" s="3">
        <v>14407</v>
      </c>
      <c r="C53" s="46">
        <v>2459</v>
      </c>
    </row>
    <row r="54" spans="1:3" x14ac:dyDescent="0.25">
      <c r="A54" s="3" t="s">
        <v>406</v>
      </c>
      <c r="B54" s="3">
        <v>316972</v>
      </c>
      <c r="C54" s="46">
        <v>54117</v>
      </c>
    </row>
    <row r="55" spans="1:3" x14ac:dyDescent="0.25">
      <c r="A55" s="3">
        <v>1379</v>
      </c>
      <c r="B55" s="3">
        <v>202176</v>
      </c>
      <c r="C55" s="46">
        <v>34517</v>
      </c>
    </row>
    <row r="56" spans="1:3" x14ac:dyDescent="0.25">
      <c r="A56" s="3">
        <v>8674</v>
      </c>
      <c r="B56" s="3">
        <v>12540</v>
      </c>
      <c r="C56" s="46">
        <v>2176</v>
      </c>
    </row>
    <row r="57" spans="1:3" x14ac:dyDescent="0.25">
      <c r="A57" s="3">
        <v>8687</v>
      </c>
      <c r="B57" s="3">
        <v>6653</v>
      </c>
      <c r="C57" s="46">
        <v>1154</v>
      </c>
    </row>
    <row r="58" spans="1:3" x14ac:dyDescent="0.25">
      <c r="A58" s="3">
        <v>9716</v>
      </c>
      <c r="B58" s="3">
        <v>1255588</v>
      </c>
      <c r="C58" s="46">
        <v>214368</v>
      </c>
    </row>
    <row r="59" spans="1:3" x14ac:dyDescent="0.25">
      <c r="A59" s="3">
        <v>3367</v>
      </c>
      <c r="B59" s="3">
        <v>283000</v>
      </c>
      <c r="C59" s="46">
        <v>49115</v>
      </c>
    </row>
    <row r="60" spans="1:3" x14ac:dyDescent="0.25">
      <c r="A60" s="3">
        <v>8246</v>
      </c>
      <c r="B60" s="3">
        <v>30131</v>
      </c>
      <c r="C60" s="46">
        <v>5144</v>
      </c>
    </row>
    <row r="61" spans="1:3" x14ac:dyDescent="0.25">
      <c r="A61" s="3">
        <v>8337</v>
      </c>
      <c r="B61" s="3">
        <v>233350</v>
      </c>
      <c r="C61" s="46">
        <v>31439</v>
      </c>
    </row>
    <row r="62" spans="1:3" x14ac:dyDescent="0.25">
      <c r="A62" s="3">
        <v>8726</v>
      </c>
      <c r="B62" s="3">
        <v>191710</v>
      </c>
      <c r="C62" s="46">
        <v>32731</v>
      </c>
    </row>
    <row r="63" spans="1:3" x14ac:dyDescent="0.25">
      <c r="A63" s="3">
        <v>4460</v>
      </c>
      <c r="B63" s="3">
        <v>85319</v>
      </c>
      <c r="C63" s="46">
        <v>14807</v>
      </c>
    </row>
    <row r="64" spans="1:3" ht="26.25" x14ac:dyDescent="0.4">
      <c r="A64" t="s">
        <v>24</v>
      </c>
      <c r="C64" s="28">
        <f>SUM(C52:C63)</f>
        <v>456391</v>
      </c>
    </row>
  </sheetData>
  <autoFilter ref="A1:E1" xr:uid="{E28F31C0-814C-477A-9C82-C45174CA87AD}">
    <sortState xmlns:xlrd2="http://schemas.microsoft.com/office/spreadsheetml/2017/richdata2" ref="A2:E23">
      <sortCondition sortBy="cellColor" ref="C1" dxfId="0"/>
    </sortState>
  </autoFilter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1872-E167-4BF5-BB6E-89EAB73E0B11}">
  <dimension ref="A1:C9"/>
  <sheetViews>
    <sheetView workbookViewId="0">
      <selection activeCell="E13" sqref="E12:E13"/>
    </sheetView>
  </sheetViews>
  <sheetFormatPr baseColWidth="10" defaultRowHeight="15" x14ac:dyDescent="0.25"/>
  <cols>
    <col min="3" max="3" width="15.5703125" bestFit="1" customWidth="1"/>
  </cols>
  <sheetData>
    <row r="1" spans="1:3" ht="19.5" x14ac:dyDescent="0.3">
      <c r="A1" s="20" t="s">
        <v>116</v>
      </c>
      <c r="B1" s="20" t="s">
        <v>117</v>
      </c>
      <c r="C1" s="20" t="s">
        <v>14</v>
      </c>
    </row>
    <row r="2" spans="1:3" x14ac:dyDescent="0.25">
      <c r="A2" s="3">
        <v>8014</v>
      </c>
      <c r="B2" s="3">
        <v>42269</v>
      </c>
      <c r="C2" s="9">
        <v>7216</v>
      </c>
    </row>
    <row r="3" spans="1:3" x14ac:dyDescent="0.25">
      <c r="A3" s="3">
        <v>1487</v>
      </c>
      <c r="B3" s="3">
        <v>2580402</v>
      </c>
      <c r="C3" s="9">
        <v>440556</v>
      </c>
    </row>
    <row r="4" spans="1:3" x14ac:dyDescent="0.25">
      <c r="A4" s="3">
        <v>1486</v>
      </c>
      <c r="B4" s="3">
        <v>2873992</v>
      </c>
      <c r="C4" s="9">
        <v>490681</v>
      </c>
    </row>
    <row r="5" spans="1:3" x14ac:dyDescent="0.25">
      <c r="A5" s="3">
        <v>8190</v>
      </c>
      <c r="B5" s="3">
        <v>646481</v>
      </c>
      <c r="C5" s="9">
        <v>110374</v>
      </c>
    </row>
    <row r="6" spans="1:3" x14ac:dyDescent="0.25">
      <c r="A6" s="3">
        <v>6677</v>
      </c>
      <c r="B6" s="3">
        <v>396725</v>
      </c>
      <c r="C6" s="9">
        <v>68853</v>
      </c>
    </row>
    <row r="7" spans="1:3" x14ac:dyDescent="0.25">
      <c r="A7" s="3">
        <v>470</v>
      </c>
      <c r="B7" s="3">
        <v>596008</v>
      </c>
      <c r="C7" s="9">
        <v>103439</v>
      </c>
    </row>
    <row r="8" spans="1:3" x14ac:dyDescent="0.25">
      <c r="A8" s="3">
        <v>3807</v>
      </c>
      <c r="B8" s="3">
        <v>7678991</v>
      </c>
      <c r="C8" s="9">
        <v>1311070</v>
      </c>
    </row>
    <row r="9" spans="1:3" ht="26.25" x14ac:dyDescent="0.4">
      <c r="C9" s="36">
        <f>SUM(C2:C8)</f>
        <v>2532189</v>
      </c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F1F9-8699-4452-BE88-29D64A4542BA}">
  <dimension ref="A1:C3"/>
  <sheetViews>
    <sheetView workbookViewId="0">
      <selection activeCell="C2" sqref="C2:C3"/>
    </sheetView>
  </sheetViews>
  <sheetFormatPr baseColWidth="10" defaultRowHeight="15" x14ac:dyDescent="0.25"/>
  <cols>
    <col min="1" max="1" width="26.42578125" bestFit="1" customWidth="1"/>
    <col min="2" max="2" width="22.140625" bestFit="1" customWidth="1"/>
    <col min="3" max="3" width="23.7109375" bestFit="1" customWidth="1"/>
  </cols>
  <sheetData>
    <row r="1" spans="1:3" ht="39" x14ac:dyDescent="0.6">
      <c r="A1" s="47" t="s">
        <v>116</v>
      </c>
      <c r="B1" s="47" t="s">
        <v>117</v>
      </c>
      <c r="C1" s="47" t="s">
        <v>14</v>
      </c>
    </row>
    <row r="2" spans="1:3" ht="39" x14ac:dyDescent="0.6">
      <c r="A2" s="21">
        <v>8539</v>
      </c>
      <c r="B2" s="21">
        <v>1387753</v>
      </c>
      <c r="C2" s="21">
        <v>236933</v>
      </c>
    </row>
    <row r="3" spans="1:3" ht="39" x14ac:dyDescent="0.6">
      <c r="A3" s="21">
        <v>3707</v>
      </c>
      <c r="B3" s="21">
        <v>513906</v>
      </c>
      <c r="C3" s="21">
        <v>89190</v>
      </c>
    </row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09F0-5A24-4890-89D5-A1E4A218EB6F}">
  <dimension ref="A1:E10"/>
  <sheetViews>
    <sheetView workbookViewId="0">
      <selection sqref="A1:E10"/>
    </sheetView>
  </sheetViews>
  <sheetFormatPr baseColWidth="10" defaultRowHeight="15" x14ac:dyDescent="0.25"/>
  <sheetData>
    <row r="1" spans="1:5" x14ac:dyDescent="0.25">
      <c r="A1" s="3" t="s">
        <v>410</v>
      </c>
      <c r="B1" s="3" t="s">
        <v>412</v>
      </c>
      <c r="C1" s="3" t="s">
        <v>413</v>
      </c>
      <c r="D1" s="3" t="s">
        <v>411</v>
      </c>
      <c r="E1" s="3"/>
    </row>
    <row r="2" spans="1:5" x14ac:dyDescent="0.25">
      <c r="A2" s="3" t="s">
        <v>414</v>
      </c>
      <c r="B2" s="3">
        <v>38382</v>
      </c>
      <c r="C2" s="3">
        <v>38382</v>
      </c>
      <c r="D2" s="3">
        <v>0.4</v>
      </c>
      <c r="E2" s="3">
        <f>(B2+C2)*D2</f>
        <v>30705.600000000002</v>
      </c>
    </row>
    <row r="3" spans="1:5" x14ac:dyDescent="0.25">
      <c r="A3" s="3" t="s">
        <v>415</v>
      </c>
      <c r="B3" s="3">
        <v>31424</v>
      </c>
      <c r="C3" s="3">
        <v>31424</v>
      </c>
      <c r="D3" s="3">
        <v>0.4</v>
      </c>
      <c r="E3" s="3">
        <f t="shared" ref="E3:E8" si="0">(B3+C3)*D3</f>
        <v>25139.200000000001</v>
      </c>
    </row>
    <row r="4" spans="1:5" x14ac:dyDescent="0.25">
      <c r="A4" s="3" t="s">
        <v>416</v>
      </c>
      <c r="B4" s="3">
        <v>93311</v>
      </c>
      <c r="C4" s="3">
        <v>93377</v>
      </c>
      <c r="D4" s="3">
        <v>0.4</v>
      </c>
      <c r="E4" s="3">
        <f t="shared" si="0"/>
        <v>74675.199999999997</v>
      </c>
    </row>
    <row r="5" spans="1:5" x14ac:dyDescent="0.25">
      <c r="A5" s="3" t="s">
        <v>417</v>
      </c>
      <c r="B5" s="3">
        <v>63692</v>
      </c>
      <c r="C5" s="3">
        <v>63692</v>
      </c>
      <c r="D5" s="3">
        <v>0.4</v>
      </c>
      <c r="E5" s="3">
        <f t="shared" si="0"/>
        <v>50953.600000000006</v>
      </c>
    </row>
    <row r="6" spans="1:5" x14ac:dyDescent="0.25">
      <c r="A6" s="3" t="s">
        <v>418</v>
      </c>
      <c r="B6" s="3">
        <v>33395</v>
      </c>
      <c r="C6" s="3">
        <v>33395</v>
      </c>
      <c r="D6" s="3">
        <v>0.4</v>
      </c>
      <c r="E6" s="3">
        <f t="shared" si="0"/>
        <v>26716</v>
      </c>
    </row>
    <row r="7" spans="1:5" x14ac:dyDescent="0.25">
      <c r="A7" s="3" t="s">
        <v>419</v>
      </c>
      <c r="B7" s="3">
        <v>348000</v>
      </c>
      <c r="C7" s="3"/>
      <c r="D7" s="3">
        <v>0.4</v>
      </c>
      <c r="E7" s="3">
        <f t="shared" si="0"/>
        <v>139200</v>
      </c>
    </row>
    <row r="8" spans="1:5" x14ac:dyDescent="0.25">
      <c r="A8" s="3" t="s">
        <v>420</v>
      </c>
      <c r="B8" s="3">
        <v>56065</v>
      </c>
      <c r="C8" s="3">
        <v>60000</v>
      </c>
      <c r="D8" s="3">
        <v>0.4</v>
      </c>
      <c r="E8" s="3">
        <f t="shared" si="0"/>
        <v>46426</v>
      </c>
    </row>
    <row r="9" spans="1:5" x14ac:dyDescent="0.25">
      <c r="A9" s="3"/>
      <c r="B9" s="3"/>
      <c r="C9" s="3"/>
      <c r="D9" s="3"/>
      <c r="E9" s="3"/>
    </row>
    <row r="10" spans="1:5" ht="19.5" x14ac:dyDescent="0.3">
      <c r="A10" s="3"/>
      <c r="B10" s="3"/>
      <c r="C10" s="3"/>
      <c r="D10" s="3"/>
      <c r="E10" s="19">
        <f>SUM(E2:E8)</f>
        <v>393815.6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63BB-9C59-40D6-9729-71679413B629}">
  <dimension ref="A1:C21"/>
  <sheetViews>
    <sheetView workbookViewId="0">
      <selection sqref="A1:C1"/>
    </sheetView>
  </sheetViews>
  <sheetFormatPr baseColWidth="10" defaultRowHeight="15" x14ac:dyDescent="0.25"/>
  <cols>
    <col min="1" max="1" width="13.140625" bestFit="1" customWidth="1"/>
    <col min="3" max="3" width="13.5703125" bestFit="1" customWidth="1"/>
  </cols>
  <sheetData>
    <row r="1" spans="1:3" ht="19.5" x14ac:dyDescent="0.3">
      <c r="A1" s="20" t="s">
        <v>116</v>
      </c>
      <c r="B1" s="20" t="s">
        <v>117</v>
      </c>
      <c r="C1" s="20" t="s">
        <v>14</v>
      </c>
    </row>
    <row r="2" spans="1:3" x14ac:dyDescent="0.25">
      <c r="A2" s="3">
        <v>1244</v>
      </c>
      <c r="B2" s="3">
        <v>42000</v>
      </c>
      <c r="C2" s="3">
        <v>7283</v>
      </c>
    </row>
    <row r="3" spans="1:3" x14ac:dyDescent="0.25">
      <c r="A3" s="3">
        <v>9007</v>
      </c>
      <c r="B3" s="3">
        <v>462317</v>
      </c>
      <c r="C3" s="3">
        <v>78932</v>
      </c>
    </row>
    <row r="4" spans="1:3" x14ac:dyDescent="0.25">
      <c r="A4" s="3">
        <v>1680</v>
      </c>
      <c r="B4" s="3">
        <v>201324</v>
      </c>
      <c r="C4" s="3">
        <v>34940</v>
      </c>
    </row>
    <row r="5" spans="1:3" x14ac:dyDescent="0.25">
      <c r="A5" s="3">
        <v>5870</v>
      </c>
      <c r="B5" s="3">
        <v>120000</v>
      </c>
      <c r="C5" s="3">
        <v>20826</v>
      </c>
    </row>
    <row r="6" spans="1:3" x14ac:dyDescent="0.25">
      <c r="A6">
        <v>309</v>
      </c>
      <c r="B6" s="22">
        <v>925963</v>
      </c>
      <c r="C6" s="22">
        <v>160704</v>
      </c>
    </row>
    <row r="7" spans="1:3" x14ac:dyDescent="0.25">
      <c r="A7">
        <v>1680</v>
      </c>
      <c r="B7" s="22">
        <v>201324</v>
      </c>
      <c r="C7" s="22">
        <v>34940</v>
      </c>
    </row>
    <row r="8" spans="1:3" x14ac:dyDescent="0.25">
      <c r="A8">
        <v>6169</v>
      </c>
      <c r="B8" s="22">
        <v>15179</v>
      </c>
      <c r="C8" s="22">
        <v>2634</v>
      </c>
    </row>
    <row r="9" spans="1:3" x14ac:dyDescent="0.25">
      <c r="A9">
        <v>6190</v>
      </c>
      <c r="B9" s="22">
        <v>13260</v>
      </c>
      <c r="C9" s="22">
        <v>2300</v>
      </c>
    </row>
    <row r="10" spans="1:3" x14ac:dyDescent="0.25">
      <c r="A10">
        <v>6136</v>
      </c>
      <c r="B10" s="22">
        <v>24540</v>
      </c>
      <c r="C10" s="22">
        <v>4259</v>
      </c>
    </row>
    <row r="11" spans="1:3" x14ac:dyDescent="0.25">
      <c r="A11">
        <v>1207</v>
      </c>
      <c r="B11" s="22">
        <v>128900</v>
      </c>
      <c r="C11" s="22">
        <v>22371</v>
      </c>
    </row>
    <row r="12" spans="1:3" x14ac:dyDescent="0.25">
      <c r="A12">
        <v>9686</v>
      </c>
      <c r="B12" s="22">
        <v>243006</v>
      </c>
      <c r="C12" s="22">
        <v>41488</v>
      </c>
    </row>
    <row r="13" spans="1:3" x14ac:dyDescent="0.25">
      <c r="A13">
        <v>336</v>
      </c>
      <c r="B13" s="22">
        <v>540000</v>
      </c>
      <c r="C13" s="22">
        <v>93719</v>
      </c>
    </row>
    <row r="14" spans="1:3" x14ac:dyDescent="0.25">
      <c r="A14">
        <v>7385</v>
      </c>
      <c r="B14" s="22">
        <v>13560</v>
      </c>
      <c r="C14" s="22">
        <v>2353</v>
      </c>
    </row>
    <row r="15" spans="1:3" x14ac:dyDescent="0.25">
      <c r="A15">
        <v>671</v>
      </c>
      <c r="B15" s="22">
        <v>28240</v>
      </c>
      <c r="C15" s="22">
        <v>4901</v>
      </c>
    </row>
    <row r="16" spans="1:3" x14ac:dyDescent="0.25">
      <c r="A16">
        <v>6395</v>
      </c>
      <c r="B16" s="22">
        <v>19742</v>
      </c>
      <c r="C16" s="22">
        <v>3426</v>
      </c>
    </row>
    <row r="17" spans="1:3" x14ac:dyDescent="0.25">
      <c r="A17">
        <v>6720</v>
      </c>
      <c r="B17" s="22">
        <v>26121</v>
      </c>
      <c r="C17" s="22">
        <v>4533</v>
      </c>
    </row>
    <row r="18" spans="1:3" x14ac:dyDescent="0.25">
      <c r="A18">
        <v>755</v>
      </c>
      <c r="B18" s="22">
        <v>27500</v>
      </c>
      <c r="C18" s="22">
        <v>4772</v>
      </c>
    </row>
    <row r="19" spans="1:3" x14ac:dyDescent="0.25">
      <c r="A19">
        <v>9077</v>
      </c>
      <c r="B19" s="22">
        <v>21500</v>
      </c>
      <c r="C19" s="22">
        <v>3731</v>
      </c>
    </row>
    <row r="20" spans="1:3" x14ac:dyDescent="0.25">
      <c r="A20">
        <v>304</v>
      </c>
      <c r="B20" s="22">
        <v>37560</v>
      </c>
      <c r="C20" s="22">
        <v>6518</v>
      </c>
    </row>
    <row r="21" spans="1:3" ht="26.25" x14ac:dyDescent="0.4">
      <c r="A21" t="s">
        <v>246</v>
      </c>
      <c r="C21" s="28">
        <f>SUM(C2:C20)</f>
        <v>534630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44B4-32F2-437D-9AC2-DB9009916691}">
  <dimension ref="A1:C6"/>
  <sheetViews>
    <sheetView workbookViewId="0">
      <selection sqref="A1:C1"/>
    </sheetView>
  </sheetViews>
  <sheetFormatPr baseColWidth="10" defaultRowHeight="15" x14ac:dyDescent="0.25"/>
  <cols>
    <col min="3" max="3" width="14.42578125" bestFit="1" customWidth="1"/>
  </cols>
  <sheetData>
    <row r="1" spans="1:3" ht="19.5" x14ac:dyDescent="0.3">
      <c r="A1" s="20" t="s">
        <v>116</v>
      </c>
      <c r="B1" s="20" t="s">
        <v>117</v>
      </c>
      <c r="C1" s="20" t="s">
        <v>14</v>
      </c>
    </row>
    <row r="2" spans="1:3" x14ac:dyDescent="0.25">
      <c r="A2">
        <v>8656</v>
      </c>
      <c r="B2">
        <v>874720</v>
      </c>
      <c r="C2">
        <v>149942</v>
      </c>
    </row>
    <row r="3" spans="1:3" x14ac:dyDescent="0.25">
      <c r="A3">
        <v>3200</v>
      </c>
      <c r="B3">
        <v>24879</v>
      </c>
      <c r="C3">
        <v>4318</v>
      </c>
    </row>
    <row r="4" spans="1:3" x14ac:dyDescent="0.25">
      <c r="A4">
        <v>8641</v>
      </c>
      <c r="B4">
        <v>47680</v>
      </c>
      <c r="C4">
        <v>8095</v>
      </c>
    </row>
    <row r="5" spans="1:3" x14ac:dyDescent="0.25">
      <c r="A5">
        <v>4025</v>
      </c>
      <c r="B5">
        <v>107800</v>
      </c>
      <c r="C5">
        <v>18709</v>
      </c>
    </row>
    <row r="6" spans="1:3" ht="28.5" x14ac:dyDescent="0.45">
      <c r="A6" t="s">
        <v>246</v>
      </c>
      <c r="C6" s="32">
        <f>SUM(C2:C5)</f>
        <v>181064</v>
      </c>
    </row>
  </sheetData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761D-8062-4D4E-BEA9-D12815D18C9F}">
  <dimension ref="A1:C20"/>
  <sheetViews>
    <sheetView workbookViewId="0">
      <selection activeCell="C20" sqref="C20"/>
    </sheetView>
  </sheetViews>
  <sheetFormatPr baseColWidth="10" defaultRowHeight="15" x14ac:dyDescent="0.25"/>
  <cols>
    <col min="3" max="3" width="13.5703125" bestFit="1" customWidth="1"/>
  </cols>
  <sheetData>
    <row r="1" spans="1:3" ht="19.5" x14ac:dyDescent="0.3">
      <c r="A1" s="20" t="s">
        <v>116</v>
      </c>
      <c r="B1" s="20" t="s">
        <v>117</v>
      </c>
      <c r="C1" s="20" t="s">
        <v>14</v>
      </c>
    </row>
    <row r="2" spans="1:3" x14ac:dyDescent="0.25">
      <c r="A2">
        <v>7959</v>
      </c>
      <c r="B2">
        <v>272090</v>
      </c>
      <c r="C2">
        <v>46454</v>
      </c>
    </row>
    <row r="3" spans="1:3" x14ac:dyDescent="0.25">
      <c r="A3">
        <v>7998</v>
      </c>
      <c r="B3">
        <v>247329</v>
      </c>
      <c r="C3">
        <v>42227</v>
      </c>
    </row>
    <row r="4" spans="1:3" x14ac:dyDescent="0.25">
      <c r="A4">
        <v>8082</v>
      </c>
      <c r="B4">
        <v>1118065</v>
      </c>
      <c r="C4">
        <v>192321</v>
      </c>
    </row>
    <row r="5" spans="1:3" x14ac:dyDescent="0.25">
      <c r="A5">
        <v>8390</v>
      </c>
      <c r="B5">
        <v>15819</v>
      </c>
      <c r="C5">
        <v>13073</v>
      </c>
    </row>
    <row r="6" spans="1:3" x14ac:dyDescent="0.25">
      <c r="A6">
        <v>6377</v>
      </c>
      <c r="B6">
        <v>549141</v>
      </c>
      <c r="C6">
        <v>94357</v>
      </c>
    </row>
    <row r="7" spans="1:3" x14ac:dyDescent="0.25">
      <c r="A7">
        <v>8325</v>
      </c>
      <c r="B7">
        <v>289798</v>
      </c>
      <c r="C7">
        <v>49477</v>
      </c>
    </row>
    <row r="8" spans="1:3" x14ac:dyDescent="0.25">
      <c r="A8">
        <v>8324</v>
      </c>
      <c r="B8">
        <v>452690</v>
      </c>
      <c r="C8">
        <v>77288</v>
      </c>
    </row>
    <row r="9" spans="1:3" x14ac:dyDescent="0.25">
      <c r="A9">
        <v>145061</v>
      </c>
      <c r="B9">
        <v>8345</v>
      </c>
      <c r="C9">
        <v>24766</v>
      </c>
    </row>
    <row r="10" spans="1:3" x14ac:dyDescent="0.25">
      <c r="A10">
        <v>6981</v>
      </c>
      <c r="B10">
        <v>16400</v>
      </c>
      <c r="C10">
        <v>2846</v>
      </c>
    </row>
    <row r="11" spans="1:3" x14ac:dyDescent="0.25">
      <c r="A11">
        <v>6811</v>
      </c>
      <c r="B11">
        <v>6950</v>
      </c>
      <c r="C11">
        <v>1206</v>
      </c>
    </row>
    <row r="12" spans="1:3" x14ac:dyDescent="0.25">
      <c r="A12">
        <v>6839</v>
      </c>
      <c r="B12">
        <v>41300</v>
      </c>
      <c r="C12">
        <v>7167</v>
      </c>
    </row>
    <row r="13" spans="1:3" x14ac:dyDescent="0.25">
      <c r="A13">
        <v>6946</v>
      </c>
      <c r="B13">
        <v>9400</v>
      </c>
      <c r="C13">
        <v>1631</v>
      </c>
    </row>
    <row r="14" spans="1:3" x14ac:dyDescent="0.25">
      <c r="A14">
        <v>6952</v>
      </c>
      <c r="B14">
        <v>29270</v>
      </c>
      <c r="C14">
        <v>5079</v>
      </c>
    </row>
    <row r="15" spans="1:3" x14ac:dyDescent="0.25">
      <c r="A15">
        <v>6966</v>
      </c>
      <c r="B15">
        <v>9660</v>
      </c>
      <c r="C15">
        <v>1676</v>
      </c>
    </row>
    <row r="16" spans="1:3" x14ac:dyDescent="0.25">
      <c r="A16">
        <v>6728</v>
      </c>
      <c r="B16">
        <v>11590</v>
      </c>
      <c r="C16">
        <v>2011</v>
      </c>
    </row>
    <row r="17" spans="1:3" x14ac:dyDescent="0.25">
      <c r="A17">
        <v>6693</v>
      </c>
      <c r="B17">
        <v>13900</v>
      </c>
      <c r="C17">
        <v>2412</v>
      </c>
    </row>
    <row r="18" spans="1:3" x14ac:dyDescent="0.25">
      <c r="A18">
        <v>6662</v>
      </c>
      <c r="B18">
        <v>12200</v>
      </c>
      <c r="C18">
        <v>2117</v>
      </c>
    </row>
    <row r="19" spans="1:3" x14ac:dyDescent="0.25">
      <c r="A19">
        <v>6601</v>
      </c>
      <c r="B19">
        <v>21100</v>
      </c>
      <c r="C19">
        <v>3661</v>
      </c>
    </row>
    <row r="20" spans="1:3" ht="26.25" x14ac:dyDescent="0.4">
      <c r="A20" t="s">
        <v>24</v>
      </c>
      <c r="C20" s="28">
        <f>SUM(C2:C19)</f>
        <v>569769</v>
      </c>
    </row>
  </sheetData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22D0-410C-457C-B47A-FAB611201D13}">
  <dimension ref="A1:C12"/>
  <sheetViews>
    <sheetView workbookViewId="0">
      <selection sqref="A1:C1"/>
    </sheetView>
  </sheetViews>
  <sheetFormatPr baseColWidth="10" defaultRowHeight="15" x14ac:dyDescent="0.25"/>
  <cols>
    <col min="2" max="3" width="16.42578125" bestFit="1" customWidth="1"/>
  </cols>
  <sheetData>
    <row r="1" spans="1:3" ht="19.5" x14ac:dyDescent="0.3">
      <c r="A1" s="20" t="s">
        <v>116</v>
      </c>
      <c r="B1" s="20" t="s">
        <v>117</v>
      </c>
      <c r="C1" s="20" t="s">
        <v>14</v>
      </c>
    </row>
    <row r="2" spans="1:3" x14ac:dyDescent="0.25">
      <c r="A2" s="3">
        <v>7468</v>
      </c>
      <c r="B2" s="3">
        <v>3337614</v>
      </c>
      <c r="C2" s="3">
        <v>57641</v>
      </c>
    </row>
    <row r="3" spans="1:3" x14ac:dyDescent="0.25">
      <c r="A3" s="3">
        <v>7596</v>
      </c>
      <c r="B3" s="3">
        <v>412809</v>
      </c>
      <c r="C3" s="3">
        <v>70479</v>
      </c>
    </row>
    <row r="4" spans="1:3" x14ac:dyDescent="0.25">
      <c r="A4" s="3">
        <v>1966</v>
      </c>
      <c r="B4" s="3">
        <v>7109</v>
      </c>
      <c r="C4" s="3">
        <v>1233</v>
      </c>
    </row>
    <row r="5" spans="1:3" x14ac:dyDescent="0.25">
      <c r="A5" s="3">
        <v>6812</v>
      </c>
      <c r="B5" s="3">
        <v>11712</v>
      </c>
      <c r="C5" s="3">
        <v>2032</v>
      </c>
    </row>
    <row r="6" spans="1:3" ht="32.25" x14ac:dyDescent="0.5">
      <c r="A6" s="3" t="s">
        <v>24</v>
      </c>
      <c r="B6" s="3"/>
      <c r="C6" s="31">
        <f>SUM(C2:C5)</f>
        <v>131385</v>
      </c>
    </row>
    <row r="9" spans="1:3" x14ac:dyDescent="0.25">
      <c r="A9" t="s">
        <v>279</v>
      </c>
      <c r="B9">
        <v>74594</v>
      </c>
    </row>
    <row r="10" spans="1:3" x14ac:dyDescent="0.25">
      <c r="A10" t="s">
        <v>280</v>
      </c>
      <c r="B10">
        <v>118915</v>
      </c>
    </row>
    <row r="11" spans="1:3" x14ac:dyDescent="0.25">
      <c r="A11" t="s">
        <v>281</v>
      </c>
      <c r="B11">
        <v>131385</v>
      </c>
    </row>
    <row r="12" spans="1:3" ht="32.25" x14ac:dyDescent="0.5">
      <c r="A12" t="s">
        <v>282</v>
      </c>
      <c r="B12" s="29">
        <f>SUM(B9:B11)</f>
        <v>324894</v>
      </c>
    </row>
  </sheetData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246F-4961-43AF-B5F0-2D2CFD5115AB}">
  <dimension ref="A1:C11"/>
  <sheetViews>
    <sheetView topLeftCell="A7" workbookViewId="0">
      <selection activeCell="C11" sqref="C11"/>
    </sheetView>
  </sheetViews>
  <sheetFormatPr baseColWidth="10" defaultRowHeight="15" x14ac:dyDescent="0.25"/>
  <cols>
    <col min="1" max="1" width="15" bestFit="1" customWidth="1"/>
    <col min="3" max="3" width="16.140625" bestFit="1" customWidth="1"/>
  </cols>
  <sheetData>
    <row r="1" spans="1:3" ht="19.5" x14ac:dyDescent="0.3">
      <c r="A1" s="20" t="s">
        <v>116</v>
      </c>
      <c r="B1" s="20" t="s">
        <v>117</v>
      </c>
      <c r="C1" s="20" t="s">
        <v>14</v>
      </c>
    </row>
    <row r="2" spans="1:3" x14ac:dyDescent="0.25">
      <c r="A2" s="3">
        <v>6642</v>
      </c>
      <c r="B2" s="3">
        <v>81531</v>
      </c>
      <c r="C2" s="3">
        <v>13919</v>
      </c>
    </row>
    <row r="3" spans="1:3" x14ac:dyDescent="0.25">
      <c r="A3" s="3">
        <v>6024</v>
      </c>
      <c r="B3" s="3">
        <v>84836</v>
      </c>
      <c r="C3" s="3">
        <v>14723</v>
      </c>
    </row>
    <row r="4" spans="1:3" x14ac:dyDescent="0.25">
      <c r="A4" s="3">
        <v>6566</v>
      </c>
      <c r="B4" s="3">
        <v>96459</v>
      </c>
      <c r="C4" s="3">
        <v>16468</v>
      </c>
    </row>
    <row r="5" spans="1:3" x14ac:dyDescent="0.25">
      <c r="A5" s="3">
        <v>6939</v>
      </c>
      <c r="B5" s="3">
        <v>442136</v>
      </c>
      <c r="C5" s="3">
        <v>75486</v>
      </c>
    </row>
    <row r="6" spans="1:3" x14ac:dyDescent="0.25">
      <c r="A6" s="3" t="s">
        <v>255</v>
      </c>
      <c r="B6" s="3">
        <v>81600</v>
      </c>
      <c r="C6" s="3">
        <f>0.3*81600</f>
        <v>24480</v>
      </c>
    </row>
    <row r="7" spans="1:3" x14ac:dyDescent="0.25">
      <c r="A7" s="3">
        <v>6212</v>
      </c>
      <c r="B7" s="3">
        <v>218217</v>
      </c>
      <c r="C7" s="3">
        <v>37872</v>
      </c>
    </row>
    <row r="8" spans="1:3" x14ac:dyDescent="0.25">
      <c r="A8" s="3">
        <v>7186</v>
      </c>
      <c r="B8" s="3">
        <v>259384</v>
      </c>
      <c r="C8" s="3">
        <v>44285</v>
      </c>
    </row>
    <row r="9" spans="1:3" ht="26.25" x14ac:dyDescent="0.4">
      <c r="A9" t="s">
        <v>24</v>
      </c>
      <c r="C9" s="28">
        <f>SUM(C2,C3,C4,C5,C6,C7,C8)</f>
        <v>227233</v>
      </c>
    </row>
    <row r="10" spans="1:3" x14ac:dyDescent="0.25">
      <c r="A10" t="s">
        <v>269</v>
      </c>
      <c r="C10">
        <v>152638</v>
      </c>
    </row>
    <row r="11" spans="1:3" ht="39" x14ac:dyDescent="0.6">
      <c r="A11" t="s">
        <v>270</v>
      </c>
      <c r="C11" s="30">
        <f>SUM(C9-C10)</f>
        <v>74595</v>
      </c>
    </row>
  </sheetData>
  <pageMargins left="0.7" right="0.7" top="0.75" bottom="0.75" header="0.3" footer="0.3"/>
  <pageSetup orientation="portrait" horizontalDpi="0" verticalDpi="0" r:id="rId1"/>
  <headerFooter>
    <oddHeader>&amp;R&amp;"Calibri"&amp;10&amp;K000000Documento: YPF-Público&amp;1#</oddHeader>
    <oddFooter>&amp;R&amp;1#&amp;"Calibri"&amp;10&amp;K000000Documento: YPF-Público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972F-5AAE-410F-9C85-49C5D19CB729}">
  <dimension ref="A1:C14"/>
  <sheetViews>
    <sheetView workbookViewId="0">
      <selection activeCell="A13" sqref="A13"/>
    </sheetView>
  </sheetViews>
  <sheetFormatPr baseColWidth="10" defaultRowHeight="15" x14ac:dyDescent="0.25"/>
  <cols>
    <col min="1" max="1" width="13.140625" bestFit="1" customWidth="1"/>
    <col min="3" max="3" width="16.42578125" bestFit="1" customWidth="1"/>
  </cols>
  <sheetData>
    <row r="1" spans="1:3" ht="19.5" x14ac:dyDescent="0.3">
      <c r="A1" s="20" t="s">
        <v>116</v>
      </c>
      <c r="B1" s="20" t="s">
        <v>117</v>
      </c>
      <c r="C1" s="20" t="s">
        <v>14</v>
      </c>
    </row>
    <row r="2" spans="1:3" x14ac:dyDescent="0.25">
      <c r="A2">
        <v>6591</v>
      </c>
      <c r="B2">
        <v>4670</v>
      </c>
      <c r="C2">
        <v>810</v>
      </c>
    </row>
    <row r="3" spans="1:3" x14ac:dyDescent="0.25">
      <c r="A3">
        <v>2302</v>
      </c>
      <c r="B3">
        <v>9050</v>
      </c>
      <c r="C3">
        <v>1570</v>
      </c>
    </row>
    <row r="4" spans="1:3" x14ac:dyDescent="0.25">
      <c r="A4">
        <v>1072</v>
      </c>
      <c r="B4">
        <v>12992</v>
      </c>
      <c r="C4">
        <v>2254</v>
      </c>
    </row>
    <row r="5" spans="1:3" x14ac:dyDescent="0.25">
      <c r="A5">
        <v>2071</v>
      </c>
      <c r="B5">
        <v>19750</v>
      </c>
      <c r="C5">
        <v>3427</v>
      </c>
    </row>
    <row r="6" spans="1:3" x14ac:dyDescent="0.25">
      <c r="A6">
        <v>102</v>
      </c>
      <c r="B6">
        <v>13734</v>
      </c>
      <c r="C6">
        <v>2383</v>
      </c>
    </row>
    <row r="7" spans="1:3" x14ac:dyDescent="0.25">
      <c r="A7">
        <v>6447</v>
      </c>
      <c r="B7">
        <v>118552</v>
      </c>
      <c r="C7">
        <v>20240</v>
      </c>
    </row>
    <row r="8" spans="1:3" x14ac:dyDescent="0.25">
      <c r="A8">
        <v>5658</v>
      </c>
      <c r="B8">
        <v>1600</v>
      </c>
      <c r="C8">
        <v>277</v>
      </c>
    </row>
    <row r="9" spans="1:3" x14ac:dyDescent="0.25">
      <c r="A9">
        <v>5692</v>
      </c>
      <c r="B9">
        <v>18740</v>
      </c>
      <c r="C9">
        <v>3252</v>
      </c>
    </row>
    <row r="10" spans="1:3" x14ac:dyDescent="0.25">
      <c r="A10">
        <v>4299</v>
      </c>
      <c r="B10">
        <v>11616</v>
      </c>
      <c r="C10">
        <v>1967</v>
      </c>
    </row>
    <row r="11" spans="1:3" x14ac:dyDescent="0.25">
      <c r="A11">
        <v>1233</v>
      </c>
      <c r="B11">
        <v>131000</v>
      </c>
      <c r="C11">
        <v>22735</v>
      </c>
    </row>
    <row r="12" spans="1:3" ht="26.25" x14ac:dyDescent="0.4">
      <c r="A12" t="s">
        <v>246</v>
      </c>
      <c r="C12" s="28">
        <f>SUM(C2:C11)</f>
        <v>58915</v>
      </c>
    </row>
    <row r="13" spans="1:3" x14ac:dyDescent="0.25">
      <c r="A13" t="s">
        <v>247</v>
      </c>
      <c r="C13">
        <v>60000</v>
      </c>
    </row>
    <row r="14" spans="1:3" ht="32.25" x14ac:dyDescent="0.5">
      <c r="A14" t="s">
        <v>248</v>
      </c>
      <c r="C14" s="29">
        <f>SUM(C12,C13)</f>
        <v>118915</v>
      </c>
    </row>
  </sheetData>
  <pageMargins left="0.7" right="0.7" top="0.75" bottom="0.75" header="0.3" footer="0.3"/>
  <pageSetup orientation="portrait" horizontalDpi="0" verticalDpi="0" r:id="rId1"/>
  <headerFooter>
    <oddHeader>&amp;R&amp;"Calibri"&amp;10&amp;K000000Documento: YPF-Público&amp;1#</oddHeader>
    <oddFooter>&amp;R&amp;1#&amp;"Calibri"&amp;10&amp;K000000Documento: YPF-Público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BB0F-5A24-46C5-A781-0D8541F3B31E}">
  <dimension ref="A1:C16"/>
  <sheetViews>
    <sheetView workbookViewId="0">
      <selection sqref="A1:XFD1"/>
    </sheetView>
  </sheetViews>
  <sheetFormatPr baseColWidth="10" defaultRowHeight="15" x14ac:dyDescent="0.25"/>
  <cols>
    <col min="1" max="1" width="13.140625" bestFit="1" customWidth="1"/>
    <col min="3" max="3" width="19.140625" bestFit="1" customWidth="1"/>
  </cols>
  <sheetData>
    <row r="1" spans="1:3" ht="19.5" x14ac:dyDescent="0.3">
      <c r="A1" s="20" t="s">
        <v>116</v>
      </c>
      <c r="B1" s="20" t="s">
        <v>117</v>
      </c>
      <c r="C1" s="20" t="s">
        <v>14</v>
      </c>
    </row>
    <row r="2" spans="1:3" x14ac:dyDescent="0.25">
      <c r="A2" s="3">
        <v>1819</v>
      </c>
      <c r="B2" s="3">
        <v>135000</v>
      </c>
      <c r="C2" s="3">
        <v>23429</v>
      </c>
    </row>
    <row r="3" spans="1:3" x14ac:dyDescent="0.25">
      <c r="A3" s="3">
        <v>3540</v>
      </c>
      <c r="B3" s="3">
        <v>13376</v>
      </c>
      <c r="C3" s="3">
        <v>2265</v>
      </c>
    </row>
    <row r="4" spans="1:3" x14ac:dyDescent="0.25">
      <c r="A4" s="3">
        <v>5101</v>
      </c>
      <c r="B4" s="3">
        <v>2368</v>
      </c>
      <c r="C4" s="3">
        <v>409</v>
      </c>
    </row>
    <row r="5" spans="1:3" x14ac:dyDescent="0.25">
      <c r="A5" s="3">
        <v>1153</v>
      </c>
      <c r="B5" s="3">
        <v>5099</v>
      </c>
      <c r="C5" s="3">
        <v>885</v>
      </c>
    </row>
    <row r="6" spans="1:3" x14ac:dyDescent="0.25">
      <c r="A6" s="3">
        <v>5217</v>
      </c>
      <c r="B6" s="3">
        <v>1227</v>
      </c>
      <c r="C6" s="3">
        <v>213</v>
      </c>
    </row>
    <row r="7" spans="1:3" x14ac:dyDescent="0.25">
      <c r="A7" s="3">
        <v>1932</v>
      </c>
      <c r="B7" s="3">
        <v>98500</v>
      </c>
      <c r="C7" s="3">
        <v>17095</v>
      </c>
    </row>
    <row r="8" spans="1:3" x14ac:dyDescent="0.25">
      <c r="A8" s="3">
        <v>3540</v>
      </c>
      <c r="B8" s="3">
        <v>13376</v>
      </c>
      <c r="C8" s="3">
        <v>2265</v>
      </c>
    </row>
    <row r="9" spans="1:3" x14ac:dyDescent="0.25">
      <c r="A9" s="3">
        <v>5904</v>
      </c>
      <c r="B9" s="3">
        <v>6332</v>
      </c>
      <c r="C9" s="3">
        <v>1099</v>
      </c>
    </row>
    <row r="10" spans="1:3" x14ac:dyDescent="0.25">
      <c r="A10" s="3">
        <v>2155</v>
      </c>
      <c r="B10" s="3">
        <v>6480</v>
      </c>
      <c r="C10" s="3">
        <v>1124</v>
      </c>
    </row>
    <row r="11" spans="1:3" x14ac:dyDescent="0.25">
      <c r="A11" s="3">
        <v>2137</v>
      </c>
      <c r="B11" s="3">
        <v>31620</v>
      </c>
      <c r="C11" s="3">
        <v>5487</v>
      </c>
    </row>
    <row r="12" spans="1:3" x14ac:dyDescent="0.25">
      <c r="A12" s="3">
        <v>1017</v>
      </c>
      <c r="B12" s="3">
        <v>27350</v>
      </c>
      <c r="C12" s="3">
        <v>4746</v>
      </c>
    </row>
    <row r="13" spans="1:3" x14ac:dyDescent="0.25">
      <c r="A13" s="3">
        <v>5507</v>
      </c>
      <c r="B13" s="3">
        <v>8819</v>
      </c>
      <c r="C13" s="3">
        <v>1378</v>
      </c>
    </row>
    <row r="14" spans="1:3" x14ac:dyDescent="0.25">
      <c r="A14" s="3">
        <v>1072</v>
      </c>
      <c r="B14" s="3">
        <v>365099</v>
      </c>
      <c r="C14" s="3">
        <v>62334</v>
      </c>
    </row>
    <row r="15" spans="1:3" x14ac:dyDescent="0.25">
      <c r="A15" s="3">
        <v>2634</v>
      </c>
      <c r="B15" s="3">
        <v>11765</v>
      </c>
      <c r="C15" s="3">
        <v>2041</v>
      </c>
    </row>
    <row r="16" spans="1:3" ht="39" x14ac:dyDescent="0.6">
      <c r="A16" t="s">
        <v>24</v>
      </c>
      <c r="C16" s="24">
        <f>SUM(C2:C15)</f>
        <v>124770</v>
      </c>
    </row>
  </sheetData>
  <autoFilter ref="A1:C1" xr:uid="{7C4ABB0F-5A24-46C5-A781-0D8541F3B31E}"/>
  <pageMargins left="0.7" right="0.7" top="0.75" bottom="0.75" header="0.3" footer="0.3"/>
  <pageSetup orientation="portrait" horizontalDpi="0" verticalDpi="0" r:id="rId1"/>
  <headerFooter>
    <oddHeader>&amp;R&amp;"Calibri"&amp;10&amp;K000000Documento: YPF-Público&amp;1#</oddHeader>
    <oddFooter>&amp;R&amp;1#&amp;"Calibri"&amp;10&amp;K000000Documento: YPF-Público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4DFF-EDBF-4126-8B23-D7C380B437C6}">
  <dimension ref="A1:C40"/>
  <sheetViews>
    <sheetView workbookViewId="0">
      <selection sqref="A1:A1048576"/>
    </sheetView>
  </sheetViews>
  <sheetFormatPr baseColWidth="10" defaultRowHeight="15" x14ac:dyDescent="0.25"/>
  <cols>
    <col min="1" max="1" width="20.5703125" bestFit="1" customWidth="1"/>
    <col min="3" max="3" width="30" bestFit="1" customWidth="1"/>
  </cols>
  <sheetData>
    <row r="1" spans="1:3" ht="19.5" x14ac:dyDescent="0.3">
      <c r="A1" s="20" t="s">
        <v>116</v>
      </c>
      <c r="B1" s="20" t="s">
        <v>117</v>
      </c>
      <c r="C1" s="20" t="s">
        <v>14</v>
      </c>
    </row>
    <row r="2" spans="1:3" x14ac:dyDescent="0.25">
      <c r="A2" s="3">
        <v>4743</v>
      </c>
      <c r="B2" s="3">
        <v>1885</v>
      </c>
      <c r="C2" s="3">
        <v>327</v>
      </c>
    </row>
    <row r="3" spans="1:3" x14ac:dyDescent="0.25">
      <c r="A3" s="3">
        <v>4717</v>
      </c>
      <c r="B3" s="3">
        <v>6868</v>
      </c>
      <c r="C3" s="3">
        <v>1192</v>
      </c>
    </row>
    <row r="4" spans="1:3" x14ac:dyDescent="0.25">
      <c r="A4" s="3">
        <v>3957</v>
      </c>
      <c r="B4" s="3">
        <v>7769</v>
      </c>
      <c r="C4" s="3">
        <v>1348</v>
      </c>
    </row>
    <row r="5" spans="1:3" x14ac:dyDescent="0.25">
      <c r="A5" s="3">
        <v>9373</v>
      </c>
      <c r="B5" s="3">
        <v>26904</v>
      </c>
      <c r="C5" s="3">
        <v>4669</v>
      </c>
    </row>
    <row r="6" spans="1:3" x14ac:dyDescent="0.25">
      <c r="A6" s="3">
        <v>4172</v>
      </c>
      <c r="B6" s="3">
        <v>840</v>
      </c>
      <c r="C6" s="3">
        <v>145</v>
      </c>
    </row>
    <row r="7" spans="1:3" x14ac:dyDescent="0.25">
      <c r="A7" s="3">
        <v>4747</v>
      </c>
      <c r="B7" s="3">
        <v>219526</v>
      </c>
      <c r="C7" s="3">
        <v>38099</v>
      </c>
    </row>
    <row r="8" spans="1:3" x14ac:dyDescent="0.25">
      <c r="A8" s="3">
        <v>4736</v>
      </c>
      <c r="B8" s="3">
        <v>31554</v>
      </c>
      <c r="C8" s="3">
        <v>5476</v>
      </c>
    </row>
    <row r="9" spans="1:3" x14ac:dyDescent="0.25">
      <c r="A9" s="3">
        <v>9440</v>
      </c>
      <c r="B9" s="3">
        <v>24021</v>
      </c>
      <c r="C9" s="3">
        <v>4169</v>
      </c>
    </row>
    <row r="10" spans="1:3" x14ac:dyDescent="0.25">
      <c r="A10" s="3">
        <v>9518</v>
      </c>
      <c r="B10" s="3">
        <v>26557</v>
      </c>
      <c r="C10" s="3">
        <v>4609</v>
      </c>
    </row>
    <row r="11" spans="1:3" x14ac:dyDescent="0.25">
      <c r="A11" s="3">
        <v>1615</v>
      </c>
      <c r="B11" s="3">
        <v>17844</v>
      </c>
      <c r="C11" s="3">
        <v>3431</v>
      </c>
    </row>
    <row r="12" spans="1:3" x14ac:dyDescent="0.25">
      <c r="A12" s="3">
        <v>4214</v>
      </c>
      <c r="B12" s="3">
        <v>2400</v>
      </c>
      <c r="C12" s="3">
        <v>4169</v>
      </c>
    </row>
    <row r="13" spans="1:3" x14ac:dyDescent="0.25">
      <c r="A13" s="3">
        <v>1461</v>
      </c>
      <c r="B13" s="3">
        <v>129000</v>
      </c>
      <c r="C13" s="3">
        <v>22388</v>
      </c>
    </row>
    <row r="14" spans="1:3" x14ac:dyDescent="0.25">
      <c r="A14" s="3">
        <v>1164</v>
      </c>
      <c r="B14" s="3">
        <v>16117</v>
      </c>
      <c r="C14" s="3">
        <v>2797</v>
      </c>
    </row>
    <row r="15" spans="1:3" x14ac:dyDescent="0.25">
      <c r="A15" s="3">
        <v>6344</v>
      </c>
      <c r="B15" s="3">
        <v>14900</v>
      </c>
      <c r="C15" s="3">
        <v>2838</v>
      </c>
    </row>
    <row r="16" spans="1:3" x14ac:dyDescent="0.25">
      <c r="A16" s="3">
        <v>113</v>
      </c>
      <c r="B16" s="3">
        <v>35000</v>
      </c>
      <c r="C16" s="3">
        <v>6074</v>
      </c>
    </row>
    <row r="17" spans="1:3" x14ac:dyDescent="0.25">
      <c r="A17" s="3">
        <v>4344</v>
      </c>
      <c r="B17" s="3">
        <v>16724</v>
      </c>
      <c r="C17" s="3">
        <v>2902</v>
      </c>
    </row>
    <row r="18" spans="1:3" x14ac:dyDescent="0.25">
      <c r="A18" s="3">
        <v>5404</v>
      </c>
      <c r="B18" s="3">
        <v>5672</v>
      </c>
      <c r="C18" s="3">
        <v>968</v>
      </c>
    </row>
    <row r="19" spans="1:3" x14ac:dyDescent="0.25">
      <c r="A19" s="3">
        <v>822</v>
      </c>
      <c r="B19" s="3">
        <v>7319</v>
      </c>
      <c r="C19" s="3">
        <v>1250</v>
      </c>
    </row>
    <row r="20" spans="1:3" x14ac:dyDescent="0.25">
      <c r="A20" s="3">
        <v>4952</v>
      </c>
      <c r="B20" s="3">
        <v>1987</v>
      </c>
      <c r="C20" s="3">
        <v>345</v>
      </c>
    </row>
    <row r="21" spans="1:3" x14ac:dyDescent="0.25">
      <c r="A21" s="3">
        <v>4665</v>
      </c>
      <c r="B21" s="3">
        <v>26183</v>
      </c>
      <c r="C21" s="3">
        <v>4544</v>
      </c>
    </row>
    <row r="22" spans="1:3" x14ac:dyDescent="0.25">
      <c r="A22" s="3">
        <v>3580</v>
      </c>
      <c r="B22" s="3">
        <v>5450</v>
      </c>
      <c r="C22" s="3">
        <v>945</v>
      </c>
    </row>
    <row r="23" spans="1:3" x14ac:dyDescent="0.25">
      <c r="A23" s="3">
        <v>5118</v>
      </c>
      <c r="B23" s="3">
        <v>63220</v>
      </c>
      <c r="C23" s="3">
        <v>10783</v>
      </c>
    </row>
    <row r="24" spans="1:3" x14ac:dyDescent="0.25">
      <c r="A24" s="3">
        <v>3580</v>
      </c>
      <c r="B24" s="3">
        <v>5450</v>
      </c>
      <c r="C24" s="3">
        <f>B24*0.21</f>
        <v>1144.5</v>
      </c>
    </row>
    <row r="25" spans="1:3" x14ac:dyDescent="0.25">
      <c r="A25" s="3">
        <v>770</v>
      </c>
      <c r="B25" s="3">
        <v>20960</v>
      </c>
      <c r="C25" s="3">
        <v>3637</v>
      </c>
    </row>
    <row r="26" spans="1:3" x14ac:dyDescent="0.25">
      <c r="A26" s="3">
        <v>3374</v>
      </c>
      <c r="B26" s="3">
        <v>13675</v>
      </c>
      <c r="C26" s="3">
        <v>2316</v>
      </c>
    </row>
    <row r="27" spans="1:3" x14ac:dyDescent="0.25">
      <c r="A27" s="3">
        <v>1697</v>
      </c>
      <c r="B27" s="3">
        <v>6650</v>
      </c>
      <c r="C27" s="3">
        <v>1154</v>
      </c>
    </row>
    <row r="28" spans="1:3" x14ac:dyDescent="0.25">
      <c r="A28" s="3">
        <v>4330</v>
      </c>
      <c r="B28" s="3">
        <v>80000</v>
      </c>
      <c r="C28" s="3">
        <v>7601</v>
      </c>
    </row>
    <row r="29" spans="1:3" x14ac:dyDescent="0.25">
      <c r="A29" s="3">
        <v>5272</v>
      </c>
      <c r="B29" s="3">
        <v>11804</v>
      </c>
      <c r="C29" s="3">
        <v>2048</v>
      </c>
    </row>
    <row r="30" spans="1:3" x14ac:dyDescent="0.25">
      <c r="A30" s="3">
        <v>5072</v>
      </c>
      <c r="B30" s="3">
        <v>13124</v>
      </c>
      <c r="C30" s="3">
        <v>2277</v>
      </c>
    </row>
    <row r="31" spans="1:3" x14ac:dyDescent="0.25">
      <c r="A31" s="3">
        <v>1546</v>
      </c>
      <c r="B31" s="3">
        <v>990</v>
      </c>
      <c r="C31" s="3">
        <v>171</v>
      </c>
    </row>
    <row r="32" spans="1:3" x14ac:dyDescent="0.25">
      <c r="A32" s="3">
        <v>5075</v>
      </c>
      <c r="B32" s="3">
        <v>1246</v>
      </c>
      <c r="C32" s="3">
        <v>216</v>
      </c>
    </row>
    <row r="33" spans="1:3" x14ac:dyDescent="0.25">
      <c r="A33" s="3">
        <v>4952</v>
      </c>
      <c r="B33" s="3">
        <v>4260</v>
      </c>
      <c r="C33" s="3">
        <v>739</v>
      </c>
    </row>
    <row r="34" spans="1:3" x14ac:dyDescent="0.25">
      <c r="A34" s="3">
        <v>4979</v>
      </c>
      <c r="B34" s="3">
        <v>4996</v>
      </c>
      <c r="C34" s="3">
        <v>867</v>
      </c>
    </row>
    <row r="35" spans="1:3" x14ac:dyDescent="0.25">
      <c r="A35" s="3">
        <v>4947</v>
      </c>
      <c r="B35" s="3">
        <v>4533</v>
      </c>
      <c r="C35" s="3">
        <v>786</v>
      </c>
    </row>
    <row r="36" spans="1:3" x14ac:dyDescent="0.25">
      <c r="A36" s="3">
        <v>5044</v>
      </c>
      <c r="B36" s="3">
        <v>6498</v>
      </c>
      <c r="C36" s="3">
        <v>1127</v>
      </c>
    </row>
    <row r="37" spans="1:3" x14ac:dyDescent="0.25">
      <c r="A37" s="22">
        <v>5095</v>
      </c>
      <c r="B37" s="22">
        <v>8884</v>
      </c>
      <c r="C37" s="22">
        <v>1541</v>
      </c>
    </row>
    <row r="38" spans="1:3" x14ac:dyDescent="0.25">
      <c r="A38" s="22">
        <v>1546</v>
      </c>
      <c r="B38" s="22">
        <v>5710</v>
      </c>
      <c r="C38" s="22">
        <v>991</v>
      </c>
    </row>
    <row r="39" spans="1:3" x14ac:dyDescent="0.25">
      <c r="A39" s="22">
        <v>1546</v>
      </c>
      <c r="B39" s="22">
        <v>6109</v>
      </c>
      <c r="C39" s="22">
        <v>1060</v>
      </c>
    </row>
    <row r="40" spans="1:3" ht="45.75" x14ac:dyDescent="0.7">
      <c r="A40" t="s">
        <v>24</v>
      </c>
      <c r="C40" s="23">
        <f>SUM(C1:C39)</f>
        <v>151143.5</v>
      </c>
    </row>
  </sheetData>
  <autoFilter ref="A1:C1" xr:uid="{0CCA4DFF-EDBF-4126-8B23-D7C380B437C6}"/>
  <pageMargins left="0.7" right="0.7" top="0.75" bottom="0.75" header="0.3" footer="0.3"/>
  <pageSetup orientation="portrait" horizontalDpi="0" verticalDpi="0" r:id="rId1"/>
  <headerFooter>
    <oddHeader>&amp;R&amp;"Calibri"&amp;10&amp;K000000Documento: YPF-Público&amp;1#</oddHeader>
    <oddFooter>&amp;R&amp;1#&amp;"Calibri"&amp;10&amp;K000000Documento: YPF-Público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7DCB-3026-44A5-A857-6581CBCEC401}">
  <dimension ref="A1:C21"/>
  <sheetViews>
    <sheetView workbookViewId="0">
      <selection sqref="A1:XFD1"/>
    </sheetView>
  </sheetViews>
  <sheetFormatPr baseColWidth="10" defaultRowHeight="15" x14ac:dyDescent="0.25"/>
  <cols>
    <col min="1" max="1" width="23.85546875" customWidth="1"/>
    <col min="3" max="3" width="22.140625" bestFit="1" customWidth="1"/>
  </cols>
  <sheetData>
    <row r="1" spans="1:3" ht="19.5" x14ac:dyDescent="0.3">
      <c r="A1" s="20" t="s">
        <v>116</v>
      </c>
      <c r="B1" s="20" t="s">
        <v>117</v>
      </c>
      <c r="C1" s="20" t="s">
        <v>14</v>
      </c>
    </row>
    <row r="2" spans="1:3" x14ac:dyDescent="0.25">
      <c r="A2" s="3">
        <v>4319</v>
      </c>
      <c r="B2" s="3">
        <v>140025.82</v>
      </c>
      <c r="C2" s="3">
        <f>0.21*B2</f>
        <v>29405.422200000001</v>
      </c>
    </row>
    <row r="3" spans="1:3" x14ac:dyDescent="0.25">
      <c r="A3" s="3">
        <v>1295</v>
      </c>
      <c r="B3" s="3">
        <v>1500</v>
      </c>
      <c r="C3" s="3">
        <f t="shared" ref="C3:C17" si="0">0.21*B3</f>
        <v>315</v>
      </c>
    </row>
    <row r="4" spans="1:3" x14ac:dyDescent="0.25">
      <c r="A4" s="3">
        <v>4505</v>
      </c>
      <c r="B4" s="3">
        <v>31830.01</v>
      </c>
      <c r="C4" s="3">
        <v>5524</v>
      </c>
    </row>
    <row r="5" spans="1:3" x14ac:dyDescent="0.25">
      <c r="A5" s="3">
        <v>4241</v>
      </c>
      <c r="B5" s="3">
        <v>17962.78</v>
      </c>
      <c r="C5" s="3">
        <f t="shared" si="0"/>
        <v>3772.1837999999998</v>
      </c>
    </row>
    <row r="6" spans="1:3" x14ac:dyDescent="0.25">
      <c r="A6" s="3">
        <v>3563</v>
      </c>
      <c r="B6" s="3">
        <v>32549</v>
      </c>
      <c r="C6" s="3">
        <f t="shared" si="0"/>
        <v>6835.29</v>
      </c>
    </row>
    <row r="7" spans="1:3" x14ac:dyDescent="0.25">
      <c r="A7" s="3">
        <v>2988</v>
      </c>
      <c r="B7" s="3">
        <v>30514.15</v>
      </c>
      <c r="C7" s="3">
        <f t="shared" si="0"/>
        <v>6407.9714999999997</v>
      </c>
    </row>
    <row r="8" spans="1:3" x14ac:dyDescent="0.25">
      <c r="A8" s="3">
        <v>4650</v>
      </c>
      <c r="B8" s="3">
        <v>14799.99</v>
      </c>
      <c r="C8" s="3">
        <v>2568</v>
      </c>
    </row>
    <row r="9" spans="1:3" x14ac:dyDescent="0.25">
      <c r="A9" s="3">
        <v>4429</v>
      </c>
      <c r="B9" s="3">
        <v>5500</v>
      </c>
      <c r="C9" s="3">
        <v>954</v>
      </c>
    </row>
    <row r="10" spans="1:3" x14ac:dyDescent="0.25">
      <c r="A10" s="3">
        <v>607</v>
      </c>
      <c r="B10" s="3">
        <v>2593</v>
      </c>
      <c r="C10" s="3">
        <v>450</v>
      </c>
    </row>
    <row r="11" spans="1:3" x14ac:dyDescent="0.25">
      <c r="A11" s="3">
        <v>4663</v>
      </c>
      <c r="B11" s="3">
        <v>3070</v>
      </c>
      <c r="C11" s="3">
        <v>532</v>
      </c>
    </row>
    <row r="12" spans="1:3" x14ac:dyDescent="0.25">
      <c r="A12" s="3">
        <v>2862</v>
      </c>
      <c r="B12" s="3">
        <v>22815</v>
      </c>
      <c r="C12" s="3">
        <f t="shared" si="0"/>
        <v>4791.1499999999996</v>
      </c>
    </row>
    <row r="13" spans="1:3" x14ac:dyDescent="0.25">
      <c r="A13" s="3">
        <v>9656</v>
      </c>
      <c r="B13" s="3">
        <v>28999</v>
      </c>
      <c r="C13" s="3">
        <v>5032</v>
      </c>
    </row>
    <row r="14" spans="1:3" x14ac:dyDescent="0.25">
      <c r="A14" s="3">
        <v>848</v>
      </c>
      <c r="B14" s="3">
        <v>45861</v>
      </c>
      <c r="C14" s="3">
        <f t="shared" si="0"/>
        <v>9630.81</v>
      </c>
    </row>
    <row r="15" spans="1:3" x14ac:dyDescent="0.25">
      <c r="A15" s="3">
        <v>4779</v>
      </c>
      <c r="B15" s="3">
        <v>4350</v>
      </c>
      <c r="C15" s="3">
        <f t="shared" si="0"/>
        <v>913.5</v>
      </c>
    </row>
    <row r="16" spans="1:3" x14ac:dyDescent="0.25">
      <c r="A16" s="3">
        <v>3879</v>
      </c>
      <c r="B16" s="3">
        <v>1860</v>
      </c>
      <c r="C16" s="3">
        <v>322</v>
      </c>
    </row>
    <row r="17" spans="1:3" x14ac:dyDescent="0.25">
      <c r="A17" s="3">
        <v>4706</v>
      </c>
      <c r="B17" s="3">
        <v>1362</v>
      </c>
      <c r="C17" s="3">
        <f t="shared" si="0"/>
        <v>286.02</v>
      </c>
    </row>
    <row r="18" spans="1:3" x14ac:dyDescent="0.25">
      <c r="A18" s="3">
        <v>4650</v>
      </c>
      <c r="B18" s="3">
        <v>7000</v>
      </c>
      <c r="C18" s="3">
        <v>1214</v>
      </c>
    </row>
    <row r="19" spans="1:3" x14ac:dyDescent="0.25">
      <c r="A19" s="3">
        <v>1072</v>
      </c>
      <c r="B19" s="3">
        <v>1080</v>
      </c>
      <c r="C19" s="3">
        <v>187</v>
      </c>
    </row>
    <row r="20" spans="1:3" x14ac:dyDescent="0.25">
      <c r="A20" s="3">
        <v>995</v>
      </c>
      <c r="B20" s="3">
        <v>17560</v>
      </c>
      <c r="C20" s="3">
        <v>3047</v>
      </c>
    </row>
    <row r="21" spans="1:3" ht="39" x14ac:dyDescent="0.6">
      <c r="A21" s="3" t="s">
        <v>127</v>
      </c>
      <c r="B21" s="3"/>
      <c r="C21" s="21">
        <f>SUM(C2:C18)</f>
        <v>78953.347500000003</v>
      </c>
    </row>
  </sheetData>
  <autoFilter ref="A1:C1" xr:uid="{39097DCB-3026-44A5-A857-6581CBCEC401}"/>
  <pageMargins left="0.7" right="0.7" top="0.75" bottom="0.75" header="0.3" footer="0.3"/>
  <pageSetup orientation="portrait" horizontalDpi="0" verticalDpi="0" r:id="rId1"/>
  <headerFooter>
    <oddHeader>&amp;R&amp;"Calibri"&amp;10&amp;K000000Documento: YPF-Público&amp;1#</oddHeader>
    <oddFooter>&amp;R&amp;1#&amp;"Calibri"&amp;10&amp;K000000Documento: YPF-Público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95A8-AEC3-4C3F-94ED-A59DFDCB170B}">
  <dimension ref="A1:C14"/>
  <sheetViews>
    <sheetView workbookViewId="0">
      <selection sqref="A1:C1"/>
    </sheetView>
  </sheetViews>
  <sheetFormatPr baseColWidth="10" defaultRowHeight="15" x14ac:dyDescent="0.25"/>
  <cols>
    <col min="1" max="1" width="14.28515625" bestFit="1" customWidth="1"/>
    <col min="2" max="2" width="12.7109375" bestFit="1" customWidth="1"/>
    <col min="3" max="3" width="17.7109375" bestFit="1" customWidth="1"/>
  </cols>
  <sheetData>
    <row r="1" spans="1:3" ht="19.5" x14ac:dyDescent="0.3">
      <c r="A1" s="20" t="s">
        <v>116</v>
      </c>
      <c r="B1" s="20" t="s">
        <v>117</v>
      </c>
      <c r="C1" s="20" t="s">
        <v>14</v>
      </c>
    </row>
    <row r="2" spans="1:3" ht="19.5" x14ac:dyDescent="0.3">
      <c r="A2" s="17">
        <v>2988</v>
      </c>
      <c r="B2" s="18">
        <v>30514.15</v>
      </c>
      <c r="C2" s="17">
        <f>B2*0.21</f>
        <v>6407.9714999999997</v>
      </c>
    </row>
    <row r="3" spans="1:3" ht="19.5" x14ac:dyDescent="0.3">
      <c r="A3" s="17">
        <v>3532</v>
      </c>
      <c r="B3" s="18">
        <v>5900</v>
      </c>
      <c r="C3" s="17">
        <f t="shared" ref="C3:C11" si="0">B3*0.21</f>
        <v>1239</v>
      </c>
    </row>
    <row r="4" spans="1:3" ht="19.5" x14ac:dyDescent="0.3">
      <c r="A4" s="17">
        <v>4277</v>
      </c>
      <c r="B4" s="18">
        <v>4930</v>
      </c>
      <c r="C4" s="17">
        <f t="shared" si="0"/>
        <v>1035.3</v>
      </c>
    </row>
    <row r="5" spans="1:3" ht="19.5" x14ac:dyDescent="0.3">
      <c r="A5" s="17">
        <v>4199</v>
      </c>
      <c r="B5" s="18">
        <v>16934.990000000002</v>
      </c>
      <c r="C5" s="17">
        <f t="shared" si="0"/>
        <v>3556.3479000000002</v>
      </c>
    </row>
    <row r="6" spans="1:3" ht="19.5" x14ac:dyDescent="0.3">
      <c r="A6" s="17">
        <v>40332</v>
      </c>
      <c r="B6" s="18">
        <v>5073.1400000000003</v>
      </c>
      <c r="C6" s="17">
        <f t="shared" si="0"/>
        <v>1065.3594000000001</v>
      </c>
    </row>
    <row r="7" spans="1:3" ht="19.5" x14ac:dyDescent="0.3">
      <c r="A7" s="17">
        <v>4319</v>
      </c>
      <c r="B7" s="18">
        <v>2839.99</v>
      </c>
      <c r="C7" s="17">
        <f t="shared" si="0"/>
        <v>596.39789999999994</v>
      </c>
    </row>
    <row r="8" spans="1:3" ht="19.5" x14ac:dyDescent="0.3">
      <c r="A8" s="17">
        <v>4363</v>
      </c>
      <c r="B8" s="18">
        <v>10911</v>
      </c>
      <c r="C8" s="17">
        <f t="shared" si="0"/>
        <v>2291.31</v>
      </c>
    </row>
    <row r="9" spans="1:3" ht="19.5" x14ac:dyDescent="0.3">
      <c r="A9" s="17">
        <v>4959</v>
      </c>
      <c r="B9" s="18">
        <v>4815.5</v>
      </c>
      <c r="C9" s="17">
        <f t="shared" si="0"/>
        <v>1011.255</v>
      </c>
    </row>
    <row r="10" spans="1:3" ht="19.5" x14ac:dyDescent="0.3">
      <c r="A10" s="17">
        <v>4457</v>
      </c>
      <c r="B10" s="17">
        <v>64728.51</v>
      </c>
      <c r="C10" s="17">
        <f t="shared" si="0"/>
        <v>13592.9871</v>
      </c>
    </row>
    <row r="11" spans="1:3" ht="19.5" x14ac:dyDescent="0.3">
      <c r="A11" s="17">
        <v>332</v>
      </c>
      <c r="B11" s="17">
        <v>5073</v>
      </c>
      <c r="C11" s="17">
        <f t="shared" si="0"/>
        <v>1065.33</v>
      </c>
    </row>
    <row r="12" spans="1:3" ht="19.5" x14ac:dyDescent="0.3">
      <c r="A12" s="17" t="s">
        <v>80</v>
      </c>
      <c r="B12" s="17"/>
      <c r="C12" s="19">
        <f>SUM(C2:C11)</f>
        <v>31861.258800000003</v>
      </c>
    </row>
    <row r="13" spans="1:3" ht="19.5" x14ac:dyDescent="0.3">
      <c r="A13" s="17" t="s">
        <v>126</v>
      </c>
      <c r="B13" s="17"/>
      <c r="C13" s="17">
        <v>49394.41</v>
      </c>
    </row>
    <row r="14" spans="1:3" ht="19.5" x14ac:dyDescent="0.3">
      <c r="A14" s="17" t="s">
        <v>24</v>
      </c>
      <c r="B14" s="17"/>
      <c r="C14" s="19">
        <f>SUM(C12:C13)</f>
        <v>81255.668800000014</v>
      </c>
    </row>
  </sheetData>
  <pageMargins left="0.7" right="0.7" top="0.75" bottom="0.75" header="0.3" footer="0.3"/>
  <pageSetup orientation="portrait" horizontalDpi="0" verticalDpi="0" r:id="rId1"/>
  <headerFooter>
    <oddHeader>&amp;R&amp;"Calibri"&amp;10&amp;K000000Documento: YPF-Público&amp;1#</oddHeader>
    <oddFooter>&amp;R&amp;1#&amp;"Calibri"&amp;10&amp;K000000Documento: YPF-Público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F1B9-3264-4222-A76D-A8AA0CEFB040}">
  <sheetPr>
    <pageSetUpPr fitToPage="1"/>
  </sheetPr>
  <dimension ref="A1:E22"/>
  <sheetViews>
    <sheetView workbookViewId="0">
      <selection activeCell="A15" sqref="A15:C15"/>
    </sheetView>
  </sheetViews>
  <sheetFormatPr baseColWidth="10" defaultRowHeight="15" x14ac:dyDescent="0.25"/>
  <cols>
    <col min="2" max="2" width="35.140625" bestFit="1" customWidth="1"/>
    <col min="4" max="4" width="17.7109375" bestFit="1" customWidth="1"/>
    <col min="5" max="5" width="33" bestFit="1" customWidth="1"/>
  </cols>
  <sheetData>
    <row r="1" spans="1:5" x14ac:dyDescent="0.25">
      <c r="A1" s="1" t="s">
        <v>3</v>
      </c>
      <c r="B1" s="1" t="s">
        <v>0</v>
      </c>
      <c r="C1" s="1" t="s">
        <v>1</v>
      </c>
      <c r="D1" s="1" t="s">
        <v>14</v>
      </c>
      <c r="E1" s="1" t="s">
        <v>19</v>
      </c>
    </row>
    <row r="2" spans="1:5" x14ac:dyDescent="0.25">
      <c r="A2" s="2">
        <v>44664</v>
      </c>
      <c r="B2" s="3" t="s">
        <v>29</v>
      </c>
      <c r="C2" s="3">
        <v>14600</v>
      </c>
      <c r="D2" s="3">
        <v>3066</v>
      </c>
      <c r="E2" s="3" t="s">
        <v>63</v>
      </c>
    </row>
    <row r="3" spans="1:5" x14ac:dyDescent="0.25">
      <c r="A3" s="2">
        <v>44664</v>
      </c>
      <c r="B3" s="3" t="s">
        <v>30</v>
      </c>
      <c r="C3" s="3">
        <v>3300</v>
      </c>
      <c r="D3" s="3">
        <v>693</v>
      </c>
      <c r="E3" s="3" t="s">
        <v>63</v>
      </c>
    </row>
    <row r="4" spans="1:5" x14ac:dyDescent="0.25">
      <c r="A4" s="2">
        <v>44685</v>
      </c>
      <c r="B4" s="3" t="s">
        <v>34</v>
      </c>
      <c r="C4" s="3">
        <v>4170</v>
      </c>
      <c r="D4" s="3">
        <v>875.69999999999993</v>
      </c>
      <c r="E4" s="3" t="s">
        <v>63</v>
      </c>
    </row>
    <row r="5" spans="1:5" x14ac:dyDescent="0.25">
      <c r="A5" s="2">
        <v>44685</v>
      </c>
      <c r="B5" s="3" t="s">
        <v>35</v>
      </c>
      <c r="C5" s="3">
        <v>4100</v>
      </c>
      <c r="D5" s="3">
        <v>861</v>
      </c>
      <c r="E5" s="3" t="s">
        <v>63</v>
      </c>
    </row>
    <row r="6" spans="1:5" x14ac:dyDescent="0.25">
      <c r="A6" s="14">
        <v>44686</v>
      </c>
      <c r="B6" s="7" t="s">
        <v>37</v>
      </c>
      <c r="C6" s="7">
        <v>15530</v>
      </c>
      <c r="D6" s="7">
        <v>3261.2999999999997</v>
      </c>
      <c r="E6" s="3" t="s">
        <v>63</v>
      </c>
    </row>
    <row r="7" spans="1:5" x14ac:dyDescent="0.25">
      <c r="A7" s="2">
        <v>44688</v>
      </c>
      <c r="B7" s="3" t="s">
        <v>38</v>
      </c>
      <c r="C7" s="3">
        <v>12515</v>
      </c>
      <c r="D7" s="7">
        <v>2628.15</v>
      </c>
      <c r="E7" s="3" t="s">
        <v>63</v>
      </c>
    </row>
    <row r="8" spans="1:5" x14ac:dyDescent="0.25">
      <c r="A8" s="2">
        <v>44697</v>
      </c>
      <c r="B8" s="3" t="s">
        <v>41</v>
      </c>
      <c r="C8" s="3">
        <v>19500</v>
      </c>
      <c r="D8" s="7">
        <v>4095</v>
      </c>
      <c r="E8" s="3" t="s">
        <v>63</v>
      </c>
    </row>
    <row r="9" spans="1:5" x14ac:dyDescent="0.25">
      <c r="A9" s="2">
        <v>44698</v>
      </c>
      <c r="B9" s="3" t="s">
        <v>43</v>
      </c>
      <c r="C9" s="3">
        <v>27000</v>
      </c>
      <c r="D9" s="3">
        <v>5670</v>
      </c>
      <c r="E9" s="3" t="s">
        <v>63</v>
      </c>
    </row>
    <row r="10" spans="1:5" x14ac:dyDescent="0.25">
      <c r="A10" s="2">
        <v>44709</v>
      </c>
      <c r="B10" s="3" t="s">
        <v>45</v>
      </c>
      <c r="C10" s="3">
        <v>33900</v>
      </c>
      <c r="D10" s="3">
        <v>7119</v>
      </c>
      <c r="E10" s="3" t="s">
        <v>63</v>
      </c>
    </row>
    <row r="11" spans="1:5" x14ac:dyDescent="0.25">
      <c r="A11" s="2">
        <v>44711</v>
      </c>
      <c r="B11" s="3" t="s">
        <v>50</v>
      </c>
      <c r="C11" s="3">
        <v>22600</v>
      </c>
      <c r="D11" s="3">
        <v>4746</v>
      </c>
      <c r="E11" s="3" t="s">
        <v>64</v>
      </c>
    </row>
    <row r="12" spans="1:5" x14ac:dyDescent="0.25">
      <c r="A12" s="2">
        <v>44726</v>
      </c>
      <c r="B12" s="3" t="s">
        <v>57</v>
      </c>
      <c r="C12" s="3">
        <v>30474</v>
      </c>
      <c r="D12" s="3">
        <v>6399.54</v>
      </c>
      <c r="E12" s="3" t="s">
        <v>64</v>
      </c>
    </row>
    <row r="13" spans="1:5" x14ac:dyDescent="0.25">
      <c r="A13" s="2">
        <v>44726</v>
      </c>
      <c r="B13" s="3" t="s">
        <v>59</v>
      </c>
      <c r="C13" s="3">
        <v>1765</v>
      </c>
      <c r="D13" s="3">
        <v>370.65</v>
      </c>
      <c r="E13" s="3" t="s">
        <v>64</v>
      </c>
    </row>
    <row r="14" spans="1:5" x14ac:dyDescent="0.25">
      <c r="A14" s="2">
        <v>44729</v>
      </c>
      <c r="B14" s="3" t="s">
        <v>61</v>
      </c>
      <c r="C14" s="3">
        <v>4100</v>
      </c>
      <c r="D14" s="3">
        <v>861</v>
      </c>
      <c r="E14" s="3" t="s">
        <v>64</v>
      </c>
    </row>
    <row r="15" spans="1:5" x14ac:dyDescent="0.25">
      <c r="A15" s="2">
        <v>44730</v>
      </c>
      <c r="B15" s="3" t="s">
        <v>62</v>
      </c>
      <c r="C15" s="3">
        <v>288766</v>
      </c>
      <c r="D15" s="3">
        <v>60640.86</v>
      </c>
      <c r="E15" s="3" t="s">
        <v>64</v>
      </c>
    </row>
    <row r="16" spans="1:5" x14ac:dyDescent="0.25">
      <c r="A16" s="2">
        <v>44742</v>
      </c>
      <c r="B16" s="3" t="s">
        <v>68</v>
      </c>
      <c r="C16" s="3">
        <v>5930</v>
      </c>
      <c r="D16" s="3">
        <v>1245.3</v>
      </c>
      <c r="E16" s="3" t="s">
        <v>64</v>
      </c>
    </row>
    <row r="17" spans="1:5" x14ac:dyDescent="0.25">
      <c r="A17" s="2">
        <v>44743</v>
      </c>
      <c r="B17" s="3" t="s">
        <v>70</v>
      </c>
      <c r="C17" s="3">
        <v>19118</v>
      </c>
      <c r="D17" s="3">
        <v>4014.7799999999997</v>
      </c>
      <c r="E17" s="3" t="s">
        <v>64</v>
      </c>
    </row>
    <row r="18" spans="1:5" x14ac:dyDescent="0.25">
      <c r="A18" s="2">
        <v>44748</v>
      </c>
      <c r="B18" s="3" t="s">
        <v>75</v>
      </c>
      <c r="C18" s="3">
        <v>3730</v>
      </c>
      <c r="D18" s="3">
        <v>783.3</v>
      </c>
      <c r="E18" s="3" t="s">
        <v>64</v>
      </c>
    </row>
    <row r="19" spans="1:5" x14ac:dyDescent="0.25">
      <c r="A19" s="2">
        <v>44764</v>
      </c>
      <c r="B19" s="3" t="s">
        <v>77</v>
      </c>
      <c r="C19" s="3">
        <v>6000</v>
      </c>
      <c r="D19" s="3">
        <v>1260</v>
      </c>
      <c r="E19" s="3" t="s">
        <v>64</v>
      </c>
    </row>
    <row r="20" spans="1:5" ht="15.75" x14ac:dyDescent="0.25">
      <c r="A20" s="3"/>
      <c r="B20" s="3" t="s">
        <v>80</v>
      </c>
      <c r="C20" s="3"/>
      <c r="D20" s="15">
        <f>SUM(D2:D19)</f>
        <v>108590.58000000002</v>
      </c>
      <c r="E20" s="3"/>
    </row>
    <row r="21" spans="1:5" x14ac:dyDescent="0.25">
      <c r="A21" s="3"/>
      <c r="B21" s="3" t="s">
        <v>81</v>
      </c>
      <c r="C21" s="3"/>
      <c r="D21" s="3">
        <v>-69848</v>
      </c>
      <c r="E21" s="3"/>
    </row>
    <row r="22" spans="1:5" ht="26.25" x14ac:dyDescent="0.4">
      <c r="A22" s="3"/>
      <c r="B22" s="16" t="s">
        <v>24</v>
      </c>
      <c r="C22" s="3"/>
      <c r="D22" s="5">
        <f>SUM(D20:D21)</f>
        <v>38742.580000000016</v>
      </c>
      <c r="E22" s="3"/>
    </row>
  </sheetData>
  <pageMargins left="0.7" right="0.7" top="0.75" bottom="0.75" header="0.3" footer="0.3"/>
  <pageSetup scale="83" orientation="portrait" horizontalDpi="0" verticalDpi="0" r:id="rId1"/>
  <headerFooter>
    <oddHeader>&amp;R&amp;"Calibri"&amp;10&amp;K000000Documento: YPF-Público&amp;1#</oddHeader>
    <oddFooter>&amp;R&amp;1#&amp;"Calibri"&amp;10&amp;K000000Documento: YPF-Público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7617-8455-4C9A-B4C5-4287AC636AE7}">
  <dimension ref="A1:G8"/>
  <sheetViews>
    <sheetView workbookViewId="0">
      <selection activeCell="G13" sqref="G13"/>
    </sheetView>
  </sheetViews>
  <sheetFormatPr baseColWidth="10" defaultRowHeight="15" x14ac:dyDescent="0.25"/>
  <cols>
    <col min="2" max="2" width="33.5703125" bestFit="1" customWidth="1"/>
    <col min="3" max="3" width="8" bestFit="1" customWidth="1"/>
    <col min="6" max="6" width="18.5703125" bestFit="1" customWidth="1"/>
    <col min="7" max="7" width="17.7109375" bestFit="1" customWidth="1"/>
  </cols>
  <sheetData>
    <row r="1" spans="1:7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7</v>
      </c>
      <c r="G1" s="1" t="s">
        <v>14</v>
      </c>
    </row>
    <row r="2" spans="1:7" x14ac:dyDescent="0.25">
      <c r="A2" s="2">
        <v>44629</v>
      </c>
      <c r="B2" s="3" t="s">
        <v>8</v>
      </c>
      <c r="C2" s="3">
        <v>240376</v>
      </c>
      <c r="D2" s="3">
        <v>1201.8800000000001</v>
      </c>
      <c r="E2" s="3" t="s">
        <v>5</v>
      </c>
      <c r="F2" s="3">
        <v>200</v>
      </c>
      <c r="G2" s="3">
        <v>50478.96</v>
      </c>
    </row>
    <row r="3" spans="1:7" x14ac:dyDescent="0.25">
      <c r="A3" s="2">
        <v>44641</v>
      </c>
      <c r="B3" s="3" t="s">
        <v>15</v>
      </c>
      <c r="C3" s="3">
        <v>4410</v>
      </c>
      <c r="D3" s="3">
        <v>21.940298507462686</v>
      </c>
      <c r="E3" s="3" t="s">
        <v>5</v>
      </c>
      <c r="F3" s="3">
        <v>201</v>
      </c>
      <c r="G3" s="3">
        <v>926.09999999999991</v>
      </c>
    </row>
    <row r="4" spans="1:7" x14ac:dyDescent="0.25">
      <c r="A4" s="2">
        <v>44651</v>
      </c>
      <c r="B4" s="3" t="s">
        <v>20</v>
      </c>
      <c r="C4" s="3">
        <v>20649.400000000001</v>
      </c>
      <c r="D4" s="3">
        <v>103.24700000000001</v>
      </c>
      <c r="E4" s="3" t="s">
        <v>5</v>
      </c>
      <c r="F4" s="3">
        <v>200</v>
      </c>
      <c r="G4" s="3">
        <v>4336.3739999999998</v>
      </c>
    </row>
    <row r="5" spans="1:7" x14ac:dyDescent="0.25">
      <c r="A5" s="2">
        <v>44651</v>
      </c>
      <c r="B5" s="3" t="s">
        <v>21</v>
      </c>
      <c r="C5" s="3">
        <v>485140</v>
      </c>
      <c r="D5" s="3">
        <v>2425.6999999999998</v>
      </c>
      <c r="E5" s="3" t="s">
        <v>5</v>
      </c>
      <c r="F5" s="3">
        <v>200</v>
      </c>
      <c r="G5" s="3">
        <v>101879.4</v>
      </c>
    </row>
    <row r="6" spans="1:7" x14ac:dyDescent="0.25">
      <c r="A6" s="2">
        <v>44651</v>
      </c>
      <c r="B6" s="3" t="s">
        <v>22</v>
      </c>
      <c r="C6" s="3">
        <v>64655.7</v>
      </c>
      <c r="D6" s="3">
        <v>323.27850000000001</v>
      </c>
      <c r="E6" s="3" t="s">
        <v>5</v>
      </c>
      <c r="F6" s="3">
        <v>200</v>
      </c>
      <c r="G6" s="3">
        <v>13577.696999999998</v>
      </c>
    </row>
    <row r="7" spans="1:7" x14ac:dyDescent="0.25">
      <c r="A7" s="2">
        <v>44651</v>
      </c>
      <c r="B7" s="3" t="s">
        <v>23</v>
      </c>
      <c r="C7" s="3">
        <v>243375</v>
      </c>
      <c r="D7" s="3">
        <v>1216.875</v>
      </c>
      <c r="E7" s="3" t="s">
        <v>5</v>
      </c>
      <c r="F7" s="3">
        <v>200</v>
      </c>
      <c r="G7" s="3">
        <v>51108.75</v>
      </c>
    </row>
    <row r="8" spans="1:7" ht="26.25" x14ac:dyDescent="0.4">
      <c r="A8" s="1" t="s">
        <v>24</v>
      </c>
      <c r="B8" s="3"/>
      <c r="C8" s="3"/>
      <c r="D8" s="3"/>
      <c r="E8" s="3"/>
      <c r="F8" s="3"/>
      <c r="G8" s="5">
        <f>SUM(G2:G7)</f>
        <v>222307.28099999996</v>
      </c>
    </row>
  </sheetData>
  <pageMargins left="0.7" right="0.7" top="0.75" bottom="0.75" header="0.3" footer="0.3"/>
  <pageSetup orientation="landscape" horizontalDpi="0" verticalDpi="0" r:id="rId1"/>
  <headerFooter>
    <oddHeader>&amp;R&amp;"Calibri"&amp;10&amp;K000000Documento: YPF-Público&amp;1#</oddHeader>
    <oddFooter>&amp;R&amp;1#&amp;"Calibri"&amp;10&amp;K000000Documento: YPF-Público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6BD0-87CA-4E63-ACE9-CAB569D33252}">
  <dimension ref="A1:E16"/>
  <sheetViews>
    <sheetView workbookViewId="0">
      <selection activeCell="E9" sqref="E9"/>
    </sheetView>
  </sheetViews>
  <sheetFormatPr baseColWidth="10" defaultRowHeight="15" x14ac:dyDescent="0.25"/>
  <cols>
    <col min="5" max="5" width="17.7109375" bestFit="1" customWidth="1"/>
  </cols>
  <sheetData>
    <row r="1" spans="1:5" x14ac:dyDescent="0.25">
      <c r="A1" s="1" t="s">
        <v>0</v>
      </c>
      <c r="B1" s="1" t="s">
        <v>479</v>
      </c>
      <c r="C1" s="1" t="s">
        <v>480</v>
      </c>
      <c r="D1" s="1" t="s">
        <v>411</v>
      </c>
      <c r="E1" s="1" t="s">
        <v>481</v>
      </c>
    </row>
    <row r="2" spans="1:5" x14ac:dyDescent="0.25">
      <c r="A2" s="3" t="s">
        <v>482</v>
      </c>
      <c r="B2" s="3">
        <v>41944</v>
      </c>
      <c r="C2" s="3" t="s">
        <v>485</v>
      </c>
      <c r="D2" s="3">
        <v>0.4</v>
      </c>
      <c r="E2" s="3">
        <f>B2*D2</f>
        <v>16777.600000000002</v>
      </c>
    </row>
    <row r="3" spans="1:5" x14ac:dyDescent="0.25">
      <c r="A3" s="3" t="s">
        <v>483</v>
      </c>
      <c r="B3" s="3">
        <v>37084</v>
      </c>
      <c r="C3" s="3" t="s">
        <v>485</v>
      </c>
      <c r="D3" s="3">
        <v>0.5</v>
      </c>
      <c r="E3" s="3">
        <f t="shared" ref="E3:E7" si="0">B3*D3</f>
        <v>18542</v>
      </c>
    </row>
    <row r="4" spans="1:5" x14ac:dyDescent="0.25">
      <c r="A4" s="3" t="s">
        <v>416</v>
      </c>
      <c r="B4" s="3">
        <v>93130</v>
      </c>
      <c r="C4" s="3" t="s">
        <v>485</v>
      </c>
      <c r="D4" s="3">
        <v>0.4</v>
      </c>
      <c r="E4" s="3">
        <f t="shared" si="0"/>
        <v>37252</v>
      </c>
    </row>
    <row r="5" spans="1:5" x14ac:dyDescent="0.25">
      <c r="A5" s="3" t="s">
        <v>484</v>
      </c>
      <c r="B5" s="3">
        <v>66160</v>
      </c>
      <c r="C5" s="3" t="s">
        <v>485</v>
      </c>
      <c r="D5" s="3">
        <v>0.5</v>
      </c>
      <c r="E5" s="3">
        <f t="shared" si="0"/>
        <v>33080</v>
      </c>
    </row>
    <row r="6" spans="1:5" x14ac:dyDescent="0.25">
      <c r="A6" s="3" t="s">
        <v>420</v>
      </c>
      <c r="B6" s="3">
        <v>16560</v>
      </c>
      <c r="C6" s="3" t="s">
        <v>485</v>
      </c>
      <c r="D6" s="3">
        <v>0.4</v>
      </c>
      <c r="E6" s="3">
        <f t="shared" si="0"/>
        <v>6624</v>
      </c>
    </row>
    <row r="7" spans="1:5" x14ac:dyDescent="0.25">
      <c r="A7" s="3" t="s">
        <v>418</v>
      </c>
      <c r="B7" s="3">
        <v>34403</v>
      </c>
      <c r="C7" s="3" t="s">
        <v>485</v>
      </c>
      <c r="D7" s="3">
        <v>0.4</v>
      </c>
      <c r="E7" s="3">
        <f t="shared" si="0"/>
        <v>13761.2</v>
      </c>
    </row>
    <row r="8" spans="1:5" x14ac:dyDescent="0.25">
      <c r="A8" s="3" t="s">
        <v>419</v>
      </c>
      <c r="B8" s="3">
        <v>300000</v>
      </c>
      <c r="C8" s="3" t="s">
        <v>485</v>
      </c>
      <c r="D8" s="3">
        <v>100</v>
      </c>
      <c r="E8" s="3">
        <v>300000</v>
      </c>
    </row>
    <row r="9" spans="1:5" x14ac:dyDescent="0.25">
      <c r="A9" s="3" t="s">
        <v>419</v>
      </c>
      <c r="B9" s="3">
        <v>380000</v>
      </c>
      <c r="C9" s="3" t="s">
        <v>486</v>
      </c>
      <c r="D9" s="3">
        <v>100</v>
      </c>
      <c r="E9" s="3">
        <v>380000</v>
      </c>
    </row>
    <row r="10" spans="1:5" x14ac:dyDescent="0.25">
      <c r="A10" s="3" t="s">
        <v>414</v>
      </c>
      <c r="B10" s="3">
        <v>49946</v>
      </c>
      <c r="C10" s="3" t="s">
        <v>486</v>
      </c>
      <c r="D10" s="3">
        <v>0.4</v>
      </c>
      <c r="E10" s="3">
        <f>B10*D10</f>
        <v>19978.400000000001</v>
      </c>
    </row>
    <row r="11" spans="1:5" x14ac:dyDescent="0.25">
      <c r="A11" s="3" t="s">
        <v>487</v>
      </c>
      <c r="B11" s="3">
        <v>40292</v>
      </c>
      <c r="C11" s="3" t="s">
        <v>486</v>
      </c>
      <c r="D11" s="3">
        <v>0.5</v>
      </c>
      <c r="E11" s="3">
        <f t="shared" ref="E11:E15" si="1">B11*D11</f>
        <v>20146</v>
      </c>
    </row>
    <row r="12" spans="1:5" x14ac:dyDescent="0.25">
      <c r="A12" s="3" t="s">
        <v>416</v>
      </c>
      <c r="B12" s="3">
        <v>93130</v>
      </c>
      <c r="C12" s="3" t="s">
        <v>486</v>
      </c>
      <c r="D12" s="3">
        <v>0.4</v>
      </c>
      <c r="E12" s="3">
        <f t="shared" si="1"/>
        <v>37252</v>
      </c>
    </row>
    <row r="13" spans="1:5" x14ac:dyDescent="0.25">
      <c r="A13" s="3" t="s">
        <v>484</v>
      </c>
      <c r="B13" s="3">
        <v>66160</v>
      </c>
      <c r="C13" s="3" t="s">
        <v>486</v>
      </c>
      <c r="D13" s="3">
        <v>0.5</v>
      </c>
      <c r="E13" s="3">
        <f t="shared" si="1"/>
        <v>33080</v>
      </c>
    </row>
    <row r="14" spans="1:5" x14ac:dyDescent="0.25">
      <c r="A14" s="3" t="s">
        <v>420</v>
      </c>
      <c r="B14" s="3">
        <v>16560</v>
      </c>
      <c r="C14" s="3" t="s">
        <v>486</v>
      </c>
      <c r="D14" s="3">
        <v>0.4</v>
      </c>
      <c r="E14" s="3">
        <f t="shared" si="1"/>
        <v>6624</v>
      </c>
    </row>
    <row r="15" spans="1:5" x14ac:dyDescent="0.25">
      <c r="A15" s="3" t="s">
        <v>418</v>
      </c>
      <c r="B15" s="3">
        <v>34740</v>
      </c>
      <c r="C15" s="3" t="s">
        <v>486</v>
      </c>
      <c r="D15" s="3">
        <v>0.4</v>
      </c>
      <c r="E15" s="3">
        <f t="shared" si="1"/>
        <v>13896</v>
      </c>
    </row>
    <row r="16" spans="1:5" ht="26.25" x14ac:dyDescent="0.4">
      <c r="A16" s="3" t="s">
        <v>24</v>
      </c>
      <c r="B16" s="3"/>
      <c r="C16" s="3"/>
      <c r="D16" s="3"/>
      <c r="E16" s="5">
        <f>SUM(E2:E15)</f>
        <v>937013.20000000007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Hoja1</vt:lpstr>
      <vt:lpstr>Presupuesto 2 (2)</vt:lpstr>
      <vt:lpstr>Presupuesto 2</vt:lpstr>
      <vt:lpstr>Presupuesto 1</vt:lpstr>
      <vt:lpstr>DEV 18</vt:lpstr>
      <vt:lpstr>DEV 17</vt:lpstr>
      <vt:lpstr>DEV 16</vt:lpstr>
      <vt:lpstr>Hoja2</vt:lpstr>
      <vt:lpstr>DEV 13</vt:lpstr>
      <vt:lpstr>DEV 14</vt:lpstr>
      <vt:lpstr>DEV 15</vt:lpstr>
      <vt:lpstr>Hoja3</vt:lpstr>
      <vt:lpstr>DEVOLUCION 12 </vt:lpstr>
      <vt:lpstr>DEVOLUCION 11</vt:lpstr>
      <vt:lpstr>DEVOLUCION 10</vt:lpstr>
      <vt:lpstr>dev 9</vt:lpstr>
      <vt:lpstr>DEVOLUCION 8 IVA</vt:lpstr>
      <vt:lpstr>DEVOLUCION 7 IVA</vt:lpstr>
      <vt:lpstr>DEVOLUCION 6 IVA</vt:lpstr>
      <vt:lpstr>DEVOLUCION 5 IVA</vt:lpstr>
      <vt:lpstr>DEVOLUCIÓN 4 IVA</vt:lpstr>
      <vt:lpstr>DEVOLUCIÓN 3 IVA</vt:lpstr>
      <vt:lpstr>DEVOLUCION 2</vt:lpstr>
      <vt:lpstr>DEVOLUCION 1 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GALIZIA, DIEGO</dc:creator>
  <cp:lastModifiedBy>GALIZIA, DIEGO</cp:lastModifiedBy>
  <cp:lastPrinted>2025-10-08T20:03:51Z</cp:lastPrinted>
  <dcterms:created xsi:type="dcterms:W3CDTF">2022-03-08T14:22:10Z</dcterms:created>
  <dcterms:modified xsi:type="dcterms:W3CDTF">2025-11-20T13:32:06Z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2023-09-19T13:54:15Z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1d2ca55c-690d-41ae-857e-84fd2310d765</vt:lpwstr>
  </property>
  <property fmtid="{D5CDD505-2E9C-101B-9397-08002B2CF9AE}" pid="8" name="MSIP_Label_fb622c24-5861-4880-bcaa-37216e265fb3_ContentBits">
    <vt:lpwstr>3</vt:lpwstr>
  </property>
</Properties>
</file>