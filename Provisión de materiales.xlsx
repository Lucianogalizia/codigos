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pf-my.sharepoint.com/personal/ry16123_grupo_ypf_com/Documents/Escritorio/"/>
    </mc:Choice>
  </mc:AlternateContent>
  <xr:revisionPtr revIDLastSave="38" documentId="8_{7BCB7745-B3E6-4068-973B-4EB400CC50E5}" xr6:coauthVersionLast="47" xr6:coauthVersionMax="47" xr10:uidLastSave="{B24CA244-F8F3-495D-B2E4-FF96542B37E8}"/>
  <bookViews>
    <workbookView xWindow="-120" yWindow="-120" windowWidth="20730" windowHeight="11040" firstSheet="1" activeTab="3" xr2:uid="{CDB5D37C-A8AC-4F92-BB6A-8A784CABC52B}"/>
  </bookViews>
  <sheets>
    <sheet name="Materiales Inyectores" sheetId="6" r:id="rId1"/>
    <sheet name="Material productor WO" sheetId="5" r:id="rId2"/>
    <sheet name="Material Pulling" sheetId="9" r:id="rId3"/>
    <sheet name="Mantenimiento Produccion" sheetId="1" r:id="rId4"/>
    <sheet name="Mat bbas + aib" sheetId="10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'[1]Fase 2'!$L$111:$L$111</definedName>
    <definedName name="\B">'[1]Fase 2'!$L$113:$L$113</definedName>
    <definedName name="\C">'[1]Fase 2'!$L$116:$L$116</definedName>
    <definedName name="\D">'[1]Fase 2'!$L$119:$L$119</definedName>
    <definedName name="\E">'[1]Fase 2'!$L$122:$L$122</definedName>
    <definedName name="\F">'[1]Fase 2'!$L$125:$L$125</definedName>
    <definedName name="\G">'[1]Fase 2'!$L$127:$L$127</definedName>
    <definedName name="\H">'[1]Fase 2'!$L$129:$L$129</definedName>
    <definedName name="\I">'[1]Fase 2'!$L$131:$L$131</definedName>
    <definedName name="\j">#REF!</definedName>
    <definedName name="\L">'[1]Fase 2'!$L$124:$L$124</definedName>
    <definedName name="\p">#REF!</definedName>
    <definedName name="\Q">'[1]Fase 2'!$L$135:$L$135</definedName>
    <definedName name="\s">#REF!</definedName>
    <definedName name="\w">#REF!</definedName>
    <definedName name="_____C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EG70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EG70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FFF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HY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pov">#REF!</definedName>
    <definedName name="_____ROP62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ROP62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r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sd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C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EG70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EG70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Eqt1">#REF!</definedName>
    <definedName name="____FFF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hta01">#REF!</definedName>
    <definedName name="____HY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MAO190">#REF!</definedName>
    <definedName name="____Mov1">#REF!</definedName>
    <definedName name="____Mvp1">#REF!</definedName>
    <definedName name="____Obp1">#REF!</definedName>
    <definedName name="____PT1067">'[2] HOJA CALC.'!#REF!</definedName>
    <definedName name="____r">#REF!</definedName>
    <definedName name="____ROP62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ROP62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r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sd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_t1">'[3] HOJA CALC.'!#REF!</definedName>
    <definedName name="____tic2">'[3] HOJA CALC.'!#REF!</definedName>
    <definedName name="____tub1">#REF!</definedName>
    <definedName name="____UN1">#REF!</definedName>
    <definedName name="____veh1">#REF!</definedName>
    <definedName name="___C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EG70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EG70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Eqt1">#REF!</definedName>
    <definedName name="___FFF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hta01">#REF!</definedName>
    <definedName name="___HY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MAO190">#REF!</definedName>
    <definedName name="___mo">#REF!</definedName>
    <definedName name="___Mov1">#REF!</definedName>
    <definedName name="___Mvp1">#REF!</definedName>
    <definedName name="___Obp1">#REF!</definedName>
    <definedName name="___PT1067">'[2] HOJA CALC.'!#REF!</definedName>
    <definedName name="___r">#REF!</definedName>
    <definedName name="___ROP62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ROP62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r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sd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_t1">'[3] HOJA CALC.'!#REF!</definedName>
    <definedName name="___tic2">'[3] HOJA CALC.'!#REF!</definedName>
    <definedName name="___tub1">#REF!</definedName>
    <definedName name="___UN1">#REF!</definedName>
    <definedName name="___veh1">#REF!</definedName>
    <definedName name="__C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EG70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EG70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Eqt1">#REF!</definedName>
    <definedName name="__FFF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hta01">#REF!</definedName>
    <definedName name="__HY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MAO190">#REF!</definedName>
    <definedName name="__Mov1">#REF!</definedName>
    <definedName name="__Mvp1">#REF!</definedName>
    <definedName name="__Obp1">#REF!</definedName>
    <definedName name="__PT1067">'[2] HOJA CALC.'!#REF!</definedName>
    <definedName name="__r">#REF!</definedName>
    <definedName name="__ROP62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OP62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d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t1">'[3] HOJA CALC.'!#REF!</definedName>
    <definedName name="__tic2">'[3] HOJA CALC.'!#REF!</definedName>
    <definedName name="__tub1">#REF!</definedName>
    <definedName name="__UN1">#REF!</definedName>
    <definedName name="__veh1">#REF!</definedName>
    <definedName name="_1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2">#REF!</definedName>
    <definedName name="_21">#REF!</definedName>
    <definedName name="_22">#REF!</definedName>
    <definedName name="_2276" hidden="1">'[4]Proforma Guia'!#REF!</definedName>
    <definedName name="_23">#REF!</definedName>
    <definedName name="_24">#REF!</definedName>
    <definedName name="_26">#REF!</definedName>
    <definedName name="_27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C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ech">#REF!</definedName>
    <definedName name="_EG70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EG70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Eqt1">#REF!</definedName>
    <definedName name="_FFF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ill" hidden="1">#REF!</definedName>
    <definedName name="_hta01">#REF!</definedName>
    <definedName name="_HY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Key1" hidden="1">'[4]Proforma Guia'!#REF!</definedName>
    <definedName name="_MAO190">#REF!</definedName>
    <definedName name="_Mov1">#REF!</definedName>
    <definedName name="_Mvp1">#REF!</definedName>
    <definedName name="_Obp1">#REF!</definedName>
    <definedName name="_Order1" hidden="1">255</definedName>
    <definedName name="_PT1067">'[2] HOJA CALC.'!#REF!</definedName>
    <definedName name="_r">#REF!</definedName>
    <definedName name="_Regression_Int" hidden="1">1</definedName>
    <definedName name="_ROP62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OP62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d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ort" hidden="1">'[4]Proforma Guia'!#REF!</definedName>
    <definedName name="_t1">'[3] HOJA CALC.'!#REF!</definedName>
    <definedName name="_tic2">'[3] HOJA CALC.'!#REF!</definedName>
    <definedName name="_tub1">#REF!</definedName>
    <definedName name="_UN1">#REF!</definedName>
    <definedName name="_veh1">#REF!</definedName>
    <definedName name="A">'[5]Pedido cañería'!#REF!</definedName>
    <definedName name="a.">'[5]Pedido cañería'!#REF!</definedName>
    <definedName name="A_impresión_IM">#REF!</definedName>
    <definedName name="aa">#REF!</definedName>
    <definedName name="AAA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A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aaaa">'[6]A I Ry ET1'!#REF!</definedName>
    <definedName name="Accdpf">'[7]Propuesta de trépanos'!#REF!</definedName>
    <definedName name="Acciones">'[8]2- Instalación y Punzados WO'!$AR$7:$AR$9</definedName>
    <definedName name="ad">#REF!</definedName>
    <definedName name="ADICIONAL">[9]!ADICIONAL</definedName>
    <definedName name="Agua">#REF!</definedName>
    <definedName name="Aislación">#REF!</definedName>
    <definedName name="Alquiler">#REF!</definedName>
    <definedName name="API.MED">'[10]Hp-PROF-Fi-Sw-SAL-DENS'!$H$8</definedName>
    <definedName name="API_Number">#REF!</definedName>
    <definedName name="Area">#REF!</definedName>
    <definedName name="_xlnm.Print_Area">#N/A</definedName>
    <definedName name="asas">[9]!asas</definedName>
    <definedName name="ASDFASD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us">#REF!</definedName>
    <definedName name="AVANZADA">#REF!</definedName>
    <definedName name="AzimUnit">'[11]WELL-PLAN'!$D$19</definedName>
    <definedName name="B">#REF!</definedName>
    <definedName name="Base">#REF!</definedName>
    <definedName name="Base_de_datos">#REF!</definedName>
    <definedName name="_xlnm.Database">#REF!</definedName>
    <definedName name="bbb">'[5]Pedido cañería'!#REF!</definedName>
    <definedName name="BIT">'[7]Propuesta de trépanos'!#REF!</definedName>
    <definedName name="Bloque">[12]Tabla1!#REF!</definedName>
    <definedName name="bn">'[3] HOJA CALC.'!#REF!</definedName>
    <definedName name="Bo.le">'[10]Pb-Pact-Bo-Sor-M-Ev-iw'!$C$56</definedName>
    <definedName name="Boa">'[10]PVT-Out'!$M$68</definedName>
    <definedName name="bodega">#REF!</definedName>
    <definedName name="Boi">'[10]PVT-Out'!$M$67</definedName>
    <definedName name="BoreholeName">#REF!</definedName>
    <definedName name="BR_Column" localSheetId="1">NULL</definedName>
    <definedName name="BR_Column">NULL</definedName>
    <definedName name="BR_Unit" localSheetId="1">NULL</definedName>
    <definedName name="BR_Unit">NULL</definedName>
    <definedName name="CabezaA">#REF!</definedName>
    <definedName name="CabezaB">#REF!</definedName>
    <definedName name="CabezaC">#REF!</definedName>
    <definedName name="CabGeo1">#REF!</definedName>
    <definedName name="Cabgeol1">#REF!</definedName>
    <definedName name="cadays">'[7]Propuesta de trépanos'!#REF!</definedName>
    <definedName name="cadollars">'[7]Propuesta de trépanos'!#REF!</definedName>
    <definedName name="cahours">'[7]Propuesta de trépanos'!#REF!</definedName>
    <definedName name="Camisa_CMD_2_31">#REF!</definedName>
    <definedName name="CARATULA">#REF!</definedName>
    <definedName name="caratuloa.xls">#REF!</definedName>
    <definedName name="CASING">'[7]Propuesta de trépanos'!#REF!</definedName>
    <definedName name="cb">#REF!</definedName>
    <definedName name="CC" hidden="1">#N/A</definedName>
    <definedName name="ccuc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depthout">'[7]Propuesta de trépanos'!#REF!</definedName>
    <definedName name="Cemen1Int">#REF!</definedName>
    <definedName name="CemenAisl">#REF!</definedName>
    <definedName name="CemenGuia">#REF!</definedName>
    <definedName name="cemto_guia">#REF!</definedName>
    <definedName name="Cemto_pro">#REF!</definedName>
    <definedName name="chartdepthout">'[7]Propuesta de trépanos'!#REF!</definedName>
    <definedName name="ChCs">#REF!</definedName>
    <definedName name="CINCO">"Lista desplegable 1"</definedName>
    <definedName name="CL">#REF!</definedName>
    <definedName name="CLAVES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ient">#REF!</definedName>
    <definedName name="ClosureAzimUnit">'[11]WELL-PLAN'!$J$19</definedName>
    <definedName name="ClosureUnit">'[11]WELL-PLAN'!$I$19</definedName>
    <definedName name="codelist">#REF!</definedName>
    <definedName name="colchones">#REF!</definedName>
    <definedName name="COMMENT">'[7]Propuesta de trépanos'!#REF!</definedName>
    <definedName name="COMP.F">'[10]ENSAYOS + PRORR'!$BS$3</definedName>
    <definedName name="COMP.O">'[10]ENSAYOS + PRORR'!$BS$2</definedName>
    <definedName name="COMP.W">'[10]ENSAYOS + PRORR'!$BS$1</definedName>
    <definedName name="CONCENT.IV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CENT.IV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tGeolo">#REF!</definedName>
    <definedName name="Contingen">#REF!</definedName>
    <definedName name="CoordinateReference">#REF!</definedName>
    <definedName name="CoordinateSystem">#REF!</definedName>
    <definedName name="Corona">#REF!</definedName>
    <definedName name="COSTO">#REF!</definedName>
    <definedName name="Costo01">#REF!</definedName>
    <definedName name="costo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s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PTP">#REF!</definedName>
    <definedName name="CPTR">#REF!</definedName>
    <definedName name="CRTR">#REF!</definedName>
    <definedName name="Csg_pro">#REF!</definedName>
    <definedName name="CTTE.VISC">[10]VISC!$X$49</definedName>
    <definedName name="Cuña">[13]Costos!$D$368</definedName>
    <definedName name="D">'[14]HOJA PRESUPUESTO'!#REF!</definedName>
    <definedName name="Date">#REF!</definedName>
    <definedName name="Datos">[15]Llancanelo!$A$1:$O$50</definedName>
    <definedName name="dd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dd">#REF!</definedName>
    <definedName name="DDDD">#REF!</definedName>
    <definedName name="dddddddd">'[6]A I Ry ET1'!#REF!</definedName>
    <definedName name="DENS.MED">'[10]Hp-PROF-Fi-Sw-SAL-DENS'!$H$7</definedName>
    <definedName name="DENS.PS">'[10]ENSAYOS + PRORR'!$H$5</definedName>
    <definedName name="Depthout">#REF!</definedName>
    <definedName name="ders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DFDF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DFDF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s" localSheetId="1">NULL</definedName>
    <definedName name="dfs">NULL</definedName>
    <definedName name="dfsfsd">#REF!</definedName>
    <definedName name="dia">#REF!</definedName>
    <definedName name="Días">#REF!</definedName>
    <definedName name="DipAngle">#REF!</definedName>
    <definedName name="Direcc">#REF!</definedName>
    <definedName name="Direccional">#REF!</definedName>
    <definedName name="DLS_CompMethod">#REF!</definedName>
    <definedName name="DLS_Unit">#REF!</definedName>
    <definedName name="DOLAR" localSheetId="1">'Material productor WO'!#REF!</definedName>
    <definedName name="DOLAR">#REF!</definedName>
    <definedName name="DP.EST">'[10]ENSAYOS + PRORR'!$H$6</definedName>
    <definedName name="DrillSiteOrWellPad">#REF!</definedName>
    <definedName name="DST">#REF!</definedName>
    <definedName name="DTM">#REF!</definedName>
    <definedName name="e">#REF!</definedName>
    <definedName name="e.e">#REF!</definedName>
    <definedName name="EastingUnit">#REF!</definedName>
    <definedName name="ede">[9]!ede</definedName>
    <definedName name="ee">#REF!</definedName>
    <definedName name="EG_700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EG_700" hidden="1">{#N/A,#N/A,TRUE,"OBJETIVOS";#N/A,#N/A,TRUE,"CARATA";#N/A,#N/A,TRUE,"COLUMNA";#N/A,#N/A,TRUE,"ENTUBACION";#N/A,#N/A,TRUE,"COSTOS";#N/A,#N/A,TRUE,"CAÑERIA";#N/A,#N/A,TRUE,"CRONO";#N/A,#N/A,TRUE,"BOP";#N/A,#N/A,TRUE,"PREVENTORES"}</definedName>
    <definedName name="Elemento">#REF!</definedName>
    <definedName name="Elevation">#REF!</definedName>
    <definedName name="ElevationReference">#REF!</definedName>
    <definedName name="endxxx">'[7]Propuesta de trépanos'!#REF!</definedName>
    <definedName name="Equipo">#REF!</definedName>
    <definedName name="ered">#REF!</definedName>
    <definedName name="ESQCG578">[16]POZO!$C$31</definedName>
    <definedName name="ESQUEMA">#REF!</definedName>
    <definedName name="ESQUEMA.">#REF!</definedName>
    <definedName name="esquema..2009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esquema..200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Estados">'[8]2- Instalación y Punzados WO'!$AQ$7:$AQ$9</definedName>
    <definedName name="Ev">'[10]Pb-Pact-Bo-Sor-M-Ev-iw'!$J$94</definedName>
    <definedName name="EW" hidden="1">#REF!</definedName>
    <definedName name="EW_Unit">#REF!</definedName>
    <definedName name="EXP.VISC">[10]VISC!$X$50</definedName>
    <definedName name="fd">#REF!</definedName>
    <definedName name="fds">#REF!</definedName>
    <definedName name="FEET">'[7]Propuesta de trépanos'!#REF!</definedName>
    <definedName name="ff">#REF!</definedName>
    <definedName name="FFF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FF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I.MED">'[10]Hp-PROF-Fi-Sw-SAL-DENS'!$H$4</definedName>
    <definedName name="FieldName">#REF!</definedName>
    <definedName name="FieldStrength">#REF!</definedName>
    <definedName name="formation_name">#REF!</definedName>
    <definedName name="FR.act.selec">'[10]TD FR'!$S$7</definedName>
    <definedName name="FR.fin">'[10]TD FR'!$Y$2</definedName>
    <definedName name="FR.le.selec">'[10]TD FR'!$T$7</definedName>
    <definedName name="FR.secund">'[10]TD FR'!$O$8</definedName>
    <definedName name="FRa.secund">'[10]TD FR'!$N$8</definedName>
    <definedName name="fsd">#REF!</definedName>
    <definedName name="fsdfdf">[9]!fsdfdf</definedName>
    <definedName name="GeodeticLocation">#REF!</definedName>
    <definedName name="gg" hidden="1">#REF!</definedName>
    <definedName name="GRANDTOTAL">#REF!</definedName>
    <definedName name="gray">'[7]Propuesta de trépanos'!#REF!,'[7]Propuesta de trépanos'!#REF!,'[7]Propuesta de trépanos'!#REF!,'[7]Propuesta de trépanos'!#REF!,'[7]Propuesta de trépanos'!#REF!,'[7]Propuesta de trépanos'!#REF!,'[7]Propuesta de trépanos'!#REF!</definedName>
    <definedName name="GridConvergence">#REF!</definedName>
    <definedName name="GridLocation">#REF!</definedName>
    <definedName name="GroundLevelElevation">#REF!</definedName>
    <definedName name="Guia">#REF!</definedName>
    <definedName name="GuiaSer">#REF!</definedName>
    <definedName name="hjgj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oja3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oja3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oja4" localSheetId="1">NULL</definedName>
    <definedName name="Hoja4">NULL</definedName>
    <definedName name="HTA">#REF!</definedName>
    <definedName name="HYA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Y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IGIUAD">#REF!</definedName>
    <definedName name="II" hidden="1">'[17] HOJA CALC.'!#REF!</definedName>
    <definedName name="InclUnit">'[11]WELL-PLAN'!$C$19</definedName>
    <definedName name="INICIO">#REF!</definedName>
    <definedName name="Interm">#REF!</definedName>
    <definedName name="INV.TOTAL">#REF!</definedName>
    <definedName name="iny">#REF!</definedName>
    <definedName name="iunn" hidden="1">#REF!</definedName>
    <definedName name="j">#REF!</definedName>
    <definedName name="jcuac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cua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hkjhkljh" hidden="1">'[4]Proforma Guia'!#REF!</definedName>
    <definedName name="jj">'[3] HOJA CALC.'!#REF!</definedName>
    <definedName name="jmm">#REF!</definedName>
    <definedName name="juac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K.MED">[10]PERM!$K$13</definedName>
    <definedName name="kj">#REF!</definedName>
    <definedName name="KM_ADIC">'[5]Pedido cañería'!#REF!</definedName>
    <definedName name="Kro">'[10]ENSAYOS + PRORR'!$BP$5</definedName>
    <definedName name="l">#REF!</definedName>
    <definedName name="LH">#REF!</definedName>
    <definedName name="LIM.EC">'[10]ACTUAL q-Np'!$BS$19</definedName>
    <definedName name="Liner">#REF!</definedName>
    <definedName name="listcode">#REF!</definedName>
    <definedName name="LITOLOGIA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odoMate.">#REF!</definedName>
    <definedName name="LodoServ.">#REF!</definedName>
    <definedName name="loip">#REF!</definedName>
    <definedName name="lui">[18]POB!$A$1:$L$109</definedName>
    <definedName name="M">'[10]Pb-Pact-Bo-Sor-M-Ev-iw'!$C$94</definedName>
    <definedName name="MagneticDeclDate">#REF!</definedName>
    <definedName name="MagneticDeclination">#REF!</definedName>
    <definedName name="MagneticDeclModel">#REF!</definedName>
    <definedName name="MAKK86">'[19]prog PC1095'!#REF!</definedName>
    <definedName name="MatTubing1">#REF!</definedName>
    <definedName name="MD_Unit">#REF!</definedName>
    <definedName name="Medida">#REF!</definedName>
    <definedName name="MES">#REF!</definedName>
    <definedName name="mm">'[17] HOJA CALC.'!#REF!</definedName>
    <definedName name="mmm">'[20]HOJA PRESUPUESTO'!#REF!</definedName>
    <definedName name="Módulo1.PVAVILE" localSheetId="1">[21]!Módulo1.PVAVILE</definedName>
    <definedName name="Módulo1.PVAVILE">[21]!Módulo1.PVAVILE</definedName>
    <definedName name="Motor_rate">'[7]Propuesta de trépanos'!#REF!</definedName>
    <definedName name="nm">#REF!</definedName>
    <definedName name="NorthingUnit">#REF!</definedName>
    <definedName name="NorthReference">#REF!</definedName>
    <definedName name="nota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not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nota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not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Npp.act">'[10]TD FR'!$B$6</definedName>
    <definedName name="Npp.fin">'[10]PRIM fin'!$BI$3</definedName>
    <definedName name="Nps.map">'[10]TD FR'!$Z$12</definedName>
    <definedName name="NS_Unit">#REF!</definedName>
    <definedName name="OOIP.map">'[10]TD FR'!$R$2</definedName>
    <definedName name="OPCIONALES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CIONALE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cionales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cionales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uj" localSheetId="1">NULL</definedName>
    <definedName name="opuj">NULL</definedName>
    <definedName name="P.ACT">'[10]Pb-Pact-Bo-Sor-M-Ev-iw'!$C$37</definedName>
    <definedName name="P.BUR">'[10]Pb-Pact-Bo-Sor-M-Ev-iw'!$F$7</definedName>
    <definedName name="P.INI">'[10]Pb-Pact-Bo-Sor-M-Ev-iw'!$K$34</definedName>
    <definedName name="P.LE">'[10]Pb-Pact-Bo-Sor-M-Ev-iw'!$C$40</definedName>
    <definedName name="Packer_FH">#REF!</definedName>
    <definedName name="PE">'[22]HOJA PRESUPUESTO'!#REF!</definedName>
    <definedName name="PEDIDO">#REF!</definedName>
    <definedName name="Pedido1">#REF!</definedName>
    <definedName name="PEDIDO2">#REF!</definedName>
    <definedName name="PEP">#REF!</definedName>
    <definedName name="pepe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2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2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fil">#REF!</definedName>
    <definedName name="Perfilaje">#REF!</definedName>
    <definedName name="perfora">'[23]AFE-179'!$S$96</definedName>
    <definedName name="Performance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formance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sca">#REF!</definedName>
    <definedName name="PKRKK86">'[24]I EV-1011'!#REF!</definedName>
    <definedName name="PKRO190">#REF!</definedName>
    <definedName name="planilla">'[25]Propuesta de trépanos'!$E$1:$E$65536</definedName>
    <definedName name="PostJob">'[26]1etapa'!#REF!</definedName>
    <definedName name="POZO">'[27]HOJA PRESUPUESTO'!#REF!</definedName>
    <definedName name="Pozo_Campañas_98_y_99">#REF!</definedName>
    <definedName name="POZO2">#REF!</definedName>
    <definedName name="Pozos_Este_20_y_40_Acres__1999_2000_">#REF!</definedName>
    <definedName name="Pozos_Jagüel_de_los_Machos">[28]Pozos_Jagüel_de_los_Machos!$A$1:$Y$48</definedName>
    <definedName name="Pozos_Zona_Este">[29]Pozos_Zona_Este!$A$1:$Y$123</definedName>
    <definedName name="Presupuesto">#REF!</definedName>
    <definedName name="Print_Area">[9]!Print_Area</definedName>
    <definedName name="Print_Area_MI">#REF!</definedName>
    <definedName name="Prof">'[30] HOJA CALC.'!#REF!</definedName>
    <definedName name="PROF.MED">'[10]Hp-PROF-Fi-Sw-SAL-DENS'!$H$3</definedName>
    <definedName name="PROG.">'[31]AT-97'!$A$1:$R$36</definedName>
    <definedName name="PROGRAMA">#REF!,#REF!</definedName>
    <definedName name="PROYECTO">[10]INICIO!$C$3</definedName>
    <definedName name="pru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ru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rueba">#REF!</definedName>
    <definedName name="PT">'[17] HOJA CALC.'!#REF!</definedName>
    <definedName name="punzado">#REF!</definedName>
    <definedName name="PVAGRIO">#REF!</definedName>
    <definedName name="PVAVILE">#REF!</definedName>
    <definedName name="PVRAYOSO">#REF!</definedName>
    <definedName name="q">#REF!</definedName>
    <definedName name="Q.INY">[10]VOL.PATTERNS!$AB$3</definedName>
    <definedName name="qq">'[17] HOJA CALC.'!#REF!</definedName>
    <definedName name="R.DREN">'[10]ENSAYOS + PRORR'!$BK$5</definedName>
    <definedName name="R.POZO">'[10]ENSAYOS + PRORR'!$BK$6</definedName>
    <definedName name="ramon">#REF!</definedName>
    <definedName name="re">#REF!</definedName>
    <definedName name="REAL">#REF!</definedName>
    <definedName name="REPA">#REF!</definedName>
    <definedName name="ReportTitle">'[11]WELL-PLAN'!$AE$3</definedName>
    <definedName name="REQUISIC">[32]REQUISICION!$A$1:$D$106</definedName>
    <definedName name="requisic.xls">[32]REQUISICION!$A$1:$D$106</definedName>
    <definedName name="revisar">#REF!</definedName>
    <definedName name="revisar1">#REF!</definedName>
    <definedName name="revisar2">#REF!</definedName>
    <definedName name="revisar3">#REF!</definedName>
    <definedName name="rop">'[33]COSTO Y CONSUMO INYECCION'!$B$1:$Z$106</definedName>
    <definedName name="ROPC">'[7]Propuesta de trépanos'!#REF!</definedName>
    <definedName name="ROPI">'[7]Propuesta de trépanos'!#REF!</definedName>
    <definedName name="rr" hidden="1">'[17] HOJA CALC.'!#REF!</definedName>
    <definedName name="Rsa">'[10]PVT-Out'!$N$68</definedName>
    <definedName name="Rsi">'[10]PVT-Out'!$N$67</definedName>
    <definedName name="Rsle">'[10]PVT-Out'!$N$69</definedName>
    <definedName name="RUBEN">'[33]COSTO Y CONSUMO INYECCION'!$B$1:$Z$106</definedName>
    <definedName name="RUBEN1">'[33]COSTO Y CONSUMO INYECCION'!$B$1:$Z$106</definedName>
    <definedName name="SAL.MED">'[10]Hp-PROF-Fi-Sw-SAL-DENS'!$H$6</definedName>
    <definedName name="ScaleFactor">#REF!</definedName>
    <definedName name="sde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e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f">#REF!</definedName>
    <definedName name="sdfsdf">#REF!</definedName>
    <definedName name="Sga">'[10]Pb-Pact-Bo-Sor-M-Ev-iw'!$K$54</definedName>
    <definedName name="si">#REF!</definedName>
    <definedName name="SistCerr">#REF!</definedName>
    <definedName name="So.le">'[10]Pb-Pact-Bo-Sor-M-Ev-iw'!$K$48</definedName>
    <definedName name="Soa">'[10]Pb-Pact-Bo-Sor-M-Ev-iw'!$K$44</definedName>
    <definedName name="Sor">'[10]Pb-Pact-Bo-Sor-M-Ev-iw'!$J$63</definedName>
    <definedName name="ss" hidden="1">#REF!</definedName>
    <definedName name="SSS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S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sssssss">'[6]A I Ry ET1'!#REF!</definedName>
    <definedName name="SubSeaTVD_Column" localSheetId="1">NULL</definedName>
    <definedName name="SubSeaTVD_Column">NULL</definedName>
    <definedName name="SubSeaTVD_Unit" localSheetId="1">NULL</definedName>
    <definedName name="SubSeaTVD_Unit">NULL</definedName>
    <definedName name="supgeo1">#REF!</definedName>
    <definedName name="supperf1">#REF!</definedName>
    <definedName name="supter1">#REF!</definedName>
    <definedName name="SurveyCompMethod">#REF!</definedName>
    <definedName name="SurveyDate">#REF!</definedName>
    <definedName name="SurveyStats">#REF!</definedName>
    <definedName name="SvyDLSCompMethod">#REF!</definedName>
    <definedName name="SW.MED">'[10]Hp-PROF-Fi-Sw-SAL-DENS'!$H$5</definedName>
    <definedName name="Tapon">#REF!</definedName>
    <definedName name="tar">'[5]Pedido cañería'!#REF!</definedName>
    <definedName name="Tarifa__A">'[5]Pedido cañería'!#REF!</definedName>
    <definedName name="Tarifa__B">'[5]Pedido cañería'!#REF!</definedName>
    <definedName name="TARIFA_A">'[5]Pedido cañería'!#REF!</definedName>
    <definedName name="TARIFA_B">'[5]Pedido cañería'!#REF!</definedName>
    <definedName name="TARIFA_C">'[5]Pedido cañería'!#REF!</definedName>
    <definedName name="TARIFA_C1">'[5]Pedido cañería'!#REF!</definedName>
    <definedName name="TARIFA_D">'[5]Pedido cañería'!#REF!</definedName>
    <definedName name="TARIFA_E">'[5]Pedido cañería'!#REF!</definedName>
    <definedName name="TarifaA">'[5]Pedido cañería'!#REF!</definedName>
    <definedName name="tarifaC">'[5]Pedido cañería'!#REF!</definedName>
    <definedName name="Tarifas">#REF!</definedName>
    <definedName name="TDMKK86">'[24]I EV-1011'!#REF!</definedName>
    <definedName name="TDMKK87">[34]WO!#REF!</definedName>
    <definedName name="TDMO190">#REF!</definedName>
    <definedName name="TEMP.MED">[10]TEMP!$R$23</definedName>
    <definedName name="TF_Unit">'[11]WELL-PLAN'!$L$19</definedName>
    <definedName name="ti">'[35] HOJA CALC.'!#REF!</definedName>
    <definedName name="TIC">#REF!</definedName>
    <definedName name="TICKETS">'[36] HOJA CALC.'!#REF!</definedName>
    <definedName name="Tijera">#REF!</definedName>
    <definedName name="_xlnm.Print_Titles">#REF!,#REF!</definedName>
    <definedName name="TOTAL">#REF!</definedName>
    <definedName name="total.xls">#REF!</definedName>
    <definedName name="TOTAL_BIT_COST">'[7]Propuesta de trépanos'!#REF!</definedName>
    <definedName name="TotalCorrection">#REF!</definedName>
    <definedName name="TotalCorrectionLbl">#REF!</definedName>
    <definedName name="TR_Column" localSheetId="1">NULL</definedName>
    <definedName name="TR_Column">NULL</definedName>
    <definedName name="TR_Unit" localSheetId="1">NULL</definedName>
    <definedName name="TR_Unit">NULL</definedName>
    <definedName name="Tram.2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m.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nmo00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nmo00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nmo00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nmo00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ns.gral">#REF!</definedName>
    <definedName name="TREP">[37]OPER!#REF!</definedName>
    <definedName name="Trep2">#REF!</definedName>
    <definedName name="TREPAMOIII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M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moIII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moIII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s">#REF!</definedName>
    <definedName name="tt" hidden="1">#REF!</definedName>
    <definedName name="TTTR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TT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ttr1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tt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VD_Reference">'[11]WELL-PLAN'!$J$7</definedName>
    <definedName name="TVD_ReferenceValue">'[11]WELL-PLAN'!$J$8</definedName>
    <definedName name="TVD_Unit">#REF!</definedName>
    <definedName name="TYPE">'[7]Propuesta de trépanos'!#REF!</definedName>
    <definedName name="UBD">#REF!</definedName>
    <definedName name="UNAS">#REF!</definedName>
    <definedName name="V.MED">[10]PERM!$K$15</definedName>
    <definedName name="VALOR">#REF!</definedName>
    <definedName name="Varillas1">#REF!</definedName>
    <definedName name="vehic1">#REF!</definedName>
    <definedName name="vehicgeo">#REF!</definedName>
    <definedName name="VISC.OIL.act">'[10]PVT-Out'!$O$68</definedName>
    <definedName name="VISC.OIL.ini">'[10]PVT-Out'!$O$67</definedName>
    <definedName name="VISC.OIL.le">'[10]PVT-Out'!$O$69</definedName>
    <definedName name="VISC.WATER">'[10]Pb-Pact-Bo-Sor-M-Ev-iw'!$C$90</definedName>
    <definedName name="VOL.ROCA.nomap">'[10]ENSAYOS + PRORR'!$BS$8</definedName>
    <definedName name="VOL.UTIL">[10]PDP!$D$5</definedName>
    <definedName name="VOL.UTIL.CONT">[10]PDP!$E$5</definedName>
    <definedName name="Vpc.map">'[10]TD FR'!$X$12</definedName>
    <definedName name="VRFKK86">'[24]I EV-1011'!#REF!</definedName>
    <definedName name="VRFO190">#REF!</definedName>
    <definedName name="VSEC_Azim">#REF!</definedName>
    <definedName name="VSEC_Origin">#REF!</definedName>
    <definedName name="VSEC_Unit">#REF!</definedName>
    <definedName name="W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AT.INY">'[38]Pb-Pact-Bo-Sor-M-Ev-iw'!$K$118</definedName>
    <definedName name="WE" hidden="1">#REF!</definedName>
    <definedName name="WellName">#REF!</definedName>
    <definedName name="Wipstock">#REF!</definedName>
    <definedName name="wrn.PEPE.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w">[9]!ww</definedName>
    <definedName name="WWW">[9]!WWW</definedName>
    <definedName name="xcv">#REF!</definedName>
    <definedName name="xx">'[39]#¡REF'!$F$2:$F$3</definedName>
    <definedName name="YO" localSheetId="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YO" hidden="1">{#N/A,#N/A,TRUE,"OBJETIVOS";#N/A,#N/A,TRUE,"CARATA";#N/A,#N/A,TRUE,"COLUMNA";#N/A,#N/A,TRUE,"ENTUBACION";#N/A,#N/A,TRUE,"COSTOS";#N/A,#N/A,TRUE,"CAÑERIA";#N/A,#N/A,TRUE,"CRONO";#N/A,#N/A,TRUE,"BOP";#N/A,#N/A,TRUE,"PREVENTORES"}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9" l="1"/>
  <c r="C98" i="9"/>
  <c r="C99" i="9"/>
  <c r="C100" i="9"/>
  <c r="C101" i="9"/>
  <c r="C102" i="9"/>
  <c r="C103" i="9"/>
  <c r="C95" i="9"/>
  <c r="C96" i="9"/>
  <c r="C97" i="9"/>
  <c r="C79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15" i="9"/>
  <c r="M22" i="9"/>
  <c r="O25" i="9" s="1"/>
  <c r="M21" i="9"/>
  <c r="N26" i="9" s="1"/>
  <c r="C4" i="9"/>
  <c r="C5" i="9"/>
  <c r="C25" i="9"/>
  <c r="C26" i="9"/>
  <c r="C6" i="9"/>
  <c r="C7" i="9"/>
  <c r="C8" i="9"/>
  <c r="C9" i="9"/>
  <c r="C10" i="9"/>
  <c r="C11" i="9"/>
  <c r="C12" i="9"/>
  <c r="C13" i="9"/>
  <c r="C14" i="9"/>
  <c r="C16" i="9"/>
  <c r="C17" i="9"/>
  <c r="C18" i="9"/>
  <c r="C19" i="9"/>
  <c r="C20" i="9"/>
  <c r="C21" i="9"/>
  <c r="C22" i="9"/>
  <c r="C23" i="9"/>
  <c r="C24" i="9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O26" i="9" l="1"/>
  <c r="N25" i="9"/>
  <c r="O24" i="9"/>
  <c r="N24" i="9"/>
</calcChain>
</file>

<file path=xl/sharedStrings.xml><?xml version="1.0" encoding="utf-8"?>
<sst xmlns="http://schemas.openxmlformats.org/spreadsheetml/2006/main" count="609" uniqueCount="357">
  <si>
    <t>JGO.EMPAQ.BLANDA MECANOTEC.742B</t>
  </si>
  <si>
    <t>JGO.EMPAQ.GASCON 1830481½”</t>
  </si>
  <si>
    <t>JGO.EMPAQ.TULSA 163600</t>
  </si>
  <si>
    <t>BUJE N°800620 CENTR.1.1/2INF. /TULSA</t>
  </si>
  <si>
    <t>BUJE N°800618 CENTR.1.1/2SUP. /TULSA</t>
  </si>
  <si>
    <t>ACEITE _ YPF TRANSMISION EP 220</t>
  </si>
  <si>
    <t>CONJ.REP.CAÑ.ERFV  2" 2000 API 8fpp</t>
  </si>
  <si>
    <t>JUNT.ESP.CEI 8" 150 A°C 316 GF 316 _ B1*</t>
  </si>
  <si>
    <t>JUNT.ESP.CEI 8" 300 A°C 316 GF 316 _ B1*</t>
  </si>
  <si>
    <t>JUNT.ESP.CEI 2" 300 A°C 304 GF 304 _ B1*</t>
  </si>
  <si>
    <t>JUNT.ESP.CEI 3" 300 A°C 316 GF 316 _ B1*</t>
  </si>
  <si>
    <t>JUNT.ESP.CEI 4" 300 A°C A°C GF 316 _ B1*</t>
  </si>
  <si>
    <t>JUNT.PLN B16.5 RF 4" 150 1,50MM NASB</t>
  </si>
  <si>
    <t>JUNT.PLN B16.5 RF 3" 150 1,50MM NASB</t>
  </si>
  <si>
    <t>JUNT.ESP.CEI 6" 150 A°C 316 GF 316 _ B1*</t>
  </si>
  <si>
    <t>JUNT.ESP.CEI 4" 600 A°C 316 GF 316 _ B1*</t>
  </si>
  <si>
    <t>JUNT.ESP.CEI 2" 150 A°C 316 GF 316 _ B1*</t>
  </si>
  <si>
    <t>JUNT.ESP.CEI 6" 300 A°C 304 GF 304 _ B1*</t>
  </si>
  <si>
    <t>ACEITE _ YPF LISSOS 100</t>
  </si>
  <si>
    <t>GRASA 180KG YPF 62 EP</t>
  </si>
  <si>
    <t>CABL.Cu XLPE PVC 3x 16    1,1kV II</t>
  </si>
  <si>
    <t>CABL.INT.N°EMG193050/EMG1930C GASCON</t>
  </si>
  <si>
    <t>V.RET. 2" NPTHH DURALIT.302009</t>
  </si>
  <si>
    <t>NIPL.A° 2" 200 A106B SRE 5,54 NPT SRI SC</t>
  </si>
  <si>
    <t>100 mts</t>
  </si>
  <si>
    <t>2 x180kg</t>
  </si>
  <si>
    <t>2 x 205L</t>
  </si>
  <si>
    <t>5 x 205L</t>
  </si>
  <si>
    <t>JUEGO.
DE: EMPAQUETADURA.
MARCA - B: TULSA.
MODELO - B: 1636-00.
N° PARTE - B: 1636-00.
; VASTAGO DE 1.½"</t>
  </si>
  <si>
    <t>JUEGO.
DE: EMPAQUETADURA BLANDA.
MARCA - B: MECANOTECNICA.
N° PARTE - B: 742-B.
MODELO - B: 742-B.
REPUESTO PARA TE PRENSA.
MARCA - C: HERCULES.
MODELO - C: 1STB 1.1/2".
5 UNIDADES DE 1.1/2".</t>
  </si>
  <si>
    <t>JUEGO.
DE: EMPAQUETADURA.
MARCA - B: GASCON.
MODELO - B: 1830-48-1½”.
N° PARTE - B: 1830-48-1½”.
APLICACION TEE PRENSA DOBLE.
COMPUESTO POR:
4- EMPAQUETADURAS INTERMEDIAS.
2- EMPAQUETADURA BASE.
2- BUJE SUPERIOR.
1- BUJE INFERIOR.
PARA VASTAGO DE 1. 1/2"
VER ADJUNTO.</t>
  </si>
  <si>
    <t>Repuesto para Te Prensa, vástago de 1.1/2".
Repuesto: BUJE CENTRALIZADOR INFERIOR, en dos mitades.
Marca TULSA.
Parte anterior N°: 9000-001.
Parte anterior N°: 1562-00
Parte nuevo N°: 8006-20.-</t>
  </si>
  <si>
    <t>Repuesto para Te Prensa, vástago de 1.1/2".
Repuesto: BUJE CENTRALIZADOR SUPERIOR, en dos mitades.
Marca TULSA.
Parte anterior N°: 9000-015
Parte anterior N°: 155200
Parte nuevo N°: 8006-18.-</t>
  </si>
  <si>
    <t>CONJUNTO DE REPARACIÓN para tubos de E.R.F.V. API Spec. 15HR.
Compuesto por:
1 TRAMO de 4,5 m de largo, extremos rosca API 8 fpp Macho-Macho.
1 TRAMO de 4,5 m de largo, extremos rosca API 8 fpp Macho-Hembra.
2 BRIDAS ANSI B16.5, S-900 (excepto espesor), rosca API 8 fpp Hembra.
1 JUNTA de elastómero plana cara completa;
1 JUEGO de ESPÁRRAGOS de acero cadmiado con 2 tuercas y 2 arandelas planas.
Para cañería: Diámetro nominal: 2"; Régimen: 2000 psi.-</t>
  </si>
  <si>
    <t>JUNTA ESPIROMETALICA PARA BRIDAS.
ESTILO: CON ANILL.CENTRADOR E INTERIOR.
DIAMETRO NOMINAL DE LA BRIDA: 2".
SERIE: 300.
MATERIAL DEL ANILLO CENTRADOR: ACERO AL CARBONO..
MATERIAL DEL ESPIRAL: ACERO AISI/SAE 304.
MATERIAL DEL RELLENO: GRAFITO.
MATERIAL DEL ANILLO INTERIOR: ACERO AISI/SAE 304.
SERIE B16.47: NO APLICA.
NORMAS DE APLICACION: ASME B16.20, ULT.ED...</t>
  </si>
  <si>
    <t>JUNTA ESPIROMETALICA PARA BRIDAS.
ESTILO: CON ANILL.CENTRADOR E INTERIOR.
DIAMETRO NOMINAL DE LA BRIDA: 2".
SERIE: 150.
MATERIAL DEL ANILLO CENTRADOR: ACERO AL CARBONO..
MATERIAL DEL ESPIRAL: ACERO AISI/SAE 316.
MATERIAL DEL RELLENO: GRAFITO.
MATERIAL DEL ANILLO INTERIOR: ACERO AISI/SAE 316.
SERIE B16.47: NO APLICA.
NORMAS DE APLICACION: ASME B16.20, ULT.ED...</t>
  </si>
  <si>
    <t>JUNTA ESPIROMETALICA PARA BRIDAS.
ESTILO: CON ANILL.CENTRADOR E INTERIOR.
DIAMETRO NOMINAL DE LA BRIDA: 3".
SERIE: 300.
MATERIAL DEL ANILLO CENTRADOR: ACERO AL CARBONO..
MATERIAL DEL ESPIRAL: ACERO AISI/SAE 316.
MATERIAL DEL RELLENO: GRAFITO.
MATERIAL DEL ANILLO INTERIOR: ACERO AISI/SAE 316.
SERIE B16.47: NO APLICA.
NORMAS DE APLICACION: ASME B16.20, ULT.ED...</t>
  </si>
  <si>
    <t>JUNTA PLANA PARA BRIDAS
Para brida: ASME B16.5
Tipo de cara: Frenteada con resalto
Diametro nominal: 3 "
Serie: 150
Espesor: 1,50 mm
Material: Fibras comprimidas de alta resistencia de aramida
Norma/especificacion: ASME B16.21. ultima edicion
Material no asbesto. para temperatura de hasta 370°c y presion
de 103 bar (1500 psi). apta para servicios varios (agua, vapor,
hidrocarburos, acidos suaves y solventes). referencia
comercial: durlon 7900.</t>
  </si>
  <si>
    <t>JUNTA ESPIROMETALICA PARA BRIDAS.
ESTILO: CON ANILL.CENTRADOR E INTERIOR.
DIAMETRO NOMINAL DE LA BRIDA: 4".
SERIE: 300.
MATERIAL DEL ANILLO CENTRADOR: ACERO AL CARBONO..
MATERIAL DEL ESPIRAL: ACERO AL CARBONO.
MATERIAL DEL RELLENO: GRAFITO.
MATERIAL DEL ANILLO INTERIOR: ACERO AISI/SAE 316.
SERIE B16.47: NO APLICA.
NORMAS DE APLICACION: ASME B16.20, ULT.ED...</t>
  </si>
  <si>
    <t>JUNTA PLANA PARA BRIDAS
Para brida: ASME B16.5
Tipo de cara: Frenteada con resalto
Diametro nominal: 4 "
Serie: 150
Espesor: 1,50 mm
Material: Fibras comprimidas de alta resistencia de aramida
Norma/especificacion: ASME B16.21. ultima edicion
Material no asbesto. para temperatura de hasta 370°c y presion
de 103 bar (1500 psi). apta para servicios varios (agua, vapor,
hidrocarburos, acidos suaves y solventes). referencia
comercial: durlon 7900.</t>
  </si>
  <si>
    <t>JUNTA ESPIROMETALICA PARA BRIDAS.
ESTILO: CON ANILL.CENTRADOR E INTERIOR.
DIAMETRO NOMINAL DE LA BRIDA: 4".
SERIE: 600.
MATERIAL DEL ANILLO CENTRADOR: ACERO AL CARBONO..
MATERIAL DEL ESPIRAL: ACERO AISI/SAE 316.
MATERIAL DEL RELLENO: GRAFITO.
MATERIAL DEL ANILLO INTERIOR: ACERO AISI/SAE 316.
SERIE B16.47: NO APLICA.
NORMAS DE APLICACION: ASME B16.20, ULT.ED...</t>
  </si>
  <si>
    <t>JUNTA ESPIROMETALICA PARA BRIDAS.
ESTILO: CON ANILL.CENTRADOR E INTERIOR.
DIAMETRO NOMINAL DE LA BRIDA: 6".
SERIE: 150.
MATERIAL DEL ANILLO CENTRADOR: ACERO AL CARBONO..
MATERIAL DEL ESPIRAL: ACERO AISI/SAE 316.
MATERIAL DEL RELLENO: GRAFITO.
MATERIAL DEL ANILLO INTERIOR: ACERO AISI/SAE 316.
SERIE B16.47: NO APLICA.
NORMAS DE APLICACION: ASME B16.20, ULT.ED...
DE ACUERDO A NORMA ASME B16.20..</t>
  </si>
  <si>
    <t>JUNTA ESPIROMETALICA PARA BRIDAS.
ESTILO: CON ANILL.CENTRADOR E INTERIOR.
DIAMETRO NOMINAL DE LA BRIDA: 6".
SERIE: 300.
MATERIAL DEL ANILLO CENTRADOR: ACERO AL CARBONO..
MATERIAL DEL ESPIRAL: ACERO AISI/SAE 304.
MATERIAL DEL RELLENO: GRAFITO.
MATERIAL DEL ANILLO INTERIOR: ACERO AISI/SAE 304.
SERIE B16.47: NO APLICA.
NORMAS DE APLICACION: ASME B16.20, ULT.ED...
SEGÚN ASME B16.20.
VER ADJUNTO IMAGEN ILUSTRATIVA..</t>
  </si>
  <si>
    <t>JUNTA ESPIROMETALICA PARA BRIDAS.
ESTILO: CON ANILL.CENTRADOR E INTERIOR.
DIAMETRO NOMINAL DE LA BRIDA: 8".
SERIE: 150.
MATERIAL DEL ANILLO CENTRADOR: ACERO AL CARBONO..
MATERIAL DEL ESPIRAL: ACERO AISI/SAE 316.
MATERIAL DEL RELLENO: GRAFITO.
MATERIAL DEL ANILLO INTERIOR: ACERO AISI/SAE 316.
SERIE B16.47: NO APLICA.
NORMAS DE APLICACION: ASME B16.20, ULT.ED...</t>
  </si>
  <si>
    <t>JUNTA ESPIROMETALICA PARA BRIDAS.
ESTILO: CON ANILL.CENTRADOR E INTERIOR.
DIAMETRO NOMINAL DE LA BRIDA: 8".
SERIE: 300.
MATERIAL DEL ANILLO CENTRADOR: ACERO AL CARBONO..
MATERIAL DEL ESPIRAL: ACERO AISI/SAE 316.
MATERIAL DEL RELLENO: GRAFITO.
MATERIAL DEL ANILLO INTERIOR: ACERO AISI/SAE 316.
SERIE B16.47: NO APLICA.
NORMAS DE APLICACION: ASME B16.20, ULT.ED...</t>
  </si>
  <si>
    <t>ACEITE.
PRESENTACION: NO APLICA.
MARCA - B: YPF.
MODELO - B: LISSOS 100.
N° PARTE - B: LISSOS 100.
INDICE / GRADO DE VISCOSIDAD: ISO VG100.</t>
  </si>
  <si>
    <t>ACEITE.
PRESENTACION: NO APLICA.
MARCA - B: YPF.
N° PARTE - B: TRANSMISION EP 220.
MODELO - B: TRANSMISION EP 220.
INDICE / GRADO DE VISCOSIDAD: ISO VG220.
COMPRESORES FRIGORIFICOS, VER ADJUNTO.</t>
  </si>
  <si>
    <t>GRASA.
PRESENTACION: 180 KG.
MARCA - B: YPF.
N° PARTE - B: 62 EP.
MODELO - B: 62 EP.
USO: GRASA LUBRICANTE MULTIUSO.</t>
  </si>
  <si>
    <t>CABLE TRIPOLAR DE POTENCIA.
Servicio: Instalaciones Subterráneas y/o Intemperie.
Normas de Aplicación: IRAM 2178; IRAM 2399; IRAM 2289; IRAM 2011; IRAM NM-280; IEC 60502-1; IEC 60332-1; IEC 60332-3-24;  IEC 60228; ED-P-10.00-01.
Conductor: Cobre Electrolítico Recocido.
Aislación: Polietileno Reticulado (XLPE).
Cubierta Exterior: PVC Resistente a Radiación UV, al Incendio y Propagación de la Llama.
Temperatura Máxima Permanente de Trabajo: 90°C.
Forma: Cuerda Flexible.
Flexibilidad: Clase 5.
Tensiones Asignadas Uo/U: 0,6/1,1kV.
Categoría: II.
Polos × Sección: 3×16mm².
Denominación Comercial: Cable Tripolar, Sin Armar, Conductores de Cobre, 3×16mm², XLPE/PVC, 1,1kV, Cat. II; IRAM 2178.-
Notas para R.ARGENTINA: Cada Oferta y Suministro, independientemente de la cantidad involucrada, deberá incluir:
1.- Certificado de Homologación Expedido por INTI/CITEI o Ente Internacional Reconocido ante el IRAM o el OAA sobre Ultima Edición de cada Norma.
2.- Certificación por Marca de Conformidad/Tipo, según corresponda, en un todo de acuerdo con la Resolución 92/98 de la Secretaría de Industria, Comercio y Minería.-
Ver Folleto Tipo Adjunto en Sistema -&gt; Conexiones.-</t>
  </si>
  <si>
    <t>REPUESTO PARA DISPOSITIVO DE CORTE ECOLOGICO.
MARCA - C: GASCON.
MODELO - C: EMG 1930-C.
REPUESTO: CABLE DE INTERCONEXION.
N° PARTE - C: EMG 1930-50.
BIPOLAR DE 2 X 1,5 MM².   PROVISIÓN: 50 M.</t>
  </si>
  <si>
    <t>VALVULA DE RETENCION.
DIAMETRO NOMINAL: 2".
EXTREMOS: ROSCA NPT HEMBRA-HEMBRA.
MARCA - B: DURALITTE.
MODELO - B: 30/2009.
N° PARTE - B: 30/2009.
TIPO: CLAPETA.
SERIE: 600.
MATERIAL DEL CUERPO: ACERO ASTM A216 WCB..
MATERIAL DEL OBTURADOR: ACERO AISI/SAE 316..
MATERIAL DE LA JUNTA: VITON.
NORMAS DE APLICACION: ASME B16.34, ULT.ED...
MATERIAL DE LA CLAPETA: ACERO AISI 316.
TEMPERATURA DE TRABAJO: -34 A 220°C.
VER ARCHIVO ADJUNTO.</t>
  </si>
  <si>
    <t>CONJ.REP.CAÑ.ERFV  3" 2000@65°       8Rd</t>
  </si>
  <si>
    <t>CONJUNTO DE REPARACIÓN, material resina epoxi reforzada con fibra
de vidrio (ERFV).
Construido de acuerdo a la Norma API Specification 15HR, última edición.
Diámetro nominal: 3".
Presión de rating: 2000 psi.
Temperatura de rating: 65°C.
Compuesto por:
1n° TRAMO de 4,5 m de largo, extremos rosca API 8 Red, Macho-Macho.
1n° TRAMO de 4,5 m de largo, extremos rosca API 8 Red, Macho-Hembra.
2n° BRIDA ASME B16.5, S-900 (excepto espesor), rosca hembra API 8 Red
1n° JUNTA plana de Klingerit con inserto metálico, cara completa.
1n° JUEGO de ESPÁRRAGOS de acero, con 2 tuercas y 2 arandelas planas, cadmiado.-</t>
  </si>
  <si>
    <t>CONJUNTO DE REPARACIÓN, material resina epoxi reforzada con fibra
de vidrio (ERFV).
Construido de acuerdo a la Norma API Specification 15HR, última edición.
Diámetro nominal: 4".
Presión de rating: 2000 psi.
Temperatura de rating: 65°C.
Compuesto por:
1n° TRAMO de 4,5 m de largo, extremos rosca API 8 Red, Macho-Macho.
1n° TRAMO de 4,5 m de largo, extremos rosca API 8 Red, Macho-Hembra.
2n° BRIDA ASME B16.5, S-900 (excepto espesor), rosca hembra API 8 Red
1n° JUNTA plana de Klingerit con inserto metálico, cara completa.
1n° JUEGO de ESPÁRRAGOS de acero, con 2 tuercas y 2 arandelas planas, cadmiado.-</t>
  </si>
  <si>
    <t>CONJ.REP.CAÑ.ERFV  4" 2000@65°       8Rd</t>
  </si>
  <si>
    <t>NIPLE DE ACERO.
DIAMETRO NOMINAL: 2".
LONGITUD: 200MM.
MATERIAL: ACERO ASTM A106 B..
REVESTIMIENTO EXTERIOR: SIN REVESTIMIENTO EXTERIOR.
ESPESOR: 5,54MM.
EXTREMOS: ROSCA NPT.
REVESTIMIENTO INTERIOR: SIN REVESTIMIENTO INTERIOR.
REQUERIMIENTOS SERVICIO ACIDO: SIN REQUERIMIENTO.
FORMA CONSTRUCTIVA: SIN COSTURA..
SCHEDULE: 80.
DENOMINACION POR PESO: XS.
NORMA DE CONSTRUCCION: ASTM A733.</t>
  </si>
  <si>
    <t>Mes 1</t>
  </si>
  <si>
    <t>Mes 2</t>
  </si>
  <si>
    <t>Mes 3</t>
  </si>
  <si>
    <t>Descripción</t>
  </si>
  <si>
    <t>Descripción detallada</t>
  </si>
  <si>
    <t>SAP YPF</t>
  </si>
  <si>
    <t>1x50mts</t>
  </si>
  <si>
    <t>CG-45</t>
  </si>
  <si>
    <t>CG-67</t>
  </si>
  <si>
    <t>CG.a-24</t>
  </si>
  <si>
    <t>CnE.a-34</t>
  </si>
  <si>
    <t>CnE.a-928</t>
  </si>
  <si>
    <t>UM</t>
  </si>
  <si>
    <t>Cantidad</t>
  </si>
  <si>
    <t>Uni</t>
  </si>
  <si>
    <t>Mts.</t>
  </si>
  <si>
    <t>PUPJOINT  2.7/8" 6.5  2' J55 EU        *</t>
  </si>
  <si>
    <t>Texto Breve</t>
  </si>
  <si>
    <t>Material</t>
  </si>
  <si>
    <t>Precio $ARG</t>
  </si>
  <si>
    <t>ANCLA TBG REUMANN 7502551000 5.1/2X2.7/8</t>
  </si>
  <si>
    <t>ANCLA TORQUE ALPHA AT550278 5.1/2"</t>
  </si>
  <si>
    <t>TAP.POZO MMS 613278700</t>
  </si>
  <si>
    <t>ANCLA TBG 5" 2.7/8 " MMS 250500700</t>
  </si>
  <si>
    <t>CONEC.ON-OFF B/B ESCODA.EOFVIRO1 1"11B</t>
  </si>
  <si>
    <t>NIPL.LATCH MMS 885278700</t>
  </si>
  <si>
    <t>B/B Recuperada</t>
  </si>
  <si>
    <t xml:space="preserve">B/B._ FRP A 1" _ S/CUP. 115°C 37.5PIE </t>
  </si>
  <si>
    <t>B/B.D4142M   3/4 CUP.T   FS</t>
  </si>
  <si>
    <t>B/B.D4142M   3/4 CUP.T   FS 3C.2½ AT</t>
  </si>
  <si>
    <t>B/B.D4142M   7/8 CUP.T   FS</t>
  </si>
  <si>
    <t>B/B.D4142M 1     CUP.T   SH</t>
  </si>
  <si>
    <t>B/B.D4142M 1 CUP.T SH 3C.2.1/2 AT</t>
  </si>
  <si>
    <t>B/B.D4142M 7/8 CUP.T FS 3C.2.1/2 AT</t>
  </si>
  <si>
    <t>B/B.MMSNR    3/4 CUP.UHS FS</t>
  </si>
  <si>
    <t>B/B.MMSNR    7/8 CUP.UHS FS</t>
  </si>
  <si>
    <t>B/B.MMSNR  1     CUP.UHS SH</t>
  </si>
  <si>
    <t>B/B.MMSNR 7/8 S/CUP 3C.2.1/2 AT</t>
  </si>
  <si>
    <t>B/B.MMSNR 3/4 S/CUP 3C.2.1/2 AT</t>
  </si>
  <si>
    <t>B/B.MMSNR 1 S/CUP 3C.2.1/2 AT</t>
  </si>
  <si>
    <t>B/B.DS852    3/4 S/CUP</t>
  </si>
  <si>
    <t>B/B.DS852    3/4 S/CUP 3C.2.1/2 AT</t>
  </si>
  <si>
    <t>B/B.DS852    7/8 S/CUP</t>
  </si>
  <si>
    <t>B/B.DS852    7/8 S/CUP 3C.2.1/2 AT</t>
  </si>
  <si>
    <t>B/B.DS852  1     S/CUP</t>
  </si>
  <si>
    <t>B/B.DS852  1 S/CUP 3C.2.1/2 AT</t>
  </si>
  <si>
    <t>TROZO B/B.DS852  1     S/CUP       2'</t>
  </si>
  <si>
    <t>TROZO B/B.DS852  1     S/CUP       4'</t>
  </si>
  <si>
    <t>TROZO B/B.DS852  1     S/CUP       8'</t>
  </si>
  <si>
    <t>CUPLA B/B HSMS FS   3/4"</t>
  </si>
  <si>
    <t>CUPLA B/B HSMS FS   7/8"</t>
  </si>
  <si>
    <t>CUPLA B/B HSMS SH 1"</t>
  </si>
  <si>
    <t>CUPLA B/B VAST.1.1/2"X1"    HSMS SH</t>
  </si>
  <si>
    <t>CUPLA RED.B/B HSMS FS   7/8 X   3/4</t>
  </si>
  <si>
    <t>CUPLA RED.B/B HSMS SH 1     X   7/8</t>
  </si>
  <si>
    <t>B/B.PESO G3 1.1/2X3/4 CUP.T FS</t>
  </si>
  <si>
    <t>Bomba tipo diámetro 2¨</t>
  </si>
  <si>
    <t>Separador de gas de 6mts, más tapa ciega</t>
  </si>
  <si>
    <t>Desarenador ciclónico más tapa ciega</t>
  </si>
  <si>
    <t>CUPLA B/B T    FS   3/4"</t>
  </si>
  <si>
    <t>CUPLA B/B T    FS   7/8"</t>
  </si>
  <si>
    <t>CUPLA B/B T    SH 1"</t>
  </si>
  <si>
    <t>CUPLA B/B VAST.1.1/2"x 1"    T   SH</t>
  </si>
  <si>
    <t>CUPLA RED.B/B T    SH 1     X   3/4</t>
  </si>
  <si>
    <t>CUPLA RED.B/B T    SH 1     X   7/8</t>
  </si>
  <si>
    <t>CUPLA TBG 2.7/8" J55  API EU 8 fpp</t>
  </si>
  <si>
    <t>CUPLA TBG. 2.7/8" J55 EU C/PERNO</t>
  </si>
  <si>
    <t>TAP.REUMANN 8012551000 FONDO 2.7/8" EU</t>
  </si>
  <si>
    <t>NIPL.N°N11-25 2.7/8"EU x 8" 4140 COBREAD</t>
  </si>
  <si>
    <t xml:space="preserve">CUPLA CSG  5.1/2" K55  LTC    </t>
  </si>
  <si>
    <t>TBG 2.7/8" 6.5 J55 EU.REG.SRI SRE</t>
  </si>
  <si>
    <t>TBG 2.7/8" 6.5 N80 Q EU.HE SRI SRE SC</t>
  </si>
  <si>
    <t>SLb 5,5x2,7/8</t>
  </si>
  <si>
    <t>Niple R - 2 7/8" - R 2,25" STD</t>
  </si>
  <si>
    <t>VAST.BOMBEO 1.1/2" x 24' 41XX CROM.C/EC</t>
  </si>
  <si>
    <t>DISPOS.RATIGAN 2.7/8"EU x1½"PA50 PETROAR</t>
  </si>
  <si>
    <t>TE TULSA 184604 4.0" x1½ S/BOP ECOL.COMP</t>
  </si>
  <si>
    <t>ANILL.N°223200 EXTREMO VAST.1.1/2" TULSA</t>
  </si>
  <si>
    <t>DISPOS.P/DIN.LEUTERT 1.1/2" 240200 TULSA</t>
  </si>
  <si>
    <t>CRUCET.N°PJ706154019 VASTAG.1½"WEATHERF.</t>
  </si>
  <si>
    <t>DISTANC.A BISAGRA 1.1/2" PETROAR PA 701*</t>
  </si>
  <si>
    <t>DISTANC.A BISAGRA 1.1/2" PETROAR PA 702*</t>
  </si>
  <si>
    <t>DISTANC.A BISAGRA 1.1/2" PETROAR PA 703*</t>
  </si>
  <si>
    <t>CASING</t>
  </si>
  <si>
    <t>Pulgadas</t>
  </si>
  <si>
    <t>Totales</t>
  </si>
  <si>
    <t>TUBING 2 7/8" EUE J55</t>
  </si>
  <si>
    <t>Metros</t>
  </si>
  <si>
    <t>MANDR.LAT. 2.7/8" EU H-M 4130 4130 TASSAROLLI C/VALV 1,5"</t>
  </si>
  <si>
    <t>Unidades</t>
  </si>
  <si>
    <t>PACKER HIDRAULICO (CIA DE SERVICIOS)</t>
  </si>
  <si>
    <t>ON OFF  (CIA DE SERVICIOS)</t>
  </si>
  <si>
    <t>TANDEM  (CIA DE SERVICIOS)</t>
  </si>
  <si>
    <t>SHARE OUT  (CIA DE SERVICIOS)</t>
  </si>
  <si>
    <t>PUENTE DE INYECCION</t>
  </si>
  <si>
    <t>PUNZADOS</t>
  </si>
  <si>
    <t>FRACTURAS</t>
  </si>
  <si>
    <t>CEMENTACION AUXILIAR</t>
  </si>
  <si>
    <t>PERFIL CEMENTO</t>
  </si>
  <si>
    <t>PERFIL CORROSION</t>
  </si>
  <si>
    <t>PERFIL NEUTRON CORRELACION</t>
  </si>
  <si>
    <t>ZAPATO NIPLE BHD 2 7/8"</t>
  </si>
  <si>
    <t>NIPLE 2 7/8" EUE X 6 FT</t>
  </si>
  <si>
    <t>NIPLE 2 7/8" EUE X 8 FT</t>
  </si>
  <si>
    <t>NIPLE 2 7/8" EUE X 10 FT</t>
  </si>
  <si>
    <t>NIPLE 2 7/8" EUE X 12 FT</t>
  </si>
  <si>
    <t>CABEZA DE POZO  5 1/2" x 2 7/8"</t>
  </si>
  <si>
    <t>MES1</t>
  </si>
  <si>
    <t>MES2</t>
  </si>
  <si>
    <t>MES 3</t>
  </si>
  <si>
    <t>ANCLA TBG REUMANN 7502701000 7"  x2.7/8"</t>
  </si>
  <si>
    <t>ANCLA TBG WEATHERF.055550000 5.1/2X2.7/8</t>
  </si>
  <si>
    <t>B/B.D4142M   3/4 S/CUP</t>
  </si>
  <si>
    <t>B/B.D4142M   7/8 S/CUP</t>
  </si>
  <si>
    <t>B/B.D4142M 1     S/CUP</t>
  </si>
  <si>
    <t>B/B.D4142M 1 S/CUP 3C.2.1/2 AT</t>
  </si>
  <si>
    <t>B/B.D4142M 3/4 S/CUP 3C.2.1/2 AT</t>
  </si>
  <si>
    <t>B/B.D4142M 7/8 S/CUP 3C.2.1/2 AT</t>
  </si>
  <si>
    <t>B/B.DS852    3/4 S/CUP</t>
  </si>
  <si>
    <t>B/B.DS852    3/4 S/CUP 3C.2.1/2 AT</t>
  </si>
  <si>
    <t>B/B.DS852    7/8 S/CUP</t>
  </si>
  <si>
    <t>B/B.DS852    7/8 S/CUP 3C.2.1/2 AT</t>
  </si>
  <si>
    <t>B/B.DS852  1     S/CUP</t>
  </si>
  <si>
    <t>B/B.PESO G3 1.1/2X3/4 S/CUP.</t>
  </si>
  <si>
    <t>CUPLA B/B HSMS FS   3/4"</t>
  </si>
  <si>
    <t>CUPLA B/B HSMS FS   7/8"</t>
  </si>
  <si>
    <t>CUPLA B/B LSHS 1" SH LW.</t>
  </si>
  <si>
    <t>CUPLA B/B LSHS 3/4" FS LW.</t>
  </si>
  <si>
    <t>CUPLA B/B LSHS 7/8" FS LW.</t>
  </si>
  <si>
    <t>CUPLA B/B LSHS 7/8" SH LW.</t>
  </si>
  <si>
    <t>CUPLA B/B T    FS   3/4"           E.PPS</t>
  </si>
  <si>
    <t>CUPLA B/B T    FS   7/8"           E.PPS</t>
  </si>
  <si>
    <t>CUPLA B/B VAST.1.1/2"x  7/8" T   SH</t>
  </si>
  <si>
    <t>CUPLA B/B VAST.1.1/2"X1"    HSMS SH</t>
  </si>
  <si>
    <t>CUPLA B/B VAST.1.1/2"X7/8"  HSMS SH</t>
  </si>
  <si>
    <t>CUPLA B/B VAST.1.1/4"x  7/8" T   FS</t>
  </si>
  <si>
    <t>CUPLA B/B VAST.1.1/4"x 1"    T   SH</t>
  </si>
  <si>
    <t>CUPLA CSG  5.1/2" K55  LTC             *</t>
  </si>
  <si>
    <t>CUPLA RED.B/B HSMS FS   7/8 X   3/4</t>
  </si>
  <si>
    <t>CUPLA RED.B/B HSMS SH 1     X   7/8</t>
  </si>
  <si>
    <t>CUPLA RED.B/B T    FS   7/8 x   3/4</t>
  </si>
  <si>
    <t>CUPLA RED.B/B UHS SH   7/8 X   3/4</t>
  </si>
  <si>
    <t>CUPLA RED.B/B UHS SH 1"    x   7/8</t>
  </si>
  <si>
    <t>CUPLA RED.B/B.AT 1" 7/8" SH SRE</t>
  </si>
  <si>
    <t>CUPLA RED.B/B.AT 7/8" 3/4" FS SRE</t>
  </si>
  <si>
    <t>CUPLA RED.B/B.HS 1" 7/8" SH SRE</t>
  </si>
  <si>
    <t>CUPLA RED.B/B.LSHS 1" 7/8" SH LW.</t>
  </si>
  <si>
    <t>CUPLA RED.B/B.LSHS 7/8" 3/4" FS LW.</t>
  </si>
  <si>
    <t>CUPLA RED.B/B.UHS 7/8" 1" FS BNZ</t>
  </si>
  <si>
    <t>CUPLA TBG. 2.7/8 J55 EU MOD.SRI SRE S/R</t>
  </si>
  <si>
    <t>CUPLA TBG. 2.7/8 J55 EU REG.SRI SRE S/R</t>
  </si>
  <si>
    <t>CUPLA TBG. 2.7/8 N80Q EU REG.SRI SRE S/R</t>
  </si>
  <si>
    <t>CUPLA TBG. 3.1/2 J55 EU REG.SRI SRE S/R</t>
  </si>
  <si>
    <t>NIPL.ALT.PRES.AOS 1310000002</t>
  </si>
  <si>
    <t>NIPL.CSG 5.1/2" STC. 15.5 K55 300MM SC *</t>
  </si>
  <si>
    <t>PJ 2.7/8 6.5 2 J55 EU.REG.SRI SRE SC S/R</t>
  </si>
  <si>
    <t>PJ 2.7/8 6.5 6 J55 EU.REG.SRI SRE SC S/R</t>
  </si>
  <si>
    <t>PJ 2.7/8 6.5 6 N80Q EU.REG.SRI SRE SC S*</t>
  </si>
  <si>
    <t>PJ 3.1/2 9.3 4 J55 EU.REG.SRI SRE SC S/R</t>
  </si>
  <si>
    <t>PROT.ROSC.EXT TBG. 2.7/8" EU H PP CIEG.</t>
  </si>
  <si>
    <t>PROT.ROSC.EXT TBG. 3.1/2" EU H PP CIEG.</t>
  </si>
  <si>
    <t>PROT.ROSC.INT.TBG. 2.7/8" EU M PP CIEG.</t>
  </si>
  <si>
    <t>PROT.ROSC.INT.TBG. 3.1/2" EU M PP CIEG.</t>
  </si>
  <si>
    <t>RED.WEATHERF.N°002275000 2.7/8x2     M-M</t>
  </si>
  <si>
    <t>RED.WEATHERF.N°002378000 3.1/2x2.7/8 M-H</t>
  </si>
  <si>
    <t>ROT.B/B.1.1/4A1.1/2" 44000LB TULSA 2010*</t>
  </si>
  <si>
    <t>ROT.B/B.1.1/4A1.1/2" 44000LB TULSA 2014*</t>
  </si>
  <si>
    <t>SEC.C  5.1/2CSGx 2.7/8 2M INDEP. WH13341</t>
  </si>
  <si>
    <t>TAP.2.0"   NPT A105 B16.11           HEX</t>
  </si>
  <si>
    <t>TAP.POZO REUMANN 6592781000</t>
  </si>
  <si>
    <t>TBG 2.7/8" 6.5 J55 EU.REG.S/R S/R SC S/*</t>
  </si>
  <si>
    <t>TBG 3.1/2" 9.3 J55 EU.REG.S/R S/R SC S/R</t>
  </si>
  <si>
    <t>TE  NPT 2" 2000 A105</t>
  </si>
  <si>
    <t>TE PRENSA DOBL.TOOL R.262900S 1.1/2"2.7/</t>
  </si>
  <si>
    <t>TE PRENSA SIMP. 1.1/2" EU</t>
  </si>
  <si>
    <t>TE PRENSA SUBCONJ. 1.1/2" 8RD H GASCON *</t>
  </si>
  <si>
    <t>TE TULSA 190204 2.7/8X1.1/2 C/BOP COMP</t>
  </si>
  <si>
    <t>TIRANTE MADER.EUC.S.CEP.50MM 50MM 2400MM</t>
  </si>
  <si>
    <t>TROZO B/B.D4142M   7/8 S/CUP       2'</t>
  </si>
  <si>
    <t>TROZO B/B.D4142M   7/8 S/CUP       4'</t>
  </si>
  <si>
    <t>TROZO B/B.D4142M   7/8 S/CUP       6'</t>
  </si>
  <si>
    <t>TROZO B/B.D4142M 1     S/CUP       2'</t>
  </si>
  <si>
    <t>TROZO B/B.D4142M 1     S/CUP       4'</t>
  </si>
  <si>
    <t>TROZO B/B.D4142M 1     S/CUP       6'</t>
  </si>
  <si>
    <t>TROZO B/B.DS852  1     S/CUP       2'</t>
  </si>
  <si>
    <t>TROZO B/B.DS852  1     S/CUP       4'</t>
  </si>
  <si>
    <t>TROZO B/B.DS852  1     S/CUP       6'</t>
  </si>
  <si>
    <t>V.BOP.VAST. 1.1/2" 2.7/8" EU H PETROAR *</t>
  </si>
  <si>
    <t>V.BOP.VAST. 1.1/4" 2.7/8" EU M GASCON 4*</t>
  </si>
  <si>
    <t>V.ESC.6A 2.1/16" WENLEN N°1320000001</t>
  </si>
  <si>
    <t>V.ESF. 2" NPTH 2000 F.T A105 316 316 PO*</t>
  </si>
  <si>
    <t>VAST.B. 1.1/2" 24 4140 11B CR.T C/EC</t>
  </si>
  <si>
    <t>VAST.B. 1.1/2" 26 4140 11B CR.T C/EC</t>
  </si>
  <si>
    <t>VAST.B. 1.1/4" 11 4140 11B CR.T C/EC</t>
  </si>
  <si>
    <t>XO 5.1/2" LTC M 2" NPT-M 200MM _ _ S/RE*</t>
  </si>
  <si>
    <t>XO ALPHA 2700278 7"EU-Mx2.7/8"EU-M</t>
  </si>
  <si>
    <t>XO REUMANN 8502211322 3.1/2x2.7/8"EU H-M</t>
  </si>
  <si>
    <t>3 BES</t>
  </si>
  <si>
    <t>24 pozos</t>
  </si>
  <si>
    <t>2 PCP</t>
  </si>
  <si>
    <t>19 BM</t>
  </si>
  <si>
    <t xml:space="preserve">v/b </t>
  </si>
  <si>
    <t>D</t>
  </si>
  <si>
    <t>AR</t>
  </si>
  <si>
    <t>7/8"</t>
  </si>
  <si>
    <t>3/4"</t>
  </si>
  <si>
    <t>AR CS</t>
  </si>
  <si>
    <t>Cantidad TOTAL.</t>
  </si>
  <si>
    <t>Bombas BM</t>
  </si>
  <si>
    <t>Mts</t>
  </si>
  <si>
    <t xml:space="preserve">Detalles. </t>
  </si>
  <si>
    <t>Materiales requeridos p/ Mtto Correctivo Bbas y AIB</t>
  </si>
  <si>
    <t>BOMBA ALTER. DUPLEX STORK SP 4560 (CORRECTIVO)</t>
  </si>
  <si>
    <t>SAP</t>
  </si>
  <si>
    <t>Cantidad x Uni</t>
  </si>
  <si>
    <t>Denominación</t>
  </si>
  <si>
    <t>Diciembre</t>
  </si>
  <si>
    <t>Enero</t>
  </si>
  <si>
    <t>Febrero</t>
  </si>
  <si>
    <t>ANILL.N°3431483 VENTILADO         /STORK</t>
  </si>
  <si>
    <t>ASIENT.N° 9999/2 VALVULA            /STORK</t>
  </si>
  <si>
    <t>SEGURO N°9904903F CHAP.CONTRAVAST./STORK</t>
  </si>
  <si>
    <t>CONTRAVASTAGO 343- 142/3</t>
  </si>
  <si>
    <t>DEFLECTOR 343 142/15</t>
  </si>
  <si>
    <t>JUNTA DE CAMISA 343-148/9</t>
  </si>
  <si>
    <t>TUERCA CONTRAVASTAGO 343  142/9</t>
  </si>
  <si>
    <t>VAST.N°  343 142/24 CROMADO           /STORK</t>
  </si>
  <si>
    <t>VEJIG.N°  69-402-02F SUCCION  600"³   /STORK</t>
  </si>
  <si>
    <t>VEJIG.N°  70-402-02F DESCARG. 600"³   /STORK</t>
  </si>
  <si>
    <t>CAMIS.N°0611108E 2"  CROMADA      /STORK</t>
  </si>
  <si>
    <t>CAMIS.N°34314834/SP4560 STORK MSW  3"</t>
  </si>
  <si>
    <t>CAMIS.N°34314835 3.1/2" /STORK</t>
  </si>
  <si>
    <t>CAMIS.N°34314836 4"               /STORK</t>
  </si>
  <si>
    <t>CAMIS.N°34314837 4.1/2" /STORK</t>
  </si>
  <si>
    <t>BOMBA ALTER. DUPLEX STORK SP 5080 (CORRECTIVO)</t>
  </si>
  <si>
    <t>ARO N°574710  VENTILADO BRONCE    /STORK</t>
  </si>
  <si>
    <t>ANILLO BRONCE CAMISA SP5080/50100P</t>
  </si>
  <si>
    <t>ASIENT.N°   9999/2 VALVULA            /STORK</t>
  </si>
  <si>
    <t>SEGURO N°9904902F CHAP.VASTAGO    /STORK</t>
  </si>
  <si>
    <t>CONTRAVASTAGO  5747/11</t>
  </si>
  <si>
    <t>DEFLECTOR 5747/33</t>
  </si>
  <si>
    <t>EMPAQ.N°574739 CAMISA             /STORK</t>
  </si>
  <si>
    <t>TUERCA CONTRAVASTAGO  5747/18</t>
  </si>
  <si>
    <t>VAST.N°5152/101 CROMADO            /STORK</t>
  </si>
  <si>
    <t>VEJIG.N°6940202F SUCCION  600"³   /STORK</t>
  </si>
  <si>
    <t>VEJIG.N°7040202F DESCARG. 600"³   /STORK</t>
  </si>
  <si>
    <t>CAMIS.N°574777 3.1/2" /STORK</t>
  </si>
  <si>
    <t>CAMIS.N°574772 4"                 /STORK</t>
  </si>
  <si>
    <t>CAMIS.N°574773/SP5080 STORK MSW 4 1/2"</t>
  </si>
  <si>
    <t>CAMIS.N°574774 5"                 /STORK</t>
  </si>
  <si>
    <t>CAMIS.N°574776 3"   CROMADA       /STORK</t>
  </si>
  <si>
    <t>BOMBA ALTER. DUPLEX STORK SP 50100 (CORRECTIVO)</t>
  </si>
  <si>
    <t>ARO N°574757 TOPE EMPAQUET.CAMISA /STORK</t>
  </si>
  <si>
    <t>ASIENT.N°99991/SP5080 STORK MSW</t>
  </si>
  <si>
    <t>SEGURO N°9904901F TUER.CONTRAVAST./STORK</t>
  </si>
  <si>
    <t>CONTRAVAST.N°958114               /STORK</t>
  </si>
  <si>
    <t>DEFLEC.N°958140/SP50100 STORK MSW</t>
  </si>
  <si>
    <t>TUERC.N°958117 CONTRAVASTAGO      /STORK</t>
  </si>
  <si>
    <t>VAST.N°9581/119 CROMADO            /STORK</t>
  </si>
  <si>
    <t>CAMIS.N°9581118 3.1/2" /STORK</t>
  </si>
  <si>
    <t>CAMIS.N°9581115/SP50100 STORK MSW 4"</t>
  </si>
  <si>
    <t>CAMIS.N°9581116/SP50100 STORK MSW 4 1/2"</t>
  </si>
  <si>
    <t>CAMIS.N°9581114 5"                /STORK</t>
  </si>
  <si>
    <t>CAMIS.N°9581117 3"                /STORK</t>
  </si>
  <si>
    <t>NATIONAL OIL WELL Q 300 CUERPO MC 2 5/8"</t>
  </si>
  <si>
    <t>CAJ.N°17160772 858021810 EMPAQ./NAT-SIAM  2 3/4" MC y 2 5/8"</t>
  </si>
  <si>
    <t>EMBOL.N°1716059 858042060 2.5/8/NAT-SIAM   CERAMICO</t>
  </si>
  <si>
    <t>EMBOL.N°858031110/J165 J200 J300</t>
  </si>
  <si>
    <t>PRENS.EMPAQ.N°1713056 858022510/NAT-SIAM  2 5/8"</t>
  </si>
  <si>
    <t>ARAND.N°1713057 858023710 2.5/8/NAT-SIAM</t>
  </si>
  <si>
    <t>TUERC.N°1712025 856023310 AJUS./NAT-SIAM 2 3/4" MC y 2 5/8"</t>
  </si>
  <si>
    <t>EMPAQ.N°6422335 858031030 2.5/8/NAT-SIAM</t>
  </si>
  <si>
    <t>BUJE N°1713058 858023310 2.5/8"/NAT-SIAM</t>
  </si>
  <si>
    <t>V.N°1560112 856026010 3"DURABLA/NAT-SIAM</t>
  </si>
  <si>
    <t>V.N°1560122 856026020 3"DURABLA/NAT-SIAM</t>
  </si>
  <si>
    <t xml:space="preserve">EMPAQ.N°2410031345 858020810   </t>
  </si>
  <si>
    <t>VAST.N°1716006 858014110 INTER./NAT-SIAM</t>
  </si>
  <si>
    <t>LIMPIAD.N°1713297 856010610    /NAT-SIAM</t>
  </si>
  <si>
    <t>SELL.N°852023110/J60 SIAM-ARCON</t>
  </si>
  <si>
    <t>UMB</t>
  </si>
  <si>
    <t>Texto breve de material</t>
  </si>
  <si>
    <t>UNI</t>
  </si>
  <si>
    <t>CORREA V A 51 IND. 1326MM</t>
  </si>
  <si>
    <t>CORREA V C 144 BX3 3731MM</t>
  </si>
  <si>
    <t>CORREA V C 158 BX3 4087MM</t>
  </si>
  <si>
    <t>CORREA V C 180 BX3 4646MM</t>
  </si>
  <si>
    <t>CORREA V C 195 BX3 5027MM</t>
  </si>
  <si>
    <t>CORREA V C 210 BX4 5440,68MM</t>
  </si>
  <si>
    <t>CORREA V C 225 BX3 5738MM</t>
  </si>
  <si>
    <t>CORREA V C 240 BX4 6119MM</t>
  </si>
  <si>
    <t>CORREA V C 270 BX4 6881MM</t>
  </si>
  <si>
    <t>CORREA V C 285 BX4 7315MM</t>
  </si>
  <si>
    <t>CORREA V C 300 BX3 7643MM</t>
  </si>
  <si>
    <t>CORREA V C 330 BX3 8405MM</t>
  </si>
  <si>
    <t>CORREA V C 360 BX3 9167MM</t>
  </si>
  <si>
    <t>CORREA V C 420 BX4 10691MM</t>
  </si>
  <si>
    <t>CORREA V C 90 BX3 2360MM</t>
  </si>
  <si>
    <t>CORREA N°0814211 RMESCO I/DS11 SCANIA</t>
  </si>
  <si>
    <t>JGO.CORREAS N°02231714 DDX N06/DEUTZ</t>
  </si>
  <si>
    <t>CINTA FREN.N°DM108676       P/AIB LUFKIN</t>
  </si>
  <si>
    <t>HORQUILL.N°AM104801 CABLE FRENO P/LUFKIN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</si>
</sst>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4" borderId="1" xfId="0" applyFill="1" applyBorder="1"/>
    <xf numFmtId="0" fontId="7" fillId="5" borderId="0" xfId="0" applyFont="1" applyFill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/>
    <xf numFmtId="0" fontId="11" fillId="12" borderId="5" xfId="0" applyFont="1" applyFill="1" applyBorder="1" applyAlignment="1">
      <alignment horizontal="center" vertical="center" textRotation="90"/>
    </xf>
    <xf numFmtId="0" fontId="10" fillId="13" borderId="1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 vertical="center" textRotation="90"/>
    </xf>
    <xf numFmtId="0" fontId="0" fillId="14" borderId="1" xfId="0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 textRotation="90"/>
    </xf>
    <xf numFmtId="0" fontId="3" fillId="12" borderId="5" xfId="0" applyFont="1" applyFill="1" applyBorder="1" applyAlignment="1">
      <alignment horizontal="center" vertical="center" textRotation="90"/>
    </xf>
    <xf numFmtId="0" fontId="3" fillId="12" borderId="6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left" vertical="center"/>
    </xf>
    <xf numFmtId="0" fontId="3" fillId="12" borderId="7" xfId="0" applyFont="1" applyFill="1" applyBorder="1" applyAlignment="1">
      <alignment horizontal="center" vertical="center" textRotation="90"/>
    </xf>
    <xf numFmtId="0" fontId="12" fillId="12" borderId="5" xfId="0" applyFont="1" applyFill="1" applyBorder="1" applyAlignment="1">
      <alignment horizontal="center" vertical="center" textRotation="90"/>
    </xf>
    <xf numFmtId="0" fontId="12" fillId="12" borderId="6" xfId="0" applyFont="1" applyFill="1" applyBorder="1" applyAlignment="1">
      <alignment horizontal="center" vertical="center" textRotation="90"/>
    </xf>
    <xf numFmtId="0" fontId="12" fillId="12" borderId="7" xfId="0" applyFont="1" applyFill="1" applyBorder="1" applyAlignment="1">
      <alignment horizontal="center" vertical="center" textRotation="90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0" fillId="1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Documents%20and%20Settings\hachem\Mis%20documentos\PCR\6.4%20PCR.EMa-2127\$%20Informes%20Finales\Proyecto%20Drill-09%20CAMPA&#209;A%203\07%20PCR.EM-2107\Copia%20de%20Programa%20Pozo%202107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asacdr01\usr\Ingenier&#237;a\CEMENT\ASTRA\Alianza%20PIC\Alianza%20PIC\NASA\INGENIER\CEMENT\PROGRAM\AISLACIC\EG4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genier&#237;a\CEMENT\ASTRA\Alianza%20PIC\Alianza%20PIC\BJ\BRIDAS\PROGRAMA\AISLAC\AIHOJC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odoro-cmo\Groups\Mis%20documentos\Drill150\EN%20602GPr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Documents%20and%20Settings\Y155101\Local%20Settings\Temporary%20Internet%20Files\OLKF\PI%20389\Programa%20Pozo%20G%20750,%20en%20trabaj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INFORME\BASEWORK\BASEWORK\SOPORTE\REPAR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RLS\PERF_RTP\DRILLING\Programas\2004\RDLS\El%20Limite\EL-25\EL-25_pr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2\depart\LasHeras\OCP\PROYECTO%20BARRANCA%20BAYA\Activo%20CE\Programas%20Repas\2014\CE-02\Productores\CnE-331\PDDP%20CnE-33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2\depart\Users\y155636\Desktop\CnE-106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crdat01\Depart\Desarrollo%20UNAS\Las%20Heras\01%20Estudios\2)%20Estudios%20Cerro%20Grande\2)%20Cerro%20Grande%20Oeste\2015_Secundaria%20CG-Oeste%20Amp\Estudio%202015(Actualizaci&#243;n)\Estudio\CGO%20Actualizaci&#243;n-Estudio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PERF_RTP\POZOS\Pozo2001\RDLS2001\ChSN(Fil&#243;n)\CHSN-572%20(ho)\CHSN%20572%20(ho)%20P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crdat01\Depart\Desarrollo%20UNAS\Las%20Heras\01%20Estudios\2)%20Estudios%20Cerro%20Grande\2)%20Cerro%20Grande%20Oeste\2015_Secundaria%20CG-Oeste%20Amp\Estudio%202015(Actualizaci&#243;n)\Estudio\CGO%20-%20TABLAS%20ESTUDIO_v4_v3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PERF_RTP\POZOS\Pozo2001\Explo2001\SBO.x-1\SBO_x-1p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ebasti&#225;n%20Cardenas\Mis%20documentos\OPER-PRO\Estudio%20de%20Planificaci&#243;n%20y%20Log&#237;stica\Arbol%20decisi&#243;n\Tree\ECha%2078\BB%20109%20-%20Programa%20de%20Terminaci&#243;n_v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ERF_RTP\POZOS\Pozos99\Mza99\Llancanello\LLp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gr.repsolypf.com\laarcrdlh\LasHeras\Workover\DISTRITO1\PROGRAMA%20POZO%202004\TERMINACION\CG-57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genier&#237;a\CEMENT\ASTRA\Alianza%20PIC\Alianza%20PIC\NASA\INGENIER\CEMENT\PROGRAM\AISLACIC\EG4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ogistica\Nenke%20Partes%20Diarios\Rep%20diario%20log%2017.09.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reumann\WINDOWS\TEMP\MXLibDir\Rep1095%20mar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gr.repsolypf.com\laarcrdlh\Documents%20and%20Settings\ANDRES\Mis%20documentos\Oper-Pro\Repsol%20YPF\Programa%20de%20Terminaci&#243;n\BB%20109\BB%20109%20-%20Programa%20de%20Terminaci&#243;n_v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PRESU-WO\PERFOR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gr.repsolypf.com\laarcrdlh\Documents%20and%20Settings\Y155435\Local%20Settings\Temporary%20Internet%20Files\OLK249\DISTRITO1\PROGRAMA%20POZO%202008\TERMINACI&#211;N\LH%20118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MISDOC~1\17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reumann\03%20Inyeccion%20KK\02Programa%20de%20Wire%20Line%20KK-EV\EV1011vrfw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RLS\PERF_RTP\DRILLING\Programas\2004\RDLS\PM\PMo-184\Pto%20Mo%20a%20184_PROVIEJ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MMoggia\ProgModels\Cement\Primarias\CementDesign\megaticke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gr.repsolypf.com\laarcrdlh\LasHeras\Workover\HOJA%20PRESUPUESTO\Pilot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ses%20de%20Datos\Tablas%20de%20Sigeo\XLS\Pozos%20JD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ses%20de%20Datos\Tablas%20de%20Sigeo\XLS\Pozos%20Zona%20Est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Ingenier&#237;a\CEMENT\ASTRA\Alianza%20PIC\Alianza%20PIC\NASA\INGENIER\CEMENT\PROGRAM\AISLACIC\EG4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MASTERS\bi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WINDOWS\TEMP\AFEPI36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nw051\USERS\Perforac\2-Perfora\A%20PROGRAMAS_PERF\Pozo%20Tipo\IPM\RIGS\K1\44LP1547\NOTAS\CONSUMO%20LOD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Reumann\WINDOWS\Archivos%20temporales%20de%20Internet\Content.IE5\OHENOHMR\PZ-13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cementaci&#243;n\pioneer\2005\BJ\BRIDAS\PROGRAMA\AISLAC\AIHOJC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asacdr01\usr\Ingenier&#237;a\CEMENT\ASTRA\Alianza%20PIC\Alianza%20PIC\BJ\BRIDAS\PROGRAMA\AISLAC\AIHOJCA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unw051\users\SHARE\PERFORTP\PRESUP98\BVO_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01%20Estudios\2)%20Estudios%20Cerro%20Grande\5)%20Cerro%20Grande%20Centro_Centroeste\Secundaria%20CG-Centro\2013_%20Secundaria%20CG%20Centro%20(&#250;ltimo)\Ingenieria\CG%20Central%20EST-201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rdlhdat01\Depart\Documents%20and%20Settings\jgomez\Mis%20documentos\$Petrobras%20-%20Medanito\$Maniobras\INFILL\Estadisticas%20de%20da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"/>
      <sheetName val="Mbras Prog"/>
      <sheetName val="LOT"/>
      <sheetName val="CurvaAvance"/>
      <sheetName val="Fase 1"/>
      <sheetName val="Fase 2"/>
      <sheetName val="Fase 3"/>
      <sheetName val="Operación"/>
      <sheetName val="1_Carátula"/>
      <sheetName val="DISEÑO REV-00"/>
      <sheetName val="Carátula"/>
      <sheetName val="Programa completo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ero (2)"/>
      <sheetName val="CARATULA "/>
      <sheetName val=" HOJA CALC."/>
      <sheetName val="Fase 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HOJA CALC."/>
      <sheetName val="CARATULA (2)"/>
      <sheetName val="HOJA CEN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uperado_Hoja1"/>
      <sheetName val="Guia"/>
      <sheetName val="Proforma Guia"/>
      <sheetName val="Mezclas"/>
      <sheetName val="*************************"/>
      <sheetName val="Dist,tiempo x fase 12,25&quot;"/>
      <sheetName val="Esquema de Pozo"/>
      <sheetName val="Informe cont"/>
      <sheetName val="Hoja1"/>
      <sheetName val="CATALOGO DE TUBULARES"/>
      <sheetName val="1_Carátula"/>
      <sheetName val="Seguimiento"/>
      <sheetName val="DATOS"/>
      <sheetName val=" HOJA CALC."/>
      <sheetName val="Datos Control de Gestión"/>
      <sheetName val="Datos Activo"/>
      <sheetName val="Datos Mat y Pulling"/>
      <sheetName val="CODIFICACION"/>
      <sheetName val="Moldes BM"/>
      <sheetName val="No Toc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INICIO"/>
      <sheetName val="UBICACION "/>
      <sheetName val="TIEMPOS"/>
      <sheetName val="PRESUPUESTO"/>
      <sheetName val="COMPARACION"/>
      <sheetName val="PROGRAMA"/>
      <sheetName val="RESUMEN G 711"/>
      <sheetName val="WELL PLANING"/>
      <sheetName val="TARIFAS"/>
      <sheetName val="CARATULA"/>
      <sheetName val="PILET SECA"/>
      <sheetName val="CERT. EQ. 1er Mes"/>
      <sheetName val="CERT. EQ. 2do Mes"/>
      <sheetName val="CERT. GUIA"/>
      <sheetName val="CERT. GUIA DWS"/>
      <sheetName val="CERT. LASA Tarifas (u$s) GUIA "/>
      <sheetName val="CERT. LASA Tarifas (u$s) AISL."/>
      <sheetName val="CERT.AISL."/>
      <sheetName val="CERT.AISL. (DWS)"/>
      <sheetName val="DESEMPEÑO"/>
      <sheetName val="HRS EQUIPO"/>
      <sheetName val="CERT.AGUA"/>
      <sheetName val="CERT. LODO"/>
      <sheetName val="COSTOS-TIEMPOS"/>
      <sheetName val="Tiempo vs Prof (Seguimiento)"/>
      <sheetName val="COSTO REAL"/>
      <sheetName val="PROF. VS COSTOS"/>
      <sheetName val="RECOCA "/>
      <sheetName val="1°TREPANO "/>
      <sheetName val="2°TREPANO"/>
      <sheetName val="3°TREPAN0"/>
      <sheetName val="4°TREPAN0 "/>
      <sheetName val="5°TREPAN0  ("/>
      <sheetName val="6TREPAN0  ("/>
      <sheetName val="CAL. GUIA "/>
      <sheetName val="CAL. TAPÓN"/>
      <sheetName val="CAL. PERFIL"/>
      <sheetName val="CAL LASA GUÍA"/>
      <sheetName val="CAL LASA AISL."/>
      <sheetName val="CAL. AISL. "/>
      <sheetName val="CAL. LODO "/>
      <sheetName val="CAL. EQ. "/>
      <sheetName val="CAL. AGUA"/>
      <sheetName val="CAL. PILETA SECA"/>
      <sheetName val="KPI Pileta Seca"/>
      <sheetName val="Pedido cañería"/>
      <sheetName val="Analisis Programa de Trépanos"/>
      <sheetName val="Registro de emisión Liq y Sol"/>
      <sheetName val="Proforma Gu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 Ry ET1"/>
      <sheetName val="Pedido cañería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-25"/>
      <sheetName val="Propuesta geológica"/>
      <sheetName val="Avance "/>
      <sheetName val="Objetivos 1"/>
      <sheetName val="Programa"/>
      <sheetName val="BHA I"/>
      <sheetName val="BHA II"/>
      <sheetName val="BHA III"/>
      <sheetName val="BHAIV"/>
      <sheetName val="Programa direccional"/>
      <sheetName val="Lodo tramo I"/>
      <sheetName val="Lodo Tramo II"/>
      <sheetName val=" Costo Lodo"/>
      <sheetName val="CemenGuía"/>
      <sheetName val="Costo Guía"/>
      <sheetName val="CemenAislación"/>
      <sheetName val="Costo Aislac."/>
      <sheetName val="Propuesta de trépanos"/>
      <sheetName val="Trépanos"/>
      <sheetName val="Cañerías"/>
      <sheetName val="Ubicación"/>
      <sheetName val=" HOJA CALC."/>
      <sheetName val="A I Ry 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DP"/>
      <sheetName val="1- Información"/>
      <sheetName val="WL"/>
      <sheetName val="Hoja1"/>
      <sheetName val="Hoja17"/>
      <sheetName val="2- Instalación y Punzados WO"/>
    </sheetNames>
    <sheetDataSet>
      <sheetData sheetId="0"/>
      <sheetData sheetId="1">
        <row r="4">
          <cell r="H4" t="str">
            <v>Sofía Kuntz</v>
          </cell>
        </row>
      </sheetData>
      <sheetData sheetId="2"/>
      <sheetData sheetId="3"/>
      <sheetData sheetId="4"/>
      <sheetData sheetId="5">
        <row r="7">
          <cell r="AQ7" t="str">
            <v>Abierto</v>
          </cell>
          <cell r="AR7" t="str">
            <v>Punzar</v>
          </cell>
        </row>
        <row r="8">
          <cell r="AQ8" t="str">
            <v>Cerrado</v>
          </cell>
          <cell r="AR8" t="str">
            <v>Repunzar</v>
          </cell>
        </row>
        <row r="9">
          <cell r="AQ9" t="str">
            <v>Cementado</v>
          </cell>
          <cell r="AR9" t="str">
            <v>Fracturar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. Prod CnE-106"/>
      <sheetName val="CnE-106"/>
    </sheetNames>
    <definedNames>
      <definedName name="ADICIONAL" refersTo="#¡REF!"/>
      <definedName name="asas" refersTo="#¡REF!"/>
      <definedName name="ede" refersTo="#¡REF!"/>
      <definedName name="fsdfdf" refersTo="#¡REF!"/>
      <definedName name="Print_Area" refersTo="#¡REF!"/>
      <definedName name="ww" refersTo="#¡REF!"/>
      <definedName name="WWW" refersTo="#¡REF!"/>
    </defined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EST ACTUAL"/>
      <sheetName val="ENSAYOS + PRORR"/>
      <sheetName val="old INY&amp;OILsec"/>
      <sheetName val="TD FR"/>
      <sheetName val="SIN ENSY"/>
      <sheetName val="PDP"/>
      <sheetName val="CAPA-POZO"/>
      <sheetName val="VISC"/>
      <sheetName val="PARAM"/>
      <sheetName val="Hp-PROF-Fi-Sw-SAL-DENS"/>
      <sheetName val="PERM"/>
      <sheetName val="TEMP"/>
      <sheetName val="Pb-Pact-Bo-Sor-M-Ev-iw"/>
      <sheetName val="PVT-In"/>
      <sheetName val="PVT-Out"/>
      <sheetName val="VOL.PATTERNS"/>
      <sheetName val="Categoría de Reservas"/>
      <sheetName val="TABLAS INY-PROD"/>
      <sheetName val="SEC q-Np"/>
      <sheetName val="ACTUAL q-Np"/>
      <sheetName val="PRIM fin"/>
      <sheetName val="INVERSIONES"/>
      <sheetName val="Hoja1"/>
    </sheetNames>
    <sheetDataSet>
      <sheetData sheetId="0">
        <row r="3">
          <cell r="C3" t="str">
            <v>CERRO GRANDE OESTE ACTUALIZACION</v>
          </cell>
        </row>
      </sheetData>
      <sheetData sheetId="1"/>
      <sheetData sheetId="2">
        <row r="1">
          <cell r="BS1">
            <v>4.4000000000000006E-5</v>
          </cell>
        </row>
        <row r="2">
          <cell r="BS2">
            <v>1.1000000000000002E-4</v>
          </cell>
        </row>
        <row r="3">
          <cell r="BS3">
            <v>5.1E-5</v>
          </cell>
        </row>
        <row r="5">
          <cell r="H5">
            <v>0.5</v>
          </cell>
          <cell r="BK5">
            <v>150</v>
          </cell>
          <cell r="BP5">
            <v>0.89</v>
          </cell>
        </row>
        <row r="6">
          <cell r="H6">
            <v>9.9839999999999998E-2</v>
          </cell>
          <cell r="BK6">
            <v>7.9375000000000001E-2</v>
          </cell>
        </row>
        <row r="8">
          <cell r="BS8">
            <v>58563214.053730533</v>
          </cell>
        </row>
      </sheetData>
      <sheetData sheetId="3"/>
      <sheetData sheetId="4">
        <row r="2">
          <cell r="R2">
            <v>3413188.5720346272</v>
          </cell>
          <cell r="Y2">
            <v>0.10183040548431659</v>
          </cell>
        </row>
        <row r="6">
          <cell r="B6">
            <v>536039.99999999953</v>
          </cell>
        </row>
        <row r="7">
          <cell r="S7">
            <v>8.3904933227389525E-2</v>
          </cell>
          <cell r="T7">
            <v>9.4558183029455997E-2</v>
          </cell>
        </row>
        <row r="8">
          <cell r="N8">
            <v>0</v>
          </cell>
          <cell r="O8">
            <v>0</v>
          </cell>
        </row>
        <row r="12">
          <cell r="X12">
            <v>1855447.1518798131</v>
          </cell>
          <cell r="Z12">
            <v>136116.22284375021</v>
          </cell>
        </row>
      </sheetData>
      <sheetData sheetId="5"/>
      <sheetData sheetId="6">
        <row r="5">
          <cell r="D5">
            <v>38255547.099999994</v>
          </cell>
          <cell r="E5">
            <v>9646028.3000000026</v>
          </cell>
        </row>
      </sheetData>
      <sheetData sheetId="7"/>
      <sheetData sheetId="8">
        <row r="49">
          <cell r="X49">
            <v>1298.4000000000001</v>
          </cell>
        </row>
        <row r="50">
          <cell r="X50">
            <v>4.1000000000000002E-2</v>
          </cell>
        </row>
      </sheetData>
      <sheetData sheetId="9"/>
      <sheetData sheetId="10">
        <row r="3">
          <cell r="H3">
            <v>714.00274865761503</v>
          </cell>
        </row>
        <row r="4">
          <cell r="H4">
            <v>19.646593566946915</v>
          </cell>
        </row>
        <row r="5">
          <cell r="H5">
            <v>53.049414264279463</v>
          </cell>
        </row>
        <row r="6">
          <cell r="H6">
            <v>11.013934523809523</v>
          </cell>
        </row>
        <row r="7">
          <cell r="H7">
            <v>0.90257314814814804</v>
          </cell>
        </row>
        <row r="8">
          <cell r="H8">
            <v>25.273996977776534</v>
          </cell>
        </row>
      </sheetData>
      <sheetData sheetId="11">
        <row r="13">
          <cell r="K13">
            <v>111.74423106306297</v>
          </cell>
        </row>
        <row r="15">
          <cell r="K15">
            <v>0.62108244567173165</v>
          </cell>
        </row>
      </sheetData>
      <sheetData sheetId="12">
        <row r="23">
          <cell r="R23">
            <v>41.835783737759137</v>
          </cell>
        </row>
      </sheetData>
      <sheetData sheetId="13">
        <row r="6">
          <cell r="F6">
            <v>1.0886282462559769</v>
          </cell>
        </row>
        <row r="7">
          <cell r="F7">
            <v>49.9</v>
          </cell>
        </row>
        <row r="34">
          <cell r="K34">
            <v>64.15743098337866</v>
          </cell>
        </row>
        <row r="37">
          <cell r="C37">
            <v>20.936164027097501</v>
          </cell>
        </row>
        <row r="40">
          <cell r="C40">
            <v>13.335072670000415</v>
          </cell>
        </row>
        <row r="44">
          <cell r="K44">
            <v>42.84408647343362</v>
          </cell>
        </row>
        <row r="48">
          <cell r="K48">
            <v>42.130769986539342</v>
          </cell>
        </row>
        <row r="54">
          <cell r="K54">
            <v>4.106499262286917</v>
          </cell>
        </row>
        <row r="56">
          <cell r="C56">
            <v>1.0266632522087109</v>
          </cell>
        </row>
        <row r="63">
          <cell r="J63">
            <v>25</v>
          </cell>
        </row>
        <row r="90">
          <cell r="C90">
            <v>0.79</v>
          </cell>
        </row>
        <row r="94">
          <cell r="C94">
            <v>61.93013086132666</v>
          </cell>
          <cell r="J94">
            <v>0.45</v>
          </cell>
        </row>
      </sheetData>
      <sheetData sheetId="14"/>
      <sheetData sheetId="15">
        <row r="67">
          <cell r="M67">
            <v>1.0359294600057629</v>
          </cell>
          <cell r="N67">
            <v>19.162344235939578</v>
          </cell>
          <cell r="O67">
            <v>64.546163611027438</v>
          </cell>
        </row>
        <row r="68">
          <cell r="M68">
            <v>1.0319045130360767</v>
          </cell>
          <cell r="N68">
            <v>6.6072118878725323</v>
          </cell>
          <cell r="O68">
            <v>134.22996589803293</v>
          </cell>
        </row>
        <row r="69">
          <cell r="N69">
            <v>4.0590722988152326</v>
          </cell>
          <cell r="O69">
            <v>163.08267793482688</v>
          </cell>
        </row>
      </sheetData>
      <sheetData sheetId="16">
        <row r="3">
          <cell r="AB3">
            <v>1554</v>
          </cell>
        </row>
      </sheetData>
      <sheetData sheetId="17"/>
      <sheetData sheetId="18"/>
      <sheetData sheetId="19"/>
      <sheetData sheetId="20">
        <row r="19">
          <cell r="BS19">
            <v>0.8</v>
          </cell>
        </row>
      </sheetData>
      <sheetData sheetId="21">
        <row r="3">
          <cell r="BI3">
            <v>114519.72820909809</v>
          </cell>
        </row>
      </sheetData>
      <sheetData sheetId="22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Esquema (ho)"/>
      <sheetName val="Prop Geol"/>
      <sheetName val="Objetivos"/>
      <sheetName val="Programa"/>
      <sheetName val="WELL-PLAN"/>
      <sheetName val="BHA1"/>
      <sheetName val="BHA2"/>
      <sheetName val="BHA3"/>
      <sheetName val="BHA4"/>
      <sheetName val="BHA5"/>
      <sheetName val="Cuña"/>
      <sheetName val="Lodo"/>
      <sheetName val="Trépanos"/>
      <sheetName val="Avance"/>
      <sheetName val="Costos"/>
      <sheetName val="Eval Equipo"/>
      <sheetName val="Eval Lodo"/>
      <sheetName val="eval. perfil"/>
      <sheetName val="base de datos"/>
      <sheetName val="Gráfico General"/>
      <sheetName val="graficas"/>
      <sheetName val="CHSN 572 (ho) PRO"/>
      <sheetName val="MH-344"/>
      <sheetName val=""/>
      <sheetName val="2- Instalación y Punzados W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"/>
      <sheetName val="Carátula"/>
      <sheetName val="Lomo"/>
      <sheetName val="Tabla1"/>
      <sheetName val="Tabla2"/>
      <sheetName val="Tabla3"/>
      <sheetName val="Tabla4"/>
      <sheetName val="Tabla5"/>
      <sheetName val="Tabla6"/>
      <sheetName val="Tabla7"/>
      <sheetName val="Tabla8"/>
      <sheetName val="Tabla9"/>
      <sheetName val="Tabla10"/>
      <sheetName val="Tabla11"/>
      <sheetName val="Tabla12"/>
      <sheetName val="Tabla13"/>
      <sheetName val="Tabla14"/>
      <sheetName val="Tabla15"/>
      <sheetName val="Tabla16"/>
      <sheetName val="Tabla17"/>
      <sheetName val="Tabla18"/>
      <sheetName val="Tabla19"/>
      <sheetName val="Tabla 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BO.x-1"/>
      <sheetName val="Objetivos 1"/>
      <sheetName val="Programa"/>
      <sheetName val="BHA 1"/>
      <sheetName val="BHA 2"/>
      <sheetName val="BHA 3"/>
      <sheetName val="Cañerías"/>
      <sheetName val="Trepano"/>
      <sheetName val="Curva de avance"/>
      <sheetName val="Costos"/>
      <sheetName val="1338"/>
      <sheetName val="Cost 1338"/>
      <sheetName val="958"/>
      <sheetName val="Cost958"/>
      <sheetName val="7"/>
      <sheetName val="Cost7"/>
      <sheetName val="Hoja1"/>
      <sheetName val="WELL-PLAN"/>
      <sheetName val="2- Instalación y Punzados WO"/>
      <sheetName val="SBO_x-1p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68">
          <cell r="D368" t="str">
            <v>Serv. de Cuña desviadora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nálisis"/>
      <sheetName val="Arbol de Decisión"/>
      <sheetName val="Cálculo Declinación"/>
      <sheetName val="Presupuesto Ajustado"/>
      <sheetName val="Presupuesto"/>
      <sheetName val="Gráficos"/>
      <sheetName val="MREX"/>
      <sheetName val="Presiones"/>
      <sheetName val="Programa Terminación"/>
      <sheetName val="HOJA PRESUPUESTO"/>
      <sheetName val="Programa Operativo"/>
      <sheetName val="ESQUEMA"/>
      <sheetName val="Tarifas Equipo"/>
      <sheetName val="Hoja de Cálculo"/>
      <sheetName val="Costos"/>
      <sheetName val="Pará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. (2)"/>
      <sheetName val="Plan "/>
      <sheetName val="Llancanelo (2)"/>
      <sheetName val="Avance"/>
      <sheetName val="COSTOS"/>
      <sheetName val="Compara Proyec."/>
      <sheetName val="Llancanelo"/>
      <sheetName val="Llancanelo (3)"/>
      <sheetName val="HOJA PRESUPUESTO"/>
      <sheetName val="Parámetros"/>
      <sheetName val=" HOJA CALC."/>
      <sheetName val="TABL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MD</v>
          </cell>
          <cell r="B2" t="str">
            <v>Inc.</v>
          </cell>
          <cell r="C2" t="str">
            <v>Azi.</v>
          </cell>
          <cell r="D2" t="str">
            <v>TVD</v>
          </cell>
          <cell r="E2" t="str">
            <v>+E/-O</v>
          </cell>
          <cell r="F2" t="str">
            <v>+N/-S</v>
          </cell>
          <cell r="G2" t="str">
            <v>VS</v>
          </cell>
          <cell r="H2" t="str">
            <v>Distancia</v>
          </cell>
          <cell r="I2" t="str">
            <v>Direccion</v>
          </cell>
          <cell r="J2" t="str">
            <v>DGL´s</v>
          </cell>
          <cell r="K2" t="str">
            <v>Build Rate</v>
          </cell>
          <cell r="L2" t="str">
            <v>Turn Rate</v>
          </cell>
          <cell r="M2" t="str">
            <v>TFO</v>
          </cell>
          <cell r="N2" t="str">
            <v>Comentarios</v>
          </cell>
        </row>
        <row r="3">
          <cell r="A3">
            <v>0</v>
          </cell>
          <cell r="B3">
            <v>0</v>
          </cell>
          <cell r="C3">
            <v>169.97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A4">
            <v>30</v>
          </cell>
          <cell r="B4">
            <v>0</v>
          </cell>
          <cell r="C4">
            <v>169.97</v>
          </cell>
          <cell r="D4">
            <v>30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60</v>
          </cell>
          <cell r="B5">
            <v>0</v>
          </cell>
          <cell r="C5">
            <v>169.97</v>
          </cell>
          <cell r="D5">
            <v>60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>
            <v>90</v>
          </cell>
          <cell r="B6">
            <v>0</v>
          </cell>
          <cell r="C6">
            <v>169.97</v>
          </cell>
          <cell r="D6">
            <v>90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>
            <v>120</v>
          </cell>
          <cell r="B7">
            <v>0</v>
          </cell>
          <cell r="C7">
            <v>169.97</v>
          </cell>
          <cell r="D7">
            <v>120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150</v>
          </cell>
          <cell r="B8">
            <v>0</v>
          </cell>
          <cell r="C8">
            <v>169.97</v>
          </cell>
          <cell r="D8">
            <v>150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>
            <v>180</v>
          </cell>
          <cell r="B9">
            <v>0</v>
          </cell>
          <cell r="C9">
            <v>169.97</v>
          </cell>
          <cell r="D9">
            <v>180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210</v>
          </cell>
          <cell r="B10">
            <v>0</v>
          </cell>
          <cell r="C10">
            <v>169.97</v>
          </cell>
          <cell r="D10">
            <v>210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240</v>
          </cell>
          <cell r="B11">
            <v>0</v>
          </cell>
          <cell r="C11">
            <v>169.97</v>
          </cell>
          <cell r="D11">
            <v>240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270</v>
          </cell>
          <cell r="B12">
            <v>0</v>
          </cell>
          <cell r="C12">
            <v>169.97</v>
          </cell>
          <cell r="D12">
            <v>270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300</v>
          </cell>
          <cell r="B13">
            <v>0</v>
          </cell>
          <cell r="C13">
            <v>169.97</v>
          </cell>
          <cell r="D13">
            <v>300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330</v>
          </cell>
          <cell r="B14">
            <v>0</v>
          </cell>
          <cell r="C14">
            <v>169.97</v>
          </cell>
          <cell r="D14">
            <v>330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>
            <v>360</v>
          </cell>
          <cell r="B15">
            <v>0</v>
          </cell>
          <cell r="C15">
            <v>169.97</v>
          </cell>
          <cell r="D15">
            <v>360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>
            <v>390</v>
          </cell>
          <cell r="B16">
            <v>0</v>
          </cell>
          <cell r="C16">
            <v>169.97</v>
          </cell>
          <cell r="D16">
            <v>390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420</v>
          </cell>
          <cell r="B17">
            <v>0</v>
          </cell>
          <cell r="C17">
            <v>169.97</v>
          </cell>
          <cell r="D17">
            <v>420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450</v>
          </cell>
          <cell r="B18">
            <v>0</v>
          </cell>
          <cell r="C18">
            <v>169.97</v>
          </cell>
          <cell r="D18">
            <v>450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>
            <v>480</v>
          </cell>
          <cell r="B19">
            <v>0</v>
          </cell>
          <cell r="C19">
            <v>169.97</v>
          </cell>
          <cell r="D19">
            <v>480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510</v>
          </cell>
          <cell r="B20">
            <v>0</v>
          </cell>
          <cell r="C20">
            <v>169.97</v>
          </cell>
          <cell r="D20">
            <v>510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540</v>
          </cell>
          <cell r="B21">
            <v>0</v>
          </cell>
          <cell r="C21">
            <v>169.97</v>
          </cell>
          <cell r="D21">
            <v>540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570</v>
          </cell>
          <cell r="B22">
            <v>0</v>
          </cell>
          <cell r="C22">
            <v>169.97</v>
          </cell>
          <cell r="D22">
            <v>570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600</v>
          </cell>
          <cell r="B23">
            <v>0</v>
          </cell>
          <cell r="C23">
            <v>169.97</v>
          </cell>
          <cell r="D23">
            <v>600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630</v>
          </cell>
          <cell r="B24">
            <v>0</v>
          </cell>
          <cell r="C24">
            <v>169.97</v>
          </cell>
          <cell r="D24">
            <v>630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660</v>
          </cell>
          <cell r="B25">
            <v>0</v>
          </cell>
          <cell r="C25">
            <v>169.97</v>
          </cell>
          <cell r="D25">
            <v>660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690</v>
          </cell>
          <cell r="B26">
            <v>0</v>
          </cell>
          <cell r="C26">
            <v>169.97</v>
          </cell>
          <cell r="D26">
            <v>690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720</v>
          </cell>
          <cell r="B27">
            <v>0</v>
          </cell>
          <cell r="C27">
            <v>169.97</v>
          </cell>
          <cell r="D27">
            <v>720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750</v>
          </cell>
          <cell r="B28">
            <v>0</v>
          </cell>
          <cell r="C28">
            <v>169.97</v>
          </cell>
          <cell r="D28">
            <v>750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780</v>
          </cell>
          <cell r="B29">
            <v>0</v>
          </cell>
          <cell r="C29">
            <v>169.97</v>
          </cell>
          <cell r="D29">
            <v>780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810</v>
          </cell>
          <cell r="B30">
            <v>0</v>
          </cell>
          <cell r="C30">
            <v>169.97</v>
          </cell>
          <cell r="D30">
            <v>810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840</v>
          </cell>
          <cell r="B31">
            <v>0</v>
          </cell>
          <cell r="C31">
            <v>169.97</v>
          </cell>
          <cell r="D31">
            <v>840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861.5</v>
          </cell>
          <cell r="B32">
            <v>0</v>
          </cell>
          <cell r="C32">
            <v>169.97</v>
          </cell>
          <cell r="D32">
            <v>861.5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891.5</v>
          </cell>
          <cell r="B33">
            <v>21.83</v>
          </cell>
          <cell r="C33">
            <v>169.97</v>
          </cell>
          <cell r="D33">
            <v>890.8</v>
          </cell>
          <cell r="E33">
            <v>1</v>
          </cell>
          <cell r="F33">
            <v>-5.6</v>
          </cell>
          <cell r="G33">
            <v>-5.6</v>
          </cell>
          <cell r="H33">
            <v>5.6</v>
          </cell>
          <cell r="I33">
            <v>169.97</v>
          </cell>
          <cell r="J33">
            <v>21.83</v>
          </cell>
          <cell r="K33">
            <v>21.83</v>
          </cell>
          <cell r="L33">
            <v>0</v>
          </cell>
          <cell r="M33">
            <v>0</v>
          </cell>
        </row>
        <row r="34">
          <cell r="A34">
            <v>921.5</v>
          </cell>
          <cell r="B34">
            <v>43.67</v>
          </cell>
          <cell r="C34">
            <v>169.97</v>
          </cell>
          <cell r="D34">
            <v>915.9</v>
          </cell>
          <cell r="E34">
            <v>3.8</v>
          </cell>
          <cell r="F34">
            <v>-21.4</v>
          </cell>
          <cell r="G34">
            <v>-21.4</v>
          </cell>
          <cell r="H34">
            <v>21.8</v>
          </cell>
          <cell r="I34">
            <v>169.97</v>
          </cell>
          <cell r="J34">
            <v>21.83</v>
          </cell>
          <cell r="K34">
            <v>21.83</v>
          </cell>
          <cell r="L34">
            <v>0</v>
          </cell>
          <cell r="M34">
            <v>0</v>
          </cell>
        </row>
        <row r="35">
          <cell r="A35">
            <v>951.5</v>
          </cell>
          <cell r="B35">
            <v>65.5</v>
          </cell>
          <cell r="C35">
            <v>169.97</v>
          </cell>
          <cell r="D35">
            <v>933.2</v>
          </cell>
          <cell r="E35">
            <v>8</v>
          </cell>
          <cell r="F35">
            <v>-45.4</v>
          </cell>
          <cell r="G35">
            <v>-45.4</v>
          </cell>
          <cell r="H35">
            <v>46.1</v>
          </cell>
          <cell r="I35">
            <v>169.97</v>
          </cell>
          <cell r="J35">
            <v>21.83</v>
          </cell>
          <cell r="K35">
            <v>21.83</v>
          </cell>
          <cell r="L35">
            <v>0</v>
          </cell>
          <cell r="M35">
            <v>0</v>
          </cell>
        </row>
        <row r="36">
          <cell r="A36">
            <v>981.5</v>
          </cell>
          <cell r="B36">
            <v>87.33</v>
          </cell>
          <cell r="C36">
            <v>169.97</v>
          </cell>
          <cell r="D36">
            <v>940.2</v>
          </cell>
          <cell r="E36">
            <v>13.1</v>
          </cell>
          <cell r="F36">
            <v>-73.900000000000006</v>
          </cell>
          <cell r="G36">
            <v>-73.900000000000006</v>
          </cell>
          <cell r="H36">
            <v>75.099999999999994</v>
          </cell>
          <cell r="I36">
            <v>169.97</v>
          </cell>
          <cell r="J36">
            <v>21.83</v>
          </cell>
          <cell r="K36">
            <v>21.83</v>
          </cell>
          <cell r="L36">
            <v>0</v>
          </cell>
          <cell r="M36">
            <v>0</v>
          </cell>
        </row>
        <row r="37">
          <cell r="A37">
            <v>991.5</v>
          </cell>
          <cell r="B37">
            <v>94.57</v>
          </cell>
          <cell r="C37">
            <v>169.97</v>
          </cell>
          <cell r="D37">
            <v>940</v>
          </cell>
          <cell r="E37">
            <v>14.8</v>
          </cell>
          <cell r="F37">
            <v>-83.8</v>
          </cell>
          <cell r="G37">
            <v>-83.8</v>
          </cell>
          <cell r="H37">
            <v>85.1</v>
          </cell>
          <cell r="I37">
            <v>169.97</v>
          </cell>
          <cell r="J37">
            <v>21.72</v>
          </cell>
          <cell r="K37">
            <v>21.72</v>
          </cell>
          <cell r="L37">
            <v>0</v>
          </cell>
          <cell r="M37">
            <v>0</v>
          </cell>
        </row>
        <row r="38">
          <cell r="A38">
            <v>1021.5</v>
          </cell>
          <cell r="B38">
            <v>94.57</v>
          </cell>
          <cell r="C38">
            <v>169.97</v>
          </cell>
          <cell r="D38">
            <v>937.6</v>
          </cell>
          <cell r="E38">
            <v>20</v>
          </cell>
          <cell r="F38">
            <v>-113.2</v>
          </cell>
          <cell r="G38">
            <v>-113.2</v>
          </cell>
          <cell r="H38">
            <v>115</v>
          </cell>
          <cell r="I38">
            <v>169.97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>
            <v>1051.5</v>
          </cell>
          <cell r="B39">
            <v>94.57</v>
          </cell>
          <cell r="C39">
            <v>169.97</v>
          </cell>
          <cell r="D39">
            <v>935.2</v>
          </cell>
          <cell r="E39">
            <v>25.2</v>
          </cell>
          <cell r="F39">
            <v>-142.69999999999999</v>
          </cell>
          <cell r="G39">
            <v>-142.69999999999999</v>
          </cell>
          <cell r="H39">
            <v>144.9</v>
          </cell>
          <cell r="I39">
            <v>169.97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>
            <v>1081.5</v>
          </cell>
          <cell r="B40">
            <v>94.57</v>
          </cell>
          <cell r="C40">
            <v>169.97</v>
          </cell>
          <cell r="D40">
            <v>932.8</v>
          </cell>
          <cell r="E40">
            <v>30.4</v>
          </cell>
          <cell r="F40">
            <v>-172.1</v>
          </cell>
          <cell r="G40">
            <v>-172.1</v>
          </cell>
          <cell r="H40">
            <v>174.8</v>
          </cell>
          <cell r="I40">
            <v>169.97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>
            <v>1111.5</v>
          </cell>
          <cell r="B41">
            <v>94.57</v>
          </cell>
          <cell r="C41">
            <v>169.97</v>
          </cell>
          <cell r="D41">
            <v>930.4</v>
          </cell>
          <cell r="E41">
            <v>35.6</v>
          </cell>
          <cell r="F41">
            <v>-201.5</v>
          </cell>
          <cell r="G41">
            <v>-201.5</v>
          </cell>
          <cell r="H41">
            <v>204.7</v>
          </cell>
          <cell r="I41">
            <v>169.97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>
            <v>1141.5</v>
          </cell>
          <cell r="B42">
            <v>94.57</v>
          </cell>
          <cell r="C42">
            <v>169.97</v>
          </cell>
          <cell r="D42">
            <v>928</v>
          </cell>
          <cell r="E42">
            <v>40.9</v>
          </cell>
          <cell r="F42">
            <v>-231</v>
          </cell>
          <cell r="G42">
            <v>-231</v>
          </cell>
          <cell r="H42">
            <v>234.6</v>
          </cell>
          <cell r="I42">
            <v>169.97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>
            <v>1171.5</v>
          </cell>
          <cell r="B43">
            <v>94.57</v>
          </cell>
          <cell r="C43">
            <v>169.97</v>
          </cell>
          <cell r="D43">
            <v>925.6</v>
          </cell>
          <cell r="E43">
            <v>46.1</v>
          </cell>
          <cell r="F43">
            <v>-260.39999999999998</v>
          </cell>
          <cell r="G43">
            <v>-260.39999999999998</v>
          </cell>
          <cell r="H43">
            <v>264.5</v>
          </cell>
          <cell r="I43">
            <v>169.97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>
            <v>1201.5</v>
          </cell>
          <cell r="B44">
            <v>94.57</v>
          </cell>
          <cell r="C44">
            <v>169.97</v>
          </cell>
          <cell r="D44">
            <v>923.2</v>
          </cell>
          <cell r="E44">
            <v>51.3</v>
          </cell>
          <cell r="F44">
            <v>-289.89999999999998</v>
          </cell>
          <cell r="G44">
            <v>-289.89999999999998</v>
          </cell>
          <cell r="H44">
            <v>294.39999999999998</v>
          </cell>
          <cell r="I44">
            <v>169.97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>
            <v>1231.5</v>
          </cell>
          <cell r="B45">
            <v>94.57</v>
          </cell>
          <cell r="C45">
            <v>169.97</v>
          </cell>
          <cell r="D45">
            <v>920.9</v>
          </cell>
          <cell r="E45">
            <v>56.5</v>
          </cell>
          <cell r="F45">
            <v>-319.3</v>
          </cell>
          <cell r="G45">
            <v>-319.3</v>
          </cell>
          <cell r="H45">
            <v>324.3</v>
          </cell>
          <cell r="I45">
            <v>169.97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>
            <v>1261.5</v>
          </cell>
          <cell r="B46">
            <v>94.57</v>
          </cell>
          <cell r="C46">
            <v>169.97</v>
          </cell>
          <cell r="D46">
            <v>918.5</v>
          </cell>
          <cell r="E46">
            <v>61.7</v>
          </cell>
          <cell r="F46">
            <v>-348.8</v>
          </cell>
          <cell r="G46">
            <v>-348.8</v>
          </cell>
          <cell r="H46">
            <v>354.2</v>
          </cell>
          <cell r="I46">
            <v>169.97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>
            <v>1291.5</v>
          </cell>
          <cell r="B47">
            <v>94.57</v>
          </cell>
          <cell r="C47">
            <v>169.97</v>
          </cell>
          <cell r="D47">
            <v>916.1</v>
          </cell>
          <cell r="E47">
            <v>66.900000000000006</v>
          </cell>
          <cell r="F47">
            <v>-378.2</v>
          </cell>
          <cell r="G47">
            <v>-378.2</v>
          </cell>
          <cell r="H47">
            <v>384.1</v>
          </cell>
          <cell r="I47">
            <v>169.97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>
            <v>1321.5</v>
          </cell>
          <cell r="B48">
            <v>94.57</v>
          </cell>
          <cell r="C48">
            <v>169.97</v>
          </cell>
          <cell r="D48">
            <v>913.7</v>
          </cell>
          <cell r="E48">
            <v>72.099999999999994</v>
          </cell>
          <cell r="F48">
            <v>-407.7</v>
          </cell>
          <cell r="G48">
            <v>-407.7</v>
          </cell>
          <cell r="H48">
            <v>414</v>
          </cell>
          <cell r="I48">
            <v>169.97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1351.5</v>
          </cell>
          <cell r="B49">
            <v>94.57</v>
          </cell>
          <cell r="C49">
            <v>169.97</v>
          </cell>
          <cell r="D49">
            <v>911.3</v>
          </cell>
          <cell r="E49">
            <v>77.3</v>
          </cell>
          <cell r="F49">
            <v>-437.1</v>
          </cell>
          <cell r="G49">
            <v>-437.1</v>
          </cell>
          <cell r="H49">
            <v>443.9</v>
          </cell>
          <cell r="I49">
            <v>169.97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>
            <v>1381.5</v>
          </cell>
          <cell r="B50">
            <v>94.57</v>
          </cell>
          <cell r="C50">
            <v>169.97</v>
          </cell>
          <cell r="D50">
            <v>908.9</v>
          </cell>
          <cell r="E50">
            <v>82.5</v>
          </cell>
          <cell r="F50">
            <v>-466.6</v>
          </cell>
          <cell r="G50">
            <v>-466.6</v>
          </cell>
          <cell r="H50">
            <v>473.8</v>
          </cell>
          <cell r="I50">
            <v>169.97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DIDO  "/>
      <sheetName val="PUNZADOS"/>
      <sheetName val="ESQUEMA"/>
      <sheetName val="DATOS"/>
      <sheetName val="POZO"/>
      <sheetName val="HERRAMIENTAS"/>
      <sheetName val="RESUMEN DE HORAS"/>
      <sheetName val="FRACTURA"/>
      <sheetName val="TIEMCEM"/>
      <sheetName val="INSTFINAL"/>
      <sheetName val="CALIBRA"/>
      <sheetName val="PUNZA"/>
      <sheetName val="Hoja11"/>
      <sheetName val="Rotacion"/>
      <sheetName val="Llancanelo"/>
      <sheetName val="4_Avance_Tiempo&amp;Costos"/>
      <sheetName val="PVT-Out"/>
      <sheetName val="Pb-Pact-Bo-Sor-M-Ev-iw"/>
      <sheetName val="ENSAYOS + PRORR"/>
      <sheetName val="VISC"/>
      <sheetName val="TD FRp"/>
      <sheetName val="TEMP"/>
      <sheetName val="INVERSION"/>
      <sheetName val="PERM"/>
      <sheetName val="PRIM q-Np"/>
      <sheetName val="PRIM fin"/>
      <sheetName val="VOL.PATTERNS"/>
      <sheetName val="SEC q-Np"/>
      <sheetName val="P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HOJA CALC."/>
      <sheetName val="Plantero (2)"/>
      <sheetName val="CARATULA "/>
      <sheetName val="Listas"/>
      <sheetName val="prog PC1095"/>
      <sheetName val="Perfil Pozo Entubado"/>
      <sheetName val="auxuliar"/>
      <sheetName val="P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 fluvial"/>
      <sheetName val="Pax fluvial 1"/>
      <sheetName val="Pax fluvial 2"/>
      <sheetName val="Pax fluvial 3"/>
      <sheetName val="Rep diario"/>
      <sheetName val="Bell 427"/>
      <sheetName val="Sikorsky "/>
      <sheetName val="Pax Bell"/>
      <sheetName val="POB"/>
      <sheetName val="Programación"/>
      <sheetName val="personal 11 al 20 sep"/>
      <sheetName val="11-99"/>
      <sheetName val="POZO"/>
      <sheetName val="Tabla1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A9" t="str">
            <v>REPORTE DE PERSONAL EN LOCACION</v>
          </cell>
        </row>
        <row r="10">
          <cell r="A10" t="str">
            <v>TIPUTINI</v>
          </cell>
        </row>
        <row r="12">
          <cell r="G12" t="str">
            <v xml:space="preserve">FECHA:  </v>
          </cell>
          <cell r="H12">
            <v>37516</v>
          </cell>
        </row>
        <row r="16">
          <cell r="A16" t="str">
            <v>Dormitorio B</v>
          </cell>
          <cell r="D16" t="str">
            <v>Nombre</v>
          </cell>
          <cell r="E16" t="str">
            <v>Compañía</v>
          </cell>
          <cell r="F16" t="str">
            <v>Dormitorio A</v>
          </cell>
          <cell r="J16" t="str">
            <v>Nombre</v>
          </cell>
          <cell r="K16" t="str">
            <v>Compañia</v>
          </cell>
        </row>
        <row r="17">
          <cell r="A17" t="str">
            <v>Cuarto</v>
          </cell>
          <cell r="B17" t="str">
            <v>1-A</v>
          </cell>
          <cell r="C17">
            <v>1</v>
          </cell>
          <cell r="D17" t="str">
            <v>Gregorio Cruz</v>
          </cell>
          <cell r="E17" t="str">
            <v>AMSA</v>
          </cell>
          <cell r="G17" t="str">
            <v>Cuarto</v>
          </cell>
          <cell r="H17" t="str">
            <v>1-A</v>
          </cell>
          <cell r="I17">
            <v>1</v>
          </cell>
          <cell r="J17" t="str">
            <v>Santiago Endara</v>
          </cell>
          <cell r="K17" t="str">
            <v>PECON</v>
          </cell>
        </row>
        <row r="18">
          <cell r="A18">
            <v>1</v>
          </cell>
          <cell r="B18" t="str">
            <v>1-B</v>
          </cell>
          <cell r="C18">
            <v>1</v>
          </cell>
          <cell r="D18" t="str">
            <v>Lelis Vera</v>
          </cell>
          <cell r="E18" t="str">
            <v>AMSACAMP</v>
          </cell>
          <cell r="G18">
            <v>1</v>
          </cell>
          <cell r="H18" t="str">
            <v>1-B</v>
          </cell>
          <cell r="I18">
            <v>1</v>
          </cell>
          <cell r="J18" t="str">
            <v>Hugo Cobos</v>
          </cell>
          <cell r="K18" t="str">
            <v>PECOM</v>
          </cell>
        </row>
        <row r="19">
          <cell r="B19" t="str">
            <v>1-C</v>
          </cell>
          <cell r="C19">
            <v>1</v>
          </cell>
          <cell r="D19" t="str">
            <v>Juan Quinatoa</v>
          </cell>
          <cell r="E19" t="str">
            <v>AMSA/EQUIG.</v>
          </cell>
          <cell r="G19">
            <v>2</v>
          </cell>
          <cell r="H19" t="str">
            <v>2-A</v>
          </cell>
          <cell r="I19">
            <v>1</v>
          </cell>
          <cell r="J19" t="str">
            <v>Milton Salguero</v>
          </cell>
          <cell r="K19" t="str">
            <v>AMSA</v>
          </cell>
        </row>
        <row r="20">
          <cell r="B20" t="str">
            <v>1-D</v>
          </cell>
          <cell r="C20">
            <v>1</v>
          </cell>
          <cell r="D20" t="str">
            <v>Luis Montaluisa</v>
          </cell>
          <cell r="E20" t="str">
            <v>AMSA/EQUIG.</v>
          </cell>
          <cell r="H20" t="str">
            <v>2-B</v>
          </cell>
          <cell r="I20">
            <v>1</v>
          </cell>
          <cell r="J20" t="str">
            <v>Flavio Toscano</v>
          </cell>
          <cell r="K20" t="str">
            <v>AMSA</v>
          </cell>
        </row>
        <row r="21">
          <cell r="B21" t="str">
            <v>1-E</v>
          </cell>
          <cell r="C21">
            <v>1</v>
          </cell>
          <cell r="D21" t="str">
            <v>Pablo Herrera</v>
          </cell>
          <cell r="E21" t="str">
            <v>AMSA/EQUIG.</v>
          </cell>
          <cell r="G21">
            <v>3</v>
          </cell>
          <cell r="H21" t="str">
            <v>3-A</v>
          </cell>
          <cell r="I21">
            <v>1</v>
          </cell>
          <cell r="J21" t="str">
            <v>Fredy Rivera</v>
          </cell>
          <cell r="K21" t="str">
            <v>DAIMI</v>
          </cell>
        </row>
        <row r="22">
          <cell r="B22" t="str">
            <v>1-F</v>
          </cell>
          <cell r="C22">
            <v>1</v>
          </cell>
          <cell r="D22" t="str">
            <v>EduardoAreaga</v>
          </cell>
          <cell r="E22" t="str">
            <v>JARASEG</v>
          </cell>
          <cell r="H22" t="str">
            <v>3-B</v>
          </cell>
        </row>
        <row r="23">
          <cell r="B23" t="str">
            <v>1-G</v>
          </cell>
          <cell r="C23">
            <v>1</v>
          </cell>
          <cell r="D23" t="str">
            <v>John Espín</v>
          </cell>
          <cell r="E23" t="str">
            <v>JARASEG</v>
          </cell>
          <cell r="H23" t="str">
            <v>3-C</v>
          </cell>
          <cell r="I23">
            <v>1</v>
          </cell>
          <cell r="J23" t="str">
            <v>Hernan Ulloa</v>
          </cell>
          <cell r="K23" t="str">
            <v>PECOM</v>
          </cell>
        </row>
        <row r="24">
          <cell r="B24" t="str">
            <v>1-H</v>
          </cell>
          <cell r="C24">
            <v>1</v>
          </cell>
          <cell r="D24" t="str">
            <v>Carlos Cacuango</v>
          </cell>
          <cell r="E24" t="str">
            <v>JARASEG</v>
          </cell>
          <cell r="H24" t="str">
            <v>3-D</v>
          </cell>
        </row>
        <row r="25">
          <cell r="B25" t="str">
            <v>1-I</v>
          </cell>
          <cell r="C25">
            <v>1</v>
          </cell>
          <cell r="D25" t="str">
            <v>Jorge Cedillo</v>
          </cell>
          <cell r="E25" t="str">
            <v>JARASEG</v>
          </cell>
          <cell r="G25">
            <v>4</v>
          </cell>
          <cell r="H25" t="str">
            <v>4-A</v>
          </cell>
        </row>
        <row r="26">
          <cell r="B26" t="str">
            <v>1-J</v>
          </cell>
          <cell r="C26">
            <v>1</v>
          </cell>
          <cell r="D26" t="str">
            <v>Eduardo Alvear</v>
          </cell>
          <cell r="E26" t="str">
            <v>JARASEG</v>
          </cell>
          <cell r="H26" t="str">
            <v>4-B</v>
          </cell>
          <cell r="I26">
            <v>1</v>
          </cell>
          <cell r="J26" t="str">
            <v>Fernando Moncayo</v>
          </cell>
          <cell r="K26" t="str">
            <v>AMSA</v>
          </cell>
        </row>
        <row r="27">
          <cell r="A27">
            <v>2</v>
          </cell>
          <cell r="B27" t="str">
            <v>2-A</v>
          </cell>
          <cell r="C27">
            <v>1</v>
          </cell>
          <cell r="D27" t="str">
            <v>Jorge Pilabunga</v>
          </cell>
          <cell r="E27" t="str">
            <v>AZUL</v>
          </cell>
          <cell r="H27" t="str">
            <v>4-C</v>
          </cell>
          <cell r="I27">
            <v>1</v>
          </cell>
          <cell r="J27" t="str">
            <v>Carlos Lopez</v>
          </cell>
          <cell r="K27" t="str">
            <v>AMSA</v>
          </cell>
        </row>
        <row r="28">
          <cell r="B28" t="str">
            <v>2-B</v>
          </cell>
          <cell r="C28">
            <v>1</v>
          </cell>
          <cell r="D28" t="str">
            <v>Jjonny Abarca</v>
          </cell>
          <cell r="E28" t="str">
            <v>AMSACANOA</v>
          </cell>
          <cell r="H28" t="str">
            <v>4-D</v>
          </cell>
          <cell r="I28">
            <v>1</v>
          </cell>
          <cell r="J28" t="str">
            <v>Jaime Guerra</v>
          </cell>
          <cell r="K28" t="str">
            <v>AMSA</v>
          </cell>
        </row>
        <row r="29">
          <cell r="B29" t="str">
            <v>2-C</v>
          </cell>
          <cell r="C29">
            <v>1</v>
          </cell>
          <cell r="D29" t="str">
            <v>Juan Loor</v>
          </cell>
          <cell r="E29" t="str">
            <v>AMSACANOA</v>
          </cell>
          <cell r="G29">
            <v>5</v>
          </cell>
          <cell r="H29" t="str">
            <v>5-A</v>
          </cell>
          <cell r="I29">
            <v>1</v>
          </cell>
          <cell r="J29" t="str">
            <v>Galo Torres</v>
          </cell>
          <cell r="K29" t="str">
            <v>SEOSELVA</v>
          </cell>
        </row>
        <row r="30">
          <cell r="B30" t="str">
            <v>2-D</v>
          </cell>
          <cell r="C30">
            <v>1</v>
          </cell>
          <cell r="D30" t="str">
            <v>Franklin Chuccho</v>
          </cell>
          <cell r="E30" t="str">
            <v>AZUL</v>
          </cell>
          <cell r="H30" t="str">
            <v>5-B</v>
          </cell>
        </row>
        <row r="31">
          <cell r="B31" t="str">
            <v>2-E</v>
          </cell>
          <cell r="C31">
            <v>1</v>
          </cell>
          <cell r="D31" t="str">
            <v>Alfonso Yanez</v>
          </cell>
          <cell r="E31" t="str">
            <v>AZUL</v>
          </cell>
          <cell r="H31" t="str">
            <v>5-C</v>
          </cell>
          <cell r="I31">
            <v>1</v>
          </cell>
          <cell r="J31" t="str">
            <v>Edgar Pavon</v>
          </cell>
          <cell r="K31" t="str">
            <v>JARASEG</v>
          </cell>
        </row>
        <row r="32">
          <cell r="B32" t="str">
            <v>2-F</v>
          </cell>
          <cell r="C32">
            <v>1</v>
          </cell>
          <cell r="D32" t="str">
            <v>Segundo YANEZ</v>
          </cell>
          <cell r="E32" t="str">
            <v>AZUL</v>
          </cell>
          <cell r="H32" t="str">
            <v>5-D</v>
          </cell>
        </row>
        <row r="33">
          <cell r="B33" t="str">
            <v>2-G</v>
          </cell>
          <cell r="C33">
            <v>1</v>
          </cell>
          <cell r="D33" t="str">
            <v>Jose Caicedo</v>
          </cell>
          <cell r="E33" t="str">
            <v>AZUL</v>
          </cell>
          <cell r="G33">
            <v>6</v>
          </cell>
          <cell r="H33" t="str">
            <v>6-A</v>
          </cell>
          <cell r="I33">
            <v>1</v>
          </cell>
          <cell r="J33" t="str">
            <v>Reinaldo Ruilova</v>
          </cell>
          <cell r="K33" t="str">
            <v>AMSA PILOT</v>
          </cell>
        </row>
        <row r="34">
          <cell r="B34" t="str">
            <v>2-H</v>
          </cell>
          <cell r="C34">
            <v>1</v>
          </cell>
          <cell r="D34" t="str">
            <v>Felix Saca</v>
          </cell>
          <cell r="E34" t="str">
            <v>AZUL</v>
          </cell>
          <cell r="H34" t="str">
            <v>6-B</v>
          </cell>
          <cell r="I34">
            <v>1</v>
          </cell>
          <cell r="J34" t="str">
            <v>Nike Skroch</v>
          </cell>
          <cell r="K34" t="str">
            <v>AMSA PILOT</v>
          </cell>
        </row>
        <row r="35">
          <cell r="B35" t="str">
            <v>2-I</v>
          </cell>
          <cell r="C35">
            <v>1</v>
          </cell>
          <cell r="D35" t="str">
            <v>Julio Chamarro</v>
          </cell>
          <cell r="E35" t="str">
            <v>AZUL</v>
          </cell>
          <cell r="H35" t="str">
            <v>6-C</v>
          </cell>
        </row>
        <row r="36">
          <cell r="B36" t="str">
            <v>2-J</v>
          </cell>
          <cell r="C36">
            <v>1</v>
          </cell>
          <cell r="D36" t="str">
            <v>Enrique Lema</v>
          </cell>
          <cell r="E36" t="str">
            <v>AZUL</v>
          </cell>
          <cell r="H36" t="str">
            <v>6-D</v>
          </cell>
        </row>
        <row r="37">
          <cell r="B37" t="str">
            <v>2-K</v>
          </cell>
          <cell r="G37">
            <v>7</v>
          </cell>
          <cell r="H37" t="str">
            <v>7-A</v>
          </cell>
          <cell r="I37">
            <v>1</v>
          </cell>
          <cell r="J37" t="str">
            <v>Peter Guest</v>
          </cell>
          <cell r="K37" t="str">
            <v xml:space="preserve">AMSA </v>
          </cell>
        </row>
        <row r="38">
          <cell r="B38" t="str">
            <v>2-L</v>
          </cell>
          <cell r="H38" t="str">
            <v>7-B</v>
          </cell>
        </row>
        <row r="39">
          <cell r="A39">
            <v>3</v>
          </cell>
          <cell r="B39" t="str">
            <v>3-A</v>
          </cell>
          <cell r="C39">
            <v>1</v>
          </cell>
          <cell r="D39" t="str">
            <v>Edgar Villarroel</v>
          </cell>
          <cell r="E39" t="str">
            <v>AMSA</v>
          </cell>
          <cell r="H39" t="str">
            <v>7-C</v>
          </cell>
          <cell r="I39">
            <v>1</v>
          </cell>
          <cell r="J39" t="str">
            <v>Daril Olson</v>
          </cell>
          <cell r="K39" t="str">
            <v>AMSA PILOT</v>
          </cell>
        </row>
        <row r="40">
          <cell r="B40" t="str">
            <v>3-B</v>
          </cell>
          <cell r="C40">
            <v>1</v>
          </cell>
          <cell r="D40" t="str">
            <v>Mauro Zambrano</v>
          </cell>
          <cell r="E40" t="str">
            <v>AMSA</v>
          </cell>
          <cell r="H40" t="str">
            <v>7-D</v>
          </cell>
          <cell r="I40">
            <v>1</v>
          </cell>
          <cell r="J40" t="str">
            <v>Bill Gray</v>
          </cell>
          <cell r="K40" t="str">
            <v>AMSA PILOT</v>
          </cell>
        </row>
        <row r="41">
          <cell r="B41" t="str">
            <v>3-C</v>
          </cell>
          <cell r="C41">
            <v>1</v>
          </cell>
          <cell r="D41" t="str">
            <v>Wilson Solorzano</v>
          </cell>
          <cell r="E41" t="str">
            <v>AMSA</v>
          </cell>
          <cell r="G41">
            <v>8</v>
          </cell>
          <cell r="H41" t="str">
            <v>8-A</v>
          </cell>
          <cell r="I41">
            <v>1</v>
          </cell>
          <cell r="J41" t="str">
            <v>Andrey Cornejo</v>
          </cell>
          <cell r="K41" t="str">
            <v>AMSA</v>
          </cell>
        </row>
        <row r="42">
          <cell r="B42" t="str">
            <v>3-D</v>
          </cell>
          <cell r="C42">
            <v>1</v>
          </cell>
          <cell r="D42" t="str">
            <v>Ricardo Stopper</v>
          </cell>
          <cell r="E42" t="str">
            <v>AMSA</v>
          </cell>
          <cell r="H42" t="str">
            <v>8-B</v>
          </cell>
          <cell r="I42">
            <v>1</v>
          </cell>
          <cell r="J42" t="str">
            <v>Julio Herrera</v>
          </cell>
          <cell r="K42" t="str">
            <v>AMSA</v>
          </cell>
        </row>
        <row r="43">
          <cell r="B43" t="str">
            <v>3-E</v>
          </cell>
          <cell r="C43">
            <v>1</v>
          </cell>
          <cell r="D43" t="str">
            <v>Nelson Flores</v>
          </cell>
          <cell r="E43" t="str">
            <v>AMSA</v>
          </cell>
          <cell r="H43" t="str">
            <v>8-C</v>
          </cell>
        </row>
        <row r="44">
          <cell r="B44" t="str">
            <v>3-F</v>
          </cell>
          <cell r="C44">
            <v>1</v>
          </cell>
          <cell r="D44" t="str">
            <v>Luis Mantilla</v>
          </cell>
          <cell r="E44" t="str">
            <v>AMSA</v>
          </cell>
          <cell r="H44" t="str">
            <v>8-D</v>
          </cell>
        </row>
        <row r="45">
          <cell r="B45" t="str">
            <v>3-G</v>
          </cell>
          <cell r="C45">
            <v>1</v>
          </cell>
          <cell r="D45" t="str">
            <v>Marco Coloma</v>
          </cell>
          <cell r="E45" t="str">
            <v>AMSA</v>
          </cell>
          <cell r="G45">
            <v>9</v>
          </cell>
          <cell r="H45" t="str">
            <v>9-A</v>
          </cell>
          <cell r="I45">
            <v>1</v>
          </cell>
          <cell r="J45" t="str">
            <v>Pablo Espinoza</v>
          </cell>
          <cell r="K45" t="str">
            <v>AZUL</v>
          </cell>
        </row>
        <row r="46">
          <cell r="B46" t="str">
            <v>3-H</v>
          </cell>
          <cell r="C46">
            <v>1</v>
          </cell>
          <cell r="D46" t="str">
            <v>Cesar Paez</v>
          </cell>
          <cell r="E46" t="str">
            <v>AMSA</v>
          </cell>
          <cell r="H46" t="str">
            <v>9-B</v>
          </cell>
          <cell r="I46">
            <v>1</v>
          </cell>
          <cell r="J46" t="str">
            <v>Miguel Orozco</v>
          </cell>
          <cell r="K46" t="str">
            <v>PECON</v>
          </cell>
        </row>
        <row r="47">
          <cell r="B47" t="str">
            <v>3-I</v>
          </cell>
          <cell r="H47" t="str">
            <v>9-C</v>
          </cell>
          <cell r="I47">
            <v>1</v>
          </cell>
          <cell r="J47" t="str">
            <v>Patricio Eras</v>
          </cell>
          <cell r="K47" t="str">
            <v>PECON</v>
          </cell>
        </row>
        <row r="48">
          <cell r="B48" t="str">
            <v>3-J</v>
          </cell>
          <cell r="H48" t="str">
            <v>9-D</v>
          </cell>
        </row>
        <row r="49">
          <cell r="A49">
            <v>4</v>
          </cell>
          <cell r="B49" t="str">
            <v>4-A</v>
          </cell>
          <cell r="C49">
            <v>1</v>
          </cell>
          <cell r="D49" t="str">
            <v>Teddy Mero</v>
          </cell>
          <cell r="E49" t="str">
            <v>AMSA</v>
          </cell>
          <cell r="G49">
            <v>10</v>
          </cell>
          <cell r="I49">
            <v>1</v>
          </cell>
          <cell r="J49" t="str">
            <v>Omayra Hurtado</v>
          </cell>
          <cell r="K49" t="str">
            <v>DAIMI</v>
          </cell>
        </row>
        <row r="50">
          <cell r="B50" t="str">
            <v>4-B</v>
          </cell>
          <cell r="C50">
            <v>1</v>
          </cell>
          <cell r="D50" t="str">
            <v>Eduardo Alulema</v>
          </cell>
          <cell r="E50" t="str">
            <v>AMSA</v>
          </cell>
        </row>
        <row r="51">
          <cell r="B51" t="str">
            <v>4-C</v>
          </cell>
          <cell r="C51">
            <v>1</v>
          </cell>
          <cell r="D51" t="str">
            <v>Eduardo Tapia</v>
          </cell>
          <cell r="E51" t="str">
            <v>AMSA</v>
          </cell>
          <cell r="G51" t="str">
            <v>Total</v>
          </cell>
          <cell r="I51">
            <v>22</v>
          </cell>
        </row>
        <row r="52">
          <cell r="B52" t="str">
            <v>4-D</v>
          </cell>
          <cell r="C52">
            <v>1</v>
          </cell>
          <cell r="D52" t="str">
            <v>Roman Reyes</v>
          </cell>
          <cell r="E52" t="str">
            <v>AMSA</v>
          </cell>
        </row>
        <row r="53">
          <cell r="B53" t="str">
            <v>4-E</v>
          </cell>
          <cell r="C53">
            <v>1</v>
          </cell>
          <cell r="D53" t="str">
            <v>Guillermo Valencia</v>
          </cell>
          <cell r="E53" t="str">
            <v>AMSA</v>
          </cell>
          <cell r="G53" t="str">
            <v>Total Campamento A+B</v>
          </cell>
          <cell r="J53">
            <v>92</v>
          </cell>
        </row>
        <row r="54">
          <cell r="B54" t="str">
            <v>4-F</v>
          </cell>
          <cell r="C54">
            <v>1</v>
          </cell>
          <cell r="D54" t="str">
            <v>Gregorio Cruz</v>
          </cell>
          <cell r="E54" t="str">
            <v>AMSA</v>
          </cell>
        </row>
        <row r="55">
          <cell r="B55" t="str">
            <v>4-G</v>
          </cell>
        </row>
        <row r="56">
          <cell r="B56" t="str">
            <v>4-H</v>
          </cell>
        </row>
        <row r="57">
          <cell r="B57" t="str">
            <v>4-I</v>
          </cell>
          <cell r="G57" t="str">
            <v>Resumen de Personal en base</v>
          </cell>
        </row>
        <row r="58">
          <cell r="B58" t="str">
            <v>4-J</v>
          </cell>
          <cell r="J58" t="str">
            <v>Total  por compañia</v>
          </cell>
        </row>
        <row r="59">
          <cell r="A59">
            <v>5</v>
          </cell>
          <cell r="B59" t="str">
            <v>5-A</v>
          </cell>
          <cell r="J59" t="str">
            <v>PECOM</v>
          </cell>
          <cell r="K59">
            <v>5</v>
          </cell>
        </row>
        <row r="60">
          <cell r="B60" t="str">
            <v>5-B</v>
          </cell>
          <cell r="J60" t="str">
            <v>AMSA</v>
          </cell>
          <cell r="K60">
            <v>23</v>
          </cell>
        </row>
        <row r="61">
          <cell r="B61" t="str">
            <v>5-C</v>
          </cell>
          <cell r="C61">
            <v>1</v>
          </cell>
          <cell r="D61" t="str">
            <v>Rafael Simba</v>
          </cell>
          <cell r="E61" t="str">
            <v>SEOSELVA</v>
          </cell>
          <cell r="J61" t="str">
            <v>AMSA/CAMP.</v>
          </cell>
          <cell r="K61">
            <v>1</v>
          </cell>
        </row>
        <row r="62">
          <cell r="B62" t="str">
            <v>5-D</v>
          </cell>
          <cell r="C62">
            <v>1</v>
          </cell>
          <cell r="D62" t="str">
            <v>Augusto Chango</v>
          </cell>
          <cell r="E62" t="str">
            <v>SEOSELVA</v>
          </cell>
          <cell r="J62" t="str">
            <v>AMSA/EQUIG.</v>
          </cell>
          <cell r="K62">
            <v>3</v>
          </cell>
        </row>
        <row r="63">
          <cell r="B63" t="str">
            <v>5-E</v>
          </cell>
          <cell r="C63">
            <v>1</v>
          </cell>
          <cell r="D63" t="str">
            <v>Pablo Oña</v>
          </cell>
          <cell r="E63" t="str">
            <v>SEOSELVA</v>
          </cell>
          <cell r="J63" t="str">
            <v>SEOSELVA</v>
          </cell>
          <cell r="K63">
            <v>15</v>
          </cell>
        </row>
        <row r="64">
          <cell r="B64" t="str">
            <v>5-F</v>
          </cell>
          <cell r="C64">
            <v>1</v>
          </cell>
          <cell r="D64" t="str">
            <v>Luis Real</v>
          </cell>
          <cell r="E64" t="str">
            <v>SEOSELVA</v>
          </cell>
          <cell r="J64" t="str">
            <v>JARASEG</v>
          </cell>
          <cell r="K64">
            <v>18</v>
          </cell>
        </row>
        <row r="65">
          <cell r="B65" t="str">
            <v>5-G</v>
          </cell>
          <cell r="C65">
            <v>1</v>
          </cell>
          <cell r="D65" t="str">
            <v>Justo Flores</v>
          </cell>
          <cell r="E65" t="str">
            <v>SEOSELVA</v>
          </cell>
          <cell r="J65" t="str">
            <v>MILITARES</v>
          </cell>
          <cell r="K65">
            <v>10</v>
          </cell>
        </row>
        <row r="66">
          <cell r="B66" t="str">
            <v>5-H</v>
          </cell>
          <cell r="J66" t="str">
            <v>AZUL</v>
          </cell>
          <cell r="K66">
            <v>9</v>
          </cell>
        </row>
        <row r="67">
          <cell r="B67" t="str">
            <v>5-I</v>
          </cell>
          <cell r="C67">
            <v>1</v>
          </cell>
          <cell r="D67" t="str">
            <v>Antonio Quishpe</v>
          </cell>
          <cell r="E67" t="str">
            <v>SEOSELVA</v>
          </cell>
          <cell r="J67" t="str">
            <v>AMSA/CANOA</v>
          </cell>
          <cell r="K67">
            <v>2</v>
          </cell>
        </row>
        <row r="68">
          <cell r="A68">
            <v>6</v>
          </cell>
          <cell r="B68" t="str">
            <v>6-A</v>
          </cell>
          <cell r="J68" t="str">
            <v>DAIMI</v>
          </cell>
          <cell r="K68">
            <v>2</v>
          </cell>
        </row>
        <row r="69">
          <cell r="B69" t="str">
            <v>6-B</v>
          </cell>
          <cell r="J69" t="str">
            <v>AMSA PILOT</v>
          </cell>
          <cell r="K69">
            <v>4</v>
          </cell>
        </row>
        <row r="70">
          <cell r="B70" t="str">
            <v>6-C</v>
          </cell>
          <cell r="C70">
            <v>1</v>
          </cell>
          <cell r="D70" t="str">
            <v>Ivan Medina</v>
          </cell>
          <cell r="E70" t="str">
            <v>SEOSELVA</v>
          </cell>
        </row>
        <row r="71">
          <cell r="B71" t="str">
            <v>6-D</v>
          </cell>
          <cell r="C71">
            <v>1</v>
          </cell>
          <cell r="D71" t="str">
            <v>Edwin Quispe</v>
          </cell>
          <cell r="E71" t="str">
            <v>SEOSELVA</v>
          </cell>
        </row>
        <row r="72">
          <cell r="B72" t="str">
            <v>6-E</v>
          </cell>
          <cell r="C72">
            <v>1</v>
          </cell>
          <cell r="D72" t="str">
            <v>Cristobal Tito</v>
          </cell>
          <cell r="E72" t="str">
            <v>SEOSELVA</v>
          </cell>
          <cell r="J72" t="str">
            <v>TOTAL</v>
          </cell>
          <cell r="K72">
            <v>92</v>
          </cell>
        </row>
        <row r="73">
          <cell r="B73" t="str">
            <v>6-F</v>
          </cell>
          <cell r="C73">
            <v>1</v>
          </cell>
          <cell r="D73" t="str">
            <v>Jorge Tallana</v>
          </cell>
          <cell r="E73" t="str">
            <v>SEOSELVA</v>
          </cell>
        </row>
        <row r="74">
          <cell r="B74" t="str">
            <v>6-G</v>
          </cell>
          <cell r="C74">
            <v>1</v>
          </cell>
          <cell r="D74" t="str">
            <v>Estenab Guaman</v>
          </cell>
          <cell r="E74" t="str">
            <v>SEOSELVA</v>
          </cell>
          <cell r="J74" t="str">
            <v>Total camas</v>
          </cell>
          <cell r="K74">
            <v>114</v>
          </cell>
        </row>
        <row r="75">
          <cell r="B75" t="str">
            <v>6-H</v>
          </cell>
          <cell r="C75">
            <v>1</v>
          </cell>
          <cell r="D75" t="str">
            <v>Raimundo Tipán</v>
          </cell>
          <cell r="E75" t="str">
            <v>SEOSELVA</v>
          </cell>
          <cell r="J75" t="str">
            <v>Camas  ocupadas</v>
          </cell>
          <cell r="K75">
            <v>92</v>
          </cell>
        </row>
        <row r="76">
          <cell r="B76" t="str">
            <v>6-I</v>
          </cell>
          <cell r="C76">
            <v>1</v>
          </cell>
          <cell r="D76" t="str">
            <v>Ramón Quispe</v>
          </cell>
          <cell r="E76" t="str">
            <v>SEOSELVA</v>
          </cell>
          <cell r="G76" t="str">
            <v>Catering :</v>
          </cell>
          <cell r="J76" t="str">
            <v>Camas  Libres</v>
          </cell>
          <cell r="K76">
            <v>22</v>
          </cell>
        </row>
        <row r="77">
          <cell r="B77" t="str">
            <v>6-J</v>
          </cell>
          <cell r="C77">
            <v>1</v>
          </cell>
          <cell r="D77" t="str">
            <v>Vicente Loachamín</v>
          </cell>
          <cell r="E77" t="str">
            <v>SEOSELVA</v>
          </cell>
        </row>
        <row r="78">
          <cell r="A78">
            <v>7</v>
          </cell>
          <cell r="B78" t="str">
            <v>7-A</v>
          </cell>
          <cell r="C78">
            <v>1</v>
          </cell>
          <cell r="D78" t="str">
            <v>Wilson Masias</v>
          </cell>
          <cell r="E78" t="str">
            <v>MILITAR</v>
          </cell>
          <cell r="J78" t="str">
            <v>Desayunos</v>
          </cell>
          <cell r="K78">
            <v>81</v>
          </cell>
        </row>
        <row r="79">
          <cell r="B79" t="str">
            <v>7-B</v>
          </cell>
          <cell r="C79">
            <v>1</v>
          </cell>
          <cell r="D79" t="str">
            <v>Luis Sandal</v>
          </cell>
          <cell r="E79" t="str">
            <v>MILITAR</v>
          </cell>
          <cell r="J79" t="str">
            <v>Almuerzos</v>
          </cell>
          <cell r="K79">
            <v>97</v>
          </cell>
        </row>
        <row r="80">
          <cell r="B80" t="str">
            <v>7-C</v>
          </cell>
          <cell r="C80">
            <v>1</v>
          </cell>
          <cell r="D80" t="str">
            <v>Alex Tomala</v>
          </cell>
          <cell r="E80" t="str">
            <v>MILITAR</v>
          </cell>
          <cell r="J80" t="str">
            <v>Cenas</v>
          </cell>
          <cell r="K80">
            <v>90</v>
          </cell>
        </row>
        <row r="81">
          <cell r="B81" t="str">
            <v>7-D</v>
          </cell>
          <cell r="C81">
            <v>1</v>
          </cell>
          <cell r="D81" t="str">
            <v>Julio Montero</v>
          </cell>
          <cell r="E81" t="str">
            <v>MILITAR</v>
          </cell>
          <cell r="J81" t="str">
            <v>TOTAL</v>
          </cell>
          <cell r="K81">
            <v>268</v>
          </cell>
        </row>
        <row r="82">
          <cell r="B82" t="str">
            <v>7-E</v>
          </cell>
          <cell r="C82">
            <v>1</v>
          </cell>
          <cell r="D82" t="str">
            <v>Hamilton Palma</v>
          </cell>
          <cell r="E82" t="str">
            <v>MILITAR</v>
          </cell>
        </row>
        <row r="83">
          <cell r="B83" t="str">
            <v>7-F</v>
          </cell>
          <cell r="C83">
            <v>1</v>
          </cell>
          <cell r="D83" t="str">
            <v>Jorge Andi</v>
          </cell>
          <cell r="E83" t="str">
            <v>MILITAR</v>
          </cell>
          <cell r="J83" t="str">
            <v>Comida por compañía</v>
          </cell>
        </row>
        <row r="84">
          <cell r="B84" t="str">
            <v>7-G</v>
          </cell>
          <cell r="C84">
            <v>1</v>
          </cell>
          <cell r="D84" t="str">
            <v>Ivan Troya</v>
          </cell>
          <cell r="E84" t="str">
            <v>MILITAR</v>
          </cell>
          <cell r="J84" t="str">
            <v>PECOM</v>
          </cell>
          <cell r="K84">
            <v>14</v>
          </cell>
        </row>
        <row r="85">
          <cell r="B85" t="str">
            <v>7-H</v>
          </cell>
          <cell r="C85">
            <v>1</v>
          </cell>
          <cell r="D85" t="str">
            <v>Darwin Cusquiluma</v>
          </cell>
          <cell r="E85" t="str">
            <v>MILITAR</v>
          </cell>
          <cell r="J85" t="str">
            <v>AMSA</v>
          </cell>
          <cell r="K85">
            <v>65</v>
          </cell>
        </row>
        <row r="86">
          <cell r="B86" t="str">
            <v>7-I</v>
          </cell>
          <cell r="C86">
            <v>1</v>
          </cell>
          <cell r="D86" t="str">
            <v>Angel Chiluiza</v>
          </cell>
          <cell r="E86" t="str">
            <v>MILITAR</v>
          </cell>
          <cell r="J86" t="str">
            <v>AMSA/CAMP.</v>
          </cell>
          <cell r="K86">
            <v>3</v>
          </cell>
        </row>
        <row r="87">
          <cell r="B87" t="str">
            <v>7-J</v>
          </cell>
          <cell r="C87">
            <v>1</v>
          </cell>
          <cell r="D87" t="str">
            <v>Ramon Gary</v>
          </cell>
          <cell r="E87" t="str">
            <v>MILITAR</v>
          </cell>
          <cell r="J87" t="str">
            <v>AMSA/EQUIG.</v>
          </cell>
          <cell r="K87">
            <v>9</v>
          </cell>
        </row>
        <row r="88">
          <cell r="B88" t="str">
            <v>7-K</v>
          </cell>
          <cell r="C88">
            <v>1</v>
          </cell>
          <cell r="D88" t="str">
            <v>Jose Sanchez</v>
          </cell>
          <cell r="E88" t="str">
            <v>JARASEG</v>
          </cell>
          <cell r="J88" t="str">
            <v>SEOSELVA</v>
          </cell>
          <cell r="K88">
            <v>45</v>
          </cell>
        </row>
        <row r="89">
          <cell r="B89" t="str">
            <v>7-L</v>
          </cell>
          <cell r="C89">
            <v>1</v>
          </cell>
          <cell r="D89" t="str">
            <v>Juan Siquigua</v>
          </cell>
          <cell r="E89" t="str">
            <v>JARASEG</v>
          </cell>
          <cell r="J89" t="str">
            <v>JARASEG</v>
          </cell>
          <cell r="K89">
            <v>60</v>
          </cell>
        </row>
        <row r="90">
          <cell r="A90">
            <v>8</v>
          </cell>
          <cell r="B90" t="str">
            <v>8-A</v>
          </cell>
          <cell r="C90">
            <v>1</v>
          </cell>
          <cell r="D90" t="str">
            <v>Galo Intriago</v>
          </cell>
          <cell r="E90" t="str">
            <v>JARASEG</v>
          </cell>
          <cell r="J90" t="str">
            <v>MILITARES</v>
          </cell>
          <cell r="K90">
            <v>30</v>
          </cell>
        </row>
        <row r="91">
          <cell r="B91" t="str">
            <v>8-B</v>
          </cell>
          <cell r="C91">
            <v>1</v>
          </cell>
          <cell r="D91" t="str">
            <v>Milton Jimenez</v>
          </cell>
          <cell r="E91" t="str">
            <v>JARASEG</v>
          </cell>
          <cell r="J91" t="str">
            <v>AZUL</v>
          </cell>
          <cell r="K91">
            <v>19</v>
          </cell>
        </row>
        <row r="92">
          <cell r="B92" t="str">
            <v>8-C</v>
          </cell>
          <cell r="C92">
            <v>1</v>
          </cell>
          <cell r="D92" t="str">
            <v>Bolivar Montalvan</v>
          </cell>
          <cell r="E92" t="str">
            <v>JARASEG</v>
          </cell>
          <cell r="J92" t="str">
            <v>AMSA/CANOA</v>
          </cell>
          <cell r="K92">
            <v>10</v>
          </cell>
        </row>
        <row r="93">
          <cell r="B93" t="str">
            <v>8-D</v>
          </cell>
          <cell r="C93">
            <v>1</v>
          </cell>
          <cell r="D93" t="str">
            <v>Jorge A. Napa</v>
          </cell>
          <cell r="E93" t="str">
            <v>JARASEG</v>
          </cell>
          <cell r="J93" t="str">
            <v>DAIMI</v>
          </cell>
          <cell r="K93">
            <v>6</v>
          </cell>
        </row>
        <row r="94">
          <cell r="B94" t="str">
            <v>8-E</v>
          </cell>
          <cell r="C94">
            <v>1</v>
          </cell>
          <cell r="D94" t="str">
            <v>Luis Palacios</v>
          </cell>
          <cell r="E94" t="str">
            <v>JARASEG</v>
          </cell>
          <cell r="J94" t="str">
            <v>AMSA PILOT</v>
          </cell>
          <cell r="K94">
            <v>7</v>
          </cell>
        </row>
        <row r="95">
          <cell r="B95" t="str">
            <v>8-F</v>
          </cell>
          <cell r="C95">
            <v>1</v>
          </cell>
          <cell r="D95" t="str">
            <v>Pablo Pineda</v>
          </cell>
          <cell r="E95" t="str">
            <v>JARASEG</v>
          </cell>
        </row>
        <row r="96">
          <cell r="B96" t="str">
            <v>8-G</v>
          </cell>
          <cell r="C96">
            <v>1</v>
          </cell>
          <cell r="D96" t="str">
            <v>Segundo Pineda</v>
          </cell>
          <cell r="E96" t="str">
            <v>JARASEG</v>
          </cell>
        </row>
        <row r="97">
          <cell r="B97" t="str">
            <v>8-H</v>
          </cell>
          <cell r="C97">
            <v>1</v>
          </cell>
          <cell r="D97" t="str">
            <v>Jose Ramos</v>
          </cell>
          <cell r="E97" t="str">
            <v>JARASEG</v>
          </cell>
        </row>
        <row r="98">
          <cell r="B98" t="str">
            <v>8-I</v>
          </cell>
          <cell r="C98">
            <v>1</v>
          </cell>
          <cell r="D98" t="str">
            <v>Franklin Rogel</v>
          </cell>
          <cell r="E98" t="str">
            <v>JARASEG</v>
          </cell>
        </row>
        <row r="99">
          <cell r="B99" t="str">
            <v>8-J</v>
          </cell>
          <cell r="C99">
            <v>1</v>
          </cell>
          <cell r="D99" t="str">
            <v>Carlos Ruiz</v>
          </cell>
          <cell r="E99" t="str">
            <v>JARASEG</v>
          </cell>
          <cell r="J99" t="str">
            <v>TOTAL</v>
          </cell>
          <cell r="K99">
            <v>268</v>
          </cell>
        </row>
        <row r="101">
          <cell r="A101" t="str">
            <v>Total</v>
          </cell>
          <cell r="C101">
            <v>70</v>
          </cell>
        </row>
        <row r="108">
          <cell r="D108" t="str">
            <v>APROBADO POR :  HUGO COBOS</v>
          </cell>
          <cell r="J108" t="str">
            <v>PREPARADO POR :  GALO TORRES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PC1095"/>
      <sheetName val="prog PC1095"/>
      <sheetName val="calculo"/>
      <sheetName val="esk propuesto "/>
      <sheetName val="$ MAT"/>
      <sheetName val="POB"/>
      <sheetName val="Listas"/>
      <sheetName val="Control"/>
      <sheetName val="PO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nálisis"/>
      <sheetName val="Arbol de Decisión"/>
      <sheetName val="Hoja1"/>
      <sheetName val="Presupuesto Ajustado"/>
      <sheetName val="Cálculo Declinación"/>
      <sheetName val="Presupuesto"/>
      <sheetName val="Gráficos"/>
      <sheetName val="MREX"/>
      <sheetName val="Presiones"/>
      <sheetName val="Programa Terminación"/>
      <sheetName val="HOJA PRESUPUESTO"/>
      <sheetName val="Programa Operativo"/>
      <sheetName val="ESQUEMA"/>
      <sheetName val="Tarifas Equipo"/>
      <sheetName val="Hoja de Cálcu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A"/>
      <sheetName val=" HOJA CALC."/>
      <sheetName val="HOJA PRESUPUESTO"/>
      <sheetName val="Costos"/>
    </sheetNames>
    <definedNames>
      <definedName name="Módulo1.PVAVI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 LH-1180"/>
      <sheetName val="Programa Terminación"/>
      <sheetName val="Programa Operativo"/>
      <sheetName val="Riesgos"/>
      <sheetName val="HOJA PRESUPUESTO"/>
      <sheetName val="Tarifas Equipo"/>
      <sheetName val="Hoja de Cálculo"/>
      <sheetName val="Perfil Pozo Entubado"/>
      <sheetName val="Punzados"/>
      <sheetName val="Costos Fractura"/>
      <sheetName val="Inst. Productor"/>
      <sheetName val="Tapones"/>
      <sheetName val="Hoja2"/>
      <sheetName val="LH 1180"/>
      <sheetName val="1et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E-179"/>
      <sheetName val="Avance "/>
      <sheetName val="Costos"/>
      <sheetName val="HOJA PRESUPUESTO"/>
      <sheetName val="179"/>
      <sheetName val="Perfil Pozo Entubado"/>
      <sheetName val="DATOS E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 EV-1011"/>
      <sheetName val="I EV-1011 (dic-01)"/>
      <sheetName val="I EV-1011 (jun-02)"/>
      <sheetName val="I EV-1011 (set-02)"/>
      <sheetName val="I EV-1011 (nov-02)"/>
      <sheetName val="I EV-1011 (jun-03) "/>
      <sheetName val="I EV-1011 (jul-03)"/>
      <sheetName val="I EV-1011 (dic-03)"/>
      <sheetName val="I EV-1011 (ene-05)"/>
      <sheetName val="AFE-179"/>
      <sheetName val=""/>
      <sheetName val="DATOS E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squema"/>
      <sheetName val="Avance "/>
      <sheetName val="Propuesta"/>
      <sheetName val="Costos"/>
      <sheetName val="Objetivos 1"/>
      <sheetName val="Programa"/>
      <sheetName val="Programa de Lodo"/>
      <sheetName val="Lodo Costo "/>
      <sheetName val="Propuesta de trépanos"/>
      <sheetName val="Trepanos"/>
      <sheetName val="Cañerías"/>
      <sheetName val="BHA I"/>
      <sheetName val="BHA II"/>
      <sheetName val="$ Guía 250 m"/>
      <sheetName val="Cem Guia"/>
      <sheetName val="Cem Aislación"/>
      <sheetName val="costo Aislación"/>
      <sheetName val="Ubicación"/>
      <sheetName val="I EV-1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E11" t="str">
            <v>DEPTH</v>
          </cell>
        </row>
        <row r="12">
          <cell r="E12" t="str">
            <v>OUT</v>
          </cell>
        </row>
        <row r="13">
          <cell r="E13">
            <v>0</v>
          </cell>
        </row>
        <row r="14">
          <cell r="E14">
            <v>250</v>
          </cell>
        </row>
        <row r="16">
          <cell r="E16">
            <v>700</v>
          </cell>
        </row>
        <row r="30">
          <cell r="E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tapa"/>
      <sheetName val="2etapa"/>
      <sheetName val=" HOJA CALC."/>
      <sheetName val="#REF"/>
      <sheetName val="megaticket"/>
      <sheetName val="Programa"/>
      <sheetName val="Ingreso de datos"/>
      <sheetName val="Propuesta de trépanos"/>
      <sheetName val="DATOS EQ"/>
      <sheetName val="AFE-17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"/>
      <sheetName val="HOJA PRESUPUESTO"/>
      <sheetName val="Tarifas Equipo"/>
      <sheetName val="Hoja de Cálculo"/>
      <sheetName val="Htas. Inyectores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zos_Jagüel_de_los_Machos"/>
      <sheetName val="HOJA PRESUPUESTO"/>
      <sheetName val="MODELO"/>
      <sheetName val="Propuesta de trépanos"/>
    </sheetNames>
    <sheetDataSet>
      <sheetData sheetId="0" refreshError="1">
        <row r="1">
          <cell r="A1" t="str">
            <v>POZO</v>
          </cell>
          <cell r="B1" t="str">
            <v>ALIAS</v>
          </cell>
          <cell r="C1" t="str">
            <v>CAMPO</v>
          </cell>
          <cell r="D1" t="str">
            <v>X</v>
          </cell>
          <cell r="E1" t="str">
            <v>Y</v>
          </cell>
          <cell r="F1" t="str">
            <v>Z</v>
          </cell>
          <cell r="G1" t="str">
            <v>C_CEMTO</v>
          </cell>
          <cell r="H1" t="str">
            <v>TD_PERF</v>
          </cell>
          <cell r="I1" t="str">
            <v>FI_PERF</v>
          </cell>
          <cell r="J1" t="str">
            <v>FF_PERF</v>
          </cell>
          <cell r="K1" t="str">
            <v>FI_TERM</v>
          </cell>
          <cell r="L1" t="str">
            <v>FF_TERM</v>
          </cell>
          <cell r="M1" t="str">
            <v>F_PROD</v>
          </cell>
          <cell r="N1" t="str">
            <v>F_ABAN</v>
          </cell>
          <cell r="O1" t="str">
            <v>COD_ABAN</v>
          </cell>
          <cell r="P1" t="str">
            <v>CATEGORIA</v>
          </cell>
          <cell r="Q1" t="str">
            <v>RESULTADO</v>
          </cell>
          <cell r="R1" t="str">
            <v>ESTADO</v>
          </cell>
          <cell r="S1" t="str">
            <v>SIMBOLO</v>
          </cell>
          <cell r="T1" t="str">
            <v>LINEA</v>
          </cell>
          <cell r="U1" t="str">
            <v>ESTACA</v>
          </cell>
          <cell r="V1" t="str">
            <v>VERIFIC</v>
          </cell>
          <cell r="W1" t="str">
            <v>PROD_INIC</v>
          </cell>
          <cell r="X1" t="str">
            <v>AREA</v>
          </cell>
          <cell r="Y1" t="str">
            <v>COMENTARIO</v>
          </cell>
        </row>
        <row r="2">
          <cell r="A2" t="str">
            <v>TA-2</v>
          </cell>
          <cell r="B2" t="str">
            <v>TA-2</v>
          </cell>
          <cell r="C2" t="str">
            <v>JDM</v>
          </cell>
          <cell r="D2">
            <v>2609850</v>
          </cell>
          <cell r="E2">
            <v>5778050</v>
          </cell>
          <cell r="S2" t="str">
            <v>ABA</v>
          </cell>
          <cell r="X2" t="str">
            <v>TAPERA AVENDAÑO</v>
          </cell>
        </row>
        <row r="3">
          <cell r="A3" t="str">
            <v>TA-3</v>
          </cell>
          <cell r="B3" t="str">
            <v>TA-3</v>
          </cell>
          <cell r="C3" t="str">
            <v>JDM</v>
          </cell>
          <cell r="D3">
            <v>2606110</v>
          </cell>
          <cell r="E3">
            <v>5776730</v>
          </cell>
          <cell r="S3" t="str">
            <v>ABA</v>
          </cell>
          <cell r="X3" t="str">
            <v>TAPERA AVENDAÑO</v>
          </cell>
        </row>
        <row r="4">
          <cell r="A4" t="str">
            <v>TA-1000</v>
          </cell>
          <cell r="B4" t="str">
            <v>TA-1000</v>
          </cell>
          <cell r="C4" t="str">
            <v>JDM</v>
          </cell>
          <cell r="D4">
            <v>2605650</v>
          </cell>
          <cell r="E4">
            <v>5781600</v>
          </cell>
          <cell r="S4" t="str">
            <v>PET</v>
          </cell>
          <cell r="X4" t="str">
            <v>TAPERA AVENDAÑO</v>
          </cell>
        </row>
        <row r="5">
          <cell r="A5" t="str">
            <v>TA-1001</v>
          </cell>
          <cell r="B5" t="str">
            <v>TA-1001</v>
          </cell>
          <cell r="C5" t="str">
            <v>JDM</v>
          </cell>
          <cell r="D5">
            <v>2606850</v>
          </cell>
          <cell r="E5">
            <v>5779530</v>
          </cell>
          <cell r="S5" t="str">
            <v>PET</v>
          </cell>
          <cell r="X5" t="str">
            <v>TAPERA AVENDAÑO</v>
          </cell>
        </row>
        <row r="6">
          <cell r="A6" t="str">
            <v>TA-1002</v>
          </cell>
          <cell r="B6" t="str">
            <v>TA-1002</v>
          </cell>
          <cell r="C6" t="str">
            <v>JDM</v>
          </cell>
          <cell r="D6">
            <v>2604600</v>
          </cell>
          <cell r="E6">
            <v>5781250</v>
          </cell>
          <cell r="S6" t="str">
            <v>PET</v>
          </cell>
          <cell r="X6" t="str">
            <v>TAPERA AVENDAÑO</v>
          </cell>
        </row>
        <row r="7">
          <cell r="A7" t="str">
            <v>TA-1003</v>
          </cell>
          <cell r="B7" t="str">
            <v>TA-1003</v>
          </cell>
          <cell r="C7" t="str">
            <v>JDM</v>
          </cell>
          <cell r="D7">
            <v>2605230</v>
          </cell>
          <cell r="E7">
            <v>5780150</v>
          </cell>
          <cell r="S7" t="str">
            <v>PET</v>
          </cell>
          <cell r="X7" t="str">
            <v>TAPERA AVENDAÑO</v>
          </cell>
        </row>
        <row r="8">
          <cell r="A8" t="str">
            <v>TA-1004</v>
          </cell>
          <cell r="B8" t="str">
            <v>TA-1004</v>
          </cell>
          <cell r="C8" t="str">
            <v>JDM</v>
          </cell>
          <cell r="D8">
            <v>2605950</v>
          </cell>
          <cell r="E8">
            <v>5781150</v>
          </cell>
          <cell r="S8" t="str">
            <v>PET</v>
          </cell>
          <cell r="X8" t="str">
            <v>TAPERA AVENDAÑO</v>
          </cell>
        </row>
        <row r="9">
          <cell r="A9" t="str">
            <v>TA-1005</v>
          </cell>
          <cell r="B9" t="str">
            <v>TA-1005</v>
          </cell>
          <cell r="C9" t="str">
            <v>JDM</v>
          </cell>
          <cell r="D9">
            <v>2606700</v>
          </cell>
          <cell r="E9">
            <v>5780750</v>
          </cell>
          <cell r="S9" t="str">
            <v>PET</v>
          </cell>
          <cell r="X9" t="str">
            <v>TAPERA AVENDAÑO</v>
          </cell>
        </row>
        <row r="10">
          <cell r="A10" t="str">
            <v>TA-1006</v>
          </cell>
          <cell r="B10" t="str">
            <v>TA-1006</v>
          </cell>
          <cell r="C10" t="str">
            <v>JDM</v>
          </cell>
          <cell r="D10">
            <v>2607760</v>
          </cell>
          <cell r="E10">
            <v>5778670</v>
          </cell>
          <cell r="S10" t="str">
            <v>PET</v>
          </cell>
          <cell r="X10" t="str">
            <v>TAPERA AVENDAÑO</v>
          </cell>
        </row>
        <row r="11">
          <cell r="A11" t="str">
            <v>TA-1007</v>
          </cell>
          <cell r="B11" t="str">
            <v>TA-1007</v>
          </cell>
          <cell r="C11" t="str">
            <v>JDM</v>
          </cell>
          <cell r="D11">
            <v>2603790</v>
          </cell>
          <cell r="E11">
            <v>5780250</v>
          </cell>
          <cell r="S11" t="str">
            <v>EST</v>
          </cell>
          <cell r="X11" t="str">
            <v>TAPERA AVENDAÑO</v>
          </cell>
        </row>
        <row r="12">
          <cell r="A12" t="str">
            <v>TA-1008</v>
          </cell>
          <cell r="B12" t="str">
            <v>TA-1008</v>
          </cell>
          <cell r="C12" t="str">
            <v>JDM</v>
          </cell>
          <cell r="D12">
            <v>2606530</v>
          </cell>
          <cell r="E12">
            <v>5780500</v>
          </cell>
          <cell r="S12" t="str">
            <v>PET</v>
          </cell>
          <cell r="X12" t="str">
            <v>TAPERA AVENDAÑO</v>
          </cell>
        </row>
        <row r="13">
          <cell r="A13" t="str">
            <v>TA-1009</v>
          </cell>
          <cell r="B13" t="str">
            <v>TA-1009</v>
          </cell>
          <cell r="C13" t="str">
            <v>JDM</v>
          </cell>
          <cell r="D13">
            <v>2605870</v>
          </cell>
          <cell r="E13">
            <v>5779760</v>
          </cell>
          <cell r="S13" t="str">
            <v>PET</v>
          </cell>
          <cell r="X13" t="str">
            <v>TAPERA AVENDAÑO</v>
          </cell>
        </row>
        <row r="14">
          <cell r="A14" t="str">
            <v>TA-1010</v>
          </cell>
          <cell r="B14" t="str">
            <v>TA-1010</v>
          </cell>
          <cell r="C14" t="str">
            <v>JDM</v>
          </cell>
          <cell r="D14">
            <v>2608750</v>
          </cell>
          <cell r="E14">
            <v>5776980</v>
          </cell>
          <cell r="S14" t="str">
            <v>EST</v>
          </cell>
          <cell r="X14" t="str">
            <v>TAPERA AVENDAÑO</v>
          </cell>
        </row>
        <row r="15">
          <cell r="A15" t="str">
            <v>TAH-1011</v>
          </cell>
          <cell r="B15" t="str">
            <v>TAH-1011</v>
          </cell>
          <cell r="C15" t="str">
            <v>JDM</v>
          </cell>
          <cell r="D15">
            <v>2606110</v>
          </cell>
          <cell r="E15">
            <v>5780760</v>
          </cell>
          <cell r="S15" t="str">
            <v>PET</v>
          </cell>
          <cell r="X15" t="str">
            <v>TAPERA AVENDAÑO</v>
          </cell>
        </row>
        <row r="16">
          <cell r="A16" t="str">
            <v>BX-2</v>
          </cell>
          <cell r="B16" t="str">
            <v>BX-2</v>
          </cell>
          <cell r="C16" t="str">
            <v>JDM</v>
          </cell>
          <cell r="D16">
            <v>2619734</v>
          </cell>
          <cell r="E16">
            <v>5772291</v>
          </cell>
          <cell r="S16" t="str">
            <v>ABA</v>
          </cell>
          <cell r="X16" t="str">
            <v>JAGUEL</v>
          </cell>
        </row>
        <row r="17">
          <cell r="A17" t="str">
            <v>BX-3</v>
          </cell>
          <cell r="B17" t="str">
            <v>BX-3</v>
          </cell>
          <cell r="C17" t="str">
            <v>JDM</v>
          </cell>
          <cell r="D17">
            <v>2620416</v>
          </cell>
          <cell r="E17">
            <v>5773268</v>
          </cell>
          <cell r="S17" t="str">
            <v>ABA</v>
          </cell>
          <cell r="X17" t="str">
            <v>JAGUEL</v>
          </cell>
        </row>
        <row r="18">
          <cell r="A18" t="str">
            <v>BX-4</v>
          </cell>
          <cell r="B18" t="str">
            <v>BX-4</v>
          </cell>
          <cell r="C18" t="str">
            <v>JDM</v>
          </cell>
          <cell r="D18">
            <v>2621884</v>
          </cell>
          <cell r="E18">
            <v>5775394</v>
          </cell>
          <cell r="S18" t="str">
            <v>ABA</v>
          </cell>
          <cell r="X18" t="str">
            <v>JAGUEL</v>
          </cell>
        </row>
        <row r="19">
          <cell r="A19" t="str">
            <v>BX-5</v>
          </cell>
          <cell r="B19" t="str">
            <v>BX-5</v>
          </cell>
          <cell r="C19" t="str">
            <v>JDM</v>
          </cell>
          <cell r="D19">
            <v>2623179</v>
          </cell>
          <cell r="E19">
            <v>5777198</v>
          </cell>
          <cell r="S19" t="str">
            <v>ABA</v>
          </cell>
          <cell r="X19" t="str">
            <v>JAGUEL</v>
          </cell>
        </row>
        <row r="20">
          <cell r="A20" t="str">
            <v>JM-1</v>
          </cell>
          <cell r="B20" t="str">
            <v>JM-1</v>
          </cell>
          <cell r="C20" t="str">
            <v>JDM</v>
          </cell>
          <cell r="D20">
            <v>2614170</v>
          </cell>
          <cell r="E20">
            <v>5781750</v>
          </cell>
          <cell r="S20" t="str">
            <v>RES</v>
          </cell>
          <cell r="X20" t="str">
            <v>JAGUEL</v>
          </cell>
        </row>
        <row r="21">
          <cell r="A21" t="str">
            <v>JM-2</v>
          </cell>
          <cell r="B21" t="str">
            <v>JM-2</v>
          </cell>
          <cell r="C21" t="str">
            <v>JDM</v>
          </cell>
          <cell r="D21">
            <v>2620630</v>
          </cell>
          <cell r="E21">
            <v>5777740</v>
          </cell>
          <cell r="S21" t="str">
            <v>PET</v>
          </cell>
          <cell r="X21" t="str">
            <v>JAGUEL</v>
          </cell>
        </row>
        <row r="22">
          <cell r="A22" t="str">
            <v>JM-3</v>
          </cell>
          <cell r="B22" t="str">
            <v>JM-3</v>
          </cell>
          <cell r="C22" t="str">
            <v>JDM</v>
          </cell>
          <cell r="D22">
            <v>2618310</v>
          </cell>
          <cell r="E22">
            <v>5779660</v>
          </cell>
          <cell r="S22" t="str">
            <v>AAB</v>
          </cell>
          <cell r="X22" t="str">
            <v>JAGUEL</v>
          </cell>
        </row>
        <row r="23">
          <cell r="A23" t="str">
            <v>JM-4</v>
          </cell>
          <cell r="B23" t="str">
            <v>JM-4</v>
          </cell>
          <cell r="C23" t="str">
            <v>JDM</v>
          </cell>
          <cell r="D23">
            <v>2620640</v>
          </cell>
          <cell r="E23">
            <v>5778730</v>
          </cell>
          <cell r="S23" t="str">
            <v>EST</v>
          </cell>
          <cell r="X23" t="str">
            <v>JAGUEL</v>
          </cell>
        </row>
        <row r="24">
          <cell r="A24" t="str">
            <v>JM-5</v>
          </cell>
          <cell r="B24" t="str">
            <v>JM-5</v>
          </cell>
          <cell r="C24" t="str">
            <v>JDM</v>
          </cell>
          <cell r="D24">
            <v>2620630</v>
          </cell>
          <cell r="E24">
            <v>5776740</v>
          </cell>
          <cell r="S24" t="str">
            <v>ABA</v>
          </cell>
          <cell r="X24" t="str">
            <v>JAGUEL</v>
          </cell>
        </row>
        <row r="25">
          <cell r="A25" t="str">
            <v>JM-6</v>
          </cell>
          <cell r="B25" t="str">
            <v>JM-6</v>
          </cell>
          <cell r="C25" t="str">
            <v>JDM</v>
          </cell>
          <cell r="D25">
            <v>2620640</v>
          </cell>
          <cell r="E25">
            <v>5779740</v>
          </cell>
          <cell r="S25" t="str">
            <v>PET</v>
          </cell>
          <cell r="X25" t="str">
            <v>JAGUEL</v>
          </cell>
        </row>
        <row r="26">
          <cell r="A26" t="str">
            <v>JM-7</v>
          </cell>
          <cell r="B26" t="str">
            <v>JM-7</v>
          </cell>
          <cell r="C26" t="str">
            <v>JDM</v>
          </cell>
          <cell r="D26">
            <v>2621180</v>
          </cell>
          <cell r="E26">
            <v>5780540</v>
          </cell>
          <cell r="S26" t="str">
            <v>PET</v>
          </cell>
          <cell r="X26" t="str">
            <v>JAGUEL</v>
          </cell>
        </row>
        <row r="27">
          <cell r="A27" t="str">
            <v>JM-8</v>
          </cell>
          <cell r="B27" t="str">
            <v>JM-8</v>
          </cell>
          <cell r="C27" t="str">
            <v>JDM</v>
          </cell>
          <cell r="D27">
            <v>2621460</v>
          </cell>
          <cell r="E27">
            <v>5778160</v>
          </cell>
          <cell r="S27" t="str">
            <v>ABA</v>
          </cell>
          <cell r="X27" t="str">
            <v>JAGUEL</v>
          </cell>
        </row>
        <row r="28">
          <cell r="A28" t="str">
            <v>JM-9</v>
          </cell>
          <cell r="B28" t="str">
            <v>JM-9</v>
          </cell>
          <cell r="C28" t="str">
            <v>JDM</v>
          </cell>
          <cell r="D28">
            <v>2620250</v>
          </cell>
          <cell r="E28">
            <v>5783720</v>
          </cell>
          <cell r="S28" t="str">
            <v>ABA</v>
          </cell>
          <cell r="X28" t="str">
            <v>JAGUEL</v>
          </cell>
        </row>
        <row r="29">
          <cell r="A29" t="str">
            <v>JM-10</v>
          </cell>
          <cell r="B29" t="str">
            <v>JM-10</v>
          </cell>
          <cell r="C29" t="str">
            <v>JDM</v>
          </cell>
          <cell r="D29">
            <v>2620620</v>
          </cell>
          <cell r="E29">
            <v>5780760</v>
          </cell>
          <cell r="S29" t="str">
            <v>AAB</v>
          </cell>
          <cell r="X29" t="str">
            <v>JAGUEL</v>
          </cell>
        </row>
        <row r="30">
          <cell r="A30" t="str">
            <v>JM-11</v>
          </cell>
          <cell r="B30" t="str">
            <v>JM-11</v>
          </cell>
          <cell r="C30" t="str">
            <v>JDM</v>
          </cell>
          <cell r="D30">
            <v>2620630</v>
          </cell>
          <cell r="E30">
            <v>5778250</v>
          </cell>
          <cell r="S30" t="str">
            <v>EST</v>
          </cell>
          <cell r="X30" t="str">
            <v>JAGUEL</v>
          </cell>
        </row>
        <row r="31">
          <cell r="A31" t="str">
            <v>JM-12</v>
          </cell>
          <cell r="B31" t="str">
            <v>JM-12</v>
          </cell>
          <cell r="C31" t="str">
            <v>JDM</v>
          </cell>
          <cell r="D31">
            <v>2620630</v>
          </cell>
          <cell r="E31">
            <v>5779250</v>
          </cell>
          <cell r="S31" t="str">
            <v>PET</v>
          </cell>
          <cell r="X31" t="str">
            <v>JAGUEL</v>
          </cell>
        </row>
        <row r="32">
          <cell r="A32" t="str">
            <v>JM-13</v>
          </cell>
          <cell r="B32" t="str">
            <v>JM-13</v>
          </cell>
          <cell r="C32" t="str">
            <v>JDM</v>
          </cell>
          <cell r="D32">
            <v>2620630</v>
          </cell>
          <cell r="E32">
            <v>5780250</v>
          </cell>
          <cell r="S32" t="str">
            <v>PET</v>
          </cell>
          <cell r="X32" t="str">
            <v>JAGUEL</v>
          </cell>
        </row>
        <row r="33">
          <cell r="A33" t="str">
            <v>JM-14</v>
          </cell>
          <cell r="B33" t="str">
            <v>JM-14</v>
          </cell>
          <cell r="C33" t="str">
            <v>JDM</v>
          </cell>
          <cell r="D33">
            <v>2620130</v>
          </cell>
          <cell r="E33">
            <v>5779750</v>
          </cell>
          <cell r="S33" t="str">
            <v>RES</v>
          </cell>
          <cell r="X33" t="str">
            <v>JAGUEL</v>
          </cell>
        </row>
        <row r="34">
          <cell r="A34" t="str">
            <v>JM-15</v>
          </cell>
          <cell r="B34" t="str">
            <v>JM-15</v>
          </cell>
          <cell r="C34" t="str">
            <v>JDM</v>
          </cell>
          <cell r="D34">
            <v>2620130</v>
          </cell>
          <cell r="E34">
            <v>5778750</v>
          </cell>
          <cell r="S34" t="str">
            <v>AAB</v>
          </cell>
          <cell r="X34" t="str">
            <v>JAGUEL</v>
          </cell>
        </row>
        <row r="35">
          <cell r="A35" t="str">
            <v>JM-16</v>
          </cell>
          <cell r="B35" t="str">
            <v>JM-16</v>
          </cell>
          <cell r="C35" t="str">
            <v>JDM</v>
          </cell>
          <cell r="D35">
            <v>2621410</v>
          </cell>
          <cell r="E35">
            <v>5777320</v>
          </cell>
          <cell r="S35" t="str">
            <v>ABA</v>
          </cell>
          <cell r="X35" t="str">
            <v>JAGUEL</v>
          </cell>
        </row>
        <row r="36">
          <cell r="A36" t="str">
            <v>JM-18</v>
          </cell>
          <cell r="B36" t="str">
            <v>JM-18</v>
          </cell>
          <cell r="C36" t="str">
            <v>JDM</v>
          </cell>
          <cell r="D36">
            <v>2621120</v>
          </cell>
          <cell r="E36">
            <v>5777690</v>
          </cell>
          <cell r="S36" t="str">
            <v>PET</v>
          </cell>
          <cell r="X36" t="str">
            <v>JAGUEL</v>
          </cell>
        </row>
        <row r="37">
          <cell r="A37" t="str">
            <v>JM-19</v>
          </cell>
          <cell r="B37" t="str">
            <v>JM-19</v>
          </cell>
          <cell r="C37" t="str">
            <v>JDM</v>
          </cell>
          <cell r="D37">
            <v>2620920</v>
          </cell>
          <cell r="E37">
            <v>5779920</v>
          </cell>
          <cell r="S37" t="str">
            <v>RES</v>
          </cell>
          <cell r="X37" t="str">
            <v>JAGUEL</v>
          </cell>
        </row>
        <row r="38">
          <cell r="A38" t="str">
            <v>JM-21</v>
          </cell>
          <cell r="B38" t="str">
            <v>JM-21</v>
          </cell>
          <cell r="C38" t="str">
            <v>JDM</v>
          </cell>
          <cell r="D38">
            <v>2619230</v>
          </cell>
          <cell r="E38">
            <v>5779690</v>
          </cell>
          <cell r="S38" t="str">
            <v>ABA</v>
          </cell>
          <cell r="X38" t="str">
            <v>JAGUEL</v>
          </cell>
        </row>
        <row r="39">
          <cell r="A39" t="str">
            <v>JM-22</v>
          </cell>
          <cell r="B39" t="str">
            <v>JM-22</v>
          </cell>
          <cell r="C39" t="str">
            <v>JDM</v>
          </cell>
          <cell r="D39">
            <v>2620850</v>
          </cell>
          <cell r="E39">
            <v>5777320</v>
          </cell>
          <cell r="S39" t="str">
            <v>AAB</v>
          </cell>
          <cell r="X39" t="str">
            <v>JAGUEL</v>
          </cell>
        </row>
        <row r="40">
          <cell r="A40" t="str">
            <v>JM-23</v>
          </cell>
          <cell r="B40" t="str">
            <v>JM-23</v>
          </cell>
          <cell r="C40" t="str">
            <v>JDM</v>
          </cell>
          <cell r="D40">
            <v>2613290</v>
          </cell>
          <cell r="E40">
            <v>5782240</v>
          </cell>
          <cell r="S40" t="str">
            <v>RES</v>
          </cell>
          <cell r="X40" t="str">
            <v>JAGUEL</v>
          </cell>
        </row>
        <row r="41">
          <cell r="A41" t="str">
            <v>JM-24</v>
          </cell>
          <cell r="B41" t="str">
            <v>JM-24</v>
          </cell>
          <cell r="C41" t="str">
            <v>JDM</v>
          </cell>
          <cell r="D41">
            <v>2620890</v>
          </cell>
          <cell r="E41">
            <v>5778000</v>
          </cell>
          <cell r="S41" t="str">
            <v>PET</v>
          </cell>
          <cell r="X41" t="str">
            <v>JAGUEL</v>
          </cell>
        </row>
        <row r="42">
          <cell r="A42" t="str">
            <v>JM-25</v>
          </cell>
          <cell r="B42" t="str">
            <v>JM-25</v>
          </cell>
          <cell r="C42" t="str">
            <v>JDM</v>
          </cell>
          <cell r="D42">
            <v>2620360</v>
          </cell>
          <cell r="E42">
            <v>5778030</v>
          </cell>
          <cell r="S42" t="str">
            <v>AAB</v>
          </cell>
          <cell r="X42" t="str">
            <v>JAGUEL</v>
          </cell>
        </row>
        <row r="43">
          <cell r="A43" t="str">
            <v>JM-26</v>
          </cell>
          <cell r="B43" t="str">
            <v>JM-26</v>
          </cell>
          <cell r="C43" t="str">
            <v>JDM</v>
          </cell>
          <cell r="D43">
            <v>2621780</v>
          </cell>
          <cell r="E43">
            <v>5779770</v>
          </cell>
          <cell r="S43" t="str">
            <v>AAB</v>
          </cell>
          <cell r="X43" t="str">
            <v>JAGUEL</v>
          </cell>
        </row>
        <row r="44">
          <cell r="A44" t="str">
            <v>LL-1</v>
          </cell>
          <cell r="B44" t="str">
            <v>LL-1</v>
          </cell>
          <cell r="C44" t="str">
            <v>JDM</v>
          </cell>
          <cell r="D44">
            <v>2610560</v>
          </cell>
          <cell r="E44">
            <v>5773813</v>
          </cell>
          <cell r="S44" t="str">
            <v>ABA</v>
          </cell>
          <cell r="X44" t="str">
            <v>JAGUEL</v>
          </cell>
        </row>
        <row r="45">
          <cell r="A45" t="str">
            <v>LL-2</v>
          </cell>
          <cell r="B45" t="str">
            <v>LL-2</v>
          </cell>
          <cell r="C45" t="str">
            <v>JDM</v>
          </cell>
          <cell r="D45">
            <v>2609190</v>
          </cell>
          <cell r="E45">
            <v>5769353</v>
          </cell>
          <cell r="S45" t="str">
            <v>ABA</v>
          </cell>
          <cell r="X45" t="str">
            <v>JAGUEL</v>
          </cell>
        </row>
        <row r="46">
          <cell r="A46" t="str">
            <v>LL-3</v>
          </cell>
          <cell r="B46" t="str">
            <v>LL-3</v>
          </cell>
          <cell r="C46" t="str">
            <v>JDM</v>
          </cell>
          <cell r="D46">
            <v>2613186</v>
          </cell>
          <cell r="E46">
            <v>5769934</v>
          </cell>
          <cell r="S46" t="str">
            <v>ABA</v>
          </cell>
          <cell r="X46" t="str">
            <v>JAGUEL</v>
          </cell>
        </row>
        <row r="47">
          <cell r="A47" t="str">
            <v>SB-1</v>
          </cell>
          <cell r="B47" t="str">
            <v>SB-1</v>
          </cell>
          <cell r="C47" t="str">
            <v>JDM</v>
          </cell>
          <cell r="D47">
            <v>2623491</v>
          </cell>
          <cell r="E47">
            <v>5777550</v>
          </cell>
          <cell r="S47" t="str">
            <v>ABA</v>
          </cell>
          <cell r="X47" t="str">
            <v>JAGUEL</v>
          </cell>
        </row>
        <row r="48">
          <cell r="A48" t="str">
            <v>SPM-1</v>
          </cell>
          <cell r="B48" t="str">
            <v>SPM-1</v>
          </cell>
          <cell r="C48" t="str">
            <v>JDM</v>
          </cell>
          <cell r="D48">
            <v>2618613</v>
          </cell>
          <cell r="E48">
            <v>5767693</v>
          </cell>
          <cell r="S48" t="str">
            <v>ABA</v>
          </cell>
          <cell r="X48" t="str">
            <v>JAGUEL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zos_Zona_Este"/>
      <sheetName val="Pozos_Zona_Este (2)"/>
      <sheetName val="Pozos_Jagüel_de_los_Machos"/>
      <sheetName val="prog PC1095"/>
    </sheetNames>
    <sheetDataSet>
      <sheetData sheetId="0" refreshError="1">
        <row r="1">
          <cell r="A1" t="str">
            <v>POZO</v>
          </cell>
          <cell r="B1" t="str">
            <v>ALIAS</v>
          </cell>
          <cell r="C1" t="str">
            <v>CAMPO</v>
          </cell>
          <cell r="D1" t="str">
            <v>X</v>
          </cell>
          <cell r="E1" t="str">
            <v>Y</v>
          </cell>
          <cell r="F1" t="str">
            <v>Z</v>
          </cell>
          <cell r="G1" t="str">
            <v>C_CEMTO</v>
          </cell>
          <cell r="H1" t="str">
            <v>TD_PERF</v>
          </cell>
          <cell r="I1" t="str">
            <v>FI_PERF</v>
          </cell>
          <cell r="J1" t="str">
            <v>FF_PERF</v>
          </cell>
          <cell r="K1" t="str">
            <v>FI_TERM</v>
          </cell>
          <cell r="L1" t="str">
            <v>FF_TERM</v>
          </cell>
          <cell r="M1" t="str">
            <v>F_PROD</v>
          </cell>
          <cell r="N1" t="str">
            <v>F_ABAN</v>
          </cell>
          <cell r="O1" t="str">
            <v>COD_ABAN</v>
          </cell>
          <cell r="P1" t="str">
            <v>CATEGORIA</v>
          </cell>
          <cell r="Q1" t="str">
            <v>RESULTADO</v>
          </cell>
          <cell r="R1" t="str">
            <v>ESTADO</v>
          </cell>
          <cell r="S1" t="str">
            <v>SIMBOLO</v>
          </cell>
          <cell r="T1" t="str">
            <v>LINEA</v>
          </cell>
          <cell r="U1" t="str">
            <v>ESTACA</v>
          </cell>
          <cell r="V1" t="str">
            <v>VERIFIC</v>
          </cell>
          <cell r="W1" t="str">
            <v>PROD_INIC</v>
          </cell>
          <cell r="X1" t="str">
            <v>AREA</v>
          </cell>
          <cell r="Y1" t="str">
            <v>COMENTARIO</v>
          </cell>
        </row>
        <row r="2">
          <cell r="A2">
            <v>1</v>
          </cell>
          <cell r="C2" t="str">
            <v>25 DE MAYO-MEDANITO</v>
          </cell>
          <cell r="D2">
            <v>2600103</v>
          </cell>
          <cell r="E2">
            <v>5792842</v>
          </cell>
          <cell r="S2" t="str">
            <v>A20</v>
          </cell>
          <cell r="X2" t="str">
            <v>ZONA ESTE</v>
          </cell>
        </row>
        <row r="3">
          <cell r="A3">
            <v>2</v>
          </cell>
          <cell r="C3" t="str">
            <v>25 DE MAYO-MEDANITO</v>
          </cell>
          <cell r="D3">
            <v>2600405</v>
          </cell>
          <cell r="E3">
            <v>5792810</v>
          </cell>
          <cell r="S3" t="str">
            <v>A20</v>
          </cell>
          <cell r="X3" t="str">
            <v>ZONA ESTE</v>
          </cell>
        </row>
        <row r="4">
          <cell r="A4">
            <v>3</v>
          </cell>
          <cell r="C4" t="str">
            <v>25 DE MAYO-MEDANITO</v>
          </cell>
          <cell r="D4">
            <v>2600389</v>
          </cell>
          <cell r="E4">
            <v>5792473</v>
          </cell>
          <cell r="S4" t="str">
            <v>A20</v>
          </cell>
          <cell r="X4" t="str">
            <v>ZONA ESTE</v>
          </cell>
        </row>
        <row r="5">
          <cell r="A5">
            <v>4</v>
          </cell>
          <cell r="C5" t="str">
            <v>25 DE MAYO-MEDANITO</v>
          </cell>
          <cell r="D5">
            <v>2600434</v>
          </cell>
          <cell r="E5">
            <v>5792090</v>
          </cell>
          <cell r="S5" t="str">
            <v>A20</v>
          </cell>
          <cell r="X5" t="str">
            <v>ZONA ESTE</v>
          </cell>
        </row>
        <row r="6">
          <cell r="A6">
            <v>5</v>
          </cell>
          <cell r="C6" t="str">
            <v>25 DE MAYO-MEDANITO</v>
          </cell>
          <cell r="D6">
            <v>2600842</v>
          </cell>
          <cell r="E6">
            <v>5792078</v>
          </cell>
          <cell r="S6" t="str">
            <v>A20</v>
          </cell>
          <cell r="X6" t="str">
            <v>ZONA ESTE</v>
          </cell>
        </row>
        <row r="7">
          <cell r="A7">
            <v>6</v>
          </cell>
          <cell r="C7" t="str">
            <v>25 DE MAYO-MEDANITO</v>
          </cell>
          <cell r="D7">
            <v>2601168</v>
          </cell>
          <cell r="E7">
            <v>5792054</v>
          </cell>
          <cell r="S7" t="str">
            <v>A20</v>
          </cell>
          <cell r="X7" t="str">
            <v>ZONA ESTE</v>
          </cell>
        </row>
        <row r="8">
          <cell r="A8">
            <v>7</v>
          </cell>
          <cell r="C8" t="str">
            <v>25 DE MAYO-MEDANITO</v>
          </cell>
          <cell r="D8">
            <v>2600410</v>
          </cell>
          <cell r="E8">
            <v>5791737</v>
          </cell>
          <cell r="S8" t="str">
            <v>A20</v>
          </cell>
          <cell r="X8" t="str">
            <v>ZONA ESTE</v>
          </cell>
        </row>
        <row r="9">
          <cell r="A9">
            <v>8</v>
          </cell>
          <cell r="C9" t="str">
            <v>25 DE MAYO-MEDANITO</v>
          </cell>
          <cell r="D9">
            <v>2600803</v>
          </cell>
          <cell r="E9">
            <v>5791686</v>
          </cell>
          <cell r="S9" t="str">
            <v>A20</v>
          </cell>
          <cell r="X9" t="str">
            <v>ZONA ESTE</v>
          </cell>
        </row>
        <row r="10">
          <cell r="A10">
            <v>9</v>
          </cell>
          <cell r="C10" t="str">
            <v>25 DE MAYO-MEDANITO</v>
          </cell>
          <cell r="D10">
            <v>2601132</v>
          </cell>
          <cell r="E10">
            <v>5791654</v>
          </cell>
          <cell r="S10" t="str">
            <v>A20</v>
          </cell>
          <cell r="X10" t="str">
            <v>ZONA ESTE</v>
          </cell>
        </row>
        <row r="11">
          <cell r="A11">
            <v>10</v>
          </cell>
          <cell r="C11" t="str">
            <v>25 DE MAYO-MEDANITO</v>
          </cell>
          <cell r="D11">
            <v>2602106</v>
          </cell>
          <cell r="E11">
            <v>5791289</v>
          </cell>
          <cell r="S11" t="str">
            <v>A20</v>
          </cell>
          <cell r="X11" t="str">
            <v>ZONA ESTE</v>
          </cell>
        </row>
        <row r="12">
          <cell r="A12">
            <v>11</v>
          </cell>
          <cell r="C12" t="str">
            <v>25 DE MAYO-MEDANITO</v>
          </cell>
          <cell r="D12">
            <v>2600665</v>
          </cell>
          <cell r="E12">
            <v>5791042</v>
          </cell>
          <cell r="S12" t="str">
            <v>A20</v>
          </cell>
          <cell r="X12" t="str">
            <v>ZONA ESTE</v>
          </cell>
        </row>
        <row r="13">
          <cell r="A13">
            <v>12</v>
          </cell>
          <cell r="C13" t="str">
            <v>25 DE MAYO-MEDANITO</v>
          </cell>
          <cell r="D13">
            <v>2601054</v>
          </cell>
          <cell r="E13">
            <v>5791034</v>
          </cell>
          <cell r="S13" t="str">
            <v>A20</v>
          </cell>
          <cell r="X13" t="str">
            <v>ZONA ESTE</v>
          </cell>
        </row>
        <row r="14">
          <cell r="A14">
            <v>13</v>
          </cell>
          <cell r="C14" t="str">
            <v>25 DE MAYO-MEDANITO</v>
          </cell>
          <cell r="D14">
            <v>2601450</v>
          </cell>
          <cell r="E14">
            <v>5791007</v>
          </cell>
          <cell r="S14" t="str">
            <v>A20</v>
          </cell>
          <cell r="X14" t="str">
            <v>ZONA ESTE</v>
          </cell>
        </row>
        <row r="15">
          <cell r="A15">
            <v>14</v>
          </cell>
          <cell r="C15" t="str">
            <v>25 DE MAYO-MEDANITO</v>
          </cell>
          <cell r="D15">
            <v>2601753</v>
          </cell>
          <cell r="E15">
            <v>5790999</v>
          </cell>
          <cell r="S15" t="str">
            <v>A20</v>
          </cell>
          <cell r="X15" t="str">
            <v>ZONA ESTE</v>
          </cell>
        </row>
        <row r="16">
          <cell r="A16">
            <v>15</v>
          </cell>
          <cell r="C16" t="str">
            <v>25 DE MAYO-MEDANITO</v>
          </cell>
          <cell r="D16">
            <v>2602102</v>
          </cell>
          <cell r="E16">
            <v>5790960</v>
          </cell>
          <cell r="S16" t="str">
            <v>A20</v>
          </cell>
          <cell r="X16" t="str">
            <v>ZONA ESTE</v>
          </cell>
        </row>
        <row r="17">
          <cell r="A17">
            <v>16</v>
          </cell>
          <cell r="C17" t="str">
            <v>25 DE MAYO-MEDANITO</v>
          </cell>
          <cell r="D17">
            <v>2602437</v>
          </cell>
          <cell r="E17">
            <v>5790960</v>
          </cell>
          <cell r="S17" t="str">
            <v>A20</v>
          </cell>
          <cell r="X17" t="str">
            <v>ZONA ESTE</v>
          </cell>
        </row>
        <row r="18">
          <cell r="A18">
            <v>17</v>
          </cell>
          <cell r="C18" t="str">
            <v>25 DE MAYO-MEDANITO</v>
          </cell>
          <cell r="D18">
            <v>2602795</v>
          </cell>
          <cell r="E18">
            <v>5790934</v>
          </cell>
          <cell r="S18" t="str">
            <v>A20</v>
          </cell>
          <cell r="X18" t="str">
            <v>ZONA ESTE</v>
          </cell>
        </row>
        <row r="19">
          <cell r="A19">
            <v>18</v>
          </cell>
          <cell r="C19" t="str">
            <v>25 DE MAYO-MEDANITO</v>
          </cell>
          <cell r="D19">
            <v>2602100</v>
          </cell>
          <cell r="E19">
            <v>5790632</v>
          </cell>
          <cell r="S19" t="str">
            <v>A20</v>
          </cell>
          <cell r="X19" t="str">
            <v>ZONA ESTE</v>
          </cell>
        </row>
        <row r="20">
          <cell r="A20">
            <v>19</v>
          </cell>
          <cell r="C20" t="str">
            <v>25 DE MAYO-MEDANITO</v>
          </cell>
          <cell r="D20">
            <v>2602438</v>
          </cell>
          <cell r="E20">
            <v>5790644</v>
          </cell>
          <cell r="S20" t="str">
            <v>A20</v>
          </cell>
          <cell r="X20" t="str">
            <v>ZONA ESTE</v>
          </cell>
        </row>
        <row r="21">
          <cell r="A21">
            <v>20</v>
          </cell>
          <cell r="C21" t="str">
            <v>25 DE MAYO-MEDANITO</v>
          </cell>
          <cell r="D21">
            <v>2602795</v>
          </cell>
          <cell r="E21">
            <v>5790605</v>
          </cell>
          <cell r="S21" t="str">
            <v>A20</v>
          </cell>
          <cell r="X21" t="str">
            <v>ZONA ESTE</v>
          </cell>
        </row>
        <row r="22">
          <cell r="A22">
            <v>21</v>
          </cell>
          <cell r="C22" t="str">
            <v>25 DE MAYO-MEDANITO</v>
          </cell>
          <cell r="D22">
            <v>2602088</v>
          </cell>
          <cell r="E22">
            <v>5790291</v>
          </cell>
          <cell r="S22" t="str">
            <v>A20</v>
          </cell>
          <cell r="X22" t="str">
            <v>ZONA ESTE</v>
          </cell>
        </row>
        <row r="23">
          <cell r="A23">
            <v>22</v>
          </cell>
          <cell r="C23" t="str">
            <v>25 DE MAYO-MEDANITO</v>
          </cell>
          <cell r="D23">
            <v>2602402</v>
          </cell>
          <cell r="E23">
            <v>5790279</v>
          </cell>
          <cell r="S23" t="str">
            <v>A20</v>
          </cell>
          <cell r="X23" t="str">
            <v>ZONA ESTE</v>
          </cell>
        </row>
        <row r="24">
          <cell r="A24">
            <v>23</v>
          </cell>
          <cell r="C24" t="str">
            <v>25 DE MAYO-MEDANITO</v>
          </cell>
          <cell r="D24">
            <v>2602756</v>
          </cell>
          <cell r="E24">
            <v>5790212</v>
          </cell>
          <cell r="S24" t="str">
            <v>A20</v>
          </cell>
          <cell r="X24" t="str">
            <v>ZONA ESTE</v>
          </cell>
        </row>
        <row r="25">
          <cell r="A25">
            <v>24</v>
          </cell>
          <cell r="C25" t="str">
            <v>25 DE MAYO-MEDANITO</v>
          </cell>
          <cell r="D25">
            <v>2601696</v>
          </cell>
          <cell r="E25">
            <v>5789955</v>
          </cell>
          <cell r="S25" t="str">
            <v>A20</v>
          </cell>
          <cell r="X25" t="str">
            <v>ZONA ESTE</v>
          </cell>
        </row>
        <row r="26">
          <cell r="A26">
            <v>25</v>
          </cell>
          <cell r="C26" t="str">
            <v>25 DE MAYO-MEDANITO</v>
          </cell>
          <cell r="D26">
            <v>2602371</v>
          </cell>
          <cell r="E26">
            <v>5789924</v>
          </cell>
          <cell r="S26" t="str">
            <v>A20</v>
          </cell>
          <cell r="X26" t="str">
            <v>ZONA ESTE</v>
          </cell>
        </row>
        <row r="27">
          <cell r="A27">
            <v>26</v>
          </cell>
          <cell r="C27" t="str">
            <v>25 DE MAYO-MEDANITO</v>
          </cell>
          <cell r="D27">
            <v>2602760</v>
          </cell>
          <cell r="E27">
            <v>5789912</v>
          </cell>
          <cell r="S27" t="str">
            <v>A20</v>
          </cell>
          <cell r="X27" t="str">
            <v>ZONA ESTE</v>
          </cell>
        </row>
        <row r="28">
          <cell r="A28">
            <v>27</v>
          </cell>
          <cell r="C28" t="str">
            <v>25 DE MAYO-MEDANITO</v>
          </cell>
          <cell r="D28">
            <v>2603114</v>
          </cell>
          <cell r="E28">
            <v>5789905</v>
          </cell>
          <cell r="S28" t="str">
            <v>A20</v>
          </cell>
          <cell r="X28" t="str">
            <v>ZONA ESTE</v>
          </cell>
        </row>
        <row r="29">
          <cell r="A29">
            <v>28</v>
          </cell>
          <cell r="C29" t="str">
            <v>25 DE MAYO-MEDANITO</v>
          </cell>
          <cell r="D29">
            <v>2601688</v>
          </cell>
          <cell r="E29">
            <v>5789630</v>
          </cell>
          <cell r="S29" t="str">
            <v>A20</v>
          </cell>
          <cell r="X29" t="str">
            <v>ZONA ESTE</v>
          </cell>
        </row>
        <row r="30">
          <cell r="A30">
            <v>29</v>
          </cell>
          <cell r="C30" t="str">
            <v>25 DE MAYO-MEDANITO</v>
          </cell>
          <cell r="D30">
            <v>2602033</v>
          </cell>
          <cell r="E30">
            <v>5789587</v>
          </cell>
          <cell r="S30" t="str">
            <v>A20</v>
          </cell>
          <cell r="X30" t="str">
            <v>ZONA ESTE</v>
          </cell>
        </row>
        <row r="31">
          <cell r="A31">
            <v>30</v>
          </cell>
          <cell r="C31" t="str">
            <v>25 DE MAYO-MEDANITO</v>
          </cell>
          <cell r="D31">
            <v>2602716</v>
          </cell>
          <cell r="E31">
            <v>5789548</v>
          </cell>
          <cell r="S31" t="str">
            <v>A20</v>
          </cell>
          <cell r="X31" t="str">
            <v>ZONA ESTE</v>
          </cell>
        </row>
        <row r="32">
          <cell r="A32">
            <v>31</v>
          </cell>
          <cell r="C32" t="str">
            <v>25 DE MAYO-MEDANITO</v>
          </cell>
          <cell r="D32">
            <v>2603058</v>
          </cell>
          <cell r="E32">
            <v>5789485</v>
          </cell>
          <cell r="S32" t="str">
            <v>A20</v>
          </cell>
          <cell r="X32" t="str">
            <v>ZONA ESTE</v>
          </cell>
        </row>
        <row r="33">
          <cell r="A33">
            <v>32</v>
          </cell>
          <cell r="C33" t="str">
            <v>25 DE MAYO-MEDANITO</v>
          </cell>
          <cell r="D33">
            <v>2603411</v>
          </cell>
          <cell r="E33">
            <v>5789422</v>
          </cell>
          <cell r="S33" t="str">
            <v>A20</v>
          </cell>
          <cell r="X33" t="str">
            <v>ZONA ESTE</v>
          </cell>
        </row>
        <row r="34">
          <cell r="A34">
            <v>33</v>
          </cell>
          <cell r="C34" t="str">
            <v>25 DE MAYO-MEDANITO</v>
          </cell>
          <cell r="D34">
            <v>2602002</v>
          </cell>
          <cell r="E34">
            <v>5789226</v>
          </cell>
          <cell r="S34" t="str">
            <v>A20</v>
          </cell>
          <cell r="X34" t="str">
            <v>ZONA ESTE</v>
          </cell>
        </row>
        <row r="35">
          <cell r="A35">
            <v>34</v>
          </cell>
          <cell r="C35" t="str">
            <v>25 DE MAYO-MEDANITO</v>
          </cell>
          <cell r="D35">
            <v>2602332</v>
          </cell>
          <cell r="E35">
            <v>5789214</v>
          </cell>
          <cell r="S35" t="str">
            <v>A20</v>
          </cell>
          <cell r="X35" t="str">
            <v>ZONA ESTE</v>
          </cell>
        </row>
        <row r="36">
          <cell r="A36">
            <v>35</v>
          </cell>
          <cell r="C36" t="str">
            <v>25 DE MAYO-MEDANITO</v>
          </cell>
          <cell r="D36">
            <v>2602665</v>
          </cell>
          <cell r="E36">
            <v>5789183</v>
          </cell>
          <cell r="S36" t="str">
            <v>A20</v>
          </cell>
          <cell r="X36" t="str">
            <v>ZONA ESTE</v>
          </cell>
        </row>
        <row r="37">
          <cell r="A37">
            <v>36</v>
          </cell>
          <cell r="C37" t="str">
            <v>25 DE MAYO-MEDANITO</v>
          </cell>
          <cell r="D37">
            <v>2603070</v>
          </cell>
          <cell r="E37">
            <v>5789151</v>
          </cell>
          <cell r="S37" t="str">
            <v>A20</v>
          </cell>
          <cell r="X37" t="str">
            <v>ZONA ESTE</v>
          </cell>
        </row>
        <row r="38">
          <cell r="A38">
            <v>37</v>
          </cell>
          <cell r="C38" t="str">
            <v>25 DE MAYO-MEDANITO</v>
          </cell>
          <cell r="D38">
            <v>2603368</v>
          </cell>
          <cell r="E38">
            <v>5789089</v>
          </cell>
          <cell r="S38" t="str">
            <v>A20</v>
          </cell>
          <cell r="X38" t="str">
            <v>ZONA ESTE</v>
          </cell>
        </row>
        <row r="39">
          <cell r="A39">
            <v>38</v>
          </cell>
          <cell r="C39" t="str">
            <v>25 DE MAYO-MEDANITO</v>
          </cell>
          <cell r="D39">
            <v>2603714</v>
          </cell>
          <cell r="E39">
            <v>5789096</v>
          </cell>
          <cell r="S39" t="str">
            <v>A20</v>
          </cell>
          <cell r="X39" t="str">
            <v>ZONA ESTE</v>
          </cell>
        </row>
        <row r="40">
          <cell r="A40">
            <v>39</v>
          </cell>
          <cell r="C40" t="str">
            <v>25 DE MAYO-MEDANITO</v>
          </cell>
          <cell r="D40">
            <v>2602297</v>
          </cell>
          <cell r="E40">
            <v>5788850</v>
          </cell>
          <cell r="S40" t="str">
            <v>A20</v>
          </cell>
          <cell r="X40" t="str">
            <v>ZONA ESTE</v>
          </cell>
        </row>
        <row r="41">
          <cell r="A41">
            <v>40</v>
          </cell>
          <cell r="C41" t="str">
            <v>25 DE MAYO-MEDANITO</v>
          </cell>
          <cell r="D41">
            <v>2602694</v>
          </cell>
          <cell r="E41">
            <v>5788823</v>
          </cell>
          <cell r="S41" t="str">
            <v>A20</v>
          </cell>
          <cell r="X41" t="str">
            <v>ZONA ESTE</v>
          </cell>
        </row>
        <row r="42">
          <cell r="A42">
            <v>41</v>
          </cell>
          <cell r="C42" t="str">
            <v>25 DE MAYO-MEDANITO</v>
          </cell>
          <cell r="D42">
            <v>2603031</v>
          </cell>
          <cell r="E42">
            <v>5788843</v>
          </cell>
          <cell r="S42" t="str">
            <v>A20</v>
          </cell>
          <cell r="X42" t="str">
            <v>ZONA ESTE</v>
          </cell>
        </row>
        <row r="43">
          <cell r="A43">
            <v>42</v>
          </cell>
          <cell r="C43" t="str">
            <v>25 DE MAYO-MEDANITO</v>
          </cell>
          <cell r="D43">
            <v>2603385</v>
          </cell>
          <cell r="E43">
            <v>5788737</v>
          </cell>
          <cell r="S43" t="str">
            <v>A20</v>
          </cell>
          <cell r="X43" t="str">
            <v>ZONA ESTE</v>
          </cell>
        </row>
        <row r="44">
          <cell r="A44">
            <v>43</v>
          </cell>
          <cell r="C44" t="str">
            <v>25 DE MAYO-MEDANITO</v>
          </cell>
          <cell r="D44">
            <v>2603707</v>
          </cell>
          <cell r="E44">
            <v>5788768</v>
          </cell>
          <cell r="S44" t="str">
            <v>A20</v>
          </cell>
          <cell r="X44" t="str">
            <v>ZONA ESTE</v>
          </cell>
        </row>
        <row r="45">
          <cell r="A45">
            <v>44</v>
          </cell>
          <cell r="C45" t="str">
            <v>25 DE MAYO-MEDANITO</v>
          </cell>
          <cell r="D45">
            <v>2604060</v>
          </cell>
          <cell r="E45">
            <v>5788790</v>
          </cell>
          <cell r="S45" t="str">
            <v>A20</v>
          </cell>
          <cell r="X45" t="str">
            <v>ZONA ESTE</v>
          </cell>
        </row>
        <row r="46">
          <cell r="A46">
            <v>45</v>
          </cell>
          <cell r="C46" t="str">
            <v>25 DE MAYO-MEDANITO</v>
          </cell>
          <cell r="D46">
            <v>2602662</v>
          </cell>
          <cell r="E46">
            <v>5788490</v>
          </cell>
          <cell r="S46" t="str">
            <v>A20</v>
          </cell>
          <cell r="X46" t="str">
            <v>ZONA ESTE</v>
          </cell>
        </row>
        <row r="47">
          <cell r="A47">
            <v>46</v>
          </cell>
          <cell r="C47" t="str">
            <v>25 DE MAYO-MEDANITO</v>
          </cell>
          <cell r="D47">
            <v>2602941</v>
          </cell>
          <cell r="E47">
            <v>5788427</v>
          </cell>
          <cell r="S47" t="str">
            <v>A20</v>
          </cell>
          <cell r="X47" t="str">
            <v>ZONA ESTE</v>
          </cell>
        </row>
        <row r="48">
          <cell r="A48">
            <v>47</v>
          </cell>
          <cell r="C48" t="str">
            <v>25 DE MAYO-MEDANITO</v>
          </cell>
          <cell r="D48">
            <v>2603279</v>
          </cell>
          <cell r="E48">
            <v>5788403</v>
          </cell>
          <cell r="S48" t="str">
            <v>A20</v>
          </cell>
          <cell r="X48" t="str">
            <v>ZONA ESTE</v>
          </cell>
        </row>
        <row r="49">
          <cell r="A49">
            <v>48</v>
          </cell>
          <cell r="C49" t="str">
            <v>25 DE MAYO-MEDANITO</v>
          </cell>
          <cell r="D49">
            <v>2603675</v>
          </cell>
          <cell r="E49">
            <v>5788415</v>
          </cell>
          <cell r="S49" t="str">
            <v>A20</v>
          </cell>
          <cell r="X49" t="str">
            <v>ZONA ESTE</v>
          </cell>
        </row>
        <row r="50">
          <cell r="A50">
            <v>49</v>
          </cell>
          <cell r="C50" t="str">
            <v>25 DE MAYO-MEDANITO</v>
          </cell>
          <cell r="D50">
            <v>2604060</v>
          </cell>
          <cell r="E50">
            <v>5788407</v>
          </cell>
          <cell r="S50" t="str">
            <v>A20</v>
          </cell>
          <cell r="X50" t="str">
            <v>ZONA ESTE</v>
          </cell>
        </row>
        <row r="51">
          <cell r="A51">
            <v>50</v>
          </cell>
          <cell r="C51" t="str">
            <v>25 DE MAYO-MEDANITO</v>
          </cell>
          <cell r="D51">
            <v>2604426</v>
          </cell>
          <cell r="E51">
            <v>5788406</v>
          </cell>
          <cell r="S51" t="str">
            <v>A20</v>
          </cell>
          <cell r="X51" t="str">
            <v>ZONA ESTE</v>
          </cell>
        </row>
        <row r="52">
          <cell r="A52">
            <v>51</v>
          </cell>
          <cell r="C52" t="str">
            <v>25 DE MAYO-MEDANITO</v>
          </cell>
          <cell r="D52">
            <v>2602895</v>
          </cell>
          <cell r="E52">
            <v>5788061</v>
          </cell>
          <cell r="S52" t="str">
            <v>A20</v>
          </cell>
          <cell r="X52" t="str">
            <v>ZONA ESTE</v>
          </cell>
        </row>
        <row r="53">
          <cell r="A53">
            <v>52</v>
          </cell>
          <cell r="C53" t="str">
            <v>25 DE MAYO-MEDANITO</v>
          </cell>
          <cell r="D53">
            <v>2603284</v>
          </cell>
          <cell r="E53">
            <v>5788081</v>
          </cell>
          <cell r="S53" t="str">
            <v>A20</v>
          </cell>
          <cell r="X53" t="str">
            <v>ZONA ESTE</v>
          </cell>
        </row>
        <row r="54">
          <cell r="A54">
            <v>53</v>
          </cell>
          <cell r="C54" t="str">
            <v>25 DE MAYO-MEDANITO</v>
          </cell>
          <cell r="D54">
            <v>2603641</v>
          </cell>
          <cell r="E54">
            <v>5788073</v>
          </cell>
          <cell r="S54" t="str">
            <v>A20</v>
          </cell>
          <cell r="X54" t="str">
            <v>ZONA ESTE</v>
          </cell>
        </row>
        <row r="55">
          <cell r="A55">
            <v>54</v>
          </cell>
          <cell r="C55" t="str">
            <v>25 DE MAYO-MEDANITO</v>
          </cell>
          <cell r="D55">
            <v>2604034</v>
          </cell>
          <cell r="E55">
            <v>5788081</v>
          </cell>
          <cell r="S55" t="str">
            <v>A20</v>
          </cell>
          <cell r="X55" t="str">
            <v>ZONA ESTE</v>
          </cell>
        </row>
        <row r="56">
          <cell r="A56">
            <v>55</v>
          </cell>
          <cell r="C56" t="str">
            <v>25 DE MAYO-MEDANITO</v>
          </cell>
          <cell r="D56">
            <v>2604406</v>
          </cell>
          <cell r="E56">
            <v>5788057</v>
          </cell>
          <cell r="S56" t="str">
            <v>A20</v>
          </cell>
          <cell r="X56" t="str">
            <v>ZONA ESTE</v>
          </cell>
        </row>
        <row r="57">
          <cell r="A57">
            <v>56</v>
          </cell>
          <cell r="C57" t="str">
            <v>25 DE MAYO-MEDANITO</v>
          </cell>
          <cell r="D57">
            <v>2604811</v>
          </cell>
          <cell r="E57">
            <v>5788006</v>
          </cell>
          <cell r="S57" t="str">
            <v>A20</v>
          </cell>
          <cell r="X57" t="str">
            <v>ZONA ESTE</v>
          </cell>
        </row>
        <row r="58">
          <cell r="A58">
            <v>57</v>
          </cell>
          <cell r="C58" t="str">
            <v>25 DE MAYO-MEDANITO</v>
          </cell>
          <cell r="D58">
            <v>2603233</v>
          </cell>
          <cell r="E58">
            <v>5787767</v>
          </cell>
          <cell r="S58" t="str">
            <v>A20</v>
          </cell>
          <cell r="X58" t="str">
            <v>ZONA ESTE</v>
          </cell>
        </row>
        <row r="59">
          <cell r="A59">
            <v>58</v>
          </cell>
          <cell r="C59" t="str">
            <v>25 DE MAYO-MEDANITO</v>
          </cell>
          <cell r="D59">
            <v>2603633</v>
          </cell>
          <cell r="E59">
            <v>5787716</v>
          </cell>
          <cell r="S59" t="str">
            <v>A20</v>
          </cell>
          <cell r="X59" t="str">
            <v>ZONA ESTE</v>
          </cell>
        </row>
        <row r="60">
          <cell r="A60">
            <v>59</v>
          </cell>
          <cell r="C60" t="str">
            <v>25 DE MAYO-MEDANITO</v>
          </cell>
          <cell r="D60">
            <v>2604403</v>
          </cell>
          <cell r="E60">
            <v>5787751</v>
          </cell>
          <cell r="S60" t="str">
            <v>A20</v>
          </cell>
          <cell r="X60" t="str">
            <v>ZONA ESTE</v>
          </cell>
        </row>
        <row r="61">
          <cell r="A61">
            <v>60</v>
          </cell>
          <cell r="C61" t="str">
            <v>25 DE MAYO-MEDANITO</v>
          </cell>
          <cell r="D61">
            <v>2604795</v>
          </cell>
          <cell r="E61">
            <v>5787743</v>
          </cell>
          <cell r="S61" t="str">
            <v>A20</v>
          </cell>
          <cell r="X61" t="str">
            <v>ZONA ESTE</v>
          </cell>
        </row>
        <row r="62">
          <cell r="A62">
            <v>61</v>
          </cell>
          <cell r="C62" t="str">
            <v>25 DE MAYO-MEDANITO</v>
          </cell>
          <cell r="D62">
            <v>2603685</v>
          </cell>
          <cell r="E62">
            <v>5787389</v>
          </cell>
          <cell r="S62" t="str">
            <v>A20</v>
          </cell>
          <cell r="X62" t="str">
            <v>ZONA ESTE</v>
          </cell>
        </row>
        <row r="63">
          <cell r="A63">
            <v>62</v>
          </cell>
          <cell r="C63" t="str">
            <v>25 DE MAYO-MEDANITO</v>
          </cell>
          <cell r="D63">
            <v>2604069</v>
          </cell>
          <cell r="E63">
            <v>5787455</v>
          </cell>
          <cell r="S63" t="str">
            <v>A20</v>
          </cell>
          <cell r="X63" t="str">
            <v>ZONA ESTE</v>
          </cell>
        </row>
        <row r="64">
          <cell r="A64">
            <v>63</v>
          </cell>
          <cell r="C64" t="str">
            <v>25 DE MAYO-MEDANITO</v>
          </cell>
          <cell r="D64">
            <v>2604401</v>
          </cell>
          <cell r="E64">
            <v>5787517</v>
          </cell>
          <cell r="S64" t="str">
            <v>A20</v>
          </cell>
          <cell r="X64" t="str">
            <v>ZONA ESTE</v>
          </cell>
        </row>
        <row r="65">
          <cell r="A65">
            <v>64</v>
          </cell>
          <cell r="C65" t="str">
            <v>25 DE MAYO-MEDANITO</v>
          </cell>
          <cell r="D65">
            <v>2604753</v>
          </cell>
          <cell r="E65">
            <v>5787391</v>
          </cell>
          <cell r="S65" t="str">
            <v>A20</v>
          </cell>
          <cell r="X65" t="str">
            <v>ZONA ESTE</v>
          </cell>
        </row>
        <row r="66">
          <cell r="A66">
            <v>65</v>
          </cell>
          <cell r="C66" t="str">
            <v>25 DE MAYO-MEDANITO</v>
          </cell>
          <cell r="D66">
            <v>2603744</v>
          </cell>
          <cell r="E66">
            <v>5787087</v>
          </cell>
          <cell r="S66" t="str">
            <v>A20</v>
          </cell>
          <cell r="X66" t="str">
            <v>ZONA ESTE</v>
          </cell>
        </row>
        <row r="67">
          <cell r="A67">
            <v>66</v>
          </cell>
          <cell r="C67" t="str">
            <v>25 DE MAYO-MEDANITO</v>
          </cell>
          <cell r="D67">
            <v>2604097</v>
          </cell>
          <cell r="E67">
            <v>5787153</v>
          </cell>
          <cell r="S67" t="str">
            <v>A20</v>
          </cell>
          <cell r="X67" t="str">
            <v>ZONA ESTE</v>
          </cell>
        </row>
        <row r="68">
          <cell r="A68">
            <v>67</v>
          </cell>
          <cell r="C68" t="str">
            <v>25 DE MAYO-MEDANITO</v>
          </cell>
          <cell r="D68">
            <v>2604410</v>
          </cell>
          <cell r="E68">
            <v>5787063</v>
          </cell>
          <cell r="S68" t="str">
            <v>A20</v>
          </cell>
          <cell r="X68" t="str">
            <v>ZONA ESTE</v>
          </cell>
        </row>
        <row r="69">
          <cell r="A69">
            <v>68</v>
          </cell>
          <cell r="C69" t="str">
            <v>25 DE MAYO-MEDANITO</v>
          </cell>
          <cell r="D69">
            <v>2604076</v>
          </cell>
          <cell r="E69">
            <v>5786774</v>
          </cell>
          <cell r="S69" t="str">
            <v>A20</v>
          </cell>
          <cell r="X69" t="str">
            <v>ZONA ESTE</v>
          </cell>
        </row>
        <row r="70">
          <cell r="A70">
            <v>69</v>
          </cell>
          <cell r="C70" t="str">
            <v>25 DE MAYO-MEDANITO</v>
          </cell>
          <cell r="D70">
            <v>2604384</v>
          </cell>
          <cell r="E70">
            <v>5786767</v>
          </cell>
          <cell r="S70" t="str">
            <v>A20</v>
          </cell>
          <cell r="X70" t="str">
            <v>ZONA ESTE</v>
          </cell>
        </row>
        <row r="71">
          <cell r="A71">
            <v>1</v>
          </cell>
          <cell r="C71" t="str">
            <v>25 DE MAYO-MEDANITO</v>
          </cell>
          <cell r="D71">
            <v>2600637</v>
          </cell>
          <cell r="E71">
            <v>5792257</v>
          </cell>
          <cell r="S71" t="str">
            <v>A40</v>
          </cell>
          <cell r="X71" t="str">
            <v>ZONA ESTE</v>
          </cell>
        </row>
        <row r="72">
          <cell r="A72">
            <v>2</v>
          </cell>
          <cell r="C72" t="str">
            <v>25 DE MAYO-MEDANITO</v>
          </cell>
          <cell r="D72">
            <v>2601928</v>
          </cell>
          <cell r="E72">
            <v>5790782</v>
          </cell>
          <cell r="S72" t="str">
            <v>A40</v>
          </cell>
          <cell r="X72" t="str">
            <v>ZONA ESTE</v>
          </cell>
        </row>
        <row r="73">
          <cell r="A73">
            <v>3</v>
          </cell>
          <cell r="C73" t="str">
            <v>25 DE MAYO-MEDANITO</v>
          </cell>
          <cell r="D73">
            <v>2602634</v>
          </cell>
          <cell r="E73">
            <v>5790785</v>
          </cell>
          <cell r="S73" t="str">
            <v>A40</v>
          </cell>
          <cell r="X73" t="str">
            <v>ZONA ESTE</v>
          </cell>
        </row>
        <row r="74">
          <cell r="A74">
            <v>6</v>
          </cell>
          <cell r="C74" t="str">
            <v>25 DE MAYO-MEDANITO</v>
          </cell>
          <cell r="D74">
            <v>2602562</v>
          </cell>
          <cell r="E74">
            <v>5790101</v>
          </cell>
          <cell r="S74" t="str">
            <v>A40</v>
          </cell>
          <cell r="X74" t="str">
            <v>ZONA ESTE</v>
          </cell>
        </row>
        <row r="75">
          <cell r="A75">
            <v>7</v>
          </cell>
          <cell r="C75" t="str">
            <v>25 DE MAYO-MEDANITO</v>
          </cell>
          <cell r="D75">
            <v>2602229</v>
          </cell>
          <cell r="E75">
            <v>5789805</v>
          </cell>
          <cell r="S75" t="str">
            <v>A40</v>
          </cell>
          <cell r="X75" t="str">
            <v>ZONA ESTE</v>
          </cell>
        </row>
        <row r="76">
          <cell r="A76">
            <v>8</v>
          </cell>
          <cell r="C76" t="str">
            <v>25 DE MAYO-MEDANITO</v>
          </cell>
          <cell r="D76">
            <v>2602504</v>
          </cell>
          <cell r="E76">
            <v>5789366</v>
          </cell>
          <cell r="S76" t="str">
            <v>A40</v>
          </cell>
          <cell r="X76" t="str">
            <v>ZONA ESTE</v>
          </cell>
        </row>
        <row r="77">
          <cell r="A77">
            <v>9</v>
          </cell>
          <cell r="C77" t="str">
            <v>25 DE MAYO-MEDANITO</v>
          </cell>
          <cell r="D77">
            <v>2603198</v>
          </cell>
          <cell r="E77">
            <v>5789294</v>
          </cell>
          <cell r="S77" t="str">
            <v>A40</v>
          </cell>
          <cell r="X77" t="str">
            <v>ZONA ESTE</v>
          </cell>
        </row>
        <row r="78">
          <cell r="A78">
            <v>10</v>
          </cell>
          <cell r="C78" t="str">
            <v>25 DE MAYO-MEDANITO</v>
          </cell>
          <cell r="D78">
            <v>2603160</v>
          </cell>
          <cell r="E78">
            <v>5788603</v>
          </cell>
          <cell r="S78" t="str">
            <v>A40</v>
          </cell>
          <cell r="X78" t="str">
            <v>ZONA ESTE</v>
          </cell>
        </row>
        <row r="79">
          <cell r="A79">
            <v>11</v>
          </cell>
          <cell r="C79" t="str">
            <v>25 DE MAYO-MEDANITO</v>
          </cell>
          <cell r="D79">
            <v>2603880</v>
          </cell>
          <cell r="E79">
            <v>5788620</v>
          </cell>
          <cell r="S79" t="str">
            <v>A40</v>
          </cell>
          <cell r="X79" t="str">
            <v>ZONA ESTE</v>
          </cell>
        </row>
        <row r="80">
          <cell r="A80">
            <v>12</v>
          </cell>
          <cell r="C80" t="str">
            <v>25 DE MAYO-MEDANITO</v>
          </cell>
          <cell r="D80">
            <v>2603860</v>
          </cell>
          <cell r="E80">
            <v>5787950</v>
          </cell>
          <cell r="S80" t="str">
            <v>A40</v>
          </cell>
          <cell r="X80" t="str">
            <v>ZONA ESTE</v>
          </cell>
        </row>
        <row r="81">
          <cell r="A81">
            <v>13</v>
          </cell>
          <cell r="C81" t="str">
            <v>25 DE MAYO-MEDANITO</v>
          </cell>
          <cell r="D81">
            <v>2604610</v>
          </cell>
          <cell r="E81">
            <v>5787950</v>
          </cell>
          <cell r="S81" t="str">
            <v>A40</v>
          </cell>
          <cell r="X81" t="str">
            <v>ZONA ESTE</v>
          </cell>
        </row>
        <row r="82">
          <cell r="A82">
            <v>14</v>
          </cell>
          <cell r="C82" t="str">
            <v>25 DE MAYO-MEDANITO</v>
          </cell>
          <cell r="D82">
            <v>2604950</v>
          </cell>
          <cell r="E82">
            <v>5787580</v>
          </cell>
          <cell r="S82" t="str">
            <v>A40</v>
          </cell>
          <cell r="X82" t="str">
            <v>ZONA ESTE</v>
          </cell>
        </row>
        <row r="83">
          <cell r="A83">
            <v>15</v>
          </cell>
          <cell r="C83" t="str">
            <v>25 DE MAYO-MEDANITO</v>
          </cell>
          <cell r="D83">
            <v>2605310</v>
          </cell>
          <cell r="E83">
            <v>5787460</v>
          </cell>
          <cell r="S83" t="str">
            <v>A40</v>
          </cell>
          <cell r="X83" t="str">
            <v>ZONA ESTE</v>
          </cell>
        </row>
        <row r="84">
          <cell r="A84">
            <v>16</v>
          </cell>
          <cell r="C84" t="str">
            <v>25 DE MAYO-MEDANITO</v>
          </cell>
          <cell r="D84">
            <v>2603910</v>
          </cell>
          <cell r="E84">
            <v>5787260</v>
          </cell>
          <cell r="S84" t="str">
            <v>A40</v>
          </cell>
          <cell r="X84" t="str">
            <v>ZONA ESTE</v>
          </cell>
        </row>
        <row r="85">
          <cell r="A85">
            <v>17</v>
          </cell>
          <cell r="C85" t="str">
            <v>25 DE MAYO-MEDANITO</v>
          </cell>
          <cell r="D85">
            <v>2605306</v>
          </cell>
          <cell r="E85">
            <v>5787151</v>
          </cell>
          <cell r="S85" t="str">
            <v>A40</v>
          </cell>
          <cell r="X85" t="str">
            <v>ZONA ESTE</v>
          </cell>
        </row>
        <row r="86">
          <cell r="A86">
            <v>18</v>
          </cell>
          <cell r="C86" t="str">
            <v>25 DE MAYO-MEDANITO</v>
          </cell>
          <cell r="D86">
            <v>2603589</v>
          </cell>
          <cell r="E86">
            <v>5786902</v>
          </cell>
          <cell r="S86" t="str">
            <v>A40</v>
          </cell>
          <cell r="X86" t="str">
            <v>ZONA ESTE</v>
          </cell>
        </row>
        <row r="87">
          <cell r="A87">
            <v>19</v>
          </cell>
          <cell r="C87" t="str">
            <v>25 DE MAYO-MEDANITO</v>
          </cell>
          <cell r="D87">
            <v>2604248</v>
          </cell>
          <cell r="E87">
            <v>5786926</v>
          </cell>
          <cell r="S87" t="str">
            <v>A40</v>
          </cell>
          <cell r="X87" t="str">
            <v>ZONA ESTE</v>
          </cell>
        </row>
        <row r="88">
          <cell r="A88">
            <v>20</v>
          </cell>
          <cell r="C88" t="str">
            <v>25 DE MAYO-MEDANITO</v>
          </cell>
          <cell r="D88">
            <v>2604935</v>
          </cell>
          <cell r="E88">
            <v>5786878</v>
          </cell>
          <cell r="S88" t="str">
            <v>A40</v>
          </cell>
          <cell r="X88" t="str">
            <v>ZONA ESTE</v>
          </cell>
        </row>
        <row r="89">
          <cell r="A89">
            <v>21</v>
          </cell>
          <cell r="C89" t="str">
            <v>25 DE MAYO-MEDANITO</v>
          </cell>
          <cell r="D89">
            <v>2604534</v>
          </cell>
          <cell r="E89">
            <v>5786572</v>
          </cell>
          <cell r="S89" t="str">
            <v>A40</v>
          </cell>
          <cell r="X89" t="str">
            <v>ZONA ESTE</v>
          </cell>
        </row>
        <row r="90">
          <cell r="A90">
            <v>22</v>
          </cell>
          <cell r="C90" t="str">
            <v>25 DE MAYO-MEDANITO</v>
          </cell>
          <cell r="D90">
            <v>2602979</v>
          </cell>
          <cell r="E90">
            <v>5791109</v>
          </cell>
          <cell r="S90" t="str">
            <v>A40</v>
          </cell>
          <cell r="X90" t="str">
            <v>ZONA ESTE</v>
          </cell>
        </row>
        <row r="91">
          <cell r="A91">
            <v>23</v>
          </cell>
          <cell r="C91" t="str">
            <v>25 DE MAYO-MEDANITO</v>
          </cell>
          <cell r="D91">
            <v>2603260</v>
          </cell>
          <cell r="E91">
            <v>5790752</v>
          </cell>
          <cell r="S91" t="str">
            <v>A40</v>
          </cell>
          <cell r="X91" t="str">
            <v>ZONA ESTE</v>
          </cell>
        </row>
        <row r="92">
          <cell r="A92">
            <v>24</v>
          </cell>
          <cell r="C92" t="str">
            <v>25 DE MAYO-MEDANITO</v>
          </cell>
          <cell r="D92">
            <v>2603649</v>
          </cell>
          <cell r="E92">
            <v>5790404</v>
          </cell>
          <cell r="S92" t="str">
            <v>A40</v>
          </cell>
          <cell r="X92" t="str">
            <v>ZONA ESTE</v>
          </cell>
        </row>
        <row r="93">
          <cell r="A93">
            <v>25</v>
          </cell>
          <cell r="C93" t="str">
            <v>25 DE MAYO-MEDANITO</v>
          </cell>
          <cell r="D93">
            <v>2605680</v>
          </cell>
          <cell r="E93">
            <v>5788100</v>
          </cell>
          <cell r="S93" t="str">
            <v>A40</v>
          </cell>
          <cell r="X93" t="str">
            <v>ZONA ESTE</v>
          </cell>
        </row>
        <row r="94">
          <cell r="A94">
            <v>26</v>
          </cell>
          <cell r="C94" t="str">
            <v>25 DE MAYO-MEDANITO</v>
          </cell>
          <cell r="D94">
            <v>2606110</v>
          </cell>
          <cell r="E94">
            <v>5788130</v>
          </cell>
          <cell r="S94" t="str">
            <v>A40</v>
          </cell>
          <cell r="X94" t="str">
            <v>ZONA ESTE</v>
          </cell>
        </row>
        <row r="95">
          <cell r="A95">
            <v>28</v>
          </cell>
          <cell r="C95" t="str">
            <v>25 DE MAYO-MEDANITO</v>
          </cell>
          <cell r="D95">
            <v>2603879</v>
          </cell>
          <cell r="E95">
            <v>5789254</v>
          </cell>
          <cell r="S95" t="str">
            <v>A40</v>
          </cell>
          <cell r="X95" t="str">
            <v>ZONA ESTE</v>
          </cell>
        </row>
        <row r="96">
          <cell r="A96">
            <v>29</v>
          </cell>
          <cell r="C96" t="str">
            <v>25 DE MAYO-MEDANITO</v>
          </cell>
          <cell r="D96">
            <v>2604279</v>
          </cell>
          <cell r="E96">
            <v>5789280</v>
          </cell>
          <cell r="S96" t="str">
            <v>A40</v>
          </cell>
          <cell r="X96" t="str">
            <v>ZONA ESTE</v>
          </cell>
        </row>
        <row r="97">
          <cell r="A97">
            <v>31</v>
          </cell>
          <cell r="C97" t="str">
            <v>25 DE MAYO-MEDANITO</v>
          </cell>
          <cell r="D97">
            <v>2604589</v>
          </cell>
          <cell r="E97">
            <v>5788984</v>
          </cell>
          <cell r="S97" t="str">
            <v>A40</v>
          </cell>
          <cell r="X97" t="str">
            <v>ZONA ESTE</v>
          </cell>
        </row>
        <row r="98">
          <cell r="A98">
            <v>33</v>
          </cell>
          <cell r="C98" t="str">
            <v>25 DE MAYO-MEDANITO</v>
          </cell>
          <cell r="D98">
            <v>2604946</v>
          </cell>
          <cell r="E98">
            <v>5788571</v>
          </cell>
          <cell r="S98" t="str">
            <v>A40</v>
          </cell>
          <cell r="X98" t="str">
            <v>ZONA ESTE</v>
          </cell>
        </row>
        <row r="99">
          <cell r="A99">
            <v>34</v>
          </cell>
          <cell r="C99" t="str">
            <v>25 DE MAYO-MEDANITO</v>
          </cell>
          <cell r="D99">
            <v>2604950</v>
          </cell>
          <cell r="E99">
            <v>5788170</v>
          </cell>
          <cell r="S99" t="str">
            <v>A40</v>
          </cell>
          <cell r="X99" t="str">
            <v>ZONA ESTE</v>
          </cell>
        </row>
        <row r="100">
          <cell r="A100">
            <v>35</v>
          </cell>
          <cell r="C100" t="str">
            <v>25 DE MAYO-MEDANITO</v>
          </cell>
          <cell r="D100">
            <v>2603247</v>
          </cell>
          <cell r="E100">
            <v>5790055</v>
          </cell>
          <cell r="S100" t="str">
            <v>A40</v>
          </cell>
          <cell r="X100" t="str">
            <v>ZONA ESTE</v>
          </cell>
        </row>
        <row r="101">
          <cell r="A101">
            <v>38</v>
          </cell>
          <cell r="C101" t="str">
            <v>25 DE MAYO-MEDANITO</v>
          </cell>
          <cell r="D101">
            <v>2605351</v>
          </cell>
          <cell r="E101">
            <v>5788818</v>
          </cell>
          <cell r="S101" t="str">
            <v>A40</v>
          </cell>
          <cell r="X101" t="str">
            <v>ZONA ESTE</v>
          </cell>
        </row>
        <row r="102">
          <cell r="A102">
            <v>39</v>
          </cell>
          <cell r="C102" t="str">
            <v>25 DE MAYO-MEDANITO</v>
          </cell>
          <cell r="D102">
            <v>2605306</v>
          </cell>
          <cell r="E102">
            <v>5788572</v>
          </cell>
          <cell r="S102" t="str">
            <v>A40</v>
          </cell>
          <cell r="X102" t="str">
            <v>ZONA ESTE</v>
          </cell>
        </row>
        <row r="103">
          <cell r="A103">
            <v>41</v>
          </cell>
          <cell r="C103" t="str">
            <v>25 DE MAYO-MEDANITO</v>
          </cell>
          <cell r="D103">
            <v>2606018</v>
          </cell>
          <cell r="E103">
            <v>5788605</v>
          </cell>
          <cell r="S103" t="str">
            <v>A40</v>
          </cell>
          <cell r="X103" t="str">
            <v>ZONA ESTE</v>
          </cell>
        </row>
        <row r="104">
          <cell r="A104">
            <v>43</v>
          </cell>
          <cell r="C104" t="str">
            <v>25 DE MAYO-MEDANITO</v>
          </cell>
          <cell r="D104">
            <v>2606633</v>
          </cell>
          <cell r="E104">
            <v>5788440</v>
          </cell>
          <cell r="S104" t="str">
            <v>A40</v>
          </cell>
          <cell r="X104" t="str">
            <v>ZONA ESTE</v>
          </cell>
        </row>
        <row r="105">
          <cell r="A105">
            <v>44</v>
          </cell>
          <cell r="C105" t="str">
            <v>25 DE MAYO-MEDANITO</v>
          </cell>
          <cell r="D105">
            <v>2606922</v>
          </cell>
          <cell r="E105">
            <v>5788295</v>
          </cell>
          <cell r="S105" t="str">
            <v>A40</v>
          </cell>
          <cell r="X105" t="str">
            <v>ZONA ESTE</v>
          </cell>
        </row>
        <row r="106">
          <cell r="A106">
            <v>46</v>
          </cell>
          <cell r="C106" t="str">
            <v>25 DE MAYO-MEDANITO</v>
          </cell>
          <cell r="D106">
            <v>2605331</v>
          </cell>
          <cell r="E106">
            <v>5789192</v>
          </cell>
          <cell r="S106" t="str">
            <v>A40</v>
          </cell>
          <cell r="X106" t="str">
            <v>ZONA ESTE</v>
          </cell>
        </row>
        <row r="107">
          <cell r="A107">
            <v>47</v>
          </cell>
          <cell r="C107" t="str">
            <v>25 DE MAYO-MEDANITO</v>
          </cell>
          <cell r="D107">
            <v>2605695</v>
          </cell>
          <cell r="E107">
            <v>5789083</v>
          </cell>
          <cell r="S107" t="str">
            <v>A40</v>
          </cell>
          <cell r="X107" t="str">
            <v>ZONA ESTE</v>
          </cell>
        </row>
        <row r="108">
          <cell r="A108">
            <v>48</v>
          </cell>
          <cell r="C108" t="str">
            <v>25 DE MAYO-MEDANITO</v>
          </cell>
          <cell r="D108">
            <v>2605998</v>
          </cell>
          <cell r="E108">
            <v>5788979</v>
          </cell>
          <cell r="S108" t="str">
            <v>A40</v>
          </cell>
          <cell r="X108" t="str">
            <v>ZONA ESTE</v>
          </cell>
        </row>
        <row r="109">
          <cell r="A109">
            <v>49</v>
          </cell>
          <cell r="C109" t="str">
            <v>25 DE MAYO-MEDANITO</v>
          </cell>
          <cell r="D109">
            <v>2606331</v>
          </cell>
          <cell r="E109">
            <v>5788873</v>
          </cell>
          <cell r="S109" t="str">
            <v>A40</v>
          </cell>
          <cell r="X109" t="str">
            <v>ZONA ESTE</v>
          </cell>
        </row>
        <row r="110">
          <cell r="A110">
            <v>50</v>
          </cell>
          <cell r="C110" t="str">
            <v>25 DE MAYO-MEDANITO</v>
          </cell>
          <cell r="D110">
            <v>2606665</v>
          </cell>
          <cell r="E110">
            <v>5788766</v>
          </cell>
          <cell r="S110" t="str">
            <v>A40</v>
          </cell>
          <cell r="X110" t="str">
            <v>ZONA ESTE</v>
          </cell>
        </row>
        <row r="111">
          <cell r="A111">
            <v>51</v>
          </cell>
          <cell r="C111" t="str">
            <v>25 DE MAYO-MEDANITO</v>
          </cell>
          <cell r="D111">
            <v>2606998</v>
          </cell>
          <cell r="E111">
            <v>5788660</v>
          </cell>
          <cell r="S111" t="str">
            <v>A40</v>
          </cell>
          <cell r="X111" t="str">
            <v>ZONA ESTE</v>
          </cell>
        </row>
        <row r="112">
          <cell r="A112">
            <v>52</v>
          </cell>
          <cell r="C112" t="str">
            <v>25 DE MAYO-MEDANITO</v>
          </cell>
          <cell r="D112">
            <v>2607332</v>
          </cell>
          <cell r="E112">
            <v>5788553</v>
          </cell>
          <cell r="S112" t="str">
            <v>A40</v>
          </cell>
          <cell r="X112" t="str">
            <v>ZONA ESTE</v>
          </cell>
        </row>
        <row r="113">
          <cell r="A113">
            <v>53</v>
          </cell>
          <cell r="C113" t="str">
            <v>25 DE MAYO-MEDANITO</v>
          </cell>
          <cell r="D113">
            <v>2607665</v>
          </cell>
          <cell r="E113">
            <v>5788447</v>
          </cell>
          <cell r="S113" t="str">
            <v>A40</v>
          </cell>
          <cell r="X113" t="str">
            <v>ZONA ESTE</v>
          </cell>
        </row>
        <row r="114">
          <cell r="A114">
            <v>54</v>
          </cell>
          <cell r="C114" t="str">
            <v>25 DE MAYO-MEDANITO</v>
          </cell>
          <cell r="D114">
            <v>2607999</v>
          </cell>
          <cell r="E114">
            <v>5788341</v>
          </cell>
          <cell r="S114" t="str">
            <v>A40</v>
          </cell>
          <cell r="X114" t="str">
            <v>ZONA ESTE</v>
          </cell>
        </row>
        <row r="115">
          <cell r="A115">
            <v>56</v>
          </cell>
          <cell r="C115" t="str">
            <v>25 DE MAYO-MEDANITO</v>
          </cell>
          <cell r="D115">
            <v>2604330</v>
          </cell>
          <cell r="E115">
            <v>5789600</v>
          </cell>
          <cell r="S115" t="str">
            <v>A40</v>
          </cell>
          <cell r="X115" t="str">
            <v>ZONA ESTE</v>
          </cell>
        </row>
        <row r="116">
          <cell r="A116">
            <v>57</v>
          </cell>
          <cell r="C116" t="str">
            <v>25 DE MAYO-MEDANITO</v>
          </cell>
          <cell r="D116">
            <v>2604650</v>
          </cell>
          <cell r="E116">
            <v>5789260</v>
          </cell>
          <cell r="S116" t="str">
            <v>A40</v>
          </cell>
          <cell r="X116" t="str">
            <v>ZONA ESTE</v>
          </cell>
        </row>
        <row r="117">
          <cell r="A117">
            <v>59</v>
          </cell>
          <cell r="C117" t="str">
            <v>25 DE MAYO-MEDANITO</v>
          </cell>
          <cell r="D117">
            <v>2608332</v>
          </cell>
          <cell r="E117">
            <v>5788234</v>
          </cell>
          <cell r="S117" t="str">
            <v>A40</v>
          </cell>
          <cell r="X117" t="str">
            <v>ZONA ESTE</v>
          </cell>
        </row>
        <row r="118">
          <cell r="A118">
            <v>60</v>
          </cell>
          <cell r="C118" t="str">
            <v>25 DE MAYO-MEDANITO</v>
          </cell>
          <cell r="D118">
            <v>2608665</v>
          </cell>
          <cell r="E118">
            <v>5788128</v>
          </cell>
          <cell r="S118" t="str">
            <v>A40</v>
          </cell>
          <cell r="X118" t="str">
            <v>ZONA ESTE</v>
          </cell>
        </row>
        <row r="119">
          <cell r="A119">
            <v>62</v>
          </cell>
          <cell r="C119" t="str">
            <v>25 DE MAYO-MEDANITO</v>
          </cell>
          <cell r="D119">
            <v>2607533</v>
          </cell>
          <cell r="E119">
            <v>5788120</v>
          </cell>
          <cell r="S119" t="str">
            <v>A40</v>
          </cell>
          <cell r="X119" t="str">
            <v>ZONA ESTE</v>
          </cell>
        </row>
        <row r="120">
          <cell r="A120">
            <v>67</v>
          </cell>
          <cell r="C120" t="str">
            <v>25 DE MAYO-MEDANITO</v>
          </cell>
          <cell r="D120">
            <v>2604217</v>
          </cell>
          <cell r="E120">
            <v>5786612</v>
          </cell>
          <cell r="S120" t="str">
            <v>A40</v>
          </cell>
          <cell r="X120" t="str">
            <v>ZONA ESTE</v>
          </cell>
        </row>
        <row r="121">
          <cell r="A121">
            <v>68</v>
          </cell>
          <cell r="C121" t="str">
            <v>25 DE MAYO-MEDANITO</v>
          </cell>
          <cell r="D121">
            <v>2604973</v>
          </cell>
          <cell r="E121">
            <v>5788901</v>
          </cell>
          <cell r="S121" t="str">
            <v>A40</v>
          </cell>
          <cell r="X121" t="str">
            <v>ZONA ESTE</v>
          </cell>
        </row>
        <row r="122">
          <cell r="A122">
            <v>97</v>
          </cell>
          <cell r="C122" t="str">
            <v>25 DE MAYO-MEDANITO</v>
          </cell>
          <cell r="D122">
            <v>2603917</v>
          </cell>
          <cell r="E122">
            <v>5786623</v>
          </cell>
          <cell r="S122" t="str">
            <v>A40</v>
          </cell>
          <cell r="X122" t="str">
            <v>ZONA ESTE</v>
          </cell>
        </row>
        <row r="123">
          <cell r="A123">
            <v>99</v>
          </cell>
          <cell r="C123" t="str">
            <v>25 DE MAYO-MEDANITO</v>
          </cell>
          <cell r="D123">
            <v>2608205</v>
          </cell>
          <cell r="E123">
            <v>5787907</v>
          </cell>
          <cell r="S123" t="str">
            <v>A40</v>
          </cell>
          <cell r="X123" t="str">
            <v>ZONA ESTE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ero (2)"/>
      <sheetName val="CARATULA "/>
      <sheetName val=" HOJA CALC."/>
      <sheetName val="Pozos_Zona_Este"/>
      <sheetName val="COSTO Y CONSUMO INYECCION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-24"/>
      <sheetName val="Cto-464"/>
      <sheetName val="CB-162"/>
      <sheetName val="CuM.x-1"/>
      <sheetName val="AT-97"/>
      <sheetName val="VAM-12"/>
      <sheetName val="LLL-260"/>
      <sheetName val="BdCr.x-1"/>
      <sheetName val="AT-98"/>
      <sheetName val="AT-106"/>
      <sheetName val="CARATULA"/>
      <sheetName val="ESQUEMA"/>
      <sheetName val="GRAFICO"/>
      <sheetName val="COSTO POZO "/>
      <sheetName val="TRAMO I VOLUMENES "/>
      <sheetName val="PROPIEDADES I"/>
      <sheetName val="CONCENT. I"/>
      <sheetName val="COSTO I"/>
      <sheetName val="TRAMO II VOLUMENES "/>
      <sheetName val="PROPIEDADES II"/>
      <sheetName val="CONCENT. II"/>
      <sheetName val="COSTO II"/>
      <sheetName val="TRAMO III VOLUMENES "/>
      <sheetName val="PROPIEDADES III"/>
      <sheetName val="CONCENT. III "/>
      <sheetName val="COSTO III"/>
      <sheetName val="TRAMO IV VOLUMENES  "/>
      <sheetName val="PROPIEDADES IV"/>
      <sheetName val="CONCENT. IV"/>
      <sheetName val="COSTO IV"/>
      <sheetName val="CLAVES DEL EXITO"/>
      <sheetName val="CLAVES DEL EXITO (2)"/>
      <sheetName val="CLAVES DEL EXITO (3)"/>
      <sheetName val="OPCIONALES"/>
      <sheetName val="LISTA DE PRECIOS"/>
      <sheetName val="LISTA DE PRECIOS (2)"/>
      <sheetName val=" HOJA CAL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 xml:space="preserve">ANALISIS DE COSTOS DE PERFORACION       </v>
          </cell>
        </row>
        <row r="5">
          <cell r="A5" t="str">
            <v>YPF.Nq.AT-97</v>
          </cell>
          <cell r="F5" t="str">
            <v>Aguada Toledo</v>
          </cell>
          <cell r="N5" t="str">
            <v>Equipo:</v>
          </cell>
          <cell r="O5" t="str">
            <v>Pride International N° 381 - Costo presupuesto $ 420 /hr</v>
          </cell>
        </row>
        <row r="7">
          <cell r="A7" t="str">
            <v>Costo horario equipo: $</v>
          </cell>
          <cell r="E7">
            <v>406</v>
          </cell>
          <cell r="I7" t="str">
            <v>Coeficiente Veloc.:</v>
          </cell>
          <cell r="K7">
            <v>280</v>
          </cell>
          <cell r="L7" t="str">
            <v>mts/hr</v>
          </cell>
          <cell r="O7" t="str">
            <v xml:space="preserve">            Operador: </v>
          </cell>
          <cell r="P7" t="str">
            <v>REPSOL-YPF</v>
          </cell>
        </row>
        <row r="9">
          <cell r="A9" t="str">
            <v>Trep</v>
          </cell>
          <cell r="B9" t="str">
            <v>N° de</v>
          </cell>
          <cell r="C9" t="str">
            <v>Diám.</v>
          </cell>
          <cell r="D9" t="str">
            <v>TIPO</v>
          </cell>
          <cell r="E9" t="str">
            <v>Prof.</v>
          </cell>
          <cell r="F9" t="str">
            <v>Avance</v>
          </cell>
          <cell r="G9" t="str">
            <v>Rotac.</v>
          </cell>
          <cell r="H9" t="str">
            <v>ROP</v>
          </cell>
          <cell r="I9" t="str">
            <v>Tiempo</v>
          </cell>
          <cell r="J9" t="str">
            <v>Tiempo</v>
          </cell>
          <cell r="L9" t="str">
            <v xml:space="preserve"> COSTO POR TREPANO</v>
          </cell>
          <cell r="P9" t="str">
            <v>COSTOS ACUMULADOS</v>
          </cell>
        </row>
        <row r="10">
          <cell r="A10" t="str">
            <v>N°</v>
          </cell>
          <cell r="B10" t="str">
            <v>Item</v>
          </cell>
          <cell r="E10" t="str">
            <v>Extrac.</v>
          </cell>
          <cell r="G10" t="str">
            <v>(hrs)</v>
          </cell>
          <cell r="H10" t="str">
            <v>(mts/hs)</v>
          </cell>
          <cell r="I10" t="str">
            <v>Acum.</v>
          </cell>
          <cell r="J10" t="str">
            <v>Viaje</v>
          </cell>
          <cell r="K10" t="str">
            <v>Trepano</v>
          </cell>
          <cell r="L10" t="str">
            <v>Perforac.</v>
          </cell>
          <cell r="M10" t="str">
            <v>Viaje</v>
          </cell>
          <cell r="N10" t="str">
            <v>Total</v>
          </cell>
          <cell r="O10" t="str">
            <v>P/ Metro</v>
          </cell>
          <cell r="P10" t="str">
            <v>Costo Tot.</v>
          </cell>
          <cell r="Q10" t="str">
            <v>M.TOTAL</v>
          </cell>
          <cell r="R10" t="str">
            <v>P/ Metro</v>
          </cell>
        </row>
        <row r="11">
          <cell r="A11">
            <v>1</v>
          </cell>
          <cell r="B11">
            <v>125</v>
          </cell>
          <cell r="C11">
            <v>17.5</v>
          </cell>
          <cell r="D11" t="str">
            <v>DSJC</v>
          </cell>
          <cell r="E11">
            <v>250</v>
          </cell>
          <cell r="F11">
            <v>250</v>
          </cell>
          <cell r="G11">
            <v>15</v>
          </cell>
          <cell r="H11">
            <v>16.666666666666668</v>
          </cell>
          <cell r="I11">
            <v>15</v>
          </cell>
          <cell r="J11">
            <v>0.8928571428571429</v>
          </cell>
          <cell r="K11">
            <v>7900</v>
          </cell>
          <cell r="L11">
            <v>6090</v>
          </cell>
          <cell r="M11">
            <v>362.5</v>
          </cell>
          <cell r="N11">
            <v>14352.5</v>
          </cell>
          <cell r="O11">
            <v>57.41</v>
          </cell>
          <cell r="P11">
            <v>14352.5</v>
          </cell>
          <cell r="Q11">
            <v>250</v>
          </cell>
          <cell r="R11">
            <v>57.41</v>
          </cell>
        </row>
        <row r="12">
          <cell r="A12">
            <v>2</v>
          </cell>
          <cell r="B12">
            <v>1750</v>
          </cell>
          <cell r="C12">
            <v>12.25</v>
          </cell>
          <cell r="D12" t="str">
            <v>FGS+2</v>
          </cell>
          <cell r="E12">
            <v>900</v>
          </cell>
          <cell r="F12">
            <v>650</v>
          </cell>
          <cell r="G12">
            <v>35</v>
          </cell>
          <cell r="H12">
            <v>18.571428571428573</v>
          </cell>
          <cell r="I12">
            <v>50</v>
          </cell>
          <cell r="J12">
            <v>3.2142857142857144</v>
          </cell>
          <cell r="K12">
            <v>7900</v>
          </cell>
          <cell r="L12">
            <v>14210</v>
          </cell>
          <cell r="M12">
            <v>1305</v>
          </cell>
          <cell r="N12">
            <v>23415</v>
          </cell>
          <cell r="O12">
            <v>36.023076923076921</v>
          </cell>
          <cell r="P12">
            <v>37767.5</v>
          </cell>
          <cell r="Q12">
            <v>900</v>
          </cell>
          <cell r="R12">
            <v>41.963888888888889</v>
          </cell>
        </row>
        <row r="13">
          <cell r="A13">
            <v>3</v>
          </cell>
          <cell r="B13">
            <v>1750</v>
          </cell>
          <cell r="C13">
            <v>12.25</v>
          </cell>
          <cell r="D13" t="str">
            <v>FGS+2</v>
          </cell>
          <cell r="E13">
            <v>1300</v>
          </cell>
          <cell r="F13">
            <v>400</v>
          </cell>
          <cell r="G13">
            <v>35</v>
          </cell>
          <cell r="H13">
            <v>11.428571428571429</v>
          </cell>
          <cell r="I13">
            <v>85</v>
          </cell>
          <cell r="J13">
            <v>4.6428571428571432</v>
          </cell>
          <cell r="K13">
            <v>7900</v>
          </cell>
          <cell r="L13">
            <v>14210</v>
          </cell>
          <cell r="M13">
            <v>1885.0000000000002</v>
          </cell>
          <cell r="N13">
            <v>23995</v>
          </cell>
          <cell r="O13">
            <v>59.987499999999997</v>
          </cell>
          <cell r="P13">
            <v>61762.5</v>
          </cell>
          <cell r="Q13">
            <v>1300</v>
          </cell>
          <cell r="R13">
            <v>47.509615384615387</v>
          </cell>
        </row>
        <row r="14">
          <cell r="A14">
            <v>4</v>
          </cell>
          <cell r="B14">
            <v>7000</v>
          </cell>
          <cell r="C14">
            <v>8.75</v>
          </cell>
          <cell r="D14" t="str">
            <v>M87</v>
          </cell>
          <cell r="E14">
            <v>2240</v>
          </cell>
          <cell r="F14">
            <v>940</v>
          </cell>
          <cell r="G14">
            <v>110</v>
          </cell>
          <cell r="H14">
            <v>8.545454545454545</v>
          </cell>
          <cell r="I14">
            <v>195</v>
          </cell>
          <cell r="J14">
            <v>8</v>
          </cell>
          <cell r="K14">
            <v>26000</v>
          </cell>
          <cell r="L14">
            <v>44660</v>
          </cell>
          <cell r="M14">
            <v>3248</v>
          </cell>
          <cell r="N14">
            <v>73908</v>
          </cell>
          <cell r="O14">
            <v>78.625531914893614</v>
          </cell>
          <cell r="P14">
            <v>135670.5</v>
          </cell>
          <cell r="Q14">
            <v>2240</v>
          </cell>
          <cell r="R14">
            <v>60.567187500000003</v>
          </cell>
        </row>
        <row r="30">
          <cell r="J30" t="str">
            <v>Costo total de trepano</v>
          </cell>
          <cell r="K30">
            <v>49700</v>
          </cell>
        </row>
        <row r="32">
          <cell r="I32" t="str">
            <v>Tiempo de viajes</v>
          </cell>
          <cell r="J32">
            <v>40.75</v>
          </cell>
          <cell r="L32" t="str">
            <v>hrs</v>
          </cell>
        </row>
        <row r="33">
          <cell r="I33" t="str">
            <v xml:space="preserve">Tiempo de rotación : </v>
          </cell>
          <cell r="J33">
            <v>195</v>
          </cell>
          <cell r="L33" t="str">
            <v>hrs</v>
          </cell>
        </row>
        <row r="34">
          <cell r="I34" t="str">
            <v>Coeficiente :</v>
          </cell>
          <cell r="J34">
            <v>0.7</v>
          </cell>
        </row>
        <row r="35">
          <cell r="I35" t="str">
            <v>Tiempo total de trepanos :</v>
          </cell>
          <cell r="J35">
            <v>14</v>
          </cell>
          <cell r="L35" t="str">
            <v>días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ICION"/>
      <sheetName val="PEP"/>
      <sheetName val="PRESUPUESTO"/>
      <sheetName val="AFEDTDR"/>
      <sheetName val="Dias &amp; Costos"/>
      <sheetName val="Diseño"/>
      <sheetName val="Catalogo"/>
      <sheetName val="AFEPI365"/>
      <sheetName val="DATOS"/>
      <sheetName val="Punzados"/>
      <sheetName val="AT-97"/>
    </sheetNames>
    <sheetDataSet>
      <sheetData sheetId="0" refreshError="1">
        <row r="4">
          <cell r="C4">
            <v>0</v>
          </cell>
        </row>
        <row r="6">
          <cell r="C6">
            <v>7500</v>
          </cell>
        </row>
        <row r="10">
          <cell r="C10">
            <v>57671.308716708591</v>
          </cell>
        </row>
        <row r="13">
          <cell r="C13">
            <v>12077.572807885537</v>
          </cell>
        </row>
        <row r="16">
          <cell r="C16">
            <v>15404.621611111113</v>
          </cell>
        </row>
        <row r="17">
          <cell r="C17">
            <v>6482.3263888888878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3512.890625</v>
          </cell>
        </row>
        <row r="26">
          <cell r="C26">
            <v>0</v>
          </cell>
        </row>
        <row r="27">
          <cell r="C27">
            <v>10650.553843973486</v>
          </cell>
        </row>
        <row r="29">
          <cell r="C29">
            <v>972.34895833333326</v>
          </cell>
        </row>
        <row r="33">
          <cell r="C33">
            <v>0</v>
          </cell>
        </row>
        <row r="36">
          <cell r="C36">
            <v>0</v>
          </cell>
        </row>
        <row r="38">
          <cell r="C38">
            <v>0</v>
          </cell>
        </row>
        <row r="41">
          <cell r="C41">
            <v>0</v>
          </cell>
        </row>
        <row r="45">
          <cell r="C45">
            <v>0</v>
          </cell>
        </row>
        <row r="47">
          <cell r="C47">
            <v>15000</v>
          </cell>
        </row>
        <row r="49">
          <cell r="C49">
            <v>0</v>
          </cell>
        </row>
        <row r="51">
          <cell r="C51">
            <v>0</v>
          </cell>
        </row>
        <row r="62">
          <cell r="C62">
            <v>1800</v>
          </cell>
        </row>
        <row r="63">
          <cell r="C63">
            <v>0</v>
          </cell>
        </row>
        <row r="64">
          <cell r="C64">
            <v>783.27777777777783</v>
          </cell>
        </row>
        <row r="65">
          <cell r="C65">
            <v>35475.577777777784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 Y CONSUMO INYECCION"/>
      <sheetName val="REQUISICION"/>
      <sheetName val="Perfil Pozo Entubado"/>
      <sheetName val="auxuliar"/>
    </sheetNames>
    <sheetDataSet>
      <sheetData sheetId="0" refreshError="1">
        <row r="2">
          <cell r="C2" t="str">
            <v>CONSUMOS Y STOCK DE MATERIALES</v>
          </cell>
        </row>
        <row r="3">
          <cell r="D3" t="str">
            <v>POZO :</v>
          </cell>
          <cell r="F3" t="str">
            <v>TIPO</v>
          </cell>
          <cell r="I3" t="str">
            <v>PROFUNDIDAD=</v>
          </cell>
          <cell r="M3">
            <v>0</v>
          </cell>
          <cell r="N3" t="str">
            <v>MTS.</v>
          </cell>
          <cell r="S3" t="str">
            <v>CONTRATISTA :</v>
          </cell>
          <cell r="W3" t="str">
            <v>ALMERÍA AUSTRAL</v>
          </cell>
        </row>
        <row r="4">
          <cell r="D4" t="str">
            <v>ZONA :</v>
          </cell>
          <cell r="F4" t="str">
            <v>ANT.PERALES</v>
          </cell>
          <cell r="S4" t="str">
            <v>EQUIPO :</v>
          </cell>
          <cell r="W4">
            <v>37</v>
          </cell>
        </row>
        <row r="5">
          <cell r="D5" t="str">
            <v>OPERADORA:</v>
          </cell>
          <cell r="F5" t="str">
            <v>YPF S.A.</v>
          </cell>
          <cell r="S5" t="str">
            <v>MES :</v>
          </cell>
        </row>
        <row r="6">
          <cell r="D6" t="str">
            <v>MODULO:</v>
          </cell>
          <cell r="F6" t="str">
            <v>LAS HERAS</v>
          </cell>
          <cell r="S6" t="str">
            <v>TIPO DE LODO :</v>
          </cell>
          <cell r="W6" t="str">
            <v>POLIMERICO</v>
          </cell>
        </row>
        <row r="8">
          <cell r="F8" t="str">
            <v>CONSUMO DE MATERIALES</v>
          </cell>
        </row>
        <row r="10">
          <cell r="D10" t="str">
            <v>PROF.</v>
          </cell>
          <cell r="E10" t="str">
            <v>V.FAB</v>
          </cell>
          <cell r="F10" t="str">
            <v>BENTO</v>
          </cell>
          <cell r="G10" t="str">
            <v>CARB</v>
          </cell>
          <cell r="H10" t="str">
            <v>DESCO</v>
          </cell>
          <cell r="I10" t="str">
            <v>ESTEAR</v>
          </cell>
          <cell r="J10" t="str">
            <v>MD</v>
          </cell>
          <cell r="K10" t="str">
            <v>CYDRIL</v>
          </cell>
          <cell r="L10" t="str">
            <v>MIX</v>
          </cell>
          <cell r="M10" t="str">
            <v>PAC</v>
          </cell>
          <cell r="N10" t="str">
            <v>CARB</v>
          </cell>
          <cell r="O10" t="str">
            <v>SODA</v>
          </cell>
          <cell r="P10" t="str">
            <v>CARB</v>
          </cell>
          <cell r="Q10" t="str">
            <v>CAL</v>
          </cell>
          <cell r="R10" t="str">
            <v>CY</v>
          </cell>
          <cell r="S10" t="str">
            <v>TACKLE</v>
          </cell>
          <cell r="T10" t="str">
            <v>SPER</v>
          </cell>
          <cell r="U10" t="str">
            <v>BARI</v>
          </cell>
          <cell r="V10" t="str">
            <v>BARI</v>
          </cell>
          <cell r="W10" t="str">
            <v>MIX</v>
          </cell>
          <cell r="X10" t="str">
            <v>KELZAN</v>
          </cell>
          <cell r="Y10" t="str">
            <v>COSTO</v>
          </cell>
        </row>
        <row r="11">
          <cell r="C11" t="str">
            <v>DIA</v>
          </cell>
          <cell r="E11" t="str">
            <v>DIA</v>
          </cell>
          <cell r="F11" t="str">
            <v>NITA</v>
          </cell>
          <cell r="G11">
            <v>200</v>
          </cell>
          <cell r="H11" t="str">
            <v>CF</v>
          </cell>
          <cell r="I11" t="str">
            <v>AL.</v>
          </cell>
          <cell r="K11">
            <v>5300</v>
          </cell>
          <cell r="L11" t="str">
            <v>II</v>
          </cell>
          <cell r="M11" t="str">
            <v>R/UL</v>
          </cell>
          <cell r="N11">
            <v>325</v>
          </cell>
          <cell r="O11" t="str">
            <v>CAUS</v>
          </cell>
          <cell r="P11" t="str">
            <v>SODIO</v>
          </cell>
          <cell r="R11" t="str">
            <v>PAN</v>
          </cell>
          <cell r="S11" t="str">
            <v>CYTEM</v>
          </cell>
          <cell r="T11" t="str">
            <v>CENE</v>
          </cell>
          <cell r="U11" t="str">
            <v>YPF</v>
          </cell>
          <cell r="V11" t="str">
            <v>CIA</v>
          </cell>
          <cell r="W11" t="str">
            <v>CEL</v>
          </cell>
          <cell r="X11" t="str">
            <v>XCD</v>
          </cell>
          <cell r="Y11" t="str">
            <v>DIA</v>
          </cell>
        </row>
        <row r="12">
          <cell r="D12" t="str">
            <v>mts</v>
          </cell>
          <cell r="E12" t="str">
            <v>m3</v>
          </cell>
          <cell r="F12" t="str">
            <v>kg.</v>
          </cell>
          <cell r="G12" t="str">
            <v>KG</v>
          </cell>
          <cell r="H12" t="str">
            <v>kg.</v>
          </cell>
          <cell r="I12" t="str">
            <v>KG</v>
          </cell>
          <cell r="J12" t="str">
            <v>LTS</v>
          </cell>
          <cell r="K12" t="str">
            <v>LTS</v>
          </cell>
          <cell r="L12" t="str">
            <v>KG</v>
          </cell>
          <cell r="M12" t="str">
            <v>KG</v>
          </cell>
          <cell r="N12" t="str">
            <v>KG</v>
          </cell>
          <cell r="O12" t="str">
            <v>KG</v>
          </cell>
          <cell r="P12" t="str">
            <v>KG</v>
          </cell>
          <cell r="Q12" t="str">
            <v>kg.</v>
          </cell>
          <cell r="R12" t="str">
            <v>KG</v>
          </cell>
          <cell r="S12" t="str">
            <v>LT</v>
          </cell>
          <cell r="T12" t="str">
            <v>KG</v>
          </cell>
          <cell r="U12" t="str">
            <v>KG</v>
          </cell>
          <cell r="V12" t="str">
            <v>KG</v>
          </cell>
          <cell r="W12" t="str">
            <v>KG</v>
          </cell>
          <cell r="X12" t="str">
            <v>KG</v>
          </cell>
          <cell r="Y12" t="str">
            <v>ACUM.</v>
          </cell>
        </row>
        <row r="14">
          <cell r="Y14">
            <v>0</v>
          </cell>
        </row>
        <row r="15">
          <cell r="Y15">
            <v>0</v>
          </cell>
        </row>
        <row r="16">
          <cell r="Y16">
            <v>0</v>
          </cell>
        </row>
        <row r="17">
          <cell r="Y17">
            <v>0</v>
          </cell>
        </row>
        <row r="18">
          <cell r="Y18">
            <v>0</v>
          </cell>
        </row>
        <row r="19">
          <cell r="B19">
            <v>35063</v>
          </cell>
          <cell r="Y19">
            <v>0</v>
          </cell>
        </row>
        <row r="20">
          <cell r="Y20">
            <v>0</v>
          </cell>
        </row>
        <row r="21">
          <cell r="Y21">
            <v>0</v>
          </cell>
        </row>
        <row r="22">
          <cell r="Y22">
            <v>0</v>
          </cell>
        </row>
        <row r="23">
          <cell r="Y23">
            <v>0</v>
          </cell>
        </row>
        <row r="24">
          <cell r="Y24">
            <v>0</v>
          </cell>
        </row>
        <row r="25">
          <cell r="Y25">
            <v>0</v>
          </cell>
        </row>
        <row r="26">
          <cell r="Y26">
            <v>0</v>
          </cell>
        </row>
        <row r="27">
          <cell r="Y27">
            <v>0</v>
          </cell>
        </row>
        <row r="28">
          <cell r="Y28">
            <v>0</v>
          </cell>
        </row>
        <row r="29">
          <cell r="Y29">
            <v>0</v>
          </cell>
        </row>
        <row r="30">
          <cell r="Y30">
            <v>0</v>
          </cell>
        </row>
        <row r="31">
          <cell r="Y31">
            <v>0</v>
          </cell>
        </row>
        <row r="32">
          <cell r="Y32">
            <v>0</v>
          </cell>
        </row>
        <row r="33">
          <cell r="Y33">
            <v>0</v>
          </cell>
        </row>
        <row r="34">
          <cell r="Y34">
            <v>0</v>
          </cell>
        </row>
        <row r="35">
          <cell r="Y35">
            <v>0</v>
          </cell>
        </row>
        <row r="36">
          <cell r="Y36">
            <v>0</v>
          </cell>
        </row>
        <row r="37">
          <cell r="Y37">
            <v>0</v>
          </cell>
        </row>
        <row r="39">
          <cell r="C39" t="str">
            <v>CONS.ACUM.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>MATERIALES RECIBIDOS</v>
          </cell>
        </row>
        <row r="41">
          <cell r="C41" t="str">
            <v>DIA</v>
          </cell>
          <cell r="D41" t="str">
            <v>PROC.</v>
          </cell>
          <cell r="E41" t="str">
            <v xml:space="preserve">Nº </v>
          </cell>
          <cell r="F41" t="str">
            <v>BENTO</v>
          </cell>
          <cell r="G41" t="str">
            <v>CARB</v>
          </cell>
          <cell r="H41" t="str">
            <v>DESCO</v>
          </cell>
          <cell r="I41" t="str">
            <v>ESTEAR</v>
          </cell>
          <cell r="J41" t="str">
            <v>MD</v>
          </cell>
          <cell r="K41" t="str">
            <v>CYDRIL</v>
          </cell>
          <cell r="L41" t="str">
            <v>MIX</v>
          </cell>
          <cell r="M41" t="str">
            <v>PAC</v>
          </cell>
          <cell r="N41" t="str">
            <v>CARB</v>
          </cell>
          <cell r="O41" t="str">
            <v>SODA</v>
          </cell>
          <cell r="P41" t="str">
            <v>CARB</v>
          </cell>
          <cell r="Q41" t="str">
            <v>CAL</v>
          </cell>
          <cell r="R41" t="str">
            <v>CY</v>
          </cell>
          <cell r="S41" t="str">
            <v>TACKLE</v>
          </cell>
          <cell r="T41" t="str">
            <v>SPER</v>
          </cell>
          <cell r="U41" t="str">
            <v>BARI</v>
          </cell>
          <cell r="V41" t="str">
            <v>BARI</v>
          </cell>
          <cell r="W41" t="str">
            <v>MIX</v>
          </cell>
          <cell r="X41" t="str">
            <v>KELZAN</v>
          </cell>
        </row>
        <row r="42">
          <cell r="E42" t="str">
            <v>REMITO</v>
          </cell>
          <cell r="F42" t="str">
            <v>NITA</v>
          </cell>
          <cell r="G42">
            <v>200</v>
          </cell>
          <cell r="H42" t="str">
            <v>CF</v>
          </cell>
          <cell r="I42" t="str">
            <v>AL.</v>
          </cell>
          <cell r="J42">
            <v>0</v>
          </cell>
          <cell r="K42">
            <v>5300</v>
          </cell>
          <cell r="L42" t="str">
            <v>II</v>
          </cell>
          <cell r="M42" t="str">
            <v>R/UL</v>
          </cell>
          <cell r="N42">
            <v>325</v>
          </cell>
          <cell r="O42" t="str">
            <v>CAUS</v>
          </cell>
          <cell r="P42" t="str">
            <v>SODIO</v>
          </cell>
          <cell r="Q42">
            <v>0</v>
          </cell>
          <cell r="R42" t="str">
            <v>PAN</v>
          </cell>
          <cell r="S42" t="str">
            <v>CYTEM</v>
          </cell>
          <cell r="T42" t="str">
            <v>CENE</v>
          </cell>
          <cell r="U42" t="str">
            <v>YPF</v>
          </cell>
          <cell r="V42" t="str">
            <v>CIA</v>
          </cell>
          <cell r="W42" t="str">
            <v>CEL</v>
          </cell>
          <cell r="X42" t="str">
            <v>XCD</v>
          </cell>
        </row>
        <row r="44">
          <cell r="B44">
            <v>35058</v>
          </cell>
        </row>
        <row r="54">
          <cell r="C54" t="str">
            <v>TOTAL RECIBIDO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C55" t="str">
            <v xml:space="preserve">STOCK ACTUAL 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C56" t="str">
            <v>COSTO UNITARIO</v>
          </cell>
          <cell r="F56">
            <v>0.17</v>
          </cell>
          <cell r="G56">
            <v>0.17</v>
          </cell>
          <cell r="H56">
            <v>5.7</v>
          </cell>
          <cell r="I56">
            <v>3</v>
          </cell>
          <cell r="J56">
            <v>1.3</v>
          </cell>
          <cell r="K56">
            <v>5</v>
          </cell>
          <cell r="L56">
            <v>3</v>
          </cell>
          <cell r="M56">
            <v>10</v>
          </cell>
          <cell r="N56">
            <v>0.35</v>
          </cell>
          <cell r="O56">
            <v>1.05</v>
          </cell>
          <cell r="P56">
            <v>0.65</v>
          </cell>
          <cell r="Q56">
            <v>0.16</v>
          </cell>
          <cell r="R56">
            <v>7.22</v>
          </cell>
          <cell r="S56">
            <v>6.8</v>
          </cell>
          <cell r="T56">
            <v>2.2000000000000002</v>
          </cell>
          <cell r="U56">
            <v>0.23</v>
          </cell>
          <cell r="V56">
            <v>0.28000000000000003</v>
          </cell>
          <cell r="W56">
            <v>2</v>
          </cell>
          <cell r="X56">
            <v>18</v>
          </cell>
        </row>
        <row r="61">
          <cell r="C61" t="str">
            <v>PLANILLA DE CONCENTRACIONES HISTÓRICA</v>
          </cell>
        </row>
        <row r="66">
          <cell r="D66" t="str">
            <v>POZO :</v>
          </cell>
          <cell r="F66" t="str">
            <v>TIPO</v>
          </cell>
          <cell r="Q66" t="str">
            <v>CONTRATISTA :</v>
          </cell>
          <cell r="W66" t="str">
            <v>ALMERÍA AUSTRAL</v>
          </cell>
        </row>
        <row r="68">
          <cell r="D68" t="str">
            <v>ZONA :</v>
          </cell>
          <cell r="F68" t="str">
            <v>ANT.PERALES</v>
          </cell>
          <cell r="Q68" t="str">
            <v>EQUIPO :</v>
          </cell>
          <cell r="W68">
            <v>37</v>
          </cell>
        </row>
        <row r="70">
          <cell r="D70" t="str">
            <v>OPERADORA:</v>
          </cell>
          <cell r="F70" t="str">
            <v>YPF S.A.</v>
          </cell>
          <cell r="Q70" t="str">
            <v>MES :</v>
          </cell>
          <cell r="R70">
            <v>0</v>
          </cell>
          <cell r="W70">
            <v>0</v>
          </cell>
        </row>
        <row r="73">
          <cell r="D73" t="str">
            <v>MODULO:</v>
          </cell>
          <cell r="F73" t="str">
            <v>LAS HERAS</v>
          </cell>
          <cell r="Q73" t="str">
            <v>TIPO DE LODO :</v>
          </cell>
          <cell r="W73" t="str">
            <v>POLIMERICO</v>
          </cell>
        </row>
        <row r="75">
          <cell r="F75" t="str">
            <v>CONCENTRACIÓN DE MATERIALES</v>
          </cell>
        </row>
        <row r="77">
          <cell r="D77" t="str">
            <v>PROF.</v>
          </cell>
          <cell r="E77" t="str">
            <v>V.FAB</v>
          </cell>
          <cell r="F77" t="str">
            <v>BENTO</v>
          </cell>
          <cell r="G77" t="str">
            <v>CARB</v>
          </cell>
          <cell r="H77" t="str">
            <v>DESCO</v>
          </cell>
          <cell r="I77" t="str">
            <v>ESTEAR</v>
          </cell>
          <cell r="J77" t="str">
            <v>MD</v>
          </cell>
          <cell r="K77" t="str">
            <v>CYDRIL</v>
          </cell>
          <cell r="L77" t="str">
            <v>MIX</v>
          </cell>
          <cell r="M77" t="str">
            <v>PAC</v>
          </cell>
          <cell r="N77" t="str">
            <v>CARB</v>
          </cell>
          <cell r="O77" t="str">
            <v>SODA</v>
          </cell>
          <cell r="P77" t="str">
            <v>CARB</v>
          </cell>
          <cell r="Q77" t="str">
            <v>CAL</v>
          </cell>
          <cell r="R77" t="str">
            <v>CY</v>
          </cell>
          <cell r="S77" t="str">
            <v>TACKLE</v>
          </cell>
          <cell r="T77" t="str">
            <v>SPER</v>
          </cell>
          <cell r="U77" t="str">
            <v>BARI</v>
          </cell>
          <cell r="V77" t="str">
            <v>BARI</v>
          </cell>
          <cell r="W77" t="str">
            <v>MIX</v>
          </cell>
          <cell r="X77" t="str">
            <v>KELZAN</v>
          </cell>
          <cell r="Y77" t="str">
            <v xml:space="preserve">COSTO </v>
          </cell>
        </row>
        <row r="78">
          <cell r="C78" t="str">
            <v>DIA</v>
          </cell>
          <cell r="E78" t="str">
            <v>ACUM.</v>
          </cell>
          <cell r="F78" t="str">
            <v>NITA</v>
          </cell>
          <cell r="G78">
            <v>200</v>
          </cell>
          <cell r="H78" t="str">
            <v>CF</v>
          </cell>
          <cell r="I78" t="str">
            <v>AL.</v>
          </cell>
          <cell r="J78">
            <v>0</v>
          </cell>
          <cell r="K78">
            <v>5300</v>
          </cell>
          <cell r="L78" t="str">
            <v>II</v>
          </cell>
          <cell r="M78" t="str">
            <v>R/UL</v>
          </cell>
          <cell r="N78">
            <v>325</v>
          </cell>
          <cell r="O78" t="str">
            <v>CAUS</v>
          </cell>
          <cell r="P78" t="str">
            <v>SODIO</v>
          </cell>
          <cell r="Q78">
            <v>0</v>
          </cell>
          <cell r="R78" t="str">
            <v>PAN</v>
          </cell>
          <cell r="S78" t="str">
            <v>CYTEM</v>
          </cell>
          <cell r="T78" t="str">
            <v>CENE</v>
          </cell>
          <cell r="U78" t="str">
            <v>YPF</v>
          </cell>
          <cell r="V78" t="str">
            <v>CIA</v>
          </cell>
          <cell r="W78" t="str">
            <v>CEL</v>
          </cell>
          <cell r="X78" t="str">
            <v>XCD</v>
          </cell>
          <cell r="Y78" t="str">
            <v>DIA POR</v>
          </cell>
        </row>
        <row r="79">
          <cell r="D79" t="str">
            <v>mts</v>
          </cell>
          <cell r="E79" t="str">
            <v>m3</v>
          </cell>
          <cell r="F79" t="str">
            <v>kg/m3</v>
          </cell>
          <cell r="G79" t="str">
            <v>lt/m3</v>
          </cell>
          <cell r="H79" t="str">
            <v>kg/m3</v>
          </cell>
          <cell r="I79" t="str">
            <v>KG/m3</v>
          </cell>
          <cell r="J79" t="str">
            <v>LT/m3</v>
          </cell>
          <cell r="K79" t="str">
            <v>LT/m3</v>
          </cell>
          <cell r="L79" t="str">
            <v>kg/m3</v>
          </cell>
          <cell r="M79" t="str">
            <v>lt/m3</v>
          </cell>
          <cell r="N79" t="str">
            <v>kg/m3</v>
          </cell>
          <cell r="O79" t="str">
            <v>kg/m3</v>
          </cell>
          <cell r="P79" t="str">
            <v>kg/m3</v>
          </cell>
          <cell r="Q79" t="str">
            <v>kg/m3</v>
          </cell>
          <cell r="R79" t="str">
            <v>LT/m3</v>
          </cell>
          <cell r="S79" t="str">
            <v>kg/m3</v>
          </cell>
          <cell r="T79" t="str">
            <v>kg/m3</v>
          </cell>
          <cell r="U79" t="str">
            <v>kg/m3</v>
          </cell>
          <cell r="V79" t="str">
            <v>LT/m3</v>
          </cell>
          <cell r="W79" t="str">
            <v>kg/m3</v>
          </cell>
          <cell r="X79" t="str">
            <v>kg/m3</v>
          </cell>
          <cell r="Y79" t="str">
            <v>m3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D105">
            <v>0</v>
          </cell>
          <cell r="E105">
            <v>0</v>
          </cell>
          <cell r="R105" t="str">
            <v>COSTO POR m3 PREPARADO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"/>
      <sheetName val="EWI"/>
      <sheetName val="Antecedente arenas a punzar"/>
      <sheetName val="Selectiva"/>
      <sheetName val="WL"/>
      <sheetName val="DISEÑO 2"/>
      <sheetName val="TALLY 2 38&quot;"/>
      <sheetName val="TALLY 2 78&quot;"/>
      <sheetName val="MATERIALES"/>
      <sheetName val="ORDEN"/>
      <sheetName val="O-27"/>
      <sheetName val="AC Detailed"/>
      <sheetName val="COSTO Y CONSUMO INYECCION"/>
      <sheetName val="Hoja2"/>
      <sheetName val="Perfil Pozo Entubado"/>
      <sheetName val="auxu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HOJA CALC."/>
      <sheetName val="WO"/>
      <sheetName val="Perfil Pozo Entubado"/>
      <sheetName val="auxulia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(2)"/>
      <sheetName val="HOJA CENTR"/>
      <sheetName val=" HOJA CALC."/>
      <sheetName val="Perfil Pozo Entubad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"/>
      <sheetName val="   RESUMEN  2"/>
      <sheetName val="COSTOS-TIEMPOS"/>
      <sheetName val="Hoja2"/>
      <sheetName val="20_Costos"/>
      <sheetName val=" HOJA CALC."/>
      <sheetName val="Inst"/>
      <sheetName val="COSTO Y CONSUMO INYECC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EST ACTUAL"/>
      <sheetName val="ACTUAL q-Np (estudio)"/>
      <sheetName val="PERM"/>
      <sheetName val="VISC"/>
      <sheetName val="TEMP"/>
      <sheetName val="PARAM"/>
      <sheetName val="CAPA-POZO"/>
      <sheetName val="Hp-PROF-Fi-Sw-SAL-DENS"/>
      <sheetName val="Pb-Pact-Bo-Sor-M-Ev-iw"/>
      <sheetName val="PVT-Out"/>
      <sheetName val="ENSAYOS + PRORR"/>
      <sheetName val="PDP"/>
      <sheetName val="TD FR "/>
      <sheetName val="PVT-In"/>
      <sheetName val="PRIM fin"/>
      <sheetName val="ACTUAL q-Np (proyecto)"/>
      <sheetName val="Categorías de reserva"/>
      <sheetName val="Inyección"/>
      <sheetName val="Tablas Iny-Prd"/>
      <sheetName val="N sec Proy Total"/>
    </sheetNames>
    <sheetDataSet>
      <sheetData sheetId="0"/>
      <sheetData sheetId="1"/>
      <sheetData sheetId="2">
        <row r="1">
          <cell r="D1" t="str">
            <v>POZO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18">
          <cell r="K118">
            <v>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INFILL 40"/>
      <sheetName val="Data Sheet"/>
      <sheetName val="hoja calc"/>
      <sheetName val="Grafico estadistico"/>
      <sheetName val="Estadistica pi-364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B97F-1126-467C-8425-9A60D41F62D6}">
  <dimension ref="A1:H32"/>
  <sheetViews>
    <sheetView workbookViewId="0">
      <selection activeCell="C6" sqref="C6"/>
    </sheetView>
  </sheetViews>
  <sheetFormatPr baseColWidth="10" defaultRowHeight="15" x14ac:dyDescent="0.25"/>
  <cols>
    <col min="1" max="1" width="52.5703125" bestFit="1" customWidth="1"/>
    <col min="2" max="2" width="12.140625" customWidth="1"/>
    <col min="3" max="3" width="12.7109375" customWidth="1"/>
    <col min="4" max="4" width="13.42578125" bestFit="1" customWidth="1"/>
  </cols>
  <sheetData>
    <row r="1" spans="1:8" x14ac:dyDescent="0.25">
      <c r="A1" s="30" t="s">
        <v>73</v>
      </c>
      <c r="B1" s="30" t="s">
        <v>74</v>
      </c>
      <c r="C1" s="30" t="s">
        <v>68</v>
      </c>
      <c r="D1" s="31" t="s">
        <v>263</v>
      </c>
      <c r="E1" s="36"/>
    </row>
    <row r="2" spans="1:8" x14ac:dyDescent="0.25">
      <c r="A2" s="20" t="s">
        <v>142</v>
      </c>
      <c r="B2" s="20"/>
      <c r="C2" s="20" t="s">
        <v>265</v>
      </c>
      <c r="D2" s="20">
        <v>6790</v>
      </c>
    </row>
    <row r="3" spans="1:8" x14ac:dyDescent="0.25">
      <c r="A3" s="20" t="s">
        <v>157</v>
      </c>
      <c r="B3" s="20"/>
      <c r="C3" s="20" t="s">
        <v>70</v>
      </c>
      <c r="D3" s="20">
        <v>5</v>
      </c>
    </row>
    <row r="4" spans="1:8" x14ac:dyDescent="0.25">
      <c r="A4" s="20" t="s">
        <v>158</v>
      </c>
      <c r="B4" s="20"/>
      <c r="C4" s="20" t="s">
        <v>70</v>
      </c>
      <c r="D4" s="20">
        <v>10</v>
      </c>
    </row>
    <row r="5" spans="1:8" x14ac:dyDescent="0.25">
      <c r="A5" s="20" t="s">
        <v>159</v>
      </c>
      <c r="B5" s="20"/>
      <c r="C5" s="20" t="s">
        <v>70</v>
      </c>
      <c r="D5" s="20">
        <v>10</v>
      </c>
    </row>
    <row r="6" spans="1:8" x14ac:dyDescent="0.25">
      <c r="A6" s="20" t="s">
        <v>160</v>
      </c>
      <c r="B6" s="20"/>
      <c r="C6" s="20" t="s">
        <v>70</v>
      </c>
      <c r="D6" s="20">
        <v>20</v>
      </c>
    </row>
    <row r="7" spans="1:8" x14ac:dyDescent="0.25">
      <c r="A7" s="20" t="s">
        <v>161</v>
      </c>
      <c r="B7" s="20"/>
      <c r="C7" s="20" t="s">
        <v>70</v>
      </c>
      <c r="D7" s="20">
        <v>20</v>
      </c>
    </row>
    <row r="10" spans="1:8" x14ac:dyDescent="0.25">
      <c r="A10" t="s">
        <v>266</v>
      </c>
    </row>
    <row r="12" spans="1:8" x14ac:dyDescent="0.25">
      <c r="B12" s="3" t="s">
        <v>67</v>
      </c>
      <c r="C12" s="3" t="s">
        <v>66</v>
      </c>
      <c r="D12" s="3" t="s">
        <v>63</v>
      </c>
      <c r="E12" s="3" t="s">
        <v>64</v>
      </c>
      <c r="F12" s="3" t="s">
        <v>65</v>
      </c>
    </row>
    <row r="13" spans="1:8" x14ac:dyDescent="0.25">
      <c r="A13" s="20" t="s">
        <v>139</v>
      </c>
      <c r="B13" s="20">
        <v>5.5</v>
      </c>
      <c r="C13" s="20">
        <v>7</v>
      </c>
      <c r="D13" s="20">
        <v>7</v>
      </c>
      <c r="E13" s="20">
        <v>5.5</v>
      </c>
      <c r="F13" s="20">
        <v>7</v>
      </c>
      <c r="G13" s="20" t="s">
        <v>140</v>
      </c>
      <c r="H13" s="21" t="s">
        <v>141</v>
      </c>
    </row>
    <row r="14" spans="1:8" x14ac:dyDescent="0.25">
      <c r="A14" s="20" t="s">
        <v>142</v>
      </c>
      <c r="B14" s="20">
        <v>2260</v>
      </c>
      <c r="C14" s="20">
        <v>2150</v>
      </c>
      <c r="D14" s="20">
        <v>800</v>
      </c>
      <c r="E14" s="20">
        <v>790</v>
      </c>
      <c r="F14" s="20">
        <v>790</v>
      </c>
      <c r="G14" s="20" t="s">
        <v>143</v>
      </c>
      <c r="H14" s="20">
        <f t="shared" ref="H14:H32" si="0">SUM(B14:F14)</f>
        <v>6790</v>
      </c>
    </row>
    <row r="15" spans="1:8" x14ac:dyDescent="0.25">
      <c r="A15" s="20" t="s">
        <v>144</v>
      </c>
      <c r="B15" s="20">
        <v>5</v>
      </c>
      <c r="C15" s="20">
        <v>5</v>
      </c>
      <c r="D15" s="20">
        <v>6</v>
      </c>
      <c r="E15" s="20">
        <v>7</v>
      </c>
      <c r="F15" s="20">
        <v>7</v>
      </c>
      <c r="G15" s="20" t="s">
        <v>145</v>
      </c>
      <c r="H15" s="20">
        <f t="shared" si="0"/>
        <v>30</v>
      </c>
    </row>
    <row r="16" spans="1:8" x14ac:dyDescent="0.25">
      <c r="A16" s="20" t="s">
        <v>146</v>
      </c>
      <c r="B16" s="20">
        <v>6</v>
      </c>
      <c r="C16" s="20">
        <v>5</v>
      </c>
      <c r="D16" s="20">
        <v>10</v>
      </c>
      <c r="E16" s="20">
        <v>9</v>
      </c>
      <c r="F16" s="20">
        <v>8</v>
      </c>
      <c r="G16" s="20" t="s">
        <v>145</v>
      </c>
      <c r="H16" s="20">
        <f t="shared" si="0"/>
        <v>38</v>
      </c>
    </row>
    <row r="17" spans="1:8" x14ac:dyDescent="0.25">
      <c r="A17" s="20" t="s">
        <v>147</v>
      </c>
      <c r="B17" s="20">
        <v>1</v>
      </c>
      <c r="C17" s="20">
        <v>1</v>
      </c>
      <c r="D17" s="20">
        <v>1</v>
      </c>
      <c r="E17" s="20">
        <v>1</v>
      </c>
      <c r="F17" s="20">
        <v>1</v>
      </c>
      <c r="G17" s="20" t="s">
        <v>145</v>
      </c>
      <c r="H17" s="20">
        <f t="shared" si="0"/>
        <v>5</v>
      </c>
    </row>
    <row r="18" spans="1:8" x14ac:dyDescent="0.25">
      <c r="A18" s="20" t="s">
        <v>148</v>
      </c>
      <c r="B18" s="20">
        <v>2</v>
      </c>
      <c r="C18" s="20">
        <v>0</v>
      </c>
      <c r="D18" s="20">
        <v>0</v>
      </c>
      <c r="E18" s="20">
        <v>0</v>
      </c>
      <c r="F18" s="20">
        <v>0</v>
      </c>
      <c r="G18" s="20" t="s">
        <v>145</v>
      </c>
      <c r="H18" s="20">
        <f t="shared" si="0"/>
        <v>2</v>
      </c>
    </row>
    <row r="19" spans="1:8" x14ac:dyDescent="0.25">
      <c r="A19" s="20" t="s">
        <v>149</v>
      </c>
      <c r="B19" s="20">
        <v>1</v>
      </c>
      <c r="C19" s="20">
        <v>1</v>
      </c>
      <c r="D19" s="20">
        <v>1</v>
      </c>
      <c r="E19" s="20">
        <v>1</v>
      </c>
      <c r="F19" s="20">
        <v>1</v>
      </c>
      <c r="G19" s="20" t="s">
        <v>145</v>
      </c>
      <c r="H19" s="20">
        <f t="shared" si="0"/>
        <v>5</v>
      </c>
    </row>
    <row r="20" spans="1:8" x14ac:dyDescent="0.25">
      <c r="A20" s="20" t="s">
        <v>150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 t="s">
        <v>145</v>
      </c>
      <c r="H20" s="20">
        <f t="shared" si="0"/>
        <v>0</v>
      </c>
    </row>
    <row r="21" spans="1:8" x14ac:dyDescent="0.25">
      <c r="A21" s="20" t="s">
        <v>151</v>
      </c>
      <c r="B21" s="22">
        <v>14</v>
      </c>
      <c r="C21" s="22">
        <v>8</v>
      </c>
      <c r="D21" s="22">
        <v>0</v>
      </c>
      <c r="E21" s="22">
        <v>5</v>
      </c>
      <c r="F21" s="22">
        <v>2</v>
      </c>
      <c r="G21" s="20" t="s">
        <v>143</v>
      </c>
      <c r="H21" s="20">
        <f t="shared" si="0"/>
        <v>29</v>
      </c>
    </row>
    <row r="22" spans="1:8" x14ac:dyDescent="0.25">
      <c r="A22" s="20" t="s">
        <v>152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 t="s">
        <v>145</v>
      </c>
      <c r="H22" s="20">
        <f t="shared" si="0"/>
        <v>0</v>
      </c>
    </row>
    <row r="23" spans="1:8" x14ac:dyDescent="0.25">
      <c r="A23" s="20" t="s">
        <v>153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 t="s">
        <v>145</v>
      </c>
      <c r="H23" s="20">
        <f t="shared" si="0"/>
        <v>0</v>
      </c>
    </row>
    <row r="24" spans="1:8" x14ac:dyDescent="0.25">
      <c r="A24" s="20" t="s">
        <v>154</v>
      </c>
      <c r="B24" s="20">
        <v>0</v>
      </c>
      <c r="C24" s="23">
        <v>1</v>
      </c>
      <c r="D24" s="20">
        <v>0</v>
      </c>
      <c r="E24" s="20">
        <v>0</v>
      </c>
      <c r="F24" s="20">
        <v>0</v>
      </c>
      <c r="G24" s="20" t="s">
        <v>145</v>
      </c>
      <c r="H24" s="20">
        <f t="shared" si="0"/>
        <v>1</v>
      </c>
    </row>
    <row r="25" spans="1:8" x14ac:dyDescent="0.25">
      <c r="A25" s="20" t="s">
        <v>155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 t="s">
        <v>145</v>
      </c>
      <c r="H25" s="20">
        <f t="shared" si="0"/>
        <v>0</v>
      </c>
    </row>
    <row r="26" spans="1:8" x14ac:dyDescent="0.25">
      <c r="A26" s="20" t="s">
        <v>156</v>
      </c>
      <c r="B26" s="20">
        <v>1</v>
      </c>
      <c r="C26" s="20">
        <v>1</v>
      </c>
      <c r="D26" s="20">
        <v>1</v>
      </c>
      <c r="E26" s="20">
        <v>1</v>
      </c>
      <c r="F26" s="20">
        <v>1</v>
      </c>
      <c r="G26" s="20" t="s">
        <v>145</v>
      </c>
      <c r="H26" s="20">
        <f t="shared" si="0"/>
        <v>5</v>
      </c>
    </row>
    <row r="27" spans="1:8" x14ac:dyDescent="0.25">
      <c r="A27" s="20" t="s">
        <v>157</v>
      </c>
      <c r="B27" s="20">
        <v>1</v>
      </c>
      <c r="C27" s="20">
        <v>1</v>
      </c>
      <c r="D27" s="20">
        <v>1</v>
      </c>
      <c r="E27" s="20">
        <v>1</v>
      </c>
      <c r="F27" s="20">
        <v>1</v>
      </c>
      <c r="G27" s="20" t="s">
        <v>145</v>
      </c>
      <c r="H27" s="20">
        <f t="shared" si="0"/>
        <v>5</v>
      </c>
    </row>
    <row r="28" spans="1:8" x14ac:dyDescent="0.25">
      <c r="A28" s="20" t="s">
        <v>158</v>
      </c>
      <c r="B28" s="20">
        <v>2</v>
      </c>
      <c r="C28" s="20">
        <v>2</v>
      </c>
      <c r="D28" s="20">
        <v>2</v>
      </c>
      <c r="E28" s="20">
        <v>2</v>
      </c>
      <c r="F28" s="20">
        <v>2</v>
      </c>
      <c r="G28" s="20" t="s">
        <v>145</v>
      </c>
      <c r="H28" s="20">
        <f t="shared" si="0"/>
        <v>10</v>
      </c>
    </row>
    <row r="29" spans="1:8" x14ac:dyDescent="0.25">
      <c r="A29" s="20" t="s">
        <v>159</v>
      </c>
      <c r="B29" s="20">
        <v>2</v>
      </c>
      <c r="C29" s="20">
        <v>2</v>
      </c>
      <c r="D29" s="20">
        <v>2</v>
      </c>
      <c r="E29" s="20">
        <v>2</v>
      </c>
      <c r="F29" s="20">
        <v>2</v>
      </c>
      <c r="G29" s="20" t="s">
        <v>145</v>
      </c>
      <c r="H29" s="20">
        <f t="shared" si="0"/>
        <v>10</v>
      </c>
    </row>
    <row r="30" spans="1:8" x14ac:dyDescent="0.25">
      <c r="A30" s="20" t="s">
        <v>160</v>
      </c>
      <c r="B30" s="20">
        <v>4</v>
      </c>
      <c r="C30" s="20">
        <v>4</v>
      </c>
      <c r="D30" s="20">
        <v>4</v>
      </c>
      <c r="E30" s="20">
        <v>4</v>
      </c>
      <c r="F30" s="20">
        <v>4</v>
      </c>
      <c r="G30" s="20" t="s">
        <v>145</v>
      </c>
      <c r="H30" s="20">
        <f t="shared" si="0"/>
        <v>20</v>
      </c>
    </row>
    <row r="31" spans="1:8" x14ac:dyDescent="0.25">
      <c r="A31" s="20" t="s">
        <v>161</v>
      </c>
      <c r="B31" s="20">
        <v>4</v>
      </c>
      <c r="C31" s="20">
        <v>4</v>
      </c>
      <c r="D31" s="20">
        <v>4</v>
      </c>
      <c r="E31" s="20">
        <v>4</v>
      </c>
      <c r="F31" s="20">
        <v>4</v>
      </c>
      <c r="G31" s="20" t="s">
        <v>145</v>
      </c>
      <c r="H31" s="20">
        <f t="shared" si="0"/>
        <v>20</v>
      </c>
    </row>
    <row r="32" spans="1:8" x14ac:dyDescent="0.25">
      <c r="A32" s="20" t="s">
        <v>162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 t="s">
        <v>145</v>
      </c>
      <c r="H32" s="20">
        <f t="shared" si="0"/>
        <v>0</v>
      </c>
    </row>
  </sheetData>
  <pageMargins left="0.7" right="0.7" top="0.75" bottom="0.75" header="0.3" footer="0.3"/>
  <headerFooter>
    <oddHeader>&amp;R&amp;"Calibri"&amp;10&amp;K000000 Documento: Personal&amp;1#_x000D_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F829-DE5A-43EC-A09F-470C57CE7D40}">
  <dimension ref="A1:CR60"/>
  <sheetViews>
    <sheetView showGridLines="0" zoomScale="85" zoomScaleNormal="85" workbookViewId="0">
      <pane xSplit="4" ySplit="1" topLeftCell="E42" activePane="bottomRight" state="frozen"/>
      <selection pane="topRight" activeCell="H49" sqref="H49"/>
      <selection pane="bottomLeft" activeCell="H49" sqref="H49"/>
      <selection pane="bottomRight" activeCell="E31" sqref="E31"/>
    </sheetView>
  </sheetViews>
  <sheetFormatPr baseColWidth="10" defaultColWidth="11.42578125" defaultRowHeight="15" x14ac:dyDescent="0.25"/>
  <cols>
    <col min="1" max="1" width="52.5703125" style="6" bestFit="1" customWidth="1"/>
    <col min="2" max="2" width="12" style="7" bestFit="1" customWidth="1"/>
    <col min="3" max="3" width="11.7109375" style="7" customWidth="1"/>
    <col min="4" max="4" width="11.28515625" style="7" hidden="1" customWidth="1"/>
    <col min="5" max="5" width="13.7109375" style="7" bestFit="1" customWidth="1"/>
    <col min="6" max="7" width="17.28515625" style="18" customWidth="1"/>
    <col min="8" max="8" width="10" style="7" customWidth="1"/>
    <col min="9" max="9" width="11" style="7" customWidth="1"/>
    <col min="10" max="10" width="17.28515625" style="18" customWidth="1"/>
    <col min="11" max="11" width="10" style="7" customWidth="1"/>
    <col min="12" max="12" width="11" style="7" customWidth="1"/>
    <col min="13" max="13" width="18.42578125" style="18" customWidth="1"/>
    <col min="14" max="14" width="10" style="7" customWidth="1"/>
    <col min="15" max="15" width="11" style="7" customWidth="1"/>
    <col min="16" max="16" width="17.28515625" style="18" customWidth="1"/>
    <col min="17" max="17" width="10" style="19" customWidth="1"/>
    <col min="18" max="18" width="11" style="7" customWidth="1"/>
    <col min="19" max="19" width="17.28515625" style="18" customWidth="1"/>
    <col min="20" max="20" width="10" style="19" customWidth="1"/>
    <col min="21" max="21" width="11" style="7" customWidth="1"/>
    <col min="22" max="22" width="17.28515625" style="18" customWidth="1"/>
    <col min="23" max="23" width="10" style="19" customWidth="1"/>
    <col min="24" max="24" width="11" style="7" customWidth="1"/>
    <col min="25" max="25" width="17.28515625" style="18" customWidth="1"/>
    <col min="26" max="26" width="10" style="19" customWidth="1"/>
    <col min="27" max="27" width="11" style="7" customWidth="1"/>
    <col min="28" max="28" width="17.28515625" style="18" customWidth="1"/>
    <col min="29" max="29" width="10" style="19" customWidth="1"/>
    <col min="30" max="30" width="11" style="7" customWidth="1"/>
    <col min="31" max="31" width="17.28515625" style="18" customWidth="1"/>
    <col min="32" max="32" width="10" style="19" customWidth="1"/>
    <col min="33" max="33" width="11" style="7" customWidth="1"/>
    <col min="34" max="34" width="17.28515625" style="18" customWidth="1"/>
    <col min="35" max="35" width="10" style="19" customWidth="1"/>
    <col min="36" max="36" width="11" style="7" customWidth="1"/>
    <col min="37" max="37" width="15" style="18" customWidth="1"/>
    <col min="38" max="38" width="10" style="19" customWidth="1"/>
    <col min="39" max="39" width="11" style="7" customWidth="1"/>
    <col min="40" max="40" width="15" style="18" customWidth="1"/>
    <col min="41" max="41" width="10" style="19" customWidth="1"/>
    <col min="42" max="42" width="11" style="7" customWidth="1"/>
    <col min="43" max="43" width="15" style="18" customWidth="1"/>
    <col min="44" max="44" width="10" style="19" customWidth="1"/>
    <col min="45" max="45" width="11" style="7" customWidth="1"/>
    <col min="46" max="46" width="15" style="18" customWidth="1"/>
    <col min="47" max="47" width="10" style="19" customWidth="1"/>
    <col min="48" max="48" width="11" style="7" customWidth="1"/>
    <col min="49" max="49" width="15" style="18" customWidth="1"/>
    <col min="50" max="50" width="10" style="7" customWidth="1"/>
    <col min="51" max="51" width="11" style="7" customWidth="1"/>
    <col min="52" max="52" width="15" style="18" customWidth="1"/>
    <col min="53" max="53" width="10" style="7" customWidth="1"/>
    <col min="54" max="54" width="11" style="7" customWidth="1"/>
    <col min="55" max="55" width="15" style="18" customWidth="1"/>
    <col min="56" max="56" width="10" style="7" customWidth="1"/>
    <col min="57" max="57" width="11" style="7" customWidth="1"/>
    <col min="58" max="58" width="15" style="18" customWidth="1"/>
    <col min="59" max="59" width="10" style="7" customWidth="1"/>
    <col min="60" max="60" width="11" style="7" customWidth="1"/>
    <col min="61" max="61" width="15" style="18" customWidth="1"/>
    <col min="62" max="62" width="10" style="7" customWidth="1"/>
    <col min="63" max="63" width="11" style="7" customWidth="1"/>
    <col min="64" max="64" width="15" style="18" customWidth="1"/>
    <col min="65" max="65" width="10" style="7" customWidth="1"/>
    <col min="66" max="66" width="11" style="7" customWidth="1"/>
    <col min="67" max="67" width="17.28515625" style="18" customWidth="1"/>
    <col min="68" max="68" width="10" style="7" customWidth="1"/>
    <col min="69" max="69" width="11" style="7" customWidth="1"/>
    <col min="70" max="70" width="17.28515625" style="18" customWidth="1"/>
    <col min="71" max="71" width="10" style="7" customWidth="1"/>
    <col min="72" max="72" width="11" style="7" customWidth="1"/>
    <col min="73" max="73" width="17.28515625" style="18" customWidth="1"/>
    <col min="74" max="74" width="10" style="7" customWidth="1"/>
    <col min="75" max="75" width="11" style="7" customWidth="1"/>
    <col min="76" max="76" width="17.28515625" style="18" bestFit="1" customWidth="1"/>
    <col min="77" max="77" width="10" style="7" bestFit="1" customWidth="1"/>
    <col min="78" max="78" width="11" style="7" bestFit="1" customWidth="1"/>
    <col min="79" max="79" width="17.28515625" style="18" bestFit="1" customWidth="1"/>
    <col min="80" max="80" width="10" style="7" bestFit="1" customWidth="1"/>
    <col min="81" max="81" width="11" style="7" bestFit="1" customWidth="1"/>
    <col min="82" max="82" width="17.28515625" style="18" bestFit="1" customWidth="1"/>
    <col min="83" max="83" width="10" style="7" bestFit="1" customWidth="1"/>
    <col min="84" max="84" width="11" style="7" bestFit="1" customWidth="1"/>
    <col min="85" max="85" width="17.28515625" style="18" bestFit="1" customWidth="1"/>
    <col min="86" max="86" width="10" style="7" bestFit="1" customWidth="1"/>
    <col min="87" max="87" width="11" style="7" bestFit="1" customWidth="1"/>
    <col min="88" max="88" width="17.28515625" style="18" bestFit="1" customWidth="1"/>
    <col min="89" max="89" width="10" style="7" bestFit="1" customWidth="1"/>
    <col min="90" max="90" width="11" style="7" bestFit="1" customWidth="1"/>
    <col min="91" max="91" width="17.28515625" style="18" bestFit="1" customWidth="1"/>
    <col min="92" max="92" width="10" style="7" bestFit="1" customWidth="1"/>
    <col min="93" max="93" width="11" style="7" bestFit="1" customWidth="1"/>
    <col min="94" max="94" width="17.28515625" style="18" bestFit="1" customWidth="1"/>
    <col min="95" max="95" width="10" style="7" bestFit="1" customWidth="1"/>
    <col min="96" max="96" width="11" style="7" bestFit="1" customWidth="1"/>
  </cols>
  <sheetData>
    <row r="1" spans="1:96" x14ac:dyDescent="0.25">
      <c r="A1" s="30" t="s">
        <v>73</v>
      </c>
      <c r="B1" s="30" t="s">
        <v>74</v>
      </c>
      <c r="C1" s="35" t="s">
        <v>68</v>
      </c>
      <c r="D1" s="35" t="s">
        <v>75</v>
      </c>
      <c r="E1" s="31" t="s">
        <v>263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</row>
    <row r="2" spans="1:96" x14ac:dyDescent="0.25">
      <c r="A2" s="8" t="s">
        <v>76</v>
      </c>
      <c r="B2" s="9">
        <v>1000081177</v>
      </c>
      <c r="C2" s="9" t="s">
        <v>70</v>
      </c>
      <c r="D2" s="9"/>
      <c r="E2" s="9">
        <v>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</row>
    <row r="3" spans="1:96" hidden="1" x14ac:dyDescent="0.25">
      <c r="A3" s="8" t="s">
        <v>77</v>
      </c>
      <c r="B3" s="9">
        <v>11095139</v>
      </c>
      <c r="C3" s="9" t="s">
        <v>70</v>
      </c>
      <c r="D3" s="9"/>
      <c r="E3" s="9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</row>
    <row r="4" spans="1:96" hidden="1" x14ac:dyDescent="0.25">
      <c r="A4" s="8" t="s">
        <v>78</v>
      </c>
      <c r="B4" s="9">
        <v>1000587545</v>
      </c>
      <c r="C4" s="9" t="s">
        <v>70</v>
      </c>
      <c r="D4" s="9"/>
      <c r="E4" s="9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</row>
    <row r="5" spans="1:96" hidden="1" x14ac:dyDescent="0.25">
      <c r="A5" s="8" t="s">
        <v>79</v>
      </c>
      <c r="B5" s="9">
        <v>1000587595</v>
      </c>
      <c r="C5" s="9" t="s">
        <v>70</v>
      </c>
      <c r="D5" s="9"/>
      <c r="E5" s="9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</row>
    <row r="6" spans="1:96" hidden="1" x14ac:dyDescent="0.25">
      <c r="A6" s="8" t="s">
        <v>80</v>
      </c>
      <c r="B6" s="9">
        <v>1000511167</v>
      </c>
      <c r="C6" s="9" t="s">
        <v>70</v>
      </c>
      <c r="D6" s="9"/>
      <c r="E6" s="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</row>
    <row r="7" spans="1:96" hidden="1" x14ac:dyDescent="0.25">
      <c r="A7" s="8" t="s">
        <v>81</v>
      </c>
      <c r="B7" s="9">
        <v>1000587611</v>
      </c>
      <c r="C7" s="9" t="s">
        <v>70</v>
      </c>
      <c r="D7" s="9"/>
      <c r="E7" s="9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hidden="1" x14ac:dyDescent="0.25">
      <c r="A8" s="8" t="s">
        <v>82</v>
      </c>
      <c r="B8" s="9"/>
      <c r="C8" s="9" t="s">
        <v>70</v>
      </c>
      <c r="D8" s="11"/>
      <c r="E8" s="9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</row>
    <row r="9" spans="1:96" hidden="1" x14ac:dyDescent="0.25">
      <c r="A9" s="8" t="s">
        <v>83</v>
      </c>
      <c r="B9" s="9">
        <v>1000562449</v>
      </c>
      <c r="C9" s="9" t="s">
        <v>70</v>
      </c>
      <c r="D9" s="12"/>
      <c r="E9" s="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</row>
    <row r="10" spans="1:96" hidden="1" x14ac:dyDescent="0.25">
      <c r="A10" s="8" t="s">
        <v>84</v>
      </c>
      <c r="B10" s="9">
        <v>11100040</v>
      </c>
      <c r="C10" s="9" t="s">
        <v>70</v>
      </c>
      <c r="D10" s="12"/>
      <c r="E10" s="9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1" spans="1:96" hidden="1" x14ac:dyDescent="0.25">
      <c r="A11" s="8" t="s">
        <v>85</v>
      </c>
      <c r="B11" s="9">
        <v>11100071</v>
      </c>
      <c r="C11" s="9" t="s">
        <v>70</v>
      </c>
      <c r="D11" s="12"/>
      <c r="E11" s="9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</row>
    <row r="12" spans="1:96" hidden="1" x14ac:dyDescent="0.25">
      <c r="A12" s="8" t="s">
        <v>86</v>
      </c>
      <c r="B12" s="9">
        <v>11100041</v>
      </c>
      <c r="C12" s="9" t="s">
        <v>70</v>
      </c>
      <c r="D12" s="12"/>
      <c r="E12" s="9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</row>
    <row r="13" spans="1:96" hidden="1" x14ac:dyDescent="0.25">
      <c r="A13" s="8" t="s">
        <v>87</v>
      </c>
      <c r="B13" s="9">
        <v>11100042</v>
      </c>
      <c r="C13" s="9" t="s">
        <v>70</v>
      </c>
      <c r="D13" s="12"/>
      <c r="E13" s="9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</row>
    <row r="14" spans="1:96" hidden="1" x14ac:dyDescent="0.25">
      <c r="A14" s="8" t="s">
        <v>88</v>
      </c>
      <c r="B14" s="9">
        <v>1000081962</v>
      </c>
      <c r="C14" s="9" t="s">
        <v>70</v>
      </c>
      <c r="D14" s="12"/>
      <c r="E14" s="9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</row>
    <row r="15" spans="1:96" hidden="1" x14ac:dyDescent="0.25">
      <c r="A15" s="8" t="s">
        <v>89</v>
      </c>
      <c r="B15" s="9">
        <v>11100072</v>
      </c>
      <c r="C15" s="9" t="s">
        <v>70</v>
      </c>
      <c r="D15" s="12"/>
      <c r="E15" s="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</row>
    <row r="16" spans="1:96" hidden="1" x14ac:dyDescent="0.25">
      <c r="A16" s="8" t="s">
        <v>90</v>
      </c>
      <c r="B16" s="9">
        <v>1000242607</v>
      </c>
      <c r="C16" s="9" t="s">
        <v>70</v>
      </c>
      <c r="D16" s="9"/>
      <c r="E16" s="9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</row>
    <row r="17" spans="1:96" hidden="1" x14ac:dyDescent="0.25">
      <c r="A17" s="8" t="s">
        <v>91</v>
      </c>
      <c r="B17" s="9">
        <v>1000029265</v>
      </c>
      <c r="C17" s="9" t="s">
        <v>70</v>
      </c>
      <c r="D17" s="9"/>
      <c r="E17" s="9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</row>
    <row r="18" spans="1:96" hidden="1" x14ac:dyDescent="0.25">
      <c r="A18" s="8" t="s">
        <v>92</v>
      </c>
      <c r="B18" s="9">
        <v>1000029267</v>
      </c>
      <c r="C18" s="9" t="s">
        <v>70</v>
      </c>
      <c r="D18" s="9"/>
      <c r="E18" s="9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</row>
    <row r="19" spans="1:96" hidden="1" x14ac:dyDescent="0.25">
      <c r="A19" s="8" t="s">
        <v>93</v>
      </c>
      <c r="B19" s="9">
        <v>1000048179</v>
      </c>
      <c r="C19" s="9" t="s">
        <v>70</v>
      </c>
      <c r="D19" s="9"/>
      <c r="E19" s="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</row>
    <row r="20" spans="1:96" hidden="1" x14ac:dyDescent="0.25">
      <c r="A20" s="8" t="s">
        <v>94</v>
      </c>
      <c r="B20" s="9">
        <v>1000048180</v>
      </c>
      <c r="C20" s="9" t="s">
        <v>70</v>
      </c>
      <c r="D20" s="9"/>
      <c r="E20" s="9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</row>
    <row r="21" spans="1:96" hidden="1" x14ac:dyDescent="0.25">
      <c r="A21" s="8" t="s">
        <v>95</v>
      </c>
      <c r="B21" s="9">
        <v>1000048242</v>
      </c>
      <c r="C21" s="9" t="s">
        <v>70</v>
      </c>
      <c r="D21" s="9"/>
      <c r="E21" s="9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</row>
    <row r="22" spans="1:96" x14ac:dyDescent="0.25">
      <c r="A22" s="13" t="s">
        <v>96</v>
      </c>
      <c r="B22" s="14">
        <v>1000535593</v>
      </c>
      <c r="C22" s="9" t="s">
        <v>70</v>
      </c>
      <c r="D22" s="9"/>
      <c r="E22" s="9">
        <v>370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</row>
    <row r="23" spans="1:96" x14ac:dyDescent="0.25">
      <c r="A23" s="13" t="s">
        <v>97</v>
      </c>
      <c r="B23" s="14">
        <v>1000535601</v>
      </c>
      <c r="C23" s="9" t="s">
        <v>70</v>
      </c>
      <c r="D23" s="9"/>
      <c r="E23" s="9">
        <v>180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</row>
    <row r="24" spans="1:96" x14ac:dyDescent="0.25">
      <c r="A24" s="13" t="s">
        <v>98</v>
      </c>
      <c r="B24" s="14">
        <v>1000535592</v>
      </c>
      <c r="C24" s="9" t="s">
        <v>70</v>
      </c>
      <c r="D24" s="9"/>
      <c r="E24" s="9">
        <v>440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</row>
    <row r="25" spans="1:96" x14ac:dyDescent="0.25">
      <c r="A25" s="13" t="s">
        <v>99</v>
      </c>
      <c r="B25" s="14">
        <v>1000535600</v>
      </c>
      <c r="C25" s="9" t="s">
        <v>70</v>
      </c>
      <c r="D25" s="9"/>
      <c r="E25" s="9">
        <v>100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</row>
    <row r="26" spans="1:96" x14ac:dyDescent="0.25">
      <c r="A26" s="13" t="s">
        <v>100</v>
      </c>
      <c r="B26" s="14">
        <v>1000535591</v>
      </c>
      <c r="C26" s="9" t="s">
        <v>70</v>
      </c>
      <c r="D26" s="9"/>
      <c r="E26" s="9">
        <v>500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</row>
    <row r="27" spans="1:96" x14ac:dyDescent="0.25">
      <c r="A27" s="13" t="s">
        <v>101</v>
      </c>
      <c r="B27" s="14">
        <v>1000535599</v>
      </c>
      <c r="C27" s="9" t="s">
        <v>70</v>
      </c>
      <c r="D27" s="9"/>
      <c r="E27" s="9">
        <v>120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</row>
    <row r="28" spans="1:96" x14ac:dyDescent="0.25">
      <c r="A28" s="13" t="s">
        <v>102</v>
      </c>
      <c r="B28" s="14">
        <v>1000535604</v>
      </c>
      <c r="C28" s="9" t="s">
        <v>70</v>
      </c>
      <c r="D28" s="9"/>
      <c r="E28" s="9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</row>
    <row r="29" spans="1:96" x14ac:dyDescent="0.25">
      <c r="A29" s="13" t="s">
        <v>103</v>
      </c>
      <c r="B29" s="14">
        <v>1000535605</v>
      </c>
      <c r="C29" s="9" t="s">
        <v>70</v>
      </c>
      <c r="D29" s="9"/>
      <c r="E29" s="9">
        <v>12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</row>
    <row r="30" spans="1:96" x14ac:dyDescent="0.25">
      <c r="A30" s="13" t="s">
        <v>104</v>
      </c>
      <c r="B30" s="14">
        <v>1000535607</v>
      </c>
      <c r="C30" s="9" t="s">
        <v>70</v>
      </c>
      <c r="D30" s="9"/>
      <c r="E30" s="9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</row>
    <row r="31" spans="1:96" x14ac:dyDescent="0.25">
      <c r="A31" s="13" t="s">
        <v>105</v>
      </c>
      <c r="B31" s="14">
        <v>1000540240</v>
      </c>
      <c r="C31" s="9" t="s">
        <v>70</v>
      </c>
      <c r="D31" s="9"/>
      <c r="E31" s="9">
        <v>630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</row>
    <row r="32" spans="1:96" x14ac:dyDescent="0.25">
      <c r="A32" s="13" t="s">
        <v>106</v>
      </c>
      <c r="B32" s="14">
        <v>1000540241</v>
      </c>
      <c r="C32" s="9" t="s">
        <v>70</v>
      </c>
      <c r="D32" s="9"/>
      <c r="E32" s="9">
        <v>540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</row>
    <row r="33" spans="1:96" x14ac:dyDescent="0.25">
      <c r="A33" s="13" t="s">
        <v>107</v>
      </c>
      <c r="B33" s="14">
        <v>1000540242</v>
      </c>
      <c r="C33" s="9" t="s">
        <v>70</v>
      </c>
      <c r="D33" s="9"/>
      <c r="E33" s="9">
        <v>660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</row>
    <row r="34" spans="1:96" x14ac:dyDescent="0.25">
      <c r="A34" s="13" t="s">
        <v>108</v>
      </c>
      <c r="B34" s="14">
        <v>1000535795</v>
      </c>
      <c r="C34" s="9" t="s">
        <v>70</v>
      </c>
      <c r="D34" s="9"/>
      <c r="E34" s="9">
        <v>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</row>
    <row r="35" spans="1:96" x14ac:dyDescent="0.25">
      <c r="A35" s="13" t="s">
        <v>109</v>
      </c>
      <c r="B35" s="14">
        <v>1000535912</v>
      </c>
      <c r="C35" s="9" t="s">
        <v>70</v>
      </c>
      <c r="D35" s="9"/>
      <c r="E35" s="9">
        <v>12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</row>
    <row r="36" spans="1:96" x14ac:dyDescent="0.25">
      <c r="A36" s="13" t="s">
        <v>110</v>
      </c>
      <c r="B36" s="14">
        <v>1000535913</v>
      </c>
      <c r="C36" s="9" t="s">
        <v>70</v>
      </c>
      <c r="D36" s="9"/>
      <c r="E36" s="9">
        <v>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</row>
    <row r="37" spans="1:96" x14ac:dyDescent="0.25">
      <c r="A37" s="8" t="s">
        <v>111</v>
      </c>
      <c r="B37" s="9">
        <v>1000260333</v>
      </c>
      <c r="C37" s="9" t="s">
        <v>70</v>
      </c>
      <c r="D37" s="9"/>
      <c r="E37" s="9">
        <v>90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</row>
    <row r="38" spans="1:96" x14ac:dyDescent="0.25">
      <c r="A38" s="8" t="s">
        <v>112</v>
      </c>
      <c r="B38" s="9"/>
      <c r="C38" s="9" t="s">
        <v>70</v>
      </c>
      <c r="D38" s="10"/>
      <c r="E38" s="9">
        <v>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</row>
    <row r="39" spans="1:96" x14ac:dyDescent="0.25">
      <c r="A39" s="8" t="s">
        <v>113</v>
      </c>
      <c r="B39" s="9"/>
      <c r="C39" s="9" t="s">
        <v>70</v>
      </c>
      <c r="D39" s="15"/>
      <c r="E39" s="9">
        <v>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</row>
    <row r="40" spans="1:96" x14ac:dyDescent="0.25">
      <c r="A40" s="8" t="s">
        <v>114</v>
      </c>
      <c r="B40" s="9"/>
      <c r="C40" s="9" t="s">
        <v>70</v>
      </c>
      <c r="D40" s="15"/>
      <c r="E40" s="9">
        <v>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</row>
    <row r="41" spans="1:96" x14ac:dyDescent="0.25">
      <c r="A41" s="8" t="s">
        <v>121</v>
      </c>
      <c r="B41" s="9">
        <v>10700731</v>
      </c>
      <c r="C41" s="9" t="s">
        <v>70</v>
      </c>
      <c r="D41" s="12"/>
      <c r="E41" s="9">
        <v>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</row>
    <row r="42" spans="1:96" x14ac:dyDescent="0.25">
      <c r="A42" s="8" t="s">
        <v>122</v>
      </c>
      <c r="B42" s="9">
        <v>1000001967</v>
      </c>
      <c r="C42" s="9" t="s">
        <v>70</v>
      </c>
      <c r="D42" s="12"/>
      <c r="E42" s="9">
        <v>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</row>
    <row r="43" spans="1:96" x14ac:dyDescent="0.25">
      <c r="A43" s="8" t="s">
        <v>123</v>
      </c>
      <c r="B43" s="9">
        <v>1000082556</v>
      </c>
      <c r="C43" s="9" t="s">
        <v>70</v>
      </c>
      <c r="D43" s="12"/>
      <c r="E43" s="9">
        <v>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</row>
    <row r="44" spans="1:96" x14ac:dyDescent="0.25">
      <c r="A44" s="8" t="s">
        <v>124</v>
      </c>
      <c r="B44" s="9">
        <v>10301620</v>
      </c>
      <c r="C44" s="9" t="s">
        <v>70</v>
      </c>
      <c r="D44" s="16"/>
      <c r="E44" s="9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</row>
    <row r="45" spans="1:96" x14ac:dyDescent="0.25">
      <c r="A45" s="16" t="s">
        <v>125</v>
      </c>
      <c r="B45" s="16">
        <v>10700733</v>
      </c>
      <c r="C45" s="12" t="s">
        <v>70</v>
      </c>
      <c r="D45" s="12"/>
      <c r="E45" s="9">
        <v>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</row>
    <row r="46" spans="1:96" x14ac:dyDescent="0.25">
      <c r="A46" s="8" t="s">
        <v>126</v>
      </c>
      <c r="B46" s="9">
        <v>10700666</v>
      </c>
      <c r="C46" s="12" t="s">
        <v>70</v>
      </c>
      <c r="D46" s="12"/>
      <c r="E46" s="9">
        <v>2200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</row>
    <row r="47" spans="1:96" x14ac:dyDescent="0.25">
      <c r="A47" s="8" t="s">
        <v>127</v>
      </c>
      <c r="B47" s="9">
        <v>1000524332</v>
      </c>
      <c r="C47" s="12" t="s">
        <v>71</v>
      </c>
      <c r="D47" s="12"/>
      <c r="E47" s="9">
        <v>290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</row>
    <row r="48" spans="1:96" x14ac:dyDescent="0.25">
      <c r="A48" s="8" t="s">
        <v>72</v>
      </c>
      <c r="B48" s="9">
        <v>10700747</v>
      </c>
      <c r="C48" s="12" t="s">
        <v>70</v>
      </c>
      <c r="D48" s="12"/>
      <c r="E48" s="9">
        <v>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</row>
    <row r="49" spans="1:96" x14ac:dyDescent="0.25">
      <c r="A49" s="17" t="s">
        <v>129</v>
      </c>
      <c r="B49" s="9">
        <v>1000082224</v>
      </c>
      <c r="C49" s="9" t="s">
        <v>70</v>
      </c>
      <c r="D49" s="9" t="s">
        <v>128</v>
      </c>
      <c r="E49" s="9">
        <v>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</row>
    <row r="50" spans="1:96" x14ac:dyDescent="0.25">
      <c r="A50" s="16" t="s">
        <v>130</v>
      </c>
      <c r="B50" s="9">
        <v>1000232228</v>
      </c>
      <c r="C50" s="9" t="s">
        <v>70</v>
      </c>
      <c r="D50" s="16"/>
      <c r="E50" s="9">
        <v>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</row>
    <row r="51" spans="1:96" x14ac:dyDescent="0.25">
      <c r="A51" s="16" t="s">
        <v>131</v>
      </c>
      <c r="B51" s="9">
        <v>1000070792</v>
      </c>
      <c r="C51" s="9" t="s">
        <v>70</v>
      </c>
      <c r="D51" s="16"/>
      <c r="E51" s="9">
        <v>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</row>
    <row r="52" spans="1:96" x14ac:dyDescent="0.25">
      <c r="A52" s="16" t="s">
        <v>132</v>
      </c>
      <c r="B52" s="9">
        <v>1000217496</v>
      </c>
      <c r="C52" s="9" t="s">
        <v>70</v>
      </c>
      <c r="D52" s="16"/>
      <c r="E52" s="9">
        <v>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</row>
    <row r="53" spans="1:96" x14ac:dyDescent="0.25">
      <c r="A53" s="16" t="s">
        <v>133</v>
      </c>
      <c r="B53" s="9">
        <v>11195200</v>
      </c>
      <c r="C53" s="9" t="s">
        <v>70</v>
      </c>
      <c r="D53" s="16"/>
      <c r="E53" s="9">
        <v>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</row>
    <row r="54" spans="1:96" x14ac:dyDescent="0.25">
      <c r="A54" s="16" t="s">
        <v>134</v>
      </c>
      <c r="B54" s="9">
        <v>30201929</v>
      </c>
      <c r="C54" s="9" t="s">
        <v>70</v>
      </c>
      <c r="D54" s="16"/>
      <c r="E54" s="9">
        <v>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</row>
    <row r="55" spans="1:96" x14ac:dyDescent="0.25">
      <c r="A55" s="16" t="s">
        <v>135</v>
      </c>
      <c r="B55" s="9">
        <v>11100178</v>
      </c>
      <c r="C55" s="9" t="s">
        <v>70</v>
      </c>
      <c r="D55" s="16"/>
      <c r="E55" s="9">
        <v>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</row>
    <row r="56" spans="1:96" x14ac:dyDescent="0.25">
      <c r="A56" s="16" t="s">
        <v>136</v>
      </c>
      <c r="B56" s="9">
        <v>1000218118</v>
      </c>
      <c r="C56" s="9" t="s">
        <v>70</v>
      </c>
      <c r="D56" s="16"/>
      <c r="E56" s="9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</row>
    <row r="57" spans="1:96" x14ac:dyDescent="0.25">
      <c r="A57" s="16" t="s">
        <v>137</v>
      </c>
      <c r="B57" s="9">
        <v>1000218119</v>
      </c>
      <c r="C57" s="9" t="s">
        <v>70</v>
      </c>
      <c r="D57" s="16"/>
      <c r="E57" s="9">
        <v>12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</row>
    <row r="58" spans="1:96" x14ac:dyDescent="0.25">
      <c r="A58" s="16" t="s">
        <v>138</v>
      </c>
      <c r="B58" s="9">
        <v>1000218120</v>
      </c>
      <c r="C58" s="9" t="s">
        <v>70</v>
      </c>
      <c r="D58" s="16"/>
      <c r="E58" s="9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</row>
    <row r="59" spans="1:96" x14ac:dyDescent="0.25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</row>
    <row r="60" spans="1:96" x14ac:dyDescent="0.25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</row>
  </sheetData>
  <dataConsolidate/>
  <pageMargins left="0.7" right="0.7" top="0.75" bottom="0.75" header="0.3" footer="0.3"/>
  <pageSetup orientation="portrait" r:id="rId1"/>
  <headerFooter>
    <oddHeader>&amp;R&amp;"Calibri"&amp;10&amp;K000000Documento: YPF-Privado&amp;1#</oddHeader>
    <oddFooter>&amp;R&amp;1#&amp;"Calibri"&amp;10&amp;K000000Documento: YPF-Privado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91C8-5CA1-4D2D-81B7-8FFD17C30923}">
  <dimension ref="A1:O104"/>
  <sheetViews>
    <sheetView topLeftCell="A97" zoomScale="86" workbookViewId="0">
      <selection activeCell="I101" sqref="I101"/>
    </sheetView>
  </sheetViews>
  <sheetFormatPr baseColWidth="10" defaultRowHeight="15" x14ac:dyDescent="0.25"/>
  <cols>
    <col min="1" max="1" width="52.140625" customWidth="1"/>
  </cols>
  <sheetData>
    <row r="1" spans="1:9" x14ac:dyDescent="0.25">
      <c r="A1" s="30" t="s">
        <v>73</v>
      </c>
      <c r="B1" s="30" t="s">
        <v>68</v>
      </c>
      <c r="C1" s="31" t="s">
        <v>69</v>
      </c>
      <c r="D1" s="30" t="s">
        <v>163</v>
      </c>
      <c r="E1" s="30" t="s">
        <v>164</v>
      </c>
      <c r="F1" s="30" t="s">
        <v>165</v>
      </c>
      <c r="I1" s="24" t="s">
        <v>254</v>
      </c>
    </row>
    <row r="2" spans="1:9" x14ac:dyDescent="0.25">
      <c r="A2" s="29" t="s">
        <v>166</v>
      </c>
      <c r="B2" s="9" t="s">
        <v>70</v>
      </c>
      <c r="C2" s="28">
        <v>2</v>
      </c>
      <c r="D2" s="20">
        <v>1</v>
      </c>
      <c r="E2" s="20">
        <v>1</v>
      </c>
      <c r="F2" s="20"/>
      <c r="I2" t="s">
        <v>255</v>
      </c>
    </row>
    <row r="3" spans="1:9" x14ac:dyDescent="0.25">
      <c r="A3" s="29" t="s">
        <v>167</v>
      </c>
      <c r="B3" s="9" t="s">
        <v>70</v>
      </c>
      <c r="C3" s="27">
        <v>50</v>
      </c>
      <c r="D3" s="20">
        <v>20</v>
      </c>
      <c r="E3" s="20">
        <v>15</v>
      </c>
      <c r="F3" s="20">
        <v>15</v>
      </c>
      <c r="I3" t="s">
        <v>253</v>
      </c>
    </row>
    <row r="4" spans="1:9" x14ac:dyDescent="0.25">
      <c r="A4" s="29" t="s">
        <v>168</v>
      </c>
      <c r="B4" s="9" t="s">
        <v>70</v>
      </c>
      <c r="C4" s="28">
        <f t="shared" ref="C4:C64" si="0">SUM(D4:F4)</f>
        <v>1500</v>
      </c>
      <c r="D4" s="20">
        <v>500</v>
      </c>
      <c r="E4" s="20">
        <v>500</v>
      </c>
      <c r="F4" s="20">
        <v>500</v>
      </c>
      <c r="I4" t="s">
        <v>256</v>
      </c>
    </row>
    <row r="5" spans="1:9" x14ac:dyDescent="0.25">
      <c r="A5" s="29" t="s">
        <v>169</v>
      </c>
      <c r="B5" s="9" t="s">
        <v>70</v>
      </c>
      <c r="C5" s="28">
        <f t="shared" si="0"/>
        <v>900</v>
      </c>
      <c r="D5" s="20">
        <v>300</v>
      </c>
      <c r="E5" s="20">
        <v>300</v>
      </c>
      <c r="F5" s="20">
        <v>300</v>
      </c>
    </row>
    <row r="6" spans="1:9" x14ac:dyDescent="0.25">
      <c r="A6" s="29" t="s">
        <v>170</v>
      </c>
      <c r="B6" s="9" t="s">
        <v>70</v>
      </c>
      <c r="C6" s="28">
        <f t="shared" si="0"/>
        <v>1200</v>
      </c>
      <c r="D6" s="20">
        <v>400</v>
      </c>
      <c r="E6" s="20">
        <v>400</v>
      </c>
      <c r="F6" s="20">
        <v>400</v>
      </c>
    </row>
    <row r="7" spans="1:9" x14ac:dyDescent="0.25">
      <c r="A7" s="29" t="s">
        <v>171</v>
      </c>
      <c r="B7" s="9" t="s">
        <v>70</v>
      </c>
      <c r="C7" s="28">
        <f t="shared" si="0"/>
        <v>225</v>
      </c>
      <c r="D7" s="20">
        <v>75</v>
      </c>
      <c r="E7" s="20">
        <v>75</v>
      </c>
      <c r="F7" s="20">
        <v>75</v>
      </c>
    </row>
    <row r="8" spans="1:9" x14ac:dyDescent="0.25">
      <c r="A8" s="29" t="s">
        <v>172</v>
      </c>
      <c r="B8" s="9" t="s">
        <v>70</v>
      </c>
      <c r="C8" s="28">
        <f t="shared" si="0"/>
        <v>300</v>
      </c>
      <c r="D8" s="20">
        <v>100</v>
      </c>
      <c r="E8" s="20">
        <v>100</v>
      </c>
      <c r="F8" s="20">
        <v>100</v>
      </c>
    </row>
    <row r="9" spans="1:9" x14ac:dyDescent="0.25">
      <c r="A9" s="29" t="s">
        <v>173</v>
      </c>
      <c r="B9" s="9" t="s">
        <v>70</v>
      </c>
      <c r="C9" s="28">
        <f t="shared" si="0"/>
        <v>225</v>
      </c>
      <c r="D9" s="20">
        <v>75</v>
      </c>
      <c r="E9" s="20">
        <v>75</v>
      </c>
      <c r="F9" s="20">
        <v>75</v>
      </c>
    </row>
    <row r="10" spans="1:9" x14ac:dyDescent="0.25">
      <c r="A10" s="29" t="s">
        <v>174</v>
      </c>
      <c r="B10" s="9" t="s">
        <v>70</v>
      </c>
      <c r="C10" s="28">
        <f t="shared" si="0"/>
        <v>900</v>
      </c>
      <c r="D10" s="20">
        <v>300</v>
      </c>
      <c r="E10" s="20">
        <v>300</v>
      </c>
      <c r="F10" s="20">
        <v>300</v>
      </c>
    </row>
    <row r="11" spans="1:9" x14ac:dyDescent="0.25">
      <c r="A11" s="29" t="s">
        <v>175</v>
      </c>
      <c r="B11" s="9" t="s">
        <v>70</v>
      </c>
      <c r="C11" s="28">
        <f t="shared" si="0"/>
        <v>300</v>
      </c>
      <c r="D11" s="20">
        <v>100</v>
      </c>
      <c r="E11" s="20">
        <v>100</v>
      </c>
      <c r="F11" s="20">
        <v>100</v>
      </c>
    </row>
    <row r="12" spans="1:9" x14ac:dyDescent="0.25">
      <c r="A12" s="29" t="s">
        <v>176</v>
      </c>
      <c r="B12" s="9" t="s">
        <v>70</v>
      </c>
      <c r="C12" s="28">
        <f t="shared" si="0"/>
        <v>600</v>
      </c>
      <c r="D12" s="20">
        <v>200</v>
      </c>
      <c r="E12" s="20">
        <v>200</v>
      </c>
      <c r="F12" s="20">
        <v>200</v>
      </c>
    </row>
    <row r="13" spans="1:9" x14ac:dyDescent="0.25">
      <c r="A13" s="29" t="s">
        <v>177</v>
      </c>
      <c r="B13" s="9" t="s">
        <v>70</v>
      </c>
      <c r="C13" s="28">
        <f t="shared" si="0"/>
        <v>150</v>
      </c>
      <c r="D13" s="20">
        <v>50</v>
      </c>
      <c r="E13" s="20">
        <v>50</v>
      </c>
      <c r="F13" s="20">
        <v>50</v>
      </c>
    </row>
    <row r="14" spans="1:9" x14ac:dyDescent="0.25">
      <c r="A14" s="29" t="s">
        <v>178</v>
      </c>
      <c r="B14" s="9" t="s">
        <v>70</v>
      </c>
      <c r="C14" s="28">
        <f t="shared" si="0"/>
        <v>900</v>
      </c>
      <c r="D14" s="20">
        <v>300</v>
      </c>
      <c r="E14" s="20">
        <v>300</v>
      </c>
      <c r="F14" s="20">
        <v>300</v>
      </c>
    </row>
    <row r="15" spans="1:9" x14ac:dyDescent="0.25">
      <c r="A15" s="13" t="s">
        <v>101</v>
      </c>
      <c r="B15" s="9" t="s">
        <v>70</v>
      </c>
      <c r="C15" s="28">
        <f t="shared" si="0"/>
        <v>150</v>
      </c>
      <c r="D15" s="20">
        <v>50</v>
      </c>
      <c r="E15" s="20">
        <v>50</v>
      </c>
      <c r="F15" s="20">
        <v>50</v>
      </c>
    </row>
    <row r="16" spans="1:9" x14ac:dyDescent="0.25">
      <c r="A16" s="29" t="s">
        <v>179</v>
      </c>
      <c r="B16" s="9" t="s">
        <v>70</v>
      </c>
      <c r="C16" s="28">
        <f t="shared" si="0"/>
        <v>60</v>
      </c>
      <c r="D16" s="20">
        <v>20</v>
      </c>
      <c r="E16" s="20">
        <v>20</v>
      </c>
      <c r="F16" s="20">
        <v>20</v>
      </c>
    </row>
    <row r="17" spans="1:15" x14ac:dyDescent="0.25">
      <c r="A17" s="29" t="s">
        <v>180</v>
      </c>
      <c r="B17" s="9" t="s">
        <v>70</v>
      </c>
      <c r="C17" s="28">
        <f t="shared" si="0"/>
        <v>1500</v>
      </c>
      <c r="D17" s="20">
        <v>500</v>
      </c>
      <c r="E17" s="20">
        <v>500</v>
      </c>
      <c r="F17" s="20">
        <v>500</v>
      </c>
    </row>
    <row r="18" spans="1:15" x14ac:dyDescent="0.25">
      <c r="A18" s="29" t="s">
        <v>181</v>
      </c>
      <c r="B18" s="9" t="s">
        <v>70</v>
      </c>
      <c r="C18" s="28">
        <f t="shared" si="0"/>
        <v>1200</v>
      </c>
      <c r="D18" s="20">
        <v>400</v>
      </c>
      <c r="E18" s="20">
        <v>400</v>
      </c>
      <c r="F18" s="20">
        <v>400</v>
      </c>
    </row>
    <row r="19" spans="1:15" x14ac:dyDescent="0.25">
      <c r="A19" s="29" t="s">
        <v>107</v>
      </c>
      <c r="B19" s="9" t="s">
        <v>70</v>
      </c>
      <c r="C19" s="28">
        <f t="shared" si="0"/>
        <v>900</v>
      </c>
      <c r="D19" s="20">
        <v>300</v>
      </c>
      <c r="E19" s="20">
        <v>300</v>
      </c>
      <c r="F19" s="20">
        <v>300</v>
      </c>
    </row>
    <row r="20" spans="1:15" x14ac:dyDescent="0.25">
      <c r="A20" s="29" t="s">
        <v>182</v>
      </c>
      <c r="B20" s="9" t="s">
        <v>70</v>
      </c>
      <c r="C20" s="28">
        <f t="shared" si="0"/>
        <v>900</v>
      </c>
      <c r="D20" s="20">
        <v>300</v>
      </c>
      <c r="E20" s="20">
        <v>300</v>
      </c>
      <c r="F20" s="20">
        <v>300</v>
      </c>
    </row>
    <row r="21" spans="1:15" x14ac:dyDescent="0.25">
      <c r="A21" s="29" t="s">
        <v>183</v>
      </c>
      <c r="B21" s="9" t="s">
        <v>70</v>
      </c>
      <c r="C21" s="28">
        <f t="shared" si="0"/>
        <v>1500</v>
      </c>
      <c r="D21" s="20">
        <v>500</v>
      </c>
      <c r="E21" s="20">
        <v>500</v>
      </c>
      <c r="F21" s="20">
        <v>500</v>
      </c>
      <c r="K21" t="s">
        <v>257</v>
      </c>
      <c r="L21" t="s">
        <v>258</v>
      </c>
      <c r="M21">
        <f>O21*K22</f>
        <v>1500</v>
      </c>
      <c r="O21">
        <v>0.6</v>
      </c>
    </row>
    <row r="22" spans="1:15" x14ac:dyDescent="0.25">
      <c r="A22" s="29" t="s">
        <v>184</v>
      </c>
      <c r="B22" s="9" t="s">
        <v>70</v>
      </c>
      <c r="C22" s="28">
        <f t="shared" si="0"/>
        <v>900</v>
      </c>
      <c r="D22" s="20">
        <v>300</v>
      </c>
      <c r="E22" s="20">
        <v>300</v>
      </c>
      <c r="F22" s="20">
        <v>300</v>
      </c>
      <c r="K22">
        <v>2500</v>
      </c>
      <c r="L22" t="s">
        <v>259</v>
      </c>
      <c r="M22">
        <f>O22*K22</f>
        <v>1000</v>
      </c>
      <c r="O22">
        <v>0.4</v>
      </c>
    </row>
    <row r="23" spans="1:15" x14ac:dyDescent="0.25">
      <c r="A23" s="29" t="s">
        <v>185</v>
      </c>
      <c r="B23" s="9" t="s">
        <v>70</v>
      </c>
      <c r="C23" s="28">
        <f t="shared" si="0"/>
        <v>600</v>
      </c>
      <c r="D23" s="20">
        <v>200</v>
      </c>
      <c r="E23" s="20">
        <v>200</v>
      </c>
      <c r="F23" s="20">
        <v>200</v>
      </c>
      <c r="N23" t="s">
        <v>258</v>
      </c>
      <c r="O23" t="s">
        <v>262</v>
      </c>
    </row>
    <row r="24" spans="1:15" x14ac:dyDescent="0.25">
      <c r="A24" s="29" t="s">
        <v>115</v>
      </c>
      <c r="B24" s="9" t="s">
        <v>70</v>
      </c>
      <c r="C24" s="28">
        <f>SUM(D24:F24)</f>
        <v>2100</v>
      </c>
      <c r="D24" s="20">
        <v>700</v>
      </c>
      <c r="E24" s="20">
        <v>700</v>
      </c>
      <c r="F24" s="20">
        <v>700</v>
      </c>
      <c r="L24">
        <v>0.35</v>
      </c>
      <c r="M24" s="26">
        <v>1</v>
      </c>
      <c r="N24">
        <f>$M$21*L24</f>
        <v>525</v>
      </c>
      <c r="O24">
        <f>$M$22*L24</f>
        <v>350</v>
      </c>
    </row>
    <row r="25" spans="1:15" x14ac:dyDescent="0.25">
      <c r="A25" s="29" t="s">
        <v>186</v>
      </c>
      <c r="B25" s="9" t="s">
        <v>70</v>
      </c>
      <c r="C25" s="28">
        <f t="shared" si="0"/>
        <v>400</v>
      </c>
      <c r="D25" s="20">
        <v>200</v>
      </c>
      <c r="E25" s="20">
        <v>100</v>
      </c>
      <c r="F25" s="20">
        <v>100</v>
      </c>
      <c r="L25">
        <v>0.25</v>
      </c>
      <c r="M25" s="25" t="s">
        <v>260</v>
      </c>
      <c r="N25">
        <f t="shared" ref="N25:N26" si="1">$M$21*L25</f>
        <v>375</v>
      </c>
      <c r="O25">
        <f t="shared" ref="O25:O26" si="2">$M$22*L25</f>
        <v>250</v>
      </c>
    </row>
    <row r="26" spans="1:15" x14ac:dyDescent="0.25">
      <c r="A26" s="29" t="s">
        <v>116</v>
      </c>
      <c r="B26" s="9" t="s">
        <v>70</v>
      </c>
      <c r="C26" s="28">
        <f t="shared" si="0"/>
        <v>1500</v>
      </c>
      <c r="D26" s="20">
        <v>500</v>
      </c>
      <c r="E26" s="20">
        <v>500</v>
      </c>
      <c r="F26" s="20">
        <v>500</v>
      </c>
      <c r="L26">
        <v>0.4</v>
      </c>
      <c r="M26" t="s">
        <v>261</v>
      </c>
      <c r="N26">
        <f t="shared" si="1"/>
        <v>600</v>
      </c>
      <c r="O26">
        <f t="shared" si="2"/>
        <v>400</v>
      </c>
    </row>
    <row r="27" spans="1:15" x14ac:dyDescent="0.25">
      <c r="A27" s="29" t="s">
        <v>187</v>
      </c>
      <c r="B27" s="9" t="s">
        <v>70</v>
      </c>
      <c r="C27" s="28">
        <f t="shared" si="0"/>
        <v>300</v>
      </c>
      <c r="D27" s="20">
        <v>100</v>
      </c>
      <c r="E27" s="20">
        <v>100</v>
      </c>
      <c r="F27" s="20">
        <v>100</v>
      </c>
    </row>
    <row r="28" spans="1:15" x14ac:dyDescent="0.25">
      <c r="A28" s="29" t="s">
        <v>117</v>
      </c>
      <c r="B28" s="9" t="s">
        <v>70</v>
      </c>
      <c r="C28" s="28">
        <f t="shared" si="0"/>
        <v>2400</v>
      </c>
      <c r="D28" s="20">
        <v>800</v>
      </c>
      <c r="E28" s="20">
        <v>800</v>
      </c>
      <c r="F28" s="20">
        <v>800</v>
      </c>
    </row>
    <row r="29" spans="1:15" x14ac:dyDescent="0.25">
      <c r="A29" s="29" t="s">
        <v>188</v>
      </c>
      <c r="B29" s="9" t="s">
        <v>70</v>
      </c>
      <c r="C29" s="28">
        <f t="shared" si="0"/>
        <v>5</v>
      </c>
      <c r="D29" s="20">
        <v>5</v>
      </c>
      <c r="E29" s="20">
        <v>0</v>
      </c>
      <c r="F29" s="20">
        <v>0</v>
      </c>
    </row>
    <row r="30" spans="1:15" x14ac:dyDescent="0.25">
      <c r="A30" s="29" t="s">
        <v>118</v>
      </c>
      <c r="B30" s="9" t="s">
        <v>70</v>
      </c>
      <c r="C30" s="28">
        <f t="shared" si="0"/>
        <v>45</v>
      </c>
      <c r="D30" s="20">
        <v>15</v>
      </c>
      <c r="E30" s="20">
        <v>15</v>
      </c>
      <c r="F30" s="20">
        <v>15</v>
      </c>
    </row>
    <row r="31" spans="1:15" x14ac:dyDescent="0.25">
      <c r="A31" s="29" t="s">
        <v>189</v>
      </c>
      <c r="B31" s="9" t="s">
        <v>70</v>
      </c>
      <c r="C31" s="28">
        <f t="shared" si="0"/>
        <v>45</v>
      </c>
      <c r="D31" s="20">
        <v>15</v>
      </c>
      <c r="E31" s="20">
        <v>15</v>
      </c>
      <c r="F31" s="20">
        <v>15</v>
      </c>
    </row>
    <row r="32" spans="1:15" x14ac:dyDescent="0.25">
      <c r="A32" s="29" t="s">
        <v>190</v>
      </c>
      <c r="B32" s="9" t="s">
        <v>70</v>
      </c>
      <c r="C32" s="28">
        <f t="shared" si="0"/>
        <v>0</v>
      </c>
      <c r="D32" s="20"/>
      <c r="E32" s="20"/>
      <c r="F32" s="20"/>
    </row>
    <row r="33" spans="1:6" x14ac:dyDescent="0.25">
      <c r="A33" s="29" t="s">
        <v>191</v>
      </c>
      <c r="B33" s="9" t="s">
        <v>70</v>
      </c>
      <c r="C33" s="28">
        <f t="shared" si="0"/>
        <v>12</v>
      </c>
      <c r="D33" s="20">
        <v>4</v>
      </c>
      <c r="E33" s="20">
        <v>4</v>
      </c>
      <c r="F33" s="20">
        <v>4</v>
      </c>
    </row>
    <row r="34" spans="1:6" x14ac:dyDescent="0.25">
      <c r="A34" s="29" t="s">
        <v>192</v>
      </c>
      <c r="B34" s="9" t="s">
        <v>70</v>
      </c>
      <c r="C34" s="28">
        <f t="shared" si="0"/>
        <v>12</v>
      </c>
      <c r="D34" s="20">
        <v>4</v>
      </c>
      <c r="E34" s="20">
        <v>4</v>
      </c>
      <c r="F34" s="20">
        <v>4</v>
      </c>
    </row>
    <row r="35" spans="1:6" x14ac:dyDescent="0.25">
      <c r="A35" s="29" t="s">
        <v>193</v>
      </c>
      <c r="B35" s="9" t="s">
        <v>70</v>
      </c>
      <c r="C35" s="28">
        <f t="shared" si="0"/>
        <v>2</v>
      </c>
      <c r="D35" s="20">
        <v>2</v>
      </c>
      <c r="E35" s="20">
        <v>0</v>
      </c>
      <c r="F35" s="20">
        <v>0</v>
      </c>
    </row>
    <row r="36" spans="1:6" x14ac:dyDescent="0.25">
      <c r="A36" s="29" t="s">
        <v>194</v>
      </c>
      <c r="B36" s="9" t="s">
        <v>70</v>
      </c>
      <c r="C36" s="28">
        <f t="shared" si="0"/>
        <v>42</v>
      </c>
      <c r="D36" s="20">
        <v>14</v>
      </c>
      <c r="E36" s="20">
        <v>14</v>
      </c>
      <c r="F36" s="20">
        <v>14</v>
      </c>
    </row>
    <row r="37" spans="1:6" x14ac:dyDescent="0.25">
      <c r="A37" s="29" t="s">
        <v>195</v>
      </c>
      <c r="B37" s="9" t="s">
        <v>70</v>
      </c>
      <c r="C37" s="28">
        <f t="shared" si="0"/>
        <v>30</v>
      </c>
      <c r="D37" s="20">
        <v>10</v>
      </c>
      <c r="E37" s="20">
        <v>10</v>
      </c>
      <c r="F37" s="20">
        <v>10</v>
      </c>
    </row>
    <row r="38" spans="1:6" x14ac:dyDescent="0.25">
      <c r="A38" s="29" t="s">
        <v>196</v>
      </c>
      <c r="B38" s="9" t="s">
        <v>70</v>
      </c>
      <c r="C38" s="28">
        <f t="shared" si="0"/>
        <v>60</v>
      </c>
      <c r="D38" s="20">
        <v>20</v>
      </c>
      <c r="E38" s="20">
        <v>20</v>
      </c>
      <c r="F38" s="20">
        <v>20</v>
      </c>
    </row>
    <row r="39" spans="1:6" x14ac:dyDescent="0.25">
      <c r="A39" s="29" t="s">
        <v>119</v>
      </c>
      <c r="B39" s="9" t="s">
        <v>70</v>
      </c>
      <c r="C39" s="28">
        <f t="shared" si="0"/>
        <v>0</v>
      </c>
      <c r="D39" s="20"/>
      <c r="E39" s="20"/>
      <c r="F39" s="20"/>
    </row>
    <row r="40" spans="1:6" x14ac:dyDescent="0.25">
      <c r="A40" s="29" t="s">
        <v>120</v>
      </c>
      <c r="B40" s="9" t="s">
        <v>70</v>
      </c>
      <c r="C40" s="28">
        <f t="shared" si="0"/>
        <v>60</v>
      </c>
      <c r="D40" s="20">
        <v>20</v>
      </c>
      <c r="E40" s="20">
        <v>20</v>
      </c>
      <c r="F40" s="20">
        <v>20</v>
      </c>
    </row>
    <row r="41" spans="1:6" x14ac:dyDescent="0.25">
      <c r="A41" s="29" t="s">
        <v>197</v>
      </c>
      <c r="B41" s="9" t="s">
        <v>70</v>
      </c>
      <c r="C41" s="28">
        <f t="shared" si="0"/>
        <v>0</v>
      </c>
      <c r="D41" s="20"/>
      <c r="E41" s="20"/>
      <c r="F41" s="20"/>
    </row>
    <row r="42" spans="1:6" x14ac:dyDescent="0.25">
      <c r="A42" s="29" t="s">
        <v>198</v>
      </c>
      <c r="B42" s="9" t="s">
        <v>70</v>
      </c>
      <c r="C42" s="28">
        <f t="shared" si="0"/>
        <v>0</v>
      </c>
      <c r="D42" s="20"/>
      <c r="E42" s="20"/>
      <c r="F42" s="20"/>
    </row>
    <row r="43" spans="1:6" x14ac:dyDescent="0.25">
      <c r="A43" s="29" t="s">
        <v>199</v>
      </c>
      <c r="B43" s="9" t="s">
        <v>70</v>
      </c>
      <c r="C43" s="28">
        <f t="shared" si="0"/>
        <v>0</v>
      </c>
      <c r="D43" s="20"/>
      <c r="E43" s="20"/>
      <c r="F43" s="20"/>
    </row>
    <row r="44" spans="1:6" x14ac:dyDescent="0.25">
      <c r="A44" s="29" t="s">
        <v>200</v>
      </c>
      <c r="B44" s="9" t="s">
        <v>70</v>
      </c>
      <c r="C44" s="28">
        <f t="shared" si="0"/>
        <v>0</v>
      </c>
      <c r="D44" s="20"/>
      <c r="E44" s="20"/>
      <c r="F44" s="20"/>
    </row>
    <row r="45" spans="1:6" x14ac:dyDescent="0.25">
      <c r="A45" s="29" t="s">
        <v>201</v>
      </c>
      <c r="B45" s="9" t="s">
        <v>70</v>
      </c>
      <c r="C45" s="28">
        <f t="shared" si="0"/>
        <v>0</v>
      </c>
      <c r="D45" s="20"/>
      <c r="E45" s="20"/>
      <c r="F45" s="20"/>
    </row>
    <row r="46" spans="1:6" x14ac:dyDescent="0.25">
      <c r="A46" s="29" t="s">
        <v>202</v>
      </c>
      <c r="B46" s="9" t="s">
        <v>70</v>
      </c>
      <c r="C46" s="28">
        <f t="shared" si="0"/>
        <v>15</v>
      </c>
      <c r="D46" s="20">
        <v>5</v>
      </c>
      <c r="E46" s="20">
        <v>5</v>
      </c>
      <c r="F46" s="20">
        <v>5</v>
      </c>
    </row>
    <row r="47" spans="1:6" x14ac:dyDescent="0.25">
      <c r="A47" s="29" t="s">
        <v>203</v>
      </c>
      <c r="B47" s="9" t="s">
        <v>70</v>
      </c>
      <c r="C47" s="28">
        <f t="shared" si="0"/>
        <v>30</v>
      </c>
      <c r="D47" s="20">
        <v>10</v>
      </c>
      <c r="E47" s="20">
        <v>10</v>
      </c>
      <c r="F47" s="20">
        <v>10</v>
      </c>
    </row>
    <row r="48" spans="1:6" x14ac:dyDescent="0.25">
      <c r="A48" s="29" t="s">
        <v>204</v>
      </c>
      <c r="B48" s="9" t="s">
        <v>70</v>
      </c>
      <c r="C48" s="28">
        <f t="shared" si="0"/>
        <v>0</v>
      </c>
      <c r="D48" s="20"/>
      <c r="E48" s="20"/>
      <c r="F48" s="20"/>
    </row>
    <row r="49" spans="1:6" x14ac:dyDescent="0.25">
      <c r="A49" s="29" t="s">
        <v>205</v>
      </c>
      <c r="B49" s="9" t="s">
        <v>70</v>
      </c>
      <c r="C49" s="28">
        <f t="shared" si="0"/>
        <v>60</v>
      </c>
      <c r="D49" s="20">
        <v>20</v>
      </c>
      <c r="E49" s="20">
        <v>20</v>
      </c>
      <c r="F49" s="20">
        <v>20</v>
      </c>
    </row>
    <row r="50" spans="1:6" x14ac:dyDescent="0.25">
      <c r="A50" s="29" t="s">
        <v>206</v>
      </c>
      <c r="B50" s="9" t="s">
        <v>70</v>
      </c>
      <c r="C50" s="28">
        <f t="shared" si="0"/>
        <v>0</v>
      </c>
      <c r="D50" s="20"/>
      <c r="E50" s="20"/>
      <c r="F50" s="20"/>
    </row>
    <row r="51" spans="1:6" x14ac:dyDescent="0.25">
      <c r="A51" s="29" t="s">
        <v>207</v>
      </c>
      <c r="B51" s="9" t="s">
        <v>70</v>
      </c>
      <c r="C51" s="28">
        <f t="shared" si="0"/>
        <v>0</v>
      </c>
      <c r="D51" s="20"/>
      <c r="E51" s="20"/>
      <c r="F51" s="20"/>
    </row>
    <row r="52" spans="1:6" x14ac:dyDescent="0.25">
      <c r="A52" s="29" t="s">
        <v>208</v>
      </c>
      <c r="B52" s="9" t="s">
        <v>70</v>
      </c>
      <c r="C52" s="28">
        <f t="shared" si="0"/>
        <v>0</v>
      </c>
      <c r="D52" s="20"/>
      <c r="E52" s="20"/>
      <c r="F52" s="20"/>
    </row>
    <row r="53" spans="1:6" x14ac:dyDescent="0.25">
      <c r="A53" s="29" t="s">
        <v>209</v>
      </c>
      <c r="B53" s="9" t="s">
        <v>70</v>
      </c>
      <c r="C53" s="28">
        <f t="shared" si="0"/>
        <v>60</v>
      </c>
      <c r="D53" s="20">
        <v>20</v>
      </c>
      <c r="E53" s="20">
        <v>20</v>
      </c>
      <c r="F53" s="20">
        <v>20</v>
      </c>
    </row>
    <row r="54" spans="1:6" x14ac:dyDescent="0.25">
      <c r="A54" s="29" t="s">
        <v>210</v>
      </c>
      <c r="B54" s="9" t="s">
        <v>70</v>
      </c>
      <c r="C54" s="28">
        <f t="shared" si="0"/>
        <v>0</v>
      </c>
      <c r="D54" s="20"/>
      <c r="E54" s="20"/>
      <c r="F54" s="20"/>
    </row>
    <row r="55" spans="1:6" x14ac:dyDescent="0.25">
      <c r="A55" s="29" t="s">
        <v>124</v>
      </c>
      <c r="B55" s="9" t="s">
        <v>70</v>
      </c>
      <c r="C55" s="28">
        <f t="shared" si="0"/>
        <v>60</v>
      </c>
      <c r="D55" s="20">
        <v>20</v>
      </c>
      <c r="E55" s="20">
        <v>20</v>
      </c>
      <c r="F55" s="20">
        <v>20</v>
      </c>
    </row>
    <row r="56" spans="1:6" x14ac:dyDescent="0.25">
      <c r="A56" s="29" t="s">
        <v>211</v>
      </c>
      <c r="B56" s="9" t="s">
        <v>70</v>
      </c>
      <c r="C56" s="28">
        <f t="shared" si="0"/>
        <v>15</v>
      </c>
      <c r="D56" s="20">
        <v>5</v>
      </c>
      <c r="E56" s="20">
        <v>5</v>
      </c>
      <c r="F56" s="20">
        <v>5</v>
      </c>
    </row>
    <row r="57" spans="1:6" x14ac:dyDescent="0.25">
      <c r="A57" s="29" t="s">
        <v>212</v>
      </c>
      <c r="B57" s="9" t="s">
        <v>70</v>
      </c>
      <c r="C57" s="28">
        <f t="shared" si="0"/>
        <v>0</v>
      </c>
      <c r="D57" s="20"/>
      <c r="E57" s="20"/>
      <c r="F57" s="20"/>
    </row>
    <row r="58" spans="1:6" x14ac:dyDescent="0.25">
      <c r="A58" s="29" t="s">
        <v>213</v>
      </c>
      <c r="B58" s="9" t="s">
        <v>70</v>
      </c>
      <c r="C58" s="28">
        <f t="shared" si="0"/>
        <v>0</v>
      </c>
      <c r="D58" s="20"/>
      <c r="E58" s="20"/>
      <c r="F58" s="20"/>
    </row>
    <row r="59" spans="1:6" x14ac:dyDescent="0.25">
      <c r="A59" s="29" t="s">
        <v>214</v>
      </c>
      <c r="B59" s="9" t="s">
        <v>70</v>
      </c>
      <c r="C59" s="28">
        <f t="shared" si="0"/>
        <v>0</v>
      </c>
      <c r="D59" s="20"/>
      <c r="E59" s="20"/>
      <c r="F59" s="20"/>
    </row>
    <row r="60" spans="1:6" x14ac:dyDescent="0.25">
      <c r="A60" s="29" t="s">
        <v>215</v>
      </c>
      <c r="B60" s="9" t="s">
        <v>70</v>
      </c>
      <c r="C60" s="28">
        <f t="shared" si="0"/>
        <v>5000</v>
      </c>
      <c r="D60" s="20">
        <v>3000</v>
      </c>
      <c r="E60" s="20">
        <v>1000</v>
      </c>
      <c r="F60" s="20">
        <v>1000</v>
      </c>
    </row>
    <row r="61" spans="1:6" x14ac:dyDescent="0.25">
      <c r="A61" s="29" t="s">
        <v>216</v>
      </c>
      <c r="B61" s="9" t="s">
        <v>70</v>
      </c>
      <c r="C61" s="28">
        <f t="shared" si="0"/>
        <v>1000</v>
      </c>
      <c r="D61" s="20">
        <v>400</v>
      </c>
      <c r="E61" s="20">
        <v>300</v>
      </c>
      <c r="F61" s="20">
        <v>300</v>
      </c>
    </row>
    <row r="62" spans="1:6" x14ac:dyDescent="0.25">
      <c r="A62" s="29" t="s">
        <v>217</v>
      </c>
      <c r="B62" s="9" t="s">
        <v>70</v>
      </c>
      <c r="C62" s="28">
        <f t="shared" si="0"/>
        <v>5000</v>
      </c>
      <c r="D62" s="20">
        <v>3000</v>
      </c>
      <c r="E62" s="20">
        <v>1000</v>
      </c>
      <c r="F62" s="20">
        <v>1000</v>
      </c>
    </row>
    <row r="63" spans="1:6" x14ac:dyDescent="0.25">
      <c r="A63" s="29" t="s">
        <v>218</v>
      </c>
      <c r="B63" s="9" t="s">
        <v>70</v>
      </c>
      <c r="C63" s="28">
        <f t="shared" si="0"/>
        <v>1000</v>
      </c>
      <c r="D63" s="20">
        <v>400</v>
      </c>
      <c r="E63" s="20">
        <v>300</v>
      </c>
      <c r="F63" s="20">
        <v>300</v>
      </c>
    </row>
    <row r="64" spans="1:6" x14ac:dyDescent="0.25">
      <c r="A64" s="29" t="s">
        <v>219</v>
      </c>
      <c r="B64" s="9" t="s">
        <v>70</v>
      </c>
      <c r="C64" s="28">
        <f t="shared" si="0"/>
        <v>15</v>
      </c>
      <c r="D64" s="20">
        <v>5</v>
      </c>
      <c r="E64" s="20">
        <v>5</v>
      </c>
      <c r="F64" s="20">
        <v>5</v>
      </c>
    </row>
    <row r="65" spans="1:6" x14ac:dyDescent="0.25">
      <c r="A65" s="29" t="s">
        <v>220</v>
      </c>
      <c r="B65" s="9" t="s">
        <v>70</v>
      </c>
      <c r="C65" s="28">
        <f t="shared" ref="C65:C104" si="3">SUM(D65:F65)</f>
        <v>12</v>
      </c>
      <c r="D65" s="20">
        <v>4</v>
      </c>
      <c r="E65" s="20">
        <v>4</v>
      </c>
      <c r="F65" s="20">
        <v>4</v>
      </c>
    </row>
    <row r="66" spans="1:6" x14ac:dyDescent="0.25">
      <c r="A66" s="29" t="s">
        <v>221</v>
      </c>
      <c r="B66" s="9" t="s">
        <v>70</v>
      </c>
      <c r="C66" s="28">
        <f t="shared" si="3"/>
        <v>0</v>
      </c>
      <c r="D66" s="20"/>
      <c r="E66" s="20"/>
      <c r="F66" s="20"/>
    </row>
    <row r="67" spans="1:6" x14ac:dyDescent="0.25">
      <c r="A67" s="29" t="s">
        <v>222</v>
      </c>
      <c r="B67" s="9" t="s">
        <v>70</v>
      </c>
      <c r="C67" s="28">
        <f t="shared" si="3"/>
        <v>15</v>
      </c>
      <c r="D67" s="20">
        <v>5</v>
      </c>
      <c r="E67" s="20">
        <v>5</v>
      </c>
      <c r="F67" s="20">
        <v>5</v>
      </c>
    </row>
    <row r="68" spans="1:6" x14ac:dyDescent="0.25">
      <c r="A68" s="29" t="s">
        <v>223</v>
      </c>
      <c r="B68" s="9" t="s">
        <v>70</v>
      </c>
      <c r="C68" s="28">
        <f t="shared" si="3"/>
        <v>4</v>
      </c>
      <c r="D68" s="20">
        <v>2</v>
      </c>
      <c r="E68" s="20">
        <v>1</v>
      </c>
      <c r="F68" s="20">
        <v>1</v>
      </c>
    </row>
    <row r="69" spans="1:6" x14ac:dyDescent="0.25">
      <c r="A69" s="29" t="s">
        <v>224</v>
      </c>
      <c r="B69" s="9" t="s">
        <v>70</v>
      </c>
      <c r="C69" s="28">
        <f t="shared" si="3"/>
        <v>0</v>
      </c>
      <c r="D69" s="20"/>
      <c r="E69" s="20"/>
      <c r="F69" s="20"/>
    </row>
    <row r="70" spans="1:6" x14ac:dyDescent="0.25">
      <c r="A70" s="29" t="s">
        <v>225</v>
      </c>
      <c r="B70" s="9" t="s">
        <v>70</v>
      </c>
      <c r="C70" s="28">
        <f t="shared" si="3"/>
        <v>40</v>
      </c>
      <c r="D70" s="20">
        <v>10</v>
      </c>
      <c r="E70" s="20">
        <v>20</v>
      </c>
      <c r="F70" s="20">
        <v>10</v>
      </c>
    </row>
    <row r="71" spans="1:6" x14ac:dyDescent="0.25">
      <c r="A71" s="29" t="s">
        <v>226</v>
      </c>
      <c r="B71" s="9" t="s">
        <v>70</v>
      </c>
      <c r="C71" s="28">
        <f t="shared" si="3"/>
        <v>2400</v>
      </c>
      <c r="D71" s="20">
        <v>900</v>
      </c>
      <c r="E71" s="20">
        <v>800</v>
      </c>
      <c r="F71" s="20">
        <v>700</v>
      </c>
    </row>
    <row r="72" spans="1:6" x14ac:dyDescent="0.25">
      <c r="A72" s="29" t="s">
        <v>227</v>
      </c>
      <c r="B72" s="9" t="s">
        <v>70</v>
      </c>
      <c r="C72" s="28">
        <f t="shared" si="3"/>
        <v>0</v>
      </c>
      <c r="D72" s="20"/>
      <c r="E72" s="20"/>
      <c r="F72" s="20"/>
    </row>
    <row r="73" spans="1:6" x14ac:dyDescent="0.25">
      <c r="A73" s="29" t="s">
        <v>228</v>
      </c>
      <c r="B73" s="9" t="s">
        <v>70</v>
      </c>
      <c r="C73" s="28">
        <f t="shared" si="3"/>
        <v>10</v>
      </c>
      <c r="D73" s="20">
        <v>4</v>
      </c>
      <c r="E73" s="20">
        <v>3</v>
      </c>
      <c r="F73" s="20">
        <v>3</v>
      </c>
    </row>
    <row r="74" spans="1:6" x14ac:dyDescent="0.25">
      <c r="A74" s="29" t="s">
        <v>229</v>
      </c>
      <c r="B74" s="9" t="s">
        <v>70</v>
      </c>
      <c r="C74" s="28">
        <f t="shared" si="3"/>
        <v>0</v>
      </c>
      <c r="D74" s="20"/>
      <c r="E74" s="20"/>
      <c r="F74" s="20"/>
    </row>
    <row r="75" spans="1:6" x14ac:dyDescent="0.25">
      <c r="A75" s="29" t="s">
        <v>230</v>
      </c>
      <c r="B75" s="9" t="s">
        <v>70</v>
      </c>
      <c r="C75" s="28">
        <f t="shared" si="3"/>
        <v>0</v>
      </c>
      <c r="D75" s="20"/>
      <c r="E75" s="20"/>
      <c r="F75" s="20"/>
    </row>
    <row r="76" spans="1:6" x14ac:dyDescent="0.25">
      <c r="A76" s="29" t="s">
        <v>231</v>
      </c>
      <c r="B76" s="9" t="s">
        <v>70</v>
      </c>
      <c r="C76" s="28">
        <f t="shared" si="3"/>
        <v>12</v>
      </c>
      <c r="D76" s="20">
        <v>4</v>
      </c>
      <c r="E76" s="20">
        <v>4</v>
      </c>
      <c r="F76" s="20">
        <v>4</v>
      </c>
    </row>
    <row r="77" spans="1:6" x14ac:dyDescent="0.25">
      <c r="A77" s="29" t="s">
        <v>232</v>
      </c>
      <c r="B77" s="9" t="s">
        <v>70</v>
      </c>
      <c r="C77" s="28">
        <f t="shared" si="3"/>
        <v>4</v>
      </c>
      <c r="D77" s="20">
        <v>2</v>
      </c>
      <c r="E77" s="20">
        <v>1</v>
      </c>
      <c r="F77" s="20">
        <v>1</v>
      </c>
    </row>
    <row r="78" spans="1:6" x14ac:dyDescent="0.25">
      <c r="A78" s="29" t="s">
        <v>233</v>
      </c>
      <c r="B78" s="9" t="s">
        <v>70</v>
      </c>
      <c r="C78" s="28">
        <f t="shared" si="3"/>
        <v>0</v>
      </c>
      <c r="D78" s="20"/>
      <c r="E78" s="20"/>
      <c r="F78" s="20"/>
    </row>
    <row r="79" spans="1:6" x14ac:dyDescent="0.25">
      <c r="A79" s="29" t="s">
        <v>234</v>
      </c>
      <c r="B79" s="9" t="s">
        <v>70</v>
      </c>
      <c r="C79" s="28">
        <f t="shared" si="3"/>
        <v>18</v>
      </c>
      <c r="D79" s="20">
        <v>6</v>
      </c>
      <c r="E79" s="20">
        <v>6</v>
      </c>
      <c r="F79" s="20">
        <v>6</v>
      </c>
    </row>
    <row r="80" spans="1:6" x14ac:dyDescent="0.25">
      <c r="A80" s="29" t="s">
        <v>235</v>
      </c>
      <c r="B80" s="9" t="s">
        <v>70</v>
      </c>
      <c r="C80" s="28">
        <f t="shared" si="3"/>
        <v>18</v>
      </c>
      <c r="D80" s="20">
        <v>6</v>
      </c>
      <c r="E80" s="20">
        <v>6</v>
      </c>
      <c r="F80" s="20">
        <v>6</v>
      </c>
    </row>
    <row r="81" spans="1:6" x14ac:dyDescent="0.25">
      <c r="A81" s="29" t="s">
        <v>236</v>
      </c>
      <c r="B81" s="9" t="s">
        <v>70</v>
      </c>
      <c r="C81" s="28">
        <f t="shared" si="3"/>
        <v>18</v>
      </c>
      <c r="D81" s="20">
        <v>6</v>
      </c>
      <c r="E81" s="20">
        <v>6</v>
      </c>
      <c r="F81" s="20">
        <v>6</v>
      </c>
    </row>
    <row r="82" spans="1:6" x14ac:dyDescent="0.25">
      <c r="A82" s="29" t="s">
        <v>237</v>
      </c>
      <c r="B82" s="9" t="s">
        <v>70</v>
      </c>
      <c r="C82" s="28">
        <f t="shared" si="3"/>
        <v>36</v>
      </c>
      <c r="D82" s="20">
        <v>12</v>
      </c>
      <c r="E82" s="20">
        <v>12</v>
      </c>
      <c r="F82" s="20">
        <v>12</v>
      </c>
    </row>
    <row r="83" spans="1:6" x14ac:dyDescent="0.25">
      <c r="A83" s="29" t="s">
        <v>238</v>
      </c>
      <c r="B83" s="9" t="s">
        <v>70</v>
      </c>
      <c r="C83" s="28">
        <f t="shared" si="3"/>
        <v>36</v>
      </c>
      <c r="D83" s="20">
        <v>12</v>
      </c>
      <c r="E83" s="20">
        <v>12</v>
      </c>
      <c r="F83" s="20">
        <v>12</v>
      </c>
    </row>
    <row r="84" spans="1:6" x14ac:dyDescent="0.25">
      <c r="A84" s="29" t="s">
        <v>239</v>
      </c>
      <c r="B84" s="9" t="s">
        <v>70</v>
      </c>
      <c r="C84" s="28">
        <f t="shared" si="3"/>
        <v>36</v>
      </c>
      <c r="D84" s="20">
        <v>12</v>
      </c>
      <c r="E84" s="20">
        <v>12</v>
      </c>
      <c r="F84" s="20">
        <v>12</v>
      </c>
    </row>
    <row r="85" spans="1:6" x14ac:dyDescent="0.25">
      <c r="A85" s="29" t="s">
        <v>240</v>
      </c>
      <c r="B85" s="9" t="s">
        <v>70</v>
      </c>
      <c r="C85" s="28">
        <f t="shared" si="3"/>
        <v>36</v>
      </c>
      <c r="D85" s="20">
        <v>12</v>
      </c>
      <c r="E85" s="20">
        <v>12</v>
      </c>
      <c r="F85" s="20">
        <v>12</v>
      </c>
    </row>
    <row r="86" spans="1:6" x14ac:dyDescent="0.25">
      <c r="A86" s="29" t="s">
        <v>241</v>
      </c>
      <c r="B86" s="9" t="s">
        <v>70</v>
      </c>
      <c r="C86" s="28">
        <f t="shared" si="3"/>
        <v>36</v>
      </c>
      <c r="D86" s="20">
        <v>12</v>
      </c>
      <c r="E86" s="20">
        <v>12</v>
      </c>
      <c r="F86" s="20">
        <v>12</v>
      </c>
    </row>
    <row r="87" spans="1:6" x14ac:dyDescent="0.25">
      <c r="A87" s="29" t="s">
        <v>242</v>
      </c>
      <c r="B87" s="9" t="s">
        <v>70</v>
      </c>
      <c r="C87" s="28">
        <f t="shared" si="3"/>
        <v>36</v>
      </c>
      <c r="D87" s="20">
        <v>12</v>
      </c>
      <c r="E87" s="20">
        <v>12</v>
      </c>
      <c r="F87" s="20">
        <v>12</v>
      </c>
    </row>
    <row r="88" spans="1:6" x14ac:dyDescent="0.25">
      <c r="A88" s="29" t="s">
        <v>243</v>
      </c>
      <c r="B88" s="9" t="s">
        <v>70</v>
      </c>
      <c r="C88" s="28">
        <f t="shared" si="3"/>
        <v>0</v>
      </c>
      <c r="D88" s="20"/>
      <c r="E88" s="20"/>
      <c r="F88" s="20"/>
    </row>
    <row r="89" spans="1:6" x14ac:dyDescent="0.25">
      <c r="A89" s="29" t="s">
        <v>244</v>
      </c>
      <c r="B89" s="9" t="s">
        <v>70</v>
      </c>
      <c r="C89" s="28">
        <f t="shared" si="3"/>
        <v>0</v>
      </c>
      <c r="D89" s="20"/>
      <c r="E89" s="20"/>
      <c r="F89" s="20"/>
    </row>
    <row r="90" spans="1:6" x14ac:dyDescent="0.25">
      <c r="A90" s="29" t="s">
        <v>245</v>
      </c>
      <c r="B90" s="9" t="s">
        <v>70</v>
      </c>
      <c r="C90" s="28">
        <f t="shared" si="3"/>
        <v>36</v>
      </c>
      <c r="D90" s="20">
        <v>12</v>
      </c>
      <c r="E90" s="20">
        <v>12</v>
      </c>
      <c r="F90" s="20">
        <v>12</v>
      </c>
    </row>
    <row r="91" spans="1:6" x14ac:dyDescent="0.25">
      <c r="A91" s="29" t="s">
        <v>246</v>
      </c>
      <c r="B91" s="9" t="s">
        <v>70</v>
      </c>
      <c r="C91" s="28">
        <f t="shared" si="3"/>
        <v>30</v>
      </c>
      <c r="D91" s="20">
        <v>10</v>
      </c>
      <c r="E91" s="20">
        <v>10</v>
      </c>
      <c r="F91" s="20">
        <v>10</v>
      </c>
    </row>
    <row r="92" spans="1:6" x14ac:dyDescent="0.25">
      <c r="A92" s="29" t="s">
        <v>247</v>
      </c>
      <c r="B92" s="9" t="s">
        <v>70</v>
      </c>
      <c r="C92" s="28">
        <f t="shared" si="3"/>
        <v>45</v>
      </c>
      <c r="D92" s="20">
        <v>15</v>
      </c>
      <c r="E92" s="20">
        <v>15</v>
      </c>
      <c r="F92" s="20">
        <v>15</v>
      </c>
    </row>
    <row r="93" spans="1:6" x14ac:dyDescent="0.25">
      <c r="A93" s="29" t="s">
        <v>248</v>
      </c>
      <c r="B93" s="9" t="s">
        <v>70</v>
      </c>
      <c r="C93" s="28">
        <f t="shared" si="3"/>
        <v>0</v>
      </c>
      <c r="D93" s="20"/>
      <c r="E93" s="20"/>
      <c r="F93" s="20"/>
    </row>
    <row r="94" spans="1:6" x14ac:dyDescent="0.25">
      <c r="A94" s="29" t="s">
        <v>249</v>
      </c>
      <c r="B94" s="9" t="s">
        <v>70</v>
      </c>
      <c r="C94" s="28">
        <f t="shared" si="3"/>
        <v>10</v>
      </c>
      <c r="D94" s="20">
        <v>4</v>
      </c>
      <c r="E94" s="20">
        <v>3</v>
      </c>
      <c r="F94" s="20">
        <v>3</v>
      </c>
    </row>
    <row r="95" spans="1:6" x14ac:dyDescent="0.25">
      <c r="A95" s="29" t="s">
        <v>250</v>
      </c>
      <c r="B95" s="9" t="s">
        <v>70</v>
      </c>
      <c r="C95" s="28">
        <f t="shared" si="3"/>
        <v>30</v>
      </c>
      <c r="D95" s="20">
        <v>10</v>
      </c>
      <c r="E95" s="20">
        <v>10</v>
      </c>
      <c r="F95" s="20">
        <v>10</v>
      </c>
    </row>
    <row r="96" spans="1:6" x14ac:dyDescent="0.25">
      <c r="A96" s="29" t="s">
        <v>251</v>
      </c>
      <c r="B96" s="9" t="s">
        <v>70</v>
      </c>
      <c r="C96" s="28">
        <f t="shared" si="3"/>
        <v>7</v>
      </c>
      <c r="D96" s="20">
        <v>3</v>
      </c>
      <c r="E96" s="20">
        <v>2</v>
      </c>
      <c r="F96" s="20">
        <v>2</v>
      </c>
    </row>
    <row r="97" spans="1:6" x14ac:dyDescent="0.25">
      <c r="A97" s="29" t="s">
        <v>252</v>
      </c>
      <c r="B97" s="9" t="s">
        <v>70</v>
      </c>
      <c r="C97" s="28">
        <f t="shared" si="3"/>
        <v>10</v>
      </c>
      <c r="D97" s="20">
        <v>4</v>
      </c>
      <c r="E97" s="20">
        <v>3</v>
      </c>
      <c r="F97" s="20">
        <v>3</v>
      </c>
    </row>
    <row r="98" spans="1:6" x14ac:dyDescent="0.25">
      <c r="A98" s="16" t="s">
        <v>133</v>
      </c>
      <c r="B98" s="9" t="s">
        <v>70</v>
      </c>
      <c r="C98" s="28">
        <f t="shared" si="3"/>
        <v>30</v>
      </c>
      <c r="D98" s="9">
        <v>10</v>
      </c>
      <c r="E98" s="20">
        <v>10</v>
      </c>
      <c r="F98" s="20">
        <v>10</v>
      </c>
    </row>
    <row r="99" spans="1:6" x14ac:dyDescent="0.25">
      <c r="A99" s="16" t="s">
        <v>134</v>
      </c>
      <c r="B99" s="9" t="s">
        <v>70</v>
      </c>
      <c r="C99" s="28">
        <f t="shared" si="3"/>
        <v>30</v>
      </c>
      <c r="D99" s="9">
        <v>10</v>
      </c>
      <c r="E99" s="20">
        <v>10</v>
      </c>
      <c r="F99" s="20">
        <v>10</v>
      </c>
    </row>
    <row r="100" spans="1:6" x14ac:dyDescent="0.25">
      <c r="A100" s="16" t="s">
        <v>135</v>
      </c>
      <c r="B100" s="9" t="s">
        <v>70</v>
      </c>
      <c r="C100" s="28">
        <f t="shared" si="3"/>
        <v>15</v>
      </c>
      <c r="D100" s="9">
        <v>5</v>
      </c>
      <c r="E100" s="20">
        <v>5</v>
      </c>
      <c r="F100" s="20">
        <v>5</v>
      </c>
    </row>
    <row r="101" spans="1:6" x14ac:dyDescent="0.25">
      <c r="A101" s="16" t="s">
        <v>136</v>
      </c>
      <c r="B101" s="9" t="s">
        <v>70</v>
      </c>
      <c r="C101" s="28">
        <f t="shared" si="3"/>
        <v>90</v>
      </c>
      <c r="D101" s="9">
        <v>30</v>
      </c>
      <c r="E101" s="20">
        <v>30</v>
      </c>
      <c r="F101" s="20">
        <v>30</v>
      </c>
    </row>
    <row r="102" spans="1:6" x14ac:dyDescent="0.25">
      <c r="A102" s="16" t="s">
        <v>137</v>
      </c>
      <c r="B102" s="9" t="s">
        <v>70</v>
      </c>
      <c r="C102" s="28">
        <f t="shared" si="3"/>
        <v>90</v>
      </c>
      <c r="D102" s="9">
        <v>30</v>
      </c>
      <c r="E102" s="20">
        <v>30</v>
      </c>
      <c r="F102" s="20">
        <v>30</v>
      </c>
    </row>
    <row r="103" spans="1:6" x14ac:dyDescent="0.25">
      <c r="A103" s="16" t="s">
        <v>138</v>
      </c>
      <c r="B103" s="9" t="s">
        <v>70</v>
      </c>
      <c r="C103" s="28">
        <f t="shared" si="3"/>
        <v>90</v>
      </c>
      <c r="D103" s="9">
        <v>30</v>
      </c>
      <c r="E103" s="20">
        <v>30</v>
      </c>
      <c r="F103" s="20">
        <v>30</v>
      </c>
    </row>
    <row r="104" spans="1:6" x14ac:dyDescent="0.25">
      <c r="A104" s="16" t="s">
        <v>264</v>
      </c>
      <c r="B104" s="9" t="s">
        <v>70</v>
      </c>
      <c r="C104" s="28">
        <f t="shared" si="3"/>
        <v>57</v>
      </c>
      <c r="D104" s="9">
        <v>19</v>
      </c>
      <c r="E104" s="20">
        <v>19</v>
      </c>
      <c r="F104" s="20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9EE9-861E-4DC5-890E-E1D016B69742}">
  <dimension ref="C1:H27"/>
  <sheetViews>
    <sheetView tabSelected="1" topLeftCell="D2" workbookViewId="0">
      <selection activeCell="K3" sqref="K3"/>
    </sheetView>
  </sheetViews>
  <sheetFormatPr baseColWidth="10" defaultRowHeight="15" x14ac:dyDescent="0.25"/>
  <cols>
    <col min="3" max="3" width="10.85546875" bestFit="1" customWidth="1"/>
    <col min="4" max="4" width="35.42578125" customWidth="1"/>
    <col min="5" max="5" width="59.5703125" customWidth="1"/>
  </cols>
  <sheetData>
    <row r="1" spans="3:8" ht="18.75" x14ac:dyDescent="0.3">
      <c r="C1" s="1" t="s">
        <v>61</v>
      </c>
      <c r="D1" s="32" t="s">
        <v>59</v>
      </c>
      <c r="E1" s="32" t="s">
        <v>60</v>
      </c>
      <c r="F1" s="32" t="s">
        <v>56</v>
      </c>
      <c r="G1" s="32" t="s">
        <v>57</v>
      </c>
      <c r="H1" s="32" t="s">
        <v>58</v>
      </c>
    </row>
    <row r="2" spans="3:8" ht="90" x14ac:dyDescent="0.25">
      <c r="C2" s="2">
        <v>1000194148</v>
      </c>
      <c r="D2" s="3" t="s">
        <v>2</v>
      </c>
      <c r="E2" s="33" t="s">
        <v>28</v>
      </c>
      <c r="F2" s="5">
        <v>50</v>
      </c>
      <c r="G2" s="5">
        <v>50</v>
      </c>
      <c r="H2" s="5">
        <v>50</v>
      </c>
    </row>
    <row r="3" spans="3:8" ht="135" x14ac:dyDescent="0.25">
      <c r="C3" s="2">
        <v>10900722</v>
      </c>
      <c r="D3" s="3" t="s">
        <v>0</v>
      </c>
      <c r="E3" s="33" t="s">
        <v>29</v>
      </c>
      <c r="F3" s="5">
        <v>50</v>
      </c>
      <c r="G3" s="5">
        <v>50</v>
      </c>
      <c r="H3" s="5">
        <v>50</v>
      </c>
    </row>
    <row r="4" spans="3:8" ht="195" x14ac:dyDescent="0.25">
      <c r="C4" s="2">
        <v>1000617032</v>
      </c>
      <c r="D4" s="3" t="s">
        <v>1</v>
      </c>
      <c r="E4" s="33" t="s">
        <v>30</v>
      </c>
      <c r="F4" s="5">
        <v>100</v>
      </c>
      <c r="G4" s="5">
        <v>100</v>
      </c>
      <c r="H4" s="5">
        <v>100</v>
      </c>
    </row>
    <row r="5" spans="3:8" ht="90" x14ac:dyDescent="0.25">
      <c r="C5" s="2">
        <v>10995178</v>
      </c>
      <c r="D5" s="3" t="s">
        <v>3</v>
      </c>
      <c r="E5" s="33" t="s">
        <v>31</v>
      </c>
      <c r="F5" s="5">
        <v>200</v>
      </c>
      <c r="G5" s="5">
        <v>200</v>
      </c>
      <c r="H5" s="5">
        <v>200</v>
      </c>
    </row>
    <row r="6" spans="3:8" ht="90" x14ac:dyDescent="0.25">
      <c r="C6" s="2">
        <v>10995182</v>
      </c>
      <c r="D6" s="3" t="s">
        <v>4</v>
      </c>
      <c r="E6" s="33" t="s">
        <v>32</v>
      </c>
      <c r="F6" s="5">
        <v>200</v>
      </c>
      <c r="G6" s="5">
        <v>200</v>
      </c>
      <c r="H6" s="5">
        <v>200</v>
      </c>
    </row>
    <row r="7" spans="3:8" ht="195" x14ac:dyDescent="0.25">
      <c r="C7" s="2">
        <v>1000016123</v>
      </c>
      <c r="D7" s="3" t="s">
        <v>6</v>
      </c>
      <c r="E7" s="33" t="s">
        <v>33</v>
      </c>
      <c r="F7" s="5">
        <v>1</v>
      </c>
      <c r="G7" s="5">
        <v>1</v>
      </c>
      <c r="H7" s="5">
        <v>1</v>
      </c>
    </row>
    <row r="8" spans="3:8" ht="285" x14ac:dyDescent="0.25">
      <c r="C8" s="2">
        <v>1000016700</v>
      </c>
      <c r="D8" s="3" t="s">
        <v>51</v>
      </c>
      <c r="E8" s="33" t="s">
        <v>52</v>
      </c>
      <c r="F8" s="5">
        <v>1</v>
      </c>
      <c r="G8" s="5">
        <v>1</v>
      </c>
      <c r="H8" s="5">
        <v>1</v>
      </c>
    </row>
    <row r="9" spans="3:8" ht="285" x14ac:dyDescent="0.25">
      <c r="C9" s="3">
        <v>80295563</v>
      </c>
      <c r="D9" s="3" t="s">
        <v>54</v>
      </c>
      <c r="E9" s="33" t="s">
        <v>53</v>
      </c>
      <c r="F9" s="5">
        <v>1</v>
      </c>
      <c r="G9" s="5">
        <v>1</v>
      </c>
      <c r="H9" s="5">
        <v>1</v>
      </c>
    </row>
    <row r="10" spans="3:8" ht="150" x14ac:dyDescent="0.25">
      <c r="C10" s="3">
        <v>1000047862</v>
      </c>
      <c r="D10" s="3" t="s">
        <v>9</v>
      </c>
      <c r="E10" s="33" t="s">
        <v>34</v>
      </c>
      <c r="F10" s="5">
        <v>4</v>
      </c>
      <c r="G10" s="5">
        <v>4</v>
      </c>
      <c r="H10" s="5">
        <v>4</v>
      </c>
    </row>
    <row r="11" spans="3:8" ht="150" x14ac:dyDescent="0.25">
      <c r="C11" s="4">
        <v>90301125</v>
      </c>
      <c r="D11" s="34" t="s">
        <v>16</v>
      </c>
      <c r="E11" s="33" t="s">
        <v>35</v>
      </c>
      <c r="F11" s="5">
        <v>4</v>
      </c>
      <c r="G11" s="5">
        <v>4</v>
      </c>
      <c r="H11" s="5">
        <v>4</v>
      </c>
    </row>
    <row r="12" spans="3:8" ht="150" x14ac:dyDescent="0.25">
      <c r="C12" s="3">
        <v>90301034</v>
      </c>
      <c r="D12" s="3" t="s">
        <v>10</v>
      </c>
      <c r="E12" s="33" t="s">
        <v>36</v>
      </c>
      <c r="F12" s="5">
        <v>4</v>
      </c>
      <c r="G12" s="5">
        <v>4</v>
      </c>
      <c r="H12" s="5">
        <v>4</v>
      </c>
    </row>
    <row r="13" spans="3:8" ht="180" x14ac:dyDescent="0.25">
      <c r="C13" s="3">
        <v>1000021248</v>
      </c>
      <c r="D13" s="3" t="s">
        <v>13</v>
      </c>
      <c r="E13" s="33" t="s">
        <v>37</v>
      </c>
      <c r="F13" s="5">
        <v>4</v>
      </c>
      <c r="G13" s="5">
        <v>4</v>
      </c>
      <c r="H13" s="5">
        <v>4</v>
      </c>
    </row>
    <row r="14" spans="3:8" ht="150" x14ac:dyDescent="0.25">
      <c r="C14" s="3">
        <v>90301046</v>
      </c>
      <c r="D14" s="3" t="s">
        <v>11</v>
      </c>
      <c r="E14" s="33" t="s">
        <v>38</v>
      </c>
      <c r="F14" s="5">
        <v>4</v>
      </c>
      <c r="G14" s="5">
        <v>4</v>
      </c>
      <c r="H14" s="5">
        <v>4</v>
      </c>
    </row>
    <row r="15" spans="3:8" ht="180" x14ac:dyDescent="0.25">
      <c r="C15" s="3">
        <v>1000021249</v>
      </c>
      <c r="D15" s="3" t="s">
        <v>12</v>
      </c>
      <c r="E15" s="33" t="s">
        <v>39</v>
      </c>
      <c r="F15" s="5">
        <v>4</v>
      </c>
      <c r="G15" s="5">
        <v>4</v>
      </c>
      <c r="H15" s="5">
        <v>4</v>
      </c>
    </row>
    <row r="16" spans="3:8" ht="150" x14ac:dyDescent="0.25">
      <c r="C16" s="3">
        <v>1000001063</v>
      </c>
      <c r="D16" s="3" t="s">
        <v>15</v>
      </c>
      <c r="E16" s="33" t="s">
        <v>40</v>
      </c>
      <c r="F16" s="5">
        <v>4</v>
      </c>
      <c r="G16" s="5">
        <v>4</v>
      </c>
      <c r="H16" s="5">
        <v>4</v>
      </c>
    </row>
    <row r="17" spans="3:8" ht="165" x14ac:dyDescent="0.25">
      <c r="C17" s="3">
        <v>90301037</v>
      </c>
      <c r="D17" s="3" t="s">
        <v>14</v>
      </c>
      <c r="E17" s="33" t="s">
        <v>41</v>
      </c>
      <c r="F17" s="5">
        <v>4</v>
      </c>
      <c r="G17" s="5">
        <v>4</v>
      </c>
      <c r="H17" s="5">
        <v>4</v>
      </c>
    </row>
    <row r="18" spans="3:8" ht="180" x14ac:dyDescent="0.25">
      <c r="C18" s="4">
        <v>1000009941</v>
      </c>
      <c r="D18" s="34" t="s">
        <v>17</v>
      </c>
      <c r="E18" s="33" t="s">
        <v>42</v>
      </c>
      <c r="F18" s="5">
        <v>4</v>
      </c>
      <c r="G18" s="5">
        <v>4</v>
      </c>
      <c r="H18" s="5">
        <v>4</v>
      </c>
    </row>
    <row r="19" spans="3:8" ht="150" x14ac:dyDescent="0.25">
      <c r="C19" s="3">
        <v>1000001048</v>
      </c>
      <c r="D19" s="3" t="s">
        <v>7</v>
      </c>
      <c r="E19" s="33" t="s">
        <v>43</v>
      </c>
      <c r="F19" s="5">
        <v>2</v>
      </c>
      <c r="G19" s="5">
        <v>2</v>
      </c>
      <c r="H19" s="5">
        <v>2</v>
      </c>
    </row>
    <row r="20" spans="3:8" ht="150" x14ac:dyDescent="0.25">
      <c r="C20" s="3">
        <v>1000001042</v>
      </c>
      <c r="D20" s="3" t="s">
        <v>8</v>
      </c>
      <c r="E20" s="33" t="s">
        <v>44</v>
      </c>
      <c r="F20" s="5">
        <v>2</v>
      </c>
      <c r="G20" s="5">
        <v>2</v>
      </c>
      <c r="H20" s="5">
        <v>2</v>
      </c>
    </row>
    <row r="21" spans="3:8" ht="90" x14ac:dyDescent="0.25">
      <c r="C21" s="3">
        <v>1000296305</v>
      </c>
      <c r="D21" s="3" t="s">
        <v>18</v>
      </c>
      <c r="E21" s="33" t="s">
        <v>45</v>
      </c>
      <c r="F21" s="5" t="s">
        <v>27</v>
      </c>
      <c r="G21" s="5" t="s">
        <v>27</v>
      </c>
      <c r="H21" s="5"/>
    </row>
    <row r="22" spans="3:8" ht="105" x14ac:dyDescent="0.25">
      <c r="C22" s="3">
        <v>1000019587</v>
      </c>
      <c r="D22" s="3" t="s">
        <v>5</v>
      </c>
      <c r="E22" s="33" t="s">
        <v>46</v>
      </c>
      <c r="F22" s="5" t="s">
        <v>26</v>
      </c>
      <c r="G22" s="5" t="s">
        <v>26</v>
      </c>
      <c r="H22" s="5" t="s">
        <v>26</v>
      </c>
    </row>
    <row r="23" spans="3:8" ht="90" x14ac:dyDescent="0.25">
      <c r="C23" s="3">
        <v>1000196061</v>
      </c>
      <c r="D23" s="3" t="s">
        <v>19</v>
      </c>
      <c r="E23" s="33" t="s">
        <v>47</v>
      </c>
      <c r="F23" s="5" t="s">
        <v>25</v>
      </c>
      <c r="G23" s="5" t="s">
        <v>25</v>
      </c>
      <c r="H23" s="5" t="s">
        <v>25</v>
      </c>
    </row>
    <row r="24" spans="3:8" ht="409.5" x14ac:dyDescent="0.25">
      <c r="C24" s="3">
        <v>1000184780</v>
      </c>
      <c r="D24" s="3" t="s">
        <v>20</v>
      </c>
      <c r="E24" s="33" t="s">
        <v>48</v>
      </c>
      <c r="F24" s="5" t="s">
        <v>24</v>
      </c>
      <c r="G24" s="5"/>
      <c r="H24" s="5"/>
    </row>
    <row r="25" spans="3:8" ht="90" x14ac:dyDescent="0.25">
      <c r="C25" s="3">
        <v>1000318660</v>
      </c>
      <c r="D25" s="3" t="s">
        <v>21</v>
      </c>
      <c r="E25" s="33" t="s">
        <v>49</v>
      </c>
      <c r="F25" s="5" t="s">
        <v>62</v>
      </c>
      <c r="G25" s="5" t="s">
        <v>62</v>
      </c>
      <c r="H25" s="5"/>
    </row>
    <row r="26" spans="3:8" ht="225" x14ac:dyDescent="0.25">
      <c r="C26" s="3">
        <v>1000578615</v>
      </c>
      <c r="D26" s="3" t="s">
        <v>22</v>
      </c>
      <c r="E26" s="33" t="s">
        <v>50</v>
      </c>
      <c r="F26" s="5">
        <v>3</v>
      </c>
      <c r="G26" s="5">
        <v>3</v>
      </c>
      <c r="H26" s="5">
        <v>3</v>
      </c>
    </row>
    <row r="27" spans="3:8" ht="195" x14ac:dyDescent="0.25">
      <c r="C27" s="2">
        <v>1000285007</v>
      </c>
      <c r="D27" s="3" t="s">
        <v>23</v>
      </c>
      <c r="E27" s="33" t="s">
        <v>55</v>
      </c>
      <c r="F27" s="5">
        <v>5</v>
      </c>
      <c r="G27" s="5">
        <v>5</v>
      </c>
      <c r="H27" s="5">
        <v>5</v>
      </c>
    </row>
  </sheetData>
  <phoneticPr fontId="4" type="noConversion"/>
  <pageMargins left="0.7" right="0.7" top="0.75" bottom="0.75" header="0.3" footer="0.3"/>
  <pageSetup orientation="portrait" r:id="rId1"/>
  <headerFooter>
    <oddHeader>&amp;R&amp;"Calibri"&amp;10&amp;K000000 Documento: YPF-Privado&amp;1#_x000D_</oddHeader>
    <oddFooter>&amp;R_x000D_&amp;1#&amp;"Calibri"&amp;10&amp;K000000 Documento: YPF-Privado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8A3F-DA94-4D2D-A254-91F6E979851E}">
  <dimension ref="A3:G109"/>
  <sheetViews>
    <sheetView topLeftCell="A24" workbookViewId="0">
      <selection activeCell="I11" sqref="I11"/>
    </sheetView>
  </sheetViews>
  <sheetFormatPr baseColWidth="10" defaultRowHeight="15" x14ac:dyDescent="0.25"/>
  <cols>
    <col min="2" max="2" width="11.85546875" customWidth="1"/>
    <col min="3" max="3" width="15.7109375" customWidth="1"/>
    <col min="4" max="4" width="54.85546875" bestFit="1" customWidth="1"/>
  </cols>
  <sheetData>
    <row r="3" spans="1:7" ht="18.75" x14ac:dyDescent="0.3">
      <c r="A3" s="37" t="s">
        <v>267</v>
      </c>
    </row>
    <row r="5" spans="1:7" x14ac:dyDescent="0.25">
      <c r="A5" s="38" t="s">
        <v>268</v>
      </c>
      <c r="B5" s="39" t="s">
        <v>269</v>
      </c>
      <c r="C5" s="39" t="s">
        <v>270</v>
      </c>
      <c r="D5" s="39" t="s">
        <v>271</v>
      </c>
      <c r="E5" s="39" t="s">
        <v>272</v>
      </c>
      <c r="F5" s="39" t="s">
        <v>273</v>
      </c>
      <c r="G5" s="39" t="s">
        <v>274</v>
      </c>
    </row>
    <row r="6" spans="1:7" x14ac:dyDescent="0.25">
      <c r="A6" s="40"/>
      <c r="B6" s="3">
        <v>110202758</v>
      </c>
      <c r="C6" s="3">
        <v>4</v>
      </c>
      <c r="D6" s="20" t="s">
        <v>275</v>
      </c>
      <c r="E6" s="41">
        <v>2</v>
      </c>
      <c r="F6" s="41">
        <v>2</v>
      </c>
      <c r="G6" s="41">
        <v>2</v>
      </c>
    </row>
    <row r="7" spans="1:7" x14ac:dyDescent="0.25">
      <c r="A7" s="40"/>
      <c r="B7" s="3">
        <v>110202895</v>
      </c>
      <c r="C7" s="3">
        <v>8</v>
      </c>
      <c r="D7" s="20" t="s">
        <v>276</v>
      </c>
      <c r="E7" s="41">
        <v>4</v>
      </c>
      <c r="F7" s="41">
        <v>4</v>
      </c>
      <c r="G7" s="41">
        <v>4</v>
      </c>
    </row>
    <row r="8" spans="1:7" x14ac:dyDescent="0.25">
      <c r="A8" s="40"/>
      <c r="B8" s="3">
        <v>110299529</v>
      </c>
      <c r="C8" s="3">
        <v>2</v>
      </c>
      <c r="D8" s="20" t="s">
        <v>277</v>
      </c>
      <c r="E8" s="41">
        <v>1</v>
      </c>
      <c r="F8" s="41">
        <v>1</v>
      </c>
      <c r="G8" s="41">
        <v>1</v>
      </c>
    </row>
    <row r="9" spans="1:7" x14ac:dyDescent="0.25">
      <c r="A9" s="40"/>
      <c r="B9" s="3">
        <v>110202760</v>
      </c>
      <c r="C9" s="3">
        <v>2</v>
      </c>
      <c r="D9" s="20" t="s">
        <v>278</v>
      </c>
      <c r="E9" s="41">
        <v>1</v>
      </c>
      <c r="F9" s="41">
        <v>1</v>
      </c>
      <c r="G9" s="41">
        <v>1</v>
      </c>
    </row>
    <row r="10" spans="1:7" x14ac:dyDescent="0.25">
      <c r="A10" s="40"/>
      <c r="B10" s="3">
        <v>110298891</v>
      </c>
      <c r="C10" s="3">
        <v>2</v>
      </c>
      <c r="D10" s="20" t="s">
        <v>279</v>
      </c>
      <c r="E10" s="41">
        <v>1</v>
      </c>
      <c r="F10" s="41">
        <v>1</v>
      </c>
      <c r="G10" s="41">
        <v>1</v>
      </c>
    </row>
    <row r="11" spans="1:7" x14ac:dyDescent="0.25">
      <c r="A11" s="40"/>
      <c r="B11" s="3">
        <v>110298873</v>
      </c>
      <c r="C11" s="3">
        <v>8</v>
      </c>
      <c r="D11" s="20" t="s">
        <v>280</v>
      </c>
      <c r="E11" s="41">
        <v>4</v>
      </c>
      <c r="F11" s="41">
        <v>4</v>
      </c>
      <c r="G11" s="41">
        <v>4</v>
      </c>
    </row>
    <row r="12" spans="1:7" x14ac:dyDescent="0.25">
      <c r="A12" s="40"/>
      <c r="B12" s="3">
        <v>110298889</v>
      </c>
      <c r="C12" s="3">
        <v>2</v>
      </c>
      <c r="D12" s="20" t="s">
        <v>281</v>
      </c>
      <c r="E12" s="41">
        <v>2</v>
      </c>
      <c r="F12" s="41">
        <v>2</v>
      </c>
      <c r="G12" s="41">
        <v>2</v>
      </c>
    </row>
    <row r="13" spans="1:7" x14ac:dyDescent="0.25">
      <c r="A13" s="40"/>
      <c r="B13" s="3">
        <v>110203188</v>
      </c>
      <c r="C13" s="3">
        <v>2</v>
      </c>
      <c r="D13" s="20" t="s">
        <v>282</v>
      </c>
      <c r="E13" s="41">
        <v>2</v>
      </c>
      <c r="F13" s="41">
        <v>2</v>
      </c>
      <c r="G13" s="41">
        <v>2</v>
      </c>
    </row>
    <row r="14" spans="1:7" x14ac:dyDescent="0.25">
      <c r="A14" s="40"/>
      <c r="B14" s="3">
        <v>110298852</v>
      </c>
      <c r="C14" s="3">
        <v>1</v>
      </c>
      <c r="D14" s="20" t="s">
        <v>283</v>
      </c>
      <c r="E14" s="41">
        <v>1</v>
      </c>
      <c r="F14" s="41">
        <v>1</v>
      </c>
      <c r="G14" s="41">
        <v>1</v>
      </c>
    </row>
    <row r="15" spans="1:7" x14ac:dyDescent="0.25">
      <c r="A15" s="40"/>
      <c r="B15" s="3">
        <v>110202752</v>
      </c>
      <c r="C15" s="3">
        <v>1</v>
      </c>
      <c r="D15" s="20" t="s">
        <v>284</v>
      </c>
      <c r="E15" s="41">
        <v>1</v>
      </c>
      <c r="F15" s="41">
        <v>1</v>
      </c>
      <c r="G15" s="41">
        <v>1</v>
      </c>
    </row>
    <row r="16" spans="1:7" x14ac:dyDescent="0.25">
      <c r="A16" s="40"/>
      <c r="B16" s="3">
        <v>110299534</v>
      </c>
      <c r="C16" s="3">
        <v>2</v>
      </c>
      <c r="D16" s="20" t="s">
        <v>285</v>
      </c>
      <c r="E16" s="41">
        <v>2</v>
      </c>
      <c r="F16" s="41">
        <v>2</v>
      </c>
      <c r="G16" s="41">
        <v>2</v>
      </c>
    </row>
    <row r="17" spans="1:7" x14ac:dyDescent="0.25">
      <c r="A17" s="40"/>
      <c r="B17" s="3">
        <v>110202853</v>
      </c>
      <c r="C17" s="3">
        <v>2</v>
      </c>
      <c r="D17" s="20" t="s">
        <v>286</v>
      </c>
      <c r="E17" s="41">
        <v>2</v>
      </c>
      <c r="F17" s="41">
        <v>2</v>
      </c>
      <c r="G17" s="41">
        <v>2</v>
      </c>
    </row>
    <row r="18" spans="1:7" x14ac:dyDescent="0.25">
      <c r="A18" s="40"/>
      <c r="B18" s="3">
        <v>110202854</v>
      </c>
      <c r="C18" s="3">
        <v>2</v>
      </c>
      <c r="D18" s="20" t="s">
        <v>287</v>
      </c>
      <c r="E18" s="41">
        <v>2</v>
      </c>
      <c r="F18" s="41">
        <v>2</v>
      </c>
      <c r="G18" s="41">
        <v>2</v>
      </c>
    </row>
    <row r="19" spans="1:7" x14ac:dyDescent="0.25">
      <c r="A19" s="40"/>
      <c r="B19" s="3">
        <v>110202855</v>
      </c>
      <c r="C19" s="3">
        <v>2</v>
      </c>
      <c r="D19" s="20" t="s">
        <v>288</v>
      </c>
      <c r="E19" s="41">
        <v>2</v>
      </c>
      <c r="F19" s="41">
        <v>2</v>
      </c>
      <c r="G19" s="41">
        <v>2</v>
      </c>
    </row>
    <row r="20" spans="1:7" x14ac:dyDescent="0.25">
      <c r="A20" s="42"/>
      <c r="B20" s="3">
        <v>110202856</v>
      </c>
      <c r="C20" s="3">
        <v>2</v>
      </c>
      <c r="D20" s="20" t="s">
        <v>289</v>
      </c>
      <c r="E20" s="41">
        <v>2</v>
      </c>
      <c r="F20" s="41">
        <v>2</v>
      </c>
      <c r="G20" s="41">
        <v>2</v>
      </c>
    </row>
    <row r="22" spans="1:7" x14ac:dyDescent="0.25">
      <c r="A22" s="43" t="s">
        <v>290</v>
      </c>
      <c r="B22" s="39" t="s">
        <v>269</v>
      </c>
      <c r="C22" s="39" t="s">
        <v>270</v>
      </c>
      <c r="D22" s="39" t="s">
        <v>271</v>
      </c>
      <c r="E22" s="39" t="s">
        <v>272</v>
      </c>
      <c r="F22" s="39" t="s">
        <v>273</v>
      </c>
      <c r="G22" s="39" t="s">
        <v>274</v>
      </c>
    </row>
    <row r="23" spans="1:7" x14ac:dyDescent="0.25">
      <c r="A23" s="44"/>
      <c r="B23" s="3">
        <v>110202748</v>
      </c>
      <c r="C23" s="3">
        <v>2</v>
      </c>
      <c r="D23" s="45" t="s">
        <v>291</v>
      </c>
      <c r="E23" s="41">
        <v>2</v>
      </c>
      <c r="F23" s="41">
        <v>2</v>
      </c>
      <c r="G23" s="41">
        <v>2</v>
      </c>
    </row>
    <row r="24" spans="1:7" x14ac:dyDescent="0.25">
      <c r="A24" s="44"/>
      <c r="B24" s="3">
        <v>110202960</v>
      </c>
      <c r="C24" s="3">
        <v>2</v>
      </c>
      <c r="D24" s="45" t="s">
        <v>292</v>
      </c>
      <c r="E24" s="41">
        <v>2</v>
      </c>
      <c r="F24" s="41">
        <v>2</v>
      </c>
      <c r="G24" s="41">
        <v>2</v>
      </c>
    </row>
    <row r="25" spans="1:7" x14ac:dyDescent="0.25">
      <c r="A25" s="44"/>
      <c r="B25" s="3">
        <v>110202895</v>
      </c>
      <c r="C25" s="3">
        <v>8</v>
      </c>
      <c r="D25" s="45" t="s">
        <v>293</v>
      </c>
      <c r="E25" s="41">
        <v>4</v>
      </c>
      <c r="F25" s="41">
        <v>4</v>
      </c>
      <c r="G25" s="41">
        <v>4</v>
      </c>
    </row>
    <row r="26" spans="1:7" x14ac:dyDescent="0.25">
      <c r="A26" s="44"/>
      <c r="B26" s="3">
        <v>1000015192</v>
      </c>
      <c r="C26" s="3">
        <v>2</v>
      </c>
      <c r="D26" s="45" t="s">
        <v>294</v>
      </c>
      <c r="E26" s="41">
        <v>1</v>
      </c>
      <c r="F26" s="41">
        <v>1</v>
      </c>
      <c r="G26" s="41">
        <v>1</v>
      </c>
    </row>
    <row r="27" spans="1:7" x14ac:dyDescent="0.25">
      <c r="A27" s="44"/>
      <c r="B27" s="3">
        <v>110202750</v>
      </c>
      <c r="C27" s="3">
        <v>2</v>
      </c>
      <c r="D27" s="45" t="s">
        <v>295</v>
      </c>
      <c r="E27" s="41">
        <v>1</v>
      </c>
      <c r="F27" s="41">
        <v>1</v>
      </c>
      <c r="G27" s="41">
        <v>1</v>
      </c>
    </row>
    <row r="28" spans="1:7" x14ac:dyDescent="0.25">
      <c r="A28" s="44"/>
      <c r="B28" s="3">
        <v>110298838</v>
      </c>
      <c r="C28" s="3">
        <v>2</v>
      </c>
      <c r="D28" s="45" t="s">
        <v>296</v>
      </c>
      <c r="E28" s="41">
        <v>1</v>
      </c>
      <c r="F28" s="41">
        <v>1</v>
      </c>
      <c r="G28" s="41">
        <v>1</v>
      </c>
    </row>
    <row r="29" spans="1:7" x14ac:dyDescent="0.25">
      <c r="A29" s="44"/>
      <c r="B29" s="3">
        <v>110202733</v>
      </c>
      <c r="C29" s="3">
        <v>8</v>
      </c>
      <c r="D29" s="45" t="s">
        <v>297</v>
      </c>
      <c r="E29" s="41">
        <v>8</v>
      </c>
      <c r="F29" s="41">
        <v>8</v>
      </c>
      <c r="G29" s="41">
        <v>8</v>
      </c>
    </row>
    <row r="30" spans="1:7" x14ac:dyDescent="0.25">
      <c r="A30" s="44"/>
      <c r="B30" s="3">
        <v>110203172</v>
      </c>
      <c r="C30" s="3">
        <v>2</v>
      </c>
      <c r="D30" s="45" t="s">
        <v>298</v>
      </c>
      <c r="E30" s="41">
        <v>2</v>
      </c>
      <c r="F30" s="41">
        <v>2</v>
      </c>
      <c r="G30" s="41">
        <v>2</v>
      </c>
    </row>
    <row r="31" spans="1:7" x14ac:dyDescent="0.25">
      <c r="A31" s="44"/>
      <c r="B31" s="3">
        <v>110203170</v>
      </c>
      <c r="C31" s="3">
        <v>2</v>
      </c>
      <c r="D31" s="45" t="s">
        <v>299</v>
      </c>
      <c r="E31" s="41">
        <v>1</v>
      </c>
      <c r="F31" s="41">
        <v>1</v>
      </c>
      <c r="G31" s="41">
        <v>1</v>
      </c>
    </row>
    <row r="32" spans="1:7" x14ac:dyDescent="0.25">
      <c r="A32" s="44"/>
      <c r="B32" s="3">
        <v>110298852</v>
      </c>
      <c r="C32" s="3">
        <v>1</v>
      </c>
      <c r="D32" s="45" t="s">
        <v>300</v>
      </c>
      <c r="E32" s="41">
        <v>0</v>
      </c>
      <c r="F32" s="41">
        <v>0</v>
      </c>
      <c r="G32" s="41">
        <v>0</v>
      </c>
    </row>
    <row r="33" spans="1:7" x14ac:dyDescent="0.25">
      <c r="A33" s="44"/>
      <c r="B33" s="3">
        <v>110202752</v>
      </c>
      <c r="C33" s="3">
        <v>1</v>
      </c>
      <c r="D33" s="45" t="s">
        <v>301</v>
      </c>
      <c r="E33" s="41">
        <v>0</v>
      </c>
      <c r="F33" s="41">
        <v>0</v>
      </c>
      <c r="G33" s="41">
        <v>0</v>
      </c>
    </row>
    <row r="34" spans="1:7" x14ac:dyDescent="0.25">
      <c r="A34" s="44"/>
      <c r="B34" s="3">
        <v>110202843</v>
      </c>
      <c r="C34" s="3">
        <v>2</v>
      </c>
      <c r="D34" s="45" t="s">
        <v>302</v>
      </c>
      <c r="E34" s="41">
        <v>1</v>
      </c>
      <c r="F34" s="41">
        <v>1</v>
      </c>
      <c r="G34" s="41">
        <v>1</v>
      </c>
    </row>
    <row r="35" spans="1:7" x14ac:dyDescent="0.25">
      <c r="A35" s="44"/>
      <c r="B35" s="3">
        <v>110202844</v>
      </c>
      <c r="C35" s="3">
        <v>2</v>
      </c>
      <c r="D35" s="45" t="s">
        <v>303</v>
      </c>
      <c r="E35" s="41">
        <v>1</v>
      </c>
      <c r="F35" s="41">
        <v>1</v>
      </c>
      <c r="G35" s="41">
        <v>1</v>
      </c>
    </row>
    <row r="36" spans="1:7" x14ac:dyDescent="0.25">
      <c r="A36" s="44"/>
      <c r="B36" s="3">
        <v>110202845</v>
      </c>
      <c r="C36" s="3">
        <v>2</v>
      </c>
      <c r="D36" s="45" t="s">
        <v>304</v>
      </c>
      <c r="E36" s="41">
        <v>1</v>
      </c>
      <c r="F36" s="41">
        <v>1</v>
      </c>
      <c r="G36" s="41">
        <v>1</v>
      </c>
    </row>
    <row r="37" spans="1:7" x14ac:dyDescent="0.25">
      <c r="A37" s="44"/>
      <c r="B37" s="3">
        <v>110202846</v>
      </c>
      <c r="C37" s="3">
        <v>2</v>
      </c>
      <c r="D37" s="45" t="s">
        <v>305</v>
      </c>
      <c r="E37" s="41">
        <v>1</v>
      </c>
      <c r="F37" s="41">
        <v>1</v>
      </c>
      <c r="G37" s="41">
        <v>1</v>
      </c>
    </row>
    <row r="38" spans="1:7" x14ac:dyDescent="0.25">
      <c r="A38" s="46"/>
      <c r="B38" s="3">
        <v>110298839</v>
      </c>
      <c r="C38" s="3">
        <v>2</v>
      </c>
      <c r="D38" s="45" t="s">
        <v>306</v>
      </c>
      <c r="E38" s="41">
        <v>1</v>
      </c>
      <c r="F38" s="41">
        <v>1</v>
      </c>
      <c r="G38" s="41">
        <v>1</v>
      </c>
    </row>
    <row r="40" spans="1:7" x14ac:dyDescent="0.25">
      <c r="A40" s="47" t="s">
        <v>307</v>
      </c>
      <c r="B40" s="39" t="s">
        <v>269</v>
      </c>
      <c r="C40" s="39" t="s">
        <v>270</v>
      </c>
      <c r="D40" s="39" t="s">
        <v>271</v>
      </c>
      <c r="E40" s="39" t="s">
        <v>272</v>
      </c>
      <c r="F40" s="39" t="s">
        <v>273</v>
      </c>
      <c r="G40" s="39" t="s">
        <v>274</v>
      </c>
    </row>
    <row r="41" spans="1:7" x14ac:dyDescent="0.25">
      <c r="A41" s="48"/>
      <c r="B41" s="3">
        <v>110202748</v>
      </c>
      <c r="C41" s="3">
        <v>2</v>
      </c>
      <c r="D41" s="20" t="s">
        <v>291</v>
      </c>
      <c r="E41" s="41">
        <v>2</v>
      </c>
      <c r="F41" s="41">
        <v>2</v>
      </c>
      <c r="G41" s="41">
        <v>2</v>
      </c>
    </row>
    <row r="42" spans="1:7" x14ac:dyDescent="0.25">
      <c r="A42" s="48"/>
      <c r="B42" s="3">
        <v>110202763</v>
      </c>
      <c r="C42" s="3">
        <v>2</v>
      </c>
      <c r="D42" s="20" t="s">
        <v>308</v>
      </c>
      <c r="E42" s="41">
        <v>2</v>
      </c>
      <c r="F42" s="41">
        <v>2</v>
      </c>
      <c r="G42" s="41">
        <v>2</v>
      </c>
    </row>
    <row r="43" spans="1:7" x14ac:dyDescent="0.25">
      <c r="A43" s="48"/>
      <c r="B43" s="3">
        <v>110202896</v>
      </c>
      <c r="C43" s="3">
        <v>8</v>
      </c>
      <c r="D43" s="20" t="s">
        <v>309</v>
      </c>
      <c r="E43" s="41">
        <v>4</v>
      </c>
      <c r="F43" s="41">
        <v>4</v>
      </c>
      <c r="G43" s="41">
        <v>4</v>
      </c>
    </row>
    <row r="44" spans="1:7" x14ac:dyDescent="0.25">
      <c r="A44" s="48"/>
      <c r="B44" s="3">
        <v>110299583</v>
      </c>
      <c r="C44" s="3">
        <v>2</v>
      </c>
      <c r="D44" s="20" t="s">
        <v>310</v>
      </c>
      <c r="E44" s="41">
        <v>2</v>
      </c>
      <c r="F44" s="41">
        <v>2</v>
      </c>
      <c r="G44" s="41">
        <v>2</v>
      </c>
    </row>
    <row r="45" spans="1:7" x14ac:dyDescent="0.25">
      <c r="A45" s="48"/>
      <c r="B45" s="3">
        <v>110202756</v>
      </c>
      <c r="C45" s="3">
        <v>2</v>
      </c>
      <c r="D45" s="20" t="s">
        <v>311</v>
      </c>
      <c r="E45" s="41">
        <v>2</v>
      </c>
      <c r="F45" s="41">
        <v>2</v>
      </c>
      <c r="G45" s="41">
        <v>2</v>
      </c>
    </row>
    <row r="46" spans="1:7" x14ac:dyDescent="0.25">
      <c r="A46" s="48"/>
      <c r="B46" s="3">
        <v>110202963</v>
      </c>
      <c r="C46" s="3">
        <v>2</v>
      </c>
      <c r="D46" s="20" t="s">
        <v>312</v>
      </c>
      <c r="E46" s="41">
        <v>2</v>
      </c>
      <c r="F46" s="41">
        <v>2</v>
      </c>
      <c r="G46" s="41">
        <v>2</v>
      </c>
    </row>
    <row r="47" spans="1:7" x14ac:dyDescent="0.25">
      <c r="A47" s="48"/>
      <c r="B47" s="3">
        <v>110202733</v>
      </c>
      <c r="C47" s="3">
        <v>8</v>
      </c>
      <c r="D47" s="20" t="s">
        <v>297</v>
      </c>
      <c r="E47" s="41">
        <v>8</v>
      </c>
      <c r="F47" s="41">
        <v>8</v>
      </c>
      <c r="G47" s="41">
        <v>8</v>
      </c>
    </row>
    <row r="48" spans="1:7" x14ac:dyDescent="0.25">
      <c r="A48" s="48"/>
      <c r="B48" s="3">
        <v>110203181</v>
      </c>
      <c r="C48" s="3">
        <v>2</v>
      </c>
      <c r="D48" s="20" t="s">
        <v>313</v>
      </c>
      <c r="E48" s="41">
        <v>2</v>
      </c>
      <c r="F48" s="41">
        <v>2</v>
      </c>
      <c r="G48" s="41">
        <v>2</v>
      </c>
    </row>
    <row r="49" spans="1:7" x14ac:dyDescent="0.25">
      <c r="A49" s="48"/>
      <c r="B49" s="3">
        <v>110203187</v>
      </c>
      <c r="C49" s="3">
        <v>2</v>
      </c>
      <c r="D49" s="20" t="s">
        <v>314</v>
      </c>
      <c r="E49" s="41">
        <v>2</v>
      </c>
      <c r="F49" s="41">
        <v>2</v>
      </c>
      <c r="G49" s="41">
        <v>2</v>
      </c>
    </row>
    <row r="50" spans="1:7" x14ac:dyDescent="0.25">
      <c r="A50" s="48"/>
      <c r="B50" s="3">
        <v>110298852</v>
      </c>
      <c r="C50" s="3">
        <v>1</v>
      </c>
      <c r="D50" s="20" t="s">
        <v>300</v>
      </c>
      <c r="E50" s="41">
        <v>0</v>
      </c>
      <c r="F50" s="41">
        <v>0</v>
      </c>
      <c r="G50" s="41">
        <v>0</v>
      </c>
    </row>
    <row r="51" spans="1:7" x14ac:dyDescent="0.25">
      <c r="A51" s="48"/>
      <c r="B51" s="3">
        <v>110202752</v>
      </c>
      <c r="C51" s="3">
        <v>1</v>
      </c>
      <c r="D51" s="20" t="s">
        <v>301</v>
      </c>
      <c r="E51" s="41">
        <v>0</v>
      </c>
      <c r="F51" s="41">
        <v>0</v>
      </c>
      <c r="G51" s="41">
        <v>0</v>
      </c>
    </row>
    <row r="52" spans="1:7" x14ac:dyDescent="0.25">
      <c r="A52" s="48"/>
      <c r="B52" s="3">
        <v>110202848</v>
      </c>
      <c r="C52" s="3">
        <v>2</v>
      </c>
      <c r="D52" s="20" t="s">
        <v>315</v>
      </c>
      <c r="E52" s="41">
        <v>1</v>
      </c>
      <c r="F52" s="41">
        <v>1</v>
      </c>
      <c r="G52" s="41">
        <v>1</v>
      </c>
    </row>
    <row r="53" spans="1:7" x14ac:dyDescent="0.25">
      <c r="A53" s="48"/>
      <c r="B53" s="3">
        <v>110202849</v>
      </c>
      <c r="C53" s="3">
        <v>2</v>
      </c>
      <c r="D53" s="20" t="s">
        <v>316</v>
      </c>
      <c r="E53" s="41">
        <v>1</v>
      </c>
      <c r="F53" s="41">
        <v>1</v>
      </c>
      <c r="G53" s="41">
        <v>1</v>
      </c>
    </row>
    <row r="54" spans="1:7" x14ac:dyDescent="0.25">
      <c r="A54" s="48"/>
      <c r="B54" s="3">
        <v>110202850</v>
      </c>
      <c r="C54" s="3">
        <v>2</v>
      </c>
      <c r="D54" s="20" t="s">
        <v>317</v>
      </c>
      <c r="E54" s="41">
        <v>1</v>
      </c>
      <c r="F54" s="41">
        <v>1</v>
      </c>
      <c r="G54" s="41">
        <v>1</v>
      </c>
    </row>
    <row r="55" spans="1:7" x14ac:dyDescent="0.25">
      <c r="A55" s="48"/>
      <c r="B55" s="3">
        <v>110202851</v>
      </c>
      <c r="C55" s="3">
        <v>2</v>
      </c>
      <c r="D55" s="20" t="s">
        <v>318</v>
      </c>
      <c r="E55" s="41">
        <v>1</v>
      </c>
      <c r="F55" s="41">
        <v>1</v>
      </c>
      <c r="G55" s="41">
        <v>1</v>
      </c>
    </row>
    <row r="56" spans="1:7" x14ac:dyDescent="0.25">
      <c r="A56" s="49"/>
      <c r="B56" s="3">
        <v>110202847</v>
      </c>
      <c r="C56" s="3">
        <v>2</v>
      </c>
      <c r="D56" s="20" t="s">
        <v>319</v>
      </c>
      <c r="E56" s="41">
        <v>1</v>
      </c>
      <c r="F56" s="41">
        <v>1</v>
      </c>
      <c r="G56" s="41">
        <v>1</v>
      </c>
    </row>
    <row r="61" spans="1:7" x14ac:dyDescent="0.25">
      <c r="A61" s="43" t="s">
        <v>320</v>
      </c>
      <c r="B61" s="50" t="s">
        <v>269</v>
      </c>
      <c r="C61" s="50" t="s">
        <v>270</v>
      </c>
      <c r="D61" s="50" t="s">
        <v>271</v>
      </c>
      <c r="E61" s="39" t="s">
        <v>272</v>
      </c>
      <c r="F61" s="39" t="s">
        <v>273</v>
      </c>
      <c r="G61" s="39" t="s">
        <v>274</v>
      </c>
    </row>
    <row r="62" spans="1:7" x14ac:dyDescent="0.25">
      <c r="A62" s="44"/>
      <c r="B62" s="3">
        <v>1000012115</v>
      </c>
      <c r="C62" s="3">
        <v>5</v>
      </c>
      <c r="D62" s="20" t="s">
        <v>321</v>
      </c>
      <c r="E62" s="41">
        <v>0</v>
      </c>
      <c r="F62" s="41">
        <v>5</v>
      </c>
      <c r="G62" s="41">
        <v>0</v>
      </c>
    </row>
    <row r="63" spans="1:7" x14ac:dyDescent="0.25">
      <c r="A63" s="44"/>
      <c r="B63" s="3">
        <v>1000013958</v>
      </c>
      <c r="C63" s="3">
        <v>5</v>
      </c>
      <c r="D63" s="20" t="s">
        <v>322</v>
      </c>
      <c r="E63" s="41">
        <v>0</v>
      </c>
      <c r="F63" s="41">
        <v>5</v>
      </c>
      <c r="G63" s="41">
        <v>0</v>
      </c>
    </row>
    <row r="64" spans="1:7" x14ac:dyDescent="0.25">
      <c r="A64" s="44"/>
      <c r="B64" s="3">
        <v>1000561778</v>
      </c>
      <c r="C64" s="3">
        <v>5</v>
      </c>
      <c r="D64" s="51" t="s">
        <v>323</v>
      </c>
      <c r="E64" s="41">
        <v>0</v>
      </c>
      <c r="F64" s="41">
        <v>5</v>
      </c>
      <c r="G64" s="41">
        <v>0</v>
      </c>
    </row>
    <row r="65" spans="1:7" x14ac:dyDescent="0.25">
      <c r="A65" s="44"/>
      <c r="B65" s="3">
        <v>1000021603</v>
      </c>
      <c r="C65" s="3">
        <v>5</v>
      </c>
      <c r="D65" s="20" t="s">
        <v>324</v>
      </c>
      <c r="E65" s="41">
        <v>0</v>
      </c>
      <c r="F65" s="41">
        <v>5</v>
      </c>
      <c r="G65" s="41">
        <v>0</v>
      </c>
    </row>
    <row r="66" spans="1:7" x14ac:dyDescent="0.25">
      <c r="A66" s="44"/>
      <c r="B66" s="3">
        <v>1000021601</v>
      </c>
      <c r="C66" s="3">
        <v>5</v>
      </c>
      <c r="D66" s="20" t="s">
        <v>325</v>
      </c>
      <c r="E66" s="41">
        <v>0</v>
      </c>
      <c r="F66" s="41">
        <v>5</v>
      </c>
      <c r="G66" s="41">
        <v>0</v>
      </c>
    </row>
    <row r="67" spans="1:7" x14ac:dyDescent="0.25">
      <c r="A67" s="44"/>
      <c r="B67" s="3">
        <v>110203149</v>
      </c>
      <c r="C67" s="3">
        <v>5</v>
      </c>
      <c r="D67" s="20" t="s">
        <v>326</v>
      </c>
      <c r="E67" s="41">
        <v>0</v>
      </c>
      <c r="F67" s="41">
        <v>5</v>
      </c>
      <c r="G67" s="41">
        <v>0</v>
      </c>
    </row>
    <row r="68" spans="1:7" x14ac:dyDescent="0.25">
      <c r="A68" s="44"/>
      <c r="B68" s="3">
        <v>1000013960</v>
      </c>
      <c r="C68" s="3">
        <v>5</v>
      </c>
      <c r="D68" s="20" t="s">
        <v>327</v>
      </c>
      <c r="E68" s="41">
        <v>0</v>
      </c>
      <c r="F68" s="41">
        <v>5</v>
      </c>
      <c r="G68" s="41">
        <v>0</v>
      </c>
    </row>
    <row r="69" spans="1:7" x14ac:dyDescent="0.25">
      <c r="A69" s="44"/>
      <c r="B69" s="3">
        <v>1000013959</v>
      </c>
      <c r="C69" s="3">
        <v>5</v>
      </c>
      <c r="D69" s="20" t="s">
        <v>328</v>
      </c>
      <c r="E69" s="41">
        <v>0</v>
      </c>
      <c r="F69" s="41">
        <v>5</v>
      </c>
      <c r="G69" s="41">
        <v>0</v>
      </c>
    </row>
    <row r="70" spans="1:7" x14ac:dyDescent="0.25">
      <c r="A70" s="44"/>
      <c r="B70" s="3">
        <v>110209633</v>
      </c>
      <c r="C70" s="3">
        <v>5</v>
      </c>
      <c r="D70" s="20" t="s">
        <v>329</v>
      </c>
      <c r="E70" s="41">
        <v>0</v>
      </c>
      <c r="F70" s="41">
        <v>5</v>
      </c>
      <c r="G70" s="41">
        <v>0</v>
      </c>
    </row>
    <row r="71" spans="1:7" x14ac:dyDescent="0.25">
      <c r="A71" s="44"/>
      <c r="B71" s="3">
        <v>110210018</v>
      </c>
      <c r="C71" s="3">
        <v>5</v>
      </c>
      <c r="D71" s="20" t="s">
        <v>330</v>
      </c>
      <c r="E71" s="41">
        <v>0</v>
      </c>
      <c r="F71" s="41">
        <v>5</v>
      </c>
      <c r="G71" s="41">
        <v>0</v>
      </c>
    </row>
    <row r="72" spans="1:7" x14ac:dyDescent="0.25">
      <c r="A72" s="44"/>
      <c r="B72" s="3">
        <v>110209996</v>
      </c>
      <c r="C72" s="3">
        <v>5</v>
      </c>
      <c r="D72" s="20" t="s">
        <v>331</v>
      </c>
      <c r="E72" s="41">
        <v>0</v>
      </c>
      <c r="F72" s="41">
        <v>0</v>
      </c>
      <c r="G72" s="41">
        <v>5</v>
      </c>
    </row>
    <row r="73" spans="1:7" x14ac:dyDescent="0.25">
      <c r="A73" s="44"/>
      <c r="B73" s="3">
        <v>110203145</v>
      </c>
      <c r="C73" s="3">
        <v>5</v>
      </c>
      <c r="D73" s="20" t="s">
        <v>332</v>
      </c>
      <c r="E73" s="41">
        <v>0</v>
      </c>
      <c r="F73" s="41">
        <v>5</v>
      </c>
      <c r="G73" s="41">
        <v>0</v>
      </c>
    </row>
    <row r="74" spans="1:7" x14ac:dyDescent="0.25">
      <c r="A74" s="44"/>
      <c r="B74" s="3">
        <v>110202744</v>
      </c>
      <c r="C74" s="3">
        <v>20</v>
      </c>
      <c r="D74" s="20" t="s">
        <v>333</v>
      </c>
      <c r="E74" s="41">
        <v>0</v>
      </c>
      <c r="F74" s="41">
        <v>0</v>
      </c>
      <c r="G74" s="41">
        <v>0</v>
      </c>
    </row>
    <row r="75" spans="1:7" x14ac:dyDescent="0.25">
      <c r="A75" s="46"/>
      <c r="B75" s="3">
        <v>1000560185</v>
      </c>
      <c r="C75" s="3">
        <v>5</v>
      </c>
      <c r="D75" s="51" t="s">
        <v>334</v>
      </c>
      <c r="E75" s="41">
        <v>0</v>
      </c>
      <c r="F75" s="41">
        <v>5</v>
      </c>
      <c r="G75" s="41">
        <v>0</v>
      </c>
    </row>
    <row r="77" spans="1:7" x14ac:dyDescent="0.25">
      <c r="B77" s="52" t="s">
        <v>74</v>
      </c>
      <c r="C77" s="52" t="s">
        <v>335</v>
      </c>
      <c r="D77" s="52" t="s">
        <v>336</v>
      </c>
      <c r="E77" s="39" t="s">
        <v>272</v>
      </c>
      <c r="F77" s="39" t="s">
        <v>273</v>
      </c>
      <c r="G77" s="39" t="s">
        <v>274</v>
      </c>
    </row>
    <row r="78" spans="1:7" x14ac:dyDescent="0.25">
      <c r="B78" s="53">
        <v>110100205</v>
      </c>
      <c r="C78" s="53" t="s">
        <v>337</v>
      </c>
      <c r="D78" s="53" t="s">
        <v>338</v>
      </c>
      <c r="E78" s="54">
        <v>1</v>
      </c>
      <c r="F78" s="54">
        <v>1</v>
      </c>
      <c r="G78" s="54">
        <v>1</v>
      </c>
    </row>
    <row r="79" spans="1:7" x14ac:dyDescent="0.25">
      <c r="B79" s="53">
        <v>90795206</v>
      </c>
      <c r="C79" s="53" t="s">
        <v>337</v>
      </c>
      <c r="D79" s="53" t="s">
        <v>339</v>
      </c>
      <c r="E79" s="54">
        <v>1</v>
      </c>
      <c r="F79" s="54">
        <v>1</v>
      </c>
      <c r="G79" s="54">
        <v>1</v>
      </c>
    </row>
    <row r="80" spans="1:7" x14ac:dyDescent="0.25">
      <c r="B80" s="53">
        <v>90700330</v>
      </c>
      <c r="C80" s="53" t="s">
        <v>337</v>
      </c>
      <c r="D80" s="53" t="s">
        <v>340</v>
      </c>
      <c r="E80" s="54">
        <v>1</v>
      </c>
      <c r="F80" s="54">
        <v>1</v>
      </c>
      <c r="G80" s="54">
        <v>1</v>
      </c>
    </row>
    <row r="81" spans="2:7" x14ac:dyDescent="0.25">
      <c r="B81" s="53">
        <v>90700142</v>
      </c>
      <c r="C81" s="53" t="s">
        <v>337</v>
      </c>
      <c r="D81" s="53" t="s">
        <v>341</v>
      </c>
      <c r="E81" s="54">
        <v>1</v>
      </c>
      <c r="F81" s="54">
        <v>1</v>
      </c>
      <c r="G81" s="54">
        <v>1</v>
      </c>
    </row>
    <row r="82" spans="2:7" x14ac:dyDescent="0.25">
      <c r="B82" s="53">
        <v>90700143</v>
      </c>
      <c r="C82" s="53" t="s">
        <v>337</v>
      </c>
      <c r="D82" s="53" t="s">
        <v>342</v>
      </c>
      <c r="E82" s="54">
        <v>1</v>
      </c>
      <c r="F82" s="54">
        <v>1</v>
      </c>
      <c r="G82" s="54">
        <v>1</v>
      </c>
    </row>
    <row r="83" spans="2:7" x14ac:dyDescent="0.25">
      <c r="B83" s="53">
        <v>90700143</v>
      </c>
      <c r="C83" s="53" t="s">
        <v>337</v>
      </c>
      <c r="D83" s="53" t="s">
        <v>342</v>
      </c>
      <c r="E83" s="54">
        <v>1</v>
      </c>
      <c r="F83" s="54">
        <v>1</v>
      </c>
      <c r="G83" s="54">
        <v>1</v>
      </c>
    </row>
    <row r="84" spans="2:7" x14ac:dyDescent="0.25">
      <c r="B84" s="53">
        <v>90700153</v>
      </c>
      <c r="C84" s="53" t="s">
        <v>337</v>
      </c>
      <c r="D84" s="53" t="s">
        <v>343</v>
      </c>
      <c r="E84" s="54">
        <v>1</v>
      </c>
      <c r="F84" s="54">
        <v>2</v>
      </c>
      <c r="G84" s="54">
        <v>2</v>
      </c>
    </row>
    <row r="85" spans="2:7" x14ac:dyDescent="0.25">
      <c r="B85" s="53">
        <v>90700145</v>
      </c>
      <c r="C85" s="53" t="s">
        <v>337</v>
      </c>
      <c r="D85" s="53" t="s">
        <v>344</v>
      </c>
      <c r="E85" s="54">
        <v>10</v>
      </c>
      <c r="F85" s="54">
        <v>20</v>
      </c>
      <c r="G85" s="54">
        <v>20</v>
      </c>
    </row>
    <row r="86" spans="2:7" x14ac:dyDescent="0.25">
      <c r="B86" s="53">
        <v>90795201</v>
      </c>
      <c r="C86" s="53" t="s">
        <v>337</v>
      </c>
      <c r="D86" s="53" t="s">
        <v>345</v>
      </c>
      <c r="E86" s="54">
        <v>2</v>
      </c>
      <c r="F86" s="54">
        <v>2</v>
      </c>
      <c r="G86" s="54">
        <v>2</v>
      </c>
    </row>
    <row r="87" spans="2:7" x14ac:dyDescent="0.25">
      <c r="B87" s="53">
        <v>90700319</v>
      </c>
      <c r="C87" s="53" t="s">
        <v>337</v>
      </c>
      <c r="D87" s="53" t="s">
        <v>346</v>
      </c>
      <c r="E87" s="54">
        <v>1</v>
      </c>
      <c r="F87" s="54">
        <v>1</v>
      </c>
      <c r="G87" s="54">
        <v>1</v>
      </c>
    </row>
    <row r="88" spans="2:7" x14ac:dyDescent="0.25">
      <c r="B88" s="53">
        <v>90795213</v>
      </c>
      <c r="C88" s="53" t="s">
        <v>337</v>
      </c>
      <c r="D88" s="53" t="s">
        <v>347</v>
      </c>
      <c r="E88" s="54">
        <v>1</v>
      </c>
      <c r="F88" s="54">
        <v>1</v>
      </c>
      <c r="G88" s="54">
        <v>1</v>
      </c>
    </row>
    <row r="89" spans="2:7" x14ac:dyDescent="0.25">
      <c r="B89" s="53">
        <v>90700148</v>
      </c>
      <c r="C89" s="53" t="s">
        <v>337</v>
      </c>
      <c r="D89" s="53" t="s">
        <v>348</v>
      </c>
      <c r="E89" s="54">
        <v>1</v>
      </c>
      <c r="F89" s="54">
        <v>1</v>
      </c>
      <c r="G89" s="54">
        <v>1</v>
      </c>
    </row>
    <row r="90" spans="2:7" x14ac:dyDescent="0.25">
      <c r="B90" s="53">
        <v>90700149</v>
      </c>
      <c r="C90" s="53" t="s">
        <v>337</v>
      </c>
      <c r="D90" s="53" t="s">
        <v>349</v>
      </c>
      <c r="E90" s="54">
        <v>1</v>
      </c>
      <c r="F90" s="54">
        <v>1</v>
      </c>
      <c r="G90" s="54">
        <v>2</v>
      </c>
    </row>
    <row r="91" spans="2:7" x14ac:dyDescent="0.25">
      <c r="B91" s="53">
        <v>90700150</v>
      </c>
      <c r="C91" s="53" t="s">
        <v>337</v>
      </c>
      <c r="D91" s="53" t="s">
        <v>350</v>
      </c>
      <c r="E91" s="54">
        <v>1</v>
      </c>
      <c r="F91" s="54">
        <v>1</v>
      </c>
      <c r="G91" s="54">
        <v>2</v>
      </c>
    </row>
    <row r="92" spans="2:7" x14ac:dyDescent="0.25">
      <c r="B92" s="53">
        <v>90795214</v>
      </c>
      <c r="C92" s="53" t="s">
        <v>337</v>
      </c>
      <c r="D92" s="53" t="s">
        <v>351</v>
      </c>
      <c r="E92" s="54">
        <v>1</v>
      </c>
      <c r="F92" s="54">
        <v>1</v>
      </c>
      <c r="G92" s="54">
        <v>1</v>
      </c>
    </row>
    <row r="93" spans="2:7" x14ac:dyDescent="0.25">
      <c r="B93" s="53">
        <v>90700327</v>
      </c>
      <c r="C93" s="53" t="s">
        <v>337</v>
      </c>
      <c r="D93" s="53" t="s">
        <v>352</v>
      </c>
      <c r="E93" s="54">
        <v>1</v>
      </c>
      <c r="F93" s="54">
        <v>1</v>
      </c>
      <c r="G93" s="54">
        <v>1</v>
      </c>
    </row>
    <row r="94" spans="2:7" x14ac:dyDescent="0.25">
      <c r="B94" s="53">
        <v>1000193123</v>
      </c>
      <c r="C94" s="53" t="s">
        <v>337</v>
      </c>
      <c r="D94" s="53" t="s">
        <v>353</v>
      </c>
      <c r="E94" s="54">
        <v>1</v>
      </c>
      <c r="F94" s="54">
        <v>1</v>
      </c>
      <c r="G94" s="54">
        <v>1</v>
      </c>
    </row>
    <row r="95" spans="2:7" x14ac:dyDescent="0.25">
      <c r="B95" s="53">
        <v>110100198</v>
      </c>
      <c r="C95" s="53" t="s">
        <v>337</v>
      </c>
      <c r="D95" s="53" t="s">
        <v>354</v>
      </c>
      <c r="E95" s="54">
        <v>1</v>
      </c>
      <c r="F95" s="54">
        <v>1</v>
      </c>
      <c r="G95" s="54">
        <v>1</v>
      </c>
    </row>
    <row r="97" spans="2:7" x14ac:dyDescent="0.25">
      <c r="B97" s="53">
        <v>10395220</v>
      </c>
      <c r="D97" s="53" t="s">
        <v>355</v>
      </c>
      <c r="E97" s="54">
        <v>2</v>
      </c>
      <c r="F97" s="54">
        <v>2</v>
      </c>
      <c r="G97" s="54">
        <v>2</v>
      </c>
    </row>
    <row r="98" spans="2:7" x14ac:dyDescent="0.25">
      <c r="B98" s="53">
        <v>10395211</v>
      </c>
      <c r="D98" s="53" t="s">
        <v>356</v>
      </c>
      <c r="E98" s="54">
        <v>2</v>
      </c>
      <c r="F98" s="54">
        <v>2</v>
      </c>
      <c r="G98" s="54">
        <v>2</v>
      </c>
    </row>
    <row r="99" spans="2:7" x14ac:dyDescent="0.25">
      <c r="B99" s="53"/>
      <c r="D99" s="53"/>
    </row>
    <row r="100" spans="2:7" x14ac:dyDescent="0.25">
      <c r="B100" s="53"/>
      <c r="D100" s="53"/>
    </row>
    <row r="101" spans="2:7" x14ac:dyDescent="0.25">
      <c r="B101" s="53"/>
      <c r="D101" s="53"/>
    </row>
    <row r="102" spans="2:7" x14ac:dyDescent="0.25">
      <c r="B102" s="53"/>
      <c r="D102" s="53"/>
    </row>
    <row r="103" spans="2:7" x14ac:dyDescent="0.25">
      <c r="B103" s="53"/>
      <c r="D103" s="53"/>
    </row>
    <row r="104" spans="2:7" x14ac:dyDescent="0.25">
      <c r="B104" s="53"/>
      <c r="D104" s="53"/>
    </row>
    <row r="105" spans="2:7" x14ac:dyDescent="0.25">
      <c r="B105" s="53"/>
      <c r="D105" s="53"/>
    </row>
    <row r="106" spans="2:7" x14ac:dyDescent="0.25">
      <c r="B106" s="53"/>
      <c r="D106" s="53"/>
    </row>
    <row r="107" spans="2:7" x14ac:dyDescent="0.25">
      <c r="B107" s="53"/>
      <c r="D107" s="53"/>
    </row>
    <row r="108" spans="2:7" x14ac:dyDescent="0.25">
      <c r="B108" s="53"/>
      <c r="D108" s="53"/>
    </row>
    <row r="109" spans="2:7" x14ac:dyDescent="0.25">
      <c r="B109" s="53"/>
      <c r="D109" s="53"/>
    </row>
  </sheetData>
  <mergeCells count="4">
    <mergeCell ref="A5:A20"/>
    <mergeCell ref="A22:A38"/>
    <mergeCell ref="A40:A56"/>
    <mergeCell ref="A61: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Materiales Inyectores</vt:lpstr>
      <vt:lpstr>Material productor WO</vt:lpstr>
      <vt:lpstr>Material Pulling</vt:lpstr>
      <vt:lpstr>Mantenimiento Produccion</vt:lpstr>
      <vt:lpstr>Mat bbas + aib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JORGE ARIEL</dc:creator>
  <cp:lastModifiedBy>GALIZIA, DIEGO</cp:lastModifiedBy>
  <dcterms:created xsi:type="dcterms:W3CDTF">2025-11-13T12:48:14Z</dcterms:created>
  <dcterms:modified xsi:type="dcterms:W3CDTF">2025-11-14T18:59:16Z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2025-11-13T12:50:08Z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fbc94210-aa69-4937-b6b8-483dae2d7840</vt:lpwstr>
  </property>
  <property fmtid="{D5CDD505-2E9C-101B-9397-08002B2CF9AE}" pid="8" name="MSIP_Label_b701c5ec-e5b5-40ab-b632-dbf2eb8611fa_ContentBits">
    <vt:lpwstr>3</vt:lpwstr>
  </property>
  <property fmtid="{D5CDD505-2E9C-101B-9397-08002B2CF9AE}" pid="9" name="MSIP_Label_b701c5ec-e5b5-40ab-b632-dbf2eb8611fa_Tag">
    <vt:lpwstr>10, 0, 1, 1</vt:lpwstr>
  </property>
</Properties>
</file>